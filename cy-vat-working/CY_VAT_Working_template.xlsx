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ettings" sheetId="2" state="visible" r:id="rId4"/>
    <sheet name="GL_Input" sheetId="3" state="visible" r:id="rId5"/>
    <sheet name="Account_Mapping" sheetId="4" state="visible" r:id="rId6"/>
    <sheet name="Counterparties" sheetId="5" state="visible" r:id="rId7"/>
    <sheet name="VAT_Codes" sheetId="6" state="visible" r:id="rId8"/>
    <sheet name="FX_Rates" sheetId="7" state="visible" r:id="rId9"/>
    <sheet name="FX_Daily" sheetId="8" state="visible" r:id="rId10"/>
    <sheet name="VAT_Return" sheetId="9" state="visible" r:id="rId11"/>
    <sheet name="IC_Analysis" sheetId="10" state="visible" r:id="rId12"/>
    <sheet name="VIES" sheetId="11" state="visible" r:id="rId13"/>
    <sheet name="Reconciliation" sheetId="12" state="visible" r:id="rId14"/>
    <sheet name="Checks" sheetId="13" state="visible" r:id="rId15"/>
    <sheet name="Legal_Notes" sheetId="14" state="visible" r:id="rId16"/>
    <sheet name="Lists" sheetId="15" state="visible" r:id="rId17"/>
  </sheets>
  <definedNames>
    <definedName function="false" hidden="true" localSheetId="2" name="_xlnm._FilterDatabase" vbProcedure="false">GL_Input!$A$4:$Z$2004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<sst xmlns="http://schemas.openxmlformats.org/spreadsheetml/2006/main" count="1016" uniqueCount="674">
  <si>
    <t xml:space="preserve">Cyprus VAT working - instructions</t>
  </si>
  <si>
    <t xml:space="preserve">How the working is built, what you do each quarter, and how each part feeds the VAT 4 return.</t>
  </si>
  <si>
    <t xml:space="preserve">1. What this working does</t>
  </si>
  <si>
    <t xml:space="preserve">It takes the full general ledger (GL) for the VAT quarter, gives every line a VAT treatment code (through the account mapping, or an override on the line), classifies the counterparty as Cyprus (CY), other EU member state (EU) or third country (3RD) and as inter-company (Y) or third party (N), converts foreign-currency amounts to EUR at the quarterly average ECB rate, and builds the VAT 4 return (Boxes 1-11B), the VIES summary, an inter-company analysis and reconciliations to the VAT control accounts.</t>
  </si>
  <si>
    <t xml:space="preserve">All results are Excel formulas. Change a mapping, a country or a rate and every sheet updates.</t>
  </si>
  <si>
    <t xml:space="preserve">2. Sheets</t>
  </si>
  <si>
    <t xml:space="preserve">Instructions - this page.</t>
  </si>
  <si>
    <t xml:space="preserve">Settings - company details, quarter dates, pro-rata %, VAT control accounts, GL column names for the import script. (Yellow cells = your input.)</t>
  </si>
  <si>
    <t xml:space="preserve">GL_Input - the full GL for the quarter. Columns A-L are inputs (paste or import). Columns M-Z are formulas - do not overwrite them.</t>
  </si>
  <si>
    <t xml:space="preserve">Account_Mapping - one row per GL account with its default VAT code. Carried forward from quarter to quarter.</t>
  </si>
  <si>
    <t xml:space="preserve">Counterparties - one row per customer/supplier: country (ISO code), VAT number and inter-company flag. Drives the EU / 3rd-country / inter-company split.</t>
  </si>
  <si>
    <t xml:space="preserve">VAT_Codes - the VAT treatments and which return boxes each one feeds. Totals per code are calculated here.</t>
  </si>
  <si>
    <t xml:space="preserve">FX_Rates / FX_Daily - daily ECB euro reference rates for the quarter and the quarterly average used in GL_Input.</t>
  </si>
  <si>
    <t xml:space="preserve">VAT_Return - the VAT 4 form with every box, the amount, what the box must include and which codes feed it.</t>
  </si>
  <si>
    <t xml:space="preserve">IC_Analysis - every VAT code split into inter-company / third party and CY / EU / third country.</t>
  </si>
  <si>
    <t xml:space="preserve">VIES - the monthly recapitulative statement amounts per EU customer (goods, triangular, services).</t>
  </si>
  <si>
    <t xml:space="preserve">Reconciliation - Box 1 and Box 4 against the GL VAT control accounts.</t>
  </si>
  <si>
    <t xml:space="preserve">Checks - the exception report. Every check must show 0 / OK before you file.</t>
  </si>
  <si>
    <t xml:space="preserve">Legal_Notes - rates, deadlines, penalties, reverse-charge rules, place of supply, exchange-rate rules and sources.</t>
  </si>
  <si>
    <t xml:space="preserve">3. Colour code</t>
  </si>
  <si>
    <t xml:space="preserve">Blue text on yellow = input you enter or the script imports.  Black = formula.  Green = link to another sheet.  Orange fill = EXAMPLE data that shows the expected format (the import script removes it; delete it if you paste manually).</t>
  </si>
  <si>
    <t xml:space="preserve">4. One-off set-up (first quarter only)</t>
  </si>
  <si>
    <t xml:space="preserve">a) Install Python 3.9+ and run:  pip install openpyxl pandas</t>
  </si>
  <si>
    <t xml:space="preserve">b) Create the working:  python cy_vat_working.py new CY_VAT_Q3_2026.xlsx --year 2026 --quarter 3</t>
  </si>
  <si>
    <t xml:space="preserve">c) Settings: enter company name, VAT number (e.g. 10123456X), TIC, the output and input VAT control account codes, and the pro-rata % (100% if the company makes no exempt supplies). Under 'GL column map' type the column headers exactly as they appear in your GL export.</t>
  </si>
  <si>
    <t xml:space="preserve">d) After the first import (step 5b), complete Account_Mapping: give every account a VAT code from VAT_Codes. Balance-sheet, payroll, depreciation, dividend, loan, bank and VAT control accounts = NR. Where one account mixes treatments (e.g. a 'Consultancy' account with Cyprus, EU and US suppliers), map it to the most common code and override the other lines in GL_Input column K.</t>
  </si>
  <si>
    <t xml:space="preserve">e) Complete Counterparties: ISO country code (CY, GR, DE, GB, US, AE ...), VAT number (with country prefix, e.g. DE123456789) and Inter-company = Y for every group company. Use EL for Greek VAT numbers in VIES if you wish - EL and GR are both treated as EU.</t>
  </si>
  <si>
    <t xml:space="preserve">5. Every quarter</t>
  </si>
  <si>
    <t xml:space="preserve">a) Copy last quarter's working (it keeps the mapping and counterparties) and run:  python cy_vat_working.py roll CY_VAT_Q4_2026.xlsx --year 2026 --quarter 4</t>
  </si>
  <si>
    <t xml:space="preserve">b) Import the GL:  python cy_vat_working.py import-gl CY_VAT_Q4_2026.xlsx GL_Q4_2026.xlsx   (add --sheet NAME if needed). The script clears the old GL lines, writes the new ones with formulas, and adds any NEW accounts / counterparties to the bottom of Account_Mapping and Counterparties with a blank code - complete them. Alternatively paste the GL into GL_Input A-L yourself and copy the formulas in M-Z down to the last row.</t>
  </si>
  <si>
    <t xml:space="preserve">c) Exchange rates:  python cy_vat_working.py fx CY_VAT_Q4_2026.xlsx --year 2026 --quarter 4   - downloads the ECB daily euro reference rates (also published by the Central Bank of Cyprus) for every currency found in the GL, writes them to FX_Daily and sets FX_Rates to the simple average of the quarter's business days. No internet? Download the rates as CSV from the CBC or ECB site and run with --csv FILE. For currencies the ECB does not publish (e.g. AED, RUB), type a rate in FX_Rates column C (manual override) and note the source.</t>
  </si>
  <si>
    <t xml:space="preserve">d) Open the file in Excel (formulas calculate on opening; press F9 if calculation is manual).</t>
  </si>
  <si>
    <t xml:space="preserve">e) Checks sheet: clear every exception - unmapped accounts, unknown codes, counterparties without a country, region mismatches (e.g. code EUS on a US customer), missing FX rates, lines outside the period.</t>
  </si>
  <si>
    <t xml:space="preserve">f) Review IC_Analysis: inter-company services to EU group companies must be in EUS (Box 8B + VIES), to non-EU group companies in OS3 (Box 10); inter-company charges received from EU group companies in AES19 (Boxes 1, 4, 6, 7, 11B) and from non-EU group companies in A3S19 (Boxes 1, 4, 6, 7).</t>
  </si>
  <si>
    <t xml:space="preserve">g) Reconciliation: Box 1 and Box 4 against the VAT control accounts. Investigate any difference above the tolerance in Settings (typical causes: VAT posted to the wrong account, rounding, blocked VAT, credit notes, invoices dated outside the quarter).</t>
  </si>
  <si>
    <t xml:space="preserve">h) VIES: check that the VIES totals agree with Boxes 8A, 8B and the triangular part of Box 10, and that every EU customer has a valid VAT number (check on the EU VIES site). VIES is filed MONTHLY, by the 15th of the following month.</t>
  </si>
  <si>
    <t xml:space="preserve">i) Transfer the VAT_Return amounts (Boxes 1-11B) to the VAT 4 return on the Tax For All (TFA) portal. Submit and pay by the 10th day of the second month after the quarter end (shown in Settings). Save a PDF of the submitted return with this working.</t>
  </si>
  <si>
    <t xml:space="preserve">6. How the calculation works (GL_Input columns M-Z)</t>
  </si>
  <si>
    <t xml:space="preserve">M  Account VAT code - looked up from Account_Mapping using the account code (C).</t>
  </si>
  <si>
    <t xml:space="preserve">N  VAT code used - the override in K if entered, otherwise M.</t>
  </si>
  <si>
    <t xml:space="preserve">O-Q  Country, region and inter-company flag - looked up from Counterparties using the counterparty code (F). Region: CY = Cyprus, EU = code listed on the Lists sheet, 3RD = any other country.</t>
  </si>
  <si>
    <t xml:space="preserve">R-S  FX rate and EUR amount. If the GL already has an EUR amount (J) it is used as it is; otherwise amount in currency (I) / quarterly average rate (ECB rates are units of currency per 1 EUR). EUR lines use rate 1.</t>
  </si>
  <si>
    <t xml:space="preserve">T-U  Nature and return value. GL sign convention is Debit = + and Credit = -. Outputs (sales) are reversed so sales show positive; credit notes therefore reduce the boxes automatically. Code NR / FOR lines give 0.</t>
  </si>
  <si>
    <t xml:space="preserve">V-W  VAT rate and VAT. VAT = return value x rate, unless you give the actual VAT amount on the line (L) - then the actual amount is used. For IVAT (import VAT) the line amount itself is the VAT.</t>
  </si>
  <si>
    <t xml:space="preserve">X-Y  VIES type (G = goods, T = triangular, S = services) and month 1-3 of the quarter, used by the VIES sheet.</t>
  </si>
  <si>
    <t xml:space="preserve">Z  Check - OK or the first exception found on the line. Filter column Z for anything other than OK.</t>
  </si>
  <si>
    <t xml:space="preserve">VAT_Codes totals each code (SUMIFS on columns N, U, W). The recoverable VAT = VAT x recovery % (100%, 0% or the pro-rata). Each return box adds up the codes flagged Y in that box's column.</t>
  </si>
  <si>
    <t xml:space="preserve">7. Foreign exchange - important</t>
  </si>
  <si>
    <t xml:space="preserve">Art. 91(2) of the VAT Directive (2006/112/EC), which the Cyprus VAT Law follows, requires a foreign-currency taxable amount to be converted at the latest rate published by the ECB (or the most representative market rate) at the time the VAT becomes chargeable (the tax point). A quarterly average is a practical simplification that many groups use for reporting. Before relying on it, confirm with your VAT adviser / the Tax Department that it is acceptable for your circumstances, and keep using the invoice-date rate where the invoice itself shows the VAT in EUR. To use transaction-date rates, enter the EUR amounts in GL_Input column J - they take priority over the average.</t>
  </si>
  <si>
    <t xml:space="preserve">8. Limits of this working</t>
  </si>
  <si>
    <t xml:space="preserve">The VAT codes and box mapping follow the Tax Department's VAT 4 guidance and Big Four / practitioner guides as at October 2026. VAT rules (rates, temporary zero rates, reverse-charge lists) change often - review VAT_Codes and Legal_Notes every quarter. This working is a preparation tool, not tax advice; complex items (property, construction, capital goods adjustments, partial exemption annual adjustments, VAT groups, fixed establishments) need specific review.</t>
  </si>
  <si>
    <t xml:space="preserve">Settings</t>
  </si>
  <si>
    <t xml:space="preserve">Yellow cells are inputs. Dates drive the period checks, VIES months and due date.</t>
  </si>
  <si>
    <t xml:space="preserve">Company name</t>
  </si>
  <si>
    <t xml:space="preserve">Example Holdings Ltd</t>
  </si>
  <si>
    <t xml:space="preserve">Legal name as registered with the Tax Department.</t>
  </si>
  <si>
    <t xml:space="preserve">VAT registration number</t>
  </si>
  <si>
    <t xml:space="preserve">10000000X</t>
  </si>
  <si>
    <t xml:space="preserve">Cyprus VAT number (8 digits + letter).</t>
  </si>
  <si>
    <t xml:space="preserve">Tax Identification Code (TIC)</t>
  </si>
  <si>
    <t xml:space="preserve">Optional.</t>
  </si>
  <si>
    <t xml:space="preserve">Quarter</t>
  </si>
  <si>
    <t xml:space="preserve">Q3 2026</t>
  </si>
  <si>
    <t xml:space="preserve">Label only.</t>
  </si>
  <si>
    <t xml:space="preserve">Period start</t>
  </si>
  <si>
    <t xml:space="preserve">First day of the VAT quarter.</t>
  </si>
  <si>
    <t xml:space="preserve">Period end</t>
  </si>
  <si>
    <t xml:space="preserve">Last day of the VAT quarter.</t>
  </si>
  <si>
    <t xml:space="preserve">Input VAT recovery % (pro-rata) for mixed-use costs</t>
  </si>
  <si>
    <t xml:space="preserve">Provisional % = taxable (incl. outside-scope with right) supplies / total supplies of the previous year. 100% if no exempt supplies. Annual adjustment at year end.</t>
  </si>
  <si>
    <t xml:space="preserve">Reverse-charge VAT is booked in the GL VAT control accounts? (Y/N)</t>
  </si>
  <si>
    <t xml:space="preserve">N</t>
  </si>
  <si>
    <t xml:space="preserve">Y if your bookkeeping posts the self-assessed reverse-charge VAT to the output and input VAT accounts. Used by the Reconciliation sheet.</t>
  </si>
  <si>
    <t xml:space="preserve">Reconciliation tolerance (EUR)</t>
  </si>
  <si>
    <t xml:space="preserve">Differences above this amount are flagged.</t>
  </si>
  <si>
    <t xml:space="preserve">Return and payment due date</t>
  </si>
  <si>
    <t xml:space="preserve">10th day of the second month after the end of the quarter (next working day if a weekend / holiday).</t>
  </si>
  <si>
    <t xml:space="preserve">VIES statements due</t>
  </si>
  <si>
    <t xml:space="preserve">15th of each following month</t>
  </si>
  <si>
    <t xml:space="preserve">Monthly recapitulative statement for EU supplies of goods and services (TFA portal).</t>
  </si>
  <si>
    <t xml:space="preserve">Output VAT control account codes (credit balances)</t>
  </si>
  <si>
    <t xml:space="preserve">Output VAT account 1</t>
  </si>
  <si>
    <t xml:space="preserve">2201</t>
  </si>
  <si>
    <t xml:space="preserve">Output VAT account 2</t>
  </si>
  <si>
    <t xml:space="preserve">Output VAT account 3</t>
  </si>
  <si>
    <t xml:space="preserve">Output VAT account 4</t>
  </si>
  <si>
    <t xml:space="preserve">Output VAT account 5</t>
  </si>
  <si>
    <t xml:space="preserve">Input VAT control account codes (debit balances) - excl. import VAT account</t>
  </si>
  <si>
    <t xml:space="preserve">Input VAT account 1</t>
  </si>
  <si>
    <t xml:space="preserve">2101</t>
  </si>
  <si>
    <t xml:space="preserve">Input VAT account 2</t>
  </si>
  <si>
    <t xml:space="preserve">Input VAT account 3</t>
  </si>
  <si>
    <t xml:space="preserve">Input VAT account 4</t>
  </si>
  <si>
    <t xml:space="preserve">Input VAT account 5</t>
  </si>
  <si>
    <t xml:space="preserve">GL column map (for the import-gl command)</t>
  </si>
  <si>
    <t xml:space="preserve">Type the header text exactly as it appears in your GL export. Leave blank if the column does not exist. Give either 'Amount' (Dr + / Cr -) or both 'Debit' and 'Credit'.</t>
  </si>
  <si>
    <t xml:space="preserve">Working field</t>
  </si>
  <si>
    <t xml:space="preserve">Header in your GL export</t>
  </si>
  <si>
    <t xml:space="preserve">Notes</t>
  </si>
  <si>
    <t xml:space="preserve">date</t>
  </si>
  <si>
    <t xml:space="preserve">Date</t>
  </si>
  <si>
    <t xml:space="preserve">Posting or document date.</t>
  </si>
  <si>
    <t xml:space="preserve">doc</t>
  </si>
  <si>
    <t xml:space="preserve">Doc No</t>
  </si>
  <si>
    <t xml:space="preserve">account</t>
  </si>
  <si>
    <t xml:space="preserve">Account</t>
  </si>
  <si>
    <t xml:space="preserve">Account code.</t>
  </si>
  <si>
    <t xml:space="preserve">account_name</t>
  </si>
  <si>
    <t xml:space="preserve">Account Name</t>
  </si>
  <si>
    <t xml:space="preserve">description</t>
  </si>
  <si>
    <t xml:space="preserve">Description</t>
  </si>
  <si>
    <t xml:space="preserve">cp_code</t>
  </si>
  <si>
    <t xml:space="preserve">Counterparty</t>
  </si>
  <si>
    <t xml:space="preserve">Customer / supplier code (or name) - the key to Counterparties.</t>
  </si>
  <si>
    <t xml:space="preserve">cp_name</t>
  </si>
  <si>
    <t xml:space="preserve">Counterparty Name</t>
  </si>
  <si>
    <t xml:space="preserve">currency</t>
  </si>
  <si>
    <t xml:space="preserve">Currency</t>
  </si>
  <si>
    <t xml:space="preserve">ISO currency code. Blank = EUR.</t>
  </si>
  <si>
    <t xml:space="preserve">amount_fc</t>
  </si>
  <si>
    <t xml:space="preserve">Amount</t>
  </si>
  <si>
    <t xml:space="preserve">Signed amount in transaction currency (Dr + / Cr -).</t>
  </si>
  <si>
    <t xml:space="preserve">debit_fc</t>
  </si>
  <si>
    <t xml:space="preserve">Use instead of 'Amount' when the export has separate debit and credit columns.</t>
  </si>
  <si>
    <t xml:space="preserve">credit_fc</t>
  </si>
  <si>
    <t xml:space="preserve">amount_eur</t>
  </si>
  <si>
    <t xml:space="preserve">Optional: amount already in EUR (Dr + / Cr -). Takes priority over the FX conversion.</t>
  </si>
  <si>
    <t xml:space="preserve">vat_code</t>
  </si>
  <si>
    <t xml:space="preserve">Optional: VAT/tax code from your accounting system, if it uses the same codes as VAT_Codes.</t>
  </si>
  <si>
    <t xml:space="preserve">vat_fc</t>
  </si>
  <si>
    <t xml:space="preserve">Optional: VAT amount of the line in transaction currency.</t>
  </si>
  <si>
    <t xml:space="preserve">GL_Input - full general ledger for the VAT quarter</t>
  </si>
  <si>
    <t xml:space="preserve">Columns A-L: paste/import your GL (Debit = +, Credit = -).  Columns M-Z: formulas, do not overwrite.  Filter column Z for exceptions.</t>
  </si>
  <si>
    <t xml:space="preserve">INPUT  &gt;&gt;&gt;</t>
  </si>
  <si>
    <t xml:space="preserve">CALCULATED  &gt;&gt;&gt;</t>
  </si>
  <si>
    <t xml:space="preserve">Journal / Doc no.</t>
  </si>
  <si>
    <t xml:space="preserve">Account code</t>
  </si>
  <si>
    <t xml:space="preserve">Account name</t>
  </si>
  <si>
    <t xml:space="preserve">Counterparty code</t>
  </si>
  <si>
    <t xml:space="preserve">Counterparty name</t>
  </si>
  <si>
    <t xml:space="preserve">Amount in currency (Dr + / Cr -)</t>
  </si>
  <si>
    <t xml:space="preserve">Amount EUR if in GL (Dr + / Cr -)</t>
  </si>
  <si>
    <t xml:space="preserve">VAT code override (optional)</t>
  </si>
  <si>
    <t xml:space="preserve">VAT amount in currency (optional)</t>
  </si>
  <si>
    <t xml:space="preserve">Account VAT code</t>
  </si>
  <si>
    <t xml:space="preserve">VAT code used</t>
  </si>
  <si>
    <t xml:space="preserve">Country</t>
  </si>
  <si>
    <t xml:space="preserve">Region (CY/EU/3RD)</t>
  </si>
  <si>
    <t xml:space="preserve">Inter-company (Y/N)</t>
  </si>
  <si>
    <t xml:space="preserve">FX rate (ccy per EUR)</t>
  </si>
  <si>
    <t xml:space="preserve">Amount EUR (Dr + / Cr -)</t>
  </si>
  <si>
    <t xml:space="preserve">Nature</t>
  </si>
  <si>
    <t xml:space="preserve">Return value EUR</t>
  </si>
  <si>
    <t xml:space="preserve">VAT rate</t>
  </si>
  <si>
    <t xml:space="preserve">VAT EUR</t>
  </si>
  <si>
    <t xml:space="preserve">VIES type</t>
  </si>
  <si>
    <t xml:space="preserve">Month in quarter</t>
  </si>
  <si>
    <t xml:space="preserve">Check</t>
  </si>
  <si>
    <t xml:space="preserve">SI-1001</t>
  </si>
  <si>
    <t xml:space="preserve">4000</t>
  </si>
  <si>
    <t xml:space="preserve">Sales - Cyprus customers</t>
  </si>
  <si>
    <t xml:space="preserve">Consulting services July</t>
  </si>
  <si>
    <t xml:space="preserve">C-CY01</t>
  </si>
  <si>
    <t xml:space="preserve">Limassol Trading Ltd</t>
  </si>
  <si>
    <t xml:space="preserve">EUR</t>
  </si>
  <si>
    <t xml:space="preserve">Output VAT</t>
  </si>
  <si>
    <t xml:space="preserve">VAT on SI-1001</t>
  </si>
  <si>
    <t xml:space="preserve">SI-1002</t>
  </si>
  <si>
    <t xml:space="preserve">4100</t>
  </si>
  <si>
    <t xml:space="preserve">Management fees - group</t>
  </si>
  <si>
    <t xml:space="preserve">Q3 management fee</t>
  </si>
  <si>
    <t xml:space="preserve">IC-DE01</t>
  </si>
  <si>
    <t xml:space="preserve">Example GmbH (group)</t>
  </si>
  <si>
    <t xml:space="preserve">SI-1003</t>
  </si>
  <si>
    <t xml:space="preserve">IC-AE01</t>
  </si>
  <si>
    <t xml:space="preserve">Example FZE Dubai (group)</t>
  </si>
  <si>
    <t xml:space="preserve">USD</t>
  </si>
  <si>
    <t xml:space="preserve">OS3</t>
  </si>
  <si>
    <t xml:space="preserve">SI-1004</t>
  </si>
  <si>
    <t xml:space="preserve">4300</t>
  </si>
  <si>
    <t xml:space="preserve">Sales of goods - export / EU</t>
  </si>
  <si>
    <t xml:space="preserve">Goods to Italy</t>
  </si>
  <si>
    <t xml:space="preserve">C-IT01</t>
  </si>
  <si>
    <t xml:space="preserve">Milano Srl</t>
  </si>
  <si>
    <t xml:space="preserve">SI-1005</t>
  </si>
  <si>
    <t xml:space="preserve">Goods to USA</t>
  </si>
  <si>
    <t xml:space="preserve">C-US01</t>
  </si>
  <si>
    <t xml:space="preserve">Boston Inc</t>
  </si>
  <si>
    <t xml:space="preserve">EXPG</t>
  </si>
  <si>
    <t xml:space="preserve">PI-501</t>
  </si>
  <si>
    <t xml:space="preserve">6000</t>
  </si>
  <si>
    <t xml:space="preserve">Professional fees</t>
  </si>
  <si>
    <t xml:space="preserve">Audit fee</t>
  </si>
  <si>
    <t xml:space="preserve">S-CY01</t>
  </si>
  <si>
    <t xml:space="preserve">Nicosia Audit Ltd</t>
  </si>
  <si>
    <t xml:space="preserve">Input VAT</t>
  </si>
  <si>
    <t xml:space="preserve">VAT on PI-501</t>
  </si>
  <si>
    <t xml:space="preserve">PI-502</t>
  </si>
  <si>
    <t xml:space="preserve">6100</t>
  </si>
  <si>
    <t xml:space="preserve">Group recharges</t>
  </si>
  <si>
    <t xml:space="preserve">IT recharge from parent</t>
  </si>
  <si>
    <t xml:space="preserve">IC-NL01</t>
  </si>
  <si>
    <t xml:space="preserve">Example BV (parent)</t>
  </si>
  <si>
    <t xml:space="preserve">PI-503</t>
  </si>
  <si>
    <t xml:space="preserve">Software subscription</t>
  </si>
  <si>
    <t xml:space="preserve">S-US01</t>
  </si>
  <si>
    <t xml:space="preserve">Cloudsoft Inc</t>
  </si>
  <si>
    <t xml:space="preserve">A3S19</t>
  </si>
  <si>
    <t xml:space="preserve">PI-504</t>
  </si>
  <si>
    <t xml:space="preserve">5000</t>
  </si>
  <si>
    <t xml:space="preserve">Purchases of goods</t>
  </si>
  <si>
    <t xml:space="preserve">Goods from Germany</t>
  </si>
  <si>
    <t xml:space="preserve">S-DE01</t>
  </si>
  <si>
    <t xml:space="preserve">Hamburg Supplies GmbH</t>
  </si>
  <si>
    <t xml:space="preserve">PI-505</t>
  </si>
  <si>
    <t xml:space="preserve">5010</t>
  </si>
  <si>
    <t xml:space="preserve">Imports of goods</t>
  </si>
  <si>
    <t xml:space="preserve">Goods from China</t>
  </si>
  <si>
    <t xml:space="preserve">S-CN01</t>
  </si>
  <si>
    <t xml:space="preserve">Shenzhen Mfg Co</t>
  </si>
  <si>
    <t xml:space="preserve">C-77</t>
  </si>
  <si>
    <t xml:space="preserve">2105</t>
  </si>
  <si>
    <t xml:space="preserve">Import VAT paid to Customs</t>
  </si>
  <si>
    <t xml:space="preserve">Import VAT SAD 26CY...</t>
  </si>
  <si>
    <t xml:space="preserve">PI-506</t>
  </si>
  <si>
    <t xml:space="preserve">6500</t>
  </si>
  <si>
    <t xml:space="preserve">Entertainment</t>
  </si>
  <si>
    <t xml:space="preserve">Client dinner</t>
  </si>
  <si>
    <t xml:space="preserve">S-CY02</t>
  </si>
  <si>
    <t xml:space="preserve">Paphos Restaurant Ltd</t>
  </si>
  <si>
    <t xml:space="preserve">PAY-07</t>
  </si>
  <si>
    <t xml:space="preserve">7000</t>
  </si>
  <si>
    <t xml:space="preserve">Salaries</t>
  </si>
  <si>
    <t xml:space="preserve">July payroll</t>
  </si>
  <si>
    <t xml:space="preserve">1200</t>
  </si>
  <si>
    <t xml:space="preserve">Bank - EUR</t>
  </si>
  <si>
    <t xml:space="preserve">Account_Mapping - default VAT code per GL account</t>
  </si>
  <si>
    <t xml:space="preserve">Give every account a code from VAT_Codes. Non-VAT accounts (balance sheet, payroll, depreciation, VAT control) = NR. Override single lines in GL_Input column K.</t>
  </si>
  <si>
    <t xml:space="preserve">VAT code</t>
  </si>
  <si>
    <t xml:space="preserve">Notes / reasoning</t>
  </si>
  <si>
    <t xml:space="preserve">GL movement EUR (Dr+/Cr-)</t>
  </si>
  <si>
    <t xml:space="preserve">No. of GL lines</t>
  </si>
  <si>
    <t xml:space="preserve">Lines with exceptions</t>
  </si>
  <si>
    <t xml:space="preserve">NR</t>
  </si>
  <si>
    <t xml:space="preserve">EXAMPLE</t>
  </si>
  <si>
    <t xml:space="preserve">EXAMPLE VAT control account</t>
  </si>
  <si>
    <t xml:space="preserve">IVAT</t>
  </si>
  <si>
    <t xml:space="preserve">EXAMPLE Line amount = import VAT</t>
  </si>
  <si>
    <t xml:space="preserve">S19</t>
  </si>
  <si>
    <t xml:space="preserve">EUS</t>
  </si>
  <si>
    <t xml:space="preserve">EXAMPLE EU group = EUS; override non-EU lines?</t>
  </si>
  <si>
    <t xml:space="preserve">EUG</t>
  </si>
  <si>
    <t xml:space="preserve">AEG19</t>
  </si>
  <si>
    <t xml:space="preserve">IMP</t>
  </si>
  <si>
    <t xml:space="preserve">P19</t>
  </si>
  <si>
    <t xml:space="preserve">AES19</t>
  </si>
  <si>
    <t xml:space="preserve">PB19</t>
  </si>
  <si>
    <t xml:space="preserve">EXAMPLE Blocked input VAT</t>
  </si>
  <si>
    <t xml:space="preserve">Counterparties - country, VAT number and inter-company flag</t>
  </si>
  <si>
    <t xml:space="preserve">Country = ISO 2-letter code (CY, GR, DE, GB, US, AE...). Inter-company = Y for all group companies. The code must match GL_Input column F.</t>
  </si>
  <si>
    <t xml:space="preserve">Name</t>
  </si>
  <si>
    <t xml:space="preserve">Country (ISO)</t>
  </si>
  <si>
    <t xml:space="preserve">VAT number (with prefix)</t>
  </si>
  <si>
    <t xml:space="preserve">Relationship / notes</t>
  </si>
  <si>
    <t xml:space="preserve">Region</t>
  </si>
  <si>
    <t xml:space="preserve">Lines in GL</t>
  </si>
  <si>
    <t xml:space="preserve">Sales value EUR</t>
  </si>
  <si>
    <t xml:space="preserve">Purchase value EUR</t>
  </si>
  <si>
    <t xml:space="preserve">CY</t>
  </si>
  <si>
    <t xml:space="preserve">CY10111111A</t>
  </si>
  <si>
    <t xml:space="preserve">DE</t>
  </si>
  <si>
    <t xml:space="preserve">DE123456789</t>
  </si>
  <si>
    <t xml:space="preserve">Y</t>
  </si>
  <si>
    <t xml:space="preserve">EXAMPLE Sister company</t>
  </si>
  <si>
    <t xml:space="preserve">AE</t>
  </si>
  <si>
    <t xml:space="preserve">IT</t>
  </si>
  <si>
    <t xml:space="preserve">IT01234567890</t>
  </si>
  <si>
    <t xml:space="preserve">US</t>
  </si>
  <si>
    <t xml:space="preserve">CY10222222B</t>
  </si>
  <si>
    <t xml:space="preserve">NL</t>
  </si>
  <si>
    <t xml:space="preserve">NL123456789B01</t>
  </si>
  <si>
    <t xml:space="preserve">EXAMPLE Parent company</t>
  </si>
  <si>
    <t xml:space="preserve">DE987654321</t>
  </si>
  <si>
    <t xml:space="preserve">CN</t>
  </si>
  <si>
    <t xml:space="preserve">CY10333333C</t>
  </si>
  <si>
    <t xml:space="preserve">VAT_Codes - VAT treatments and the return boxes they feed</t>
  </si>
  <si>
    <t xml:space="preserve">Y = the code feeds that box. Add your own codes in the blank rows (keep the columns). Recovery: 100% / 0% / pro-rata from Settings.</t>
  </si>
  <si>
    <t xml:space="preserve">Code</t>
  </si>
  <si>
    <t xml:space="preserve">Expected region</t>
  </si>
  <si>
    <t xml:space="preserve">Line is VAT (Y/N)</t>
  </si>
  <si>
    <t xml:space="preserve">Input recovery %</t>
  </si>
  <si>
    <t xml:space="preserve">Box 1</t>
  </si>
  <si>
    <t xml:space="preserve">Box 2</t>
  </si>
  <si>
    <t xml:space="preserve">Box 4</t>
  </si>
  <si>
    <t xml:space="preserve">Box 6</t>
  </si>
  <si>
    <t xml:space="preserve">Box 7</t>
  </si>
  <si>
    <t xml:space="preserve">Box 8A</t>
  </si>
  <si>
    <t xml:space="preserve">Box 8B</t>
  </si>
  <si>
    <t xml:space="preserve">Box 9</t>
  </si>
  <si>
    <t xml:space="preserve">Box 10</t>
  </si>
  <si>
    <t xml:space="preserve">Box 11A</t>
  </si>
  <si>
    <t xml:space="preserve">Box 11B</t>
  </si>
  <si>
    <t xml:space="preserve">Net value EUR</t>
  </si>
  <si>
    <t xml:space="preserve">VAT reclaimable EUR</t>
  </si>
  <si>
    <t xml:space="preserve">No. of lines</t>
  </si>
  <si>
    <t xml:space="preserve">Guidance / legal basis</t>
  </si>
  <si>
    <t xml:space="preserve">Domestic sales - standard rate 19%</t>
  </si>
  <si>
    <t xml:space="preserve">Output</t>
  </si>
  <si>
    <t xml:space="preserve">Supplies taxable in Cyprus at 19%. Includes inter-company supplies to Cyprus group companies (unless in a VAT group).</t>
  </si>
  <si>
    <t xml:space="preserve">S9</t>
  </si>
  <si>
    <t xml:space="preserve">Domestic sales - reduced rate 9%</t>
  </si>
  <si>
    <t xml:space="preserve">e.g. hotel accommodation, restaurant/catering services - check the reduced-rate schedule.</t>
  </si>
  <si>
    <t xml:space="preserve">S5</t>
  </si>
  <si>
    <t xml:space="preserve">Domestic sales - reduced rate 5%</t>
  </si>
  <si>
    <t xml:space="preserve">e.g. foodstuffs, pharmaceuticals, qualifying residential property - check the reduced-rate schedule.</t>
  </si>
  <si>
    <t xml:space="preserve">S3</t>
  </si>
  <si>
    <t xml:space="preserve">Domestic sales - super-reduced rate 3%</t>
  </si>
  <si>
    <t xml:space="preserve">e.g. books, newspapers, periodicals - check the reduced-rate schedule.</t>
  </si>
  <si>
    <t xml:space="preserve">Z0</t>
  </si>
  <si>
    <t xml:space="preserve">Domestic zero-rated supplies (not exports)</t>
  </si>
  <si>
    <t xml:space="preserve">ANY</t>
  </si>
  <si>
    <t xml:space="preserve">0% supplies in Cyprus (e.g. items temporarily zero-rated, qualifying ships/aircraft supplies).</t>
  </si>
  <si>
    <t xml:space="preserve">Exports of goods to third countries</t>
  </si>
  <si>
    <t xml:space="preserve">3RD</t>
  </si>
  <si>
    <t xml:space="preserve">Goods dispatched outside the EU. Keep customs export evidence (SAD / ECS exit message).</t>
  </si>
  <si>
    <t xml:space="preserve">Intra-EU supplies of goods (B2B)</t>
  </si>
  <si>
    <t xml:space="preserve">EU</t>
  </si>
  <si>
    <t xml:space="preserve">G</t>
  </si>
  <si>
    <t xml:space="preserve">Goods dispatched to a VAT-registered customer in another member state. Customer VAT no. must be valid on VIES. Reported in VIES.</t>
  </si>
  <si>
    <t xml:space="preserve">Services to EU taxable persons (general rule - reverse charge by customer)</t>
  </si>
  <si>
    <t xml:space="preserve">S</t>
  </si>
  <si>
    <t xml:space="preserve">B2B services where the place of supply is the customer's member state (s.14 / Art. 44). Includes inter-company management fees, recharges, IT, consultancy to EU group companies. Invoice must say 'Reverse charge'. Reported in VIES.</t>
  </si>
  <si>
    <t xml:space="preserve">TRI</t>
  </si>
  <si>
    <t xml:space="preserve">Triangular transactions (Cyprus as intermediary)</t>
  </si>
  <si>
    <t xml:space="preserve">T</t>
  </si>
  <si>
    <t xml:space="preserve">Simplified triangulation - goods go directly from the first to the third member state. Reported in VIES with the triangulation indicator.</t>
  </si>
  <si>
    <t xml:space="preserve">Services to customers outside the EU (outside scope, with right to deduct)</t>
  </si>
  <si>
    <t xml:space="preserve">B2B services to third-country customers, including inter-company services to non-EU group companies. Not in VIES.</t>
  </si>
  <si>
    <t xml:space="preserve">OSS</t>
  </si>
  <si>
    <t xml:space="preserve">Distance sales / B2C services declared through OSS</t>
  </si>
  <si>
    <t xml:space="preserve">Sales taxed in another member state and declared in the OSS return. The value only goes in Boxes 6 and 10.</t>
  </si>
  <si>
    <t xml:space="preserve">FIN3</t>
  </si>
  <si>
    <t xml:space="preserve">Financial / insurance services to recipients outside the EU</t>
  </si>
  <si>
    <t xml:space="preserve">Financial and insurance services (e.g. inter-company loan interest) to non-EU recipients give a right to deduct input VAT.</t>
  </si>
  <si>
    <t xml:space="preserve">FINEU</t>
  </si>
  <si>
    <t xml:space="preserve">Financial / insurance services to EU recipients (exempt, no right to deduct)</t>
  </si>
  <si>
    <t xml:space="preserve">e.g. interest on loans to EU group companies. Not in VIES and gives no right to deduct - affects the pro-rata.</t>
  </si>
  <si>
    <t xml:space="preserve">EXS</t>
  </si>
  <si>
    <t xml:space="preserve">Exempt supplies (domestic)</t>
  </si>
  <si>
    <t xml:space="preserve">Exempt supplies (e.g. financial services, insurance, letting of immovable property, medical, education). No right to deduct related input VAT.</t>
  </si>
  <si>
    <t xml:space="preserve">DRCS</t>
  </si>
  <si>
    <t xml:space="preserve">Domestic reverse-charge sales (customer accounts for VAT)</t>
  </si>
  <si>
    <t xml:space="preserve">Supplies where the Cyprus customer accounts for the VAT (construction services, scrap metals, mobile phones / laptops / consoles, precious metals, etc. - s.11B/11C). Invoice without VAT, marked 'reverse charge'.</t>
  </si>
  <si>
    <t xml:space="preserve">Domestic purchases 19% - fully recoverable</t>
  </si>
  <si>
    <t xml:space="preserve">Input</t>
  </si>
  <si>
    <t xml:space="preserve">Purchases from Cyprus suppliers with a valid VAT invoice, used for taxable (or outside-scope-with-right) supplies. Includes capital assets.</t>
  </si>
  <si>
    <t xml:space="preserve">P9</t>
  </si>
  <si>
    <t xml:space="preserve">Domestic purchases 9% - fully recoverable</t>
  </si>
  <si>
    <t xml:space="preserve">As P19 at 9%.</t>
  </si>
  <si>
    <t xml:space="preserve">P5</t>
  </si>
  <si>
    <t xml:space="preserve">Domestic purchases 5% - fully recoverable</t>
  </si>
  <si>
    <t xml:space="preserve">As P19 at 5%.</t>
  </si>
  <si>
    <t xml:space="preserve">P3</t>
  </si>
  <si>
    <t xml:space="preserve">Domestic purchases 3% - fully recoverable</t>
  </si>
  <si>
    <t xml:space="preserve">As P19 at 3%.</t>
  </si>
  <si>
    <t xml:space="preserve">PM19</t>
  </si>
  <si>
    <t xml:space="preserve">Domestic purchases 19% - mixed use (pro-rata applies)</t>
  </si>
  <si>
    <t xml:space="preserve">Overheads used for both taxable and exempt activities. Recovery = pro-rata % in Settings.</t>
  </si>
  <si>
    <t xml:space="preserve">Domestic purchases 19% - VAT not recoverable (blocked)</t>
  </si>
  <si>
    <t xml:space="preserve">Business entertainment, private use, saloon cars (subject to exceptions), costs for exempt supplies. Value in Box 7, no Box 4 claim.</t>
  </si>
  <si>
    <t xml:space="preserve">PZ</t>
  </si>
  <si>
    <t xml:space="preserve">Purchases with no VAT (zero-rated, exempt, non-registered supplier)</t>
  </si>
  <si>
    <t xml:space="preserve">e.g. insurance, bank charges, rent without VAT, purchases from non-registered suppliers.</t>
  </si>
  <si>
    <t xml:space="preserve">Acquisitions of goods from EU suppliers - 19%</t>
  </si>
  <si>
    <t xml:space="preserve">Goods received from a VAT-registered EU supplier invoicing without VAT. Self-account VAT in Box 2, recover in Box 4.</t>
  </si>
  <si>
    <t xml:space="preserve">AEG9</t>
  </si>
  <si>
    <t xml:space="preserve">Acquisitions of goods from EU suppliers - 9%</t>
  </si>
  <si>
    <t xml:space="preserve">As AEG19 at 9%.</t>
  </si>
  <si>
    <t xml:space="preserve">AEG5</t>
  </si>
  <si>
    <t xml:space="preserve">Acquisitions of goods from EU suppliers - 5%</t>
  </si>
  <si>
    <t xml:space="preserve">As AEG19 at 5%.</t>
  </si>
  <si>
    <t xml:space="preserve">AEG0</t>
  </si>
  <si>
    <t xml:space="preserve">Acquisitions of goods from EU suppliers - zero-rated goods</t>
  </si>
  <si>
    <t xml:space="preserve">Zero-rated goods acquired from the EU (value only).</t>
  </si>
  <si>
    <t xml:space="preserve">Services received from EU suppliers - reverse charge 19%</t>
  </si>
  <si>
    <t xml:space="preserve">B2B services from EU suppliers (including inter-company recharges, management fees, licences, IT from EU group companies). VAT in Box 1 and Box 4; value in Boxes 6, 7 and 11B.</t>
  </si>
  <si>
    <t xml:space="preserve">AESM</t>
  </si>
  <si>
    <t xml:space="preserve">Services received from EU suppliers - reverse charge, mixed use</t>
  </si>
  <si>
    <t xml:space="preserve">As AES19 but input recovery limited to the pro-rata % in Settings.</t>
  </si>
  <si>
    <t xml:space="preserve">Services received from non-EU suppliers - reverse charge 19%</t>
  </si>
  <si>
    <t xml:space="preserve">B2B services from third-country suppliers (e.g. US software, UK consultancy, inter-company charges from non-EU group companies). Not in Box 11B.</t>
  </si>
  <si>
    <t xml:space="preserve">A3SM</t>
  </si>
  <si>
    <t xml:space="preserve">Services received from non-EU suppliers - reverse charge, mixed use</t>
  </si>
  <si>
    <t xml:space="preserve">As A3S19 but input recovery limited to the pro-rata % in Settings.</t>
  </si>
  <si>
    <t xml:space="preserve">DRCP</t>
  </si>
  <si>
    <t xml:space="preserve">Domestic reverse-charge purchases 19% (we account for the VAT)</t>
  </si>
  <si>
    <t xml:space="preserve">Purchases under s.11B/11C (construction, scrap, phones/laptops, etc.) invoiced without VAT by a Cyprus supplier.</t>
  </si>
  <si>
    <t xml:space="preserve">Imports of goods from third countries (value)</t>
  </si>
  <si>
    <t xml:space="preserve">Value of imported goods. The import VAT paid to Customs is posted separately with code IVAT.</t>
  </si>
  <si>
    <t xml:space="preserve">Import VAT paid to / deferred with Customs (line is the VAT)</t>
  </si>
  <si>
    <t xml:space="preserve">Map the 'Import VAT' account here. The GL line amount itself is the VAT claimed in Box 4 (needs the customs import declaration).</t>
  </si>
  <si>
    <t xml:space="preserve">FOR</t>
  </si>
  <si>
    <t xml:space="preserve">Foreign VAT incurred abroad (not on the Cyprus return)</t>
  </si>
  <si>
    <t xml:space="preserve">None</t>
  </si>
  <si>
    <t xml:space="preserve">e.g. hotels or fuel abroad. Reclaim through the EU VAT refund procedure (Directive 2008/9) or the foreign country's procedure.</t>
  </si>
  <si>
    <t xml:space="preserve">Not reportable on the VAT return</t>
  </si>
  <si>
    <t xml:space="preserve">Salaries, social insurance, depreciation, dividends, bank transfers, loans principal, balance-sheet movements, VAT control accounts, corporation tax.</t>
  </si>
  <si>
    <t xml:space="preserve">TOTAL</t>
  </si>
  <si>
    <t xml:space="preserve">FX_Rates - quarterly average euro reference rates (units of currency per 1 EUR)</t>
  </si>
  <si>
    <t xml:space="preserve">Average of the ECB daily reference rates in FX_Daily (the same rates the Central Bank of Cyprus publishes). Column C overrides the average.</t>
  </si>
  <si>
    <t xml:space="preserve">Quarter average (FX_Daily)</t>
  </si>
  <si>
    <t xml:space="preserve">Manual override</t>
  </si>
  <si>
    <t xml:space="preserve">Rate used</t>
  </si>
  <si>
    <t xml:space="preserve">No. of daily rates</t>
  </si>
  <si>
    <t xml:space="preserve">First date</t>
  </si>
  <si>
    <t xml:space="preserve">Last date</t>
  </si>
  <si>
    <t xml:space="preserve">Source / date retrieved</t>
  </si>
  <si>
    <t xml:space="preserve">EXAMPLE - run the fx command to download the real rates</t>
  </si>
  <si>
    <t xml:space="preserve">GBP</t>
  </si>
  <si>
    <t xml:space="preserve">FX_Daily - ECB euro foreign exchange reference rates (units per 1 EUR)</t>
  </si>
  <si>
    <t xml:space="preserve">Written by the fx command. Business days only (no rates on weekends / TARGET holidays).</t>
  </si>
  <si>
    <t xml:space="preserve">VAT 4 - Cyprus VAT return</t>
  </si>
  <si>
    <t xml:space="preserve">Transfer the amounts in column C to the VAT 4 return on the Tax For All (TFA) portal. Amounts in EUR.</t>
  </si>
  <si>
    <t xml:space="preserve">Company</t>
  </si>
  <si>
    <t xml:space="preserve">VAT number</t>
  </si>
  <si>
    <t xml:space="preserve">Period from</t>
  </si>
  <si>
    <t xml:space="preserve">Period to</t>
  </si>
  <si>
    <t xml:space="preserve">Return and payment due by</t>
  </si>
  <si>
    <t xml:space="preserve">Box</t>
  </si>
  <si>
    <t xml:space="preserve">Description (VAT 4)</t>
  </si>
  <si>
    <t xml:space="preserve">Amount EUR</t>
  </si>
  <si>
    <t xml:space="preserve">What this box must include</t>
  </si>
  <si>
    <t xml:space="preserve">Fed by VAT codes</t>
  </si>
  <si>
    <t xml:space="preserve">1</t>
  </si>
  <si>
    <t xml:space="preserve">VAT due in this period on sales and other outputs</t>
  </si>
  <si>
    <t xml:space="preserve">Output VAT on domestic taxable supplies (19%, 9%, 5%, 3%) PLUS the VAT you self-account under the reverse charge on services received from abroad (EU and non-EU) and on domestic reverse-charge purchases. Credit notes issued reduce this box.</t>
  </si>
  <si>
    <t xml:space="preserve">S19, S9, S5, S3, AES19, AESM, A3S19, A3SM, DRCP</t>
  </si>
  <si>
    <t xml:space="preserve">2</t>
  </si>
  <si>
    <t xml:space="preserve">VAT due in this period on acquisitions from other EU Member States</t>
  </si>
  <si>
    <t xml:space="preserve">VAT self-accounted on goods (and related services) acquired from VAT-registered suppliers in other EU member states.</t>
  </si>
  <si>
    <t xml:space="preserve">AEG19, AEG9, AEG5</t>
  </si>
  <si>
    <t xml:space="preserve">3</t>
  </si>
  <si>
    <t xml:space="preserve">Total VAT due (sum of Boxes 1 and 2)</t>
  </si>
  <si>
    <t xml:space="preserve">Calculated: Box 1 + Box 2.</t>
  </si>
  <si>
    <t xml:space="preserve">Box 1 + Box 2</t>
  </si>
  <si>
    <t xml:space="preserve">4</t>
  </si>
  <si>
    <t xml:space="preserve">VAT reclaimed in this period on purchases and other inputs (including acquisitions from the EU)</t>
  </si>
  <si>
    <t xml:space="preserve">Deductible input VAT on domestic purchases and capital goods, import VAT paid to Customs, and the reverse-charge VAT of Boxes 1 and 2 to the extent it is deductible. Exclude blocked VAT (entertainment, private use, saloon cars, VAT on exempt activities) and foreign VAT. Mixed-use costs at the pro-rata %.</t>
  </si>
  <si>
    <t xml:space="preserve">P19, P9, P5, P3, PM19 (pro-rata), AEG*, AES19, AESM (pro-rata), A3S19, A3SM (pro-rata), DRCP, IVAT</t>
  </si>
  <si>
    <t xml:space="preserve">5</t>
  </si>
  <si>
    <t xml:space="preserve">Net VAT to be paid or reclaimed (difference between Boxes 3 and 4)</t>
  </si>
  <si>
    <t xml:space="preserve">Calculated: Box 3 - Box 4. Positive = payable by the due date; negative = credit carried forward / refund claim.</t>
  </si>
  <si>
    <t xml:space="preserve">Box 3 - Box 4</t>
  </si>
  <si>
    <t xml:space="preserve">6</t>
  </si>
  <si>
    <t xml:space="preserve">Total value of sales and other outputs excluding any VAT</t>
  </si>
  <si>
    <t xml:space="preserve">All outputs excluding VAT: domestic taxable, zero-rated, exempt, exports, EU supplies, outside-scope supplies, domestic reverse-charge sales. Must include the values in Boxes 8A, 8B, 9, 10 and 11B, and the value of services received from outside the EU under the reverse charge.</t>
  </si>
  <si>
    <t xml:space="preserve">S*, Z0, EXPG, EUG, EUS, TRI, OS3, OSS, FIN3, FINEU, EXS, DRCS, AES*, A3S*</t>
  </si>
  <si>
    <t xml:space="preserve">7</t>
  </si>
  <si>
    <t xml:space="preserve">Total value of purchases and other inputs excluding any VAT</t>
  </si>
  <si>
    <t xml:space="preserve">All purchases and expenses (including capital goods) excluding VAT: domestic, imports, EU acquisitions of goods (11A), services received from abroad (11B and non-EU). Exclude salaries, depreciation, dividends, loans and other non-supplies.</t>
  </si>
  <si>
    <t xml:space="preserve">P*, PM19, PB19, PZ, AEG*, AES*, A3S*, DRCP, IMP</t>
  </si>
  <si>
    <t xml:space="preserve">8A</t>
  </si>
  <si>
    <t xml:space="preserve">Total value of supplies of goods to other EU Member States</t>
  </si>
  <si>
    <t xml:space="preserve">Intra-community supplies of goods to VAT-registered customers in other member states (0%). Must agree with the goods lines of the VIES statements for the quarter.</t>
  </si>
  <si>
    <t xml:space="preserve">8B</t>
  </si>
  <si>
    <t xml:space="preserve">Total value of services supplied to other EU Member States (general rule)</t>
  </si>
  <si>
    <t xml:space="preserve">B2B services to EU taxable persons where the customer accounts for the VAT (reverse charge). Must agree with the services lines of the VIES statements.</t>
  </si>
  <si>
    <t xml:space="preserve">9</t>
  </si>
  <si>
    <t xml:space="preserve">Total value of outputs at zero rate (other than those in Boxes 8A and 8B)</t>
  </si>
  <si>
    <t xml:space="preserve">Exports of goods outside the EU and other zero-rated supplies.</t>
  </si>
  <si>
    <t xml:space="preserve">EXPG, Z0</t>
  </si>
  <si>
    <t xml:space="preserve">10</t>
  </si>
  <si>
    <t xml:space="preserve">Total value of out-of-scope sales with the right to deduct input VAT</t>
  </si>
  <si>
    <t xml:space="preserve">Services to non-EU customers whose place of supply is outside Cyprus, financial/insurance services to non-EU recipients, triangular transactions, OSS sales.</t>
  </si>
  <si>
    <t xml:space="preserve">OS3, FIN3, TRI, OSS</t>
  </si>
  <si>
    <t xml:space="preserve">11A</t>
  </si>
  <si>
    <t xml:space="preserve">Total value of acquisitions of goods and related services from other EU Member States</t>
  </si>
  <si>
    <t xml:space="preserve">Value (excluding VAT) of goods acquired from EU suppliers. Also included in Box 7.</t>
  </si>
  <si>
    <t xml:space="preserve">AEG19, AEG9, AEG5, AEG0</t>
  </si>
  <si>
    <t xml:space="preserve">11B</t>
  </si>
  <si>
    <t xml:space="preserve">Total value of services received from other EU Member States (reverse charge)</t>
  </si>
  <si>
    <t xml:space="preserve">Value (excluding VAT) of B2B services received from EU suppliers. Also included in Boxes 6 and 7.</t>
  </si>
  <si>
    <t xml:space="preserve">AES19, AESM</t>
  </si>
  <si>
    <t xml:space="preserve">Result</t>
  </si>
  <si>
    <t xml:space="preserve">Payable: pay through TFA / JCC by the due date. Credit: carried forward, or refund claim where conditions are met.</t>
  </si>
  <si>
    <t xml:space="preserve">Exceptions outstanding (see Checks)</t>
  </si>
  <si>
    <t xml:space="preserve">Must be 0 before filing.</t>
  </si>
  <si>
    <t xml:space="preserve">Sign-off</t>
  </si>
  <si>
    <t xml:space="preserve">Prepared by / date</t>
  </si>
  <si>
    <t xml:space="preserve">Reviewed by / date</t>
  </si>
  <si>
    <t xml:space="preserve">Submitted on TFA (date / ref.)</t>
  </si>
  <si>
    <t xml:space="preserve">Paid (date / amount)</t>
  </si>
  <si>
    <t xml:space="preserve">IC_Analysis - inter-company vs third-party, Cyprus / EU / third countries (return value EUR, excl. VAT)</t>
  </si>
  <si>
    <t xml:space="preserve">Use it to confirm every inter-company flow has the right treatment: EU group = EUS / AES19, non-EU group = OS3 / A3S19.</t>
  </si>
  <si>
    <t xml:space="preserve">Inter-company - CY</t>
  </si>
  <si>
    <t xml:space="preserve">Inter-company - EU</t>
  </si>
  <si>
    <t xml:space="preserve">Inter-company - 3RD</t>
  </si>
  <si>
    <t xml:space="preserve">Third party - CY</t>
  </si>
  <si>
    <t xml:space="preserve">Third party - EU</t>
  </si>
  <si>
    <t xml:space="preserve">Third party - 3RD</t>
  </si>
  <si>
    <t xml:space="preserve">No country</t>
  </si>
  <si>
    <t xml:space="preserve">Total</t>
  </si>
  <si>
    <t xml:space="preserve">Agrees to VAT_Codes</t>
  </si>
  <si>
    <t xml:space="preserve">Summary by nature</t>
  </si>
  <si>
    <t xml:space="preserve">Total outputs</t>
  </si>
  <si>
    <t xml:space="preserve">Total inputs</t>
  </si>
  <si>
    <t xml:space="preserve">VIES - recapitulative statement amounts per EU customer (EUR)</t>
  </si>
  <si>
    <t xml:space="preserve">Filed monthly by the 15th of the following month. Rows follow the Counterparties list; filter Total &lt;&gt; 0.</t>
  </si>
  <si>
    <t xml:space="preserve">IC</t>
  </si>
  <si>
    <t xml:space="preserve">Goods M1</t>
  </si>
  <si>
    <t xml:space="preserve">Goods M2</t>
  </si>
  <si>
    <t xml:space="preserve">Goods M3</t>
  </si>
  <si>
    <t xml:space="preserve">Triang. M1</t>
  </si>
  <si>
    <t xml:space="preserve">Triang. M2</t>
  </si>
  <si>
    <t xml:space="preserve">Triang. M3</t>
  </si>
  <si>
    <t xml:space="preserve">Services M1</t>
  </si>
  <si>
    <t xml:space="preserve">Services M2</t>
  </si>
  <si>
    <t xml:space="preserve">Services M3</t>
  </si>
  <si>
    <t xml:space="preserve">VAT no. check</t>
  </si>
  <si>
    <t xml:space="preserve">Reconciliation - VAT return vs GL VAT control accounts (EUR)</t>
  </si>
  <si>
    <t xml:space="preserve">VAT control account codes are set in Settings. GL movements are for the lines in GL_Input (the quarter).</t>
  </si>
  <si>
    <t xml:space="preserve">A. Output VAT</t>
  </si>
  <si>
    <t xml:space="preserve">Box 1 per return</t>
  </si>
  <si>
    <t xml:space="preserve">Less: reverse-charge VAT self-accounted in Box 1 (services from abroad, domestic reverse charge)</t>
  </si>
  <si>
    <t xml:space="preserve">Add: Box 2 (acquisitions of goods) if booked in the output VAT account</t>
  </si>
  <si>
    <t xml:space="preserve">Only when reverse-charge VAT is posted in the GL (Settings C11 = Y).</t>
  </si>
  <si>
    <t xml:space="preserve">Add back reverse-charge VAT if booked in the GL VAT accounts</t>
  </si>
  <si>
    <t xml:space="preserve">Output VAT expected in the GL</t>
  </si>
  <si>
    <t xml:space="preserve">GL output VAT control accounts - net credit movement</t>
  </si>
  <si>
    <t xml:space="preserve">Credit movements shown positive.</t>
  </si>
  <si>
    <t xml:space="preserve">Difference</t>
  </si>
  <si>
    <t xml:space="preserve">Status</t>
  </si>
  <si>
    <t xml:space="preserve">Typical causes: wrong account, VAT rate errors, invoices outside period, manual journals.</t>
  </si>
  <si>
    <t xml:space="preserve">B. Input VAT</t>
  </si>
  <si>
    <t xml:space="preserve">Box 4 per return</t>
  </si>
  <si>
    <t xml:space="preserve">Less: reclaimable reverse-charge VAT on services / domestic reverse charge</t>
  </si>
  <si>
    <t xml:space="preserve">Less: reclaimable VAT on EU acquisitions of goods (Box 2)</t>
  </si>
  <si>
    <t xml:space="preserve">Less: import VAT (IVAT - separate account)</t>
  </si>
  <si>
    <t xml:space="preserve">Input VAT expected in the GL</t>
  </si>
  <si>
    <t xml:space="preserve">GL input VAT control accounts - net debit movement</t>
  </si>
  <si>
    <t xml:space="preserve">Blocked / irrecoverable VAT should be expensed, not left in the input VAT account.</t>
  </si>
  <si>
    <t xml:space="preserve">C. Values</t>
  </si>
  <si>
    <t xml:space="preserve">Box 6 must be at least Boxes 8A + 8B + 9 + 10 + 11B</t>
  </si>
  <si>
    <t xml:space="preserve">Box 7 must be at least Boxes 11A + 11B</t>
  </si>
  <si>
    <t xml:space="preserve">Total sales per GL (all output codes) vs Box 6</t>
  </si>
  <si>
    <t xml:space="preserve">Should be 0 (Box 6 also contains the reverse-charge services values).</t>
  </si>
  <si>
    <t xml:space="preserve">Checks - exception report</t>
  </si>
  <si>
    <t xml:space="preserve">Every line must be 0 / OK before the return is filed.</t>
  </si>
  <si>
    <t xml:space="preserve">What to do</t>
  </si>
  <si>
    <t xml:space="preserve">GL lines with no VAT code (map the account or override in column K)</t>
  </si>
  <si>
    <t xml:space="preserve">Filter GL_Input column Z.</t>
  </si>
  <si>
    <t xml:space="preserve">GL lines with a code not in VAT_Codes</t>
  </si>
  <si>
    <t xml:space="preserve">GL lines with a missing FX rate</t>
  </si>
  <si>
    <t xml:space="preserve">Run the fx command or enter a manual override in FX_Rates.</t>
  </si>
  <si>
    <t xml:space="preserve">GL lines dated outside the VAT period</t>
  </si>
  <si>
    <t xml:space="preserve">Remove them or confirm the tax point is in this quarter.</t>
  </si>
  <si>
    <t xml:space="preserve">GL lines needing a counterparty country (EU / 3rd-country codes)</t>
  </si>
  <si>
    <t xml:space="preserve">Add the counterparty code in GL column F and its country in Counterparties.</t>
  </si>
  <si>
    <t xml:space="preserve">GL lines where the code does not fit the counterparty's region</t>
  </si>
  <si>
    <t xml:space="preserve">e.g. EUS on a US customer, A3S19 on a German supplier.</t>
  </si>
  <si>
    <t xml:space="preserve">Accounts in Account_Mapping without a VAT code</t>
  </si>
  <si>
    <t xml:space="preserve">GL accounts missing from Account_Mapping</t>
  </si>
  <si>
    <t xml:space="preserve">Run import-gl again or add the accounts.</t>
  </si>
  <si>
    <t xml:space="preserve">Counterparties used in the GL without a country</t>
  </si>
  <si>
    <t xml:space="preserve">EU customers in VIES without a VAT number / not in the EU</t>
  </si>
  <si>
    <t xml:space="preserve">VIES goods total less Box 8A</t>
  </si>
  <si>
    <t xml:space="preserve">Should be 0.</t>
  </si>
  <si>
    <t xml:space="preserve">VIES services total less Box 8B</t>
  </si>
  <si>
    <t xml:space="preserve">Output VAT reconciliation</t>
  </si>
  <si>
    <t xml:space="preserve">Input VAT reconciliation</t>
  </si>
  <si>
    <t xml:space="preserve">Box 6 / Box 7 completeness</t>
  </si>
  <si>
    <t xml:space="preserve">Exchange rates still the EXAMPLE placeholders</t>
  </si>
  <si>
    <t xml:space="preserve">Run the fx command (or enter manual overrides and change the note).</t>
  </si>
  <si>
    <t xml:space="preserve">Inter-company analysis agrees to VAT_Codes</t>
  </si>
  <si>
    <t xml:space="preserve">TOTAL OPEN EXCEPTIONS</t>
  </si>
  <si>
    <t xml:space="preserve">Legal_Notes - Cyprus VAT rules used in this working (as at October 2026)</t>
  </si>
  <si>
    <t xml:space="preserve">Summary for preparation purposes only. Check the current law and Tax Department announcements every quarter.</t>
  </si>
  <si>
    <t xml:space="preserve">Law</t>
  </si>
  <si>
    <t xml:space="preserve">Value Added Tax Law N.95(I)/2000 as amended, and the regulations / decisions issued under it; EU VAT Directive 2006/112/EC; Implementing Regulation 282/2011.</t>
  </si>
  <si>
    <t xml:space="preserve">VAT rates</t>
  </si>
  <si>
    <t xml:space="preserve">19% standard rate - all supplies not covered by a reduced, zero or exempt schedule.</t>
  </si>
  <si>
    <t xml:space="preserve">9% reduced rate - e.g. hotel accommodation, restaurant and catering services (excluding alcoholic drinks, beer, wine, soft drinks), certain passenger transport.</t>
  </si>
  <si>
    <t xml:space="preserve">5% reduced rate - e.g. foodstuffs, water, pharmaceuticals, vaccines, books (where not 3%), qualifying first residence (with conditions amended from 1 September 2026), renovation of private homes over 3 years old.</t>
  </si>
  <si>
    <t xml:space="preserve">3% super-reduced rate - e.g. books, newspapers and periodicals, and some other items introduced in 2023.</t>
  </si>
  <si>
    <t xml:space="preserve">0% - exports, intra-EU supplies of goods, qualifying ships / aircraft supplies, and items temporarily zero-rated by decree (several temporary zero rates on basic goods run through 2026-2027 - check the current decree for each item).</t>
  </si>
  <si>
    <t xml:space="preserve">Filing and payment</t>
  </si>
  <si>
    <t xml:space="preserve">Quarterly VAT 4 return and payment due by the 10th day of the second month after the end of the quarter (e.g. Q3 Jul-Sep: 10 November). Filed electronically on the Tax For All (TFA) portal.</t>
  </si>
  <si>
    <t xml:space="preserve">VIES recapitulative statement: monthly, by the 15th day after the end of each month in which intra-EU supplies of goods or general-rule B2B services were made. Corrections within one month.</t>
  </si>
  <si>
    <t xml:space="preserve">Intrastat (Statistical Service) is separate and applies when intra-EU goods flows exceed the annual thresholds.</t>
  </si>
  <si>
    <t xml:space="preserve">Penalties (summary - verify the current amounts)</t>
  </si>
  <si>
    <t xml:space="preserve">Late return: EUR 100 per return. Late payment: additional tax of 10% of the VAT due plus interest at the public-interest rate set by the Minister of Finance. Late VIES statement: EUR 50; incorrect VIES not corrected: EUR 15. Failure to apply the reverse charge: reported as EUR 200 per period up to EUR 4,000 (secondary sources - verify).</t>
  </si>
  <si>
    <t xml:space="preserve">Place of supply of services and reverse charge</t>
  </si>
  <si>
    <t xml:space="preserve">B2B general rule (s.14 / Art. 44): services are supplied where the customer is established. Cyprus company -&gt; EU business customer: no Cyprus VAT, Box 6 + 8B + VIES, invoice marked 'Reverse charge'. Cyprus company -&gt; non-EU business customer: outside scope with right to deduct, Box 6 + 10.</t>
  </si>
  <si>
    <t xml:space="preserve">Services received by the Cyprus company from abroad (EU or non-EU) under the general rule: the Cyprus company self-accounts for VAT at the Cyprus rate (reverse charge, s.11): VAT in Box 1, deductible part in Box 4, value in Box 6 and Box 7; services from EU suppliers also in Box 11B.</t>
  </si>
  <si>
    <t xml:space="preserve">Inter-company transactions are normal supplies for VAT (management fees, cost recharges, IT / licence fees, guarantees, secondments). Recharges at cost are still supplies. Inter-company loans: interest is an exempt financial service - to EU recipients: Box 6 only (no right to deduct); to non-EU recipients: Box 6 + 10 (with right to deduct). Dividends are outside the scope - not reported.</t>
  </si>
  <si>
    <t xml:space="preserve">Exceptions to the general rule (check case by case): services connected with immovable property (where the property is), passenger transport, admission to events, restaurant/catering, short-term hire of means of transport, B2C supplies.</t>
  </si>
  <si>
    <t xml:space="preserve">Goods</t>
  </si>
  <si>
    <t xml:space="preserve">Intra-EU supply (0%): customer VAT number valid on VIES, goods leave Cyprus, evidence of transport (Art. 45a Reg. 282/2011), included in VIES. Otherwise Cyprus VAT applies.</t>
  </si>
  <si>
    <t xml:space="preserve">Acquisition from an EU supplier: self-account VAT in Box 2, recover in Box 4, value in Boxes 7 and 11A.</t>
  </si>
  <si>
    <t xml:space="preserve">Imports from third countries: import VAT is paid to / accounted with Customs (customs declaration is the evidence); recovered in Box 4, goods value in Box 7. Exports: 0%, Boxes 6 and 9, keep export evidence.</t>
  </si>
  <si>
    <t xml:space="preserve">Domestic reverse charge (s.11B / 11C and related decrees)</t>
  </si>
  <si>
    <t xml:space="preserve">The Cyprus customer accounts for the VAT on, among others: construction and related works to a taxable person, scrap and used metals, mobile phones, integrated-circuit devices, game consoles, tablets and laptops, raw and semi-finished precious metals, gas and electricity from non-established suppliers, and immovable property transferred in a loan restructuring. The supplier invoices without VAT.</t>
  </si>
  <si>
    <t xml:space="preserve">Input VAT - not deductible</t>
  </si>
  <si>
    <t xml:space="preserve">Business entertainment (except staff entertainment in specific cases), private / non-business use, saloon cars (purchase, hire, with limited exceptions) and their fuel where not wholly business, costs relating to exempt supplies without right to deduct, VAT without a valid tax invoice / import document, foreign VAT. Mixed-use costs: provisional pro-rata during the year, annual adjustment in the last return of the year.</t>
  </si>
  <si>
    <t xml:space="preserve">Exchange rates</t>
  </si>
  <si>
    <t xml:space="preserve">Art. 91(2) VAT Directive: foreign-currency amounts are converted at the latest selling rate of the most representative exchange market, or the latest ECB rate, at the time VAT becomes chargeable. The ECB euro reference rates are published daily (around 16:00 CET) and republished by the Central Bank of Cyprus. This working uses the quarterly average of those rates as a practical simplification - confirm acceptance with your adviser. Where an invoice already states the VAT in EUR, that amount should be used (enter it in GL_Input column J / L).</t>
  </si>
  <si>
    <t xml:space="preserve">Record keeping</t>
  </si>
  <si>
    <t xml:space="preserve">Keep invoices, customs documents, VIES evidence and this working for at least 6 years.</t>
  </si>
  <si>
    <t xml:space="preserve">Sources</t>
  </si>
  <si>
    <t xml:space="preserve">Cyprus Tax Department - VAT guide 'Fill in your VAT Return': https://www.mof.gov.cy/mof/tax/taxdep.nsf (VAT &gt; Guides)</t>
  </si>
  <si>
    <t xml:space="preserve">Cyprus Tax Department - VAT legislation and announcements: https://www.mof.gov.cy/mof/tax/taxdep.nsf</t>
  </si>
  <si>
    <t xml:space="preserve">Central Bank of Cyprus - euro reference rates: https://www.centralbank.cy/en/rates/euro-reference-rates</t>
  </si>
  <si>
    <t xml:space="preserve">European Central Bank - euro foreign exchange reference rates / data API: https://data.ecb.europa.eu/</t>
  </si>
  <si>
    <t xml:space="preserve">PwC Worldwide Tax Summaries - Cyprus, Other taxes: https://taxsummaries.pwc.com/cyprus/corporate/other-taxes</t>
  </si>
  <si>
    <t xml:space="preserve">KPMG - Cyprus reduced VAT rates for certain goods and services (2023): https://kpmg.com/us/en/home/insights/2023/07/tnf-cyprus-reduced-vat-rates-certain-goods-services.html</t>
  </si>
  <si>
    <t xml:space="preserve">EU VIES VAT number validation: https://ec.europa.eu/taxation_customs/vies/</t>
  </si>
  <si>
    <t xml:space="preserve">Lists - EU member states (other than Cyprus)</t>
  </si>
  <si>
    <t xml:space="preserve">Any country code not listed here (and not CY) is treated as a third country.</t>
  </si>
  <si>
    <t xml:space="preserve">ISO code</t>
  </si>
  <si>
    <t xml:space="preserve">Member state</t>
  </si>
  <si>
    <t xml:space="preserve">AT</t>
  </si>
  <si>
    <t xml:space="preserve">Austria</t>
  </si>
  <si>
    <t xml:space="preserve">BE</t>
  </si>
  <si>
    <t xml:space="preserve">Belgium</t>
  </si>
  <si>
    <t xml:space="preserve">BG</t>
  </si>
  <si>
    <t xml:space="preserve">Bulgaria</t>
  </si>
  <si>
    <t xml:space="preserve">HR</t>
  </si>
  <si>
    <t xml:space="preserve">Croatia</t>
  </si>
  <si>
    <t xml:space="preserve">CZ</t>
  </si>
  <si>
    <t xml:space="preserve">Czechia</t>
  </si>
  <si>
    <t xml:space="preserve">DK</t>
  </si>
  <si>
    <t xml:space="preserve">Denmark</t>
  </si>
  <si>
    <t xml:space="preserve">EE</t>
  </si>
  <si>
    <t xml:space="preserve">Estonia</t>
  </si>
  <si>
    <t xml:space="preserve">FI</t>
  </si>
  <si>
    <t xml:space="preserve">Finland</t>
  </si>
  <si>
    <t xml:space="preserve">FR</t>
  </si>
  <si>
    <t xml:space="preserve">France</t>
  </si>
  <si>
    <t xml:space="preserve">Germany</t>
  </si>
  <si>
    <t xml:space="preserve">GR</t>
  </si>
  <si>
    <t xml:space="preserve">Greece</t>
  </si>
  <si>
    <t xml:space="preserve">EL</t>
  </si>
  <si>
    <t xml:space="preserve">Greece (VIES prefix)</t>
  </si>
  <si>
    <t xml:space="preserve">HU</t>
  </si>
  <si>
    <t xml:space="preserve">Hungary</t>
  </si>
  <si>
    <t xml:space="preserve">IE</t>
  </si>
  <si>
    <t xml:space="preserve">Ireland</t>
  </si>
  <si>
    <t xml:space="preserve">Italy</t>
  </si>
  <si>
    <t xml:space="preserve">LV</t>
  </si>
  <si>
    <t xml:space="preserve">Latvia</t>
  </si>
  <si>
    <t xml:space="preserve">LT</t>
  </si>
  <si>
    <t xml:space="preserve">Lithuania</t>
  </si>
  <si>
    <t xml:space="preserve">LU</t>
  </si>
  <si>
    <t xml:space="preserve">Luxembourg</t>
  </si>
  <si>
    <t xml:space="preserve">MT</t>
  </si>
  <si>
    <t xml:space="preserve">Malta</t>
  </si>
  <si>
    <t xml:space="preserve">Netherlands</t>
  </si>
  <si>
    <t xml:space="preserve">PL</t>
  </si>
  <si>
    <t xml:space="preserve">Poland</t>
  </si>
  <si>
    <t xml:space="preserve">PT</t>
  </si>
  <si>
    <t xml:space="preserve">Portugal</t>
  </si>
  <si>
    <t xml:space="preserve">RO</t>
  </si>
  <si>
    <t xml:space="preserve">Romania</t>
  </si>
  <si>
    <t xml:space="preserve">SK</t>
  </si>
  <si>
    <t xml:space="preserve">Slovakia</t>
  </si>
  <si>
    <t xml:space="preserve">SI</t>
  </si>
  <si>
    <t xml:space="preserve">Slovenia</t>
  </si>
  <si>
    <t xml:space="preserve">ES</t>
  </si>
  <si>
    <t xml:space="preserve">Spain</t>
  </si>
  <si>
    <t xml:space="preserve">SE</t>
  </si>
  <si>
    <t xml:space="preserve">Sweden</t>
  </si>
  <si>
    <t xml:space="preserve">XI</t>
  </si>
  <si>
    <t xml:space="preserve">Northern Ireland (goods only)</t>
  </si>
  <si>
    <t xml:space="preserve">Note: the UK (GB) is a third country since 1.1.2021 (Northern Ireland - XI - stays in the EU VAT area for goods only).</t>
  </si>
</sst>
</file>

<file path=xl/styles.xml><?xml version="1.0" encoding="utf-8"?>
<styleSheet xmlns="http://schemas.openxmlformats.org/spreadsheetml/2006/main">
  <numFmts count="7">
    <numFmt numFmtId="164" formatCode="General"/>
    <numFmt numFmtId="165" formatCode="dd/mm/yyyy"/>
    <numFmt numFmtId="166" formatCode="0.0%"/>
    <numFmt numFmtId="167" formatCode="#,##0.00;\(#,##0.00\);\-"/>
    <numFmt numFmtId="168" formatCode="0.0000"/>
    <numFmt numFmtId="169" formatCode="General"/>
    <numFmt numFmtId="170" formatCode="#,##0.00;\-#,##0.00;0"/>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1"/>
      <color rgb="FF1F3864"/>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FFFFFF"/>
      <name val="Arial"/>
      <family val="0"/>
      <charset val="1"/>
    </font>
    <font>
      <sz val="10"/>
      <color rgb="FF008000"/>
      <name val="Arial"/>
      <family val="0"/>
      <charset val="1"/>
    </font>
    <font>
      <b val="true"/>
      <sz val="11"/>
      <name val="Arial"/>
      <family val="0"/>
      <charset val="1"/>
    </font>
  </fonts>
  <fills count="8">
    <fill>
      <patternFill patternType="none"/>
    </fill>
    <fill>
      <patternFill patternType="gray125"/>
    </fill>
    <fill>
      <patternFill patternType="solid">
        <fgColor rgb="FFFFFF99"/>
        <bgColor rgb="FFFCE4D6"/>
      </patternFill>
    </fill>
    <fill>
      <patternFill patternType="solid">
        <fgColor rgb="FFF2F2F2"/>
        <bgColor rgb="FFDDEBF7"/>
      </patternFill>
    </fill>
    <fill>
      <patternFill patternType="solid">
        <fgColor rgb="FF1F3864"/>
        <bgColor rgb="FF333333"/>
      </patternFill>
    </fill>
    <fill>
      <patternFill patternType="solid">
        <fgColor rgb="FF595959"/>
        <bgColor rgb="FF333333"/>
      </patternFill>
    </fill>
    <fill>
      <patternFill patternType="solid">
        <fgColor rgb="FFFCE4D6"/>
        <bgColor rgb="FFF2F2F2"/>
      </patternFill>
    </fill>
    <fill>
      <patternFill patternType="solid">
        <fgColor rgb="FFDDEBF7"/>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9" fillId="2" borderId="1" xfId="0" applyFont="true" applyBorder="true" applyAlignment="false" applyProtection="false">
      <alignment horizontal="general" vertical="bottom" textRotation="0" wrapText="false" indent="0" shrinkToFit="false"/>
      <protection locked="true" hidden="false"/>
    </xf>
    <xf numFmtId="166" fontId="9" fillId="2"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5" fontId="9" fillId="6" borderId="0" xfId="0" applyFont="true" applyBorder="false" applyAlignment="false" applyProtection="false">
      <alignment horizontal="general" vertical="bottom" textRotation="0" wrapText="false" indent="0" shrinkToFit="false"/>
      <protection locked="true" hidden="false"/>
    </xf>
    <xf numFmtId="164" fontId="9" fillId="6" borderId="0" xfId="0" applyFont="true" applyBorder="false" applyAlignment="false" applyProtection="false">
      <alignment horizontal="general" vertical="bottom" textRotation="0" wrapText="false" indent="0" shrinkToFit="false"/>
      <protection locked="true" hidden="false"/>
    </xf>
    <xf numFmtId="167" fontId="9" fillId="6"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9" fillId="6"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7" fontId="11" fillId="3" borderId="1" xfId="0" applyFont="true" applyBorder="true" applyAlignment="false" applyProtection="false">
      <alignment horizontal="general" vertical="bottom" textRotation="0" wrapText="false" indent="0" shrinkToFit="false"/>
      <protection locked="true" hidden="false"/>
    </xf>
    <xf numFmtId="167" fontId="7" fillId="3" borderId="1" xfId="0" applyFont="true" applyBorder="true" applyAlignment="false" applyProtection="false">
      <alignment horizontal="general" vertical="bottom" textRotation="0" wrapText="false" indent="0" shrinkToFit="false"/>
      <protection locked="true" hidden="false"/>
    </xf>
    <xf numFmtId="169" fontId="11" fillId="3" borderId="1" xfId="0" applyFont="true" applyBorder="true" applyAlignment="false" applyProtection="false">
      <alignment horizontal="general" vertical="bottom" textRotation="0" wrapText="false" indent="0" shrinkToFit="false"/>
      <protection locked="true" hidden="false"/>
    </xf>
    <xf numFmtId="166" fontId="11" fillId="3"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7" fontId="8" fillId="7" borderId="1" xfId="0" applyFont="true" applyBorder="true" applyAlignment="false" applyProtection="false">
      <alignment horizontal="general" vertical="bottom" textRotation="0" wrapText="false" indent="0" shrinkToFit="false"/>
      <protection locked="true" hidden="false"/>
    </xf>
    <xf numFmtId="169" fontId="8" fillId="7" borderId="1" xfId="0" applyFont="true" applyBorder="true" applyAlignment="false" applyProtection="false">
      <alignment horizontal="general" vertical="bottom" textRotation="0" wrapText="false" indent="0" shrinkToFit="false"/>
      <protection locked="true" hidden="false"/>
    </xf>
    <xf numFmtId="168" fontId="11" fillId="3" borderId="1" xfId="0" applyFont="true" applyBorder="true" applyAlignment="false" applyProtection="false">
      <alignment horizontal="general" vertical="bottom" textRotation="0" wrapText="false" indent="0" shrinkToFit="false"/>
      <protection locked="true" hidden="false"/>
    </xf>
    <xf numFmtId="168" fontId="9" fillId="2" borderId="1" xfId="0" applyFont="true" applyBorder="true" applyAlignment="false" applyProtection="false">
      <alignment horizontal="general" vertical="bottom" textRotation="0" wrapText="false" indent="0" shrinkToFit="false"/>
      <protection locked="true" hidden="false"/>
    </xf>
    <xf numFmtId="168" fontId="8" fillId="7"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9" fillId="6" borderId="1" xfId="0" applyFont="true" applyBorder="true" applyAlignment="false" applyProtection="false">
      <alignment horizontal="general" vertical="bottom" textRotation="0" wrapText="false" indent="0" shrinkToFit="false"/>
      <protection locked="true" hidden="false"/>
    </xf>
    <xf numFmtId="168" fontId="9" fillId="6"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left" vertical="bottom" textRotation="0" wrapText="false" indent="0" shrinkToFit="false"/>
      <protection locked="true" hidden="false"/>
    </xf>
    <xf numFmtId="165" fontId="11" fillId="0" borderId="1" xfId="0" applyFont="true" applyBorder="true" applyAlignment="true" applyProtection="false">
      <alignment horizontal="left" vertical="bottom" textRotation="0" wrapText="false" indent="0" shrinkToFit="false"/>
      <protection locked="true" hidden="false"/>
    </xf>
    <xf numFmtId="164" fontId="12" fillId="7"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7" fontId="12" fillId="7"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9" fontId="11" fillId="7"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70" fontId="11"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fgColor rgb="FFFCE4D6"/>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595959"/>
          <bgColor rgb="FF000000"/>
        </patternFill>
      </fill>
    </dxf>
    <dxf>
      <font>
        <name val="Arial"/>
        <charset val="1"/>
        <family val="0"/>
        <b val="1"/>
        <color rgb="FF9C0006"/>
      </font>
      <fill>
        <patternFill>
          <bgColor rgb="FFF8CBAD"/>
        </patternFill>
      </fill>
    </dxf>
    <dxf>
      <fill>
        <patternFill>
          <bgColor rgb="FFF8CBAD"/>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FCE4D6"/>
      <rgbColor rgb="FFFFFF99"/>
      <rgbColor rgb="FF99CCFF"/>
      <rgbColor rgb="FFFF99CC"/>
      <rgbColor rgb="FFCC99FF"/>
      <rgbColor rgb="FFF8CBAD"/>
      <rgbColor rgb="FF3366FF"/>
      <rgbColor rgb="FF33CCCC"/>
      <rgbColor rgb="FF99CC00"/>
      <rgbColor rgb="FFFFC000"/>
      <rgbColor rgb="FFFF9900"/>
      <rgbColor rgb="FFFF6600"/>
      <rgbColor rgb="FF595959"/>
      <rgbColor rgb="FF969696"/>
      <rgbColor rgb="FF1F3864"/>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B5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5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B4" s="3" t="s">
        <v>2</v>
      </c>
    </row>
    <row r="5" customFormat="false" ht="55.5" hidden="false" customHeight="true" outlineLevel="0" collapsed="false">
      <c r="B5" s="4" t="s">
        <v>3</v>
      </c>
    </row>
    <row r="6" customFormat="false" ht="15" hidden="false" customHeight="false" outlineLevel="0" collapsed="false">
      <c r="B6" s="4" t="s">
        <v>4</v>
      </c>
    </row>
    <row r="8" customFormat="false" ht="15" hidden="false" customHeight="false" outlineLevel="0" collapsed="false">
      <c r="B8" s="3" t="s">
        <v>5</v>
      </c>
    </row>
    <row r="9" customFormat="false" ht="15" hidden="false" customHeight="false" outlineLevel="0" collapsed="false">
      <c r="B9" s="5" t="s">
        <v>6</v>
      </c>
    </row>
    <row r="10" customFormat="false" ht="27.75" hidden="false" customHeight="true" outlineLevel="0" collapsed="false">
      <c r="B10" s="5" t="s">
        <v>7</v>
      </c>
    </row>
    <row r="11" customFormat="false" ht="15" hidden="false" customHeight="false" outlineLevel="0" collapsed="false">
      <c r="B11" s="5" t="s">
        <v>8</v>
      </c>
    </row>
    <row r="12" customFormat="false" ht="15" hidden="false" customHeight="false" outlineLevel="0" collapsed="false">
      <c r="B12" s="5" t="s">
        <v>9</v>
      </c>
    </row>
    <row r="13" customFormat="false" ht="27.75" hidden="false" customHeight="true" outlineLevel="0" collapsed="false">
      <c r="B13" s="5" t="s">
        <v>10</v>
      </c>
    </row>
    <row r="14" customFormat="false" ht="15" hidden="false" customHeight="false" outlineLevel="0" collapsed="false">
      <c r="B14" s="5" t="s">
        <v>11</v>
      </c>
    </row>
    <row r="15" customFormat="false" ht="15" hidden="false" customHeight="false" outlineLevel="0" collapsed="false">
      <c r="B15" s="5" t="s">
        <v>12</v>
      </c>
    </row>
    <row r="16" customFormat="false" ht="15" hidden="false" customHeight="false" outlineLevel="0" collapsed="false">
      <c r="B16" s="5" t="s">
        <v>13</v>
      </c>
    </row>
    <row r="17" customFormat="false" ht="15" hidden="false" customHeight="false" outlineLevel="0" collapsed="false">
      <c r="B17" s="5" t="s">
        <v>14</v>
      </c>
    </row>
    <row r="18" customFormat="false" ht="15" hidden="false" customHeight="false" outlineLevel="0" collapsed="false">
      <c r="B18" s="5" t="s">
        <v>15</v>
      </c>
    </row>
    <row r="19" customFormat="false" ht="15" hidden="false" customHeight="false" outlineLevel="0" collapsed="false">
      <c r="B19" s="5" t="s">
        <v>16</v>
      </c>
    </row>
    <row r="20" customFormat="false" ht="15" hidden="false" customHeight="false" outlineLevel="0" collapsed="false">
      <c r="B20" s="5" t="s">
        <v>17</v>
      </c>
    </row>
    <row r="21" customFormat="false" ht="15" hidden="false" customHeight="false" outlineLevel="0" collapsed="false">
      <c r="B21" s="5" t="s">
        <v>18</v>
      </c>
    </row>
    <row r="23" customFormat="false" ht="15" hidden="false" customHeight="false" outlineLevel="0" collapsed="false">
      <c r="B23" s="3" t="s">
        <v>19</v>
      </c>
    </row>
    <row r="24" customFormat="false" ht="27.75" hidden="false" customHeight="true" outlineLevel="0" collapsed="false">
      <c r="B24" s="4" t="s">
        <v>20</v>
      </c>
    </row>
    <row r="26" customFormat="false" ht="15" hidden="false" customHeight="false" outlineLevel="0" collapsed="false">
      <c r="B26" s="3" t="s">
        <v>21</v>
      </c>
    </row>
    <row r="27" customFormat="false" ht="15" hidden="false" customHeight="false" outlineLevel="0" collapsed="false">
      <c r="B27" s="4" t="s">
        <v>22</v>
      </c>
    </row>
    <row r="28" customFormat="false" ht="15" hidden="false" customHeight="false" outlineLevel="0" collapsed="false">
      <c r="B28" s="4" t="s">
        <v>23</v>
      </c>
    </row>
    <row r="29" customFormat="false" ht="27.75" hidden="false" customHeight="true" outlineLevel="0" collapsed="false">
      <c r="B29" s="4" t="s">
        <v>24</v>
      </c>
    </row>
    <row r="30" customFormat="false" ht="42" hidden="false" customHeight="true" outlineLevel="0" collapsed="false">
      <c r="B30" s="4" t="s">
        <v>25</v>
      </c>
    </row>
    <row r="31" customFormat="false" ht="27.75" hidden="false" customHeight="true" outlineLevel="0" collapsed="false">
      <c r="B31" s="4" t="s">
        <v>26</v>
      </c>
    </row>
    <row r="33" customFormat="false" ht="15" hidden="false" customHeight="false" outlineLevel="0" collapsed="false">
      <c r="B33" s="3" t="s">
        <v>27</v>
      </c>
    </row>
    <row r="34" customFormat="false" ht="27.75" hidden="false" customHeight="true" outlineLevel="0" collapsed="false">
      <c r="B34" s="4" t="s">
        <v>28</v>
      </c>
    </row>
    <row r="35" customFormat="false" ht="55.5" hidden="false" customHeight="true" outlineLevel="0" collapsed="false">
      <c r="B35" s="4" t="s">
        <v>29</v>
      </c>
    </row>
    <row r="36" customFormat="false" ht="55.5" hidden="false" customHeight="true" outlineLevel="0" collapsed="false">
      <c r="B36" s="4" t="s">
        <v>30</v>
      </c>
    </row>
    <row r="37" customFormat="false" ht="15" hidden="false" customHeight="false" outlineLevel="0" collapsed="false">
      <c r="B37" s="4" t="s">
        <v>31</v>
      </c>
    </row>
    <row r="38" customFormat="false" ht="27.75" hidden="false" customHeight="true" outlineLevel="0" collapsed="false">
      <c r="B38" s="4" t="s">
        <v>32</v>
      </c>
    </row>
    <row r="39" customFormat="false" ht="42" hidden="false" customHeight="true" outlineLevel="0" collapsed="false">
      <c r="B39" s="4" t="s">
        <v>33</v>
      </c>
    </row>
    <row r="40" customFormat="false" ht="27.75" hidden="false" customHeight="true" outlineLevel="0" collapsed="false">
      <c r="B40" s="4" t="s">
        <v>34</v>
      </c>
    </row>
    <row r="41" customFormat="false" ht="27.75" hidden="false" customHeight="true" outlineLevel="0" collapsed="false">
      <c r="B41" s="4" t="s">
        <v>35</v>
      </c>
    </row>
    <row r="42" customFormat="false" ht="27.75" hidden="false" customHeight="true" outlineLevel="0" collapsed="false">
      <c r="B42" s="4" t="s">
        <v>36</v>
      </c>
    </row>
    <row r="44" customFormat="false" ht="15" hidden="false" customHeight="false" outlineLevel="0" collapsed="false">
      <c r="B44" s="3" t="s">
        <v>37</v>
      </c>
    </row>
    <row r="45" customFormat="false" ht="15" hidden="false" customHeight="false" outlineLevel="0" collapsed="false">
      <c r="B45" s="4" t="s">
        <v>38</v>
      </c>
    </row>
    <row r="46" customFormat="false" ht="15" hidden="false" customHeight="false" outlineLevel="0" collapsed="false">
      <c r="B46" s="4" t="s">
        <v>39</v>
      </c>
    </row>
    <row r="47" customFormat="false" ht="27.75" hidden="false" customHeight="true" outlineLevel="0" collapsed="false">
      <c r="B47" s="4" t="s">
        <v>40</v>
      </c>
    </row>
    <row r="48" customFormat="false" ht="27.75" hidden="false" customHeight="true" outlineLevel="0" collapsed="false">
      <c r="B48" s="4" t="s">
        <v>41</v>
      </c>
    </row>
    <row r="49" customFormat="false" ht="27.75" hidden="false" customHeight="true" outlineLevel="0" collapsed="false">
      <c r="B49" s="4" t="s">
        <v>42</v>
      </c>
    </row>
    <row r="50" customFormat="false" ht="27.75" hidden="false" customHeight="true" outlineLevel="0" collapsed="false">
      <c r="B50" s="4" t="s">
        <v>43</v>
      </c>
    </row>
    <row r="51" customFormat="false" ht="15" hidden="false" customHeight="false" outlineLevel="0" collapsed="false">
      <c r="B51" s="4" t="s">
        <v>44</v>
      </c>
    </row>
    <row r="52" customFormat="false" ht="15" hidden="false" customHeight="false" outlineLevel="0" collapsed="false">
      <c r="B52" s="4" t="s">
        <v>45</v>
      </c>
    </row>
    <row r="53" customFormat="false" ht="27.75" hidden="false" customHeight="true" outlineLevel="0" collapsed="false">
      <c r="B53" s="4" t="s">
        <v>46</v>
      </c>
    </row>
    <row r="55" customFormat="false" ht="15" hidden="false" customHeight="false" outlineLevel="0" collapsed="false">
      <c r="B55" s="3" t="s">
        <v>47</v>
      </c>
    </row>
    <row r="56" customFormat="false" ht="69.75" hidden="false" customHeight="true" outlineLevel="0" collapsed="false">
      <c r="B56" s="4" t="s">
        <v>48</v>
      </c>
    </row>
    <row r="58" customFormat="false" ht="15" hidden="false" customHeight="false" outlineLevel="0" collapsed="false">
      <c r="B58" s="3" t="s">
        <v>49</v>
      </c>
    </row>
    <row r="59" customFormat="false" ht="55.5" hidden="false" customHeight="true" outlineLevel="0" collapsed="false">
      <c r="B59" s="4"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D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26"/>
    <col collapsed="false" customWidth="true" hidden="false" outlineLevel="0" max="4" min="4" style="0" width="70"/>
  </cols>
  <sheetData>
    <row r="1" customFormat="false" ht="17.35" hidden="false" customHeight="false" outlineLevel="0" collapsed="false">
      <c r="A1" s="1" t="s">
        <v>51</v>
      </c>
    </row>
    <row r="2" customFormat="false" ht="15" hidden="false" customHeight="false" outlineLevel="0" collapsed="false">
      <c r="A2" s="2" t="s">
        <v>52</v>
      </c>
    </row>
    <row r="4" customFormat="false" ht="15" hidden="false" customHeight="false" outlineLevel="0" collapsed="false">
      <c r="B4" s="6" t="s">
        <v>53</v>
      </c>
      <c r="C4" s="7" t="s">
        <v>54</v>
      </c>
      <c r="D4" s="8" t="s">
        <v>55</v>
      </c>
    </row>
    <row r="5" customFormat="false" ht="15" hidden="false" customHeight="false" outlineLevel="0" collapsed="false">
      <c r="B5" s="6" t="s">
        <v>56</v>
      </c>
      <c r="C5" s="7" t="s">
        <v>57</v>
      </c>
      <c r="D5" s="8" t="s">
        <v>58</v>
      </c>
    </row>
    <row r="6" customFormat="false" ht="15" hidden="false" customHeight="false" outlineLevel="0" collapsed="false">
      <c r="B6" s="6" t="s">
        <v>59</v>
      </c>
      <c r="C6" s="7"/>
      <c r="D6" s="8" t="s">
        <v>60</v>
      </c>
    </row>
    <row r="7" customFormat="false" ht="15" hidden="false" customHeight="false" outlineLevel="0" collapsed="false">
      <c r="B7" s="6" t="s">
        <v>61</v>
      </c>
      <c r="C7" s="7" t="s">
        <v>62</v>
      </c>
      <c r="D7" s="8" t="s">
        <v>63</v>
      </c>
    </row>
    <row r="8" customFormat="false" ht="15" hidden="false" customHeight="false" outlineLevel="0" collapsed="false">
      <c r="B8" s="6" t="s">
        <v>64</v>
      </c>
      <c r="C8" s="9" t="n">
        <v>46204</v>
      </c>
      <c r="D8" s="8" t="s">
        <v>65</v>
      </c>
    </row>
    <row r="9" customFormat="false" ht="15" hidden="false" customHeight="false" outlineLevel="0" collapsed="false">
      <c r="B9" s="6" t="s">
        <v>66</v>
      </c>
      <c r="C9" s="9" t="n">
        <v>46295</v>
      </c>
      <c r="D9" s="8" t="s">
        <v>67</v>
      </c>
    </row>
    <row r="10" customFormat="false" ht="22.35" hidden="false" customHeight="false" outlineLevel="0" collapsed="false">
      <c r="B10" s="6" t="s">
        <v>68</v>
      </c>
      <c r="C10" s="10" t="n">
        <v>1</v>
      </c>
      <c r="D10" s="8" t="s">
        <v>69</v>
      </c>
    </row>
    <row r="11" customFormat="false" ht="22.35" hidden="false" customHeight="false" outlineLevel="0" collapsed="false">
      <c r="B11" s="6" t="s">
        <v>70</v>
      </c>
      <c r="C11" s="7" t="s">
        <v>71</v>
      </c>
      <c r="D11" s="8" t="s">
        <v>72</v>
      </c>
    </row>
    <row r="12" customFormat="false" ht="15" hidden="false" customHeight="false" outlineLevel="0" collapsed="false">
      <c r="B12" s="6" t="s">
        <v>73</v>
      </c>
      <c r="C12" s="11" t="n">
        <v>5</v>
      </c>
      <c r="D12" s="8" t="s">
        <v>74</v>
      </c>
    </row>
    <row r="13" customFormat="false" ht="22.35" hidden="false" customHeight="false" outlineLevel="0" collapsed="false">
      <c r="B13" s="6" t="s">
        <v>75</v>
      </c>
      <c r="C13" s="12" t="n">
        <f aca="false">DATE(YEAR(C9),MONTH(C9)+2,10)</f>
        <v>46336</v>
      </c>
      <c r="D13" s="8" t="s">
        <v>76</v>
      </c>
    </row>
    <row r="14" customFormat="false" ht="15" hidden="false" customHeight="false" outlineLevel="0" collapsed="false">
      <c r="B14" s="6" t="s">
        <v>77</v>
      </c>
      <c r="C14" s="13" t="s">
        <v>78</v>
      </c>
      <c r="D14" s="8" t="s">
        <v>79</v>
      </c>
    </row>
    <row r="17" customFormat="false" ht="15" hidden="false" customHeight="false" outlineLevel="0" collapsed="false">
      <c r="B17" s="14" t="s">
        <v>80</v>
      </c>
    </row>
    <row r="18" customFormat="false" ht="15" hidden="false" customHeight="false" outlineLevel="0" collapsed="false">
      <c r="B18" s="15" t="s">
        <v>81</v>
      </c>
      <c r="C18" s="7" t="s">
        <v>82</v>
      </c>
    </row>
    <row r="19" customFormat="false" ht="15" hidden="false" customHeight="false" outlineLevel="0" collapsed="false">
      <c r="B19" s="15" t="s">
        <v>83</v>
      </c>
      <c r="C19" s="7"/>
    </row>
    <row r="20" customFormat="false" ht="15" hidden="false" customHeight="false" outlineLevel="0" collapsed="false">
      <c r="B20" s="15" t="s">
        <v>84</v>
      </c>
      <c r="C20" s="7"/>
    </row>
    <row r="21" customFormat="false" ht="15" hidden="false" customHeight="false" outlineLevel="0" collapsed="false">
      <c r="B21" s="15" t="s">
        <v>85</v>
      </c>
      <c r="C21" s="7"/>
    </row>
    <row r="22" customFormat="false" ht="15" hidden="false" customHeight="false" outlineLevel="0" collapsed="false">
      <c r="B22" s="15" t="s">
        <v>86</v>
      </c>
      <c r="C22" s="7"/>
    </row>
    <row r="25" customFormat="false" ht="15" hidden="false" customHeight="false" outlineLevel="0" collapsed="false">
      <c r="B25" s="14" t="s">
        <v>87</v>
      </c>
    </row>
    <row r="26" customFormat="false" ht="15" hidden="false" customHeight="false" outlineLevel="0" collapsed="false">
      <c r="B26" s="15" t="s">
        <v>88</v>
      </c>
      <c r="C26" s="7" t="s">
        <v>89</v>
      </c>
    </row>
    <row r="27" customFormat="false" ht="15" hidden="false" customHeight="false" outlineLevel="0" collapsed="false">
      <c r="B27" s="15" t="s">
        <v>90</v>
      </c>
      <c r="C27" s="7"/>
    </row>
    <row r="28" customFormat="false" ht="15" hidden="false" customHeight="false" outlineLevel="0" collapsed="false">
      <c r="B28" s="15" t="s">
        <v>91</v>
      </c>
      <c r="C28" s="7"/>
    </row>
    <row r="29" customFormat="false" ht="15" hidden="false" customHeight="false" outlineLevel="0" collapsed="false">
      <c r="B29" s="15" t="s">
        <v>92</v>
      </c>
      <c r="C29" s="7"/>
    </row>
    <row r="30" customFormat="false" ht="15" hidden="false" customHeight="false" outlineLevel="0" collapsed="false">
      <c r="B30" s="15" t="s">
        <v>93</v>
      </c>
      <c r="C30" s="7"/>
    </row>
    <row r="33" customFormat="false" ht="22.35" hidden="false" customHeight="false" outlineLevel="0" collapsed="false">
      <c r="B33" s="14" t="s">
        <v>94</v>
      </c>
      <c r="D33" s="16" t="s">
        <v>95</v>
      </c>
    </row>
    <row r="34" customFormat="false" ht="15" hidden="false" customHeight="false" outlineLevel="0" collapsed="false">
      <c r="B34" s="17" t="s">
        <v>96</v>
      </c>
      <c r="C34" s="17" t="s">
        <v>97</v>
      </c>
      <c r="D34" s="17" t="s">
        <v>98</v>
      </c>
    </row>
    <row r="35" customFormat="false" ht="15" hidden="false" customHeight="false" outlineLevel="0" collapsed="false">
      <c r="B35" s="15" t="s">
        <v>99</v>
      </c>
      <c r="C35" s="7" t="s">
        <v>100</v>
      </c>
      <c r="D35" s="8" t="s">
        <v>101</v>
      </c>
    </row>
    <row r="36" customFormat="false" ht="15" hidden="false" customHeight="false" outlineLevel="0" collapsed="false">
      <c r="B36" s="15" t="s">
        <v>102</v>
      </c>
      <c r="C36" s="7" t="s">
        <v>103</v>
      </c>
      <c r="D36" s="8"/>
    </row>
    <row r="37" customFormat="false" ht="15" hidden="false" customHeight="false" outlineLevel="0" collapsed="false">
      <c r="B37" s="15" t="s">
        <v>104</v>
      </c>
      <c r="C37" s="7" t="s">
        <v>105</v>
      </c>
      <c r="D37" s="8" t="s">
        <v>106</v>
      </c>
    </row>
    <row r="38" customFormat="false" ht="15" hidden="false" customHeight="false" outlineLevel="0" collapsed="false">
      <c r="B38" s="15" t="s">
        <v>107</v>
      </c>
      <c r="C38" s="7" t="s">
        <v>108</v>
      </c>
      <c r="D38" s="8"/>
    </row>
    <row r="39" customFormat="false" ht="15" hidden="false" customHeight="false" outlineLevel="0" collapsed="false">
      <c r="B39" s="15" t="s">
        <v>109</v>
      </c>
      <c r="C39" s="7" t="s">
        <v>110</v>
      </c>
      <c r="D39" s="8"/>
    </row>
    <row r="40" customFormat="false" ht="15" hidden="false" customHeight="false" outlineLevel="0" collapsed="false">
      <c r="B40" s="15" t="s">
        <v>111</v>
      </c>
      <c r="C40" s="7" t="s">
        <v>112</v>
      </c>
      <c r="D40" s="8" t="s">
        <v>113</v>
      </c>
    </row>
    <row r="41" customFormat="false" ht="15" hidden="false" customHeight="false" outlineLevel="0" collapsed="false">
      <c r="B41" s="15" t="s">
        <v>114</v>
      </c>
      <c r="C41" s="7" t="s">
        <v>115</v>
      </c>
      <c r="D41" s="8"/>
    </row>
    <row r="42" customFormat="false" ht="15" hidden="false" customHeight="false" outlineLevel="0" collapsed="false">
      <c r="B42" s="15" t="s">
        <v>116</v>
      </c>
      <c r="C42" s="7" t="s">
        <v>117</v>
      </c>
      <c r="D42" s="8" t="s">
        <v>118</v>
      </c>
    </row>
    <row r="43" customFormat="false" ht="15" hidden="false" customHeight="false" outlineLevel="0" collapsed="false">
      <c r="B43" s="15" t="s">
        <v>119</v>
      </c>
      <c r="C43" s="7" t="s">
        <v>120</v>
      </c>
      <c r="D43" s="8" t="s">
        <v>121</v>
      </c>
    </row>
    <row r="44" customFormat="false" ht="15" hidden="false" customHeight="false" outlineLevel="0" collapsed="false">
      <c r="B44" s="15" t="s">
        <v>122</v>
      </c>
      <c r="C44" s="7"/>
      <c r="D44" s="8" t="s">
        <v>123</v>
      </c>
    </row>
    <row r="45" customFormat="false" ht="15" hidden="false" customHeight="false" outlineLevel="0" collapsed="false">
      <c r="B45" s="15" t="s">
        <v>124</v>
      </c>
      <c r="C45" s="7"/>
      <c r="D45" s="8"/>
    </row>
    <row r="46" customFormat="false" ht="15" hidden="false" customHeight="false" outlineLevel="0" collapsed="false">
      <c r="B46" s="15" t="s">
        <v>125</v>
      </c>
      <c r="C46" s="7"/>
      <c r="D46" s="8" t="s">
        <v>126</v>
      </c>
    </row>
    <row r="47" customFormat="false" ht="22.35" hidden="false" customHeight="false" outlineLevel="0" collapsed="false">
      <c r="B47" s="15" t="s">
        <v>127</v>
      </c>
      <c r="C47" s="7"/>
      <c r="D47" s="8" t="s">
        <v>128</v>
      </c>
    </row>
    <row r="48" customFormat="false" ht="15" hidden="false" customHeight="false" outlineLevel="0" collapsed="false">
      <c r="B48" s="15" t="s">
        <v>129</v>
      </c>
      <c r="C48" s="7"/>
      <c r="D48" s="8" t="s">
        <v>130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Z2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2"/>
    <col collapsed="false" customWidth="true" hidden="false" outlineLevel="0" max="4" min="4" style="0" width="28"/>
    <col collapsed="false" customWidth="true" hidden="false" outlineLevel="0" max="5" min="5" style="0" width="34"/>
    <col collapsed="false" customWidth="true" hidden="false" outlineLevel="0" max="6" min="6" style="0" width="14"/>
    <col collapsed="false" customWidth="true" hidden="false" outlineLevel="0" max="7" min="7" style="0" width="24"/>
    <col collapsed="false" customWidth="true" hidden="false" outlineLevel="0" max="8" min="8" style="0" width="9"/>
    <col collapsed="false" customWidth="true" hidden="false" outlineLevel="0" max="10" min="9" style="0" width="16"/>
    <col collapsed="false" customWidth="true" hidden="false" outlineLevel="0" max="11" min="11" style="0" width="12"/>
    <col collapsed="false" customWidth="true" hidden="false" outlineLevel="0" max="12" min="12" style="0" width="14"/>
    <col collapsed="false" customWidth="true" hidden="false" outlineLevel="0" max="14" min="13" style="0" width="10"/>
    <col collapsed="false" customWidth="true" hidden="false" outlineLevel="0" max="15" min="15" style="0" width="8"/>
    <col collapsed="false" customWidth="true" hidden="false" outlineLevel="0" max="17" min="16" style="0" width="9"/>
    <col collapsed="false" customWidth="true" hidden="false" outlineLevel="0" max="18" min="18" style="0" width="10"/>
    <col collapsed="false" customWidth="true" hidden="false" outlineLevel="0" max="19" min="19" style="0" width="15"/>
    <col collapsed="false" customWidth="true" hidden="false" outlineLevel="0" max="20" min="20" style="0" width="8"/>
    <col collapsed="false" customWidth="true" hidden="false" outlineLevel="0" max="21" min="21" style="0" width="15"/>
    <col collapsed="false" customWidth="true" hidden="false" outlineLevel="0" max="22" min="22" style="0" width="8"/>
    <col collapsed="false" customWidth="true" hidden="false" outlineLevel="0" max="23" min="23" style="0" width="13"/>
    <col collapsed="false" customWidth="true" hidden="false" outlineLevel="0" max="24" min="24" style="0" width="7"/>
    <col collapsed="false" customWidth="true" hidden="false" outlineLevel="0" max="25" min="25" style="0" width="8"/>
    <col collapsed="false" customWidth="true" hidden="false" outlineLevel="0" max="26" min="26" style="0" width="26"/>
  </cols>
  <sheetData>
    <row r="1" customFormat="false" ht="17.35" hidden="false" customHeight="false" outlineLevel="0" collapsed="false">
      <c r="A1" s="1" t="s">
        <v>131</v>
      </c>
    </row>
    <row r="2" customFormat="false" ht="15" hidden="false" customHeight="false" outlineLevel="0" collapsed="false">
      <c r="A2" s="2" t="s">
        <v>132</v>
      </c>
    </row>
    <row r="3" customFormat="false" ht="15" hidden="false" customHeight="false" outlineLevel="0" collapsed="false">
      <c r="A3" s="18" t="s">
        <v>133</v>
      </c>
      <c r="M3" s="18" t="s">
        <v>134</v>
      </c>
    </row>
    <row r="4" customFormat="false" ht="45" hidden="false" customHeight="true" outlineLevel="0" collapsed="false">
      <c r="A4" s="19" t="s">
        <v>100</v>
      </c>
      <c r="B4" s="19" t="s">
        <v>135</v>
      </c>
      <c r="C4" s="19" t="s">
        <v>136</v>
      </c>
      <c r="D4" s="19" t="s">
        <v>137</v>
      </c>
      <c r="E4" s="19" t="s">
        <v>110</v>
      </c>
      <c r="F4" s="19" t="s">
        <v>138</v>
      </c>
      <c r="G4" s="19" t="s">
        <v>139</v>
      </c>
      <c r="H4" s="19" t="s">
        <v>117</v>
      </c>
      <c r="I4" s="19" t="s">
        <v>140</v>
      </c>
      <c r="J4" s="19" t="s">
        <v>141</v>
      </c>
      <c r="K4" s="19" t="s">
        <v>142</v>
      </c>
      <c r="L4" s="19" t="s">
        <v>143</v>
      </c>
      <c r="M4" s="20" t="s">
        <v>144</v>
      </c>
      <c r="N4" s="20" t="s">
        <v>145</v>
      </c>
      <c r="O4" s="20" t="s">
        <v>146</v>
      </c>
      <c r="P4" s="20" t="s">
        <v>147</v>
      </c>
      <c r="Q4" s="20" t="s">
        <v>148</v>
      </c>
      <c r="R4" s="20" t="s">
        <v>149</v>
      </c>
      <c r="S4" s="20" t="s">
        <v>150</v>
      </c>
      <c r="T4" s="20" t="s">
        <v>151</v>
      </c>
      <c r="U4" s="20" t="s">
        <v>152</v>
      </c>
      <c r="V4" s="20" t="s">
        <v>153</v>
      </c>
      <c r="W4" s="20" t="s">
        <v>154</v>
      </c>
      <c r="X4" s="20" t="s">
        <v>155</v>
      </c>
      <c r="Y4" s="20" t="s">
        <v>156</v>
      </c>
      <c r="Z4" s="20" t="s">
        <v>157</v>
      </c>
    </row>
    <row r="5" customFormat="false" ht="15" hidden="false" customHeight="false" outlineLevel="0" collapsed="false">
      <c r="A5" s="21" t="n">
        <v>46208</v>
      </c>
      <c r="B5" s="22" t="s">
        <v>158</v>
      </c>
      <c r="C5" s="22" t="s">
        <v>159</v>
      </c>
      <c r="D5" s="22" t="s">
        <v>160</v>
      </c>
      <c r="E5" s="22" t="s">
        <v>161</v>
      </c>
      <c r="F5" s="22" t="s">
        <v>162</v>
      </c>
      <c r="G5" s="22" t="s">
        <v>163</v>
      </c>
      <c r="H5" s="22" t="s">
        <v>164</v>
      </c>
      <c r="I5" s="23" t="n">
        <v>-10000</v>
      </c>
      <c r="M5" s="24" t="str">
        <f aca="false">IF($C5="","",IFERROR(INDEX(Account_Mapping!$C:$C,MATCH($C5&amp;"",Account_Mapping!$A:$A,0))&amp;"",""))</f>
        <v>S19</v>
      </c>
      <c r="N5" s="24" t="str">
        <f aca="false">IF($K5&lt;&gt;"",$K5,$M5)</f>
        <v>S19</v>
      </c>
      <c r="O5" s="24" t="str">
        <f aca="false">IF($F5="","",IFERROR(INDEX(Counterparties!$C:$C,MATCH($F5&amp;"",Counterparties!$A:$A,0))&amp;"",""))</f>
        <v>CY</v>
      </c>
      <c r="P5" s="24" t="str">
        <f aca="false">IF($O5="","",IF($O5="CY","CY",IF(ISNUMBER(MATCH($O5,Lists!$A:$A,0)),"EU","3RD")))</f>
        <v>CY</v>
      </c>
      <c r="Q5" s="24" t="str">
        <f aca="false">IF($F5="","N",IFERROR(IF(INDEX(Counterparties!$E:$E,MATCH($F5&amp;"",Counterparties!$A:$A,0))="Y","Y","N"),"N"))</f>
        <v>N</v>
      </c>
      <c r="R5" s="25" t="n">
        <f aca="false">IF(OR($H5="",$H5="EUR"),1,IFERROR(INDEX(FX_Rates!$D:$D,MATCH($H5,FX_Rates!$A:$A,0)),""))</f>
        <v>1</v>
      </c>
      <c r="S5" s="26" t="n">
        <f aca="false">IF(AND($I5="",$J5=""),"",IF($J5&lt;&gt;"",$J5,IF(OR($R5="",$R5=0),"",ROUND($I5/$R5,2))))</f>
        <v>-10000</v>
      </c>
      <c r="T5" s="24" t="str">
        <f aca="false">IF($N5="","",IFERROR(INDEX(VAT_Codes!$C:$C,MATCH($N5,VAT_Codes!$A:$A,0)),"")&amp;"")</f>
        <v>Output</v>
      </c>
      <c r="U5" s="26" t="n">
        <f aca="false">IF(OR($S5="",$T5="",$T5="None"),0,IF($T5="Output",-$S5,$S5))</f>
        <v>10000</v>
      </c>
      <c r="V5" s="27" t="n">
        <f aca="false">IF($N5="",0,IFERROR(INDEX(VAT_Codes!$D:$D,MATCH($N5,VAT_Codes!$A:$A,0)),0))</f>
        <v>0.19</v>
      </c>
      <c r="W5" s="26" t="n">
        <f aca="false">IF($U5=0,0,IF(IFERROR(INDEX(VAT_Codes!$F:$F,MATCH($N5,VAT_Codes!$A:$A,0)),"N")="Y",$U5,IF($L5&lt;&gt;"",ROUND(ABS($L5)/IF(OR($R5="",$R5=0),1,$R5),2)*SIGN($U5),ROUND($U5*$V5,2))))</f>
        <v>1900</v>
      </c>
      <c r="X5" s="24" t="str">
        <f aca="false">IF($N5="","",IFERROR(INDEX(VAT_Codes!$H:$H,MATCH($N5,VAT_Codes!$A:$A,0)),"")&amp;"")</f>
        <v/>
      </c>
      <c r="Y5" s="24" t="n">
        <f aca="false">IF($A5="","",(YEAR($A5)-YEAR(Settings!$C$8))*12+MONTH($A5)-MONTH(Settings!$C$8)+1)</f>
        <v>1</v>
      </c>
      <c r="Z5" s="24" t="str">
        <f aca="false">IF(AND($C5="",$I5="",$J5=""),"",IF($N5="","NO VAT CODE",IF($T5="","UNKNOWN VAT CODE",IF($S5="","MISSING FX RATE",IF(OR($A5&lt;Settings!$C$8,$A5&gt;Settings!$C$9),"OUTSIDE PERIOD",IF(AND(IFERROR(INDEX(VAT_Codes!$E:$E,MATCH($N5,VAT_Codes!$A:$A,0)),"ANY")&lt;&gt;"ANY",$P5=""),"MISSING COUNTERPARTY COUNTRY",IF(AND(IFERROR(INDEX(VAT_Codes!$E:$E,MATCH($N5,VAT_Codes!$A:$A,0)),"ANY")&lt;&gt;"ANY",$P5&lt;&gt;IFERROR(INDEX(VAT_Codes!$E:$E,MATCH($N5,VAT_Codes!$A:$A,0)),"ANY")),"REGION MISMATCH","OK")))))))</f>
        <v>OK</v>
      </c>
    </row>
    <row r="6" customFormat="false" ht="15" hidden="false" customHeight="false" outlineLevel="0" collapsed="false">
      <c r="A6" s="21" t="n">
        <v>46208</v>
      </c>
      <c r="B6" s="22" t="s">
        <v>158</v>
      </c>
      <c r="C6" s="22" t="s">
        <v>82</v>
      </c>
      <c r="D6" s="22" t="s">
        <v>165</v>
      </c>
      <c r="E6" s="22" t="s">
        <v>166</v>
      </c>
      <c r="F6" s="22" t="s">
        <v>162</v>
      </c>
      <c r="G6" s="22" t="s">
        <v>163</v>
      </c>
      <c r="H6" s="22" t="s">
        <v>164</v>
      </c>
      <c r="I6" s="23" t="n">
        <v>-1900</v>
      </c>
      <c r="M6" s="24" t="str">
        <f aca="false">IF($C6="","",IFERROR(INDEX(Account_Mapping!$C:$C,MATCH($C6&amp;"",Account_Mapping!$A:$A,0))&amp;"",""))</f>
        <v>NR</v>
      </c>
      <c r="N6" s="24" t="str">
        <f aca="false">IF($K6&lt;&gt;"",$K6,$M6)</f>
        <v>NR</v>
      </c>
      <c r="O6" s="24" t="str">
        <f aca="false">IF($F6="","",IFERROR(INDEX(Counterparties!$C:$C,MATCH($F6&amp;"",Counterparties!$A:$A,0))&amp;"",""))</f>
        <v>CY</v>
      </c>
      <c r="P6" s="24" t="str">
        <f aca="false">IF($O6="","",IF($O6="CY","CY",IF(ISNUMBER(MATCH($O6,Lists!$A:$A,0)),"EU","3RD")))</f>
        <v>CY</v>
      </c>
      <c r="Q6" s="24" t="str">
        <f aca="false">IF($F6="","N",IFERROR(IF(INDEX(Counterparties!$E:$E,MATCH($F6&amp;"",Counterparties!$A:$A,0))="Y","Y","N"),"N"))</f>
        <v>N</v>
      </c>
      <c r="R6" s="25" t="n">
        <f aca="false">IF(OR($H6="",$H6="EUR"),1,IFERROR(INDEX(FX_Rates!$D:$D,MATCH($H6,FX_Rates!$A:$A,0)),""))</f>
        <v>1</v>
      </c>
      <c r="S6" s="26" t="n">
        <f aca="false">IF(AND($I6="",$J6=""),"",IF($J6&lt;&gt;"",$J6,IF(OR($R6="",$R6=0),"",ROUND($I6/$R6,2))))</f>
        <v>-1900</v>
      </c>
      <c r="T6" s="24" t="str">
        <f aca="false">IF($N6="","",IFERROR(INDEX(VAT_Codes!$C:$C,MATCH($N6,VAT_Codes!$A:$A,0)),"")&amp;"")</f>
        <v>None</v>
      </c>
      <c r="U6" s="26" t="n">
        <f aca="false">IF(OR($S6="",$T6="",$T6="None"),0,IF($T6="Output",-$S6,$S6))</f>
        <v>0</v>
      </c>
      <c r="V6" s="27" t="n">
        <f aca="false">IF($N6="",0,IFERROR(INDEX(VAT_Codes!$D:$D,MATCH($N6,VAT_Codes!$A:$A,0)),0))</f>
        <v>0</v>
      </c>
      <c r="W6" s="26" t="n">
        <f aca="false">IF($U6=0,0,IF(IFERROR(INDEX(VAT_Codes!$F:$F,MATCH($N6,VAT_Codes!$A:$A,0)),"N")="Y",$U6,IF($L6&lt;&gt;"",ROUND(ABS($L6)/IF(OR($R6="",$R6=0),1,$R6),2)*SIGN($U6),ROUND($U6*$V6,2))))</f>
        <v>0</v>
      </c>
      <c r="X6" s="24" t="str">
        <f aca="false">IF($N6="","",IFERROR(INDEX(VAT_Codes!$H:$H,MATCH($N6,VAT_Codes!$A:$A,0)),"")&amp;"")</f>
        <v/>
      </c>
      <c r="Y6" s="24" t="n">
        <f aca="false">IF($A6="","",(YEAR($A6)-YEAR(Settings!$C$8))*12+MONTH($A6)-MONTH(Settings!$C$8)+1)</f>
        <v>1</v>
      </c>
      <c r="Z6" s="24" t="str">
        <f aca="false">IF(AND($C6="",$I6="",$J6=""),"",IF($N6="","NO VAT CODE",IF($T6="","UNKNOWN VAT CODE",IF($S6="","MISSING FX RATE",IF(OR($A6&lt;Settings!$C$8,$A6&gt;Settings!$C$9),"OUTSIDE PERIOD",IF(AND(IFERROR(INDEX(VAT_Codes!$E:$E,MATCH($N6,VAT_Codes!$A:$A,0)),"ANY")&lt;&gt;"ANY",$P6=""),"MISSING COUNTERPARTY COUNTRY",IF(AND(IFERROR(INDEX(VAT_Codes!$E:$E,MATCH($N6,VAT_Codes!$A:$A,0)),"ANY")&lt;&gt;"ANY",$P6&lt;&gt;IFERROR(INDEX(VAT_Codes!$E:$E,MATCH($N6,VAT_Codes!$A:$A,0)),"ANY")),"REGION MISMATCH","OK")))))))</f>
        <v>OK</v>
      </c>
    </row>
    <row r="7" customFormat="false" ht="15" hidden="false" customHeight="false" outlineLevel="0" collapsed="false">
      <c r="A7" s="21" t="n">
        <v>46231</v>
      </c>
      <c r="B7" s="22" t="s">
        <v>167</v>
      </c>
      <c r="C7" s="22" t="s">
        <v>168</v>
      </c>
      <c r="D7" s="22" t="s">
        <v>169</v>
      </c>
      <c r="E7" s="22" t="s">
        <v>170</v>
      </c>
      <c r="F7" s="22" t="s">
        <v>171</v>
      </c>
      <c r="G7" s="22" t="s">
        <v>172</v>
      </c>
      <c r="H7" s="22" t="s">
        <v>164</v>
      </c>
      <c r="I7" s="23" t="n">
        <v>-25000</v>
      </c>
      <c r="M7" s="24" t="str">
        <f aca="false">IF($C7="","",IFERROR(INDEX(Account_Mapping!$C:$C,MATCH($C7&amp;"",Account_Mapping!$A:$A,0))&amp;"",""))</f>
        <v>EUS</v>
      </c>
      <c r="N7" s="24" t="str">
        <f aca="false">IF($K7&lt;&gt;"",$K7,$M7)</f>
        <v>EUS</v>
      </c>
      <c r="O7" s="24" t="str">
        <f aca="false">IF($F7="","",IFERROR(INDEX(Counterparties!$C:$C,MATCH($F7&amp;"",Counterparties!$A:$A,0))&amp;"",""))</f>
        <v>DE</v>
      </c>
      <c r="P7" s="24" t="str">
        <f aca="false">IF($O7="","",IF($O7="CY","CY",IF(ISNUMBER(MATCH($O7,Lists!$A:$A,0)),"EU","3RD")))</f>
        <v>EU</v>
      </c>
      <c r="Q7" s="24" t="str">
        <f aca="false">IF($F7="","N",IFERROR(IF(INDEX(Counterparties!$E:$E,MATCH($F7&amp;"",Counterparties!$A:$A,0))="Y","Y","N"),"N"))</f>
        <v>Y</v>
      </c>
      <c r="R7" s="25" t="n">
        <f aca="false">IF(OR($H7="",$H7="EUR"),1,IFERROR(INDEX(FX_Rates!$D:$D,MATCH($H7,FX_Rates!$A:$A,0)),""))</f>
        <v>1</v>
      </c>
      <c r="S7" s="26" t="n">
        <f aca="false">IF(AND($I7="",$J7=""),"",IF($J7&lt;&gt;"",$J7,IF(OR($R7="",$R7=0),"",ROUND($I7/$R7,2))))</f>
        <v>-25000</v>
      </c>
      <c r="T7" s="24" t="str">
        <f aca="false">IF($N7="","",IFERROR(INDEX(VAT_Codes!$C:$C,MATCH($N7,VAT_Codes!$A:$A,0)),"")&amp;"")</f>
        <v>Output</v>
      </c>
      <c r="U7" s="26" t="n">
        <f aca="false">IF(OR($S7="",$T7="",$T7="None"),0,IF($T7="Output",-$S7,$S7))</f>
        <v>25000</v>
      </c>
      <c r="V7" s="27" t="n">
        <f aca="false">IF($N7="",0,IFERROR(INDEX(VAT_Codes!$D:$D,MATCH($N7,VAT_Codes!$A:$A,0)),0))</f>
        <v>0</v>
      </c>
      <c r="W7" s="26" t="n">
        <f aca="false">IF($U7=0,0,IF(IFERROR(INDEX(VAT_Codes!$F:$F,MATCH($N7,VAT_Codes!$A:$A,0)),"N")="Y",$U7,IF($L7&lt;&gt;"",ROUND(ABS($L7)/IF(OR($R7="",$R7=0),1,$R7),2)*SIGN($U7),ROUND($U7*$V7,2))))</f>
        <v>0</v>
      </c>
      <c r="X7" s="24" t="str">
        <f aca="false">IF($N7="","",IFERROR(INDEX(VAT_Codes!$H:$H,MATCH($N7,VAT_Codes!$A:$A,0)),"")&amp;"")</f>
        <v>S</v>
      </c>
      <c r="Y7" s="24" t="n">
        <f aca="false">IF($A7="","",(YEAR($A7)-YEAR(Settings!$C$8))*12+MONTH($A7)-MONTH(Settings!$C$8)+1)</f>
        <v>1</v>
      </c>
      <c r="Z7" s="24" t="str">
        <f aca="false">IF(AND($C7="",$I7="",$J7=""),"",IF($N7="","NO VAT CODE",IF($T7="","UNKNOWN VAT CODE",IF($S7="","MISSING FX RATE",IF(OR($A7&lt;Settings!$C$8,$A7&gt;Settings!$C$9),"OUTSIDE PERIOD",IF(AND(IFERROR(INDEX(VAT_Codes!$E:$E,MATCH($N7,VAT_Codes!$A:$A,0)),"ANY")&lt;&gt;"ANY",$P7=""),"MISSING COUNTERPARTY COUNTRY",IF(AND(IFERROR(INDEX(VAT_Codes!$E:$E,MATCH($N7,VAT_Codes!$A:$A,0)),"ANY")&lt;&gt;"ANY",$P7&lt;&gt;IFERROR(INDEX(VAT_Codes!$E:$E,MATCH($N7,VAT_Codes!$A:$A,0)),"ANY")),"REGION MISMATCH","OK")))))))</f>
        <v>OK</v>
      </c>
    </row>
    <row r="8" customFormat="false" ht="15" hidden="false" customHeight="false" outlineLevel="0" collapsed="false">
      <c r="A8" s="21" t="n">
        <v>46262</v>
      </c>
      <c r="B8" s="22" t="s">
        <v>173</v>
      </c>
      <c r="C8" s="22" t="s">
        <v>168</v>
      </c>
      <c r="D8" s="22" t="s">
        <v>169</v>
      </c>
      <c r="E8" s="22" t="s">
        <v>170</v>
      </c>
      <c r="F8" s="22" t="s">
        <v>174</v>
      </c>
      <c r="G8" s="22" t="s">
        <v>175</v>
      </c>
      <c r="H8" s="22" t="s">
        <v>176</v>
      </c>
      <c r="I8" s="23" t="n">
        <v>-30000</v>
      </c>
      <c r="K8" s="22" t="s">
        <v>177</v>
      </c>
      <c r="M8" s="24" t="str">
        <f aca="false">IF($C8="","",IFERROR(INDEX(Account_Mapping!$C:$C,MATCH($C8&amp;"",Account_Mapping!$A:$A,0))&amp;"",""))</f>
        <v>EUS</v>
      </c>
      <c r="N8" s="24" t="str">
        <f aca="false">IF($K8&lt;&gt;"",$K8,$M8)</f>
        <v>OS3</v>
      </c>
      <c r="O8" s="24" t="str">
        <f aca="false">IF($F8="","",IFERROR(INDEX(Counterparties!$C:$C,MATCH($F8&amp;"",Counterparties!$A:$A,0))&amp;"",""))</f>
        <v>AE</v>
      </c>
      <c r="P8" s="24" t="str">
        <f aca="false">IF($O8="","",IF($O8="CY","CY",IF(ISNUMBER(MATCH($O8,Lists!$A:$A,0)),"EU","3RD")))</f>
        <v>3RD</v>
      </c>
      <c r="Q8" s="24" t="str">
        <f aca="false">IF($F8="","N",IFERROR(IF(INDEX(Counterparties!$E:$E,MATCH($F8&amp;"",Counterparties!$A:$A,0))="Y","Y","N"),"N"))</f>
        <v>Y</v>
      </c>
      <c r="R8" s="25" t="n">
        <f aca="false">IF(OR($H8="",$H8="EUR"),1,IFERROR(INDEX(FX_Rates!$D:$D,MATCH($H8,FX_Rates!$A:$A,0)),""))</f>
        <v>1.1649</v>
      </c>
      <c r="S8" s="26" t="n">
        <f aca="false">IF(AND($I8="",$J8=""),"",IF($J8&lt;&gt;"",$J8,IF(OR($R8="",$R8=0),"",ROUND($I8/$R8,2))))</f>
        <v>-25753.28</v>
      </c>
      <c r="T8" s="24" t="str">
        <f aca="false">IF($N8="","",IFERROR(INDEX(VAT_Codes!$C:$C,MATCH($N8,VAT_Codes!$A:$A,0)),"")&amp;"")</f>
        <v>Output</v>
      </c>
      <c r="U8" s="26" t="n">
        <f aca="false">IF(OR($S8="",$T8="",$T8="None"),0,IF($T8="Output",-$S8,$S8))</f>
        <v>25753.28</v>
      </c>
      <c r="V8" s="27" t="n">
        <f aca="false">IF($N8="",0,IFERROR(INDEX(VAT_Codes!$D:$D,MATCH($N8,VAT_Codes!$A:$A,0)),0))</f>
        <v>0</v>
      </c>
      <c r="W8" s="26" t="n">
        <f aca="false">IF($U8=0,0,IF(IFERROR(INDEX(VAT_Codes!$F:$F,MATCH($N8,VAT_Codes!$A:$A,0)),"N")="Y",$U8,IF($L8&lt;&gt;"",ROUND(ABS($L8)/IF(OR($R8="",$R8=0),1,$R8),2)*SIGN($U8),ROUND($U8*$V8,2))))</f>
        <v>0</v>
      </c>
      <c r="X8" s="24" t="str">
        <f aca="false">IF($N8="","",IFERROR(INDEX(VAT_Codes!$H:$H,MATCH($N8,VAT_Codes!$A:$A,0)),"")&amp;"")</f>
        <v/>
      </c>
      <c r="Y8" s="24" t="n">
        <f aca="false">IF($A8="","",(YEAR($A8)-YEAR(Settings!$C$8))*12+MONTH($A8)-MONTH(Settings!$C$8)+1)</f>
        <v>2</v>
      </c>
      <c r="Z8" s="24" t="str">
        <f aca="false">IF(AND($C8="",$I8="",$J8=""),"",IF($N8="","NO VAT CODE",IF($T8="","UNKNOWN VAT CODE",IF($S8="","MISSING FX RATE",IF(OR($A8&lt;Settings!$C$8,$A8&gt;Settings!$C$9),"OUTSIDE PERIOD",IF(AND(IFERROR(INDEX(VAT_Codes!$E:$E,MATCH($N8,VAT_Codes!$A:$A,0)),"ANY")&lt;&gt;"ANY",$P8=""),"MISSING COUNTERPARTY COUNTRY",IF(AND(IFERROR(INDEX(VAT_Codes!$E:$E,MATCH($N8,VAT_Codes!$A:$A,0)),"ANY")&lt;&gt;"ANY",$P8&lt;&gt;IFERROR(INDEX(VAT_Codes!$E:$E,MATCH($N8,VAT_Codes!$A:$A,0)),"ANY")),"REGION MISMATCH","OK")))))))</f>
        <v>OK</v>
      </c>
    </row>
    <row r="9" customFormat="false" ht="15" hidden="false" customHeight="false" outlineLevel="0" collapsed="false">
      <c r="A9" s="21" t="n">
        <v>46246</v>
      </c>
      <c r="B9" s="22" t="s">
        <v>178</v>
      </c>
      <c r="C9" s="22" t="s">
        <v>179</v>
      </c>
      <c r="D9" s="22" t="s">
        <v>180</v>
      </c>
      <c r="E9" s="22" t="s">
        <v>181</v>
      </c>
      <c r="F9" s="22" t="s">
        <v>182</v>
      </c>
      <c r="G9" s="22" t="s">
        <v>183</v>
      </c>
      <c r="H9" s="22" t="s">
        <v>164</v>
      </c>
      <c r="I9" s="23" t="n">
        <v>-8000</v>
      </c>
      <c r="M9" s="24" t="str">
        <f aca="false">IF($C9="","",IFERROR(INDEX(Account_Mapping!$C:$C,MATCH($C9&amp;"",Account_Mapping!$A:$A,0))&amp;"",""))</f>
        <v>EUG</v>
      </c>
      <c r="N9" s="24" t="str">
        <f aca="false">IF($K9&lt;&gt;"",$K9,$M9)</f>
        <v>EUG</v>
      </c>
      <c r="O9" s="24" t="str">
        <f aca="false">IF($F9="","",IFERROR(INDEX(Counterparties!$C:$C,MATCH($F9&amp;"",Counterparties!$A:$A,0))&amp;"",""))</f>
        <v>IT</v>
      </c>
      <c r="P9" s="24" t="str">
        <f aca="false">IF($O9="","",IF($O9="CY","CY",IF(ISNUMBER(MATCH($O9,Lists!$A:$A,0)),"EU","3RD")))</f>
        <v>EU</v>
      </c>
      <c r="Q9" s="24" t="str">
        <f aca="false">IF($F9="","N",IFERROR(IF(INDEX(Counterparties!$E:$E,MATCH($F9&amp;"",Counterparties!$A:$A,0))="Y","Y","N"),"N"))</f>
        <v>N</v>
      </c>
      <c r="R9" s="25" t="n">
        <f aca="false">IF(OR($H9="",$H9="EUR"),1,IFERROR(INDEX(FX_Rates!$D:$D,MATCH($H9,FX_Rates!$A:$A,0)),""))</f>
        <v>1</v>
      </c>
      <c r="S9" s="26" t="n">
        <f aca="false">IF(AND($I9="",$J9=""),"",IF($J9&lt;&gt;"",$J9,IF(OR($R9="",$R9=0),"",ROUND($I9/$R9,2))))</f>
        <v>-8000</v>
      </c>
      <c r="T9" s="24" t="str">
        <f aca="false">IF($N9="","",IFERROR(INDEX(VAT_Codes!$C:$C,MATCH($N9,VAT_Codes!$A:$A,0)),"")&amp;"")</f>
        <v>Output</v>
      </c>
      <c r="U9" s="26" t="n">
        <f aca="false">IF(OR($S9="",$T9="",$T9="None"),0,IF($T9="Output",-$S9,$S9))</f>
        <v>8000</v>
      </c>
      <c r="V9" s="27" t="n">
        <f aca="false">IF($N9="",0,IFERROR(INDEX(VAT_Codes!$D:$D,MATCH($N9,VAT_Codes!$A:$A,0)),0))</f>
        <v>0</v>
      </c>
      <c r="W9" s="26" t="n">
        <f aca="false">IF($U9=0,0,IF(IFERROR(INDEX(VAT_Codes!$F:$F,MATCH($N9,VAT_Codes!$A:$A,0)),"N")="Y",$U9,IF($L9&lt;&gt;"",ROUND(ABS($L9)/IF(OR($R9="",$R9=0),1,$R9),2)*SIGN($U9),ROUND($U9*$V9,2))))</f>
        <v>0</v>
      </c>
      <c r="X9" s="24" t="str">
        <f aca="false">IF($N9="","",IFERROR(INDEX(VAT_Codes!$H:$H,MATCH($N9,VAT_Codes!$A:$A,0)),"")&amp;"")</f>
        <v>G</v>
      </c>
      <c r="Y9" s="24" t="n">
        <f aca="false">IF($A9="","",(YEAR($A9)-YEAR(Settings!$C$8))*12+MONTH($A9)-MONTH(Settings!$C$8)+1)</f>
        <v>2</v>
      </c>
      <c r="Z9" s="24" t="str">
        <f aca="false">IF(AND($C9="",$I9="",$J9=""),"",IF($N9="","NO VAT CODE",IF($T9="","UNKNOWN VAT CODE",IF($S9="","MISSING FX RATE",IF(OR($A9&lt;Settings!$C$8,$A9&gt;Settings!$C$9),"OUTSIDE PERIOD",IF(AND(IFERROR(INDEX(VAT_Codes!$E:$E,MATCH($N9,VAT_Codes!$A:$A,0)),"ANY")&lt;&gt;"ANY",$P9=""),"MISSING COUNTERPARTY COUNTRY",IF(AND(IFERROR(INDEX(VAT_Codes!$E:$E,MATCH($N9,VAT_Codes!$A:$A,0)),"ANY")&lt;&gt;"ANY",$P9&lt;&gt;IFERROR(INDEX(VAT_Codes!$E:$E,MATCH($N9,VAT_Codes!$A:$A,0)),"ANY")),"REGION MISMATCH","OK")))))))</f>
        <v>OK</v>
      </c>
    </row>
    <row r="10" customFormat="false" ht="15" hidden="false" customHeight="false" outlineLevel="0" collapsed="false">
      <c r="A10" s="21" t="n">
        <v>46268</v>
      </c>
      <c r="B10" s="22" t="s">
        <v>184</v>
      </c>
      <c r="C10" s="22" t="s">
        <v>179</v>
      </c>
      <c r="D10" s="22" t="s">
        <v>180</v>
      </c>
      <c r="E10" s="22" t="s">
        <v>185</v>
      </c>
      <c r="F10" s="22" t="s">
        <v>186</v>
      </c>
      <c r="G10" s="22" t="s">
        <v>187</v>
      </c>
      <c r="H10" s="22" t="s">
        <v>176</v>
      </c>
      <c r="I10" s="23" t="n">
        <v>-12000</v>
      </c>
      <c r="K10" s="22" t="s">
        <v>188</v>
      </c>
      <c r="M10" s="24" t="str">
        <f aca="false">IF($C10="","",IFERROR(INDEX(Account_Mapping!$C:$C,MATCH($C10&amp;"",Account_Mapping!$A:$A,0))&amp;"",""))</f>
        <v>EUG</v>
      </c>
      <c r="N10" s="24" t="str">
        <f aca="false">IF($K10&lt;&gt;"",$K10,$M10)</f>
        <v>EXPG</v>
      </c>
      <c r="O10" s="24" t="str">
        <f aca="false">IF($F10="","",IFERROR(INDEX(Counterparties!$C:$C,MATCH($F10&amp;"",Counterparties!$A:$A,0))&amp;"",""))</f>
        <v>US</v>
      </c>
      <c r="P10" s="24" t="str">
        <f aca="false">IF($O10="","",IF($O10="CY","CY",IF(ISNUMBER(MATCH($O10,Lists!$A:$A,0)),"EU","3RD")))</f>
        <v>3RD</v>
      </c>
      <c r="Q10" s="24" t="str">
        <f aca="false">IF($F10="","N",IFERROR(IF(INDEX(Counterparties!$E:$E,MATCH($F10&amp;"",Counterparties!$A:$A,0))="Y","Y","N"),"N"))</f>
        <v>N</v>
      </c>
      <c r="R10" s="25" t="n">
        <f aca="false">IF(OR($H10="",$H10="EUR"),1,IFERROR(INDEX(FX_Rates!$D:$D,MATCH($H10,FX_Rates!$A:$A,0)),""))</f>
        <v>1.1649</v>
      </c>
      <c r="S10" s="26" t="n">
        <f aca="false">IF(AND($I10="",$J10=""),"",IF($J10&lt;&gt;"",$J10,IF(OR($R10="",$R10=0),"",ROUND($I10/$R10,2))))</f>
        <v>-10301.31</v>
      </c>
      <c r="T10" s="24" t="str">
        <f aca="false">IF($N10="","",IFERROR(INDEX(VAT_Codes!$C:$C,MATCH($N10,VAT_Codes!$A:$A,0)),"")&amp;"")</f>
        <v>Output</v>
      </c>
      <c r="U10" s="26" t="n">
        <f aca="false">IF(OR($S10="",$T10="",$T10="None"),0,IF($T10="Output",-$S10,$S10))</f>
        <v>10301.31</v>
      </c>
      <c r="V10" s="27" t="n">
        <f aca="false">IF($N10="",0,IFERROR(INDEX(VAT_Codes!$D:$D,MATCH($N10,VAT_Codes!$A:$A,0)),0))</f>
        <v>0</v>
      </c>
      <c r="W10" s="26" t="n">
        <f aca="false">IF($U10=0,0,IF(IFERROR(INDEX(VAT_Codes!$F:$F,MATCH($N10,VAT_Codes!$A:$A,0)),"N")="Y",$U10,IF($L10&lt;&gt;"",ROUND(ABS($L10)/IF(OR($R10="",$R10=0),1,$R10),2)*SIGN($U10),ROUND($U10*$V10,2))))</f>
        <v>0</v>
      </c>
      <c r="X10" s="24" t="str">
        <f aca="false">IF($N10="","",IFERROR(INDEX(VAT_Codes!$H:$H,MATCH($N10,VAT_Codes!$A:$A,0)),"")&amp;"")</f>
        <v/>
      </c>
      <c r="Y10" s="24" t="n">
        <f aca="false">IF($A10="","",(YEAR($A10)-YEAR(Settings!$C$8))*12+MONTH($A10)-MONTH(Settings!$C$8)+1)</f>
        <v>3</v>
      </c>
      <c r="Z10" s="24" t="str">
        <f aca="false">IF(AND($C10="",$I10="",$J10=""),"",IF($N10="","NO VAT CODE",IF($T10="","UNKNOWN VAT CODE",IF($S10="","MISSING FX RATE",IF(OR($A10&lt;Settings!$C$8,$A10&gt;Settings!$C$9),"OUTSIDE PERIOD",IF(AND(IFERROR(INDEX(VAT_Codes!$E:$E,MATCH($N10,VAT_Codes!$A:$A,0)),"ANY")&lt;&gt;"ANY",$P10=""),"MISSING COUNTERPARTY COUNTRY",IF(AND(IFERROR(INDEX(VAT_Codes!$E:$E,MATCH($N10,VAT_Codes!$A:$A,0)),"ANY")&lt;&gt;"ANY",$P10&lt;&gt;IFERROR(INDEX(VAT_Codes!$E:$E,MATCH($N10,VAT_Codes!$A:$A,0)),"ANY")),"REGION MISMATCH","OK")))))))</f>
        <v>OK</v>
      </c>
    </row>
    <row r="11" customFormat="false" ht="15" hidden="false" customHeight="false" outlineLevel="0" collapsed="false">
      <c r="A11" s="21" t="n">
        <v>46213</v>
      </c>
      <c r="B11" s="22" t="s">
        <v>189</v>
      </c>
      <c r="C11" s="22" t="s">
        <v>190</v>
      </c>
      <c r="D11" s="22" t="s">
        <v>191</v>
      </c>
      <c r="E11" s="22" t="s">
        <v>192</v>
      </c>
      <c r="F11" s="22" t="s">
        <v>193</v>
      </c>
      <c r="G11" s="22" t="s">
        <v>194</v>
      </c>
      <c r="H11" s="22" t="s">
        <v>164</v>
      </c>
      <c r="I11" s="23" t="n">
        <v>2000</v>
      </c>
      <c r="M11" s="24" t="str">
        <f aca="false">IF($C11="","",IFERROR(INDEX(Account_Mapping!$C:$C,MATCH($C11&amp;"",Account_Mapping!$A:$A,0))&amp;"",""))</f>
        <v>P19</v>
      </c>
      <c r="N11" s="24" t="str">
        <f aca="false">IF($K11&lt;&gt;"",$K11,$M11)</f>
        <v>P19</v>
      </c>
      <c r="O11" s="24" t="str">
        <f aca="false">IF($F11="","",IFERROR(INDEX(Counterparties!$C:$C,MATCH($F11&amp;"",Counterparties!$A:$A,0))&amp;"",""))</f>
        <v>CY</v>
      </c>
      <c r="P11" s="24" t="str">
        <f aca="false">IF($O11="","",IF($O11="CY","CY",IF(ISNUMBER(MATCH($O11,Lists!$A:$A,0)),"EU","3RD")))</f>
        <v>CY</v>
      </c>
      <c r="Q11" s="24" t="str">
        <f aca="false">IF($F11="","N",IFERROR(IF(INDEX(Counterparties!$E:$E,MATCH($F11&amp;"",Counterparties!$A:$A,0))="Y","Y","N"),"N"))</f>
        <v>N</v>
      </c>
      <c r="R11" s="25" t="n">
        <f aca="false">IF(OR($H11="",$H11="EUR"),1,IFERROR(INDEX(FX_Rates!$D:$D,MATCH($H11,FX_Rates!$A:$A,0)),""))</f>
        <v>1</v>
      </c>
      <c r="S11" s="26" t="n">
        <f aca="false">IF(AND($I11="",$J11=""),"",IF($J11&lt;&gt;"",$J11,IF(OR($R11="",$R11=0),"",ROUND($I11/$R11,2))))</f>
        <v>2000</v>
      </c>
      <c r="T11" s="24" t="str">
        <f aca="false">IF($N11="","",IFERROR(INDEX(VAT_Codes!$C:$C,MATCH($N11,VAT_Codes!$A:$A,0)),"")&amp;"")</f>
        <v>Input</v>
      </c>
      <c r="U11" s="26" t="n">
        <f aca="false">IF(OR($S11="",$T11="",$T11="None"),0,IF($T11="Output",-$S11,$S11))</f>
        <v>2000</v>
      </c>
      <c r="V11" s="27" t="n">
        <f aca="false">IF($N11="",0,IFERROR(INDEX(VAT_Codes!$D:$D,MATCH($N11,VAT_Codes!$A:$A,0)),0))</f>
        <v>0.19</v>
      </c>
      <c r="W11" s="26" t="n">
        <f aca="false">IF($U11=0,0,IF(IFERROR(INDEX(VAT_Codes!$F:$F,MATCH($N11,VAT_Codes!$A:$A,0)),"N")="Y",$U11,IF($L11&lt;&gt;"",ROUND(ABS($L11)/IF(OR($R11="",$R11=0),1,$R11),2)*SIGN($U11),ROUND($U11*$V11,2))))</f>
        <v>380</v>
      </c>
      <c r="X11" s="24" t="str">
        <f aca="false">IF($N11="","",IFERROR(INDEX(VAT_Codes!$H:$H,MATCH($N11,VAT_Codes!$A:$A,0)),"")&amp;"")</f>
        <v/>
      </c>
      <c r="Y11" s="24" t="n">
        <f aca="false">IF($A11="","",(YEAR($A11)-YEAR(Settings!$C$8))*12+MONTH($A11)-MONTH(Settings!$C$8)+1)</f>
        <v>1</v>
      </c>
      <c r="Z11" s="24" t="str">
        <f aca="false">IF(AND($C11="",$I11="",$J11=""),"",IF($N11="","NO VAT CODE",IF($T11="","UNKNOWN VAT CODE",IF($S11="","MISSING FX RATE",IF(OR($A11&lt;Settings!$C$8,$A11&gt;Settings!$C$9),"OUTSIDE PERIOD",IF(AND(IFERROR(INDEX(VAT_Codes!$E:$E,MATCH($N11,VAT_Codes!$A:$A,0)),"ANY")&lt;&gt;"ANY",$P11=""),"MISSING COUNTERPARTY COUNTRY",IF(AND(IFERROR(INDEX(VAT_Codes!$E:$E,MATCH($N11,VAT_Codes!$A:$A,0)),"ANY")&lt;&gt;"ANY",$P11&lt;&gt;IFERROR(INDEX(VAT_Codes!$E:$E,MATCH($N11,VAT_Codes!$A:$A,0)),"ANY")),"REGION MISMATCH","OK")))))))</f>
        <v>OK</v>
      </c>
    </row>
    <row r="12" customFormat="false" ht="15" hidden="false" customHeight="false" outlineLevel="0" collapsed="false">
      <c r="A12" s="21" t="n">
        <v>46213</v>
      </c>
      <c r="B12" s="22" t="s">
        <v>189</v>
      </c>
      <c r="C12" s="22" t="s">
        <v>89</v>
      </c>
      <c r="D12" s="22" t="s">
        <v>195</v>
      </c>
      <c r="E12" s="22" t="s">
        <v>196</v>
      </c>
      <c r="F12" s="22" t="s">
        <v>193</v>
      </c>
      <c r="G12" s="22" t="s">
        <v>194</v>
      </c>
      <c r="H12" s="22" t="s">
        <v>164</v>
      </c>
      <c r="I12" s="23" t="n">
        <v>380</v>
      </c>
      <c r="M12" s="24" t="str">
        <f aca="false">IF($C12="","",IFERROR(INDEX(Account_Mapping!$C:$C,MATCH($C12&amp;"",Account_Mapping!$A:$A,0))&amp;"",""))</f>
        <v>NR</v>
      </c>
      <c r="N12" s="24" t="str">
        <f aca="false">IF($K12&lt;&gt;"",$K12,$M12)</f>
        <v>NR</v>
      </c>
      <c r="O12" s="24" t="str">
        <f aca="false">IF($F12="","",IFERROR(INDEX(Counterparties!$C:$C,MATCH($F12&amp;"",Counterparties!$A:$A,0))&amp;"",""))</f>
        <v>CY</v>
      </c>
      <c r="P12" s="24" t="str">
        <f aca="false">IF($O12="","",IF($O12="CY","CY",IF(ISNUMBER(MATCH($O12,Lists!$A:$A,0)),"EU","3RD")))</f>
        <v>CY</v>
      </c>
      <c r="Q12" s="24" t="str">
        <f aca="false">IF($F12="","N",IFERROR(IF(INDEX(Counterparties!$E:$E,MATCH($F12&amp;"",Counterparties!$A:$A,0))="Y","Y","N"),"N"))</f>
        <v>N</v>
      </c>
      <c r="R12" s="25" t="n">
        <f aca="false">IF(OR($H12="",$H12="EUR"),1,IFERROR(INDEX(FX_Rates!$D:$D,MATCH($H12,FX_Rates!$A:$A,0)),""))</f>
        <v>1</v>
      </c>
      <c r="S12" s="26" t="n">
        <f aca="false">IF(AND($I12="",$J12=""),"",IF($J12&lt;&gt;"",$J12,IF(OR($R12="",$R12=0),"",ROUND($I12/$R12,2))))</f>
        <v>380</v>
      </c>
      <c r="T12" s="24" t="str">
        <f aca="false">IF($N12="","",IFERROR(INDEX(VAT_Codes!$C:$C,MATCH($N12,VAT_Codes!$A:$A,0)),"")&amp;"")</f>
        <v>None</v>
      </c>
      <c r="U12" s="26" t="n">
        <f aca="false">IF(OR($S12="",$T12="",$T12="None"),0,IF($T12="Output",-$S12,$S12))</f>
        <v>0</v>
      </c>
      <c r="V12" s="27" t="n">
        <f aca="false">IF($N12="",0,IFERROR(INDEX(VAT_Codes!$D:$D,MATCH($N12,VAT_Codes!$A:$A,0)),0))</f>
        <v>0</v>
      </c>
      <c r="W12" s="26" t="n">
        <f aca="false">IF($U12=0,0,IF(IFERROR(INDEX(VAT_Codes!$F:$F,MATCH($N12,VAT_Codes!$A:$A,0)),"N")="Y",$U12,IF($L12&lt;&gt;"",ROUND(ABS($L12)/IF(OR($R12="",$R12=0),1,$R12),2)*SIGN($U12),ROUND($U12*$V12,2))))</f>
        <v>0</v>
      </c>
      <c r="X12" s="24" t="str">
        <f aca="false">IF($N12="","",IFERROR(INDEX(VAT_Codes!$H:$H,MATCH($N12,VAT_Codes!$A:$A,0)),"")&amp;"")</f>
        <v/>
      </c>
      <c r="Y12" s="24" t="n">
        <f aca="false">IF($A12="","",(YEAR($A12)-YEAR(Settings!$C$8))*12+MONTH($A12)-MONTH(Settings!$C$8)+1)</f>
        <v>1</v>
      </c>
      <c r="Z12" s="24" t="str">
        <f aca="false">IF(AND($C12="",$I12="",$J12=""),"",IF($N12="","NO VAT CODE",IF($T12="","UNKNOWN VAT CODE",IF($S12="","MISSING FX RATE",IF(OR($A12&lt;Settings!$C$8,$A12&gt;Settings!$C$9),"OUTSIDE PERIOD",IF(AND(IFERROR(INDEX(VAT_Codes!$E:$E,MATCH($N12,VAT_Codes!$A:$A,0)),"ANY")&lt;&gt;"ANY",$P12=""),"MISSING COUNTERPARTY COUNTRY",IF(AND(IFERROR(INDEX(VAT_Codes!$E:$E,MATCH($N12,VAT_Codes!$A:$A,0)),"ANY")&lt;&gt;"ANY",$P12&lt;&gt;IFERROR(INDEX(VAT_Codes!$E:$E,MATCH($N12,VAT_Codes!$A:$A,0)),"ANY")),"REGION MISMATCH","OK")))))))</f>
        <v>OK</v>
      </c>
    </row>
    <row r="13" customFormat="false" ht="15" hidden="false" customHeight="false" outlineLevel="0" collapsed="false">
      <c r="A13" s="21" t="n">
        <v>46254</v>
      </c>
      <c r="B13" s="22" t="s">
        <v>197</v>
      </c>
      <c r="C13" s="22" t="s">
        <v>198</v>
      </c>
      <c r="D13" s="22" t="s">
        <v>199</v>
      </c>
      <c r="E13" s="22" t="s">
        <v>200</v>
      </c>
      <c r="F13" s="22" t="s">
        <v>201</v>
      </c>
      <c r="G13" s="22" t="s">
        <v>202</v>
      </c>
      <c r="H13" s="22" t="s">
        <v>164</v>
      </c>
      <c r="I13" s="23" t="n">
        <v>15000</v>
      </c>
      <c r="M13" s="24" t="str">
        <f aca="false">IF($C13="","",IFERROR(INDEX(Account_Mapping!$C:$C,MATCH($C13&amp;"",Account_Mapping!$A:$A,0))&amp;"",""))</f>
        <v>AES19</v>
      </c>
      <c r="N13" s="24" t="str">
        <f aca="false">IF($K13&lt;&gt;"",$K13,$M13)</f>
        <v>AES19</v>
      </c>
      <c r="O13" s="24" t="str">
        <f aca="false">IF($F13="","",IFERROR(INDEX(Counterparties!$C:$C,MATCH($F13&amp;"",Counterparties!$A:$A,0))&amp;"",""))</f>
        <v>NL</v>
      </c>
      <c r="P13" s="24" t="str">
        <f aca="false">IF($O13="","",IF($O13="CY","CY",IF(ISNUMBER(MATCH($O13,Lists!$A:$A,0)),"EU","3RD")))</f>
        <v>EU</v>
      </c>
      <c r="Q13" s="24" t="str">
        <f aca="false">IF($F13="","N",IFERROR(IF(INDEX(Counterparties!$E:$E,MATCH($F13&amp;"",Counterparties!$A:$A,0))="Y","Y","N"),"N"))</f>
        <v>Y</v>
      </c>
      <c r="R13" s="25" t="n">
        <f aca="false">IF(OR($H13="",$H13="EUR"),1,IFERROR(INDEX(FX_Rates!$D:$D,MATCH($H13,FX_Rates!$A:$A,0)),""))</f>
        <v>1</v>
      </c>
      <c r="S13" s="26" t="n">
        <f aca="false">IF(AND($I13="",$J13=""),"",IF($J13&lt;&gt;"",$J13,IF(OR($R13="",$R13=0),"",ROUND($I13/$R13,2))))</f>
        <v>15000</v>
      </c>
      <c r="T13" s="24" t="str">
        <f aca="false">IF($N13="","",IFERROR(INDEX(VAT_Codes!$C:$C,MATCH($N13,VAT_Codes!$A:$A,0)),"")&amp;"")</f>
        <v>Input</v>
      </c>
      <c r="U13" s="26" t="n">
        <f aca="false">IF(OR($S13="",$T13="",$T13="None"),0,IF($T13="Output",-$S13,$S13))</f>
        <v>15000</v>
      </c>
      <c r="V13" s="27" t="n">
        <f aca="false">IF($N13="",0,IFERROR(INDEX(VAT_Codes!$D:$D,MATCH($N13,VAT_Codes!$A:$A,0)),0))</f>
        <v>0.19</v>
      </c>
      <c r="W13" s="26" t="n">
        <f aca="false">IF($U13=0,0,IF(IFERROR(INDEX(VAT_Codes!$F:$F,MATCH($N13,VAT_Codes!$A:$A,0)),"N")="Y",$U13,IF($L13&lt;&gt;"",ROUND(ABS($L13)/IF(OR($R13="",$R13=0),1,$R13),2)*SIGN($U13),ROUND($U13*$V13,2))))</f>
        <v>2850</v>
      </c>
      <c r="X13" s="24" t="str">
        <f aca="false">IF($N13="","",IFERROR(INDEX(VAT_Codes!$H:$H,MATCH($N13,VAT_Codes!$A:$A,0)),"")&amp;"")</f>
        <v/>
      </c>
      <c r="Y13" s="24" t="n">
        <f aca="false">IF($A13="","",(YEAR($A13)-YEAR(Settings!$C$8))*12+MONTH($A13)-MONTH(Settings!$C$8)+1)</f>
        <v>2</v>
      </c>
      <c r="Z13" s="24" t="str">
        <f aca="false">IF(AND($C13="",$I13="",$J13=""),"",IF($N13="","NO VAT CODE",IF($T13="","UNKNOWN VAT CODE",IF($S13="","MISSING FX RATE",IF(OR($A13&lt;Settings!$C$8,$A13&gt;Settings!$C$9),"OUTSIDE PERIOD",IF(AND(IFERROR(INDEX(VAT_Codes!$E:$E,MATCH($N13,VAT_Codes!$A:$A,0)),"ANY")&lt;&gt;"ANY",$P13=""),"MISSING COUNTERPARTY COUNTRY",IF(AND(IFERROR(INDEX(VAT_Codes!$E:$E,MATCH($N13,VAT_Codes!$A:$A,0)),"ANY")&lt;&gt;"ANY",$P13&lt;&gt;IFERROR(INDEX(VAT_Codes!$E:$E,MATCH($N13,VAT_Codes!$A:$A,0)),"ANY")),"REGION MISMATCH","OK")))))))</f>
        <v>OK</v>
      </c>
    </row>
    <row r="14" customFormat="false" ht="15" hidden="false" customHeight="false" outlineLevel="0" collapsed="false">
      <c r="A14" s="21" t="n">
        <v>46236</v>
      </c>
      <c r="B14" s="22" t="s">
        <v>203</v>
      </c>
      <c r="C14" s="22" t="s">
        <v>190</v>
      </c>
      <c r="D14" s="22" t="s">
        <v>191</v>
      </c>
      <c r="E14" s="22" t="s">
        <v>204</v>
      </c>
      <c r="F14" s="22" t="s">
        <v>205</v>
      </c>
      <c r="G14" s="22" t="s">
        <v>206</v>
      </c>
      <c r="H14" s="22" t="s">
        <v>176</v>
      </c>
      <c r="I14" s="23" t="n">
        <v>1200</v>
      </c>
      <c r="K14" s="22" t="s">
        <v>207</v>
      </c>
      <c r="M14" s="24" t="str">
        <f aca="false">IF($C14="","",IFERROR(INDEX(Account_Mapping!$C:$C,MATCH($C14&amp;"",Account_Mapping!$A:$A,0))&amp;"",""))</f>
        <v>P19</v>
      </c>
      <c r="N14" s="24" t="str">
        <f aca="false">IF($K14&lt;&gt;"",$K14,$M14)</f>
        <v>A3S19</v>
      </c>
      <c r="O14" s="24" t="str">
        <f aca="false">IF($F14="","",IFERROR(INDEX(Counterparties!$C:$C,MATCH($F14&amp;"",Counterparties!$A:$A,0))&amp;"",""))</f>
        <v>US</v>
      </c>
      <c r="P14" s="24" t="str">
        <f aca="false">IF($O14="","",IF($O14="CY","CY",IF(ISNUMBER(MATCH($O14,Lists!$A:$A,0)),"EU","3RD")))</f>
        <v>3RD</v>
      </c>
      <c r="Q14" s="24" t="str">
        <f aca="false">IF($F14="","N",IFERROR(IF(INDEX(Counterparties!$E:$E,MATCH($F14&amp;"",Counterparties!$A:$A,0))="Y","Y","N"),"N"))</f>
        <v>N</v>
      </c>
      <c r="R14" s="25" t="n">
        <f aca="false">IF(OR($H14="",$H14="EUR"),1,IFERROR(INDEX(FX_Rates!$D:$D,MATCH($H14,FX_Rates!$A:$A,0)),""))</f>
        <v>1.1649</v>
      </c>
      <c r="S14" s="26" t="n">
        <f aca="false">IF(AND($I14="",$J14=""),"",IF($J14&lt;&gt;"",$J14,IF(OR($R14="",$R14=0),"",ROUND($I14/$R14,2))))</f>
        <v>1030.13</v>
      </c>
      <c r="T14" s="24" t="str">
        <f aca="false">IF($N14="","",IFERROR(INDEX(VAT_Codes!$C:$C,MATCH($N14,VAT_Codes!$A:$A,0)),"")&amp;"")</f>
        <v>Input</v>
      </c>
      <c r="U14" s="26" t="n">
        <f aca="false">IF(OR($S14="",$T14="",$T14="None"),0,IF($T14="Output",-$S14,$S14))</f>
        <v>1030.13</v>
      </c>
      <c r="V14" s="27" t="n">
        <f aca="false">IF($N14="",0,IFERROR(INDEX(VAT_Codes!$D:$D,MATCH($N14,VAT_Codes!$A:$A,0)),0))</f>
        <v>0.19</v>
      </c>
      <c r="W14" s="26" t="n">
        <f aca="false">IF($U14=0,0,IF(IFERROR(INDEX(VAT_Codes!$F:$F,MATCH($N14,VAT_Codes!$A:$A,0)),"N")="Y",$U14,IF($L14&lt;&gt;"",ROUND(ABS($L14)/IF(OR($R14="",$R14=0),1,$R14),2)*SIGN($U14),ROUND($U14*$V14,2))))</f>
        <v>195.72</v>
      </c>
      <c r="X14" s="24" t="str">
        <f aca="false">IF($N14="","",IFERROR(INDEX(VAT_Codes!$H:$H,MATCH($N14,VAT_Codes!$A:$A,0)),"")&amp;"")</f>
        <v/>
      </c>
      <c r="Y14" s="24" t="n">
        <f aca="false">IF($A14="","",(YEAR($A14)-YEAR(Settings!$C$8))*12+MONTH($A14)-MONTH(Settings!$C$8)+1)</f>
        <v>2</v>
      </c>
      <c r="Z14" s="24" t="str">
        <f aca="false">IF(AND($C14="",$I14="",$J14=""),"",IF($N14="","NO VAT CODE",IF($T14="","UNKNOWN VAT CODE",IF($S14="","MISSING FX RATE",IF(OR($A14&lt;Settings!$C$8,$A14&gt;Settings!$C$9),"OUTSIDE PERIOD",IF(AND(IFERROR(INDEX(VAT_Codes!$E:$E,MATCH($N14,VAT_Codes!$A:$A,0)),"ANY")&lt;&gt;"ANY",$P14=""),"MISSING COUNTERPARTY COUNTRY",IF(AND(IFERROR(INDEX(VAT_Codes!$E:$E,MATCH($N14,VAT_Codes!$A:$A,0)),"ANY")&lt;&gt;"ANY",$P14&lt;&gt;IFERROR(INDEX(VAT_Codes!$E:$E,MATCH($N14,VAT_Codes!$A:$A,0)),"ANY")),"REGION MISMATCH","OK")))))))</f>
        <v>OK</v>
      </c>
    </row>
    <row r="15" customFormat="false" ht="15" hidden="false" customHeight="false" outlineLevel="0" collapsed="false">
      <c r="A15" s="21" t="n">
        <v>46273</v>
      </c>
      <c r="B15" s="22" t="s">
        <v>208</v>
      </c>
      <c r="C15" s="22" t="s">
        <v>209</v>
      </c>
      <c r="D15" s="22" t="s">
        <v>210</v>
      </c>
      <c r="E15" s="22" t="s">
        <v>211</v>
      </c>
      <c r="F15" s="22" t="s">
        <v>212</v>
      </c>
      <c r="G15" s="22" t="s">
        <v>213</v>
      </c>
      <c r="H15" s="22" t="s">
        <v>164</v>
      </c>
      <c r="I15" s="23" t="n">
        <v>5000</v>
      </c>
      <c r="M15" s="24" t="str">
        <f aca="false">IF($C15="","",IFERROR(INDEX(Account_Mapping!$C:$C,MATCH($C15&amp;"",Account_Mapping!$A:$A,0))&amp;"",""))</f>
        <v>AEG19</v>
      </c>
      <c r="N15" s="24" t="str">
        <f aca="false">IF($K15&lt;&gt;"",$K15,$M15)</f>
        <v>AEG19</v>
      </c>
      <c r="O15" s="24" t="str">
        <f aca="false">IF($F15="","",IFERROR(INDEX(Counterparties!$C:$C,MATCH($F15&amp;"",Counterparties!$A:$A,0))&amp;"",""))</f>
        <v>DE</v>
      </c>
      <c r="P15" s="24" t="str">
        <f aca="false">IF($O15="","",IF($O15="CY","CY",IF(ISNUMBER(MATCH($O15,Lists!$A:$A,0)),"EU","3RD")))</f>
        <v>EU</v>
      </c>
      <c r="Q15" s="24" t="str">
        <f aca="false">IF($F15="","N",IFERROR(IF(INDEX(Counterparties!$E:$E,MATCH($F15&amp;"",Counterparties!$A:$A,0))="Y","Y","N"),"N"))</f>
        <v>N</v>
      </c>
      <c r="R15" s="25" t="n">
        <f aca="false">IF(OR($H15="",$H15="EUR"),1,IFERROR(INDEX(FX_Rates!$D:$D,MATCH($H15,FX_Rates!$A:$A,0)),""))</f>
        <v>1</v>
      </c>
      <c r="S15" s="26" t="n">
        <f aca="false">IF(AND($I15="",$J15=""),"",IF($J15&lt;&gt;"",$J15,IF(OR($R15="",$R15=0),"",ROUND($I15/$R15,2))))</f>
        <v>5000</v>
      </c>
      <c r="T15" s="24" t="str">
        <f aca="false">IF($N15="","",IFERROR(INDEX(VAT_Codes!$C:$C,MATCH($N15,VAT_Codes!$A:$A,0)),"")&amp;"")</f>
        <v>Input</v>
      </c>
      <c r="U15" s="26" t="n">
        <f aca="false">IF(OR($S15="",$T15="",$T15="None"),0,IF($T15="Output",-$S15,$S15))</f>
        <v>5000</v>
      </c>
      <c r="V15" s="27" t="n">
        <f aca="false">IF($N15="",0,IFERROR(INDEX(VAT_Codes!$D:$D,MATCH($N15,VAT_Codes!$A:$A,0)),0))</f>
        <v>0.19</v>
      </c>
      <c r="W15" s="26" t="n">
        <f aca="false">IF($U15=0,0,IF(IFERROR(INDEX(VAT_Codes!$F:$F,MATCH($N15,VAT_Codes!$A:$A,0)),"N")="Y",$U15,IF($L15&lt;&gt;"",ROUND(ABS($L15)/IF(OR($R15="",$R15=0),1,$R15),2)*SIGN($U15),ROUND($U15*$V15,2))))</f>
        <v>950</v>
      </c>
      <c r="X15" s="24" t="str">
        <f aca="false">IF($N15="","",IFERROR(INDEX(VAT_Codes!$H:$H,MATCH($N15,VAT_Codes!$A:$A,0)),"")&amp;"")</f>
        <v/>
      </c>
      <c r="Y15" s="24" t="n">
        <f aca="false">IF($A15="","",(YEAR($A15)-YEAR(Settings!$C$8))*12+MONTH($A15)-MONTH(Settings!$C$8)+1)</f>
        <v>3</v>
      </c>
      <c r="Z15" s="24" t="str">
        <f aca="false">IF(AND($C15="",$I15="",$J15=""),"",IF($N15="","NO VAT CODE",IF($T15="","UNKNOWN VAT CODE",IF($S15="","MISSING FX RATE",IF(OR($A15&lt;Settings!$C$8,$A15&gt;Settings!$C$9),"OUTSIDE PERIOD",IF(AND(IFERROR(INDEX(VAT_Codes!$E:$E,MATCH($N15,VAT_Codes!$A:$A,0)),"ANY")&lt;&gt;"ANY",$P15=""),"MISSING COUNTERPARTY COUNTRY",IF(AND(IFERROR(INDEX(VAT_Codes!$E:$E,MATCH($N15,VAT_Codes!$A:$A,0)),"ANY")&lt;&gt;"ANY",$P15&lt;&gt;IFERROR(INDEX(VAT_Codes!$E:$E,MATCH($N15,VAT_Codes!$A:$A,0)),"ANY")),"REGION MISMATCH","OK")))))))</f>
        <v>OK</v>
      </c>
    </row>
    <row r="16" customFormat="false" ht="15" hidden="false" customHeight="false" outlineLevel="0" collapsed="false">
      <c r="A16" s="21" t="n">
        <v>46280</v>
      </c>
      <c r="B16" s="22" t="s">
        <v>214</v>
      </c>
      <c r="C16" s="22" t="s">
        <v>215</v>
      </c>
      <c r="D16" s="22" t="s">
        <v>216</v>
      </c>
      <c r="E16" s="22" t="s">
        <v>217</v>
      </c>
      <c r="F16" s="22" t="s">
        <v>218</v>
      </c>
      <c r="G16" s="22" t="s">
        <v>219</v>
      </c>
      <c r="H16" s="22" t="s">
        <v>176</v>
      </c>
      <c r="I16" s="23" t="n">
        <v>4000</v>
      </c>
      <c r="M16" s="24" t="str">
        <f aca="false">IF($C16="","",IFERROR(INDEX(Account_Mapping!$C:$C,MATCH($C16&amp;"",Account_Mapping!$A:$A,0))&amp;"",""))</f>
        <v>IMP</v>
      </c>
      <c r="N16" s="24" t="str">
        <f aca="false">IF($K16&lt;&gt;"",$K16,$M16)</f>
        <v>IMP</v>
      </c>
      <c r="O16" s="24" t="str">
        <f aca="false">IF($F16="","",IFERROR(INDEX(Counterparties!$C:$C,MATCH($F16&amp;"",Counterparties!$A:$A,0))&amp;"",""))</f>
        <v>CN</v>
      </c>
      <c r="P16" s="24" t="str">
        <f aca="false">IF($O16="","",IF($O16="CY","CY",IF(ISNUMBER(MATCH($O16,Lists!$A:$A,0)),"EU","3RD")))</f>
        <v>3RD</v>
      </c>
      <c r="Q16" s="24" t="str">
        <f aca="false">IF($F16="","N",IFERROR(IF(INDEX(Counterparties!$E:$E,MATCH($F16&amp;"",Counterparties!$A:$A,0))="Y","Y","N"),"N"))</f>
        <v>N</v>
      </c>
      <c r="R16" s="25" t="n">
        <f aca="false">IF(OR($H16="",$H16="EUR"),1,IFERROR(INDEX(FX_Rates!$D:$D,MATCH($H16,FX_Rates!$A:$A,0)),""))</f>
        <v>1.1649</v>
      </c>
      <c r="S16" s="26" t="n">
        <f aca="false">IF(AND($I16="",$J16=""),"",IF($J16&lt;&gt;"",$J16,IF(OR($R16="",$R16=0),"",ROUND($I16/$R16,2))))</f>
        <v>3433.77</v>
      </c>
      <c r="T16" s="24" t="str">
        <f aca="false">IF($N16="","",IFERROR(INDEX(VAT_Codes!$C:$C,MATCH($N16,VAT_Codes!$A:$A,0)),"")&amp;"")</f>
        <v>Input</v>
      </c>
      <c r="U16" s="26" t="n">
        <f aca="false">IF(OR($S16="",$T16="",$T16="None"),0,IF($T16="Output",-$S16,$S16))</f>
        <v>3433.77</v>
      </c>
      <c r="V16" s="27" t="n">
        <f aca="false">IF($N16="",0,IFERROR(INDEX(VAT_Codes!$D:$D,MATCH($N16,VAT_Codes!$A:$A,0)),0))</f>
        <v>0</v>
      </c>
      <c r="W16" s="26" t="n">
        <f aca="false">IF($U16=0,0,IF(IFERROR(INDEX(VAT_Codes!$F:$F,MATCH($N16,VAT_Codes!$A:$A,0)),"N")="Y",$U16,IF($L16&lt;&gt;"",ROUND(ABS($L16)/IF(OR($R16="",$R16=0),1,$R16),2)*SIGN($U16),ROUND($U16*$V16,2))))</f>
        <v>0</v>
      </c>
      <c r="X16" s="24" t="str">
        <f aca="false">IF($N16="","",IFERROR(INDEX(VAT_Codes!$H:$H,MATCH($N16,VAT_Codes!$A:$A,0)),"")&amp;"")</f>
        <v/>
      </c>
      <c r="Y16" s="24" t="n">
        <f aca="false">IF($A16="","",(YEAR($A16)-YEAR(Settings!$C$8))*12+MONTH($A16)-MONTH(Settings!$C$8)+1)</f>
        <v>3</v>
      </c>
      <c r="Z16" s="24" t="str">
        <f aca="false">IF(AND($C16="",$I16="",$J16=""),"",IF($N16="","NO VAT CODE",IF($T16="","UNKNOWN VAT CODE",IF($S16="","MISSING FX RATE",IF(OR($A16&lt;Settings!$C$8,$A16&gt;Settings!$C$9),"OUTSIDE PERIOD",IF(AND(IFERROR(INDEX(VAT_Codes!$E:$E,MATCH($N16,VAT_Codes!$A:$A,0)),"ANY")&lt;&gt;"ANY",$P16=""),"MISSING COUNTERPARTY COUNTRY",IF(AND(IFERROR(INDEX(VAT_Codes!$E:$E,MATCH($N16,VAT_Codes!$A:$A,0)),"ANY")&lt;&gt;"ANY",$P16&lt;&gt;IFERROR(INDEX(VAT_Codes!$E:$E,MATCH($N16,VAT_Codes!$A:$A,0)),"ANY")),"REGION MISMATCH","OK")))))))</f>
        <v>OK</v>
      </c>
    </row>
    <row r="17" customFormat="false" ht="15" hidden="false" customHeight="false" outlineLevel="0" collapsed="false">
      <c r="A17" s="21" t="n">
        <v>46280</v>
      </c>
      <c r="B17" s="22" t="s">
        <v>220</v>
      </c>
      <c r="C17" s="22" t="s">
        <v>221</v>
      </c>
      <c r="D17" s="22" t="s">
        <v>222</v>
      </c>
      <c r="E17" s="22" t="s">
        <v>223</v>
      </c>
      <c r="H17" s="22" t="s">
        <v>164</v>
      </c>
      <c r="I17" s="23" t="n">
        <v>700</v>
      </c>
      <c r="M17" s="24" t="str">
        <f aca="false">IF($C17="","",IFERROR(INDEX(Account_Mapping!$C:$C,MATCH($C17&amp;"",Account_Mapping!$A:$A,0))&amp;"",""))</f>
        <v>IVAT</v>
      </c>
      <c r="N17" s="24" t="str">
        <f aca="false">IF($K17&lt;&gt;"",$K17,$M17)</f>
        <v>IVAT</v>
      </c>
      <c r="O17" s="24" t="str">
        <f aca="false">IF($F17="","",IFERROR(INDEX(Counterparties!$C:$C,MATCH($F17&amp;"",Counterparties!$A:$A,0))&amp;"",""))</f>
        <v/>
      </c>
      <c r="P17" s="24" t="str">
        <f aca="false">IF($O17="","",IF($O17="CY","CY",IF(ISNUMBER(MATCH($O17,Lists!$A:$A,0)),"EU","3RD")))</f>
        <v/>
      </c>
      <c r="Q17" s="24" t="str">
        <f aca="false">IF($F17="","N",IFERROR(IF(INDEX(Counterparties!$E:$E,MATCH($F17&amp;"",Counterparties!$A:$A,0))="Y","Y","N"),"N"))</f>
        <v>N</v>
      </c>
      <c r="R17" s="25" t="n">
        <f aca="false">IF(OR($H17="",$H17="EUR"),1,IFERROR(INDEX(FX_Rates!$D:$D,MATCH($H17,FX_Rates!$A:$A,0)),""))</f>
        <v>1</v>
      </c>
      <c r="S17" s="26" t="n">
        <f aca="false">IF(AND($I17="",$J17=""),"",IF($J17&lt;&gt;"",$J17,IF(OR($R17="",$R17=0),"",ROUND($I17/$R17,2))))</f>
        <v>700</v>
      </c>
      <c r="T17" s="24" t="str">
        <f aca="false">IF($N17="","",IFERROR(INDEX(VAT_Codes!$C:$C,MATCH($N17,VAT_Codes!$A:$A,0)),"")&amp;"")</f>
        <v>Input</v>
      </c>
      <c r="U17" s="26" t="n">
        <f aca="false">IF(OR($S17="",$T17="",$T17="None"),0,IF($T17="Output",-$S17,$S17))</f>
        <v>700</v>
      </c>
      <c r="V17" s="27" t="n">
        <f aca="false">IF($N17="",0,IFERROR(INDEX(VAT_Codes!$D:$D,MATCH($N17,VAT_Codes!$A:$A,0)),0))</f>
        <v>0</v>
      </c>
      <c r="W17" s="26" t="n">
        <f aca="false">IF($U17=0,0,IF(IFERROR(INDEX(VAT_Codes!$F:$F,MATCH($N17,VAT_Codes!$A:$A,0)),"N")="Y",$U17,IF($L17&lt;&gt;"",ROUND(ABS($L17)/IF(OR($R17="",$R17=0),1,$R17),2)*SIGN($U17),ROUND($U17*$V17,2))))</f>
        <v>700</v>
      </c>
      <c r="X17" s="24" t="str">
        <f aca="false">IF($N17="","",IFERROR(INDEX(VAT_Codes!$H:$H,MATCH($N17,VAT_Codes!$A:$A,0)),"")&amp;"")</f>
        <v/>
      </c>
      <c r="Y17" s="24" t="n">
        <f aca="false">IF($A17="","",(YEAR($A17)-YEAR(Settings!$C$8))*12+MONTH($A17)-MONTH(Settings!$C$8)+1)</f>
        <v>3</v>
      </c>
      <c r="Z17" s="24" t="str">
        <f aca="false">IF(AND($C17="",$I17="",$J17=""),"",IF($N17="","NO VAT CODE",IF($T17="","UNKNOWN VAT CODE",IF($S17="","MISSING FX RATE",IF(OR($A17&lt;Settings!$C$8,$A17&gt;Settings!$C$9),"OUTSIDE PERIOD",IF(AND(IFERROR(INDEX(VAT_Codes!$E:$E,MATCH($N17,VAT_Codes!$A:$A,0)),"ANY")&lt;&gt;"ANY",$P17=""),"MISSING COUNTERPARTY COUNTRY",IF(AND(IFERROR(INDEX(VAT_Codes!$E:$E,MATCH($N17,VAT_Codes!$A:$A,0)),"ANY")&lt;&gt;"ANY",$P17&lt;&gt;IFERROR(INDEX(VAT_Codes!$E:$E,MATCH($N17,VAT_Codes!$A:$A,0)),"ANY")),"REGION MISMATCH","OK")))))))</f>
        <v>OK</v>
      </c>
    </row>
    <row r="18" customFormat="false" ht="15" hidden="false" customHeight="false" outlineLevel="0" collapsed="false">
      <c r="A18" s="21" t="n">
        <v>46259</v>
      </c>
      <c r="B18" s="22" t="s">
        <v>224</v>
      </c>
      <c r="C18" s="22" t="s">
        <v>225</v>
      </c>
      <c r="D18" s="22" t="s">
        <v>226</v>
      </c>
      <c r="E18" s="22" t="s">
        <v>227</v>
      </c>
      <c r="F18" s="22" t="s">
        <v>228</v>
      </c>
      <c r="G18" s="22" t="s">
        <v>229</v>
      </c>
      <c r="H18" s="22" t="s">
        <v>164</v>
      </c>
      <c r="I18" s="23" t="n">
        <v>300</v>
      </c>
      <c r="L18" s="23" t="n">
        <v>57</v>
      </c>
      <c r="M18" s="24" t="str">
        <f aca="false">IF($C18="","",IFERROR(INDEX(Account_Mapping!$C:$C,MATCH($C18&amp;"",Account_Mapping!$A:$A,0))&amp;"",""))</f>
        <v>PB19</v>
      </c>
      <c r="N18" s="24" t="str">
        <f aca="false">IF($K18&lt;&gt;"",$K18,$M18)</f>
        <v>PB19</v>
      </c>
      <c r="O18" s="24" t="str">
        <f aca="false">IF($F18="","",IFERROR(INDEX(Counterparties!$C:$C,MATCH($F18&amp;"",Counterparties!$A:$A,0))&amp;"",""))</f>
        <v>CY</v>
      </c>
      <c r="P18" s="24" t="str">
        <f aca="false">IF($O18="","",IF($O18="CY","CY",IF(ISNUMBER(MATCH($O18,Lists!$A:$A,0)),"EU","3RD")))</f>
        <v>CY</v>
      </c>
      <c r="Q18" s="24" t="str">
        <f aca="false">IF($F18="","N",IFERROR(IF(INDEX(Counterparties!$E:$E,MATCH($F18&amp;"",Counterparties!$A:$A,0))="Y","Y","N"),"N"))</f>
        <v>N</v>
      </c>
      <c r="R18" s="25" t="n">
        <f aca="false">IF(OR($H18="",$H18="EUR"),1,IFERROR(INDEX(FX_Rates!$D:$D,MATCH($H18,FX_Rates!$A:$A,0)),""))</f>
        <v>1</v>
      </c>
      <c r="S18" s="26" t="n">
        <f aca="false">IF(AND($I18="",$J18=""),"",IF($J18&lt;&gt;"",$J18,IF(OR($R18="",$R18=0),"",ROUND($I18/$R18,2))))</f>
        <v>300</v>
      </c>
      <c r="T18" s="24" t="str">
        <f aca="false">IF($N18="","",IFERROR(INDEX(VAT_Codes!$C:$C,MATCH($N18,VAT_Codes!$A:$A,0)),"")&amp;"")</f>
        <v>Input</v>
      </c>
      <c r="U18" s="26" t="n">
        <f aca="false">IF(OR($S18="",$T18="",$T18="None"),0,IF($T18="Output",-$S18,$S18))</f>
        <v>300</v>
      </c>
      <c r="V18" s="27" t="n">
        <f aca="false">IF($N18="",0,IFERROR(INDEX(VAT_Codes!$D:$D,MATCH($N18,VAT_Codes!$A:$A,0)),0))</f>
        <v>0.19</v>
      </c>
      <c r="W18" s="26" t="n">
        <f aca="false">IF($U18=0,0,IF(IFERROR(INDEX(VAT_Codes!$F:$F,MATCH($N18,VAT_Codes!$A:$A,0)),"N")="Y",$U18,IF($L18&lt;&gt;"",ROUND(ABS($L18)/IF(OR($R18="",$R18=0),1,$R18),2)*SIGN($U18),ROUND($U18*$V18,2))))</f>
        <v>57</v>
      </c>
      <c r="X18" s="24" t="str">
        <f aca="false">IF($N18="","",IFERROR(INDEX(VAT_Codes!$H:$H,MATCH($N18,VAT_Codes!$A:$A,0)),"")&amp;"")</f>
        <v/>
      </c>
      <c r="Y18" s="24" t="n">
        <f aca="false">IF($A18="","",(YEAR($A18)-YEAR(Settings!$C$8))*12+MONTH($A18)-MONTH(Settings!$C$8)+1)</f>
        <v>2</v>
      </c>
      <c r="Z18" s="24" t="str">
        <f aca="false">IF(AND($C18="",$I18="",$J18=""),"",IF($N18="","NO VAT CODE",IF($T18="","UNKNOWN VAT CODE",IF($S18="","MISSING FX RATE",IF(OR($A18&lt;Settings!$C$8,$A18&gt;Settings!$C$9),"OUTSIDE PERIOD",IF(AND(IFERROR(INDEX(VAT_Codes!$E:$E,MATCH($N18,VAT_Codes!$A:$A,0)),"ANY")&lt;&gt;"ANY",$P18=""),"MISSING COUNTERPARTY COUNTRY",IF(AND(IFERROR(INDEX(VAT_Codes!$E:$E,MATCH($N18,VAT_Codes!$A:$A,0)),"ANY")&lt;&gt;"ANY",$P18&lt;&gt;IFERROR(INDEX(VAT_Codes!$E:$E,MATCH($N18,VAT_Codes!$A:$A,0)),"ANY")),"REGION MISMATCH","OK")))))))</f>
        <v>OK</v>
      </c>
    </row>
    <row r="19" customFormat="false" ht="15" hidden="false" customHeight="false" outlineLevel="0" collapsed="false">
      <c r="A19" s="21" t="n">
        <v>46231</v>
      </c>
      <c r="B19" s="22" t="s">
        <v>230</v>
      </c>
      <c r="C19" s="22" t="s">
        <v>231</v>
      </c>
      <c r="D19" s="22" t="s">
        <v>232</v>
      </c>
      <c r="E19" s="22" t="s">
        <v>233</v>
      </c>
      <c r="H19" s="22" t="s">
        <v>164</v>
      </c>
      <c r="I19" s="23" t="n">
        <v>20000</v>
      </c>
      <c r="M19" s="24" t="str">
        <f aca="false">IF($C19="","",IFERROR(INDEX(Account_Mapping!$C:$C,MATCH($C19&amp;"",Account_Mapping!$A:$A,0))&amp;"",""))</f>
        <v>NR</v>
      </c>
      <c r="N19" s="24" t="str">
        <f aca="false">IF($K19&lt;&gt;"",$K19,$M19)</f>
        <v>NR</v>
      </c>
      <c r="O19" s="24" t="str">
        <f aca="false">IF($F19="","",IFERROR(INDEX(Counterparties!$C:$C,MATCH($F19&amp;"",Counterparties!$A:$A,0))&amp;"",""))</f>
        <v/>
      </c>
      <c r="P19" s="24" t="str">
        <f aca="false">IF($O19="","",IF($O19="CY","CY",IF(ISNUMBER(MATCH($O19,Lists!$A:$A,0)),"EU","3RD")))</f>
        <v/>
      </c>
      <c r="Q19" s="24" t="str">
        <f aca="false">IF($F19="","N",IFERROR(IF(INDEX(Counterparties!$E:$E,MATCH($F19&amp;"",Counterparties!$A:$A,0))="Y","Y","N"),"N"))</f>
        <v>N</v>
      </c>
      <c r="R19" s="25" t="n">
        <f aca="false">IF(OR($H19="",$H19="EUR"),1,IFERROR(INDEX(FX_Rates!$D:$D,MATCH($H19,FX_Rates!$A:$A,0)),""))</f>
        <v>1</v>
      </c>
      <c r="S19" s="26" t="n">
        <f aca="false">IF(AND($I19="",$J19=""),"",IF($J19&lt;&gt;"",$J19,IF(OR($R19="",$R19=0),"",ROUND($I19/$R19,2))))</f>
        <v>20000</v>
      </c>
      <c r="T19" s="24" t="str">
        <f aca="false">IF($N19="","",IFERROR(INDEX(VAT_Codes!$C:$C,MATCH($N19,VAT_Codes!$A:$A,0)),"")&amp;"")</f>
        <v>None</v>
      </c>
      <c r="U19" s="26" t="n">
        <f aca="false">IF(OR($S19="",$T19="",$T19="None"),0,IF($T19="Output",-$S19,$S19))</f>
        <v>0</v>
      </c>
      <c r="V19" s="27" t="n">
        <f aca="false">IF($N19="",0,IFERROR(INDEX(VAT_Codes!$D:$D,MATCH($N19,VAT_Codes!$A:$A,0)),0))</f>
        <v>0</v>
      </c>
      <c r="W19" s="26" t="n">
        <f aca="false">IF($U19=0,0,IF(IFERROR(INDEX(VAT_Codes!$F:$F,MATCH($N19,VAT_Codes!$A:$A,0)),"N")="Y",$U19,IF($L19&lt;&gt;"",ROUND(ABS($L19)/IF(OR($R19="",$R19=0),1,$R19),2)*SIGN($U19),ROUND($U19*$V19,2))))</f>
        <v>0</v>
      </c>
      <c r="X19" s="24" t="str">
        <f aca="false">IF($N19="","",IFERROR(INDEX(VAT_Codes!$H:$H,MATCH($N19,VAT_Codes!$A:$A,0)),"")&amp;"")</f>
        <v/>
      </c>
      <c r="Y19" s="24" t="n">
        <f aca="false">IF($A19="","",(YEAR($A19)-YEAR(Settings!$C$8))*12+MONTH($A19)-MONTH(Settings!$C$8)+1)</f>
        <v>1</v>
      </c>
      <c r="Z19" s="24" t="str">
        <f aca="false">IF(AND($C19="",$I19="",$J19=""),"",IF($N19="","NO VAT CODE",IF($T19="","UNKNOWN VAT CODE",IF($S19="","MISSING FX RATE",IF(OR($A19&lt;Settings!$C$8,$A19&gt;Settings!$C$9),"OUTSIDE PERIOD",IF(AND(IFERROR(INDEX(VAT_Codes!$E:$E,MATCH($N19,VAT_Codes!$A:$A,0)),"ANY")&lt;&gt;"ANY",$P19=""),"MISSING COUNTERPARTY COUNTRY",IF(AND(IFERROR(INDEX(VAT_Codes!$E:$E,MATCH($N19,VAT_Codes!$A:$A,0)),"ANY")&lt;&gt;"ANY",$P19&lt;&gt;IFERROR(INDEX(VAT_Codes!$E:$E,MATCH($N19,VAT_Codes!$A:$A,0)),"ANY")),"REGION MISMATCH","OK")))))))</f>
        <v>OK</v>
      </c>
    </row>
    <row r="20" customFormat="false" ht="15" hidden="false" customHeight="false" outlineLevel="0" collapsed="false">
      <c r="A20" s="21" t="n">
        <v>46231</v>
      </c>
      <c r="B20" s="22" t="s">
        <v>230</v>
      </c>
      <c r="C20" s="22" t="s">
        <v>234</v>
      </c>
      <c r="D20" s="22" t="s">
        <v>235</v>
      </c>
      <c r="E20" s="22" t="s">
        <v>233</v>
      </c>
      <c r="H20" s="22" t="s">
        <v>164</v>
      </c>
      <c r="I20" s="23" t="n">
        <v>-20000</v>
      </c>
      <c r="M20" s="24" t="str">
        <f aca="false">IF($C20="","",IFERROR(INDEX(Account_Mapping!$C:$C,MATCH($C20&amp;"",Account_Mapping!$A:$A,0))&amp;"",""))</f>
        <v>NR</v>
      </c>
      <c r="N20" s="24" t="str">
        <f aca="false">IF($K20&lt;&gt;"",$K20,$M20)</f>
        <v>NR</v>
      </c>
      <c r="O20" s="24" t="str">
        <f aca="false">IF($F20="","",IFERROR(INDEX(Counterparties!$C:$C,MATCH($F20&amp;"",Counterparties!$A:$A,0))&amp;"",""))</f>
        <v/>
      </c>
      <c r="P20" s="24" t="str">
        <f aca="false">IF($O20="","",IF($O20="CY","CY",IF(ISNUMBER(MATCH($O20,Lists!$A:$A,0)),"EU","3RD")))</f>
        <v/>
      </c>
      <c r="Q20" s="24" t="str">
        <f aca="false">IF($F20="","N",IFERROR(IF(INDEX(Counterparties!$E:$E,MATCH($F20&amp;"",Counterparties!$A:$A,0))="Y","Y","N"),"N"))</f>
        <v>N</v>
      </c>
      <c r="R20" s="25" t="n">
        <f aca="false">IF(OR($H20="",$H20="EUR"),1,IFERROR(INDEX(FX_Rates!$D:$D,MATCH($H20,FX_Rates!$A:$A,0)),""))</f>
        <v>1</v>
      </c>
      <c r="S20" s="26" t="n">
        <f aca="false">IF(AND($I20="",$J20=""),"",IF($J20&lt;&gt;"",$J20,IF(OR($R20="",$R20=0),"",ROUND($I20/$R20,2))))</f>
        <v>-20000</v>
      </c>
      <c r="T20" s="24" t="str">
        <f aca="false">IF($N20="","",IFERROR(INDEX(VAT_Codes!$C:$C,MATCH($N20,VAT_Codes!$A:$A,0)),"")&amp;"")</f>
        <v>None</v>
      </c>
      <c r="U20" s="26" t="n">
        <f aca="false">IF(OR($S20="",$T20="",$T20="None"),0,IF($T20="Output",-$S20,$S20))</f>
        <v>0</v>
      </c>
      <c r="V20" s="27" t="n">
        <f aca="false">IF($N20="",0,IFERROR(INDEX(VAT_Codes!$D:$D,MATCH($N20,VAT_Codes!$A:$A,0)),0))</f>
        <v>0</v>
      </c>
      <c r="W20" s="26" t="n">
        <f aca="false">IF($U20=0,0,IF(IFERROR(INDEX(VAT_Codes!$F:$F,MATCH($N20,VAT_Codes!$A:$A,0)),"N")="Y",$U20,IF($L20&lt;&gt;"",ROUND(ABS($L20)/IF(OR($R20="",$R20=0),1,$R20),2)*SIGN($U20),ROUND($U20*$V20,2))))</f>
        <v>0</v>
      </c>
      <c r="X20" s="24" t="str">
        <f aca="false">IF($N20="","",IFERROR(INDEX(VAT_Codes!$H:$H,MATCH($N20,VAT_Codes!$A:$A,0)),"")&amp;"")</f>
        <v/>
      </c>
      <c r="Y20" s="24" t="n">
        <f aca="false">IF($A20="","",(YEAR($A20)-YEAR(Settings!$C$8))*12+MONTH($A20)-MONTH(Settings!$C$8)+1)</f>
        <v>1</v>
      </c>
      <c r="Z20" s="24" t="str">
        <f aca="false">IF(AND($C20="",$I20="",$J20=""),"",IF($N20="","NO VAT CODE",IF($T20="","UNKNOWN VAT CODE",IF($S20="","MISSING FX RATE",IF(OR($A20&lt;Settings!$C$8,$A20&gt;Settings!$C$9),"OUTSIDE PERIOD",IF(AND(IFERROR(INDEX(VAT_Codes!$E:$E,MATCH($N20,VAT_Codes!$A:$A,0)),"ANY")&lt;&gt;"ANY",$P20=""),"MISSING COUNTERPARTY COUNTRY",IF(AND(IFERROR(INDEX(VAT_Codes!$E:$E,MATCH($N20,VAT_Codes!$A:$A,0)),"ANY")&lt;&gt;"ANY",$P20&lt;&gt;IFERROR(INDEX(VAT_Codes!$E:$E,MATCH($N20,VAT_Codes!$A:$A,0)),"ANY")),"REGION MISMATCH","OK")))))))</f>
        <v>OK</v>
      </c>
    </row>
    <row r="21" customFormat="false" ht="15" hidden="false" customHeight="false" outlineLevel="0" collapsed="false">
      <c r="M21" s="24" t="str">
        <f aca="false">IF($C21="","",IFERROR(INDEX(Account_Mapping!$C:$C,MATCH($C21&amp;"",Account_Mapping!$A:$A,0))&amp;"",""))</f>
        <v/>
      </c>
      <c r="N21" s="24" t="str">
        <f aca="false">IF($K21&lt;&gt;"",$K21,$M21)</f>
        <v/>
      </c>
      <c r="O21" s="24" t="str">
        <f aca="false">IF($F21="","",IFERROR(INDEX(Counterparties!$C:$C,MATCH($F21&amp;"",Counterparties!$A:$A,0))&amp;"",""))</f>
        <v/>
      </c>
      <c r="P21" s="24" t="str">
        <f aca="false">IF($O21="","",IF($O21="CY","CY",IF(ISNUMBER(MATCH($O21,Lists!$A:$A,0)),"EU","3RD")))</f>
        <v/>
      </c>
      <c r="Q21" s="24" t="str">
        <f aca="false">IF($F21="","N",IFERROR(IF(INDEX(Counterparties!$E:$E,MATCH($F21&amp;"",Counterparties!$A:$A,0))="Y","Y","N"),"N"))</f>
        <v>N</v>
      </c>
      <c r="R21" s="25" t="n">
        <f aca="false">IF(OR($H21="",$H21="EUR"),1,IFERROR(INDEX(FX_Rates!$D:$D,MATCH($H21,FX_Rates!$A:$A,0)),""))</f>
        <v>1</v>
      </c>
      <c r="S21" s="26" t="str">
        <f aca="false">IF(AND($I21="",$J21=""),"",IF($J21&lt;&gt;"",$J21,IF(OR($R21="",$R21=0),"",ROUND($I21/$R21,2))))</f>
        <v/>
      </c>
      <c r="T21" s="24" t="str">
        <f aca="false">IF($N21="","",IFERROR(INDEX(VAT_Codes!$C:$C,MATCH($N21,VAT_Codes!$A:$A,0)),"")&amp;"")</f>
        <v/>
      </c>
      <c r="U21" s="26" t="n">
        <f aca="false">IF(OR($S21="",$T21="",$T21="None"),0,IF($T21="Output",-$S21,$S21))</f>
        <v>0</v>
      </c>
      <c r="V21" s="27" t="n">
        <f aca="false">IF($N21="",0,IFERROR(INDEX(VAT_Codes!$D:$D,MATCH($N21,VAT_Codes!$A:$A,0)),0))</f>
        <v>0</v>
      </c>
      <c r="W21" s="26" t="n">
        <f aca="false">IF($U21=0,0,IF(IFERROR(INDEX(VAT_Codes!$F:$F,MATCH($N21,VAT_Codes!$A:$A,0)),"N")="Y",$U21,IF($L21&lt;&gt;"",ROUND(ABS($L21)/IF(OR($R21="",$R21=0),1,$R21),2)*SIGN($U21),ROUND($U21*$V21,2))))</f>
        <v>0</v>
      </c>
      <c r="X21" s="24" t="str">
        <f aca="false">IF($N21="","",IFERROR(INDEX(VAT_Codes!$H:$H,MATCH($N21,VAT_Codes!$A:$A,0)),"")&amp;"")</f>
        <v/>
      </c>
      <c r="Y21" s="24" t="str">
        <f aca="false">IF($A21="","",(YEAR($A21)-YEAR(Settings!$C$8))*12+MONTH($A21)-MONTH(Settings!$C$8)+1)</f>
        <v/>
      </c>
      <c r="Z21" s="24" t="str">
        <f aca="false">IF(AND($C21="",$I21="",$J21=""),"",IF($N21="","NO VAT CODE",IF($T21="","UNKNOWN VAT CODE",IF($S21="","MISSING FX RATE",IF(OR($A21&lt;Settings!$C$8,$A21&gt;Settings!$C$9),"OUTSIDE PERIOD",IF(AND(IFERROR(INDEX(VAT_Codes!$E:$E,MATCH($N21,VAT_Codes!$A:$A,0)),"ANY")&lt;&gt;"ANY",$P21=""),"MISSING COUNTERPARTY COUNTRY",IF(AND(IFERROR(INDEX(VAT_Codes!$E:$E,MATCH($N21,VAT_Codes!$A:$A,0)),"ANY")&lt;&gt;"ANY",$P21&lt;&gt;IFERROR(INDEX(VAT_Codes!$E:$E,MATCH($N21,VAT_Codes!$A:$A,0)),"ANY")),"REGION MISMATCH","OK")))))))</f>
        <v/>
      </c>
    </row>
    <row r="22" customFormat="false" ht="15" hidden="false" customHeight="false" outlineLevel="0" collapsed="false">
      <c r="M22" s="24" t="str">
        <f aca="false">IF($C22="","",IFERROR(INDEX(Account_Mapping!$C:$C,MATCH($C22&amp;"",Account_Mapping!$A:$A,0))&amp;"",""))</f>
        <v/>
      </c>
      <c r="N22" s="24" t="str">
        <f aca="false">IF($K22&lt;&gt;"",$K22,$M22)</f>
        <v/>
      </c>
      <c r="O22" s="24" t="str">
        <f aca="false">IF($F22="","",IFERROR(INDEX(Counterparties!$C:$C,MATCH($F22&amp;"",Counterparties!$A:$A,0))&amp;"",""))</f>
        <v/>
      </c>
      <c r="P22" s="24" t="str">
        <f aca="false">IF($O22="","",IF($O22="CY","CY",IF(ISNUMBER(MATCH($O22,Lists!$A:$A,0)),"EU","3RD")))</f>
        <v/>
      </c>
      <c r="Q22" s="24" t="str">
        <f aca="false">IF($F22="","N",IFERROR(IF(INDEX(Counterparties!$E:$E,MATCH($F22&amp;"",Counterparties!$A:$A,0))="Y","Y","N"),"N"))</f>
        <v>N</v>
      </c>
      <c r="R22" s="25" t="n">
        <f aca="false">IF(OR($H22="",$H22="EUR"),1,IFERROR(INDEX(FX_Rates!$D:$D,MATCH($H22,FX_Rates!$A:$A,0)),""))</f>
        <v>1</v>
      </c>
      <c r="S22" s="26" t="str">
        <f aca="false">IF(AND($I22="",$J22=""),"",IF($J22&lt;&gt;"",$J22,IF(OR($R22="",$R22=0),"",ROUND($I22/$R22,2))))</f>
        <v/>
      </c>
      <c r="T22" s="24" t="str">
        <f aca="false">IF($N22="","",IFERROR(INDEX(VAT_Codes!$C:$C,MATCH($N22,VAT_Codes!$A:$A,0)),"")&amp;"")</f>
        <v/>
      </c>
      <c r="U22" s="26" t="n">
        <f aca="false">IF(OR($S22="",$T22="",$T22="None"),0,IF($T22="Output",-$S22,$S22))</f>
        <v>0</v>
      </c>
      <c r="V22" s="27" t="n">
        <f aca="false">IF($N22="",0,IFERROR(INDEX(VAT_Codes!$D:$D,MATCH($N22,VAT_Codes!$A:$A,0)),0))</f>
        <v>0</v>
      </c>
      <c r="W22" s="26" t="n">
        <f aca="false">IF($U22=0,0,IF(IFERROR(INDEX(VAT_Codes!$F:$F,MATCH($N22,VAT_Codes!$A:$A,0)),"N")="Y",$U22,IF($L22&lt;&gt;"",ROUND(ABS($L22)/IF(OR($R22="",$R22=0),1,$R22),2)*SIGN($U22),ROUND($U22*$V22,2))))</f>
        <v>0</v>
      </c>
      <c r="X22" s="24" t="str">
        <f aca="false">IF($N22="","",IFERROR(INDEX(VAT_Codes!$H:$H,MATCH($N22,VAT_Codes!$A:$A,0)),"")&amp;"")</f>
        <v/>
      </c>
      <c r="Y22" s="24" t="str">
        <f aca="false">IF($A22="","",(YEAR($A22)-YEAR(Settings!$C$8))*12+MONTH($A22)-MONTH(Settings!$C$8)+1)</f>
        <v/>
      </c>
      <c r="Z22" s="24" t="str">
        <f aca="false">IF(AND($C22="",$I22="",$J22=""),"",IF($N22="","NO VAT CODE",IF($T22="","UNKNOWN VAT CODE",IF($S22="","MISSING FX RATE",IF(OR($A22&lt;Settings!$C$8,$A22&gt;Settings!$C$9),"OUTSIDE PERIOD",IF(AND(IFERROR(INDEX(VAT_Codes!$E:$E,MATCH($N22,VAT_Codes!$A:$A,0)),"ANY")&lt;&gt;"ANY",$P22=""),"MISSING COUNTERPARTY COUNTRY",IF(AND(IFERROR(INDEX(VAT_Codes!$E:$E,MATCH($N22,VAT_Codes!$A:$A,0)),"ANY")&lt;&gt;"ANY",$P22&lt;&gt;IFERROR(INDEX(VAT_Codes!$E:$E,MATCH($N22,VAT_Codes!$A:$A,0)),"ANY")),"REGION MISMATCH","OK")))))))</f>
        <v/>
      </c>
    </row>
    <row r="23" customFormat="false" ht="15" hidden="false" customHeight="false" outlineLevel="0" collapsed="false">
      <c r="M23" s="24" t="str">
        <f aca="false">IF($C23="","",IFERROR(INDEX(Account_Mapping!$C:$C,MATCH($C23&amp;"",Account_Mapping!$A:$A,0))&amp;"",""))</f>
        <v/>
      </c>
      <c r="N23" s="24" t="str">
        <f aca="false">IF($K23&lt;&gt;"",$K23,$M23)</f>
        <v/>
      </c>
      <c r="O23" s="24" t="str">
        <f aca="false">IF($F23="","",IFERROR(INDEX(Counterparties!$C:$C,MATCH($F23&amp;"",Counterparties!$A:$A,0))&amp;"",""))</f>
        <v/>
      </c>
      <c r="P23" s="24" t="str">
        <f aca="false">IF($O23="","",IF($O23="CY","CY",IF(ISNUMBER(MATCH($O23,Lists!$A:$A,0)),"EU","3RD")))</f>
        <v/>
      </c>
      <c r="Q23" s="24" t="str">
        <f aca="false">IF($F23="","N",IFERROR(IF(INDEX(Counterparties!$E:$E,MATCH($F23&amp;"",Counterparties!$A:$A,0))="Y","Y","N"),"N"))</f>
        <v>N</v>
      </c>
      <c r="R23" s="25" t="n">
        <f aca="false">IF(OR($H23="",$H23="EUR"),1,IFERROR(INDEX(FX_Rates!$D:$D,MATCH($H23,FX_Rates!$A:$A,0)),""))</f>
        <v>1</v>
      </c>
      <c r="S23" s="26" t="str">
        <f aca="false">IF(AND($I23="",$J23=""),"",IF($J23&lt;&gt;"",$J23,IF(OR($R23="",$R23=0),"",ROUND($I23/$R23,2))))</f>
        <v/>
      </c>
      <c r="T23" s="24" t="str">
        <f aca="false">IF($N23="","",IFERROR(INDEX(VAT_Codes!$C:$C,MATCH($N23,VAT_Codes!$A:$A,0)),"")&amp;"")</f>
        <v/>
      </c>
      <c r="U23" s="26" t="n">
        <f aca="false">IF(OR($S23="",$T23="",$T23="None"),0,IF($T23="Output",-$S23,$S23))</f>
        <v>0</v>
      </c>
      <c r="V23" s="27" t="n">
        <f aca="false">IF($N23="",0,IFERROR(INDEX(VAT_Codes!$D:$D,MATCH($N23,VAT_Codes!$A:$A,0)),0))</f>
        <v>0</v>
      </c>
      <c r="W23" s="26" t="n">
        <f aca="false">IF($U23=0,0,IF(IFERROR(INDEX(VAT_Codes!$F:$F,MATCH($N23,VAT_Codes!$A:$A,0)),"N")="Y",$U23,IF($L23&lt;&gt;"",ROUND(ABS($L23)/IF(OR($R23="",$R23=0),1,$R23),2)*SIGN($U23),ROUND($U23*$V23,2))))</f>
        <v>0</v>
      </c>
      <c r="X23" s="24" t="str">
        <f aca="false">IF($N23="","",IFERROR(INDEX(VAT_Codes!$H:$H,MATCH($N23,VAT_Codes!$A:$A,0)),"")&amp;"")</f>
        <v/>
      </c>
      <c r="Y23" s="24" t="str">
        <f aca="false">IF($A23="","",(YEAR($A23)-YEAR(Settings!$C$8))*12+MONTH($A23)-MONTH(Settings!$C$8)+1)</f>
        <v/>
      </c>
      <c r="Z23" s="24" t="str">
        <f aca="false">IF(AND($C23="",$I23="",$J23=""),"",IF($N23="","NO VAT CODE",IF($T23="","UNKNOWN VAT CODE",IF($S23="","MISSING FX RATE",IF(OR($A23&lt;Settings!$C$8,$A23&gt;Settings!$C$9),"OUTSIDE PERIOD",IF(AND(IFERROR(INDEX(VAT_Codes!$E:$E,MATCH($N23,VAT_Codes!$A:$A,0)),"ANY")&lt;&gt;"ANY",$P23=""),"MISSING COUNTERPARTY COUNTRY",IF(AND(IFERROR(INDEX(VAT_Codes!$E:$E,MATCH($N23,VAT_Codes!$A:$A,0)),"ANY")&lt;&gt;"ANY",$P23&lt;&gt;IFERROR(INDEX(VAT_Codes!$E:$E,MATCH($N23,VAT_Codes!$A:$A,0)),"ANY")),"REGION MISMATCH","OK")))))))</f>
        <v/>
      </c>
    </row>
    <row r="24" customFormat="false" ht="15" hidden="false" customHeight="false" outlineLevel="0" collapsed="false">
      <c r="M24" s="24" t="str">
        <f aca="false">IF($C24="","",IFERROR(INDEX(Account_Mapping!$C:$C,MATCH($C24&amp;"",Account_Mapping!$A:$A,0))&amp;"",""))</f>
        <v/>
      </c>
      <c r="N24" s="24" t="str">
        <f aca="false">IF($K24&lt;&gt;"",$K24,$M24)</f>
        <v/>
      </c>
      <c r="O24" s="24" t="str">
        <f aca="false">IF($F24="","",IFERROR(INDEX(Counterparties!$C:$C,MATCH($F24&amp;"",Counterparties!$A:$A,0))&amp;"",""))</f>
        <v/>
      </c>
      <c r="P24" s="24" t="str">
        <f aca="false">IF($O24="","",IF($O24="CY","CY",IF(ISNUMBER(MATCH($O24,Lists!$A:$A,0)),"EU","3RD")))</f>
        <v/>
      </c>
      <c r="Q24" s="24" t="str">
        <f aca="false">IF($F24="","N",IFERROR(IF(INDEX(Counterparties!$E:$E,MATCH($F24&amp;"",Counterparties!$A:$A,0))="Y","Y","N"),"N"))</f>
        <v>N</v>
      </c>
      <c r="R24" s="25" t="n">
        <f aca="false">IF(OR($H24="",$H24="EUR"),1,IFERROR(INDEX(FX_Rates!$D:$D,MATCH($H24,FX_Rates!$A:$A,0)),""))</f>
        <v>1</v>
      </c>
      <c r="S24" s="26" t="str">
        <f aca="false">IF(AND($I24="",$J24=""),"",IF($J24&lt;&gt;"",$J24,IF(OR($R24="",$R24=0),"",ROUND($I24/$R24,2))))</f>
        <v/>
      </c>
      <c r="T24" s="24" t="str">
        <f aca="false">IF($N24="","",IFERROR(INDEX(VAT_Codes!$C:$C,MATCH($N24,VAT_Codes!$A:$A,0)),"")&amp;"")</f>
        <v/>
      </c>
      <c r="U24" s="26" t="n">
        <f aca="false">IF(OR($S24="",$T24="",$T24="None"),0,IF($T24="Output",-$S24,$S24))</f>
        <v>0</v>
      </c>
      <c r="V24" s="27" t="n">
        <f aca="false">IF($N24="",0,IFERROR(INDEX(VAT_Codes!$D:$D,MATCH($N24,VAT_Codes!$A:$A,0)),0))</f>
        <v>0</v>
      </c>
      <c r="W24" s="26" t="n">
        <f aca="false">IF($U24=0,0,IF(IFERROR(INDEX(VAT_Codes!$F:$F,MATCH($N24,VAT_Codes!$A:$A,0)),"N")="Y",$U24,IF($L24&lt;&gt;"",ROUND(ABS($L24)/IF(OR($R24="",$R24=0),1,$R24),2)*SIGN($U24),ROUND($U24*$V24,2))))</f>
        <v>0</v>
      </c>
      <c r="X24" s="24" t="str">
        <f aca="false">IF($N24="","",IFERROR(INDEX(VAT_Codes!$H:$H,MATCH($N24,VAT_Codes!$A:$A,0)),"")&amp;"")</f>
        <v/>
      </c>
      <c r="Y24" s="24" t="str">
        <f aca="false">IF($A24="","",(YEAR($A24)-YEAR(Settings!$C$8))*12+MONTH($A24)-MONTH(Settings!$C$8)+1)</f>
        <v/>
      </c>
      <c r="Z24" s="24" t="str">
        <f aca="false">IF(AND($C24="",$I24="",$J24=""),"",IF($N24="","NO VAT CODE",IF($T24="","UNKNOWN VAT CODE",IF($S24="","MISSING FX RATE",IF(OR($A24&lt;Settings!$C$8,$A24&gt;Settings!$C$9),"OUTSIDE PERIOD",IF(AND(IFERROR(INDEX(VAT_Codes!$E:$E,MATCH($N24,VAT_Codes!$A:$A,0)),"ANY")&lt;&gt;"ANY",$P24=""),"MISSING COUNTERPARTY COUNTRY",IF(AND(IFERROR(INDEX(VAT_Codes!$E:$E,MATCH($N24,VAT_Codes!$A:$A,0)),"ANY")&lt;&gt;"ANY",$P24&lt;&gt;IFERROR(INDEX(VAT_Codes!$E:$E,MATCH($N24,VAT_Codes!$A:$A,0)),"ANY")),"REGION MISMATCH","OK")))))))</f>
        <v/>
      </c>
    </row>
    <row r="25" customFormat="false" ht="15" hidden="false" customHeight="false" outlineLevel="0" collapsed="false">
      <c r="M25" s="24" t="str">
        <f aca="false">IF($C25="","",IFERROR(INDEX(Account_Mapping!$C:$C,MATCH($C25&amp;"",Account_Mapping!$A:$A,0))&amp;"",""))</f>
        <v/>
      </c>
      <c r="N25" s="24" t="str">
        <f aca="false">IF($K25&lt;&gt;"",$K25,$M25)</f>
        <v/>
      </c>
      <c r="O25" s="24" t="str">
        <f aca="false">IF($F25="","",IFERROR(INDEX(Counterparties!$C:$C,MATCH($F25&amp;"",Counterparties!$A:$A,0))&amp;"",""))</f>
        <v/>
      </c>
      <c r="P25" s="24" t="str">
        <f aca="false">IF($O25="","",IF($O25="CY","CY",IF(ISNUMBER(MATCH($O25,Lists!$A:$A,0)),"EU","3RD")))</f>
        <v/>
      </c>
      <c r="Q25" s="24" t="str">
        <f aca="false">IF($F25="","N",IFERROR(IF(INDEX(Counterparties!$E:$E,MATCH($F25&amp;"",Counterparties!$A:$A,0))="Y","Y","N"),"N"))</f>
        <v>N</v>
      </c>
      <c r="R25" s="25" t="n">
        <f aca="false">IF(OR($H25="",$H25="EUR"),1,IFERROR(INDEX(FX_Rates!$D:$D,MATCH($H25,FX_Rates!$A:$A,0)),""))</f>
        <v>1</v>
      </c>
      <c r="S25" s="26" t="str">
        <f aca="false">IF(AND($I25="",$J25=""),"",IF($J25&lt;&gt;"",$J25,IF(OR($R25="",$R25=0),"",ROUND($I25/$R25,2))))</f>
        <v/>
      </c>
      <c r="T25" s="24" t="str">
        <f aca="false">IF($N25="","",IFERROR(INDEX(VAT_Codes!$C:$C,MATCH($N25,VAT_Codes!$A:$A,0)),"")&amp;"")</f>
        <v/>
      </c>
      <c r="U25" s="26" t="n">
        <f aca="false">IF(OR($S25="",$T25="",$T25="None"),0,IF($T25="Output",-$S25,$S25))</f>
        <v>0</v>
      </c>
      <c r="V25" s="27" t="n">
        <f aca="false">IF($N25="",0,IFERROR(INDEX(VAT_Codes!$D:$D,MATCH($N25,VAT_Codes!$A:$A,0)),0))</f>
        <v>0</v>
      </c>
      <c r="W25" s="26" t="n">
        <f aca="false">IF($U25=0,0,IF(IFERROR(INDEX(VAT_Codes!$F:$F,MATCH($N25,VAT_Codes!$A:$A,0)),"N")="Y",$U25,IF($L25&lt;&gt;"",ROUND(ABS($L25)/IF(OR($R25="",$R25=0),1,$R25),2)*SIGN($U25),ROUND($U25*$V25,2))))</f>
        <v>0</v>
      </c>
      <c r="X25" s="24" t="str">
        <f aca="false">IF($N25="","",IFERROR(INDEX(VAT_Codes!$H:$H,MATCH($N25,VAT_Codes!$A:$A,0)),"")&amp;"")</f>
        <v/>
      </c>
      <c r="Y25" s="24" t="str">
        <f aca="false">IF($A25="","",(YEAR($A25)-YEAR(Settings!$C$8))*12+MONTH($A25)-MONTH(Settings!$C$8)+1)</f>
        <v/>
      </c>
      <c r="Z25" s="24" t="str">
        <f aca="false">IF(AND($C25="",$I25="",$J25=""),"",IF($N25="","NO VAT CODE",IF($T25="","UNKNOWN VAT CODE",IF($S25="","MISSING FX RATE",IF(OR($A25&lt;Settings!$C$8,$A25&gt;Settings!$C$9),"OUTSIDE PERIOD",IF(AND(IFERROR(INDEX(VAT_Codes!$E:$E,MATCH($N25,VAT_Codes!$A:$A,0)),"ANY")&lt;&gt;"ANY",$P25=""),"MISSING COUNTERPARTY COUNTRY",IF(AND(IFERROR(INDEX(VAT_Codes!$E:$E,MATCH($N25,VAT_Codes!$A:$A,0)),"ANY")&lt;&gt;"ANY",$P25&lt;&gt;IFERROR(INDEX(VAT_Codes!$E:$E,MATCH($N25,VAT_Codes!$A:$A,0)),"ANY")),"REGION MISMATCH","OK")))))))</f>
        <v/>
      </c>
    </row>
    <row r="26" customFormat="false" ht="15" hidden="false" customHeight="false" outlineLevel="0" collapsed="false">
      <c r="M26" s="24" t="str">
        <f aca="false">IF($C26="","",IFERROR(INDEX(Account_Mapping!$C:$C,MATCH($C26&amp;"",Account_Mapping!$A:$A,0))&amp;"",""))</f>
        <v/>
      </c>
      <c r="N26" s="24" t="str">
        <f aca="false">IF($K26&lt;&gt;"",$K26,$M26)</f>
        <v/>
      </c>
      <c r="O26" s="24" t="str">
        <f aca="false">IF($F26="","",IFERROR(INDEX(Counterparties!$C:$C,MATCH($F26&amp;"",Counterparties!$A:$A,0))&amp;"",""))</f>
        <v/>
      </c>
      <c r="P26" s="24" t="str">
        <f aca="false">IF($O26="","",IF($O26="CY","CY",IF(ISNUMBER(MATCH($O26,Lists!$A:$A,0)),"EU","3RD")))</f>
        <v/>
      </c>
      <c r="Q26" s="24" t="str">
        <f aca="false">IF($F26="","N",IFERROR(IF(INDEX(Counterparties!$E:$E,MATCH($F26&amp;"",Counterparties!$A:$A,0))="Y","Y","N"),"N"))</f>
        <v>N</v>
      </c>
      <c r="R26" s="25" t="n">
        <f aca="false">IF(OR($H26="",$H26="EUR"),1,IFERROR(INDEX(FX_Rates!$D:$D,MATCH($H26,FX_Rates!$A:$A,0)),""))</f>
        <v>1</v>
      </c>
      <c r="S26" s="26" t="str">
        <f aca="false">IF(AND($I26="",$J26=""),"",IF($J26&lt;&gt;"",$J26,IF(OR($R26="",$R26=0),"",ROUND($I26/$R26,2))))</f>
        <v/>
      </c>
      <c r="T26" s="24" t="str">
        <f aca="false">IF($N26="","",IFERROR(INDEX(VAT_Codes!$C:$C,MATCH($N26,VAT_Codes!$A:$A,0)),"")&amp;"")</f>
        <v/>
      </c>
      <c r="U26" s="26" t="n">
        <f aca="false">IF(OR($S26="",$T26="",$T26="None"),0,IF($T26="Output",-$S26,$S26))</f>
        <v>0</v>
      </c>
      <c r="V26" s="27" t="n">
        <f aca="false">IF($N26="",0,IFERROR(INDEX(VAT_Codes!$D:$D,MATCH($N26,VAT_Codes!$A:$A,0)),0))</f>
        <v>0</v>
      </c>
      <c r="W26" s="26" t="n">
        <f aca="false">IF($U26=0,0,IF(IFERROR(INDEX(VAT_Codes!$F:$F,MATCH($N26,VAT_Codes!$A:$A,0)),"N")="Y",$U26,IF($L26&lt;&gt;"",ROUND(ABS($L26)/IF(OR($R26="",$R26=0),1,$R26),2)*SIGN($U26),ROUND($U26*$V26,2))))</f>
        <v>0</v>
      </c>
      <c r="X26" s="24" t="str">
        <f aca="false">IF($N26="","",IFERROR(INDEX(VAT_Codes!$H:$H,MATCH($N26,VAT_Codes!$A:$A,0)),"")&amp;"")</f>
        <v/>
      </c>
      <c r="Y26" s="24" t="str">
        <f aca="false">IF($A26="","",(YEAR($A26)-YEAR(Settings!$C$8))*12+MONTH($A26)-MONTH(Settings!$C$8)+1)</f>
        <v/>
      </c>
      <c r="Z26" s="24" t="str">
        <f aca="false">IF(AND($C26="",$I26="",$J26=""),"",IF($N26="","NO VAT CODE",IF($T26="","UNKNOWN VAT CODE",IF($S26="","MISSING FX RATE",IF(OR($A26&lt;Settings!$C$8,$A26&gt;Settings!$C$9),"OUTSIDE PERIOD",IF(AND(IFERROR(INDEX(VAT_Codes!$E:$E,MATCH($N26,VAT_Codes!$A:$A,0)),"ANY")&lt;&gt;"ANY",$P26=""),"MISSING COUNTERPARTY COUNTRY",IF(AND(IFERROR(INDEX(VAT_Codes!$E:$E,MATCH($N26,VAT_Codes!$A:$A,0)),"ANY")&lt;&gt;"ANY",$P26&lt;&gt;IFERROR(INDEX(VAT_Codes!$E:$E,MATCH($N26,VAT_Codes!$A:$A,0)),"ANY")),"REGION MISMATCH","OK")))))))</f>
        <v/>
      </c>
    </row>
    <row r="27" customFormat="false" ht="15" hidden="false" customHeight="false" outlineLevel="0" collapsed="false">
      <c r="M27" s="24" t="str">
        <f aca="false">IF($C27="","",IFERROR(INDEX(Account_Mapping!$C:$C,MATCH($C27&amp;"",Account_Mapping!$A:$A,0))&amp;"",""))</f>
        <v/>
      </c>
      <c r="N27" s="24" t="str">
        <f aca="false">IF($K27&lt;&gt;"",$K27,$M27)</f>
        <v/>
      </c>
      <c r="O27" s="24" t="str">
        <f aca="false">IF($F27="","",IFERROR(INDEX(Counterparties!$C:$C,MATCH($F27&amp;"",Counterparties!$A:$A,0))&amp;"",""))</f>
        <v/>
      </c>
      <c r="P27" s="24" t="str">
        <f aca="false">IF($O27="","",IF($O27="CY","CY",IF(ISNUMBER(MATCH($O27,Lists!$A:$A,0)),"EU","3RD")))</f>
        <v/>
      </c>
      <c r="Q27" s="24" t="str">
        <f aca="false">IF($F27="","N",IFERROR(IF(INDEX(Counterparties!$E:$E,MATCH($F27&amp;"",Counterparties!$A:$A,0))="Y","Y","N"),"N"))</f>
        <v>N</v>
      </c>
      <c r="R27" s="25" t="n">
        <f aca="false">IF(OR($H27="",$H27="EUR"),1,IFERROR(INDEX(FX_Rates!$D:$D,MATCH($H27,FX_Rates!$A:$A,0)),""))</f>
        <v>1</v>
      </c>
      <c r="S27" s="26" t="str">
        <f aca="false">IF(AND($I27="",$J27=""),"",IF($J27&lt;&gt;"",$J27,IF(OR($R27="",$R27=0),"",ROUND($I27/$R27,2))))</f>
        <v/>
      </c>
      <c r="T27" s="24" t="str">
        <f aca="false">IF($N27="","",IFERROR(INDEX(VAT_Codes!$C:$C,MATCH($N27,VAT_Codes!$A:$A,0)),"")&amp;"")</f>
        <v/>
      </c>
      <c r="U27" s="26" t="n">
        <f aca="false">IF(OR($S27="",$T27="",$T27="None"),0,IF($T27="Output",-$S27,$S27))</f>
        <v>0</v>
      </c>
      <c r="V27" s="27" t="n">
        <f aca="false">IF($N27="",0,IFERROR(INDEX(VAT_Codes!$D:$D,MATCH($N27,VAT_Codes!$A:$A,0)),0))</f>
        <v>0</v>
      </c>
      <c r="W27" s="26" t="n">
        <f aca="false">IF($U27=0,0,IF(IFERROR(INDEX(VAT_Codes!$F:$F,MATCH($N27,VAT_Codes!$A:$A,0)),"N")="Y",$U27,IF($L27&lt;&gt;"",ROUND(ABS($L27)/IF(OR($R27="",$R27=0),1,$R27),2)*SIGN($U27),ROUND($U27*$V27,2))))</f>
        <v>0</v>
      </c>
      <c r="X27" s="24" t="str">
        <f aca="false">IF($N27="","",IFERROR(INDEX(VAT_Codes!$H:$H,MATCH($N27,VAT_Codes!$A:$A,0)),"")&amp;"")</f>
        <v/>
      </c>
      <c r="Y27" s="24" t="str">
        <f aca="false">IF($A27="","",(YEAR($A27)-YEAR(Settings!$C$8))*12+MONTH($A27)-MONTH(Settings!$C$8)+1)</f>
        <v/>
      </c>
      <c r="Z27" s="24" t="str">
        <f aca="false">IF(AND($C27="",$I27="",$J27=""),"",IF($N27="","NO VAT CODE",IF($T27="","UNKNOWN VAT CODE",IF($S27="","MISSING FX RATE",IF(OR($A27&lt;Settings!$C$8,$A27&gt;Settings!$C$9),"OUTSIDE PERIOD",IF(AND(IFERROR(INDEX(VAT_Codes!$E:$E,MATCH($N27,VAT_Codes!$A:$A,0)),"ANY")&lt;&gt;"ANY",$P27=""),"MISSING COUNTERPARTY COUNTRY",IF(AND(IFERROR(INDEX(VAT_Codes!$E:$E,MATCH($N27,VAT_Codes!$A:$A,0)),"ANY")&lt;&gt;"ANY",$P27&lt;&gt;IFERROR(INDEX(VAT_Codes!$E:$E,MATCH($N27,VAT_Codes!$A:$A,0)),"ANY")),"REGION MISMATCH","OK")))))))</f>
        <v/>
      </c>
    </row>
    <row r="28" customFormat="false" ht="15" hidden="false" customHeight="false" outlineLevel="0" collapsed="false">
      <c r="M28" s="24" t="str">
        <f aca="false">IF($C28="","",IFERROR(INDEX(Account_Mapping!$C:$C,MATCH($C28&amp;"",Account_Mapping!$A:$A,0))&amp;"",""))</f>
        <v/>
      </c>
      <c r="N28" s="24" t="str">
        <f aca="false">IF($K28&lt;&gt;"",$K28,$M28)</f>
        <v/>
      </c>
      <c r="O28" s="24" t="str">
        <f aca="false">IF($F28="","",IFERROR(INDEX(Counterparties!$C:$C,MATCH($F28&amp;"",Counterparties!$A:$A,0))&amp;"",""))</f>
        <v/>
      </c>
      <c r="P28" s="24" t="str">
        <f aca="false">IF($O28="","",IF($O28="CY","CY",IF(ISNUMBER(MATCH($O28,Lists!$A:$A,0)),"EU","3RD")))</f>
        <v/>
      </c>
      <c r="Q28" s="24" t="str">
        <f aca="false">IF($F28="","N",IFERROR(IF(INDEX(Counterparties!$E:$E,MATCH($F28&amp;"",Counterparties!$A:$A,0))="Y","Y","N"),"N"))</f>
        <v>N</v>
      </c>
      <c r="R28" s="25" t="n">
        <f aca="false">IF(OR($H28="",$H28="EUR"),1,IFERROR(INDEX(FX_Rates!$D:$D,MATCH($H28,FX_Rates!$A:$A,0)),""))</f>
        <v>1</v>
      </c>
      <c r="S28" s="26" t="str">
        <f aca="false">IF(AND($I28="",$J28=""),"",IF($J28&lt;&gt;"",$J28,IF(OR($R28="",$R28=0),"",ROUND($I28/$R28,2))))</f>
        <v/>
      </c>
      <c r="T28" s="24" t="str">
        <f aca="false">IF($N28="","",IFERROR(INDEX(VAT_Codes!$C:$C,MATCH($N28,VAT_Codes!$A:$A,0)),"")&amp;"")</f>
        <v/>
      </c>
      <c r="U28" s="26" t="n">
        <f aca="false">IF(OR($S28="",$T28="",$T28="None"),0,IF($T28="Output",-$S28,$S28))</f>
        <v>0</v>
      </c>
      <c r="V28" s="27" t="n">
        <f aca="false">IF($N28="",0,IFERROR(INDEX(VAT_Codes!$D:$D,MATCH($N28,VAT_Codes!$A:$A,0)),0))</f>
        <v>0</v>
      </c>
      <c r="W28" s="26" t="n">
        <f aca="false">IF($U28=0,0,IF(IFERROR(INDEX(VAT_Codes!$F:$F,MATCH($N28,VAT_Codes!$A:$A,0)),"N")="Y",$U28,IF($L28&lt;&gt;"",ROUND(ABS($L28)/IF(OR($R28="",$R28=0),1,$R28),2)*SIGN($U28),ROUND($U28*$V28,2))))</f>
        <v>0</v>
      </c>
      <c r="X28" s="24" t="str">
        <f aca="false">IF($N28="","",IFERROR(INDEX(VAT_Codes!$H:$H,MATCH($N28,VAT_Codes!$A:$A,0)),"")&amp;"")</f>
        <v/>
      </c>
      <c r="Y28" s="24" t="str">
        <f aca="false">IF($A28="","",(YEAR($A28)-YEAR(Settings!$C$8))*12+MONTH($A28)-MONTH(Settings!$C$8)+1)</f>
        <v/>
      </c>
      <c r="Z28" s="24" t="str">
        <f aca="false">IF(AND($C28="",$I28="",$J28=""),"",IF($N28="","NO VAT CODE",IF($T28="","UNKNOWN VAT CODE",IF($S28="","MISSING FX RATE",IF(OR($A28&lt;Settings!$C$8,$A28&gt;Settings!$C$9),"OUTSIDE PERIOD",IF(AND(IFERROR(INDEX(VAT_Codes!$E:$E,MATCH($N28,VAT_Codes!$A:$A,0)),"ANY")&lt;&gt;"ANY",$P28=""),"MISSING COUNTERPARTY COUNTRY",IF(AND(IFERROR(INDEX(VAT_Codes!$E:$E,MATCH($N28,VAT_Codes!$A:$A,0)),"ANY")&lt;&gt;"ANY",$P28&lt;&gt;IFERROR(INDEX(VAT_Codes!$E:$E,MATCH($N28,VAT_Codes!$A:$A,0)),"ANY")),"REGION MISMATCH","OK")))))))</f>
        <v/>
      </c>
    </row>
    <row r="29" customFormat="false" ht="15" hidden="false" customHeight="false" outlineLevel="0" collapsed="false">
      <c r="M29" s="24" t="str">
        <f aca="false">IF($C29="","",IFERROR(INDEX(Account_Mapping!$C:$C,MATCH($C29&amp;"",Account_Mapping!$A:$A,0))&amp;"",""))</f>
        <v/>
      </c>
      <c r="N29" s="24" t="str">
        <f aca="false">IF($K29&lt;&gt;"",$K29,$M29)</f>
        <v/>
      </c>
      <c r="O29" s="24" t="str">
        <f aca="false">IF($F29="","",IFERROR(INDEX(Counterparties!$C:$C,MATCH($F29&amp;"",Counterparties!$A:$A,0))&amp;"",""))</f>
        <v/>
      </c>
      <c r="P29" s="24" t="str">
        <f aca="false">IF($O29="","",IF($O29="CY","CY",IF(ISNUMBER(MATCH($O29,Lists!$A:$A,0)),"EU","3RD")))</f>
        <v/>
      </c>
      <c r="Q29" s="24" t="str">
        <f aca="false">IF($F29="","N",IFERROR(IF(INDEX(Counterparties!$E:$E,MATCH($F29&amp;"",Counterparties!$A:$A,0))="Y","Y","N"),"N"))</f>
        <v>N</v>
      </c>
      <c r="R29" s="25" t="n">
        <f aca="false">IF(OR($H29="",$H29="EUR"),1,IFERROR(INDEX(FX_Rates!$D:$D,MATCH($H29,FX_Rates!$A:$A,0)),""))</f>
        <v>1</v>
      </c>
      <c r="S29" s="26" t="str">
        <f aca="false">IF(AND($I29="",$J29=""),"",IF($J29&lt;&gt;"",$J29,IF(OR($R29="",$R29=0),"",ROUND($I29/$R29,2))))</f>
        <v/>
      </c>
      <c r="T29" s="24" t="str">
        <f aca="false">IF($N29="","",IFERROR(INDEX(VAT_Codes!$C:$C,MATCH($N29,VAT_Codes!$A:$A,0)),"")&amp;"")</f>
        <v/>
      </c>
      <c r="U29" s="26" t="n">
        <f aca="false">IF(OR($S29="",$T29="",$T29="None"),0,IF($T29="Output",-$S29,$S29))</f>
        <v>0</v>
      </c>
      <c r="V29" s="27" t="n">
        <f aca="false">IF($N29="",0,IFERROR(INDEX(VAT_Codes!$D:$D,MATCH($N29,VAT_Codes!$A:$A,0)),0))</f>
        <v>0</v>
      </c>
      <c r="W29" s="26" t="n">
        <f aca="false">IF($U29=0,0,IF(IFERROR(INDEX(VAT_Codes!$F:$F,MATCH($N29,VAT_Codes!$A:$A,0)),"N")="Y",$U29,IF($L29&lt;&gt;"",ROUND(ABS($L29)/IF(OR($R29="",$R29=0),1,$R29),2)*SIGN($U29),ROUND($U29*$V29,2))))</f>
        <v>0</v>
      </c>
      <c r="X29" s="24" t="str">
        <f aca="false">IF($N29="","",IFERROR(INDEX(VAT_Codes!$H:$H,MATCH($N29,VAT_Codes!$A:$A,0)),"")&amp;"")</f>
        <v/>
      </c>
      <c r="Y29" s="24" t="str">
        <f aca="false">IF($A29="","",(YEAR($A29)-YEAR(Settings!$C$8))*12+MONTH($A29)-MONTH(Settings!$C$8)+1)</f>
        <v/>
      </c>
      <c r="Z29" s="24" t="str">
        <f aca="false">IF(AND($C29="",$I29="",$J29=""),"",IF($N29="","NO VAT CODE",IF($T29="","UNKNOWN VAT CODE",IF($S29="","MISSING FX RATE",IF(OR($A29&lt;Settings!$C$8,$A29&gt;Settings!$C$9),"OUTSIDE PERIOD",IF(AND(IFERROR(INDEX(VAT_Codes!$E:$E,MATCH($N29,VAT_Codes!$A:$A,0)),"ANY")&lt;&gt;"ANY",$P29=""),"MISSING COUNTERPARTY COUNTRY",IF(AND(IFERROR(INDEX(VAT_Codes!$E:$E,MATCH($N29,VAT_Codes!$A:$A,0)),"ANY")&lt;&gt;"ANY",$P29&lt;&gt;IFERROR(INDEX(VAT_Codes!$E:$E,MATCH($N29,VAT_Codes!$A:$A,0)),"ANY")),"REGION MISMATCH","OK")))))))</f>
        <v/>
      </c>
    </row>
    <row r="30" customFormat="false" ht="15" hidden="false" customHeight="false" outlineLevel="0" collapsed="false">
      <c r="M30" s="24" t="str">
        <f aca="false">IF($C30="","",IFERROR(INDEX(Account_Mapping!$C:$C,MATCH($C30&amp;"",Account_Mapping!$A:$A,0))&amp;"",""))</f>
        <v/>
      </c>
      <c r="N30" s="24" t="str">
        <f aca="false">IF($K30&lt;&gt;"",$K30,$M30)</f>
        <v/>
      </c>
      <c r="O30" s="24" t="str">
        <f aca="false">IF($F30="","",IFERROR(INDEX(Counterparties!$C:$C,MATCH($F30&amp;"",Counterparties!$A:$A,0))&amp;"",""))</f>
        <v/>
      </c>
      <c r="P30" s="24" t="str">
        <f aca="false">IF($O30="","",IF($O30="CY","CY",IF(ISNUMBER(MATCH($O30,Lists!$A:$A,0)),"EU","3RD")))</f>
        <v/>
      </c>
      <c r="Q30" s="24" t="str">
        <f aca="false">IF($F30="","N",IFERROR(IF(INDEX(Counterparties!$E:$E,MATCH($F30&amp;"",Counterparties!$A:$A,0))="Y","Y","N"),"N"))</f>
        <v>N</v>
      </c>
      <c r="R30" s="25" t="n">
        <f aca="false">IF(OR($H30="",$H30="EUR"),1,IFERROR(INDEX(FX_Rates!$D:$D,MATCH($H30,FX_Rates!$A:$A,0)),""))</f>
        <v>1</v>
      </c>
      <c r="S30" s="26" t="str">
        <f aca="false">IF(AND($I30="",$J30=""),"",IF($J30&lt;&gt;"",$J30,IF(OR($R30="",$R30=0),"",ROUND($I30/$R30,2))))</f>
        <v/>
      </c>
      <c r="T30" s="24" t="str">
        <f aca="false">IF($N30="","",IFERROR(INDEX(VAT_Codes!$C:$C,MATCH($N30,VAT_Codes!$A:$A,0)),"")&amp;"")</f>
        <v/>
      </c>
      <c r="U30" s="26" t="n">
        <f aca="false">IF(OR($S30="",$T30="",$T30="None"),0,IF($T30="Output",-$S30,$S30))</f>
        <v>0</v>
      </c>
      <c r="V30" s="27" t="n">
        <f aca="false">IF($N30="",0,IFERROR(INDEX(VAT_Codes!$D:$D,MATCH($N30,VAT_Codes!$A:$A,0)),0))</f>
        <v>0</v>
      </c>
      <c r="W30" s="26" t="n">
        <f aca="false">IF($U30=0,0,IF(IFERROR(INDEX(VAT_Codes!$F:$F,MATCH($N30,VAT_Codes!$A:$A,0)),"N")="Y",$U30,IF($L30&lt;&gt;"",ROUND(ABS($L30)/IF(OR($R30="",$R30=0),1,$R30),2)*SIGN($U30),ROUND($U30*$V30,2))))</f>
        <v>0</v>
      </c>
      <c r="X30" s="24" t="str">
        <f aca="false">IF($N30="","",IFERROR(INDEX(VAT_Codes!$H:$H,MATCH($N30,VAT_Codes!$A:$A,0)),"")&amp;"")</f>
        <v/>
      </c>
      <c r="Y30" s="24" t="str">
        <f aca="false">IF($A30="","",(YEAR($A30)-YEAR(Settings!$C$8))*12+MONTH($A30)-MONTH(Settings!$C$8)+1)</f>
        <v/>
      </c>
      <c r="Z30" s="24" t="str">
        <f aca="false">IF(AND($C30="",$I30="",$J30=""),"",IF($N30="","NO VAT CODE",IF($T30="","UNKNOWN VAT CODE",IF($S30="","MISSING FX RATE",IF(OR($A30&lt;Settings!$C$8,$A30&gt;Settings!$C$9),"OUTSIDE PERIOD",IF(AND(IFERROR(INDEX(VAT_Codes!$E:$E,MATCH($N30,VAT_Codes!$A:$A,0)),"ANY")&lt;&gt;"ANY",$P30=""),"MISSING COUNTERPARTY COUNTRY",IF(AND(IFERROR(INDEX(VAT_Codes!$E:$E,MATCH($N30,VAT_Codes!$A:$A,0)),"ANY")&lt;&gt;"ANY",$P30&lt;&gt;IFERROR(INDEX(VAT_Codes!$E:$E,MATCH($N30,VAT_Codes!$A:$A,0)),"ANY")),"REGION MISMATCH","OK")))))))</f>
        <v/>
      </c>
    </row>
    <row r="31" customFormat="false" ht="15" hidden="false" customHeight="false" outlineLevel="0" collapsed="false">
      <c r="M31" s="24" t="str">
        <f aca="false">IF($C31="","",IFERROR(INDEX(Account_Mapping!$C:$C,MATCH($C31&amp;"",Account_Mapping!$A:$A,0))&amp;"",""))</f>
        <v/>
      </c>
      <c r="N31" s="24" t="str">
        <f aca="false">IF($K31&lt;&gt;"",$K31,$M31)</f>
        <v/>
      </c>
      <c r="O31" s="24" t="str">
        <f aca="false">IF($F31="","",IFERROR(INDEX(Counterparties!$C:$C,MATCH($F31&amp;"",Counterparties!$A:$A,0))&amp;"",""))</f>
        <v/>
      </c>
      <c r="P31" s="24" t="str">
        <f aca="false">IF($O31="","",IF($O31="CY","CY",IF(ISNUMBER(MATCH($O31,Lists!$A:$A,0)),"EU","3RD")))</f>
        <v/>
      </c>
      <c r="Q31" s="24" t="str">
        <f aca="false">IF($F31="","N",IFERROR(IF(INDEX(Counterparties!$E:$E,MATCH($F31&amp;"",Counterparties!$A:$A,0))="Y","Y","N"),"N"))</f>
        <v>N</v>
      </c>
      <c r="R31" s="25" t="n">
        <f aca="false">IF(OR($H31="",$H31="EUR"),1,IFERROR(INDEX(FX_Rates!$D:$D,MATCH($H31,FX_Rates!$A:$A,0)),""))</f>
        <v>1</v>
      </c>
      <c r="S31" s="26" t="str">
        <f aca="false">IF(AND($I31="",$J31=""),"",IF($J31&lt;&gt;"",$J31,IF(OR($R31="",$R31=0),"",ROUND($I31/$R31,2))))</f>
        <v/>
      </c>
      <c r="T31" s="24" t="str">
        <f aca="false">IF($N31="","",IFERROR(INDEX(VAT_Codes!$C:$C,MATCH($N31,VAT_Codes!$A:$A,0)),"")&amp;"")</f>
        <v/>
      </c>
      <c r="U31" s="26" t="n">
        <f aca="false">IF(OR($S31="",$T31="",$T31="None"),0,IF($T31="Output",-$S31,$S31))</f>
        <v>0</v>
      </c>
      <c r="V31" s="27" t="n">
        <f aca="false">IF($N31="",0,IFERROR(INDEX(VAT_Codes!$D:$D,MATCH($N31,VAT_Codes!$A:$A,0)),0))</f>
        <v>0</v>
      </c>
      <c r="W31" s="26" t="n">
        <f aca="false">IF($U31=0,0,IF(IFERROR(INDEX(VAT_Codes!$F:$F,MATCH($N31,VAT_Codes!$A:$A,0)),"N")="Y",$U31,IF($L31&lt;&gt;"",ROUND(ABS($L31)/IF(OR($R31="",$R31=0),1,$R31),2)*SIGN($U31),ROUND($U31*$V31,2))))</f>
        <v>0</v>
      </c>
      <c r="X31" s="24" t="str">
        <f aca="false">IF($N31="","",IFERROR(INDEX(VAT_Codes!$H:$H,MATCH($N31,VAT_Codes!$A:$A,0)),"")&amp;"")</f>
        <v/>
      </c>
      <c r="Y31" s="24" t="str">
        <f aca="false">IF($A31="","",(YEAR($A31)-YEAR(Settings!$C$8))*12+MONTH($A31)-MONTH(Settings!$C$8)+1)</f>
        <v/>
      </c>
      <c r="Z31" s="24" t="str">
        <f aca="false">IF(AND($C31="",$I31="",$J31=""),"",IF($N31="","NO VAT CODE",IF($T31="","UNKNOWN VAT CODE",IF($S31="","MISSING FX RATE",IF(OR($A31&lt;Settings!$C$8,$A31&gt;Settings!$C$9),"OUTSIDE PERIOD",IF(AND(IFERROR(INDEX(VAT_Codes!$E:$E,MATCH($N31,VAT_Codes!$A:$A,0)),"ANY")&lt;&gt;"ANY",$P31=""),"MISSING COUNTERPARTY COUNTRY",IF(AND(IFERROR(INDEX(VAT_Codes!$E:$E,MATCH($N31,VAT_Codes!$A:$A,0)),"ANY")&lt;&gt;"ANY",$P31&lt;&gt;IFERROR(INDEX(VAT_Codes!$E:$E,MATCH($N31,VAT_Codes!$A:$A,0)),"ANY")),"REGION MISMATCH","OK")))))))</f>
        <v/>
      </c>
    </row>
    <row r="32" customFormat="false" ht="15" hidden="false" customHeight="false" outlineLevel="0" collapsed="false">
      <c r="M32" s="24" t="str">
        <f aca="false">IF($C32="","",IFERROR(INDEX(Account_Mapping!$C:$C,MATCH($C32&amp;"",Account_Mapping!$A:$A,0))&amp;"",""))</f>
        <v/>
      </c>
      <c r="N32" s="24" t="str">
        <f aca="false">IF($K32&lt;&gt;"",$K32,$M32)</f>
        <v/>
      </c>
      <c r="O32" s="24" t="str">
        <f aca="false">IF($F32="","",IFERROR(INDEX(Counterparties!$C:$C,MATCH($F32&amp;"",Counterparties!$A:$A,0))&amp;"",""))</f>
        <v/>
      </c>
      <c r="P32" s="24" t="str">
        <f aca="false">IF($O32="","",IF($O32="CY","CY",IF(ISNUMBER(MATCH($O32,Lists!$A:$A,0)),"EU","3RD")))</f>
        <v/>
      </c>
      <c r="Q32" s="24" t="str">
        <f aca="false">IF($F32="","N",IFERROR(IF(INDEX(Counterparties!$E:$E,MATCH($F32&amp;"",Counterparties!$A:$A,0))="Y","Y","N"),"N"))</f>
        <v>N</v>
      </c>
      <c r="R32" s="25" t="n">
        <f aca="false">IF(OR($H32="",$H32="EUR"),1,IFERROR(INDEX(FX_Rates!$D:$D,MATCH($H32,FX_Rates!$A:$A,0)),""))</f>
        <v>1</v>
      </c>
      <c r="S32" s="26" t="str">
        <f aca="false">IF(AND($I32="",$J32=""),"",IF($J32&lt;&gt;"",$J32,IF(OR($R32="",$R32=0),"",ROUND($I32/$R32,2))))</f>
        <v/>
      </c>
      <c r="T32" s="24" t="str">
        <f aca="false">IF($N32="","",IFERROR(INDEX(VAT_Codes!$C:$C,MATCH($N32,VAT_Codes!$A:$A,0)),"")&amp;"")</f>
        <v/>
      </c>
      <c r="U32" s="26" t="n">
        <f aca="false">IF(OR($S32="",$T32="",$T32="None"),0,IF($T32="Output",-$S32,$S32))</f>
        <v>0</v>
      </c>
      <c r="V32" s="27" t="n">
        <f aca="false">IF($N32="",0,IFERROR(INDEX(VAT_Codes!$D:$D,MATCH($N32,VAT_Codes!$A:$A,0)),0))</f>
        <v>0</v>
      </c>
      <c r="W32" s="26" t="n">
        <f aca="false">IF($U32=0,0,IF(IFERROR(INDEX(VAT_Codes!$F:$F,MATCH($N32,VAT_Codes!$A:$A,0)),"N")="Y",$U32,IF($L32&lt;&gt;"",ROUND(ABS($L32)/IF(OR($R32="",$R32=0),1,$R32),2)*SIGN($U32),ROUND($U32*$V32,2))))</f>
        <v>0</v>
      </c>
      <c r="X32" s="24" t="str">
        <f aca="false">IF($N32="","",IFERROR(INDEX(VAT_Codes!$H:$H,MATCH($N32,VAT_Codes!$A:$A,0)),"")&amp;"")</f>
        <v/>
      </c>
      <c r="Y32" s="24" t="str">
        <f aca="false">IF($A32="","",(YEAR($A32)-YEAR(Settings!$C$8))*12+MONTH($A32)-MONTH(Settings!$C$8)+1)</f>
        <v/>
      </c>
      <c r="Z32" s="24" t="str">
        <f aca="false">IF(AND($C32="",$I32="",$J32=""),"",IF($N32="","NO VAT CODE",IF($T32="","UNKNOWN VAT CODE",IF($S32="","MISSING FX RATE",IF(OR($A32&lt;Settings!$C$8,$A32&gt;Settings!$C$9),"OUTSIDE PERIOD",IF(AND(IFERROR(INDEX(VAT_Codes!$E:$E,MATCH($N32,VAT_Codes!$A:$A,0)),"ANY")&lt;&gt;"ANY",$P32=""),"MISSING COUNTERPARTY COUNTRY",IF(AND(IFERROR(INDEX(VAT_Codes!$E:$E,MATCH($N32,VAT_Codes!$A:$A,0)),"ANY")&lt;&gt;"ANY",$P32&lt;&gt;IFERROR(INDEX(VAT_Codes!$E:$E,MATCH($N32,VAT_Codes!$A:$A,0)),"ANY")),"REGION MISMATCH","OK")))))))</f>
        <v/>
      </c>
    </row>
    <row r="33" customFormat="false" ht="15" hidden="false" customHeight="false" outlineLevel="0" collapsed="false">
      <c r="M33" s="24" t="str">
        <f aca="false">IF($C33="","",IFERROR(INDEX(Account_Mapping!$C:$C,MATCH($C33&amp;"",Account_Mapping!$A:$A,0))&amp;"",""))</f>
        <v/>
      </c>
      <c r="N33" s="24" t="str">
        <f aca="false">IF($K33&lt;&gt;"",$K33,$M33)</f>
        <v/>
      </c>
      <c r="O33" s="24" t="str">
        <f aca="false">IF($F33="","",IFERROR(INDEX(Counterparties!$C:$C,MATCH($F33&amp;"",Counterparties!$A:$A,0))&amp;"",""))</f>
        <v/>
      </c>
      <c r="P33" s="24" t="str">
        <f aca="false">IF($O33="","",IF($O33="CY","CY",IF(ISNUMBER(MATCH($O33,Lists!$A:$A,0)),"EU","3RD")))</f>
        <v/>
      </c>
      <c r="Q33" s="24" t="str">
        <f aca="false">IF($F33="","N",IFERROR(IF(INDEX(Counterparties!$E:$E,MATCH($F33&amp;"",Counterparties!$A:$A,0))="Y","Y","N"),"N"))</f>
        <v>N</v>
      </c>
      <c r="R33" s="25" t="n">
        <f aca="false">IF(OR($H33="",$H33="EUR"),1,IFERROR(INDEX(FX_Rates!$D:$D,MATCH($H33,FX_Rates!$A:$A,0)),""))</f>
        <v>1</v>
      </c>
      <c r="S33" s="26" t="str">
        <f aca="false">IF(AND($I33="",$J33=""),"",IF($J33&lt;&gt;"",$J33,IF(OR($R33="",$R33=0),"",ROUND($I33/$R33,2))))</f>
        <v/>
      </c>
      <c r="T33" s="24" t="str">
        <f aca="false">IF($N33="","",IFERROR(INDEX(VAT_Codes!$C:$C,MATCH($N33,VAT_Codes!$A:$A,0)),"")&amp;"")</f>
        <v/>
      </c>
      <c r="U33" s="26" t="n">
        <f aca="false">IF(OR($S33="",$T33="",$T33="None"),0,IF($T33="Output",-$S33,$S33))</f>
        <v>0</v>
      </c>
      <c r="V33" s="27" t="n">
        <f aca="false">IF($N33="",0,IFERROR(INDEX(VAT_Codes!$D:$D,MATCH($N33,VAT_Codes!$A:$A,0)),0))</f>
        <v>0</v>
      </c>
      <c r="W33" s="26" t="n">
        <f aca="false">IF($U33=0,0,IF(IFERROR(INDEX(VAT_Codes!$F:$F,MATCH($N33,VAT_Codes!$A:$A,0)),"N")="Y",$U33,IF($L33&lt;&gt;"",ROUND(ABS($L33)/IF(OR($R33="",$R33=0),1,$R33),2)*SIGN($U33),ROUND($U33*$V33,2))))</f>
        <v>0</v>
      </c>
      <c r="X33" s="24" t="str">
        <f aca="false">IF($N33="","",IFERROR(INDEX(VAT_Codes!$H:$H,MATCH($N33,VAT_Codes!$A:$A,0)),"")&amp;"")</f>
        <v/>
      </c>
      <c r="Y33" s="24" t="str">
        <f aca="false">IF($A33="","",(YEAR($A33)-YEAR(Settings!$C$8))*12+MONTH($A33)-MONTH(Settings!$C$8)+1)</f>
        <v/>
      </c>
      <c r="Z33" s="24" t="str">
        <f aca="false">IF(AND($C33="",$I33="",$J33=""),"",IF($N33="","NO VAT CODE",IF($T33="","UNKNOWN VAT CODE",IF($S33="","MISSING FX RATE",IF(OR($A33&lt;Settings!$C$8,$A33&gt;Settings!$C$9),"OUTSIDE PERIOD",IF(AND(IFERROR(INDEX(VAT_Codes!$E:$E,MATCH($N33,VAT_Codes!$A:$A,0)),"ANY")&lt;&gt;"ANY",$P33=""),"MISSING COUNTERPARTY COUNTRY",IF(AND(IFERROR(INDEX(VAT_Codes!$E:$E,MATCH($N33,VAT_Codes!$A:$A,0)),"ANY")&lt;&gt;"ANY",$P33&lt;&gt;IFERROR(INDEX(VAT_Codes!$E:$E,MATCH($N33,VAT_Codes!$A:$A,0)),"ANY")),"REGION MISMATCH","OK")))))))</f>
        <v/>
      </c>
    </row>
    <row r="34" customFormat="false" ht="15" hidden="false" customHeight="false" outlineLevel="0" collapsed="false">
      <c r="M34" s="24" t="str">
        <f aca="false">IF($C34="","",IFERROR(INDEX(Account_Mapping!$C:$C,MATCH($C34&amp;"",Account_Mapping!$A:$A,0))&amp;"",""))</f>
        <v/>
      </c>
      <c r="N34" s="24" t="str">
        <f aca="false">IF($K34&lt;&gt;"",$K34,$M34)</f>
        <v/>
      </c>
      <c r="O34" s="24" t="str">
        <f aca="false">IF($F34="","",IFERROR(INDEX(Counterparties!$C:$C,MATCH($F34&amp;"",Counterparties!$A:$A,0))&amp;"",""))</f>
        <v/>
      </c>
      <c r="P34" s="24" t="str">
        <f aca="false">IF($O34="","",IF($O34="CY","CY",IF(ISNUMBER(MATCH($O34,Lists!$A:$A,0)),"EU","3RD")))</f>
        <v/>
      </c>
      <c r="Q34" s="24" t="str">
        <f aca="false">IF($F34="","N",IFERROR(IF(INDEX(Counterparties!$E:$E,MATCH($F34&amp;"",Counterparties!$A:$A,0))="Y","Y","N"),"N"))</f>
        <v>N</v>
      </c>
      <c r="R34" s="25" t="n">
        <f aca="false">IF(OR($H34="",$H34="EUR"),1,IFERROR(INDEX(FX_Rates!$D:$D,MATCH($H34,FX_Rates!$A:$A,0)),""))</f>
        <v>1</v>
      </c>
      <c r="S34" s="26" t="str">
        <f aca="false">IF(AND($I34="",$J34=""),"",IF($J34&lt;&gt;"",$J34,IF(OR($R34="",$R34=0),"",ROUND($I34/$R34,2))))</f>
        <v/>
      </c>
      <c r="T34" s="24" t="str">
        <f aca="false">IF($N34="","",IFERROR(INDEX(VAT_Codes!$C:$C,MATCH($N34,VAT_Codes!$A:$A,0)),"")&amp;"")</f>
        <v/>
      </c>
      <c r="U34" s="26" t="n">
        <f aca="false">IF(OR($S34="",$T34="",$T34="None"),0,IF($T34="Output",-$S34,$S34))</f>
        <v>0</v>
      </c>
      <c r="V34" s="27" t="n">
        <f aca="false">IF($N34="",0,IFERROR(INDEX(VAT_Codes!$D:$D,MATCH($N34,VAT_Codes!$A:$A,0)),0))</f>
        <v>0</v>
      </c>
      <c r="W34" s="26" t="n">
        <f aca="false">IF($U34=0,0,IF(IFERROR(INDEX(VAT_Codes!$F:$F,MATCH($N34,VAT_Codes!$A:$A,0)),"N")="Y",$U34,IF($L34&lt;&gt;"",ROUND(ABS($L34)/IF(OR($R34="",$R34=0),1,$R34),2)*SIGN($U34),ROUND($U34*$V34,2))))</f>
        <v>0</v>
      </c>
      <c r="X34" s="24" t="str">
        <f aca="false">IF($N34="","",IFERROR(INDEX(VAT_Codes!$H:$H,MATCH($N34,VAT_Codes!$A:$A,0)),"")&amp;"")</f>
        <v/>
      </c>
      <c r="Y34" s="24" t="str">
        <f aca="false">IF($A34="","",(YEAR($A34)-YEAR(Settings!$C$8))*12+MONTH($A34)-MONTH(Settings!$C$8)+1)</f>
        <v/>
      </c>
      <c r="Z34" s="24" t="str">
        <f aca="false">IF(AND($C34="",$I34="",$J34=""),"",IF($N34="","NO VAT CODE",IF($T34="","UNKNOWN VAT CODE",IF($S34="","MISSING FX RATE",IF(OR($A34&lt;Settings!$C$8,$A34&gt;Settings!$C$9),"OUTSIDE PERIOD",IF(AND(IFERROR(INDEX(VAT_Codes!$E:$E,MATCH($N34,VAT_Codes!$A:$A,0)),"ANY")&lt;&gt;"ANY",$P34=""),"MISSING COUNTERPARTY COUNTRY",IF(AND(IFERROR(INDEX(VAT_Codes!$E:$E,MATCH($N34,VAT_Codes!$A:$A,0)),"ANY")&lt;&gt;"ANY",$P34&lt;&gt;IFERROR(INDEX(VAT_Codes!$E:$E,MATCH($N34,VAT_Codes!$A:$A,0)),"ANY")),"REGION MISMATCH","OK")))))))</f>
        <v/>
      </c>
    </row>
    <row r="35" customFormat="false" ht="15" hidden="false" customHeight="false" outlineLevel="0" collapsed="false">
      <c r="M35" s="24" t="str">
        <f aca="false">IF($C35="","",IFERROR(INDEX(Account_Mapping!$C:$C,MATCH($C35&amp;"",Account_Mapping!$A:$A,0))&amp;"",""))</f>
        <v/>
      </c>
      <c r="N35" s="24" t="str">
        <f aca="false">IF($K35&lt;&gt;"",$K35,$M35)</f>
        <v/>
      </c>
      <c r="O35" s="24" t="str">
        <f aca="false">IF($F35="","",IFERROR(INDEX(Counterparties!$C:$C,MATCH($F35&amp;"",Counterparties!$A:$A,0))&amp;"",""))</f>
        <v/>
      </c>
      <c r="P35" s="24" t="str">
        <f aca="false">IF($O35="","",IF($O35="CY","CY",IF(ISNUMBER(MATCH($O35,Lists!$A:$A,0)),"EU","3RD")))</f>
        <v/>
      </c>
      <c r="Q35" s="24" t="str">
        <f aca="false">IF($F35="","N",IFERROR(IF(INDEX(Counterparties!$E:$E,MATCH($F35&amp;"",Counterparties!$A:$A,0))="Y","Y","N"),"N"))</f>
        <v>N</v>
      </c>
      <c r="R35" s="25" t="n">
        <f aca="false">IF(OR($H35="",$H35="EUR"),1,IFERROR(INDEX(FX_Rates!$D:$D,MATCH($H35,FX_Rates!$A:$A,0)),""))</f>
        <v>1</v>
      </c>
      <c r="S35" s="26" t="str">
        <f aca="false">IF(AND($I35="",$J35=""),"",IF($J35&lt;&gt;"",$J35,IF(OR($R35="",$R35=0),"",ROUND($I35/$R35,2))))</f>
        <v/>
      </c>
      <c r="T35" s="24" t="str">
        <f aca="false">IF($N35="","",IFERROR(INDEX(VAT_Codes!$C:$C,MATCH($N35,VAT_Codes!$A:$A,0)),"")&amp;"")</f>
        <v/>
      </c>
      <c r="U35" s="26" t="n">
        <f aca="false">IF(OR($S35="",$T35="",$T35="None"),0,IF($T35="Output",-$S35,$S35))</f>
        <v>0</v>
      </c>
      <c r="V35" s="27" t="n">
        <f aca="false">IF($N35="",0,IFERROR(INDEX(VAT_Codes!$D:$D,MATCH($N35,VAT_Codes!$A:$A,0)),0))</f>
        <v>0</v>
      </c>
      <c r="W35" s="26" t="n">
        <f aca="false">IF($U35=0,0,IF(IFERROR(INDEX(VAT_Codes!$F:$F,MATCH($N35,VAT_Codes!$A:$A,0)),"N")="Y",$U35,IF($L35&lt;&gt;"",ROUND(ABS($L35)/IF(OR($R35="",$R35=0),1,$R35),2)*SIGN($U35),ROUND($U35*$V35,2))))</f>
        <v>0</v>
      </c>
      <c r="X35" s="24" t="str">
        <f aca="false">IF($N35="","",IFERROR(INDEX(VAT_Codes!$H:$H,MATCH($N35,VAT_Codes!$A:$A,0)),"")&amp;"")</f>
        <v/>
      </c>
      <c r="Y35" s="24" t="str">
        <f aca="false">IF($A35="","",(YEAR($A35)-YEAR(Settings!$C$8))*12+MONTH($A35)-MONTH(Settings!$C$8)+1)</f>
        <v/>
      </c>
      <c r="Z35" s="24" t="str">
        <f aca="false">IF(AND($C35="",$I35="",$J35=""),"",IF($N35="","NO VAT CODE",IF($T35="","UNKNOWN VAT CODE",IF($S35="","MISSING FX RATE",IF(OR($A35&lt;Settings!$C$8,$A35&gt;Settings!$C$9),"OUTSIDE PERIOD",IF(AND(IFERROR(INDEX(VAT_Codes!$E:$E,MATCH($N35,VAT_Codes!$A:$A,0)),"ANY")&lt;&gt;"ANY",$P35=""),"MISSING COUNTERPARTY COUNTRY",IF(AND(IFERROR(INDEX(VAT_Codes!$E:$E,MATCH($N35,VAT_Codes!$A:$A,0)),"ANY")&lt;&gt;"ANY",$P35&lt;&gt;IFERROR(INDEX(VAT_Codes!$E:$E,MATCH($N35,VAT_Codes!$A:$A,0)),"ANY")),"REGION MISMATCH","OK")))))))</f>
        <v/>
      </c>
    </row>
    <row r="36" customFormat="false" ht="15" hidden="false" customHeight="false" outlineLevel="0" collapsed="false">
      <c r="M36" s="24" t="str">
        <f aca="false">IF($C36="","",IFERROR(INDEX(Account_Mapping!$C:$C,MATCH($C36&amp;"",Account_Mapping!$A:$A,0))&amp;"",""))</f>
        <v/>
      </c>
      <c r="N36" s="24" t="str">
        <f aca="false">IF($K36&lt;&gt;"",$K36,$M36)</f>
        <v/>
      </c>
      <c r="O36" s="24" t="str">
        <f aca="false">IF($F36="","",IFERROR(INDEX(Counterparties!$C:$C,MATCH($F36&amp;"",Counterparties!$A:$A,0))&amp;"",""))</f>
        <v/>
      </c>
      <c r="P36" s="24" t="str">
        <f aca="false">IF($O36="","",IF($O36="CY","CY",IF(ISNUMBER(MATCH($O36,Lists!$A:$A,0)),"EU","3RD")))</f>
        <v/>
      </c>
      <c r="Q36" s="24" t="str">
        <f aca="false">IF($F36="","N",IFERROR(IF(INDEX(Counterparties!$E:$E,MATCH($F36&amp;"",Counterparties!$A:$A,0))="Y","Y","N"),"N"))</f>
        <v>N</v>
      </c>
      <c r="R36" s="25" t="n">
        <f aca="false">IF(OR($H36="",$H36="EUR"),1,IFERROR(INDEX(FX_Rates!$D:$D,MATCH($H36,FX_Rates!$A:$A,0)),""))</f>
        <v>1</v>
      </c>
      <c r="S36" s="26" t="str">
        <f aca="false">IF(AND($I36="",$J36=""),"",IF($J36&lt;&gt;"",$J36,IF(OR($R36="",$R36=0),"",ROUND($I36/$R36,2))))</f>
        <v/>
      </c>
      <c r="T36" s="24" t="str">
        <f aca="false">IF($N36="","",IFERROR(INDEX(VAT_Codes!$C:$C,MATCH($N36,VAT_Codes!$A:$A,0)),"")&amp;"")</f>
        <v/>
      </c>
      <c r="U36" s="26" t="n">
        <f aca="false">IF(OR($S36="",$T36="",$T36="None"),0,IF($T36="Output",-$S36,$S36))</f>
        <v>0</v>
      </c>
      <c r="V36" s="27" t="n">
        <f aca="false">IF($N36="",0,IFERROR(INDEX(VAT_Codes!$D:$D,MATCH($N36,VAT_Codes!$A:$A,0)),0))</f>
        <v>0</v>
      </c>
      <c r="W36" s="26" t="n">
        <f aca="false">IF($U36=0,0,IF(IFERROR(INDEX(VAT_Codes!$F:$F,MATCH($N36,VAT_Codes!$A:$A,0)),"N")="Y",$U36,IF($L36&lt;&gt;"",ROUND(ABS($L36)/IF(OR($R36="",$R36=0),1,$R36),2)*SIGN($U36),ROUND($U36*$V36,2))))</f>
        <v>0</v>
      </c>
      <c r="X36" s="24" t="str">
        <f aca="false">IF($N36="","",IFERROR(INDEX(VAT_Codes!$H:$H,MATCH($N36,VAT_Codes!$A:$A,0)),"")&amp;"")</f>
        <v/>
      </c>
      <c r="Y36" s="24" t="str">
        <f aca="false">IF($A36="","",(YEAR($A36)-YEAR(Settings!$C$8))*12+MONTH($A36)-MONTH(Settings!$C$8)+1)</f>
        <v/>
      </c>
      <c r="Z36" s="24" t="str">
        <f aca="false">IF(AND($C36="",$I36="",$J36=""),"",IF($N36="","NO VAT CODE",IF($T36="","UNKNOWN VAT CODE",IF($S36="","MISSING FX RATE",IF(OR($A36&lt;Settings!$C$8,$A36&gt;Settings!$C$9),"OUTSIDE PERIOD",IF(AND(IFERROR(INDEX(VAT_Codes!$E:$E,MATCH($N36,VAT_Codes!$A:$A,0)),"ANY")&lt;&gt;"ANY",$P36=""),"MISSING COUNTERPARTY COUNTRY",IF(AND(IFERROR(INDEX(VAT_Codes!$E:$E,MATCH($N36,VAT_Codes!$A:$A,0)),"ANY")&lt;&gt;"ANY",$P36&lt;&gt;IFERROR(INDEX(VAT_Codes!$E:$E,MATCH($N36,VAT_Codes!$A:$A,0)),"ANY")),"REGION MISMATCH","OK")))))))</f>
        <v/>
      </c>
    </row>
    <row r="37" customFormat="false" ht="15" hidden="false" customHeight="false" outlineLevel="0" collapsed="false">
      <c r="M37" s="24" t="str">
        <f aca="false">IF($C37="","",IFERROR(INDEX(Account_Mapping!$C:$C,MATCH($C37&amp;"",Account_Mapping!$A:$A,0))&amp;"",""))</f>
        <v/>
      </c>
      <c r="N37" s="24" t="str">
        <f aca="false">IF($K37&lt;&gt;"",$K37,$M37)</f>
        <v/>
      </c>
      <c r="O37" s="24" t="str">
        <f aca="false">IF($F37="","",IFERROR(INDEX(Counterparties!$C:$C,MATCH($F37&amp;"",Counterparties!$A:$A,0))&amp;"",""))</f>
        <v/>
      </c>
      <c r="P37" s="24" t="str">
        <f aca="false">IF($O37="","",IF($O37="CY","CY",IF(ISNUMBER(MATCH($O37,Lists!$A:$A,0)),"EU","3RD")))</f>
        <v/>
      </c>
      <c r="Q37" s="24" t="str">
        <f aca="false">IF($F37="","N",IFERROR(IF(INDEX(Counterparties!$E:$E,MATCH($F37&amp;"",Counterparties!$A:$A,0))="Y","Y","N"),"N"))</f>
        <v>N</v>
      </c>
      <c r="R37" s="25" t="n">
        <f aca="false">IF(OR($H37="",$H37="EUR"),1,IFERROR(INDEX(FX_Rates!$D:$D,MATCH($H37,FX_Rates!$A:$A,0)),""))</f>
        <v>1</v>
      </c>
      <c r="S37" s="26" t="str">
        <f aca="false">IF(AND($I37="",$J37=""),"",IF($J37&lt;&gt;"",$J37,IF(OR($R37="",$R37=0),"",ROUND($I37/$R37,2))))</f>
        <v/>
      </c>
      <c r="T37" s="24" t="str">
        <f aca="false">IF($N37="","",IFERROR(INDEX(VAT_Codes!$C:$C,MATCH($N37,VAT_Codes!$A:$A,0)),"")&amp;"")</f>
        <v/>
      </c>
      <c r="U37" s="26" t="n">
        <f aca="false">IF(OR($S37="",$T37="",$T37="None"),0,IF($T37="Output",-$S37,$S37))</f>
        <v>0</v>
      </c>
      <c r="V37" s="27" t="n">
        <f aca="false">IF($N37="",0,IFERROR(INDEX(VAT_Codes!$D:$D,MATCH($N37,VAT_Codes!$A:$A,0)),0))</f>
        <v>0</v>
      </c>
      <c r="W37" s="26" t="n">
        <f aca="false">IF($U37=0,0,IF(IFERROR(INDEX(VAT_Codes!$F:$F,MATCH($N37,VAT_Codes!$A:$A,0)),"N")="Y",$U37,IF($L37&lt;&gt;"",ROUND(ABS($L37)/IF(OR($R37="",$R37=0),1,$R37),2)*SIGN($U37),ROUND($U37*$V37,2))))</f>
        <v>0</v>
      </c>
      <c r="X37" s="24" t="str">
        <f aca="false">IF($N37="","",IFERROR(INDEX(VAT_Codes!$H:$H,MATCH($N37,VAT_Codes!$A:$A,0)),"")&amp;"")</f>
        <v/>
      </c>
      <c r="Y37" s="24" t="str">
        <f aca="false">IF($A37="","",(YEAR($A37)-YEAR(Settings!$C$8))*12+MONTH($A37)-MONTH(Settings!$C$8)+1)</f>
        <v/>
      </c>
      <c r="Z37" s="24" t="str">
        <f aca="false">IF(AND($C37="",$I37="",$J37=""),"",IF($N37="","NO VAT CODE",IF($T37="","UNKNOWN VAT CODE",IF($S37="","MISSING FX RATE",IF(OR($A37&lt;Settings!$C$8,$A37&gt;Settings!$C$9),"OUTSIDE PERIOD",IF(AND(IFERROR(INDEX(VAT_Codes!$E:$E,MATCH($N37,VAT_Codes!$A:$A,0)),"ANY")&lt;&gt;"ANY",$P37=""),"MISSING COUNTERPARTY COUNTRY",IF(AND(IFERROR(INDEX(VAT_Codes!$E:$E,MATCH($N37,VAT_Codes!$A:$A,0)),"ANY")&lt;&gt;"ANY",$P37&lt;&gt;IFERROR(INDEX(VAT_Codes!$E:$E,MATCH($N37,VAT_Codes!$A:$A,0)),"ANY")),"REGION MISMATCH","OK")))))))</f>
        <v/>
      </c>
    </row>
    <row r="38" customFormat="false" ht="15" hidden="false" customHeight="false" outlineLevel="0" collapsed="false">
      <c r="M38" s="24" t="str">
        <f aca="false">IF($C38="","",IFERROR(INDEX(Account_Mapping!$C:$C,MATCH($C38&amp;"",Account_Mapping!$A:$A,0))&amp;"",""))</f>
        <v/>
      </c>
      <c r="N38" s="24" t="str">
        <f aca="false">IF($K38&lt;&gt;"",$K38,$M38)</f>
        <v/>
      </c>
      <c r="O38" s="24" t="str">
        <f aca="false">IF($F38="","",IFERROR(INDEX(Counterparties!$C:$C,MATCH($F38&amp;"",Counterparties!$A:$A,0))&amp;"",""))</f>
        <v/>
      </c>
      <c r="P38" s="24" t="str">
        <f aca="false">IF($O38="","",IF($O38="CY","CY",IF(ISNUMBER(MATCH($O38,Lists!$A:$A,0)),"EU","3RD")))</f>
        <v/>
      </c>
      <c r="Q38" s="24" t="str">
        <f aca="false">IF($F38="","N",IFERROR(IF(INDEX(Counterparties!$E:$E,MATCH($F38&amp;"",Counterparties!$A:$A,0))="Y","Y","N"),"N"))</f>
        <v>N</v>
      </c>
      <c r="R38" s="25" t="n">
        <f aca="false">IF(OR($H38="",$H38="EUR"),1,IFERROR(INDEX(FX_Rates!$D:$D,MATCH($H38,FX_Rates!$A:$A,0)),""))</f>
        <v>1</v>
      </c>
      <c r="S38" s="26" t="str">
        <f aca="false">IF(AND($I38="",$J38=""),"",IF($J38&lt;&gt;"",$J38,IF(OR($R38="",$R38=0),"",ROUND($I38/$R38,2))))</f>
        <v/>
      </c>
      <c r="T38" s="24" t="str">
        <f aca="false">IF($N38="","",IFERROR(INDEX(VAT_Codes!$C:$C,MATCH($N38,VAT_Codes!$A:$A,0)),"")&amp;"")</f>
        <v/>
      </c>
      <c r="U38" s="26" t="n">
        <f aca="false">IF(OR($S38="",$T38="",$T38="None"),0,IF($T38="Output",-$S38,$S38))</f>
        <v>0</v>
      </c>
      <c r="V38" s="27" t="n">
        <f aca="false">IF($N38="",0,IFERROR(INDEX(VAT_Codes!$D:$D,MATCH($N38,VAT_Codes!$A:$A,0)),0))</f>
        <v>0</v>
      </c>
      <c r="W38" s="26" t="n">
        <f aca="false">IF($U38=0,0,IF(IFERROR(INDEX(VAT_Codes!$F:$F,MATCH($N38,VAT_Codes!$A:$A,0)),"N")="Y",$U38,IF($L38&lt;&gt;"",ROUND(ABS($L38)/IF(OR($R38="",$R38=0),1,$R38),2)*SIGN($U38),ROUND($U38*$V38,2))))</f>
        <v>0</v>
      </c>
      <c r="X38" s="24" t="str">
        <f aca="false">IF($N38="","",IFERROR(INDEX(VAT_Codes!$H:$H,MATCH($N38,VAT_Codes!$A:$A,0)),"")&amp;"")</f>
        <v/>
      </c>
      <c r="Y38" s="24" t="str">
        <f aca="false">IF($A38="","",(YEAR($A38)-YEAR(Settings!$C$8))*12+MONTH($A38)-MONTH(Settings!$C$8)+1)</f>
        <v/>
      </c>
      <c r="Z38" s="24" t="str">
        <f aca="false">IF(AND($C38="",$I38="",$J38=""),"",IF($N38="","NO VAT CODE",IF($T38="","UNKNOWN VAT CODE",IF($S38="","MISSING FX RATE",IF(OR($A38&lt;Settings!$C$8,$A38&gt;Settings!$C$9),"OUTSIDE PERIOD",IF(AND(IFERROR(INDEX(VAT_Codes!$E:$E,MATCH($N38,VAT_Codes!$A:$A,0)),"ANY")&lt;&gt;"ANY",$P38=""),"MISSING COUNTERPARTY COUNTRY",IF(AND(IFERROR(INDEX(VAT_Codes!$E:$E,MATCH($N38,VAT_Codes!$A:$A,0)),"ANY")&lt;&gt;"ANY",$P38&lt;&gt;IFERROR(INDEX(VAT_Codes!$E:$E,MATCH($N38,VAT_Codes!$A:$A,0)),"ANY")),"REGION MISMATCH","OK")))))))</f>
        <v/>
      </c>
    </row>
    <row r="39" customFormat="false" ht="15" hidden="false" customHeight="false" outlineLevel="0" collapsed="false">
      <c r="M39" s="24" t="str">
        <f aca="false">IF($C39="","",IFERROR(INDEX(Account_Mapping!$C:$C,MATCH($C39&amp;"",Account_Mapping!$A:$A,0))&amp;"",""))</f>
        <v/>
      </c>
      <c r="N39" s="24" t="str">
        <f aca="false">IF($K39&lt;&gt;"",$K39,$M39)</f>
        <v/>
      </c>
      <c r="O39" s="24" t="str">
        <f aca="false">IF($F39="","",IFERROR(INDEX(Counterparties!$C:$C,MATCH($F39&amp;"",Counterparties!$A:$A,0))&amp;"",""))</f>
        <v/>
      </c>
      <c r="P39" s="24" t="str">
        <f aca="false">IF($O39="","",IF($O39="CY","CY",IF(ISNUMBER(MATCH($O39,Lists!$A:$A,0)),"EU","3RD")))</f>
        <v/>
      </c>
      <c r="Q39" s="24" t="str">
        <f aca="false">IF($F39="","N",IFERROR(IF(INDEX(Counterparties!$E:$E,MATCH($F39&amp;"",Counterparties!$A:$A,0))="Y","Y","N"),"N"))</f>
        <v>N</v>
      </c>
      <c r="R39" s="25" t="n">
        <f aca="false">IF(OR($H39="",$H39="EUR"),1,IFERROR(INDEX(FX_Rates!$D:$D,MATCH($H39,FX_Rates!$A:$A,0)),""))</f>
        <v>1</v>
      </c>
      <c r="S39" s="26" t="str">
        <f aca="false">IF(AND($I39="",$J39=""),"",IF($J39&lt;&gt;"",$J39,IF(OR($R39="",$R39=0),"",ROUND($I39/$R39,2))))</f>
        <v/>
      </c>
      <c r="T39" s="24" t="str">
        <f aca="false">IF($N39="","",IFERROR(INDEX(VAT_Codes!$C:$C,MATCH($N39,VAT_Codes!$A:$A,0)),"")&amp;"")</f>
        <v/>
      </c>
      <c r="U39" s="26" t="n">
        <f aca="false">IF(OR($S39="",$T39="",$T39="None"),0,IF($T39="Output",-$S39,$S39))</f>
        <v>0</v>
      </c>
      <c r="V39" s="27" t="n">
        <f aca="false">IF($N39="",0,IFERROR(INDEX(VAT_Codes!$D:$D,MATCH($N39,VAT_Codes!$A:$A,0)),0))</f>
        <v>0</v>
      </c>
      <c r="W39" s="26" t="n">
        <f aca="false">IF($U39=0,0,IF(IFERROR(INDEX(VAT_Codes!$F:$F,MATCH($N39,VAT_Codes!$A:$A,0)),"N")="Y",$U39,IF($L39&lt;&gt;"",ROUND(ABS($L39)/IF(OR($R39="",$R39=0),1,$R39),2)*SIGN($U39),ROUND($U39*$V39,2))))</f>
        <v>0</v>
      </c>
      <c r="X39" s="24" t="str">
        <f aca="false">IF($N39="","",IFERROR(INDEX(VAT_Codes!$H:$H,MATCH($N39,VAT_Codes!$A:$A,0)),"")&amp;"")</f>
        <v/>
      </c>
      <c r="Y39" s="24" t="str">
        <f aca="false">IF($A39="","",(YEAR($A39)-YEAR(Settings!$C$8))*12+MONTH($A39)-MONTH(Settings!$C$8)+1)</f>
        <v/>
      </c>
      <c r="Z39" s="24" t="str">
        <f aca="false">IF(AND($C39="",$I39="",$J39=""),"",IF($N39="","NO VAT CODE",IF($T39="","UNKNOWN VAT CODE",IF($S39="","MISSING FX RATE",IF(OR($A39&lt;Settings!$C$8,$A39&gt;Settings!$C$9),"OUTSIDE PERIOD",IF(AND(IFERROR(INDEX(VAT_Codes!$E:$E,MATCH($N39,VAT_Codes!$A:$A,0)),"ANY")&lt;&gt;"ANY",$P39=""),"MISSING COUNTERPARTY COUNTRY",IF(AND(IFERROR(INDEX(VAT_Codes!$E:$E,MATCH($N39,VAT_Codes!$A:$A,0)),"ANY")&lt;&gt;"ANY",$P39&lt;&gt;IFERROR(INDEX(VAT_Codes!$E:$E,MATCH($N39,VAT_Codes!$A:$A,0)),"ANY")),"REGION MISMATCH","OK")))))))</f>
        <v/>
      </c>
    </row>
    <row r="40" customFormat="false" ht="15" hidden="false" customHeight="false" outlineLevel="0" collapsed="false">
      <c r="M40" s="24" t="str">
        <f aca="false">IF($C40="","",IFERROR(INDEX(Account_Mapping!$C:$C,MATCH($C40&amp;"",Account_Mapping!$A:$A,0))&amp;"",""))</f>
        <v/>
      </c>
      <c r="N40" s="24" t="str">
        <f aca="false">IF($K40&lt;&gt;"",$K40,$M40)</f>
        <v/>
      </c>
      <c r="O40" s="24" t="str">
        <f aca="false">IF($F40="","",IFERROR(INDEX(Counterparties!$C:$C,MATCH($F40&amp;"",Counterparties!$A:$A,0))&amp;"",""))</f>
        <v/>
      </c>
      <c r="P40" s="24" t="str">
        <f aca="false">IF($O40="","",IF($O40="CY","CY",IF(ISNUMBER(MATCH($O40,Lists!$A:$A,0)),"EU","3RD")))</f>
        <v/>
      </c>
      <c r="Q40" s="24" t="str">
        <f aca="false">IF($F40="","N",IFERROR(IF(INDEX(Counterparties!$E:$E,MATCH($F40&amp;"",Counterparties!$A:$A,0))="Y","Y","N"),"N"))</f>
        <v>N</v>
      </c>
      <c r="R40" s="25" t="n">
        <f aca="false">IF(OR($H40="",$H40="EUR"),1,IFERROR(INDEX(FX_Rates!$D:$D,MATCH($H40,FX_Rates!$A:$A,0)),""))</f>
        <v>1</v>
      </c>
      <c r="S40" s="26" t="str">
        <f aca="false">IF(AND($I40="",$J40=""),"",IF($J40&lt;&gt;"",$J40,IF(OR($R40="",$R40=0),"",ROUND($I40/$R40,2))))</f>
        <v/>
      </c>
      <c r="T40" s="24" t="str">
        <f aca="false">IF($N40="","",IFERROR(INDEX(VAT_Codes!$C:$C,MATCH($N40,VAT_Codes!$A:$A,0)),"")&amp;"")</f>
        <v/>
      </c>
      <c r="U40" s="26" t="n">
        <f aca="false">IF(OR($S40="",$T40="",$T40="None"),0,IF($T40="Output",-$S40,$S40))</f>
        <v>0</v>
      </c>
      <c r="V40" s="27" t="n">
        <f aca="false">IF($N40="",0,IFERROR(INDEX(VAT_Codes!$D:$D,MATCH($N40,VAT_Codes!$A:$A,0)),0))</f>
        <v>0</v>
      </c>
      <c r="W40" s="26" t="n">
        <f aca="false">IF($U40=0,0,IF(IFERROR(INDEX(VAT_Codes!$F:$F,MATCH($N40,VAT_Codes!$A:$A,0)),"N")="Y",$U40,IF($L40&lt;&gt;"",ROUND(ABS($L40)/IF(OR($R40="",$R40=0),1,$R40),2)*SIGN($U40),ROUND($U40*$V40,2))))</f>
        <v>0</v>
      </c>
      <c r="X40" s="24" t="str">
        <f aca="false">IF($N40="","",IFERROR(INDEX(VAT_Codes!$H:$H,MATCH($N40,VAT_Codes!$A:$A,0)),"")&amp;"")</f>
        <v/>
      </c>
      <c r="Y40" s="24" t="str">
        <f aca="false">IF($A40="","",(YEAR($A40)-YEAR(Settings!$C$8))*12+MONTH($A40)-MONTH(Settings!$C$8)+1)</f>
        <v/>
      </c>
      <c r="Z40" s="24" t="str">
        <f aca="false">IF(AND($C40="",$I40="",$J40=""),"",IF($N40="","NO VAT CODE",IF($T40="","UNKNOWN VAT CODE",IF($S40="","MISSING FX RATE",IF(OR($A40&lt;Settings!$C$8,$A40&gt;Settings!$C$9),"OUTSIDE PERIOD",IF(AND(IFERROR(INDEX(VAT_Codes!$E:$E,MATCH($N40,VAT_Codes!$A:$A,0)),"ANY")&lt;&gt;"ANY",$P40=""),"MISSING COUNTERPARTY COUNTRY",IF(AND(IFERROR(INDEX(VAT_Codes!$E:$E,MATCH($N40,VAT_Codes!$A:$A,0)),"ANY")&lt;&gt;"ANY",$P40&lt;&gt;IFERROR(INDEX(VAT_Codes!$E:$E,MATCH($N40,VAT_Codes!$A:$A,0)),"ANY")),"REGION MISMATCH","OK")))))))</f>
        <v/>
      </c>
    </row>
    <row r="41" customFormat="false" ht="15" hidden="false" customHeight="false" outlineLevel="0" collapsed="false">
      <c r="M41" s="24" t="str">
        <f aca="false">IF($C41="","",IFERROR(INDEX(Account_Mapping!$C:$C,MATCH($C41&amp;"",Account_Mapping!$A:$A,0))&amp;"",""))</f>
        <v/>
      </c>
      <c r="N41" s="24" t="str">
        <f aca="false">IF($K41&lt;&gt;"",$K41,$M41)</f>
        <v/>
      </c>
      <c r="O41" s="24" t="str">
        <f aca="false">IF($F41="","",IFERROR(INDEX(Counterparties!$C:$C,MATCH($F41&amp;"",Counterparties!$A:$A,0))&amp;"",""))</f>
        <v/>
      </c>
      <c r="P41" s="24" t="str">
        <f aca="false">IF($O41="","",IF($O41="CY","CY",IF(ISNUMBER(MATCH($O41,Lists!$A:$A,0)),"EU","3RD")))</f>
        <v/>
      </c>
      <c r="Q41" s="24" t="str">
        <f aca="false">IF($F41="","N",IFERROR(IF(INDEX(Counterparties!$E:$E,MATCH($F41&amp;"",Counterparties!$A:$A,0))="Y","Y","N"),"N"))</f>
        <v>N</v>
      </c>
      <c r="R41" s="25" t="n">
        <f aca="false">IF(OR($H41="",$H41="EUR"),1,IFERROR(INDEX(FX_Rates!$D:$D,MATCH($H41,FX_Rates!$A:$A,0)),""))</f>
        <v>1</v>
      </c>
      <c r="S41" s="26" t="str">
        <f aca="false">IF(AND($I41="",$J41=""),"",IF($J41&lt;&gt;"",$J41,IF(OR($R41="",$R41=0),"",ROUND($I41/$R41,2))))</f>
        <v/>
      </c>
      <c r="T41" s="24" t="str">
        <f aca="false">IF($N41="","",IFERROR(INDEX(VAT_Codes!$C:$C,MATCH($N41,VAT_Codes!$A:$A,0)),"")&amp;"")</f>
        <v/>
      </c>
      <c r="U41" s="26" t="n">
        <f aca="false">IF(OR($S41="",$T41="",$T41="None"),0,IF($T41="Output",-$S41,$S41))</f>
        <v>0</v>
      </c>
      <c r="V41" s="27" t="n">
        <f aca="false">IF($N41="",0,IFERROR(INDEX(VAT_Codes!$D:$D,MATCH($N41,VAT_Codes!$A:$A,0)),0))</f>
        <v>0</v>
      </c>
      <c r="W41" s="26" t="n">
        <f aca="false">IF($U41=0,0,IF(IFERROR(INDEX(VAT_Codes!$F:$F,MATCH($N41,VAT_Codes!$A:$A,0)),"N")="Y",$U41,IF($L41&lt;&gt;"",ROUND(ABS($L41)/IF(OR($R41="",$R41=0),1,$R41),2)*SIGN($U41),ROUND($U41*$V41,2))))</f>
        <v>0</v>
      </c>
      <c r="X41" s="24" t="str">
        <f aca="false">IF($N41="","",IFERROR(INDEX(VAT_Codes!$H:$H,MATCH($N41,VAT_Codes!$A:$A,0)),"")&amp;"")</f>
        <v/>
      </c>
      <c r="Y41" s="24" t="str">
        <f aca="false">IF($A41="","",(YEAR($A41)-YEAR(Settings!$C$8))*12+MONTH($A41)-MONTH(Settings!$C$8)+1)</f>
        <v/>
      </c>
      <c r="Z41" s="24" t="str">
        <f aca="false">IF(AND($C41="",$I41="",$J41=""),"",IF($N41="","NO VAT CODE",IF($T41="","UNKNOWN VAT CODE",IF($S41="","MISSING FX RATE",IF(OR($A41&lt;Settings!$C$8,$A41&gt;Settings!$C$9),"OUTSIDE PERIOD",IF(AND(IFERROR(INDEX(VAT_Codes!$E:$E,MATCH($N41,VAT_Codes!$A:$A,0)),"ANY")&lt;&gt;"ANY",$P41=""),"MISSING COUNTERPARTY COUNTRY",IF(AND(IFERROR(INDEX(VAT_Codes!$E:$E,MATCH($N41,VAT_Codes!$A:$A,0)),"ANY")&lt;&gt;"ANY",$P41&lt;&gt;IFERROR(INDEX(VAT_Codes!$E:$E,MATCH($N41,VAT_Codes!$A:$A,0)),"ANY")),"REGION MISMATCH","OK")))))))</f>
        <v/>
      </c>
    </row>
    <row r="42" customFormat="false" ht="15" hidden="false" customHeight="false" outlineLevel="0" collapsed="false">
      <c r="M42" s="24" t="str">
        <f aca="false">IF($C42="","",IFERROR(INDEX(Account_Mapping!$C:$C,MATCH($C42&amp;"",Account_Mapping!$A:$A,0))&amp;"",""))</f>
        <v/>
      </c>
      <c r="N42" s="24" t="str">
        <f aca="false">IF($K42&lt;&gt;"",$K42,$M42)</f>
        <v/>
      </c>
      <c r="O42" s="24" t="str">
        <f aca="false">IF($F42="","",IFERROR(INDEX(Counterparties!$C:$C,MATCH($F42&amp;"",Counterparties!$A:$A,0))&amp;"",""))</f>
        <v/>
      </c>
      <c r="P42" s="24" t="str">
        <f aca="false">IF($O42="","",IF($O42="CY","CY",IF(ISNUMBER(MATCH($O42,Lists!$A:$A,0)),"EU","3RD")))</f>
        <v/>
      </c>
      <c r="Q42" s="24" t="str">
        <f aca="false">IF($F42="","N",IFERROR(IF(INDEX(Counterparties!$E:$E,MATCH($F42&amp;"",Counterparties!$A:$A,0))="Y","Y","N"),"N"))</f>
        <v>N</v>
      </c>
      <c r="R42" s="25" t="n">
        <f aca="false">IF(OR($H42="",$H42="EUR"),1,IFERROR(INDEX(FX_Rates!$D:$D,MATCH($H42,FX_Rates!$A:$A,0)),""))</f>
        <v>1</v>
      </c>
      <c r="S42" s="26" t="str">
        <f aca="false">IF(AND($I42="",$J42=""),"",IF($J42&lt;&gt;"",$J42,IF(OR($R42="",$R42=0),"",ROUND($I42/$R42,2))))</f>
        <v/>
      </c>
      <c r="T42" s="24" t="str">
        <f aca="false">IF($N42="","",IFERROR(INDEX(VAT_Codes!$C:$C,MATCH($N42,VAT_Codes!$A:$A,0)),"")&amp;"")</f>
        <v/>
      </c>
      <c r="U42" s="26" t="n">
        <f aca="false">IF(OR($S42="",$T42="",$T42="None"),0,IF($T42="Output",-$S42,$S42))</f>
        <v>0</v>
      </c>
      <c r="V42" s="27" t="n">
        <f aca="false">IF($N42="",0,IFERROR(INDEX(VAT_Codes!$D:$D,MATCH($N42,VAT_Codes!$A:$A,0)),0))</f>
        <v>0</v>
      </c>
      <c r="W42" s="26" t="n">
        <f aca="false">IF($U42=0,0,IF(IFERROR(INDEX(VAT_Codes!$F:$F,MATCH($N42,VAT_Codes!$A:$A,0)),"N")="Y",$U42,IF($L42&lt;&gt;"",ROUND(ABS($L42)/IF(OR($R42="",$R42=0),1,$R42),2)*SIGN($U42),ROUND($U42*$V42,2))))</f>
        <v>0</v>
      </c>
      <c r="X42" s="24" t="str">
        <f aca="false">IF($N42="","",IFERROR(INDEX(VAT_Codes!$H:$H,MATCH($N42,VAT_Codes!$A:$A,0)),"")&amp;"")</f>
        <v/>
      </c>
      <c r="Y42" s="24" t="str">
        <f aca="false">IF($A42="","",(YEAR($A42)-YEAR(Settings!$C$8))*12+MONTH($A42)-MONTH(Settings!$C$8)+1)</f>
        <v/>
      </c>
      <c r="Z42" s="24" t="str">
        <f aca="false">IF(AND($C42="",$I42="",$J42=""),"",IF($N42="","NO VAT CODE",IF($T42="","UNKNOWN VAT CODE",IF($S42="","MISSING FX RATE",IF(OR($A42&lt;Settings!$C$8,$A42&gt;Settings!$C$9),"OUTSIDE PERIOD",IF(AND(IFERROR(INDEX(VAT_Codes!$E:$E,MATCH($N42,VAT_Codes!$A:$A,0)),"ANY")&lt;&gt;"ANY",$P42=""),"MISSING COUNTERPARTY COUNTRY",IF(AND(IFERROR(INDEX(VAT_Codes!$E:$E,MATCH($N42,VAT_Codes!$A:$A,0)),"ANY")&lt;&gt;"ANY",$P42&lt;&gt;IFERROR(INDEX(VAT_Codes!$E:$E,MATCH($N42,VAT_Codes!$A:$A,0)),"ANY")),"REGION MISMATCH","OK")))))))</f>
        <v/>
      </c>
    </row>
    <row r="43" customFormat="false" ht="15" hidden="false" customHeight="false" outlineLevel="0" collapsed="false">
      <c r="M43" s="24" t="str">
        <f aca="false">IF($C43="","",IFERROR(INDEX(Account_Mapping!$C:$C,MATCH($C43&amp;"",Account_Mapping!$A:$A,0))&amp;"",""))</f>
        <v/>
      </c>
      <c r="N43" s="24" t="str">
        <f aca="false">IF($K43&lt;&gt;"",$K43,$M43)</f>
        <v/>
      </c>
      <c r="O43" s="24" t="str">
        <f aca="false">IF($F43="","",IFERROR(INDEX(Counterparties!$C:$C,MATCH($F43&amp;"",Counterparties!$A:$A,0))&amp;"",""))</f>
        <v/>
      </c>
      <c r="P43" s="24" t="str">
        <f aca="false">IF($O43="","",IF($O43="CY","CY",IF(ISNUMBER(MATCH($O43,Lists!$A:$A,0)),"EU","3RD")))</f>
        <v/>
      </c>
      <c r="Q43" s="24" t="str">
        <f aca="false">IF($F43="","N",IFERROR(IF(INDEX(Counterparties!$E:$E,MATCH($F43&amp;"",Counterparties!$A:$A,0))="Y","Y","N"),"N"))</f>
        <v>N</v>
      </c>
      <c r="R43" s="25" t="n">
        <f aca="false">IF(OR($H43="",$H43="EUR"),1,IFERROR(INDEX(FX_Rates!$D:$D,MATCH($H43,FX_Rates!$A:$A,0)),""))</f>
        <v>1</v>
      </c>
      <c r="S43" s="26" t="str">
        <f aca="false">IF(AND($I43="",$J43=""),"",IF($J43&lt;&gt;"",$J43,IF(OR($R43="",$R43=0),"",ROUND($I43/$R43,2))))</f>
        <v/>
      </c>
      <c r="T43" s="24" t="str">
        <f aca="false">IF($N43="","",IFERROR(INDEX(VAT_Codes!$C:$C,MATCH($N43,VAT_Codes!$A:$A,0)),"")&amp;"")</f>
        <v/>
      </c>
      <c r="U43" s="26" t="n">
        <f aca="false">IF(OR($S43="",$T43="",$T43="None"),0,IF($T43="Output",-$S43,$S43))</f>
        <v>0</v>
      </c>
      <c r="V43" s="27" t="n">
        <f aca="false">IF($N43="",0,IFERROR(INDEX(VAT_Codes!$D:$D,MATCH($N43,VAT_Codes!$A:$A,0)),0))</f>
        <v>0</v>
      </c>
      <c r="W43" s="26" t="n">
        <f aca="false">IF($U43=0,0,IF(IFERROR(INDEX(VAT_Codes!$F:$F,MATCH($N43,VAT_Codes!$A:$A,0)),"N")="Y",$U43,IF($L43&lt;&gt;"",ROUND(ABS($L43)/IF(OR($R43="",$R43=0),1,$R43),2)*SIGN($U43),ROUND($U43*$V43,2))))</f>
        <v>0</v>
      </c>
      <c r="X43" s="24" t="str">
        <f aca="false">IF($N43="","",IFERROR(INDEX(VAT_Codes!$H:$H,MATCH($N43,VAT_Codes!$A:$A,0)),"")&amp;"")</f>
        <v/>
      </c>
      <c r="Y43" s="24" t="str">
        <f aca="false">IF($A43="","",(YEAR($A43)-YEAR(Settings!$C$8))*12+MONTH($A43)-MONTH(Settings!$C$8)+1)</f>
        <v/>
      </c>
      <c r="Z43" s="24" t="str">
        <f aca="false">IF(AND($C43="",$I43="",$J43=""),"",IF($N43="","NO VAT CODE",IF($T43="","UNKNOWN VAT CODE",IF($S43="","MISSING FX RATE",IF(OR($A43&lt;Settings!$C$8,$A43&gt;Settings!$C$9),"OUTSIDE PERIOD",IF(AND(IFERROR(INDEX(VAT_Codes!$E:$E,MATCH($N43,VAT_Codes!$A:$A,0)),"ANY")&lt;&gt;"ANY",$P43=""),"MISSING COUNTERPARTY COUNTRY",IF(AND(IFERROR(INDEX(VAT_Codes!$E:$E,MATCH($N43,VAT_Codes!$A:$A,0)),"ANY")&lt;&gt;"ANY",$P43&lt;&gt;IFERROR(INDEX(VAT_Codes!$E:$E,MATCH($N43,VAT_Codes!$A:$A,0)),"ANY")),"REGION MISMATCH","OK")))))))</f>
        <v/>
      </c>
    </row>
    <row r="44" customFormat="false" ht="15" hidden="false" customHeight="false" outlineLevel="0" collapsed="false">
      <c r="M44" s="24" t="str">
        <f aca="false">IF($C44="","",IFERROR(INDEX(Account_Mapping!$C:$C,MATCH($C44&amp;"",Account_Mapping!$A:$A,0))&amp;"",""))</f>
        <v/>
      </c>
      <c r="N44" s="24" t="str">
        <f aca="false">IF($K44&lt;&gt;"",$K44,$M44)</f>
        <v/>
      </c>
      <c r="O44" s="24" t="str">
        <f aca="false">IF($F44="","",IFERROR(INDEX(Counterparties!$C:$C,MATCH($F44&amp;"",Counterparties!$A:$A,0))&amp;"",""))</f>
        <v/>
      </c>
      <c r="P44" s="24" t="str">
        <f aca="false">IF($O44="","",IF($O44="CY","CY",IF(ISNUMBER(MATCH($O44,Lists!$A:$A,0)),"EU","3RD")))</f>
        <v/>
      </c>
      <c r="Q44" s="24" t="str">
        <f aca="false">IF($F44="","N",IFERROR(IF(INDEX(Counterparties!$E:$E,MATCH($F44&amp;"",Counterparties!$A:$A,0))="Y","Y","N"),"N"))</f>
        <v>N</v>
      </c>
      <c r="R44" s="25" t="n">
        <f aca="false">IF(OR($H44="",$H44="EUR"),1,IFERROR(INDEX(FX_Rates!$D:$D,MATCH($H44,FX_Rates!$A:$A,0)),""))</f>
        <v>1</v>
      </c>
      <c r="S44" s="26" t="str">
        <f aca="false">IF(AND($I44="",$J44=""),"",IF($J44&lt;&gt;"",$J44,IF(OR($R44="",$R44=0),"",ROUND($I44/$R44,2))))</f>
        <v/>
      </c>
      <c r="T44" s="24" t="str">
        <f aca="false">IF($N44="","",IFERROR(INDEX(VAT_Codes!$C:$C,MATCH($N44,VAT_Codes!$A:$A,0)),"")&amp;"")</f>
        <v/>
      </c>
      <c r="U44" s="26" t="n">
        <f aca="false">IF(OR($S44="",$T44="",$T44="None"),0,IF($T44="Output",-$S44,$S44))</f>
        <v>0</v>
      </c>
      <c r="V44" s="27" t="n">
        <f aca="false">IF($N44="",0,IFERROR(INDEX(VAT_Codes!$D:$D,MATCH($N44,VAT_Codes!$A:$A,0)),0))</f>
        <v>0</v>
      </c>
      <c r="W44" s="26" t="n">
        <f aca="false">IF($U44=0,0,IF(IFERROR(INDEX(VAT_Codes!$F:$F,MATCH($N44,VAT_Codes!$A:$A,0)),"N")="Y",$U44,IF($L44&lt;&gt;"",ROUND(ABS($L44)/IF(OR($R44="",$R44=0),1,$R44),2)*SIGN($U44),ROUND($U44*$V44,2))))</f>
        <v>0</v>
      </c>
      <c r="X44" s="24" t="str">
        <f aca="false">IF($N44="","",IFERROR(INDEX(VAT_Codes!$H:$H,MATCH($N44,VAT_Codes!$A:$A,0)),"")&amp;"")</f>
        <v/>
      </c>
      <c r="Y44" s="24" t="str">
        <f aca="false">IF($A44="","",(YEAR($A44)-YEAR(Settings!$C$8))*12+MONTH($A44)-MONTH(Settings!$C$8)+1)</f>
        <v/>
      </c>
      <c r="Z44" s="24" t="str">
        <f aca="false">IF(AND($C44="",$I44="",$J44=""),"",IF($N44="","NO VAT CODE",IF($T44="","UNKNOWN VAT CODE",IF($S44="","MISSING FX RATE",IF(OR($A44&lt;Settings!$C$8,$A44&gt;Settings!$C$9),"OUTSIDE PERIOD",IF(AND(IFERROR(INDEX(VAT_Codes!$E:$E,MATCH($N44,VAT_Codes!$A:$A,0)),"ANY")&lt;&gt;"ANY",$P44=""),"MISSING COUNTERPARTY COUNTRY",IF(AND(IFERROR(INDEX(VAT_Codes!$E:$E,MATCH($N44,VAT_Codes!$A:$A,0)),"ANY")&lt;&gt;"ANY",$P44&lt;&gt;IFERROR(INDEX(VAT_Codes!$E:$E,MATCH($N44,VAT_Codes!$A:$A,0)),"ANY")),"REGION MISMATCH","OK")))))))</f>
        <v/>
      </c>
    </row>
    <row r="45" customFormat="false" ht="15" hidden="false" customHeight="false" outlineLevel="0" collapsed="false">
      <c r="M45" s="24" t="str">
        <f aca="false">IF($C45="","",IFERROR(INDEX(Account_Mapping!$C:$C,MATCH($C45&amp;"",Account_Mapping!$A:$A,0))&amp;"",""))</f>
        <v/>
      </c>
      <c r="N45" s="24" t="str">
        <f aca="false">IF($K45&lt;&gt;"",$K45,$M45)</f>
        <v/>
      </c>
      <c r="O45" s="24" t="str">
        <f aca="false">IF($F45="","",IFERROR(INDEX(Counterparties!$C:$C,MATCH($F45&amp;"",Counterparties!$A:$A,0))&amp;"",""))</f>
        <v/>
      </c>
      <c r="P45" s="24" t="str">
        <f aca="false">IF($O45="","",IF($O45="CY","CY",IF(ISNUMBER(MATCH($O45,Lists!$A:$A,0)),"EU","3RD")))</f>
        <v/>
      </c>
      <c r="Q45" s="24" t="str">
        <f aca="false">IF($F45="","N",IFERROR(IF(INDEX(Counterparties!$E:$E,MATCH($F45&amp;"",Counterparties!$A:$A,0))="Y","Y","N"),"N"))</f>
        <v>N</v>
      </c>
      <c r="R45" s="25" t="n">
        <f aca="false">IF(OR($H45="",$H45="EUR"),1,IFERROR(INDEX(FX_Rates!$D:$D,MATCH($H45,FX_Rates!$A:$A,0)),""))</f>
        <v>1</v>
      </c>
      <c r="S45" s="26" t="str">
        <f aca="false">IF(AND($I45="",$J45=""),"",IF($J45&lt;&gt;"",$J45,IF(OR($R45="",$R45=0),"",ROUND($I45/$R45,2))))</f>
        <v/>
      </c>
      <c r="T45" s="24" t="str">
        <f aca="false">IF($N45="","",IFERROR(INDEX(VAT_Codes!$C:$C,MATCH($N45,VAT_Codes!$A:$A,0)),"")&amp;"")</f>
        <v/>
      </c>
      <c r="U45" s="26" t="n">
        <f aca="false">IF(OR($S45="",$T45="",$T45="None"),0,IF($T45="Output",-$S45,$S45))</f>
        <v>0</v>
      </c>
      <c r="V45" s="27" t="n">
        <f aca="false">IF($N45="",0,IFERROR(INDEX(VAT_Codes!$D:$D,MATCH($N45,VAT_Codes!$A:$A,0)),0))</f>
        <v>0</v>
      </c>
      <c r="W45" s="26" t="n">
        <f aca="false">IF($U45=0,0,IF(IFERROR(INDEX(VAT_Codes!$F:$F,MATCH($N45,VAT_Codes!$A:$A,0)),"N")="Y",$U45,IF($L45&lt;&gt;"",ROUND(ABS($L45)/IF(OR($R45="",$R45=0),1,$R45),2)*SIGN($U45),ROUND($U45*$V45,2))))</f>
        <v>0</v>
      </c>
      <c r="X45" s="24" t="str">
        <f aca="false">IF($N45="","",IFERROR(INDEX(VAT_Codes!$H:$H,MATCH($N45,VAT_Codes!$A:$A,0)),"")&amp;"")</f>
        <v/>
      </c>
      <c r="Y45" s="24" t="str">
        <f aca="false">IF($A45="","",(YEAR($A45)-YEAR(Settings!$C$8))*12+MONTH($A45)-MONTH(Settings!$C$8)+1)</f>
        <v/>
      </c>
      <c r="Z45" s="24" t="str">
        <f aca="false">IF(AND($C45="",$I45="",$J45=""),"",IF($N45="","NO VAT CODE",IF($T45="","UNKNOWN VAT CODE",IF($S45="","MISSING FX RATE",IF(OR($A45&lt;Settings!$C$8,$A45&gt;Settings!$C$9),"OUTSIDE PERIOD",IF(AND(IFERROR(INDEX(VAT_Codes!$E:$E,MATCH($N45,VAT_Codes!$A:$A,0)),"ANY")&lt;&gt;"ANY",$P45=""),"MISSING COUNTERPARTY COUNTRY",IF(AND(IFERROR(INDEX(VAT_Codes!$E:$E,MATCH($N45,VAT_Codes!$A:$A,0)),"ANY")&lt;&gt;"ANY",$P45&lt;&gt;IFERROR(INDEX(VAT_Codes!$E:$E,MATCH($N45,VAT_Codes!$A:$A,0)),"ANY")),"REGION MISMATCH","OK")))))))</f>
        <v/>
      </c>
    </row>
    <row r="46" customFormat="false" ht="15" hidden="false" customHeight="false" outlineLevel="0" collapsed="false">
      <c r="M46" s="24" t="str">
        <f aca="false">IF($C46="","",IFERROR(INDEX(Account_Mapping!$C:$C,MATCH($C46&amp;"",Account_Mapping!$A:$A,0))&amp;"",""))</f>
        <v/>
      </c>
      <c r="N46" s="24" t="str">
        <f aca="false">IF($K46&lt;&gt;"",$K46,$M46)</f>
        <v/>
      </c>
      <c r="O46" s="24" t="str">
        <f aca="false">IF($F46="","",IFERROR(INDEX(Counterparties!$C:$C,MATCH($F46&amp;"",Counterparties!$A:$A,0))&amp;"",""))</f>
        <v/>
      </c>
      <c r="P46" s="24" t="str">
        <f aca="false">IF($O46="","",IF($O46="CY","CY",IF(ISNUMBER(MATCH($O46,Lists!$A:$A,0)),"EU","3RD")))</f>
        <v/>
      </c>
      <c r="Q46" s="24" t="str">
        <f aca="false">IF($F46="","N",IFERROR(IF(INDEX(Counterparties!$E:$E,MATCH($F46&amp;"",Counterparties!$A:$A,0))="Y","Y","N"),"N"))</f>
        <v>N</v>
      </c>
      <c r="R46" s="25" t="n">
        <f aca="false">IF(OR($H46="",$H46="EUR"),1,IFERROR(INDEX(FX_Rates!$D:$D,MATCH($H46,FX_Rates!$A:$A,0)),""))</f>
        <v>1</v>
      </c>
      <c r="S46" s="26" t="str">
        <f aca="false">IF(AND($I46="",$J46=""),"",IF($J46&lt;&gt;"",$J46,IF(OR($R46="",$R46=0),"",ROUND($I46/$R46,2))))</f>
        <v/>
      </c>
      <c r="T46" s="24" t="str">
        <f aca="false">IF($N46="","",IFERROR(INDEX(VAT_Codes!$C:$C,MATCH($N46,VAT_Codes!$A:$A,0)),"")&amp;"")</f>
        <v/>
      </c>
      <c r="U46" s="26" t="n">
        <f aca="false">IF(OR($S46="",$T46="",$T46="None"),0,IF($T46="Output",-$S46,$S46))</f>
        <v>0</v>
      </c>
      <c r="V46" s="27" t="n">
        <f aca="false">IF($N46="",0,IFERROR(INDEX(VAT_Codes!$D:$D,MATCH($N46,VAT_Codes!$A:$A,0)),0))</f>
        <v>0</v>
      </c>
      <c r="W46" s="26" t="n">
        <f aca="false">IF($U46=0,0,IF(IFERROR(INDEX(VAT_Codes!$F:$F,MATCH($N46,VAT_Codes!$A:$A,0)),"N")="Y",$U46,IF($L46&lt;&gt;"",ROUND(ABS($L46)/IF(OR($R46="",$R46=0),1,$R46),2)*SIGN($U46),ROUND($U46*$V46,2))))</f>
        <v>0</v>
      </c>
      <c r="X46" s="24" t="str">
        <f aca="false">IF($N46="","",IFERROR(INDEX(VAT_Codes!$H:$H,MATCH($N46,VAT_Codes!$A:$A,0)),"")&amp;"")</f>
        <v/>
      </c>
      <c r="Y46" s="24" t="str">
        <f aca="false">IF($A46="","",(YEAR($A46)-YEAR(Settings!$C$8))*12+MONTH($A46)-MONTH(Settings!$C$8)+1)</f>
        <v/>
      </c>
      <c r="Z46" s="24" t="str">
        <f aca="false">IF(AND($C46="",$I46="",$J46=""),"",IF($N46="","NO VAT CODE",IF($T46="","UNKNOWN VAT CODE",IF($S46="","MISSING FX RATE",IF(OR($A46&lt;Settings!$C$8,$A46&gt;Settings!$C$9),"OUTSIDE PERIOD",IF(AND(IFERROR(INDEX(VAT_Codes!$E:$E,MATCH($N46,VAT_Codes!$A:$A,0)),"ANY")&lt;&gt;"ANY",$P46=""),"MISSING COUNTERPARTY COUNTRY",IF(AND(IFERROR(INDEX(VAT_Codes!$E:$E,MATCH($N46,VAT_Codes!$A:$A,0)),"ANY")&lt;&gt;"ANY",$P46&lt;&gt;IFERROR(INDEX(VAT_Codes!$E:$E,MATCH($N46,VAT_Codes!$A:$A,0)),"ANY")),"REGION MISMATCH","OK")))))))</f>
        <v/>
      </c>
    </row>
    <row r="47" customFormat="false" ht="15" hidden="false" customHeight="false" outlineLevel="0" collapsed="false">
      <c r="M47" s="24" t="str">
        <f aca="false">IF($C47="","",IFERROR(INDEX(Account_Mapping!$C:$C,MATCH($C47&amp;"",Account_Mapping!$A:$A,0))&amp;"",""))</f>
        <v/>
      </c>
      <c r="N47" s="24" t="str">
        <f aca="false">IF($K47&lt;&gt;"",$K47,$M47)</f>
        <v/>
      </c>
      <c r="O47" s="24" t="str">
        <f aca="false">IF($F47="","",IFERROR(INDEX(Counterparties!$C:$C,MATCH($F47&amp;"",Counterparties!$A:$A,0))&amp;"",""))</f>
        <v/>
      </c>
      <c r="P47" s="24" t="str">
        <f aca="false">IF($O47="","",IF($O47="CY","CY",IF(ISNUMBER(MATCH($O47,Lists!$A:$A,0)),"EU","3RD")))</f>
        <v/>
      </c>
      <c r="Q47" s="24" t="str">
        <f aca="false">IF($F47="","N",IFERROR(IF(INDEX(Counterparties!$E:$E,MATCH($F47&amp;"",Counterparties!$A:$A,0))="Y","Y","N"),"N"))</f>
        <v>N</v>
      </c>
      <c r="R47" s="25" t="n">
        <f aca="false">IF(OR($H47="",$H47="EUR"),1,IFERROR(INDEX(FX_Rates!$D:$D,MATCH($H47,FX_Rates!$A:$A,0)),""))</f>
        <v>1</v>
      </c>
      <c r="S47" s="26" t="str">
        <f aca="false">IF(AND($I47="",$J47=""),"",IF($J47&lt;&gt;"",$J47,IF(OR($R47="",$R47=0),"",ROUND($I47/$R47,2))))</f>
        <v/>
      </c>
      <c r="T47" s="24" t="str">
        <f aca="false">IF($N47="","",IFERROR(INDEX(VAT_Codes!$C:$C,MATCH($N47,VAT_Codes!$A:$A,0)),"")&amp;"")</f>
        <v/>
      </c>
      <c r="U47" s="26" t="n">
        <f aca="false">IF(OR($S47="",$T47="",$T47="None"),0,IF($T47="Output",-$S47,$S47))</f>
        <v>0</v>
      </c>
      <c r="V47" s="27" t="n">
        <f aca="false">IF($N47="",0,IFERROR(INDEX(VAT_Codes!$D:$D,MATCH($N47,VAT_Codes!$A:$A,0)),0))</f>
        <v>0</v>
      </c>
      <c r="W47" s="26" t="n">
        <f aca="false">IF($U47=0,0,IF(IFERROR(INDEX(VAT_Codes!$F:$F,MATCH($N47,VAT_Codes!$A:$A,0)),"N")="Y",$U47,IF($L47&lt;&gt;"",ROUND(ABS($L47)/IF(OR($R47="",$R47=0),1,$R47),2)*SIGN($U47),ROUND($U47*$V47,2))))</f>
        <v>0</v>
      </c>
      <c r="X47" s="24" t="str">
        <f aca="false">IF($N47="","",IFERROR(INDEX(VAT_Codes!$H:$H,MATCH($N47,VAT_Codes!$A:$A,0)),"")&amp;"")</f>
        <v/>
      </c>
      <c r="Y47" s="24" t="str">
        <f aca="false">IF($A47="","",(YEAR($A47)-YEAR(Settings!$C$8))*12+MONTH($A47)-MONTH(Settings!$C$8)+1)</f>
        <v/>
      </c>
      <c r="Z47" s="24" t="str">
        <f aca="false">IF(AND($C47="",$I47="",$J47=""),"",IF($N47="","NO VAT CODE",IF($T47="","UNKNOWN VAT CODE",IF($S47="","MISSING FX RATE",IF(OR($A47&lt;Settings!$C$8,$A47&gt;Settings!$C$9),"OUTSIDE PERIOD",IF(AND(IFERROR(INDEX(VAT_Codes!$E:$E,MATCH($N47,VAT_Codes!$A:$A,0)),"ANY")&lt;&gt;"ANY",$P47=""),"MISSING COUNTERPARTY COUNTRY",IF(AND(IFERROR(INDEX(VAT_Codes!$E:$E,MATCH($N47,VAT_Codes!$A:$A,0)),"ANY")&lt;&gt;"ANY",$P47&lt;&gt;IFERROR(INDEX(VAT_Codes!$E:$E,MATCH($N47,VAT_Codes!$A:$A,0)),"ANY")),"REGION MISMATCH","OK")))))))</f>
        <v/>
      </c>
    </row>
    <row r="48" customFormat="false" ht="15" hidden="false" customHeight="false" outlineLevel="0" collapsed="false">
      <c r="M48" s="24" t="str">
        <f aca="false">IF($C48="","",IFERROR(INDEX(Account_Mapping!$C:$C,MATCH($C48&amp;"",Account_Mapping!$A:$A,0))&amp;"",""))</f>
        <v/>
      </c>
      <c r="N48" s="24" t="str">
        <f aca="false">IF($K48&lt;&gt;"",$K48,$M48)</f>
        <v/>
      </c>
      <c r="O48" s="24" t="str">
        <f aca="false">IF($F48="","",IFERROR(INDEX(Counterparties!$C:$C,MATCH($F48&amp;"",Counterparties!$A:$A,0))&amp;"",""))</f>
        <v/>
      </c>
      <c r="P48" s="24" t="str">
        <f aca="false">IF($O48="","",IF($O48="CY","CY",IF(ISNUMBER(MATCH($O48,Lists!$A:$A,0)),"EU","3RD")))</f>
        <v/>
      </c>
      <c r="Q48" s="24" t="str">
        <f aca="false">IF($F48="","N",IFERROR(IF(INDEX(Counterparties!$E:$E,MATCH($F48&amp;"",Counterparties!$A:$A,0))="Y","Y","N"),"N"))</f>
        <v>N</v>
      </c>
      <c r="R48" s="25" t="n">
        <f aca="false">IF(OR($H48="",$H48="EUR"),1,IFERROR(INDEX(FX_Rates!$D:$D,MATCH($H48,FX_Rates!$A:$A,0)),""))</f>
        <v>1</v>
      </c>
      <c r="S48" s="26" t="str">
        <f aca="false">IF(AND($I48="",$J48=""),"",IF($J48&lt;&gt;"",$J48,IF(OR($R48="",$R48=0),"",ROUND($I48/$R48,2))))</f>
        <v/>
      </c>
      <c r="T48" s="24" t="str">
        <f aca="false">IF($N48="","",IFERROR(INDEX(VAT_Codes!$C:$C,MATCH($N48,VAT_Codes!$A:$A,0)),"")&amp;"")</f>
        <v/>
      </c>
      <c r="U48" s="26" t="n">
        <f aca="false">IF(OR($S48="",$T48="",$T48="None"),0,IF($T48="Output",-$S48,$S48))</f>
        <v>0</v>
      </c>
      <c r="V48" s="27" t="n">
        <f aca="false">IF($N48="",0,IFERROR(INDEX(VAT_Codes!$D:$D,MATCH($N48,VAT_Codes!$A:$A,0)),0))</f>
        <v>0</v>
      </c>
      <c r="W48" s="26" t="n">
        <f aca="false">IF($U48=0,0,IF(IFERROR(INDEX(VAT_Codes!$F:$F,MATCH($N48,VAT_Codes!$A:$A,0)),"N")="Y",$U48,IF($L48&lt;&gt;"",ROUND(ABS($L48)/IF(OR($R48="",$R48=0),1,$R48),2)*SIGN($U48),ROUND($U48*$V48,2))))</f>
        <v>0</v>
      </c>
      <c r="X48" s="24" t="str">
        <f aca="false">IF($N48="","",IFERROR(INDEX(VAT_Codes!$H:$H,MATCH($N48,VAT_Codes!$A:$A,0)),"")&amp;"")</f>
        <v/>
      </c>
      <c r="Y48" s="24" t="str">
        <f aca="false">IF($A48="","",(YEAR($A48)-YEAR(Settings!$C$8))*12+MONTH($A48)-MONTH(Settings!$C$8)+1)</f>
        <v/>
      </c>
      <c r="Z48" s="24" t="str">
        <f aca="false">IF(AND($C48="",$I48="",$J48=""),"",IF($N48="","NO VAT CODE",IF($T48="","UNKNOWN VAT CODE",IF($S48="","MISSING FX RATE",IF(OR($A48&lt;Settings!$C$8,$A48&gt;Settings!$C$9),"OUTSIDE PERIOD",IF(AND(IFERROR(INDEX(VAT_Codes!$E:$E,MATCH($N48,VAT_Codes!$A:$A,0)),"ANY")&lt;&gt;"ANY",$P48=""),"MISSING COUNTERPARTY COUNTRY",IF(AND(IFERROR(INDEX(VAT_Codes!$E:$E,MATCH($N48,VAT_Codes!$A:$A,0)),"ANY")&lt;&gt;"ANY",$P48&lt;&gt;IFERROR(INDEX(VAT_Codes!$E:$E,MATCH($N48,VAT_Codes!$A:$A,0)),"ANY")),"REGION MISMATCH","OK")))))))</f>
        <v/>
      </c>
    </row>
    <row r="49" customFormat="false" ht="15" hidden="false" customHeight="false" outlineLevel="0" collapsed="false">
      <c r="M49" s="24" t="str">
        <f aca="false">IF($C49="","",IFERROR(INDEX(Account_Mapping!$C:$C,MATCH($C49&amp;"",Account_Mapping!$A:$A,0))&amp;"",""))</f>
        <v/>
      </c>
      <c r="N49" s="24" t="str">
        <f aca="false">IF($K49&lt;&gt;"",$K49,$M49)</f>
        <v/>
      </c>
      <c r="O49" s="24" t="str">
        <f aca="false">IF($F49="","",IFERROR(INDEX(Counterparties!$C:$C,MATCH($F49&amp;"",Counterparties!$A:$A,0))&amp;"",""))</f>
        <v/>
      </c>
      <c r="P49" s="24" t="str">
        <f aca="false">IF($O49="","",IF($O49="CY","CY",IF(ISNUMBER(MATCH($O49,Lists!$A:$A,0)),"EU","3RD")))</f>
        <v/>
      </c>
      <c r="Q49" s="24" t="str">
        <f aca="false">IF($F49="","N",IFERROR(IF(INDEX(Counterparties!$E:$E,MATCH($F49&amp;"",Counterparties!$A:$A,0))="Y","Y","N"),"N"))</f>
        <v>N</v>
      </c>
      <c r="R49" s="25" t="n">
        <f aca="false">IF(OR($H49="",$H49="EUR"),1,IFERROR(INDEX(FX_Rates!$D:$D,MATCH($H49,FX_Rates!$A:$A,0)),""))</f>
        <v>1</v>
      </c>
      <c r="S49" s="26" t="str">
        <f aca="false">IF(AND($I49="",$J49=""),"",IF($J49&lt;&gt;"",$J49,IF(OR($R49="",$R49=0),"",ROUND($I49/$R49,2))))</f>
        <v/>
      </c>
      <c r="T49" s="24" t="str">
        <f aca="false">IF($N49="","",IFERROR(INDEX(VAT_Codes!$C:$C,MATCH($N49,VAT_Codes!$A:$A,0)),"")&amp;"")</f>
        <v/>
      </c>
      <c r="U49" s="26" t="n">
        <f aca="false">IF(OR($S49="",$T49="",$T49="None"),0,IF($T49="Output",-$S49,$S49))</f>
        <v>0</v>
      </c>
      <c r="V49" s="27" t="n">
        <f aca="false">IF($N49="",0,IFERROR(INDEX(VAT_Codes!$D:$D,MATCH($N49,VAT_Codes!$A:$A,0)),0))</f>
        <v>0</v>
      </c>
      <c r="W49" s="26" t="n">
        <f aca="false">IF($U49=0,0,IF(IFERROR(INDEX(VAT_Codes!$F:$F,MATCH($N49,VAT_Codes!$A:$A,0)),"N")="Y",$U49,IF($L49&lt;&gt;"",ROUND(ABS($L49)/IF(OR($R49="",$R49=0),1,$R49),2)*SIGN($U49),ROUND($U49*$V49,2))))</f>
        <v>0</v>
      </c>
      <c r="X49" s="24" t="str">
        <f aca="false">IF($N49="","",IFERROR(INDEX(VAT_Codes!$H:$H,MATCH($N49,VAT_Codes!$A:$A,0)),"")&amp;"")</f>
        <v/>
      </c>
      <c r="Y49" s="24" t="str">
        <f aca="false">IF($A49="","",(YEAR($A49)-YEAR(Settings!$C$8))*12+MONTH($A49)-MONTH(Settings!$C$8)+1)</f>
        <v/>
      </c>
      <c r="Z49" s="24" t="str">
        <f aca="false">IF(AND($C49="",$I49="",$J49=""),"",IF($N49="","NO VAT CODE",IF($T49="","UNKNOWN VAT CODE",IF($S49="","MISSING FX RATE",IF(OR($A49&lt;Settings!$C$8,$A49&gt;Settings!$C$9),"OUTSIDE PERIOD",IF(AND(IFERROR(INDEX(VAT_Codes!$E:$E,MATCH($N49,VAT_Codes!$A:$A,0)),"ANY")&lt;&gt;"ANY",$P49=""),"MISSING COUNTERPARTY COUNTRY",IF(AND(IFERROR(INDEX(VAT_Codes!$E:$E,MATCH($N49,VAT_Codes!$A:$A,0)),"ANY")&lt;&gt;"ANY",$P49&lt;&gt;IFERROR(INDEX(VAT_Codes!$E:$E,MATCH($N49,VAT_Codes!$A:$A,0)),"ANY")),"REGION MISMATCH","OK")))))))</f>
        <v/>
      </c>
    </row>
    <row r="50" customFormat="false" ht="15" hidden="false" customHeight="false" outlineLevel="0" collapsed="false">
      <c r="M50" s="24" t="str">
        <f aca="false">IF($C50="","",IFERROR(INDEX(Account_Mapping!$C:$C,MATCH($C50&amp;"",Account_Mapping!$A:$A,0))&amp;"",""))</f>
        <v/>
      </c>
      <c r="N50" s="24" t="str">
        <f aca="false">IF($K50&lt;&gt;"",$K50,$M50)</f>
        <v/>
      </c>
      <c r="O50" s="24" t="str">
        <f aca="false">IF($F50="","",IFERROR(INDEX(Counterparties!$C:$C,MATCH($F50&amp;"",Counterparties!$A:$A,0))&amp;"",""))</f>
        <v/>
      </c>
      <c r="P50" s="24" t="str">
        <f aca="false">IF($O50="","",IF($O50="CY","CY",IF(ISNUMBER(MATCH($O50,Lists!$A:$A,0)),"EU","3RD")))</f>
        <v/>
      </c>
      <c r="Q50" s="24" t="str">
        <f aca="false">IF($F50="","N",IFERROR(IF(INDEX(Counterparties!$E:$E,MATCH($F50&amp;"",Counterparties!$A:$A,0))="Y","Y","N"),"N"))</f>
        <v>N</v>
      </c>
      <c r="R50" s="25" t="n">
        <f aca="false">IF(OR($H50="",$H50="EUR"),1,IFERROR(INDEX(FX_Rates!$D:$D,MATCH($H50,FX_Rates!$A:$A,0)),""))</f>
        <v>1</v>
      </c>
      <c r="S50" s="26" t="str">
        <f aca="false">IF(AND($I50="",$J50=""),"",IF($J50&lt;&gt;"",$J50,IF(OR($R50="",$R50=0),"",ROUND($I50/$R50,2))))</f>
        <v/>
      </c>
      <c r="T50" s="24" t="str">
        <f aca="false">IF($N50="","",IFERROR(INDEX(VAT_Codes!$C:$C,MATCH($N50,VAT_Codes!$A:$A,0)),"")&amp;"")</f>
        <v/>
      </c>
      <c r="U50" s="26" t="n">
        <f aca="false">IF(OR($S50="",$T50="",$T50="None"),0,IF($T50="Output",-$S50,$S50))</f>
        <v>0</v>
      </c>
      <c r="V50" s="27" t="n">
        <f aca="false">IF($N50="",0,IFERROR(INDEX(VAT_Codes!$D:$D,MATCH($N50,VAT_Codes!$A:$A,0)),0))</f>
        <v>0</v>
      </c>
      <c r="W50" s="26" t="n">
        <f aca="false">IF($U50=0,0,IF(IFERROR(INDEX(VAT_Codes!$F:$F,MATCH($N50,VAT_Codes!$A:$A,0)),"N")="Y",$U50,IF($L50&lt;&gt;"",ROUND(ABS($L50)/IF(OR($R50="",$R50=0),1,$R50),2)*SIGN($U50),ROUND($U50*$V50,2))))</f>
        <v>0</v>
      </c>
      <c r="X50" s="24" t="str">
        <f aca="false">IF($N50="","",IFERROR(INDEX(VAT_Codes!$H:$H,MATCH($N50,VAT_Codes!$A:$A,0)),"")&amp;"")</f>
        <v/>
      </c>
      <c r="Y50" s="24" t="str">
        <f aca="false">IF($A50="","",(YEAR($A50)-YEAR(Settings!$C$8))*12+MONTH($A50)-MONTH(Settings!$C$8)+1)</f>
        <v/>
      </c>
      <c r="Z50" s="24" t="str">
        <f aca="false">IF(AND($C50="",$I50="",$J50=""),"",IF($N50="","NO VAT CODE",IF($T50="","UNKNOWN VAT CODE",IF($S50="","MISSING FX RATE",IF(OR($A50&lt;Settings!$C$8,$A50&gt;Settings!$C$9),"OUTSIDE PERIOD",IF(AND(IFERROR(INDEX(VAT_Codes!$E:$E,MATCH($N50,VAT_Codes!$A:$A,0)),"ANY")&lt;&gt;"ANY",$P50=""),"MISSING COUNTERPARTY COUNTRY",IF(AND(IFERROR(INDEX(VAT_Codes!$E:$E,MATCH($N50,VAT_Codes!$A:$A,0)),"ANY")&lt;&gt;"ANY",$P50&lt;&gt;IFERROR(INDEX(VAT_Codes!$E:$E,MATCH($N50,VAT_Codes!$A:$A,0)),"ANY")),"REGION MISMATCH","OK")))))))</f>
        <v/>
      </c>
    </row>
    <row r="51" customFormat="false" ht="15" hidden="false" customHeight="false" outlineLevel="0" collapsed="false">
      <c r="M51" s="24" t="str">
        <f aca="false">IF($C51="","",IFERROR(INDEX(Account_Mapping!$C:$C,MATCH($C51&amp;"",Account_Mapping!$A:$A,0))&amp;"",""))</f>
        <v/>
      </c>
      <c r="N51" s="24" t="str">
        <f aca="false">IF($K51&lt;&gt;"",$K51,$M51)</f>
        <v/>
      </c>
      <c r="O51" s="24" t="str">
        <f aca="false">IF($F51="","",IFERROR(INDEX(Counterparties!$C:$C,MATCH($F51&amp;"",Counterparties!$A:$A,0))&amp;"",""))</f>
        <v/>
      </c>
      <c r="P51" s="24" t="str">
        <f aca="false">IF($O51="","",IF($O51="CY","CY",IF(ISNUMBER(MATCH($O51,Lists!$A:$A,0)),"EU","3RD")))</f>
        <v/>
      </c>
      <c r="Q51" s="24" t="str">
        <f aca="false">IF($F51="","N",IFERROR(IF(INDEX(Counterparties!$E:$E,MATCH($F51&amp;"",Counterparties!$A:$A,0))="Y","Y","N"),"N"))</f>
        <v>N</v>
      </c>
      <c r="R51" s="25" t="n">
        <f aca="false">IF(OR($H51="",$H51="EUR"),1,IFERROR(INDEX(FX_Rates!$D:$D,MATCH($H51,FX_Rates!$A:$A,0)),""))</f>
        <v>1</v>
      </c>
      <c r="S51" s="26" t="str">
        <f aca="false">IF(AND($I51="",$J51=""),"",IF($J51&lt;&gt;"",$J51,IF(OR($R51="",$R51=0),"",ROUND($I51/$R51,2))))</f>
        <v/>
      </c>
      <c r="T51" s="24" t="str">
        <f aca="false">IF($N51="","",IFERROR(INDEX(VAT_Codes!$C:$C,MATCH($N51,VAT_Codes!$A:$A,0)),"")&amp;"")</f>
        <v/>
      </c>
      <c r="U51" s="26" t="n">
        <f aca="false">IF(OR($S51="",$T51="",$T51="None"),0,IF($T51="Output",-$S51,$S51))</f>
        <v>0</v>
      </c>
      <c r="V51" s="27" t="n">
        <f aca="false">IF($N51="",0,IFERROR(INDEX(VAT_Codes!$D:$D,MATCH($N51,VAT_Codes!$A:$A,0)),0))</f>
        <v>0</v>
      </c>
      <c r="W51" s="26" t="n">
        <f aca="false">IF($U51=0,0,IF(IFERROR(INDEX(VAT_Codes!$F:$F,MATCH($N51,VAT_Codes!$A:$A,0)),"N")="Y",$U51,IF($L51&lt;&gt;"",ROUND(ABS($L51)/IF(OR($R51="",$R51=0),1,$R51),2)*SIGN($U51),ROUND($U51*$V51,2))))</f>
        <v>0</v>
      </c>
      <c r="X51" s="24" t="str">
        <f aca="false">IF($N51="","",IFERROR(INDEX(VAT_Codes!$H:$H,MATCH($N51,VAT_Codes!$A:$A,0)),"")&amp;"")</f>
        <v/>
      </c>
      <c r="Y51" s="24" t="str">
        <f aca="false">IF($A51="","",(YEAR($A51)-YEAR(Settings!$C$8))*12+MONTH($A51)-MONTH(Settings!$C$8)+1)</f>
        <v/>
      </c>
      <c r="Z51" s="24" t="str">
        <f aca="false">IF(AND($C51="",$I51="",$J51=""),"",IF($N51="","NO VAT CODE",IF($T51="","UNKNOWN VAT CODE",IF($S51="","MISSING FX RATE",IF(OR($A51&lt;Settings!$C$8,$A51&gt;Settings!$C$9),"OUTSIDE PERIOD",IF(AND(IFERROR(INDEX(VAT_Codes!$E:$E,MATCH($N51,VAT_Codes!$A:$A,0)),"ANY")&lt;&gt;"ANY",$P51=""),"MISSING COUNTERPARTY COUNTRY",IF(AND(IFERROR(INDEX(VAT_Codes!$E:$E,MATCH($N51,VAT_Codes!$A:$A,0)),"ANY")&lt;&gt;"ANY",$P51&lt;&gt;IFERROR(INDEX(VAT_Codes!$E:$E,MATCH($N51,VAT_Codes!$A:$A,0)),"ANY")),"REGION MISMATCH","OK")))))))</f>
        <v/>
      </c>
    </row>
    <row r="52" customFormat="false" ht="15" hidden="false" customHeight="false" outlineLevel="0" collapsed="false">
      <c r="M52" s="24" t="str">
        <f aca="false">IF($C52="","",IFERROR(INDEX(Account_Mapping!$C:$C,MATCH($C52&amp;"",Account_Mapping!$A:$A,0))&amp;"",""))</f>
        <v/>
      </c>
      <c r="N52" s="24" t="str">
        <f aca="false">IF($K52&lt;&gt;"",$K52,$M52)</f>
        <v/>
      </c>
      <c r="O52" s="24" t="str">
        <f aca="false">IF($F52="","",IFERROR(INDEX(Counterparties!$C:$C,MATCH($F52&amp;"",Counterparties!$A:$A,0))&amp;"",""))</f>
        <v/>
      </c>
      <c r="P52" s="24" t="str">
        <f aca="false">IF($O52="","",IF($O52="CY","CY",IF(ISNUMBER(MATCH($O52,Lists!$A:$A,0)),"EU","3RD")))</f>
        <v/>
      </c>
      <c r="Q52" s="24" t="str">
        <f aca="false">IF($F52="","N",IFERROR(IF(INDEX(Counterparties!$E:$E,MATCH($F52&amp;"",Counterparties!$A:$A,0))="Y","Y","N"),"N"))</f>
        <v>N</v>
      </c>
      <c r="R52" s="25" t="n">
        <f aca="false">IF(OR($H52="",$H52="EUR"),1,IFERROR(INDEX(FX_Rates!$D:$D,MATCH($H52,FX_Rates!$A:$A,0)),""))</f>
        <v>1</v>
      </c>
      <c r="S52" s="26" t="str">
        <f aca="false">IF(AND($I52="",$J52=""),"",IF($J52&lt;&gt;"",$J52,IF(OR($R52="",$R52=0),"",ROUND($I52/$R52,2))))</f>
        <v/>
      </c>
      <c r="T52" s="24" t="str">
        <f aca="false">IF($N52="","",IFERROR(INDEX(VAT_Codes!$C:$C,MATCH($N52,VAT_Codes!$A:$A,0)),"")&amp;"")</f>
        <v/>
      </c>
      <c r="U52" s="26" t="n">
        <f aca="false">IF(OR($S52="",$T52="",$T52="None"),0,IF($T52="Output",-$S52,$S52))</f>
        <v>0</v>
      </c>
      <c r="V52" s="27" t="n">
        <f aca="false">IF($N52="",0,IFERROR(INDEX(VAT_Codes!$D:$D,MATCH($N52,VAT_Codes!$A:$A,0)),0))</f>
        <v>0</v>
      </c>
      <c r="W52" s="26" t="n">
        <f aca="false">IF($U52=0,0,IF(IFERROR(INDEX(VAT_Codes!$F:$F,MATCH($N52,VAT_Codes!$A:$A,0)),"N")="Y",$U52,IF($L52&lt;&gt;"",ROUND(ABS($L52)/IF(OR($R52="",$R52=0),1,$R52),2)*SIGN($U52),ROUND($U52*$V52,2))))</f>
        <v>0</v>
      </c>
      <c r="X52" s="24" t="str">
        <f aca="false">IF($N52="","",IFERROR(INDEX(VAT_Codes!$H:$H,MATCH($N52,VAT_Codes!$A:$A,0)),"")&amp;"")</f>
        <v/>
      </c>
      <c r="Y52" s="24" t="str">
        <f aca="false">IF($A52="","",(YEAR($A52)-YEAR(Settings!$C$8))*12+MONTH($A52)-MONTH(Settings!$C$8)+1)</f>
        <v/>
      </c>
      <c r="Z52" s="24" t="str">
        <f aca="false">IF(AND($C52="",$I52="",$J52=""),"",IF($N52="","NO VAT CODE",IF($T52="","UNKNOWN VAT CODE",IF($S52="","MISSING FX RATE",IF(OR($A52&lt;Settings!$C$8,$A52&gt;Settings!$C$9),"OUTSIDE PERIOD",IF(AND(IFERROR(INDEX(VAT_Codes!$E:$E,MATCH($N52,VAT_Codes!$A:$A,0)),"ANY")&lt;&gt;"ANY",$P52=""),"MISSING COUNTERPARTY COUNTRY",IF(AND(IFERROR(INDEX(VAT_Codes!$E:$E,MATCH($N52,VAT_Codes!$A:$A,0)),"ANY")&lt;&gt;"ANY",$P52&lt;&gt;IFERROR(INDEX(VAT_Codes!$E:$E,MATCH($N52,VAT_Codes!$A:$A,0)),"ANY")),"REGION MISMATCH","OK")))))))</f>
        <v/>
      </c>
    </row>
    <row r="53" customFormat="false" ht="15" hidden="false" customHeight="false" outlineLevel="0" collapsed="false">
      <c r="M53" s="24" t="str">
        <f aca="false">IF($C53="","",IFERROR(INDEX(Account_Mapping!$C:$C,MATCH($C53&amp;"",Account_Mapping!$A:$A,0))&amp;"",""))</f>
        <v/>
      </c>
      <c r="N53" s="24" t="str">
        <f aca="false">IF($K53&lt;&gt;"",$K53,$M53)</f>
        <v/>
      </c>
      <c r="O53" s="24" t="str">
        <f aca="false">IF($F53="","",IFERROR(INDEX(Counterparties!$C:$C,MATCH($F53&amp;"",Counterparties!$A:$A,0))&amp;"",""))</f>
        <v/>
      </c>
      <c r="P53" s="24" t="str">
        <f aca="false">IF($O53="","",IF($O53="CY","CY",IF(ISNUMBER(MATCH($O53,Lists!$A:$A,0)),"EU","3RD")))</f>
        <v/>
      </c>
      <c r="Q53" s="24" t="str">
        <f aca="false">IF($F53="","N",IFERROR(IF(INDEX(Counterparties!$E:$E,MATCH($F53&amp;"",Counterparties!$A:$A,0))="Y","Y","N"),"N"))</f>
        <v>N</v>
      </c>
      <c r="R53" s="25" t="n">
        <f aca="false">IF(OR($H53="",$H53="EUR"),1,IFERROR(INDEX(FX_Rates!$D:$D,MATCH($H53,FX_Rates!$A:$A,0)),""))</f>
        <v>1</v>
      </c>
      <c r="S53" s="26" t="str">
        <f aca="false">IF(AND($I53="",$J53=""),"",IF($J53&lt;&gt;"",$J53,IF(OR($R53="",$R53=0),"",ROUND($I53/$R53,2))))</f>
        <v/>
      </c>
      <c r="T53" s="24" t="str">
        <f aca="false">IF($N53="","",IFERROR(INDEX(VAT_Codes!$C:$C,MATCH($N53,VAT_Codes!$A:$A,0)),"")&amp;"")</f>
        <v/>
      </c>
      <c r="U53" s="26" t="n">
        <f aca="false">IF(OR($S53="",$T53="",$T53="None"),0,IF($T53="Output",-$S53,$S53))</f>
        <v>0</v>
      </c>
      <c r="V53" s="27" t="n">
        <f aca="false">IF($N53="",0,IFERROR(INDEX(VAT_Codes!$D:$D,MATCH($N53,VAT_Codes!$A:$A,0)),0))</f>
        <v>0</v>
      </c>
      <c r="W53" s="26" t="n">
        <f aca="false">IF($U53=0,0,IF(IFERROR(INDEX(VAT_Codes!$F:$F,MATCH($N53,VAT_Codes!$A:$A,0)),"N")="Y",$U53,IF($L53&lt;&gt;"",ROUND(ABS($L53)/IF(OR($R53="",$R53=0),1,$R53),2)*SIGN($U53),ROUND($U53*$V53,2))))</f>
        <v>0</v>
      </c>
      <c r="X53" s="24" t="str">
        <f aca="false">IF($N53="","",IFERROR(INDEX(VAT_Codes!$H:$H,MATCH($N53,VAT_Codes!$A:$A,0)),"")&amp;"")</f>
        <v/>
      </c>
      <c r="Y53" s="24" t="str">
        <f aca="false">IF($A53="","",(YEAR($A53)-YEAR(Settings!$C$8))*12+MONTH($A53)-MONTH(Settings!$C$8)+1)</f>
        <v/>
      </c>
      <c r="Z53" s="24" t="str">
        <f aca="false">IF(AND($C53="",$I53="",$J53=""),"",IF($N53="","NO VAT CODE",IF($T53="","UNKNOWN VAT CODE",IF($S53="","MISSING FX RATE",IF(OR($A53&lt;Settings!$C$8,$A53&gt;Settings!$C$9),"OUTSIDE PERIOD",IF(AND(IFERROR(INDEX(VAT_Codes!$E:$E,MATCH($N53,VAT_Codes!$A:$A,0)),"ANY")&lt;&gt;"ANY",$P53=""),"MISSING COUNTERPARTY COUNTRY",IF(AND(IFERROR(INDEX(VAT_Codes!$E:$E,MATCH($N53,VAT_Codes!$A:$A,0)),"ANY")&lt;&gt;"ANY",$P53&lt;&gt;IFERROR(INDEX(VAT_Codes!$E:$E,MATCH($N53,VAT_Codes!$A:$A,0)),"ANY")),"REGION MISMATCH","OK")))))))</f>
        <v/>
      </c>
    </row>
    <row r="54" customFormat="false" ht="15" hidden="false" customHeight="false" outlineLevel="0" collapsed="false">
      <c r="M54" s="24" t="str">
        <f aca="false">IF($C54="","",IFERROR(INDEX(Account_Mapping!$C:$C,MATCH($C54&amp;"",Account_Mapping!$A:$A,0))&amp;"",""))</f>
        <v/>
      </c>
      <c r="N54" s="24" t="str">
        <f aca="false">IF($K54&lt;&gt;"",$K54,$M54)</f>
        <v/>
      </c>
      <c r="O54" s="24" t="str">
        <f aca="false">IF($F54="","",IFERROR(INDEX(Counterparties!$C:$C,MATCH($F54&amp;"",Counterparties!$A:$A,0))&amp;"",""))</f>
        <v/>
      </c>
      <c r="P54" s="24" t="str">
        <f aca="false">IF($O54="","",IF($O54="CY","CY",IF(ISNUMBER(MATCH($O54,Lists!$A:$A,0)),"EU","3RD")))</f>
        <v/>
      </c>
      <c r="Q54" s="24" t="str">
        <f aca="false">IF($F54="","N",IFERROR(IF(INDEX(Counterparties!$E:$E,MATCH($F54&amp;"",Counterparties!$A:$A,0))="Y","Y","N"),"N"))</f>
        <v>N</v>
      </c>
      <c r="R54" s="25" t="n">
        <f aca="false">IF(OR($H54="",$H54="EUR"),1,IFERROR(INDEX(FX_Rates!$D:$D,MATCH($H54,FX_Rates!$A:$A,0)),""))</f>
        <v>1</v>
      </c>
      <c r="S54" s="26" t="str">
        <f aca="false">IF(AND($I54="",$J54=""),"",IF($J54&lt;&gt;"",$J54,IF(OR($R54="",$R54=0),"",ROUND($I54/$R54,2))))</f>
        <v/>
      </c>
      <c r="T54" s="24" t="str">
        <f aca="false">IF($N54="","",IFERROR(INDEX(VAT_Codes!$C:$C,MATCH($N54,VAT_Codes!$A:$A,0)),"")&amp;"")</f>
        <v/>
      </c>
      <c r="U54" s="26" t="n">
        <f aca="false">IF(OR($S54="",$T54="",$T54="None"),0,IF($T54="Output",-$S54,$S54))</f>
        <v>0</v>
      </c>
      <c r="V54" s="27" t="n">
        <f aca="false">IF($N54="",0,IFERROR(INDEX(VAT_Codes!$D:$D,MATCH($N54,VAT_Codes!$A:$A,0)),0))</f>
        <v>0</v>
      </c>
      <c r="W54" s="26" t="n">
        <f aca="false">IF($U54=0,0,IF(IFERROR(INDEX(VAT_Codes!$F:$F,MATCH($N54,VAT_Codes!$A:$A,0)),"N")="Y",$U54,IF($L54&lt;&gt;"",ROUND(ABS($L54)/IF(OR($R54="",$R54=0),1,$R54),2)*SIGN($U54),ROUND($U54*$V54,2))))</f>
        <v>0</v>
      </c>
      <c r="X54" s="24" t="str">
        <f aca="false">IF($N54="","",IFERROR(INDEX(VAT_Codes!$H:$H,MATCH($N54,VAT_Codes!$A:$A,0)),"")&amp;"")</f>
        <v/>
      </c>
      <c r="Y54" s="24" t="str">
        <f aca="false">IF($A54="","",(YEAR($A54)-YEAR(Settings!$C$8))*12+MONTH($A54)-MONTH(Settings!$C$8)+1)</f>
        <v/>
      </c>
      <c r="Z54" s="24" t="str">
        <f aca="false">IF(AND($C54="",$I54="",$J54=""),"",IF($N54="","NO VAT CODE",IF($T54="","UNKNOWN VAT CODE",IF($S54="","MISSING FX RATE",IF(OR($A54&lt;Settings!$C$8,$A54&gt;Settings!$C$9),"OUTSIDE PERIOD",IF(AND(IFERROR(INDEX(VAT_Codes!$E:$E,MATCH($N54,VAT_Codes!$A:$A,0)),"ANY")&lt;&gt;"ANY",$P54=""),"MISSING COUNTERPARTY COUNTRY",IF(AND(IFERROR(INDEX(VAT_Codes!$E:$E,MATCH($N54,VAT_Codes!$A:$A,0)),"ANY")&lt;&gt;"ANY",$P54&lt;&gt;IFERROR(INDEX(VAT_Codes!$E:$E,MATCH($N54,VAT_Codes!$A:$A,0)),"ANY")),"REGION MISMATCH","OK")))))))</f>
        <v/>
      </c>
    </row>
    <row r="55" customFormat="false" ht="15" hidden="false" customHeight="false" outlineLevel="0" collapsed="false">
      <c r="M55" s="24" t="str">
        <f aca="false">IF($C55="","",IFERROR(INDEX(Account_Mapping!$C:$C,MATCH($C55&amp;"",Account_Mapping!$A:$A,0))&amp;"",""))</f>
        <v/>
      </c>
      <c r="N55" s="24" t="str">
        <f aca="false">IF($K55&lt;&gt;"",$K55,$M55)</f>
        <v/>
      </c>
      <c r="O55" s="24" t="str">
        <f aca="false">IF($F55="","",IFERROR(INDEX(Counterparties!$C:$C,MATCH($F55&amp;"",Counterparties!$A:$A,0))&amp;"",""))</f>
        <v/>
      </c>
      <c r="P55" s="24" t="str">
        <f aca="false">IF($O55="","",IF($O55="CY","CY",IF(ISNUMBER(MATCH($O55,Lists!$A:$A,0)),"EU","3RD")))</f>
        <v/>
      </c>
      <c r="Q55" s="24" t="str">
        <f aca="false">IF($F55="","N",IFERROR(IF(INDEX(Counterparties!$E:$E,MATCH($F55&amp;"",Counterparties!$A:$A,0))="Y","Y","N"),"N"))</f>
        <v>N</v>
      </c>
      <c r="R55" s="25" t="n">
        <f aca="false">IF(OR($H55="",$H55="EUR"),1,IFERROR(INDEX(FX_Rates!$D:$D,MATCH($H55,FX_Rates!$A:$A,0)),""))</f>
        <v>1</v>
      </c>
      <c r="S55" s="26" t="str">
        <f aca="false">IF(AND($I55="",$J55=""),"",IF($J55&lt;&gt;"",$J55,IF(OR($R55="",$R55=0),"",ROUND($I55/$R55,2))))</f>
        <v/>
      </c>
      <c r="T55" s="24" t="str">
        <f aca="false">IF($N55="","",IFERROR(INDEX(VAT_Codes!$C:$C,MATCH($N55,VAT_Codes!$A:$A,0)),"")&amp;"")</f>
        <v/>
      </c>
      <c r="U55" s="26" t="n">
        <f aca="false">IF(OR($S55="",$T55="",$T55="None"),0,IF($T55="Output",-$S55,$S55))</f>
        <v>0</v>
      </c>
      <c r="V55" s="27" t="n">
        <f aca="false">IF($N55="",0,IFERROR(INDEX(VAT_Codes!$D:$D,MATCH($N55,VAT_Codes!$A:$A,0)),0))</f>
        <v>0</v>
      </c>
      <c r="W55" s="26" t="n">
        <f aca="false">IF($U55=0,0,IF(IFERROR(INDEX(VAT_Codes!$F:$F,MATCH($N55,VAT_Codes!$A:$A,0)),"N")="Y",$U55,IF($L55&lt;&gt;"",ROUND(ABS($L55)/IF(OR($R55="",$R55=0),1,$R55),2)*SIGN($U55),ROUND($U55*$V55,2))))</f>
        <v>0</v>
      </c>
      <c r="X55" s="24" t="str">
        <f aca="false">IF($N55="","",IFERROR(INDEX(VAT_Codes!$H:$H,MATCH($N55,VAT_Codes!$A:$A,0)),"")&amp;"")</f>
        <v/>
      </c>
      <c r="Y55" s="24" t="str">
        <f aca="false">IF($A55="","",(YEAR($A55)-YEAR(Settings!$C$8))*12+MONTH($A55)-MONTH(Settings!$C$8)+1)</f>
        <v/>
      </c>
      <c r="Z55" s="24" t="str">
        <f aca="false">IF(AND($C55="",$I55="",$J55=""),"",IF($N55="","NO VAT CODE",IF($T55="","UNKNOWN VAT CODE",IF($S55="","MISSING FX RATE",IF(OR($A55&lt;Settings!$C$8,$A55&gt;Settings!$C$9),"OUTSIDE PERIOD",IF(AND(IFERROR(INDEX(VAT_Codes!$E:$E,MATCH($N55,VAT_Codes!$A:$A,0)),"ANY")&lt;&gt;"ANY",$P55=""),"MISSING COUNTERPARTY COUNTRY",IF(AND(IFERROR(INDEX(VAT_Codes!$E:$E,MATCH($N55,VAT_Codes!$A:$A,0)),"ANY")&lt;&gt;"ANY",$P55&lt;&gt;IFERROR(INDEX(VAT_Codes!$E:$E,MATCH($N55,VAT_Codes!$A:$A,0)),"ANY")),"REGION MISMATCH","OK")))))))</f>
        <v/>
      </c>
    </row>
    <row r="56" customFormat="false" ht="15" hidden="false" customHeight="false" outlineLevel="0" collapsed="false">
      <c r="M56" s="24" t="str">
        <f aca="false">IF($C56="","",IFERROR(INDEX(Account_Mapping!$C:$C,MATCH($C56&amp;"",Account_Mapping!$A:$A,0))&amp;"",""))</f>
        <v/>
      </c>
      <c r="N56" s="24" t="str">
        <f aca="false">IF($K56&lt;&gt;"",$K56,$M56)</f>
        <v/>
      </c>
      <c r="O56" s="24" t="str">
        <f aca="false">IF($F56="","",IFERROR(INDEX(Counterparties!$C:$C,MATCH($F56&amp;"",Counterparties!$A:$A,0))&amp;"",""))</f>
        <v/>
      </c>
      <c r="P56" s="24" t="str">
        <f aca="false">IF($O56="","",IF($O56="CY","CY",IF(ISNUMBER(MATCH($O56,Lists!$A:$A,0)),"EU","3RD")))</f>
        <v/>
      </c>
      <c r="Q56" s="24" t="str">
        <f aca="false">IF($F56="","N",IFERROR(IF(INDEX(Counterparties!$E:$E,MATCH($F56&amp;"",Counterparties!$A:$A,0))="Y","Y","N"),"N"))</f>
        <v>N</v>
      </c>
      <c r="R56" s="25" t="n">
        <f aca="false">IF(OR($H56="",$H56="EUR"),1,IFERROR(INDEX(FX_Rates!$D:$D,MATCH($H56,FX_Rates!$A:$A,0)),""))</f>
        <v>1</v>
      </c>
      <c r="S56" s="26" t="str">
        <f aca="false">IF(AND($I56="",$J56=""),"",IF($J56&lt;&gt;"",$J56,IF(OR($R56="",$R56=0),"",ROUND($I56/$R56,2))))</f>
        <v/>
      </c>
      <c r="T56" s="24" t="str">
        <f aca="false">IF($N56="","",IFERROR(INDEX(VAT_Codes!$C:$C,MATCH($N56,VAT_Codes!$A:$A,0)),"")&amp;"")</f>
        <v/>
      </c>
      <c r="U56" s="26" t="n">
        <f aca="false">IF(OR($S56="",$T56="",$T56="None"),0,IF($T56="Output",-$S56,$S56))</f>
        <v>0</v>
      </c>
      <c r="V56" s="27" t="n">
        <f aca="false">IF($N56="",0,IFERROR(INDEX(VAT_Codes!$D:$D,MATCH($N56,VAT_Codes!$A:$A,0)),0))</f>
        <v>0</v>
      </c>
      <c r="W56" s="26" t="n">
        <f aca="false">IF($U56=0,0,IF(IFERROR(INDEX(VAT_Codes!$F:$F,MATCH($N56,VAT_Codes!$A:$A,0)),"N")="Y",$U56,IF($L56&lt;&gt;"",ROUND(ABS($L56)/IF(OR($R56="",$R56=0),1,$R56),2)*SIGN($U56),ROUND($U56*$V56,2))))</f>
        <v>0</v>
      </c>
      <c r="X56" s="24" t="str">
        <f aca="false">IF($N56="","",IFERROR(INDEX(VAT_Codes!$H:$H,MATCH($N56,VAT_Codes!$A:$A,0)),"")&amp;"")</f>
        <v/>
      </c>
      <c r="Y56" s="24" t="str">
        <f aca="false">IF($A56="","",(YEAR($A56)-YEAR(Settings!$C$8))*12+MONTH($A56)-MONTH(Settings!$C$8)+1)</f>
        <v/>
      </c>
      <c r="Z56" s="24" t="str">
        <f aca="false">IF(AND($C56="",$I56="",$J56=""),"",IF($N56="","NO VAT CODE",IF($T56="","UNKNOWN VAT CODE",IF($S56="","MISSING FX RATE",IF(OR($A56&lt;Settings!$C$8,$A56&gt;Settings!$C$9),"OUTSIDE PERIOD",IF(AND(IFERROR(INDEX(VAT_Codes!$E:$E,MATCH($N56,VAT_Codes!$A:$A,0)),"ANY")&lt;&gt;"ANY",$P56=""),"MISSING COUNTERPARTY COUNTRY",IF(AND(IFERROR(INDEX(VAT_Codes!$E:$E,MATCH($N56,VAT_Codes!$A:$A,0)),"ANY")&lt;&gt;"ANY",$P56&lt;&gt;IFERROR(INDEX(VAT_Codes!$E:$E,MATCH($N56,VAT_Codes!$A:$A,0)),"ANY")),"REGION MISMATCH","OK")))))))</f>
        <v/>
      </c>
    </row>
    <row r="57" customFormat="false" ht="15" hidden="false" customHeight="false" outlineLevel="0" collapsed="false">
      <c r="M57" s="24" t="str">
        <f aca="false">IF($C57="","",IFERROR(INDEX(Account_Mapping!$C:$C,MATCH($C57&amp;"",Account_Mapping!$A:$A,0))&amp;"",""))</f>
        <v/>
      </c>
      <c r="N57" s="24" t="str">
        <f aca="false">IF($K57&lt;&gt;"",$K57,$M57)</f>
        <v/>
      </c>
      <c r="O57" s="24" t="str">
        <f aca="false">IF($F57="","",IFERROR(INDEX(Counterparties!$C:$C,MATCH($F57&amp;"",Counterparties!$A:$A,0))&amp;"",""))</f>
        <v/>
      </c>
      <c r="P57" s="24" t="str">
        <f aca="false">IF($O57="","",IF($O57="CY","CY",IF(ISNUMBER(MATCH($O57,Lists!$A:$A,0)),"EU","3RD")))</f>
        <v/>
      </c>
      <c r="Q57" s="24" t="str">
        <f aca="false">IF($F57="","N",IFERROR(IF(INDEX(Counterparties!$E:$E,MATCH($F57&amp;"",Counterparties!$A:$A,0))="Y","Y","N"),"N"))</f>
        <v>N</v>
      </c>
      <c r="R57" s="25" t="n">
        <f aca="false">IF(OR($H57="",$H57="EUR"),1,IFERROR(INDEX(FX_Rates!$D:$D,MATCH($H57,FX_Rates!$A:$A,0)),""))</f>
        <v>1</v>
      </c>
      <c r="S57" s="26" t="str">
        <f aca="false">IF(AND($I57="",$J57=""),"",IF($J57&lt;&gt;"",$J57,IF(OR($R57="",$R57=0),"",ROUND($I57/$R57,2))))</f>
        <v/>
      </c>
      <c r="T57" s="24" t="str">
        <f aca="false">IF($N57="","",IFERROR(INDEX(VAT_Codes!$C:$C,MATCH($N57,VAT_Codes!$A:$A,0)),"")&amp;"")</f>
        <v/>
      </c>
      <c r="U57" s="26" t="n">
        <f aca="false">IF(OR($S57="",$T57="",$T57="None"),0,IF($T57="Output",-$S57,$S57))</f>
        <v>0</v>
      </c>
      <c r="V57" s="27" t="n">
        <f aca="false">IF($N57="",0,IFERROR(INDEX(VAT_Codes!$D:$D,MATCH($N57,VAT_Codes!$A:$A,0)),0))</f>
        <v>0</v>
      </c>
      <c r="W57" s="26" t="n">
        <f aca="false">IF($U57=0,0,IF(IFERROR(INDEX(VAT_Codes!$F:$F,MATCH($N57,VAT_Codes!$A:$A,0)),"N")="Y",$U57,IF($L57&lt;&gt;"",ROUND(ABS($L57)/IF(OR($R57="",$R57=0),1,$R57),2)*SIGN($U57),ROUND($U57*$V57,2))))</f>
        <v>0</v>
      </c>
      <c r="X57" s="24" t="str">
        <f aca="false">IF($N57="","",IFERROR(INDEX(VAT_Codes!$H:$H,MATCH($N57,VAT_Codes!$A:$A,0)),"")&amp;"")</f>
        <v/>
      </c>
      <c r="Y57" s="24" t="str">
        <f aca="false">IF($A57="","",(YEAR($A57)-YEAR(Settings!$C$8))*12+MONTH($A57)-MONTH(Settings!$C$8)+1)</f>
        <v/>
      </c>
      <c r="Z57" s="24" t="str">
        <f aca="false">IF(AND($C57="",$I57="",$J57=""),"",IF($N57="","NO VAT CODE",IF($T57="","UNKNOWN VAT CODE",IF($S57="","MISSING FX RATE",IF(OR($A57&lt;Settings!$C$8,$A57&gt;Settings!$C$9),"OUTSIDE PERIOD",IF(AND(IFERROR(INDEX(VAT_Codes!$E:$E,MATCH($N57,VAT_Codes!$A:$A,0)),"ANY")&lt;&gt;"ANY",$P57=""),"MISSING COUNTERPARTY COUNTRY",IF(AND(IFERROR(INDEX(VAT_Codes!$E:$E,MATCH($N57,VAT_Codes!$A:$A,0)),"ANY")&lt;&gt;"ANY",$P57&lt;&gt;IFERROR(INDEX(VAT_Codes!$E:$E,MATCH($N57,VAT_Codes!$A:$A,0)),"ANY")),"REGION MISMATCH","OK")))))))</f>
        <v/>
      </c>
    </row>
    <row r="58" customFormat="false" ht="15" hidden="false" customHeight="false" outlineLevel="0" collapsed="false">
      <c r="M58" s="24" t="str">
        <f aca="false">IF($C58="","",IFERROR(INDEX(Account_Mapping!$C:$C,MATCH($C58&amp;"",Account_Mapping!$A:$A,0))&amp;"",""))</f>
        <v/>
      </c>
      <c r="N58" s="24" t="str">
        <f aca="false">IF($K58&lt;&gt;"",$K58,$M58)</f>
        <v/>
      </c>
      <c r="O58" s="24" t="str">
        <f aca="false">IF($F58="","",IFERROR(INDEX(Counterparties!$C:$C,MATCH($F58&amp;"",Counterparties!$A:$A,0))&amp;"",""))</f>
        <v/>
      </c>
      <c r="P58" s="24" t="str">
        <f aca="false">IF($O58="","",IF($O58="CY","CY",IF(ISNUMBER(MATCH($O58,Lists!$A:$A,0)),"EU","3RD")))</f>
        <v/>
      </c>
      <c r="Q58" s="24" t="str">
        <f aca="false">IF($F58="","N",IFERROR(IF(INDEX(Counterparties!$E:$E,MATCH($F58&amp;"",Counterparties!$A:$A,0))="Y","Y","N"),"N"))</f>
        <v>N</v>
      </c>
      <c r="R58" s="25" t="n">
        <f aca="false">IF(OR($H58="",$H58="EUR"),1,IFERROR(INDEX(FX_Rates!$D:$D,MATCH($H58,FX_Rates!$A:$A,0)),""))</f>
        <v>1</v>
      </c>
      <c r="S58" s="26" t="str">
        <f aca="false">IF(AND($I58="",$J58=""),"",IF($J58&lt;&gt;"",$J58,IF(OR($R58="",$R58=0),"",ROUND($I58/$R58,2))))</f>
        <v/>
      </c>
      <c r="T58" s="24" t="str">
        <f aca="false">IF($N58="","",IFERROR(INDEX(VAT_Codes!$C:$C,MATCH($N58,VAT_Codes!$A:$A,0)),"")&amp;"")</f>
        <v/>
      </c>
      <c r="U58" s="26" t="n">
        <f aca="false">IF(OR($S58="",$T58="",$T58="None"),0,IF($T58="Output",-$S58,$S58))</f>
        <v>0</v>
      </c>
      <c r="V58" s="27" t="n">
        <f aca="false">IF($N58="",0,IFERROR(INDEX(VAT_Codes!$D:$D,MATCH($N58,VAT_Codes!$A:$A,0)),0))</f>
        <v>0</v>
      </c>
      <c r="W58" s="26" t="n">
        <f aca="false">IF($U58=0,0,IF(IFERROR(INDEX(VAT_Codes!$F:$F,MATCH($N58,VAT_Codes!$A:$A,0)),"N")="Y",$U58,IF($L58&lt;&gt;"",ROUND(ABS($L58)/IF(OR($R58="",$R58=0),1,$R58),2)*SIGN($U58),ROUND($U58*$V58,2))))</f>
        <v>0</v>
      </c>
      <c r="X58" s="24" t="str">
        <f aca="false">IF($N58="","",IFERROR(INDEX(VAT_Codes!$H:$H,MATCH($N58,VAT_Codes!$A:$A,0)),"")&amp;"")</f>
        <v/>
      </c>
      <c r="Y58" s="24" t="str">
        <f aca="false">IF($A58="","",(YEAR($A58)-YEAR(Settings!$C$8))*12+MONTH($A58)-MONTH(Settings!$C$8)+1)</f>
        <v/>
      </c>
      <c r="Z58" s="24" t="str">
        <f aca="false">IF(AND($C58="",$I58="",$J58=""),"",IF($N58="","NO VAT CODE",IF($T58="","UNKNOWN VAT CODE",IF($S58="","MISSING FX RATE",IF(OR($A58&lt;Settings!$C$8,$A58&gt;Settings!$C$9),"OUTSIDE PERIOD",IF(AND(IFERROR(INDEX(VAT_Codes!$E:$E,MATCH($N58,VAT_Codes!$A:$A,0)),"ANY")&lt;&gt;"ANY",$P58=""),"MISSING COUNTERPARTY COUNTRY",IF(AND(IFERROR(INDEX(VAT_Codes!$E:$E,MATCH($N58,VAT_Codes!$A:$A,0)),"ANY")&lt;&gt;"ANY",$P58&lt;&gt;IFERROR(INDEX(VAT_Codes!$E:$E,MATCH($N58,VAT_Codes!$A:$A,0)),"ANY")),"REGION MISMATCH","OK")))))))</f>
        <v/>
      </c>
    </row>
    <row r="59" customFormat="false" ht="15" hidden="false" customHeight="false" outlineLevel="0" collapsed="false">
      <c r="M59" s="24" t="str">
        <f aca="false">IF($C59="","",IFERROR(INDEX(Account_Mapping!$C:$C,MATCH($C59&amp;"",Account_Mapping!$A:$A,0))&amp;"",""))</f>
        <v/>
      </c>
      <c r="N59" s="24" t="str">
        <f aca="false">IF($K59&lt;&gt;"",$K59,$M59)</f>
        <v/>
      </c>
      <c r="O59" s="24" t="str">
        <f aca="false">IF($F59="","",IFERROR(INDEX(Counterparties!$C:$C,MATCH($F59&amp;"",Counterparties!$A:$A,0))&amp;"",""))</f>
        <v/>
      </c>
      <c r="P59" s="24" t="str">
        <f aca="false">IF($O59="","",IF($O59="CY","CY",IF(ISNUMBER(MATCH($O59,Lists!$A:$A,0)),"EU","3RD")))</f>
        <v/>
      </c>
      <c r="Q59" s="24" t="str">
        <f aca="false">IF($F59="","N",IFERROR(IF(INDEX(Counterparties!$E:$E,MATCH($F59&amp;"",Counterparties!$A:$A,0))="Y","Y","N"),"N"))</f>
        <v>N</v>
      </c>
      <c r="R59" s="25" t="n">
        <f aca="false">IF(OR($H59="",$H59="EUR"),1,IFERROR(INDEX(FX_Rates!$D:$D,MATCH($H59,FX_Rates!$A:$A,0)),""))</f>
        <v>1</v>
      </c>
      <c r="S59" s="26" t="str">
        <f aca="false">IF(AND($I59="",$J59=""),"",IF($J59&lt;&gt;"",$J59,IF(OR($R59="",$R59=0),"",ROUND($I59/$R59,2))))</f>
        <v/>
      </c>
      <c r="T59" s="24" t="str">
        <f aca="false">IF($N59="","",IFERROR(INDEX(VAT_Codes!$C:$C,MATCH($N59,VAT_Codes!$A:$A,0)),"")&amp;"")</f>
        <v/>
      </c>
      <c r="U59" s="26" t="n">
        <f aca="false">IF(OR($S59="",$T59="",$T59="None"),0,IF($T59="Output",-$S59,$S59))</f>
        <v>0</v>
      </c>
      <c r="V59" s="27" t="n">
        <f aca="false">IF($N59="",0,IFERROR(INDEX(VAT_Codes!$D:$D,MATCH($N59,VAT_Codes!$A:$A,0)),0))</f>
        <v>0</v>
      </c>
      <c r="W59" s="26" t="n">
        <f aca="false">IF($U59=0,0,IF(IFERROR(INDEX(VAT_Codes!$F:$F,MATCH($N59,VAT_Codes!$A:$A,0)),"N")="Y",$U59,IF($L59&lt;&gt;"",ROUND(ABS($L59)/IF(OR($R59="",$R59=0),1,$R59),2)*SIGN($U59),ROUND($U59*$V59,2))))</f>
        <v>0</v>
      </c>
      <c r="X59" s="24" t="str">
        <f aca="false">IF($N59="","",IFERROR(INDEX(VAT_Codes!$H:$H,MATCH($N59,VAT_Codes!$A:$A,0)),"")&amp;"")</f>
        <v/>
      </c>
      <c r="Y59" s="24" t="str">
        <f aca="false">IF($A59="","",(YEAR($A59)-YEAR(Settings!$C$8))*12+MONTH($A59)-MONTH(Settings!$C$8)+1)</f>
        <v/>
      </c>
      <c r="Z59" s="24" t="str">
        <f aca="false">IF(AND($C59="",$I59="",$J59=""),"",IF($N59="","NO VAT CODE",IF($T59="","UNKNOWN VAT CODE",IF($S59="","MISSING FX RATE",IF(OR($A59&lt;Settings!$C$8,$A59&gt;Settings!$C$9),"OUTSIDE PERIOD",IF(AND(IFERROR(INDEX(VAT_Codes!$E:$E,MATCH($N59,VAT_Codes!$A:$A,0)),"ANY")&lt;&gt;"ANY",$P59=""),"MISSING COUNTERPARTY COUNTRY",IF(AND(IFERROR(INDEX(VAT_Codes!$E:$E,MATCH($N59,VAT_Codes!$A:$A,0)),"ANY")&lt;&gt;"ANY",$P59&lt;&gt;IFERROR(INDEX(VAT_Codes!$E:$E,MATCH($N59,VAT_Codes!$A:$A,0)),"ANY")),"REGION MISMATCH","OK")))))))</f>
        <v/>
      </c>
    </row>
    <row r="60" customFormat="false" ht="15" hidden="false" customHeight="false" outlineLevel="0" collapsed="false">
      <c r="M60" s="24" t="str">
        <f aca="false">IF($C60="","",IFERROR(INDEX(Account_Mapping!$C:$C,MATCH($C60&amp;"",Account_Mapping!$A:$A,0))&amp;"",""))</f>
        <v/>
      </c>
      <c r="N60" s="24" t="str">
        <f aca="false">IF($K60&lt;&gt;"",$K60,$M60)</f>
        <v/>
      </c>
      <c r="O60" s="24" t="str">
        <f aca="false">IF($F60="","",IFERROR(INDEX(Counterparties!$C:$C,MATCH($F60&amp;"",Counterparties!$A:$A,0))&amp;"",""))</f>
        <v/>
      </c>
      <c r="P60" s="24" t="str">
        <f aca="false">IF($O60="","",IF($O60="CY","CY",IF(ISNUMBER(MATCH($O60,Lists!$A:$A,0)),"EU","3RD")))</f>
        <v/>
      </c>
      <c r="Q60" s="24" t="str">
        <f aca="false">IF($F60="","N",IFERROR(IF(INDEX(Counterparties!$E:$E,MATCH($F60&amp;"",Counterparties!$A:$A,0))="Y","Y","N"),"N"))</f>
        <v>N</v>
      </c>
      <c r="R60" s="25" t="n">
        <f aca="false">IF(OR($H60="",$H60="EUR"),1,IFERROR(INDEX(FX_Rates!$D:$D,MATCH($H60,FX_Rates!$A:$A,0)),""))</f>
        <v>1</v>
      </c>
      <c r="S60" s="26" t="str">
        <f aca="false">IF(AND($I60="",$J60=""),"",IF($J60&lt;&gt;"",$J60,IF(OR($R60="",$R60=0),"",ROUND($I60/$R60,2))))</f>
        <v/>
      </c>
      <c r="T60" s="24" t="str">
        <f aca="false">IF($N60="","",IFERROR(INDEX(VAT_Codes!$C:$C,MATCH($N60,VAT_Codes!$A:$A,0)),"")&amp;"")</f>
        <v/>
      </c>
      <c r="U60" s="26" t="n">
        <f aca="false">IF(OR($S60="",$T60="",$T60="None"),0,IF($T60="Output",-$S60,$S60))</f>
        <v>0</v>
      </c>
      <c r="V60" s="27" t="n">
        <f aca="false">IF($N60="",0,IFERROR(INDEX(VAT_Codes!$D:$D,MATCH($N60,VAT_Codes!$A:$A,0)),0))</f>
        <v>0</v>
      </c>
      <c r="W60" s="26" t="n">
        <f aca="false">IF($U60=0,0,IF(IFERROR(INDEX(VAT_Codes!$F:$F,MATCH($N60,VAT_Codes!$A:$A,0)),"N")="Y",$U60,IF($L60&lt;&gt;"",ROUND(ABS($L60)/IF(OR($R60="",$R60=0),1,$R60),2)*SIGN($U60),ROUND($U60*$V60,2))))</f>
        <v>0</v>
      </c>
      <c r="X60" s="24" t="str">
        <f aca="false">IF($N60="","",IFERROR(INDEX(VAT_Codes!$H:$H,MATCH($N60,VAT_Codes!$A:$A,0)),"")&amp;"")</f>
        <v/>
      </c>
      <c r="Y60" s="24" t="str">
        <f aca="false">IF($A60="","",(YEAR($A60)-YEAR(Settings!$C$8))*12+MONTH($A60)-MONTH(Settings!$C$8)+1)</f>
        <v/>
      </c>
      <c r="Z60" s="24" t="str">
        <f aca="false">IF(AND($C60="",$I60="",$J60=""),"",IF($N60="","NO VAT CODE",IF($T60="","UNKNOWN VAT CODE",IF($S60="","MISSING FX RATE",IF(OR($A60&lt;Settings!$C$8,$A60&gt;Settings!$C$9),"OUTSIDE PERIOD",IF(AND(IFERROR(INDEX(VAT_Codes!$E:$E,MATCH($N60,VAT_Codes!$A:$A,0)),"ANY")&lt;&gt;"ANY",$P60=""),"MISSING COUNTERPARTY COUNTRY",IF(AND(IFERROR(INDEX(VAT_Codes!$E:$E,MATCH($N60,VAT_Codes!$A:$A,0)),"ANY")&lt;&gt;"ANY",$P60&lt;&gt;IFERROR(INDEX(VAT_Codes!$E:$E,MATCH($N60,VAT_Codes!$A:$A,0)),"ANY")),"REGION MISMATCH","OK")))))))</f>
        <v/>
      </c>
    </row>
    <row r="61" customFormat="false" ht="15" hidden="false" customHeight="false" outlineLevel="0" collapsed="false">
      <c r="M61" s="24" t="str">
        <f aca="false">IF($C61="","",IFERROR(INDEX(Account_Mapping!$C:$C,MATCH($C61&amp;"",Account_Mapping!$A:$A,0))&amp;"",""))</f>
        <v/>
      </c>
      <c r="N61" s="24" t="str">
        <f aca="false">IF($K61&lt;&gt;"",$K61,$M61)</f>
        <v/>
      </c>
      <c r="O61" s="24" t="str">
        <f aca="false">IF($F61="","",IFERROR(INDEX(Counterparties!$C:$C,MATCH($F61&amp;"",Counterparties!$A:$A,0))&amp;"",""))</f>
        <v/>
      </c>
      <c r="P61" s="24" t="str">
        <f aca="false">IF($O61="","",IF($O61="CY","CY",IF(ISNUMBER(MATCH($O61,Lists!$A:$A,0)),"EU","3RD")))</f>
        <v/>
      </c>
      <c r="Q61" s="24" t="str">
        <f aca="false">IF($F61="","N",IFERROR(IF(INDEX(Counterparties!$E:$E,MATCH($F61&amp;"",Counterparties!$A:$A,0))="Y","Y","N"),"N"))</f>
        <v>N</v>
      </c>
      <c r="R61" s="25" t="n">
        <f aca="false">IF(OR($H61="",$H61="EUR"),1,IFERROR(INDEX(FX_Rates!$D:$D,MATCH($H61,FX_Rates!$A:$A,0)),""))</f>
        <v>1</v>
      </c>
      <c r="S61" s="26" t="str">
        <f aca="false">IF(AND($I61="",$J61=""),"",IF($J61&lt;&gt;"",$J61,IF(OR($R61="",$R61=0),"",ROUND($I61/$R61,2))))</f>
        <v/>
      </c>
      <c r="T61" s="24" t="str">
        <f aca="false">IF($N61="","",IFERROR(INDEX(VAT_Codes!$C:$C,MATCH($N61,VAT_Codes!$A:$A,0)),"")&amp;"")</f>
        <v/>
      </c>
      <c r="U61" s="26" t="n">
        <f aca="false">IF(OR($S61="",$T61="",$T61="None"),0,IF($T61="Output",-$S61,$S61))</f>
        <v>0</v>
      </c>
      <c r="V61" s="27" t="n">
        <f aca="false">IF($N61="",0,IFERROR(INDEX(VAT_Codes!$D:$D,MATCH($N61,VAT_Codes!$A:$A,0)),0))</f>
        <v>0</v>
      </c>
      <c r="W61" s="26" t="n">
        <f aca="false">IF($U61=0,0,IF(IFERROR(INDEX(VAT_Codes!$F:$F,MATCH($N61,VAT_Codes!$A:$A,0)),"N")="Y",$U61,IF($L61&lt;&gt;"",ROUND(ABS($L61)/IF(OR($R61="",$R61=0),1,$R61),2)*SIGN($U61),ROUND($U61*$V61,2))))</f>
        <v>0</v>
      </c>
      <c r="X61" s="24" t="str">
        <f aca="false">IF($N61="","",IFERROR(INDEX(VAT_Codes!$H:$H,MATCH($N61,VAT_Codes!$A:$A,0)),"")&amp;"")</f>
        <v/>
      </c>
      <c r="Y61" s="24" t="str">
        <f aca="false">IF($A61="","",(YEAR($A61)-YEAR(Settings!$C$8))*12+MONTH($A61)-MONTH(Settings!$C$8)+1)</f>
        <v/>
      </c>
      <c r="Z61" s="24" t="str">
        <f aca="false">IF(AND($C61="",$I61="",$J61=""),"",IF($N61="","NO VAT CODE",IF($T61="","UNKNOWN VAT CODE",IF($S61="","MISSING FX RATE",IF(OR($A61&lt;Settings!$C$8,$A61&gt;Settings!$C$9),"OUTSIDE PERIOD",IF(AND(IFERROR(INDEX(VAT_Codes!$E:$E,MATCH($N61,VAT_Codes!$A:$A,0)),"ANY")&lt;&gt;"ANY",$P61=""),"MISSING COUNTERPARTY COUNTRY",IF(AND(IFERROR(INDEX(VAT_Codes!$E:$E,MATCH($N61,VAT_Codes!$A:$A,0)),"ANY")&lt;&gt;"ANY",$P61&lt;&gt;IFERROR(INDEX(VAT_Codes!$E:$E,MATCH($N61,VAT_Codes!$A:$A,0)),"ANY")),"REGION MISMATCH","OK")))))))</f>
        <v/>
      </c>
    </row>
    <row r="62" customFormat="false" ht="15" hidden="false" customHeight="false" outlineLevel="0" collapsed="false">
      <c r="M62" s="24" t="str">
        <f aca="false">IF($C62="","",IFERROR(INDEX(Account_Mapping!$C:$C,MATCH($C62&amp;"",Account_Mapping!$A:$A,0))&amp;"",""))</f>
        <v/>
      </c>
      <c r="N62" s="24" t="str">
        <f aca="false">IF($K62&lt;&gt;"",$K62,$M62)</f>
        <v/>
      </c>
      <c r="O62" s="24" t="str">
        <f aca="false">IF($F62="","",IFERROR(INDEX(Counterparties!$C:$C,MATCH($F62&amp;"",Counterparties!$A:$A,0))&amp;"",""))</f>
        <v/>
      </c>
      <c r="P62" s="24" t="str">
        <f aca="false">IF($O62="","",IF($O62="CY","CY",IF(ISNUMBER(MATCH($O62,Lists!$A:$A,0)),"EU","3RD")))</f>
        <v/>
      </c>
      <c r="Q62" s="24" t="str">
        <f aca="false">IF($F62="","N",IFERROR(IF(INDEX(Counterparties!$E:$E,MATCH($F62&amp;"",Counterparties!$A:$A,0))="Y","Y","N"),"N"))</f>
        <v>N</v>
      </c>
      <c r="R62" s="25" t="n">
        <f aca="false">IF(OR($H62="",$H62="EUR"),1,IFERROR(INDEX(FX_Rates!$D:$D,MATCH($H62,FX_Rates!$A:$A,0)),""))</f>
        <v>1</v>
      </c>
      <c r="S62" s="26" t="str">
        <f aca="false">IF(AND($I62="",$J62=""),"",IF($J62&lt;&gt;"",$J62,IF(OR($R62="",$R62=0),"",ROUND($I62/$R62,2))))</f>
        <v/>
      </c>
      <c r="T62" s="24" t="str">
        <f aca="false">IF($N62="","",IFERROR(INDEX(VAT_Codes!$C:$C,MATCH($N62,VAT_Codes!$A:$A,0)),"")&amp;"")</f>
        <v/>
      </c>
      <c r="U62" s="26" t="n">
        <f aca="false">IF(OR($S62="",$T62="",$T62="None"),0,IF($T62="Output",-$S62,$S62))</f>
        <v>0</v>
      </c>
      <c r="V62" s="27" t="n">
        <f aca="false">IF($N62="",0,IFERROR(INDEX(VAT_Codes!$D:$D,MATCH($N62,VAT_Codes!$A:$A,0)),0))</f>
        <v>0</v>
      </c>
      <c r="W62" s="26" t="n">
        <f aca="false">IF($U62=0,0,IF(IFERROR(INDEX(VAT_Codes!$F:$F,MATCH($N62,VAT_Codes!$A:$A,0)),"N")="Y",$U62,IF($L62&lt;&gt;"",ROUND(ABS($L62)/IF(OR($R62="",$R62=0),1,$R62),2)*SIGN($U62),ROUND($U62*$V62,2))))</f>
        <v>0</v>
      </c>
      <c r="X62" s="24" t="str">
        <f aca="false">IF($N62="","",IFERROR(INDEX(VAT_Codes!$H:$H,MATCH($N62,VAT_Codes!$A:$A,0)),"")&amp;"")</f>
        <v/>
      </c>
      <c r="Y62" s="24" t="str">
        <f aca="false">IF($A62="","",(YEAR($A62)-YEAR(Settings!$C$8))*12+MONTH($A62)-MONTH(Settings!$C$8)+1)</f>
        <v/>
      </c>
      <c r="Z62" s="24" t="str">
        <f aca="false">IF(AND($C62="",$I62="",$J62=""),"",IF($N62="","NO VAT CODE",IF($T62="","UNKNOWN VAT CODE",IF($S62="","MISSING FX RATE",IF(OR($A62&lt;Settings!$C$8,$A62&gt;Settings!$C$9),"OUTSIDE PERIOD",IF(AND(IFERROR(INDEX(VAT_Codes!$E:$E,MATCH($N62,VAT_Codes!$A:$A,0)),"ANY")&lt;&gt;"ANY",$P62=""),"MISSING COUNTERPARTY COUNTRY",IF(AND(IFERROR(INDEX(VAT_Codes!$E:$E,MATCH($N62,VAT_Codes!$A:$A,0)),"ANY")&lt;&gt;"ANY",$P62&lt;&gt;IFERROR(INDEX(VAT_Codes!$E:$E,MATCH($N62,VAT_Codes!$A:$A,0)),"ANY")),"REGION MISMATCH","OK")))))))</f>
        <v/>
      </c>
    </row>
    <row r="63" customFormat="false" ht="15" hidden="false" customHeight="false" outlineLevel="0" collapsed="false">
      <c r="M63" s="24" t="str">
        <f aca="false">IF($C63="","",IFERROR(INDEX(Account_Mapping!$C:$C,MATCH($C63&amp;"",Account_Mapping!$A:$A,0))&amp;"",""))</f>
        <v/>
      </c>
      <c r="N63" s="24" t="str">
        <f aca="false">IF($K63&lt;&gt;"",$K63,$M63)</f>
        <v/>
      </c>
      <c r="O63" s="24" t="str">
        <f aca="false">IF($F63="","",IFERROR(INDEX(Counterparties!$C:$C,MATCH($F63&amp;"",Counterparties!$A:$A,0))&amp;"",""))</f>
        <v/>
      </c>
      <c r="P63" s="24" t="str">
        <f aca="false">IF($O63="","",IF($O63="CY","CY",IF(ISNUMBER(MATCH($O63,Lists!$A:$A,0)),"EU","3RD")))</f>
        <v/>
      </c>
      <c r="Q63" s="24" t="str">
        <f aca="false">IF($F63="","N",IFERROR(IF(INDEX(Counterparties!$E:$E,MATCH($F63&amp;"",Counterparties!$A:$A,0))="Y","Y","N"),"N"))</f>
        <v>N</v>
      </c>
      <c r="R63" s="25" t="n">
        <f aca="false">IF(OR($H63="",$H63="EUR"),1,IFERROR(INDEX(FX_Rates!$D:$D,MATCH($H63,FX_Rates!$A:$A,0)),""))</f>
        <v>1</v>
      </c>
      <c r="S63" s="26" t="str">
        <f aca="false">IF(AND($I63="",$J63=""),"",IF($J63&lt;&gt;"",$J63,IF(OR($R63="",$R63=0),"",ROUND($I63/$R63,2))))</f>
        <v/>
      </c>
      <c r="T63" s="24" t="str">
        <f aca="false">IF($N63="","",IFERROR(INDEX(VAT_Codes!$C:$C,MATCH($N63,VAT_Codes!$A:$A,0)),"")&amp;"")</f>
        <v/>
      </c>
      <c r="U63" s="26" t="n">
        <f aca="false">IF(OR($S63="",$T63="",$T63="None"),0,IF($T63="Output",-$S63,$S63))</f>
        <v>0</v>
      </c>
      <c r="V63" s="27" t="n">
        <f aca="false">IF($N63="",0,IFERROR(INDEX(VAT_Codes!$D:$D,MATCH($N63,VAT_Codes!$A:$A,0)),0))</f>
        <v>0</v>
      </c>
      <c r="W63" s="26" t="n">
        <f aca="false">IF($U63=0,0,IF(IFERROR(INDEX(VAT_Codes!$F:$F,MATCH($N63,VAT_Codes!$A:$A,0)),"N")="Y",$U63,IF($L63&lt;&gt;"",ROUND(ABS($L63)/IF(OR($R63="",$R63=0),1,$R63),2)*SIGN($U63),ROUND($U63*$V63,2))))</f>
        <v>0</v>
      </c>
      <c r="X63" s="24" t="str">
        <f aca="false">IF($N63="","",IFERROR(INDEX(VAT_Codes!$H:$H,MATCH($N63,VAT_Codes!$A:$A,0)),"")&amp;"")</f>
        <v/>
      </c>
      <c r="Y63" s="24" t="str">
        <f aca="false">IF($A63="","",(YEAR($A63)-YEAR(Settings!$C$8))*12+MONTH($A63)-MONTH(Settings!$C$8)+1)</f>
        <v/>
      </c>
      <c r="Z63" s="24" t="str">
        <f aca="false">IF(AND($C63="",$I63="",$J63=""),"",IF($N63="","NO VAT CODE",IF($T63="","UNKNOWN VAT CODE",IF($S63="","MISSING FX RATE",IF(OR($A63&lt;Settings!$C$8,$A63&gt;Settings!$C$9),"OUTSIDE PERIOD",IF(AND(IFERROR(INDEX(VAT_Codes!$E:$E,MATCH($N63,VAT_Codes!$A:$A,0)),"ANY")&lt;&gt;"ANY",$P63=""),"MISSING COUNTERPARTY COUNTRY",IF(AND(IFERROR(INDEX(VAT_Codes!$E:$E,MATCH($N63,VAT_Codes!$A:$A,0)),"ANY")&lt;&gt;"ANY",$P63&lt;&gt;IFERROR(INDEX(VAT_Codes!$E:$E,MATCH($N63,VAT_Codes!$A:$A,0)),"ANY")),"REGION MISMATCH","OK")))))))</f>
        <v/>
      </c>
    </row>
    <row r="64" customFormat="false" ht="15" hidden="false" customHeight="false" outlineLevel="0" collapsed="false">
      <c r="M64" s="24" t="str">
        <f aca="false">IF($C64="","",IFERROR(INDEX(Account_Mapping!$C:$C,MATCH($C64&amp;"",Account_Mapping!$A:$A,0))&amp;"",""))</f>
        <v/>
      </c>
      <c r="N64" s="24" t="str">
        <f aca="false">IF($K64&lt;&gt;"",$K64,$M64)</f>
        <v/>
      </c>
      <c r="O64" s="24" t="str">
        <f aca="false">IF($F64="","",IFERROR(INDEX(Counterparties!$C:$C,MATCH($F64&amp;"",Counterparties!$A:$A,0))&amp;"",""))</f>
        <v/>
      </c>
      <c r="P64" s="24" t="str">
        <f aca="false">IF($O64="","",IF($O64="CY","CY",IF(ISNUMBER(MATCH($O64,Lists!$A:$A,0)),"EU","3RD")))</f>
        <v/>
      </c>
      <c r="Q64" s="24" t="str">
        <f aca="false">IF($F64="","N",IFERROR(IF(INDEX(Counterparties!$E:$E,MATCH($F64&amp;"",Counterparties!$A:$A,0))="Y","Y","N"),"N"))</f>
        <v>N</v>
      </c>
      <c r="R64" s="25" t="n">
        <f aca="false">IF(OR($H64="",$H64="EUR"),1,IFERROR(INDEX(FX_Rates!$D:$D,MATCH($H64,FX_Rates!$A:$A,0)),""))</f>
        <v>1</v>
      </c>
      <c r="S64" s="26" t="str">
        <f aca="false">IF(AND($I64="",$J64=""),"",IF($J64&lt;&gt;"",$J64,IF(OR($R64="",$R64=0),"",ROUND($I64/$R64,2))))</f>
        <v/>
      </c>
      <c r="T64" s="24" t="str">
        <f aca="false">IF($N64="","",IFERROR(INDEX(VAT_Codes!$C:$C,MATCH($N64,VAT_Codes!$A:$A,0)),"")&amp;"")</f>
        <v/>
      </c>
      <c r="U64" s="26" t="n">
        <f aca="false">IF(OR($S64="",$T64="",$T64="None"),0,IF($T64="Output",-$S64,$S64))</f>
        <v>0</v>
      </c>
      <c r="V64" s="27" t="n">
        <f aca="false">IF($N64="",0,IFERROR(INDEX(VAT_Codes!$D:$D,MATCH($N64,VAT_Codes!$A:$A,0)),0))</f>
        <v>0</v>
      </c>
      <c r="W64" s="26" t="n">
        <f aca="false">IF($U64=0,0,IF(IFERROR(INDEX(VAT_Codes!$F:$F,MATCH($N64,VAT_Codes!$A:$A,0)),"N")="Y",$U64,IF($L64&lt;&gt;"",ROUND(ABS($L64)/IF(OR($R64="",$R64=0),1,$R64),2)*SIGN($U64),ROUND($U64*$V64,2))))</f>
        <v>0</v>
      </c>
      <c r="X64" s="24" t="str">
        <f aca="false">IF($N64="","",IFERROR(INDEX(VAT_Codes!$H:$H,MATCH($N64,VAT_Codes!$A:$A,0)),"")&amp;"")</f>
        <v/>
      </c>
      <c r="Y64" s="24" t="str">
        <f aca="false">IF($A64="","",(YEAR($A64)-YEAR(Settings!$C$8))*12+MONTH($A64)-MONTH(Settings!$C$8)+1)</f>
        <v/>
      </c>
      <c r="Z64" s="24" t="str">
        <f aca="false">IF(AND($C64="",$I64="",$J64=""),"",IF($N64="","NO VAT CODE",IF($T64="","UNKNOWN VAT CODE",IF($S64="","MISSING FX RATE",IF(OR($A64&lt;Settings!$C$8,$A64&gt;Settings!$C$9),"OUTSIDE PERIOD",IF(AND(IFERROR(INDEX(VAT_Codes!$E:$E,MATCH($N64,VAT_Codes!$A:$A,0)),"ANY")&lt;&gt;"ANY",$P64=""),"MISSING COUNTERPARTY COUNTRY",IF(AND(IFERROR(INDEX(VAT_Codes!$E:$E,MATCH($N64,VAT_Codes!$A:$A,0)),"ANY")&lt;&gt;"ANY",$P64&lt;&gt;IFERROR(INDEX(VAT_Codes!$E:$E,MATCH($N64,VAT_Codes!$A:$A,0)),"ANY")),"REGION MISMATCH","OK")))))))</f>
        <v/>
      </c>
    </row>
    <row r="65" customFormat="false" ht="15" hidden="false" customHeight="false" outlineLevel="0" collapsed="false">
      <c r="M65" s="24" t="str">
        <f aca="false">IF($C65="","",IFERROR(INDEX(Account_Mapping!$C:$C,MATCH($C65&amp;"",Account_Mapping!$A:$A,0))&amp;"",""))</f>
        <v/>
      </c>
      <c r="N65" s="24" t="str">
        <f aca="false">IF($K65&lt;&gt;"",$K65,$M65)</f>
        <v/>
      </c>
      <c r="O65" s="24" t="str">
        <f aca="false">IF($F65="","",IFERROR(INDEX(Counterparties!$C:$C,MATCH($F65&amp;"",Counterparties!$A:$A,0))&amp;"",""))</f>
        <v/>
      </c>
      <c r="P65" s="24" t="str">
        <f aca="false">IF($O65="","",IF($O65="CY","CY",IF(ISNUMBER(MATCH($O65,Lists!$A:$A,0)),"EU","3RD")))</f>
        <v/>
      </c>
      <c r="Q65" s="24" t="str">
        <f aca="false">IF($F65="","N",IFERROR(IF(INDEX(Counterparties!$E:$E,MATCH($F65&amp;"",Counterparties!$A:$A,0))="Y","Y","N"),"N"))</f>
        <v>N</v>
      </c>
      <c r="R65" s="25" t="n">
        <f aca="false">IF(OR($H65="",$H65="EUR"),1,IFERROR(INDEX(FX_Rates!$D:$D,MATCH($H65,FX_Rates!$A:$A,0)),""))</f>
        <v>1</v>
      </c>
      <c r="S65" s="26" t="str">
        <f aca="false">IF(AND($I65="",$J65=""),"",IF($J65&lt;&gt;"",$J65,IF(OR($R65="",$R65=0),"",ROUND($I65/$R65,2))))</f>
        <v/>
      </c>
      <c r="T65" s="24" t="str">
        <f aca="false">IF($N65="","",IFERROR(INDEX(VAT_Codes!$C:$C,MATCH($N65,VAT_Codes!$A:$A,0)),"")&amp;"")</f>
        <v/>
      </c>
      <c r="U65" s="26" t="n">
        <f aca="false">IF(OR($S65="",$T65="",$T65="None"),0,IF($T65="Output",-$S65,$S65))</f>
        <v>0</v>
      </c>
      <c r="V65" s="27" t="n">
        <f aca="false">IF($N65="",0,IFERROR(INDEX(VAT_Codes!$D:$D,MATCH($N65,VAT_Codes!$A:$A,0)),0))</f>
        <v>0</v>
      </c>
      <c r="W65" s="26" t="n">
        <f aca="false">IF($U65=0,0,IF(IFERROR(INDEX(VAT_Codes!$F:$F,MATCH($N65,VAT_Codes!$A:$A,0)),"N")="Y",$U65,IF($L65&lt;&gt;"",ROUND(ABS($L65)/IF(OR($R65="",$R65=0),1,$R65),2)*SIGN($U65),ROUND($U65*$V65,2))))</f>
        <v>0</v>
      </c>
      <c r="X65" s="24" t="str">
        <f aca="false">IF($N65="","",IFERROR(INDEX(VAT_Codes!$H:$H,MATCH($N65,VAT_Codes!$A:$A,0)),"")&amp;"")</f>
        <v/>
      </c>
      <c r="Y65" s="24" t="str">
        <f aca="false">IF($A65="","",(YEAR($A65)-YEAR(Settings!$C$8))*12+MONTH($A65)-MONTH(Settings!$C$8)+1)</f>
        <v/>
      </c>
      <c r="Z65" s="24" t="str">
        <f aca="false">IF(AND($C65="",$I65="",$J65=""),"",IF($N65="","NO VAT CODE",IF($T65="","UNKNOWN VAT CODE",IF($S65="","MISSING FX RATE",IF(OR($A65&lt;Settings!$C$8,$A65&gt;Settings!$C$9),"OUTSIDE PERIOD",IF(AND(IFERROR(INDEX(VAT_Codes!$E:$E,MATCH($N65,VAT_Codes!$A:$A,0)),"ANY")&lt;&gt;"ANY",$P65=""),"MISSING COUNTERPARTY COUNTRY",IF(AND(IFERROR(INDEX(VAT_Codes!$E:$E,MATCH($N65,VAT_Codes!$A:$A,0)),"ANY")&lt;&gt;"ANY",$P65&lt;&gt;IFERROR(INDEX(VAT_Codes!$E:$E,MATCH($N65,VAT_Codes!$A:$A,0)),"ANY")),"REGION MISMATCH","OK")))))))</f>
        <v/>
      </c>
    </row>
    <row r="66" customFormat="false" ht="15" hidden="false" customHeight="false" outlineLevel="0" collapsed="false">
      <c r="M66" s="24" t="str">
        <f aca="false">IF($C66="","",IFERROR(INDEX(Account_Mapping!$C:$C,MATCH($C66&amp;"",Account_Mapping!$A:$A,0))&amp;"",""))</f>
        <v/>
      </c>
      <c r="N66" s="24" t="str">
        <f aca="false">IF($K66&lt;&gt;"",$K66,$M66)</f>
        <v/>
      </c>
      <c r="O66" s="24" t="str">
        <f aca="false">IF($F66="","",IFERROR(INDEX(Counterparties!$C:$C,MATCH($F66&amp;"",Counterparties!$A:$A,0))&amp;"",""))</f>
        <v/>
      </c>
      <c r="P66" s="24" t="str">
        <f aca="false">IF($O66="","",IF($O66="CY","CY",IF(ISNUMBER(MATCH($O66,Lists!$A:$A,0)),"EU","3RD")))</f>
        <v/>
      </c>
      <c r="Q66" s="24" t="str">
        <f aca="false">IF($F66="","N",IFERROR(IF(INDEX(Counterparties!$E:$E,MATCH($F66&amp;"",Counterparties!$A:$A,0))="Y","Y","N"),"N"))</f>
        <v>N</v>
      </c>
      <c r="R66" s="25" t="n">
        <f aca="false">IF(OR($H66="",$H66="EUR"),1,IFERROR(INDEX(FX_Rates!$D:$D,MATCH($H66,FX_Rates!$A:$A,0)),""))</f>
        <v>1</v>
      </c>
      <c r="S66" s="26" t="str">
        <f aca="false">IF(AND($I66="",$J66=""),"",IF($J66&lt;&gt;"",$J66,IF(OR($R66="",$R66=0),"",ROUND($I66/$R66,2))))</f>
        <v/>
      </c>
      <c r="T66" s="24" t="str">
        <f aca="false">IF($N66="","",IFERROR(INDEX(VAT_Codes!$C:$C,MATCH($N66,VAT_Codes!$A:$A,0)),"")&amp;"")</f>
        <v/>
      </c>
      <c r="U66" s="26" t="n">
        <f aca="false">IF(OR($S66="",$T66="",$T66="None"),0,IF($T66="Output",-$S66,$S66))</f>
        <v>0</v>
      </c>
      <c r="V66" s="27" t="n">
        <f aca="false">IF($N66="",0,IFERROR(INDEX(VAT_Codes!$D:$D,MATCH($N66,VAT_Codes!$A:$A,0)),0))</f>
        <v>0</v>
      </c>
      <c r="W66" s="26" t="n">
        <f aca="false">IF($U66=0,0,IF(IFERROR(INDEX(VAT_Codes!$F:$F,MATCH($N66,VAT_Codes!$A:$A,0)),"N")="Y",$U66,IF($L66&lt;&gt;"",ROUND(ABS($L66)/IF(OR($R66="",$R66=0),1,$R66),2)*SIGN($U66),ROUND($U66*$V66,2))))</f>
        <v>0</v>
      </c>
      <c r="X66" s="24" t="str">
        <f aca="false">IF($N66="","",IFERROR(INDEX(VAT_Codes!$H:$H,MATCH($N66,VAT_Codes!$A:$A,0)),"")&amp;"")</f>
        <v/>
      </c>
      <c r="Y66" s="24" t="str">
        <f aca="false">IF($A66="","",(YEAR($A66)-YEAR(Settings!$C$8))*12+MONTH($A66)-MONTH(Settings!$C$8)+1)</f>
        <v/>
      </c>
      <c r="Z66" s="24" t="str">
        <f aca="false">IF(AND($C66="",$I66="",$J66=""),"",IF($N66="","NO VAT CODE",IF($T66="","UNKNOWN VAT CODE",IF($S66="","MISSING FX RATE",IF(OR($A66&lt;Settings!$C$8,$A66&gt;Settings!$C$9),"OUTSIDE PERIOD",IF(AND(IFERROR(INDEX(VAT_Codes!$E:$E,MATCH($N66,VAT_Codes!$A:$A,0)),"ANY")&lt;&gt;"ANY",$P66=""),"MISSING COUNTERPARTY COUNTRY",IF(AND(IFERROR(INDEX(VAT_Codes!$E:$E,MATCH($N66,VAT_Codes!$A:$A,0)),"ANY")&lt;&gt;"ANY",$P66&lt;&gt;IFERROR(INDEX(VAT_Codes!$E:$E,MATCH($N66,VAT_Codes!$A:$A,0)),"ANY")),"REGION MISMATCH","OK")))))))</f>
        <v/>
      </c>
    </row>
    <row r="67" customFormat="false" ht="15" hidden="false" customHeight="false" outlineLevel="0" collapsed="false">
      <c r="M67" s="24" t="str">
        <f aca="false">IF($C67="","",IFERROR(INDEX(Account_Mapping!$C:$C,MATCH($C67&amp;"",Account_Mapping!$A:$A,0))&amp;"",""))</f>
        <v/>
      </c>
      <c r="N67" s="24" t="str">
        <f aca="false">IF($K67&lt;&gt;"",$K67,$M67)</f>
        <v/>
      </c>
      <c r="O67" s="24" t="str">
        <f aca="false">IF($F67="","",IFERROR(INDEX(Counterparties!$C:$C,MATCH($F67&amp;"",Counterparties!$A:$A,0))&amp;"",""))</f>
        <v/>
      </c>
      <c r="P67" s="24" t="str">
        <f aca="false">IF($O67="","",IF($O67="CY","CY",IF(ISNUMBER(MATCH($O67,Lists!$A:$A,0)),"EU","3RD")))</f>
        <v/>
      </c>
      <c r="Q67" s="24" t="str">
        <f aca="false">IF($F67="","N",IFERROR(IF(INDEX(Counterparties!$E:$E,MATCH($F67&amp;"",Counterparties!$A:$A,0))="Y","Y","N"),"N"))</f>
        <v>N</v>
      </c>
      <c r="R67" s="25" t="n">
        <f aca="false">IF(OR($H67="",$H67="EUR"),1,IFERROR(INDEX(FX_Rates!$D:$D,MATCH($H67,FX_Rates!$A:$A,0)),""))</f>
        <v>1</v>
      </c>
      <c r="S67" s="26" t="str">
        <f aca="false">IF(AND($I67="",$J67=""),"",IF($J67&lt;&gt;"",$J67,IF(OR($R67="",$R67=0),"",ROUND($I67/$R67,2))))</f>
        <v/>
      </c>
      <c r="T67" s="24" t="str">
        <f aca="false">IF($N67="","",IFERROR(INDEX(VAT_Codes!$C:$C,MATCH($N67,VAT_Codes!$A:$A,0)),"")&amp;"")</f>
        <v/>
      </c>
      <c r="U67" s="26" t="n">
        <f aca="false">IF(OR($S67="",$T67="",$T67="None"),0,IF($T67="Output",-$S67,$S67))</f>
        <v>0</v>
      </c>
      <c r="V67" s="27" t="n">
        <f aca="false">IF($N67="",0,IFERROR(INDEX(VAT_Codes!$D:$D,MATCH($N67,VAT_Codes!$A:$A,0)),0))</f>
        <v>0</v>
      </c>
      <c r="W67" s="26" t="n">
        <f aca="false">IF($U67=0,0,IF(IFERROR(INDEX(VAT_Codes!$F:$F,MATCH($N67,VAT_Codes!$A:$A,0)),"N")="Y",$U67,IF($L67&lt;&gt;"",ROUND(ABS($L67)/IF(OR($R67="",$R67=0),1,$R67),2)*SIGN($U67),ROUND($U67*$V67,2))))</f>
        <v>0</v>
      </c>
      <c r="X67" s="24" t="str">
        <f aca="false">IF($N67="","",IFERROR(INDEX(VAT_Codes!$H:$H,MATCH($N67,VAT_Codes!$A:$A,0)),"")&amp;"")</f>
        <v/>
      </c>
      <c r="Y67" s="24" t="str">
        <f aca="false">IF($A67="","",(YEAR($A67)-YEAR(Settings!$C$8))*12+MONTH($A67)-MONTH(Settings!$C$8)+1)</f>
        <v/>
      </c>
      <c r="Z67" s="24" t="str">
        <f aca="false">IF(AND($C67="",$I67="",$J67=""),"",IF($N67="","NO VAT CODE",IF($T67="","UNKNOWN VAT CODE",IF($S67="","MISSING FX RATE",IF(OR($A67&lt;Settings!$C$8,$A67&gt;Settings!$C$9),"OUTSIDE PERIOD",IF(AND(IFERROR(INDEX(VAT_Codes!$E:$E,MATCH($N67,VAT_Codes!$A:$A,0)),"ANY")&lt;&gt;"ANY",$P67=""),"MISSING COUNTERPARTY COUNTRY",IF(AND(IFERROR(INDEX(VAT_Codes!$E:$E,MATCH($N67,VAT_Codes!$A:$A,0)),"ANY")&lt;&gt;"ANY",$P67&lt;&gt;IFERROR(INDEX(VAT_Codes!$E:$E,MATCH($N67,VAT_Codes!$A:$A,0)),"ANY")),"REGION MISMATCH","OK")))))))</f>
        <v/>
      </c>
    </row>
    <row r="68" customFormat="false" ht="15" hidden="false" customHeight="false" outlineLevel="0" collapsed="false">
      <c r="M68" s="24" t="str">
        <f aca="false">IF($C68="","",IFERROR(INDEX(Account_Mapping!$C:$C,MATCH($C68&amp;"",Account_Mapping!$A:$A,0))&amp;"",""))</f>
        <v/>
      </c>
      <c r="N68" s="24" t="str">
        <f aca="false">IF($K68&lt;&gt;"",$K68,$M68)</f>
        <v/>
      </c>
      <c r="O68" s="24" t="str">
        <f aca="false">IF($F68="","",IFERROR(INDEX(Counterparties!$C:$C,MATCH($F68&amp;"",Counterparties!$A:$A,0))&amp;"",""))</f>
        <v/>
      </c>
      <c r="P68" s="24" t="str">
        <f aca="false">IF($O68="","",IF($O68="CY","CY",IF(ISNUMBER(MATCH($O68,Lists!$A:$A,0)),"EU","3RD")))</f>
        <v/>
      </c>
      <c r="Q68" s="24" t="str">
        <f aca="false">IF($F68="","N",IFERROR(IF(INDEX(Counterparties!$E:$E,MATCH($F68&amp;"",Counterparties!$A:$A,0))="Y","Y","N"),"N"))</f>
        <v>N</v>
      </c>
      <c r="R68" s="25" t="n">
        <f aca="false">IF(OR($H68="",$H68="EUR"),1,IFERROR(INDEX(FX_Rates!$D:$D,MATCH($H68,FX_Rates!$A:$A,0)),""))</f>
        <v>1</v>
      </c>
      <c r="S68" s="26" t="str">
        <f aca="false">IF(AND($I68="",$J68=""),"",IF($J68&lt;&gt;"",$J68,IF(OR($R68="",$R68=0),"",ROUND($I68/$R68,2))))</f>
        <v/>
      </c>
      <c r="T68" s="24" t="str">
        <f aca="false">IF($N68="","",IFERROR(INDEX(VAT_Codes!$C:$C,MATCH($N68,VAT_Codes!$A:$A,0)),"")&amp;"")</f>
        <v/>
      </c>
      <c r="U68" s="26" t="n">
        <f aca="false">IF(OR($S68="",$T68="",$T68="None"),0,IF($T68="Output",-$S68,$S68))</f>
        <v>0</v>
      </c>
      <c r="V68" s="27" t="n">
        <f aca="false">IF($N68="",0,IFERROR(INDEX(VAT_Codes!$D:$D,MATCH($N68,VAT_Codes!$A:$A,0)),0))</f>
        <v>0</v>
      </c>
      <c r="W68" s="26" t="n">
        <f aca="false">IF($U68=0,0,IF(IFERROR(INDEX(VAT_Codes!$F:$F,MATCH($N68,VAT_Codes!$A:$A,0)),"N")="Y",$U68,IF($L68&lt;&gt;"",ROUND(ABS($L68)/IF(OR($R68="",$R68=0),1,$R68),2)*SIGN($U68),ROUND($U68*$V68,2))))</f>
        <v>0</v>
      </c>
      <c r="X68" s="24" t="str">
        <f aca="false">IF($N68="","",IFERROR(INDEX(VAT_Codes!$H:$H,MATCH($N68,VAT_Codes!$A:$A,0)),"")&amp;"")</f>
        <v/>
      </c>
      <c r="Y68" s="24" t="str">
        <f aca="false">IF($A68="","",(YEAR($A68)-YEAR(Settings!$C$8))*12+MONTH($A68)-MONTH(Settings!$C$8)+1)</f>
        <v/>
      </c>
      <c r="Z68" s="24" t="str">
        <f aca="false">IF(AND($C68="",$I68="",$J68=""),"",IF($N68="","NO VAT CODE",IF($T68="","UNKNOWN VAT CODE",IF($S68="","MISSING FX RATE",IF(OR($A68&lt;Settings!$C$8,$A68&gt;Settings!$C$9),"OUTSIDE PERIOD",IF(AND(IFERROR(INDEX(VAT_Codes!$E:$E,MATCH($N68,VAT_Codes!$A:$A,0)),"ANY")&lt;&gt;"ANY",$P68=""),"MISSING COUNTERPARTY COUNTRY",IF(AND(IFERROR(INDEX(VAT_Codes!$E:$E,MATCH($N68,VAT_Codes!$A:$A,0)),"ANY")&lt;&gt;"ANY",$P68&lt;&gt;IFERROR(INDEX(VAT_Codes!$E:$E,MATCH($N68,VAT_Codes!$A:$A,0)),"ANY")),"REGION MISMATCH","OK")))))))</f>
        <v/>
      </c>
    </row>
    <row r="69" customFormat="false" ht="15" hidden="false" customHeight="false" outlineLevel="0" collapsed="false">
      <c r="M69" s="24" t="str">
        <f aca="false">IF($C69="","",IFERROR(INDEX(Account_Mapping!$C:$C,MATCH($C69&amp;"",Account_Mapping!$A:$A,0))&amp;"",""))</f>
        <v/>
      </c>
      <c r="N69" s="24" t="str">
        <f aca="false">IF($K69&lt;&gt;"",$K69,$M69)</f>
        <v/>
      </c>
      <c r="O69" s="24" t="str">
        <f aca="false">IF($F69="","",IFERROR(INDEX(Counterparties!$C:$C,MATCH($F69&amp;"",Counterparties!$A:$A,0))&amp;"",""))</f>
        <v/>
      </c>
      <c r="P69" s="24" t="str">
        <f aca="false">IF($O69="","",IF($O69="CY","CY",IF(ISNUMBER(MATCH($O69,Lists!$A:$A,0)),"EU","3RD")))</f>
        <v/>
      </c>
      <c r="Q69" s="24" t="str">
        <f aca="false">IF($F69="","N",IFERROR(IF(INDEX(Counterparties!$E:$E,MATCH($F69&amp;"",Counterparties!$A:$A,0))="Y","Y","N"),"N"))</f>
        <v>N</v>
      </c>
      <c r="R69" s="25" t="n">
        <f aca="false">IF(OR($H69="",$H69="EUR"),1,IFERROR(INDEX(FX_Rates!$D:$D,MATCH($H69,FX_Rates!$A:$A,0)),""))</f>
        <v>1</v>
      </c>
      <c r="S69" s="26" t="str">
        <f aca="false">IF(AND($I69="",$J69=""),"",IF($J69&lt;&gt;"",$J69,IF(OR($R69="",$R69=0),"",ROUND($I69/$R69,2))))</f>
        <v/>
      </c>
      <c r="T69" s="24" t="str">
        <f aca="false">IF($N69="","",IFERROR(INDEX(VAT_Codes!$C:$C,MATCH($N69,VAT_Codes!$A:$A,0)),"")&amp;"")</f>
        <v/>
      </c>
      <c r="U69" s="26" t="n">
        <f aca="false">IF(OR($S69="",$T69="",$T69="None"),0,IF($T69="Output",-$S69,$S69))</f>
        <v>0</v>
      </c>
      <c r="V69" s="27" t="n">
        <f aca="false">IF($N69="",0,IFERROR(INDEX(VAT_Codes!$D:$D,MATCH($N69,VAT_Codes!$A:$A,0)),0))</f>
        <v>0</v>
      </c>
      <c r="W69" s="26" t="n">
        <f aca="false">IF($U69=0,0,IF(IFERROR(INDEX(VAT_Codes!$F:$F,MATCH($N69,VAT_Codes!$A:$A,0)),"N")="Y",$U69,IF($L69&lt;&gt;"",ROUND(ABS($L69)/IF(OR($R69="",$R69=0),1,$R69),2)*SIGN($U69),ROUND($U69*$V69,2))))</f>
        <v>0</v>
      </c>
      <c r="X69" s="24" t="str">
        <f aca="false">IF($N69="","",IFERROR(INDEX(VAT_Codes!$H:$H,MATCH($N69,VAT_Codes!$A:$A,0)),"")&amp;"")</f>
        <v/>
      </c>
      <c r="Y69" s="24" t="str">
        <f aca="false">IF($A69="","",(YEAR($A69)-YEAR(Settings!$C$8))*12+MONTH($A69)-MONTH(Settings!$C$8)+1)</f>
        <v/>
      </c>
      <c r="Z69" s="24" t="str">
        <f aca="false">IF(AND($C69="",$I69="",$J69=""),"",IF($N69="","NO VAT CODE",IF($T69="","UNKNOWN VAT CODE",IF($S69="","MISSING FX RATE",IF(OR($A69&lt;Settings!$C$8,$A69&gt;Settings!$C$9),"OUTSIDE PERIOD",IF(AND(IFERROR(INDEX(VAT_Codes!$E:$E,MATCH($N69,VAT_Codes!$A:$A,0)),"ANY")&lt;&gt;"ANY",$P69=""),"MISSING COUNTERPARTY COUNTRY",IF(AND(IFERROR(INDEX(VAT_Codes!$E:$E,MATCH($N69,VAT_Codes!$A:$A,0)),"ANY")&lt;&gt;"ANY",$P69&lt;&gt;IFERROR(INDEX(VAT_Codes!$E:$E,MATCH($N69,VAT_Codes!$A:$A,0)),"ANY")),"REGION MISMATCH","OK")))))))</f>
        <v/>
      </c>
    </row>
    <row r="70" customFormat="false" ht="15" hidden="false" customHeight="false" outlineLevel="0" collapsed="false">
      <c r="M70" s="24" t="str">
        <f aca="false">IF($C70="","",IFERROR(INDEX(Account_Mapping!$C:$C,MATCH($C70&amp;"",Account_Mapping!$A:$A,0))&amp;"",""))</f>
        <v/>
      </c>
      <c r="N70" s="24" t="str">
        <f aca="false">IF($K70&lt;&gt;"",$K70,$M70)</f>
        <v/>
      </c>
      <c r="O70" s="24" t="str">
        <f aca="false">IF($F70="","",IFERROR(INDEX(Counterparties!$C:$C,MATCH($F70&amp;"",Counterparties!$A:$A,0))&amp;"",""))</f>
        <v/>
      </c>
      <c r="P70" s="24" t="str">
        <f aca="false">IF($O70="","",IF($O70="CY","CY",IF(ISNUMBER(MATCH($O70,Lists!$A:$A,0)),"EU","3RD")))</f>
        <v/>
      </c>
      <c r="Q70" s="24" t="str">
        <f aca="false">IF($F70="","N",IFERROR(IF(INDEX(Counterparties!$E:$E,MATCH($F70&amp;"",Counterparties!$A:$A,0))="Y","Y","N"),"N"))</f>
        <v>N</v>
      </c>
      <c r="R70" s="25" t="n">
        <f aca="false">IF(OR($H70="",$H70="EUR"),1,IFERROR(INDEX(FX_Rates!$D:$D,MATCH($H70,FX_Rates!$A:$A,0)),""))</f>
        <v>1</v>
      </c>
      <c r="S70" s="26" t="str">
        <f aca="false">IF(AND($I70="",$J70=""),"",IF($J70&lt;&gt;"",$J70,IF(OR($R70="",$R70=0),"",ROUND($I70/$R70,2))))</f>
        <v/>
      </c>
      <c r="T70" s="24" t="str">
        <f aca="false">IF($N70="","",IFERROR(INDEX(VAT_Codes!$C:$C,MATCH($N70,VAT_Codes!$A:$A,0)),"")&amp;"")</f>
        <v/>
      </c>
      <c r="U70" s="26" t="n">
        <f aca="false">IF(OR($S70="",$T70="",$T70="None"),0,IF($T70="Output",-$S70,$S70))</f>
        <v>0</v>
      </c>
      <c r="V70" s="27" t="n">
        <f aca="false">IF($N70="",0,IFERROR(INDEX(VAT_Codes!$D:$D,MATCH($N70,VAT_Codes!$A:$A,0)),0))</f>
        <v>0</v>
      </c>
      <c r="W70" s="26" t="n">
        <f aca="false">IF($U70=0,0,IF(IFERROR(INDEX(VAT_Codes!$F:$F,MATCH($N70,VAT_Codes!$A:$A,0)),"N")="Y",$U70,IF($L70&lt;&gt;"",ROUND(ABS($L70)/IF(OR($R70="",$R70=0),1,$R70),2)*SIGN($U70),ROUND($U70*$V70,2))))</f>
        <v>0</v>
      </c>
      <c r="X70" s="24" t="str">
        <f aca="false">IF($N70="","",IFERROR(INDEX(VAT_Codes!$H:$H,MATCH($N70,VAT_Codes!$A:$A,0)),"")&amp;"")</f>
        <v/>
      </c>
      <c r="Y70" s="24" t="str">
        <f aca="false">IF($A70="","",(YEAR($A70)-YEAR(Settings!$C$8))*12+MONTH($A70)-MONTH(Settings!$C$8)+1)</f>
        <v/>
      </c>
      <c r="Z70" s="24" t="str">
        <f aca="false">IF(AND($C70="",$I70="",$J70=""),"",IF($N70="","NO VAT CODE",IF($T70="","UNKNOWN VAT CODE",IF($S70="","MISSING FX RATE",IF(OR($A70&lt;Settings!$C$8,$A70&gt;Settings!$C$9),"OUTSIDE PERIOD",IF(AND(IFERROR(INDEX(VAT_Codes!$E:$E,MATCH($N70,VAT_Codes!$A:$A,0)),"ANY")&lt;&gt;"ANY",$P70=""),"MISSING COUNTERPARTY COUNTRY",IF(AND(IFERROR(INDEX(VAT_Codes!$E:$E,MATCH($N70,VAT_Codes!$A:$A,0)),"ANY")&lt;&gt;"ANY",$P70&lt;&gt;IFERROR(INDEX(VAT_Codes!$E:$E,MATCH($N70,VAT_Codes!$A:$A,0)),"ANY")),"REGION MISMATCH","OK")))))))</f>
        <v/>
      </c>
    </row>
    <row r="71" customFormat="false" ht="15" hidden="false" customHeight="false" outlineLevel="0" collapsed="false">
      <c r="M71" s="24" t="str">
        <f aca="false">IF($C71="","",IFERROR(INDEX(Account_Mapping!$C:$C,MATCH($C71&amp;"",Account_Mapping!$A:$A,0))&amp;"",""))</f>
        <v/>
      </c>
      <c r="N71" s="24" t="str">
        <f aca="false">IF($K71&lt;&gt;"",$K71,$M71)</f>
        <v/>
      </c>
      <c r="O71" s="24" t="str">
        <f aca="false">IF($F71="","",IFERROR(INDEX(Counterparties!$C:$C,MATCH($F71&amp;"",Counterparties!$A:$A,0))&amp;"",""))</f>
        <v/>
      </c>
      <c r="P71" s="24" t="str">
        <f aca="false">IF($O71="","",IF($O71="CY","CY",IF(ISNUMBER(MATCH($O71,Lists!$A:$A,0)),"EU","3RD")))</f>
        <v/>
      </c>
      <c r="Q71" s="24" t="str">
        <f aca="false">IF($F71="","N",IFERROR(IF(INDEX(Counterparties!$E:$E,MATCH($F71&amp;"",Counterparties!$A:$A,0))="Y","Y","N"),"N"))</f>
        <v>N</v>
      </c>
      <c r="R71" s="25" t="n">
        <f aca="false">IF(OR($H71="",$H71="EUR"),1,IFERROR(INDEX(FX_Rates!$D:$D,MATCH($H71,FX_Rates!$A:$A,0)),""))</f>
        <v>1</v>
      </c>
      <c r="S71" s="26" t="str">
        <f aca="false">IF(AND($I71="",$J71=""),"",IF($J71&lt;&gt;"",$J71,IF(OR($R71="",$R71=0),"",ROUND($I71/$R71,2))))</f>
        <v/>
      </c>
      <c r="T71" s="24" t="str">
        <f aca="false">IF($N71="","",IFERROR(INDEX(VAT_Codes!$C:$C,MATCH($N71,VAT_Codes!$A:$A,0)),"")&amp;"")</f>
        <v/>
      </c>
      <c r="U71" s="26" t="n">
        <f aca="false">IF(OR($S71="",$T71="",$T71="None"),0,IF($T71="Output",-$S71,$S71))</f>
        <v>0</v>
      </c>
      <c r="V71" s="27" t="n">
        <f aca="false">IF($N71="",0,IFERROR(INDEX(VAT_Codes!$D:$D,MATCH($N71,VAT_Codes!$A:$A,0)),0))</f>
        <v>0</v>
      </c>
      <c r="W71" s="26" t="n">
        <f aca="false">IF($U71=0,0,IF(IFERROR(INDEX(VAT_Codes!$F:$F,MATCH($N71,VAT_Codes!$A:$A,0)),"N")="Y",$U71,IF($L71&lt;&gt;"",ROUND(ABS($L71)/IF(OR($R71="",$R71=0),1,$R71),2)*SIGN($U71),ROUND($U71*$V71,2))))</f>
        <v>0</v>
      </c>
      <c r="X71" s="24" t="str">
        <f aca="false">IF($N71="","",IFERROR(INDEX(VAT_Codes!$H:$H,MATCH($N71,VAT_Codes!$A:$A,0)),"")&amp;"")</f>
        <v/>
      </c>
      <c r="Y71" s="24" t="str">
        <f aca="false">IF($A71="","",(YEAR($A71)-YEAR(Settings!$C$8))*12+MONTH($A71)-MONTH(Settings!$C$8)+1)</f>
        <v/>
      </c>
      <c r="Z71" s="24" t="str">
        <f aca="false">IF(AND($C71="",$I71="",$J71=""),"",IF($N71="","NO VAT CODE",IF($T71="","UNKNOWN VAT CODE",IF($S71="","MISSING FX RATE",IF(OR($A71&lt;Settings!$C$8,$A71&gt;Settings!$C$9),"OUTSIDE PERIOD",IF(AND(IFERROR(INDEX(VAT_Codes!$E:$E,MATCH($N71,VAT_Codes!$A:$A,0)),"ANY")&lt;&gt;"ANY",$P71=""),"MISSING COUNTERPARTY COUNTRY",IF(AND(IFERROR(INDEX(VAT_Codes!$E:$E,MATCH($N71,VAT_Codes!$A:$A,0)),"ANY")&lt;&gt;"ANY",$P71&lt;&gt;IFERROR(INDEX(VAT_Codes!$E:$E,MATCH($N71,VAT_Codes!$A:$A,0)),"ANY")),"REGION MISMATCH","OK")))))))</f>
        <v/>
      </c>
    </row>
    <row r="72" customFormat="false" ht="15" hidden="false" customHeight="false" outlineLevel="0" collapsed="false">
      <c r="M72" s="24" t="str">
        <f aca="false">IF($C72="","",IFERROR(INDEX(Account_Mapping!$C:$C,MATCH($C72&amp;"",Account_Mapping!$A:$A,0))&amp;"",""))</f>
        <v/>
      </c>
      <c r="N72" s="24" t="str">
        <f aca="false">IF($K72&lt;&gt;"",$K72,$M72)</f>
        <v/>
      </c>
      <c r="O72" s="24" t="str">
        <f aca="false">IF($F72="","",IFERROR(INDEX(Counterparties!$C:$C,MATCH($F72&amp;"",Counterparties!$A:$A,0))&amp;"",""))</f>
        <v/>
      </c>
      <c r="P72" s="24" t="str">
        <f aca="false">IF($O72="","",IF($O72="CY","CY",IF(ISNUMBER(MATCH($O72,Lists!$A:$A,0)),"EU","3RD")))</f>
        <v/>
      </c>
      <c r="Q72" s="24" t="str">
        <f aca="false">IF($F72="","N",IFERROR(IF(INDEX(Counterparties!$E:$E,MATCH($F72&amp;"",Counterparties!$A:$A,0))="Y","Y","N"),"N"))</f>
        <v>N</v>
      </c>
      <c r="R72" s="25" t="n">
        <f aca="false">IF(OR($H72="",$H72="EUR"),1,IFERROR(INDEX(FX_Rates!$D:$D,MATCH($H72,FX_Rates!$A:$A,0)),""))</f>
        <v>1</v>
      </c>
      <c r="S72" s="26" t="str">
        <f aca="false">IF(AND($I72="",$J72=""),"",IF($J72&lt;&gt;"",$J72,IF(OR($R72="",$R72=0),"",ROUND($I72/$R72,2))))</f>
        <v/>
      </c>
      <c r="T72" s="24" t="str">
        <f aca="false">IF($N72="","",IFERROR(INDEX(VAT_Codes!$C:$C,MATCH($N72,VAT_Codes!$A:$A,0)),"")&amp;"")</f>
        <v/>
      </c>
      <c r="U72" s="26" t="n">
        <f aca="false">IF(OR($S72="",$T72="",$T72="None"),0,IF($T72="Output",-$S72,$S72))</f>
        <v>0</v>
      </c>
      <c r="V72" s="27" t="n">
        <f aca="false">IF($N72="",0,IFERROR(INDEX(VAT_Codes!$D:$D,MATCH($N72,VAT_Codes!$A:$A,0)),0))</f>
        <v>0</v>
      </c>
      <c r="W72" s="26" t="n">
        <f aca="false">IF($U72=0,0,IF(IFERROR(INDEX(VAT_Codes!$F:$F,MATCH($N72,VAT_Codes!$A:$A,0)),"N")="Y",$U72,IF($L72&lt;&gt;"",ROUND(ABS($L72)/IF(OR($R72="",$R72=0),1,$R72),2)*SIGN($U72),ROUND($U72*$V72,2))))</f>
        <v>0</v>
      </c>
      <c r="X72" s="24" t="str">
        <f aca="false">IF($N72="","",IFERROR(INDEX(VAT_Codes!$H:$H,MATCH($N72,VAT_Codes!$A:$A,0)),"")&amp;"")</f>
        <v/>
      </c>
      <c r="Y72" s="24" t="str">
        <f aca="false">IF($A72="","",(YEAR($A72)-YEAR(Settings!$C$8))*12+MONTH($A72)-MONTH(Settings!$C$8)+1)</f>
        <v/>
      </c>
      <c r="Z72" s="24" t="str">
        <f aca="false">IF(AND($C72="",$I72="",$J72=""),"",IF($N72="","NO VAT CODE",IF($T72="","UNKNOWN VAT CODE",IF($S72="","MISSING FX RATE",IF(OR($A72&lt;Settings!$C$8,$A72&gt;Settings!$C$9),"OUTSIDE PERIOD",IF(AND(IFERROR(INDEX(VAT_Codes!$E:$E,MATCH($N72,VAT_Codes!$A:$A,0)),"ANY")&lt;&gt;"ANY",$P72=""),"MISSING COUNTERPARTY COUNTRY",IF(AND(IFERROR(INDEX(VAT_Codes!$E:$E,MATCH($N72,VAT_Codes!$A:$A,0)),"ANY")&lt;&gt;"ANY",$P72&lt;&gt;IFERROR(INDEX(VAT_Codes!$E:$E,MATCH($N72,VAT_Codes!$A:$A,0)),"ANY")),"REGION MISMATCH","OK")))))))</f>
        <v/>
      </c>
    </row>
    <row r="73" customFormat="false" ht="15" hidden="false" customHeight="false" outlineLevel="0" collapsed="false">
      <c r="M73" s="24" t="str">
        <f aca="false">IF($C73="","",IFERROR(INDEX(Account_Mapping!$C:$C,MATCH($C73&amp;"",Account_Mapping!$A:$A,0))&amp;"",""))</f>
        <v/>
      </c>
      <c r="N73" s="24" t="str">
        <f aca="false">IF($K73&lt;&gt;"",$K73,$M73)</f>
        <v/>
      </c>
      <c r="O73" s="24" t="str">
        <f aca="false">IF($F73="","",IFERROR(INDEX(Counterparties!$C:$C,MATCH($F73&amp;"",Counterparties!$A:$A,0))&amp;"",""))</f>
        <v/>
      </c>
      <c r="P73" s="24" t="str">
        <f aca="false">IF($O73="","",IF($O73="CY","CY",IF(ISNUMBER(MATCH($O73,Lists!$A:$A,0)),"EU","3RD")))</f>
        <v/>
      </c>
      <c r="Q73" s="24" t="str">
        <f aca="false">IF($F73="","N",IFERROR(IF(INDEX(Counterparties!$E:$E,MATCH($F73&amp;"",Counterparties!$A:$A,0))="Y","Y","N"),"N"))</f>
        <v>N</v>
      </c>
      <c r="R73" s="25" t="n">
        <f aca="false">IF(OR($H73="",$H73="EUR"),1,IFERROR(INDEX(FX_Rates!$D:$D,MATCH($H73,FX_Rates!$A:$A,0)),""))</f>
        <v>1</v>
      </c>
      <c r="S73" s="26" t="str">
        <f aca="false">IF(AND($I73="",$J73=""),"",IF($J73&lt;&gt;"",$J73,IF(OR($R73="",$R73=0),"",ROUND($I73/$R73,2))))</f>
        <v/>
      </c>
      <c r="T73" s="24" t="str">
        <f aca="false">IF($N73="","",IFERROR(INDEX(VAT_Codes!$C:$C,MATCH($N73,VAT_Codes!$A:$A,0)),"")&amp;"")</f>
        <v/>
      </c>
      <c r="U73" s="26" t="n">
        <f aca="false">IF(OR($S73="",$T73="",$T73="None"),0,IF($T73="Output",-$S73,$S73))</f>
        <v>0</v>
      </c>
      <c r="V73" s="27" t="n">
        <f aca="false">IF($N73="",0,IFERROR(INDEX(VAT_Codes!$D:$D,MATCH($N73,VAT_Codes!$A:$A,0)),0))</f>
        <v>0</v>
      </c>
      <c r="W73" s="26" t="n">
        <f aca="false">IF($U73=0,0,IF(IFERROR(INDEX(VAT_Codes!$F:$F,MATCH($N73,VAT_Codes!$A:$A,0)),"N")="Y",$U73,IF($L73&lt;&gt;"",ROUND(ABS($L73)/IF(OR($R73="",$R73=0),1,$R73),2)*SIGN($U73),ROUND($U73*$V73,2))))</f>
        <v>0</v>
      </c>
      <c r="X73" s="24" t="str">
        <f aca="false">IF($N73="","",IFERROR(INDEX(VAT_Codes!$H:$H,MATCH($N73,VAT_Codes!$A:$A,0)),"")&amp;"")</f>
        <v/>
      </c>
      <c r="Y73" s="24" t="str">
        <f aca="false">IF($A73="","",(YEAR($A73)-YEAR(Settings!$C$8))*12+MONTH($A73)-MONTH(Settings!$C$8)+1)</f>
        <v/>
      </c>
      <c r="Z73" s="24" t="str">
        <f aca="false">IF(AND($C73="",$I73="",$J73=""),"",IF($N73="","NO VAT CODE",IF($T73="","UNKNOWN VAT CODE",IF($S73="","MISSING FX RATE",IF(OR($A73&lt;Settings!$C$8,$A73&gt;Settings!$C$9),"OUTSIDE PERIOD",IF(AND(IFERROR(INDEX(VAT_Codes!$E:$E,MATCH($N73,VAT_Codes!$A:$A,0)),"ANY")&lt;&gt;"ANY",$P73=""),"MISSING COUNTERPARTY COUNTRY",IF(AND(IFERROR(INDEX(VAT_Codes!$E:$E,MATCH($N73,VAT_Codes!$A:$A,0)),"ANY")&lt;&gt;"ANY",$P73&lt;&gt;IFERROR(INDEX(VAT_Codes!$E:$E,MATCH($N73,VAT_Codes!$A:$A,0)),"ANY")),"REGION MISMATCH","OK")))))))</f>
        <v/>
      </c>
    </row>
    <row r="74" customFormat="false" ht="15" hidden="false" customHeight="false" outlineLevel="0" collapsed="false">
      <c r="M74" s="24" t="str">
        <f aca="false">IF($C74="","",IFERROR(INDEX(Account_Mapping!$C:$C,MATCH($C74&amp;"",Account_Mapping!$A:$A,0))&amp;"",""))</f>
        <v/>
      </c>
      <c r="N74" s="24" t="str">
        <f aca="false">IF($K74&lt;&gt;"",$K74,$M74)</f>
        <v/>
      </c>
      <c r="O74" s="24" t="str">
        <f aca="false">IF($F74="","",IFERROR(INDEX(Counterparties!$C:$C,MATCH($F74&amp;"",Counterparties!$A:$A,0))&amp;"",""))</f>
        <v/>
      </c>
      <c r="P74" s="24" t="str">
        <f aca="false">IF($O74="","",IF($O74="CY","CY",IF(ISNUMBER(MATCH($O74,Lists!$A:$A,0)),"EU","3RD")))</f>
        <v/>
      </c>
      <c r="Q74" s="24" t="str">
        <f aca="false">IF($F74="","N",IFERROR(IF(INDEX(Counterparties!$E:$E,MATCH($F74&amp;"",Counterparties!$A:$A,0))="Y","Y","N"),"N"))</f>
        <v>N</v>
      </c>
      <c r="R74" s="25" t="n">
        <f aca="false">IF(OR($H74="",$H74="EUR"),1,IFERROR(INDEX(FX_Rates!$D:$D,MATCH($H74,FX_Rates!$A:$A,0)),""))</f>
        <v>1</v>
      </c>
      <c r="S74" s="26" t="str">
        <f aca="false">IF(AND($I74="",$J74=""),"",IF($J74&lt;&gt;"",$J74,IF(OR($R74="",$R74=0),"",ROUND($I74/$R74,2))))</f>
        <v/>
      </c>
      <c r="T74" s="24" t="str">
        <f aca="false">IF($N74="","",IFERROR(INDEX(VAT_Codes!$C:$C,MATCH($N74,VAT_Codes!$A:$A,0)),"")&amp;"")</f>
        <v/>
      </c>
      <c r="U74" s="26" t="n">
        <f aca="false">IF(OR($S74="",$T74="",$T74="None"),0,IF($T74="Output",-$S74,$S74))</f>
        <v>0</v>
      </c>
      <c r="V74" s="27" t="n">
        <f aca="false">IF($N74="",0,IFERROR(INDEX(VAT_Codes!$D:$D,MATCH($N74,VAT_Codes!$A:$A,0)),0))</f>
        <v>0</v>
      </c>
      <c r="W74" s="26" t="n">
        <f aca="false">IF($U74=0,0,IF(IFERROR(INDEX(VAT_Codes!$F:$F,MATCH($N74,VAT_Codes!$A:$A,0)),"N")="Y",$U74,IF($L74&lt;&gt;"",ROUND(ABS($L74)/IF(OR($R74="",$R74=0),1,$R74),2)*SIGN($U74),ROUND($U74*$V74,2))))</f>
        <v>0</v>
      </c>
      <c r="X74" s="24" t="str">
        <f aca="false">IF($N74="","",IFERROR(INDEX(VAT_Codes!$H:$H,MATCH($N74,VAT_Codes!$A:$A,0)),"")&amp;"")</f>
        <v/>
      </c>
      <c r="Y74" s="24" t="str">
        <f aca="false">IF($A74="","",(YEAR($A74)-YEAR(Settings!$C$8))*12+MONTH($A74)-MONTH(Settings!$C$8)+1)</f>
        <v/>
      </c>
      <c r="Z74" s="24" t="str">
        <f aca="false">IF(AND($C74="",$I74="",$J74=""),"",IF($N74="","NO VAT CODE",IF($T74="","UNKNOWN VAT CODE",IF($S74="","MISSING FX RATE",IF(OR($A74&lt;Settings!$C$8,$A74&gt;Settings!$C$9),"OUTSIDE PERIOD",IF(AND(IFERROR(INDEX(VAT_Codes!$E:$E,MATCH($N74,VAT_Codes!$A:$A,0)),"ANY")&lt;&gt;"ANY",$P74=""),"MISSING COUNTERPARTY COUNTRY",IF(AND(IFERROR(INDEX(VAT_Codes!$E:$E,MATCH($N74,VAT_Codes!$A:$A,0)),"ANY")&lt;&gt;"ANY",$P74&lt;&gt;IFERROR(INDEX(VAT_Codes!$E:$E,MATCH($N74,VAT_Codes!$A:$A,0)),"ANY")),"REGION MISMATCH","OK")))))))</f>
        <v/>
      </c>
    </row>
    <row r="75" customFormat="false" ht="15" hidden="false" customHeight="false" outlineLevel="0" collapsed="false">
      <c r="M75" s="24" t="str">
        <f aca="false">IF($C75="","",IFERROR(INDEX(Account_Mapping!$C:$C,MATCH($C75&amp;"",Account_Mapping!$A:$A,0))&amp;"",""))</f>
        <v/>
      </c>
      <c r="N75" s="24" t="str">
        <f aca="false">IF($K75&lt;&gt;"",$K75,$M75)</f>
        <v/>
      </c>
      <c r="O75" s="24" t="str">
        <f aca="false">IF($F75="","",IFERROR(INDEX(Counterparties!$C:$C,MATCH($F75&amp;"",Counterparties!$A:$A,0))&amp;"",""))</f>
        <v/>
      </c>
      <c r="P75" s="24" t="str">
        <f aca="false">IF($O75="","",IF($O75="CY","CY",IF(ISNUMBER(MATCH($O75,Lists!$A:$A,0)),"EU","3RD")))</f>
        <v/>
      </c>
      <c r="Q75" s="24" t="str">
        <f aca="false">IF($F75="","N",IFERROR(IF(INDEX(Counterparties!$E:$E,MATCH($F75&amp;"",Counterparties!$A:$A,0))="Y","Y","N"),"N"))</f>
        <v>N</v>
      </c>
      <c r="R75" s="25" t="n">
        <f aca="false">IF(OR($H75="",$H75="EUR"),1,IFERROR(INDEX(FX_Rates!$D:$D,MATCH($H75,FX_Rates!$A:$A,0)),""))</f>
        <v>1</v>
      </c>
      <c r="S75" s="26" t="str">
        <f aca="false">IF(AND($I75="",$J75=""),"",IF($J75&lt;&gt;"",$J75,IF(OR($R75="",$R75=0),"",ROUND($I75/$R75,2))))</f>
        <v/>
      </c>
      <c r="T75" s="24" t="str">
        <f aca="false">IF($N75="","",IFERROR(INDEX(VAT_Codes!$C:$C,MATCH($N75,VAT_Codes!$A:$A,0)),"")&amp;"")</f>
        <v/>
      </c>
      <c r="U75" s="26" t="n">
        <f aca="false">IF(OR($S75="",$T75="",$T75="None"),0,IF($T75="Output",-$S75,$S75))</f>
        <v>0</v>
      </c>
      <c r="V75" s="27" t="n">
        <f aca="false">IF($N75="",0,IFERROR(INDEX(VAT_Codes!$D:$D,MATCH($N75,VAT_Codes!$A:$A,0)),0))</f>
        <v>0</v>
      </c>
      <c r="W75" s="26" t="n">
        <f aca="false">IF($U75=0,0,IF(IFERROR(INDEX(VAT_Codes!$F:$F,MATCH($N75,VAT_Codes!$A:$A,0)),"N")="Y",$U75,IF($L75&lt;&gt;"",ROUND(ABS($L75)/IF(OR($R75="",$R75=0),1,$R75),2)*SIGN($U75),ROUND($U75*$V75,2))))</f>
        <v>0</v>
      </c>
      <c r="X75" s="24" t="str">
        <f aca="false">IF($N75="","",IFERROR(INDEX(VAT_Codes!$H:$H,MATCH($N75,VAT_Codes!$A:$A,0)),"")&amp;"")</f>
        <v/>
      </c>
      <c r="Y75" s="24" t="str">
        <f aca="false">IF($A75="","",(YEAR($A75)-YEAR(Settings!$C$8))*12+MONTH($A75)-MONTH(Settings!$C$8)+1)</f>
        <v/>
      </c>
      <c r="Z75" s="24" t="str">
        <f aca="false">IF(AND($C75="",$I75="",$J75=""),"",IF($N75="","NO VAT CODE",IF($T75="","UNKNOWN VAT CODE",IF($S75="","MISSING FX RATE",IF(OR($A75&lt;Settings!$C$8,$A75&gt;Settings!$C$9),"OUTSIDE PERIOD",IF(AND(IFERROR(INDEX(VAT_Codes!$E:$E,MATCH($N75,VAT_Codes!$A:$A,0)),"ANY")&lt;&gt;"ANY",$P75=""),"MISSING COUNTERPARTY COUNTRY",IF(AND(IFERROR(INDEX(VAT_Codes!$E:$E,MATCH($N75,VAT_Codes!$A:$A,0)),"ANY")&lt;&gt;"ANY",$P75&lt;&gt;IFERROR(INDEX(VAT_Codes!$E:$E,MATCH($N75,VAT_Codes!$A:$A,0)),"ANY")),"REGION MISMATCH","OK")))))))</f>
        <v/>
      </c>
    </row>
    <row r="76" customFormat="false" ht="15" hidden="false" customHeight="false" outlineLevel="0" collapsed="false">
      <c r="M76" s="24" t="str">
        <f aca="false">IF($C76="","",IFERROR(INDEX(Account_Mapping!$C:$C,MATCH($C76&amp;"",Account_Mapping!$A:$A,0))&amp;"",""))</f>
        <v/>
      </c>
      <c r="N76" s="24" t="str">
        <f aca="false">IF($K76&lt;&gt;"",$K76,$M76)</f>
        <v/>
      </c>
      <c r="O76" s="24" t="str">
        <f aca="false">IF($F76="","",IFERROR(INDEX(Counterparties!$C:$C,MATCH($F76&amp;"",Counterparties!$A:$A,0))&amp;"",""))</f>
        <v/>
      </c>
      <c r="P76" s="24" t="str">
        <f aca="false">IF($O76="","",IF($O76="CY","CY",IF(ISNUMBER(MATCH($O76,Lists!$A:$A,0)),"EU","3RD")))</f>
        <v/>
      </c>
      <c r="Q76" s="24" t="str">
        <f aca="false">IF($F76="","N",IFERROR(IF(INDEX(Counterparties!$E:$E,MATCH($F76&amp;"",Counterparties!$A:$A,0))="Y","Y","N"),"N"))</f>
        <v>N</v>
      </c>
      <c r="R76" s="25" t="n">
        <f aca="false">IF(OR($H76="",$H76="EUR"),1,IFERROR(INDEX(FX_Rates!$D:$D,MATCH($H76,FX_Rates!$A:$A,0)),""))</f>
        <v>1</v>
      </c>
      <c r="S76" s="26" t="str">
        <f aca="false">IF(AND($I76="",$J76=""),"",IF($J76&lt;&gt;"",$J76,IF(OR($R76="",$R76=0),"",ROUND($I76/$R76,2))))</f>
        <v/>
      </c>
      <c r="T76" s="24" t="str">
        <f aca="false">IF($N76="","",IFERROR(INDEX(VAT_Codes!$C:$C,MATCH($N76,VAT_Codes!$A:$A,0)),"")&amp;"")</f>
        <v/>
      </c>
      <c r="U76" s="26" t="n">
        <f aca="false">IF(OR($S76="",$T76="",$T76="None"),0,IF($T76="Output",-$S76,$S76))</f>
        <v>0</v>
      </c>
      <c r="V76" s="27" t="n">
        <f aca="false">IF($N76="",0,IFERROR(INDEX(VAT_Codes!$D:$D,MATCH($N76,VAT_Codes!$A:$A,0)),0))</f>
        <v>0</v>
      </c>
      <c r="W76" s="26" t="n">
        <f aca="false">IF($U76=0,0,IF(IFERROR(INDEX(VAT_Codes!$F:$F,MATCH($N76,VAT_Codes!$A:$A,0)),"N")="Y",$U76,IF($L76&lt;&gt;"",ROUND(ABS($L76)/IF(OR($R76="",$R76=0),1,$R76),2)*SIGN($U76),ROUND($U76*$V76,2))))</f>
        <v>0</v>
      </c>
      <c r="X76" s="24" t="str">
        <f aca="false">IF($N76="","",IFERROR(INDEX(VAT_Codes!$H:$H,MATCH($N76,VAT_Codes!$A:$A,0)),"")&amp;"")</f>
        <v/>
      </c>
      <c r="Y76" s="24" t="str">
        <f aca="false">IF($A76="","",(YEAR($A76)-YEAR(Settings!$C$8))*12+MONTH($A76)-MONTH(Settings!$C$8)+1)</f>
        <v/>
      </c>
      <c r="Z76" s="24" t="str">
        <f aca="false">IF(AND($C76="",$I76="",$J76=""),"",IF($N76="","NO VAT CODE",IF($T76="","UNKNOWN VAT CODE",IF($S76="","MISSING FX RATE",IF(OR($A76&lt;Settings!$C$8,$A76&gt;Settings!$C$9),"OUTSIDE PERIOD",IF(AND(IFERROR(INDEX(VAT_Codes!$E:$E,MATCH($N76,VAT_Codes!$A:$A,0)),"ANY")&lt;&gt;"ANY",$P76=""),"MISSING COUNTERPARTY COUNTRY",IF(AND(IFERROR(INDEX(VAT_Codes!$E:$E,MATCH($N76,VAT_Codes!$A:$A,0)),"ANY")&lt;&gt;"ANY",$P76&lt;&gt;IFERROR(INDEX(VAT_Codes!$E:$E,MATCH($N76,VAT_Codes!$A:$A,0)),"ANY")),"REGION MISMATCH","OK")))))))</f>
        <v/>
      </c>
    </row>
    <row r="77" customFormat="false" ht="15" hidden="false" customHeight="false" outlineLevel="0" collapsed="false">
      <c r="M77" s="24" t="str">
        <f aca="false">IF($C77="","",IFERROR(INDEX(Account_Mapping!$C:$C,MATCH($C77&amp;"",Account_Mapping!$A:$A,0))&amp;"",""))</f>
        <v/>
      </c>
      <c r="N77" s="24" t="str">
        <f aca="false">IF($K77&lt;&gt;"",$K77,$M77)</f>
        <v/>
      </c>
      <c r="O77" s="24" t="str">
        <f aca="false">IF($F77="","",IFERROR(INDEX(Counterparties!$C:$C,MATCH($F77&amp;"",Counterparties!$A:$A,0))&amp;"",""))</f>
        <v/>
      </c>
      <c r="P77" s="24" t="str">
        <f aca="false">IF($O77="","",IF($O77="CY","CY",IF(ISNUMBER(MATCH($O77,Lists!$A:$A,0)),"EU","3RD")))</f>
        <v/>
      </c>
      <c r="Q77" s="24" t="str">
        <f aca="false">IF($F77="","N",IFERROR(IF(INDEX(Counterparties!$E:$E,MATCH($F77&amp;"",Counterparties!$A:$A,0))="Y","Y","N"),"N"))</f>
        <v>N</v>
      </c>
      <c r="R77" s="25" t="n">
        <f aca="false">IF(OR($H77="",$H77="EUR"),1,IFERROR(INDEX(FX_Rates!$D:$D,MATCH($H77,FX_Rates!$A:$A,0)),""))</f>
        <v>1</v>
      </c>
      <c r="S77" s="26" t="str">
        <f aca="false">IF(AND($I77="",$J77=""),"",IF($J77&lt;&gt;"",$J77,IF(OR($R77="",$R77=0),"",ROUND($I77/$R77,2))))</f>
        <v/>
      </c>
      <c r="T77" s="24" t="str">
        <f aca="false">IF($N77="","",IFERROR(INDEX(VAT_Codes!$C:$C,MATCH($N77,VAT_Codes!$A:$A,0)),"")&amp;"")</f>
        <v/>
      </c>
      <c r="U77" s="26" t="n">
        <f aca="false">IF(OR($S77="",$T77="",$T77="None"),0,IF($T77="Output",-$S77,$S77))</f>
        <v>0</v>
      </c>
      <c r="V77" s="27" t="n">
        <f aca="false">IF($N77="",0,IFERROR(INDEX(VAT_Codes!$D:$D,MATCH($N77,VAT_Codes!$A:$A,0)),0))</f>
        <v>0</v>
      </c>
      <c r="W77" s="26" t="n">
        <f aca="false">IF($U77=0,0,IF(IFERROR(INDEX(VAT_Codes!$F:$F,MATCH($N77,VAT_Codes!$A:$A,0)),"N")="Y",$U77,IF($L77&lt;&gt;"",ROUND(ABS($L77)/IF(OR($R77="",$R77=0),1,$R77),2)*SIGN($U77),ROUND($U77*$V77,2))))</f>
        <v>0</v>
      </c>
      <c r="X77" s="24" t="str">
        <f aca="false">IF($N77="","",IFERROR(INDEX(VAT_Codes!$H:$H,MATCH($N77,VAT_Codes!$A:$A,0)),"")&amp;"")</f>
        <v/>
      </c>
      <c r="Y77" s="24" t="str">
        <f aca="false">IF($A77="","",(YEAR($A77)-YEAR(Settings!$C$8))*12+MONTH($A77)-MONTH(Settings!$C$8)+1)</f>
        <v/>
      </c>
      <c r="Z77" s="24" t="str">
        <f aca="false">IF(AND($C77="",$I77="",$J77=""),"",IF($N77="","NO VAT CODE",IF($T77="","UNKNOWN VAT CODE",IF($S77="","MISSING FX RATE",IF(OR($A77&lt;Settings!$C$8,$A77&gt;Settings!$C$9),"OUTSIDE PERIOD",IF(AND(IFERROR(INDEX(VAT_Codes!$E:$E,MATCH($N77,VAT_Codes!$A:$A,0)),"ANY")&lt;&gt;"ANY",$P77=""),"MISSING COUNTERPARTY COUNTRY",IF(AND(IFERROR(INDEX(VAT_Codes!$E:$E,MATCH($N77,VAT_Codes!$A:$A,0)),"ANY")&lt;&gt;"ANY",$P77&lt;&gt;IFERROR(INDEX(VAT_Codes!$E:$E,MATCH($N77,VAT_Codes!$A:$A,0)),"ANY")),"REGION MISMATCH","OK")))))))</f>
        <v/>
      </c>
    </row>
    <row r="78" customFormat="false" ht="15" hidden="false" customHeight="false" outlineLevel="0" collapsed="false">
      <c r="M78" s="24" t="str">
        <f aca="false">IF($C78="","",IFERROR(INDEX(Account_Mapping!$C:$C,MATCH($C78&amp;"",Account_Mapping!$A:$A,0))&amp;"",""))</f>
        <v/>
      </c>
      <c r="N78" s="24" t="str">
        <f aca="false">IF($K78&lt;&gt;"",$K78,$M78)</f>
        <v/>
      </c>
      <c r="O78" s="24" t="str">
        <f aca="false">IF($F78="","",IFERROR(INDEX(Counterparties!$C:$C,MATCH($F78&amp;"",Counterparties!$A:$A,0))&amp;"",""))</f>
        <v/>
      </c>
      <c r="P78" s="24" t="str">
        <f aca="false">IF($O78="","",IF($O78="CY","CY",IF(ISNUMBER(MATCH($O78,Lists!$A:$A,0)),"EU","3RD")))</f>
        <v/>
      </c>
      <c r="Q78" s="24" t="str">
        <f aca="false">IF($F78="","N",IFERROR(IF(INDEX(Counterparties!$E:$E,MATCH($F78&amp;"",Counterparties!$A:$A,0))="Y","Y","N"),"N"))</f>
        <v>N</v>
      </c>
      <c r="R78" s="25" t="n">
        <f aca="false">IF(OR($H78="",$H78="EUR"),1,IFERROR(INDEX(FX_Rates!$D:$D,MATCH($H78,FX_Rates!$A:$A,0)),""))</f>
        <v>1</v>
      </c>
      <c r="S78" s="26" t="str">
        <f aca="false">IF(AND($I78="",$J78=""),"",IF($J78&lt;&gt;"",$J78,IF(OR($R78="",$R78=0),"",ROUND($I78/$R78,2))))</f>
        <v/>
      </c>
      <c r="T78" s="24" t="str">
        <f aca="false">IF($N78="","",IFERROR(INDEX(VAT_Codes!$C:$C,MATCH($N78,VAT_Codes!$A:$A,0)),"")&amp;"")</f>
        <v/>
      </c>
      <c r="U78" s="26" t="n">
        <f aca="false">IF(OR($S78="",$T78="",$T78="None"),0,IF($T78="Output",-$S78,$S78))</f>
        <v>0</v>
      </c>
      <c r="V78" s="27" t="n">
        <f aca="false">IF($N78="",0,IFERROR(INDEX(VAT_Codes!$D:$D,MATCH($N78,VAT_Codes!$A:$A,0)),0))</f>
        <v>0</v>
      </c>
      <c r="W78" s="26" t="n">
        <f aca="false">IF($U78=0,0,IF(IFERROR(INDEX(VAT_Codes!$F:$F,MATCH($N78,VAT_Codes!$A:$A,0)),"N")="Y",$U78,IF($L78&lt;&gt;"",ROUND(ABS($L78)/IF(OR($R78="",$R78=0),1,$R78),2)*SIGN($U78),ROUND($U78*$V78,2))))</f>
        <v>0</v>
      </c>
      <c r="X78" s="24" t="str">
        <f aca="false">IF($N78="","",IFERROR(INDEX(VAT_Codes!$H:$H,MATCH($N78,VAT_Codes!$A:$A,0)),"")&amp;"")</f>
        <v/>
      </c>
      <c r="Y78" s="24" t="str">
        <f aca="false">IF($A78="","",(YEAR($A78)-YEAR(Settings!$C$8))*12+MONTH($A78)-MONTH(Settings!$C$8)+1)</f>
        <v/>
      </c>
      <c r="Z78" s="24" t="str">
        <f aca="false">IF(AND($C78="",$I78="",$J78=""),"",IF($N78="","NO VAT CODE",IF($T78="","UNKNOWN VAT CODE",IF($S78="","MISSING FX RATE",IF(OR($A78&lt;Settings!$C$8,$A78&gt;Settings!$C$9),"OUTSIDE PERIOD",IF(AND(IFERROR(INDEX(VAT_Codes!$E:$E,MATCH($N78,VAT_Codes!$A:$A,0)),"ANY")&lt;&gt;"ANY",$P78=""),"MISSING COUNTERPARTY COUNTRY",IF(AND(IFERROR(INDEX(VAT_Codes!$E:$E,MATCH($N78,VAT_Codes!$A:$A,0)),"ANY")&lt;&gt;"ANY",$P78&lt;&gt;IFERROR(INDEX(VAT_Codes!$E:$E,MATCH($N78,VAT_Codes!$A:$A,0)),"ANY")),"REGION MISMATCH","OK")))))))</f>
        <v/>
      </c>
    </row>
    <row r="79" customFormat="false" ht="15" hidden="false" customHeight="false" outlineLevel="0" collapsed="false">
      <c r="M79" s="24" t="str">
        <f aca="false">IF($C79="","",IFERROR(INDEX(Account_Mapping!$C:$C,MATCH($C79&amp;"",Account_Mapping!$A:$A,0))&amp;"",""))</f>
        <v/>
      </c>
      <c r="N79" s="24" t="str">
        <f aca="false">IF($K79&lt;&gt;"",$K79,$M79)</f>
        <v/>
      </c>
      <c r="O79" s="24" t="str">
        <f aca="false">IF($F79="","",IFERROR(INDEX(Counterparties!$C:$C,MATCH($F79&amp;"",Counterparties!$A:$A,0))&amp;"",""))</f>
        <v/>
      </c>
      <c r="P79" s="24" t="str">
        <f aca="false">IF($O79="","",IF($O79="CY","CY",IF(ISNUMBER(MATCH($O79,Lists!$A:$A,0)),"EU","3RD")))</f>
        <v/>
      </c>
      <c r="Q79" s="24" t="str">
        <f aca="false">IF($F79="","N",IFERROR(IF(INDEX(Counterparties!$E:$E,MATCH($F79&amp;"",Counterparties!$A:$A,0))="Y","Y","N"),"N"))</f>
        <v>N</v>
      </c>
      <c r="R79" s="25" t="n">
        <f aca="false">IF(OR($H79="",$H79="EUR"),1,IFERROR(INDEX(FX_Rates!$D:$D,MATCH($H79,FX_Rates!$A:$A,0)),""))</f>
        <v>1</v>
      </c>
      <c r="S79" s="26" t="str">
        <f aca="false">IF(AND($I79="",$J79=""),"",IF($J79&lt;&gt;"",$J79,IF(OR($R79="",$R79=0),"",ROUND($I79/$R79,2))))</f>
        <v/>
      </c>
      <c r="T79" s="24" t="str">
        <f aca="false">IF($N79="","",IFERROR(INDEX(VAT_Codes!$C:$C,MATCH($N79,VAT_Codes!$A:$A,0)),"")&amp;"")</f>
        <v/>
      </c>
      <c r="U79" s="26" t="n">
        <f aca="false">IF(OR($S79="",$T79="",$T79="None"),0,IF($T79="Output",-$S79,$S79))</f>
        <v>0</v>
      </c>
      <c r="V79" s="27" t="n">
        <f aca="false">IF($N79="",0,IFERROR(INDEX(VAT_Codes!$D:$D,MATCH($N79,VAT_Codes!$A:$A,0)),0))</f>
        <v>0</v>
      </c>
      <c r="W79" s="26" t="n">
        <f aca="false">IF($U79=0,0,IF(IFERROR(INDEX(VAT_Codes!$F:$F,MATCH($N79,VAT_Codes!$A:$A,0)),"N")="Y",$U79,IF($L79&lt;&gt;"",ROUND(ABS($L79)/IF(OR($R79="",$R79=0),1,$R79),2)*SIGN($U79),ROUND($U79*$V79,2))))</f>
        <v>0</v>
      </c>
      <c r="X79" s="24" t="str">
        <f aca="false">IF($N79="","",IFERROR(INDEX(VAT_Codes!$H:$H,MATCH($N79,VAT_Codes!$A:$A,0)),"")&amp;"")</f>
        <v/>
      </c>
      <c r="Y79" s="24" t="str">
        <f aca="false">IF($A79="","",(YEAR($A79)-YEAR(Settings!$C$8))*12+MONTH($A79)-MONTH(Settings!$C$8)+1)</f>
        <v/>
      </c>
      <c r="Z79" s="24" t="str">
        <f aca="false">IF(AND($C79="",$I79="",$J79=""),"",IF($N79="","NO VAT CODE",IF($T79="","UNKNOWN VAT CODE",IF($S79="","MISSING FX RATE",IF(OR($A79&lt;Settings!$C$8,$A79&gt;Settings!$C$9),"OUTSIDE PERIOD",IF(AND(IFERROR(INDEX(VAT_Codes!$E:$E,MATCH($N79,VAT_Codes!$A:$A,0)),"ANY")&lt;&gt;"ANY",$P79=""),"MISSING COUNTERPARTY COUNTRY",IF(AND(IFERROR(INDEX(VAT_Codes!$E:$E,MATCH($N79,VAT_Codes!$A:$A,0)),"ANY")&lt;&gt;"ANY",$P79&lt;&gt;IFERROR(INDEX(VAT_Codes!$E:$E,MATCH($N79,VAT_Codes!$A:$A,0)),"ANY")),"REGION MISMATCH","OK")))))))</f>
        <v/>
      </c>
    </row>
    <row r="80" customFormat="false" ht="15" hidden="false" customHeight="false" outlineLevel="0" collapsed="false">
      <c r="M80" s="24" t="str">
        <f aca="false">IF($C80="","",IFERROR(INDEX(Account_Mapping!$C:$C,MATCH($C80&amp;"",Account_Mapping!$A:$A,0))&amp;"",""))</f>
        <v/>
      </c>
      <c r="N80" s="24" t="str">
        <f aca="false">IF($K80&lt;&gt;"",$K80,$M80)</f>
        <v/>
      </c>
      <c r="O80" s="24" t="str">
        <f aca="false">IF($F80="","",IFERROR(INDEX(Counterparties!$C:$C,MATCH($F80&amp;"",Counterparties!$A:$A,0))&amp;"",""))</f>
        <v/>
      </c>
      <c r="P80" s="24" t="str">
        <f aca="false">IF($O80="","",IF($O80="CY","CY",IF(ISNUMBER(MATCH($O80,Lists!$A:$A,0)),"EU","3RD")))</f>
        <v/>
      </c>
      <c r="Q80" s="24" t="str">
        <f aca="false">IF($F80="","N",IFERROR(IF(INDEX(Counterparties!$E:$E,MATCH($F80&amp;"",Counterparties!$A:$A,0))="Y","Y","N"),"N"))</f>
        <v>N</v>
      </c>
      <c r="R80" s="25" t="n">
        <f aca="false">IF(OR($H80="",$H80="EUR"),1,IFERROR(INDEX(FX_Rates!$D:$D,MATCH($H80,FX_Rates!$A:$A,0)),""))</f>
        <v>1</v>
      </c>
      <c r="S80" s="26" t="str">
        <f aca="false">IF(AND($I80="",$J80=""),"",IF($J80&lt;&gt;"",$J80,IF(OR($R80="",$R80=0),"",ROUND($I80/$R80,2))))</f>
        <v/>
      </c>
      <c r="T80" s="24" t="str">
        <f aca="false">IF($N80="","",IFERROR(INDEX(VAT_Codes!$C:$C,MATCH($N80,VAT_Codes!$A:$A,0)),"")&amp;"")</f>
        <v/>
      </c>
      <c r="U80" s="26" t="n">
        <f aca="false">IF(OR($S80="",$T80="",$T80="None"),0,IF($T80="Output",-$S80,$S80))</f>
        <v>0</v>
      </c>
      <c r="V80" s="27" t="n">
        <f aca="false">IF($N80="",0,IFERROR(INDEX(VAT_Codes!$D:$D,MATCH($N80,VAT_Codes!$A:$A,0)),0))</f>
        <v>0</v>
      </c>
      <c r="W80" s="26" t="n">
        <f aca="false">IF($U80=0,0,IF(IFERROR(INDEX(VAT_Codes!$F:$F,MATCH($N80,VAT_Codes!$A:$A,0)),"N")="Y",$U80,IF($L80&lt;&gt;"",ROUND(ABS($L80)/IF(OR($R80="",$R80=0),1,$R80),2)*SIGN($U80),ROUND($U80*$V80,2))))</f>
        <v>0</v>
      </c>
      <c r="X80" s="24" t="str">
        <f aca="false">IF($N80="","",IFERROR(INDEX(VAT_Codes!$H:$H,MATCH($N80,VAT_Codes!$A:$A,0)),"")&amp;"")</f>
        <v/>
      </c>
      <c r="Y80" s="24" t="str">
        <f aca="false">IF($A80="","",(YEAR($A80)-YEAR(Settings!$C$8))*12+MONTH($A80)-MONTH(Settings!$C$8)+1)</f>
        <v/>
      </c>
      <c r="Z80" s="24" t="str">
        <f aca="false">IF(AND($C80="",$I80="",$J80=""),"",IF($N80="","NO VAT CODE",IF($T80="","UNKNOWN VAT CODE",IF($S80="","MISSING FX RATE",IF(OR($A80&lt;Settings!$C$8,$A80&gt;Settings!$C$9),"OUTSIDE PERIOD",IF(AND(IFERROR(INDEX(VAT_Codes!$E:$E,MATCH($N80,VAT_Codes!$A:$A,0)),"ANY")&lt;&gt;"ANY",$P80=""),"MISSING COUNTERPARTY COUNTRY",IF(AND(IFERROR(INDEX(VAT_Codes!$E:$E,MATCH($N80,VAT_Codes!$A:$A,0)),"ANY")&lt;&gt;"ANY",$P80&lt;&gt;IFERROR(INDEX(VAT_Codes!$E:$E,MATCH($N80,VAT_Codes!$A:$A,0)),"ANY")),"REGION MISMATCH","OK")))))))</f>
        <v/>
      </c>
    </row>
    <row r="81" customFormat="false" ht="15" hidden="false" customHeight="false" outlineLevel="0" collapsed="false">
      <c r="M81" s="24" t="str">
        <f aca="false">IF($C81="","",IFERROR(INDEX(Account_Mapping!$C:$C,MATCH($C81&amp;"",Account_Mapping!$A:$A,0))&amp;"",""))</f>
        <v/>
      </c>
      <c r="N81" s="24" t="str">
        <f aca="false">IF($K81&lt;&gt;"",$K81,$M81)</f>
        <v/>
      </c>
      <c r="O81" s="24" t="str">
        <f aca="false">IF($F81="","",IFERROR(INDEX(Counterparties!$C:$C,MATCH($F81&amp;"",Counterparties!$A:$A,0))&amp;"",""))</f>
        <v/>
      </c>
      <c r="P81" s="24" t="str">
        <f aca="false">IF($O81="","",IF($O81="CY","CY",IF(ISNUMBER(MATCH($O81,Lists!$A:$A,0)),"EU","3RD")))</f>
        <v/>
      </c>
      <c r="Q81" s="24" t="str">
        <f aca="false">IF($F81="","N",IFERROR(IF(INDEX(Counterparties!$E:$E,MATCH($F81&amp;"",Counterparties!$A:$A,0))="Y","Y","N"),"N"))</f>
        <v>N</v>
      </c>
      <c r="R81" s="25" t="n">
        <f aca="false">IF(OR($H81="",$H81="EUR"),1,IFERROR(INDEX(FX_Rates!$D:$D,MATCH($H81,FX_Rates!$A:$A,0)),""))</f>
        <v>1</v>
      </c>
      <c r="S81" s="26" t="str">
        <f aca="false">IF(AND($I81="",$J81=""),"",IF($J81&lt;&gt;"",$J81,IF(OR($R81="",$R81=0),"",ROUND($I81/$R81,2))))</f>
        <v/>
      </c>
      <c r="T81" s="24" t="str">
        <f aca="false">IF($N81="","",IFERROR(INDEX(VAT_Codes!$C:$C,MATCH($N81,VAT_Codes!$A:$A,0)),"")&amp;"")</f>
        <v/>
      </c>
      <c r="U81" s="26" t="n">
        <f aca="false">IF(OR($S81="",$T81="",$T81="None"),0,IF($T81="Output",-$S81,$S81))</f>
        <v>0</v>
      </c>
      <c r="V81" s="27" t="n">
        <f aca="false">IF($N81="",0,IFERROR(INDEX(VAT_Codes!$D:$D,MATCH($N81,VAT_Codes!$A:$A,0)),0))</f>
        <v>0</v>
      </c>
      <c r="W81" s="26" t="n">
        <f aca="false">IF($U81=0,0,IF(IFERROR(INDEX(VAT_Codes!$F:$F,MATCH($N81,VAT_Codes!$A:$A,0)),"N")="Y",$U81,IF($L81&lt;&gt;"",ROUND(ABS($L81)/IF(OR($R81="",$R81=0),1,$R81),2)*SIGN($U81),ROUND($U81*$V81,2))))</f>
        <v>0</v>
      </c>
      <c r="X81" s="24" t="str">
        <f aca="false">IF($N81="","",IFERROR(INDEX(VAT_Codes!$H:$H,MATCH($N81,VAT_Codes!$A:$A,0)),"")&amp;"")</f>
        <v/>
      </c>
      <c r="Y81" s="24" t="str">
        <f aca="false">IF($A81="","",(YEAR($A81)-YEAR(Settings!$C$8))*12+MONTH($A81)-MONTH(Settings!$C$8)+1)</f>
        <v/>
      </c>
      <c r="Z81" s="24" t="str">
        <f aca="false">IF(AND($C81="",$I81="",$J81=""),"",IF($N81="","NO VAT CODE",IF($T81="","UNKNOWN VAT CODE",IF($S81="","MISSING FX RATE",IF(OR($A81&lt;Settings!$C$8,$A81&gt;Settings!$C$9),"OUTSIDE PERIOD",IF(AND(IFERROR(INDEX(VAT_Codes!$E:$E,MATCH($N81,VAT_Codes!$A:$A,0)),"ANY")&lt;&gt;"ANY",$P81=""),"MISSING COUNTERPARTY COUNTRY",IF(AND(IFERROR(INDEX(VAT_Codes!$E:$E,MATCH($N81,VAT_Codes!$A:$A,0)),"ANY")&lt;&gt;"ANY",$P81&lt;&gt;IFERROR(INDEX(VAT_Codes!$E:$E,MATCH($N81,VAT_Codes!$A:$A,0)),"ANY")),"REGION MISMATCH","OK")))))))</f>
        <v/>
      </c>
    </row>
    <row r="82" customFormat="false" ht="15" hidden="false" customHeight="false" outlineLevel="0" collapsed="false">
      <c r="M82" s="24" t="str">
        <f aca="false">IF($C82="","",IFERROR(INDEX(Account_Mapping!$C:$C,MATCH($C82&amp;"",Account_Mapping!$A:$A,0))&amp;"",""))</f>
        <v/>
      </c>
      <c r="N82" s="24" t="str">
        <f aca="false">IF($K82&lt;&gt;"",$K82,$M82)</f>
        <v/>
      </c>
      <c r="O82" s="24" t="str">
        <f aca="false">IF($F82="","",IFERROR(INDEX(Counterparties!$C:$C,MATCH($F82&amp;"",Counterparties!$A:$A,0))&amp;"",""))</f>
        <v/>
      </c>
      <c r="P82" s="24" t="str">
        <f aca="false">IF($O82="","",IF($O82="CY","CY",IF(ISNUMBER(MATCH($O82,Lists!$A:$A,0)),"EU","3RD")))</f>
        <v/>
      </c>
      <c r="Q82" s="24" t="str">
        <f aca="false">IF($F82="","N",IFERROR(IF(INDEX(Counterparties!$E:$E,MATCH($F82&amp;"",Counterparties!$A:$A,0))="Y","Y","N"),"N"))</f>
        <v>N</v>
      </c>
      <c r="R82" s="25" t="n">
        <f aca="false">IF(OR($H82="",$H82="EUR"),1,IFERROR(INDEX(FX_Rates!$D:$D,MATCH($H82,FX_Rates!$A:$A,0)),""))</f>
        <v>1</v>
      </c>
      <c r="S82" s="26" t="str">
        <f aca="false">IF(AND($I82="",$J82=""),"",IF($J82&lt;&gt;"",$J82,IF(OR($R82="",$R82=0),"",ROUND($I82/$R82,2))))</f>
        <v/>
      </c>
      <c r="T82" s="24" t="str">
        <f aca="false">IF($N82="","",IFERROR(INDEX(VAT_Codes!$C:$C,MATCH($N82,VAT_Codes!$A:$A,0)),"")&amp;"")</f>
        <v/>
      </c>
      <c r="U82" s="26" t="n">
        <f aca="false">IF(OR($S82="",$T82="",$T82="None"),0,IF($T82="Output",-$S82,$S82))</f>
        <v>0</v>
      </c>
      <c r="V82" s="27" t="n">
        <f aca="false">IF($N82="",0,IFERROR(INDEX(VAT_Codes!$D:$D,MATCH($N82,VAT_Codes!$A:$A,0)),0))</f>
        <v>0</v>
      </c>
      <c r="W82" s="26" t="n">
        <f aca="false">IF($U82=0,0,IF(IFERROR(INDEX(VAT_Codes!$F:$F,MATCH($N82,VAT_Codes!$A:$A,0)),"N")="Y",$U82,IF($L82&lt;&gt;"",ROUND(ABS($L82)/IF(OR($R82="",$R82=0),1,$R82),2)*SIGN($U82),ROUND($U82*$V82,2))))</f>
        <v>0</v>
      </c>
      <c r="X82" s="24" t="str">
        <f aca="false">IF($N82="","",IFERROR(INDEX(VAT_Codes!$H:$H,MATCH($N82,VAT_Codes!$A:$A,0)),"")&amp;"")</f>
        <v/>
      </c>
      <c r="Y82" s="24" t="str">
        <f aca="false">IF($A82="","",(YEAR($A82)-YEAR(Settings!$C$8))*12+MONTH($A82)-MONTH(Settings!$C$8)+1)</f>
        <v/>
      </c>
      <c r="Z82" s="24" t="str">
        <f aca="false">IF(AND($C82="",$I82="",$J82=""),"",IF($N82="","NO VAT CODE",IF($T82="","UNKNOWN VAT CODE",IF($S82="","MISSING FX RATE",IF(OR($A82&lt;Settings!$C$8,$A82&gt;Settings!$C$9),"OUTSIDE PERIOD",IF(AND(IFERROR(INDEX(VAT_Codes!$E:$E,MATCH($N82,VAT_Codes!$A:$A,0)),"ANY")&lt;&gt;"ANY",$P82=""),"MISSING COUNTERPARTY COUNTRY",IF(AND(IFERROR(INDEX(VAT_Codes!$E:$E,MATCH($N82,VAT_Codes!$A:$A,0)),"ANY")&lt;&gt;"ANY",$P82&lt;&gt;IFERROR(INDEX(VAT_Codes!$E:$E,MATCH($N82,VAT_Codes!$A:$A,0)),"ANY")),"REGION MISMATCH","OK")))))))</f>
        <v/>
      </c>
    </row>
    <row r="83" customFormat="false" ht="15" hidden="false" customHeight="false" outlineLevel="0" collapsed="false">
      <c r="M83" s="24" t="str">
        <f aca="false">IF($C83="","",IFERROR(INDEX(Account_Mapping!$C:$C,MATCH($C83&amp;"",Account_Mapping!$A:$A,0))&amp;"",""))</f>
        <v/>
      </c>
      <c r="N83" s="24" t="str">
        <f aca="false">IF($K83&lt;&gt;"",$K83,$M83)</f>
        <v/>
      </c>
      <c r="O83" s="24" t="str">
        <f aca="false">IF($F83="","",IFERROR(INDEX(Counterparties!$C:$C,MATCH($F83&amp;"",Counterparties!$A:$A,0))&amp;"",""))</f>
        <v/>
      </c>
      <c r="P83" s="24" t="str">
        <f aca="false">IF($O83="","",IF($O83="CY","CY",IF(ISNUMBER(MATCH($O83,Lists!$A:$A,0)),"EU","3RD")))</f>
        <v/>
      </c>
      <c r="Q83" s="24" t="str">
        <f aca="false">IF($F83="","N",IFERROR(IF(INDEX(Counterparties!$E:$E,MATCH($F83&amp;"",Counterparties!$A:$A,0))="Y","Y","N"),"N"))</f>
        <v>N</v>
      </c>
      <c r="R83" s="25" t="n">
        <f aca="false">IF(OR($H83="",$H83="EUR"),1,IFERROR(INDEX(FX_Rates!$D:$D,MATCH($H83,FX_Rates!$A:$A,0)),""))</f>
        <v>1</v>
      </c>
      <c r="S83" s="26" t="str">
        <f aca="false">IF(AND($I83="",$J83=""),"",IF($J83&lt;&gt;"",$J83,IF(OR($R83="",$R83=0),"",ROUND($I83/$R83,2))))</f>
        <v/>
      </c>
      <c r="T83" s="24" t="str">
        <f aca="false">IF($N83="","",IFERROR(INDEX(VAT_Codes!$C:$C,MATCH($N83,VAT_Codes!$A:$A,0)),"")&amp;"")</f>
        <v/>
      </c>
      <c r="U83" s="26" t="n">
        <f aca="false">IF(OR($S83="",$T83="",$T83="None"),0,IF($T83="Output",-$S83,$S83))</f>
        <v>0</v>
      </c>
      <c r="V83" s="27" t="n">
        <f aca="false">IF($N83="",0,IFERROR(INDEX(VAT_Codes!$D:$D,MATCH($N83,VAT_Codes!$A:$A,0)),0))</f>
        <v>0</v>
      </c>
      <c r="W83" s="26" t="n">
        <f aca="false">IF($U83=0,0,IF(IFERROR(INDEX(VAT_Codes!$F:$F,MATCH($N83,VAT_Codes!$A:$A,0)),"N")="Y",$U83,IF($L83&lt;&gt;"",ROUND(ABS($L83)/IF(OR($R83="",$R83=0),1,$R83),2)*SIGN($U83),ROUND($U83*$V83,2))))</f>
        <v>0</v>
      </c>
      <c r="X83" s="24" t="str">
        <f aca="false">IF($N83="","",IFERROR(INDEX(VAT_Codes!$H:$H,MATCH($N83,VAT_Codes!$A:$A,0)),"")&amp;"")</f>
        <v/>
      </c>
      <c r="Y83" s="24" t="str">
        <f aca="false">IF($A83="","",(YEAR($A83)-YEAR(Settings!$C$8))*12+MONTH($A83)-MONTH(Settings!$C$8)+1)</f>
        <v/>
      </c>
      <c r="Z83" s="24" t="str">
        <f aca="false">IF(AND($C83="",$I83="",$J83=""),"",IF($N83="","NO VAT CODE",IF($T83="","UNKNOWN VAT CODE",IF($S83="","MISSING FX RATE",IF(OR($A83&lt;Settings!$C$8,$A83&gt;Settings!$C$9),"OUTSIDE PERIOD",IF(AND(IFERROR(INDEX(VAT_Codes!$E:$E,MATCH($N83,VAT_Codes!$A:$A,0)),"ANY")&lt;&gt;"ANY",$P83=""),"MISSING COUNTERPARTY COUNTRY",IF(AND(IFERROR(INDEX(VAT_Codes!$E:$E,MATCH($N83,VAT_Codes!$A:$A,0)),"ANY")&lt;&gt;"ANY",$P83&lt;&gt;IFERROR(INDEX(VAT_Codes!$E:$E,MATCH($N83,VAT_Codes!$A:$A,0)),"ANY")),"REGION MISMATCH","OK")))))))</f>
        <v/>
      </c>
    </row>
    <row r="84" customFormat="false" ht="15" hidden="false" customHeight="false" outlineLevel="0" collapsed="false">
      <c r="M84" s="24" t="str">
        <f aca="false">IF($C84="","",IFERROR(INDEX(Account_Mapping!$C:$C,MATCH($C84&amp;"",Account_Mapping!$A:$A,0))&amp;"",""))</f>
        <v/>
      </c>
      <c r="N84" s="24" t="str">
        <f aca="false">IF($K84&lt;&gt;"",$K84,$M84)</f>
        <v/>
      </c>
      <c r="O84" s="24" t="str">
        <f aca="false">IF($F84="","",IFERROR(INDEX(Counterparties!$C:$C,MATCH($F84&amp;"",Counterparties!$A:$A,0))&amp;"",""))</f>
        <v/>
      </c>
      <c r="P84" s="24" t="str">
        <f aca="false">IF($O84="","",IF($O84="CY","CY",IF(ISNUMBER(MATCH($O84,Lists!$A:$A,0)),"EU","3RD")))</f>
        <v/>
      </c>
      <c r="Q84" s="24" t="str">
        <f aca="false">IF($F84="","N",IFERROR(IF(INDEX(Counterparties!$E:$E,MATCH($F84&amp;"",Counterparties!$A:$A,0))="Y","Y","N"),"N"))</f>
        <v>N</v>
      </c>
      <c r="R84" s="25" t="n">
        <f aca="false">IF(OR($H84="",$H84="EUR"),1,IFERROR(INDEX(FX_Rates!$D:$D,MATCH($H84,FX_Rates!$A:$A,0)),""))</f>
        <v>1</v>
      </c>
      <c r="S84" s="26" t="str">
        <f aca="false">IF(AND($I84="",$J84=""),"",IF($J84&lt;&gt;"",$J84,IF(OR($R84="",$R84=0),"",ROUND($I84/$R84,2))))</f>
        <v/>
      </c>
      <c r="T84" s="24" t="str">
        <f aca="false">IF($N84="","",IFERROR(INDEX(VAT_Codes!$C:$C,MATCH($N84,VAT_Codes!$A:$A,0)),"")&amp;"")</f>
        <v/>
      </c>
      <c r="U84" s="26" t="n">
        <f aca="false">IF(OR($S84="",$T84="",$T84="None"),0,IF($T84="Output",-$S84,$S84))</f>
        <v>0</v>
      </c>
      <c r="V84" s="27" t="n">
        <f aca="false">IF($N84="",0,IFERROR(INDEX(VAT_Codes!$D:$D,MATCH($N84,VAT_Codes!$A:$A,0)),0))</f>
        <v>0</v>
      </c>
      <c r="W84" s="26" t="n">
        <f aca="false">IF($U84=0,0,IF(IFERROR(INDEX(VAT_Codes!$F:$F,MATCH($N84,VAT_Codes!$A:$A,0)),"N")="Y",$U84,IF($L84&lt;&gt;"",ROUND(ABS($L84)/IF(OR($R84="",$R84=0),1,$R84),2)*SIGN($U84),ROUND($U84*$V84,2))))</f>
        <v>0</v>
      </c>
      <c r="X84" s="24" t="str">
        <f aca="false">IF($N84="","",IFERROR(INDEX(VAT_Codes!$H:$H,MATCH($N84,VAT_Codes!$A:$A,0)),"")&amp;"")</f>
        <v/>
      </c>
      <c r="Y84" s="24" t="str">
        <f aca="false">IF($A84="","",(YEAR($A84)-YEAR(Settings!$C$8))*12+MONTH($A84)-MONTH(Settings!$C$8)+1)</f>
        <v/>
      </c>
      <c r="Z84" s="24" t="str">
        <f aca="false">IF(AND($C84="",$I84="",$J84=""),"",IF($N84="","NO VAT CODE",IF($T84="","UNKNOWN VAT CODE",IF($S84="","MISSING FX RATE",IF(OR($A84&lt;Settings!$C$8,$A84&gt;Settings!$C$9),"OUTSIDE PERIOD",IF(AND(IFERROR(INDEX(VAT_Codes!$E:$E,MATCH($N84,VAT_Codes!$A:$A,0)),"ANY")&lt;&gt;"ANY",$P84=""),"MISSING COUNTERPARTY COUNTRY",IF(AND(IFERROR(INDEX(VAT_Codes!$E:$E,MATCH($N84,VAT_Codes!$A:$A,0)),"ANY")&lt;&gt;"ANY",$P84&lt;&gt;IFERROR(INDEX(VAT_Codes!$E:$E,MATCH($N84,VAT_Codes!$A:$A,0)),"ANY")),"REGION MISMATCH","OK")))))))</f>
        <v/>
      </c>
    </row>
    <row r="85" customFormat="false" ht="15" hidden="false" customHeight="false" outlineLevel="0" collapsed="false">
      <c r="M85" s="24" t="str">
        <f aca="false">IF($C85="","",IFERROR(INDEX(Account_Mapping!$C:$C,MATCH($C85&amp;"",Account_Mapping!$A:$A,0))&amp;"",""))</f>
        <v/>
      </c>
      <c r="N85" s="24" t="str">
        <f aca="false">IF($K85&lt;&gt;"",$K85,$M85)</f>
        <v/>
      </c>
      <c r="O85" s="24" t="str">
        <f aca="false">IF($F85="","",IFERROR(INDEX(Counterparties!$C:$C,MATCH($F85&amp;"",Counterparties!$A:$A,0))&amp;"",""))</f>
        <v/>
      </c>
      <c r="P85" s="24" t="str">
        <f aca="false">IF($O85="","",IF($O85="CY","CY",IF(ISNUMBER(MATCH($O85,Lists!$A:$A,0)),"EU","3RD")))</f>
        <v/>
      </c>
      <c r="Q85" s="24" t="str">
        <f aca="false">IF($F85="","N",IFERROR(IF(INDEX(Counterparties!$E:$E,MATCH($F85&amp;"",Counterparties!$A:$A,0))="Y","Y","N"),"N"))</f>
        <v>N</v>
      </c>
      <c r="R85" s="25" t="n">
        <f aca="false">IF(OR($H85="",$H85="EUR"),1,IFERROR(INDEX(FX_Rates!$D:$D,MATCH($H85,FX_Rates!$A:$A,0)),""))</f>
        <v>1</v>
      </c>
      <c r="S85" s="26" t="str">
        <f aca="false">IF(AND($I85="",$J85=""),"",IF($J85&lt;&gt;"",$J85,IF(OR($R85="",$R85=0),"",ROUND($I85/$R85,2))))</f>
        <v/>
      </c>
      <c r="T85" s="24" t="str">
        <f aca="false">IF($N85="","",IFERROR(INDEX(VAT_Codes!$C:$C,MATCH($N85,VAT_Codes!$A:$A,0)),"")&amp;"")</f>
        <v/>
      </c>
      <c r="U85" s="26" t="n">
        <f aca="false">IF(OR($S85="",$T85="",$T85="None"),0,IF($T85="Output",-$S85,$S85))</f>
        <v>0</v>
      </c>
      <c r="V85" s="27" t="n">
        <f aca="false">IF($N85="",0,IFERROR(INDEX(VAT_Codes!$D:$D,MATCH($N85,VAT_Codes!$A:$A,0)),0))</f>
        <v>0</v>
      </c>
      <c r="W85" s="26" t="n">
        <f aca="false">IF($U85=0,0,IF(IFERROR(INDEX(VAT_Codes!$F:$F,MATCH($N85,VAT_Codes!$A:$A,0)),"N")="Y",$U85,IF($L85&lt;&gt;"",ROUND(ABS($L85)/IF(OR($R85="",$R85=0),1,$R85),2)*SIGN($U85),ROUND($U85*$V85,2))))</f>
        <v>0</v>
      </c>
      <c r="X85" s="24" t="str">
        <f aca="false">IF($N85="","",IFERROR(INDEX(VAT_Codes!$H:$H,MATCH($N85,VAT_Codes!$A:$A,0)),"")&amp;"")</f>
        <v/>
      </c>
      <c r="Y85" s="24" t="str">
        <f aca="false">IF($A85="","",(YEAR($A85)-YEAR(Settings!$C$8))*12+MONTH($A85)-MONTH(Settings!$C$8)+1)</f>
        <v/>
      </c>
      <c r="Z85" s="24" t="str">
        <f aca="false">IF(AND($C85="",$I85="",$J85=""),"",IF($N85="","NO VAT CODE",IF($T85="","UNKNOWN VAT CODE",IF($S85="","MISSING FX RATE",IF(OR($A85&lt;Settings!$C$8,$A85&gt;Settings!$C$9),"OUTSIDE PERIOD",IF(AND(IFERROR(INDEX(VAT_Codes!$E:$E,MATCH($N85,VAT_Codes!$A:$A,0)),"ANY")&lt;&gt;"ANY",$P85=""),"MISSING COUNTERPARTY COUNTRY",IF(AND(IFERROR(INDEX(VAT_Codes!$E:$E,MATCH($N85,VAT_Codes!$A:$A,0)),"ANY")&lt;&gt;"ANY",$P85&lt;&gt;IFERROR(INDEX(VAT_Codes!$E:$E,MATCH($N85,VAT_Codes!$A:$A,0)),"ANY")),"REGION MISMATCH","OK")))))))</f>
        <v/>
      </c>
    </row>
    <row r="86" customFormat="false" ht="15" hidden="false" customHeight="false" outlineLevel="0" collapsed="false">
      <c r="M86" s="24" t="str">
        <f aca="false">IF($C86="","",IFERROR(INDEX(Account_Mapping!$C:$C,MATCH($C86&amp;"",Account_Mapping!$A:$A,0))&amp;"",""))</f>
        <v/>
      </c>
      <c r="N86" s="24" t="str">
        <f aca="false">IF($K86&lt;&gt;"",$K86,$M86)</f>
        <v/>
      </c>
      <c r="O86" s="24" t="str">
        <f aca="false">IF($F86="","",IFERROR(INDEX(Counterparties!$C:$C,MATCH($F86&amp;"",Counterparties!$A:$A,0))&amp;"",""))</f>
        <v/>
      </c>
      <c r="P86" s="24" t="str">
        <f aca="false">IF($O86="","",IF($O86="CY","CY",IF(ISNUMBER(MATCH($O86,Lists!$A:$A,0)),"EU","3RD")))</f>
        <v/>
      </c>
      <c r="Q86" s="24" t="str">
        <f aca="false">IF($F86="","N",IFERROR(IF(INDEX(Counterparties!$E:$E,MATCH($F86&amp;"",Counterparties!$A:$A,0))="Y","Y","N"),"N"))</f>
        <v>N</v>
      </c>
      <c r="R86" s="25" t="n">
        <f aca="false">IF(OR($H86="",$H86="EUR"),1,IFERROR(INDEX(FX_Rates!$D:$D,MATCH($H86,FX_Rates!$A:$A,0)),""))</f>
        <v>1</v>
      </c>
      <c r="S86" s="26" t="str">
        <f aca="false">IF(AND($I86="",$J86=""),"",IF($J86&lt;&gt;"",$J86,IF(OR($R86="",$R86=0),"",ROUND($I86/$R86,2))))</f>
        <v/>
      </c>
      <c r="T86" s="24" t="str">
        <f aca="false">IF($N86="","",IFERROR(INDEX(VAT_Codes!$C:$C,MATCH($N86,VAT_Codes!$A:$A,0)),"")&amp;"")</f>
        <v/>
      </c>
      <c r="U86" s="26" t="n">
        <f aca="false">IF(OR($S86="",$T86="",$T86="None"),0,IF($T86="Output",-$S86,$S86))</f>
        <v>0</v>
      </c>
      <c r="V86" s="27" t="n">
        <f aca="false">IF($N86="",0,IFERROR(INDEX(VAT_Codes!$D:$D,MATCH($N86,VAT_Codes!$A:$A,0)),0))</f>
        <v>0</v>
      </c>
      <c r="W86" s="26" t="n">
        <f aca="false">IF($U86=0,0,IF(IFERROR(INDEX(VAT_Codes!$F:$F,MATCH($N86,VAT_Codes!$A:$A,0)),"N")="Y",$U86,IF($L86&lt;&gt;"",ROUND(ABS($L86)/IF(OR($R86="",$R86=0),1,$R86),2)*SIGN($U86),ROUND($U86*$V86,2))))</f>
        <v>0</v>
      </c>
      <c r="X86" s="24" t="str">
        <f aca="false">IF($N86="","",IFERROR(INDEX(VAT_Codes!$H:$H,MATCH($N86,VAT_Codes!$A:$A,0)),"")&amp;"")</f>
        <v/>
      </c>
      <c r="Y86" s="24" t="str">
        <f aca="false">IF($A86="","",(YEAR($A86)-YEAR(Settings!$C$8))*12+MONTH($A86)-MONTH(Settings!$C$8)+1)</f>
        <v/>
      </c>
      <c r="Z86" s="24" t="str">
        <f aca="false">IF(AND($C86="",$I86="",$J86=""),"",IF($N86="","NO VAT CODE",IF($T86="","UNKNOWN VAT CODE",IF($S86="","MISSING FX RATE",IF(OR($A86&lt;Settings!$C$8,$A86&gt;Settings!$C$9),"OUTSIDE PERIOD",IF(AND(IFERROR(INDEX(VAT_Codes!$E:$E,MATCH($N86,VAT_Codes!$A:$A,0)),"ANY")&lt;&gt;"ANY",$P86=""),"MISSING COUNTERPARTY COUNTRY",IF(AND(IFERROR(INDEX(VAT_Codes!$E:$E,MATCH($N86,VAT_Codes!$A:$A,0)),"ANY")&lt;&gt;"ANY",$P86&lt;&gt;IFERROR(INDEX(VAT_Codes!$E:$E,MATCH($N86,VAT_Codes!$A:$A,0)),"ANY")),"REGION MISMATCH","OK")))))))</f>
        <v/>
      </c>
    </row>
    <row r="87" customFormat="false" ht="15" hidden="false" customHeight="false" outlineLevel="0" collapsed="false">
      <c r="M87" s="24" t="str">
        <f aca="false">IF($C87="","",IFERROR(INDEX(Account_Mapping!$C:$C,MATCH($C87&amp;"",Account_Mapping!$A:$A,0))&amp;"",""))</f>
        <v/>
      </c>
      <c r="N87" s="24" t="str">
        <f aca="false">IF($K87&lt;&gt;"",$K87,$M87)</f>
        <v/>
      </c>
      <c r="O87" s="24" t="str">
        <f aca="false">IF($F87="","",IFERROR(INDEX(Counterparties!$C:$C,MATCH($F87&amp;"",Counterparties!$A:$A,0))&amp;"",""))</f>
        <v/>
      </c>
      <c r="P87" s="24" t="str">
        <f aca="false">IF($O87="","",IF($O87="CY","CY",IF(ISNUMBER(MATCH($O87,Lists!$A:$A,0)),"EU","3RD")))</f>
        <v/>
      </c>
      <c r="Q87" s="24" t="str">
        <f aca="false">IF($F87="","N",IFERROR(IF(INDEX(Counterparties!$E:$E,MATCH($F87&amp;"",Counterparties!$A:$A,0))="Y","Y","N"),"N"))</f>
        <v>N</v>
      </c>
      <c r="R87" s="25" t="n">
        <f aca="false">IF(OR($H87="",$H87="EUR"),1,IFERROR(INDEX(FX_Rates!$D:$D,MATCH($H87,FX_Rates!$A:$A,0)),""))</f>
        <v>1</v>
      </c>
      <c r="S87" s="26" t="str">
        <f aca="false">IF(AND($I87="",$J87=""),"",IF($J87&lt;&gt;"",$J87,IF(OR($R87="",$R87=0),"",ROUND($I87/$R87,2))))</f>
        <v/>
      </c>
      <c r="T87" s="24" t="str">
        <f aca="false">IF($N87="","",IFERROR(INDEX(VAT_Codes!$C:$C,MATCH($N87,VAT_Codes!$A:$A,0)),"")&amp;"")</f>
        <v/>
      </c>
      <c r="U87" s="26" t="n">
        <f aca="false">IF(OR($S87="",$T87="",$T87="None"),0,IF($T87="Output",-$S87,$S87))</f>
        <v>0</v>
      </c>
      <c r="V87" s="27" t="n">
        <f aca="false">IF($N87="",0,IFERROR(INDEX(VAT_Codes!$D:$D,MATCH($N87,VAT_Codes!$A:$A,0)),0))</f>
        <v>0</v>
      </c>
      <c r="W87" s="26" t="n">
        <f aca="false">IF($U87=0,0,IF(IFERROR(INDEX(VAT_Codes!$F:$F,MATCH($N87,VAT_Codes!$A:$A,0)),"N")="Y",$U87,IF($L87&lt;&gt;"",ROUND(ABS($L87)/IF(OR($R87="",$R87=0),1,$R87),2)*SIGN($U87),ROUND($U87*$V87,2))))</f>
        <v>0</v>
      </c>
      <c r="X87" s="24" t="str">
        <f aca="false">IF($N87="","",IFERROR(INDEX(VAT_Codes!$H:$H,MATCH($N87,VAT_Codes!$A:$A,0)),"")&amp;"")</f>
        <v/>
      </c>
      <c r="Y87" s="24" t="str">
        <f aca="false">IF($A87="","",(YEAR($A87)-YEAR(Settings!$C$8))*12+MONTH($A87)-MONTH(Settings!$C$8)+1)</f>
        <v/>
      </c>
      <c r="Z87" s="24" t="str">
        <f aca="false">IF(AND($C87="",$I87="",$J87=""),"",IF($N87="","NO VAT CODE",IF($T87="","UNKNOWN VAT CODE",IF($S87="","MISSING FX RATE",IF(OR($A87&lt;Settings!$C$8,$A87&gt;Settings!$C$9),"OUTSIDE PERIOD",IF(AND(IFERROR(INDEX(VAT_Codes!$E:$E,MATCH($N87,VAT_Codes!$A:$A,0)),"ANY")&lt;&gt;"ANY",$P87=""),"MISSING COUNTERPARTY COUNTRY",IF(AND(IFERROR(INDEX(VAT_Codes!$E:$E,MATCH($N87,VAT_Codes!$A:$A,0)),"ANY")&lt;&gt;"ANY",$P87&lt;&gt;IFERROR(INDEX(VAT_Codes!$E:$E,MATCH($N87,VAT_Codes!$A:$A,0)),"ANY")),"REGION MISMATCH","OK")))))))</f>
        <v/>
      </c>
    </row>
    <row r="88" customFormat="false" ht="15" hidden="false" customHeight="false" outlineLevel="0" collapsed="false">
      <c r="M88" s="24" t="str">
        <f aca="false">IF($C88="","",IFERROR(INDEX(Account_Mapping!$C:$C,MATCH($C88&amp;"",Account_Mapping!$A:$A,0))&amp;"",""))</f>
        <v/>
      </c>
      <c r="N88" s="24" t="str">
        <f aca="false">IF($K88&lt;&gt;"",$K88,$M88)</f>
        <v/>
      </c>
      <c r="O88" s="24" t="str">
        <f aca="false">IF($F88="","",IFERROR(INDEX(Counterparties!$C:$C,MATCH($F88&amp;"",Counterparties!$A:$A,0))&amp;"",""))</f>
        <v/>
      </c>
      <c r="P88" s="24" t="str">
        <f aca="false">IF($O88="","",IF($O88="CY","CY",IF(ISNUMBER(MATCH($O88,Lists!$A:$A,0)),"EU","3RD")))</f>
        <v/>
      </c>
      <c r="Q88" s="24" t="str">
        <f aca="false">IF($F88="","N",IFERROR(IF(INDEX(Counterparties!$E:$E,MATCH($F88&amp;"",Counterparties!$A:$A,0))="Y","Y","N"),"N"))</f>
        <v>N</v>
      </c>
      <c r="R88" s="25" t="n">
        <f aca="false">IF(OR($H88="",$H88="EUR"),1,IFERROR(INDEX(FX_Rates!$D:$D,MATCH($H88,FX_Rates!$A:$A,0)),""))</f>
        <v>1</v>
      </c>
      <c r="S88" s="26" t="str">
        <f aca="false">IF(AND($I88="",$J88=""),"",IF($J88&lt;&gt;"",$J88,IF(OR($R88="",$R88=0),"",ROUND($I88/$R88,2))))</f>
        <v/>
      </c>
      <c r="T88" s="24" t="str">
        <f aca="false">IF($N88="","",IFERROR(INDEX(VAT_Codes!$C:$C,MATCH($N88,VAT_Codes!$A:$A,0)),"")&amp;"")</f>
        <v/>
      </c>
      <c r="U88" s="26" t="n">
        <f aca="false">IF(OR($S88="",$T88="",$T88="None"),0,IF($T88="Output",-$S88,$S88))</f>
        <v>0</v>
      </c>
      <c r="V88" s="27" t="n">
        <f aca="false">IF($N88="",0,IFERROR(INDEX(VAT_Codes!$D:$D,MATCH($N88,VAT_Codes!$A:$A,0)),0))</f>
        <v>0</v>
      </c>
      <c r="W88" s="26" t="n">
        <f aca="false">IF($U88=0,0,IF(IFERROR(INDEX(VAT_Codes!$F:$F,MATCH($N88,VAT_Codes!$A:$A,0)),"N")="Y",$U88,IF($L88&lt;&gt;"",ROUND(ABS($L88)/IF(OR($R88="",$R88=0),1,$R88),2)*SIGN($U88),ROUND($U88*$V88,2))))</f>
        <v>0</v>
      </c>
      <c r="X88" s="24" t="str">
        <f aca="false">IF($N88="","",IFERROR(INDEX(VAT_Codes!$H:$H,MATCH($N88,VAT_Codes!$A:$A,0)),"")&amp;"")</f>
        <v/>
      </c>
      <c r="Y88" s="24" t="str">
        <f aca="false">IF($A88="","",(YEAR($A88)-YEAR(Settings!$C$8))*12+MONTH($A88)-MONTH(Settings!$C$8)+1)</f>
        <v/>
      </c>
      <c r="Z88" s="24" t="str">
        <f aca="false">IF(AND($C88="",$I88="",$J88=""),"",IF($N88="","NO VAT CODE",IF($T88="","UNKNOWN VAT CODE",IF($S88="","MISSING FX RATE",IF(OR($A88&lt;Settings!$C$8,$A88&gt;Settings!$C$9),"OUTSIDE PERIOD",IF(AND(IFERROR(INDEX(VAT_Codes!$E:$E,MATCH($N88,VAT_Codes!$A:$A,0)),"ANY")&lt;&gt;"ANY",$P88=""),"MISSING COUNTERPARTY COUNTRY",IF(AND(IFERROR(INDEX(VAT_Codes!$E:$E,MATCH($N88,VAT_Codes!$A:$A,0)),"ANY")&lt;&gt;"ANY",$P88&lt;&gt;IFERROR(INDEX(VAT_Codes!$E:$E,MATCH($N88,VAT_Codes!$A:$A,0)),"ANY")),"REGION MISMATCH","OK")))))))</f>
        <v/>
      </c>
    </row>
    <row r="89" customFormat="false" ht="15" hidden="false" customHeight="false" outlineLevel="0" collapsed="false">
      <c r="M89" s="24" t="str">
        <f aca="false">IF($C89="","",IFERROR(INDEX(Account_Mapping!$C:$C,MATCH($C89&amp;"",Account_Mapping!$A:$A,0))&amp;"",""))</f>
        <v/>
      </c>
      <c r="N89" s="24" t="str">
        <f aca="false">IF($K89&lt;&gt;"",$K89,$M89)</f>
        <v/>
      </c>
      <c r="O89" s="24" t="str">
        <f aca="false">IF($F89="","",IFERROR(INDEX(Counterparties!$C:$C,MATCH($F89&amp;"",Counterparties!$A:$A,0))&amp;"",""))</f>
        <v/>
      </c>
      <c r="P89" s="24" t="str">
        <f aca="false">IF($O89="","",IF($O89="CY","CY",IF(ISNUMBER(MATCH($O89,Lists!$A:$A,0)),"EU","3RD")))</f>
        <v/>
      </c>
      <c r="Q89" s="24" t="str">
        <f aca="false">IF($F89="","N",IFERROR(IF(INDEX(Counterparties!$E:$E,MATCH($F89&amp;"",Counterparties!$A:$A,0))="Y","Y","N"),"N"))</f>
        <v>N</v>
      </c>
      <c r="R89" s="25" t="n">
        <f aca="false">IF(OR($H89="",$H89="EUR"),1,IFERROR(INDEX(FX_Rates!$D:$D,MATCH($H89,FX_Rates!$A:$A,0)),""))</f>
        <v>1</v>
      </c>
      <c r="S89" s="26" t="str">
        <f aca="false">IF(AND($I89="",$J89=""),"",IF($J89&lt;&gt;"",$J89,IF(OR($R89="",$R89=0),"",ROUND($I89/$R89,2))))</f>
        <v/>
      </c>
      <c r="T89" s="24" t="str">
        <f aca="false">IF($N89="","",IFERROR(INDEX(VAT_Codes!$C:$C,MATCH($N89,VAT_Codes!$A:$A,0)),"")&amp;"")</f>
        <v/>
      </c>
      <c r="U89" s="26" t="n">
        <f aca="false">IF(OR($S89="",$T89="",$T89="None"),0,IF($T89="Output",-$S89,$S89))</f>
        <v>0</v>
      </c>
      <c r="V89" s="27" t="n">
        <f aca="false">IF($N89="",0,IFERROR(INDEX(VAT_Codes!$D:$D,MATCH($N89,VAT_Codes!$A:$A,0)),0))</f>
        <v>0</v>
      </c>
      <c r="W89" s="26" t="n">
        <f aca="false">IF($U89=0,0,IF(IFERROR(INDEX(VAT_Codes!$F:$F,MATCH($N89,VAT_Codes!$A:$A,0)),"N")="Y",$U89,IF($L89&lt;&gt;"",ROUND(ABS($L89)/IF(OR($R89="",$R89=0),1,$R89),2)*SIGN($U89),ROUND($U89*$V89,2))))</f>
        <v>0</v>
      </c>
      <c r="X89" s="24" t="str">
        <f aca="false">IF($N89="","",IFERROR(INDEX(VAT_Codes!$H:$H,MATCH($N89,VAT_Codes!$A:$A,0)),"")&amp;"")</f>
        <v/>
      </c>
      <c r="Y89" s="24" t="str">
        <f aca="false">IF($A89="","",(YEAR($A89)-YEAR(Settings!$C$8))*12+MONTH($A89)-MONTH(Settings!$C$8)+1)</f>
        <v/>
      </c>
      <c r="Z89" s="24" t="str">
        <f aca="false">IF(AND($C89="",$I89="",$J89=""),"",IF($N89="","NO VAT CODE",IF($T89="","UNKNOWN VAT CODE",IF($S89="","MISSING FX RATE",IF(OR($A89&lt;Settings!$C$8,$A89&gt;Settings!$C$9),"OUTSIDE PERIOD",IF(AND(IFERROR(INDEX(VAT_Codes!$E:$E,MATCH($N89,VAT_Codes!$A:$A,0)),"ANY")&lt;&gt;"ANY",$P89=""),"MISSING COUNTERPARTY COUNTRY",IF(AND(IFERROR(INDEX(VAT_Codes!$E:$E,MATCH($N89,VAT_Codes!$A:$A,0)),"ANY")&lt;&gt;"ANY",$P89&lt;&gt;IFERROR(INDEX(VAT_Codes!$E:$E,MATCH($N89,VAT_Codes!$A:$A,0)),"ANY")),"REGION MISMATCH","OK")))))))</f>
        <v/>
      </c>
    </row>
    <row r="90" customFormat="false" ht="15" hidden="false" customHeight="false" outlineLevel="0" collapsed="false">
      <c r="M90" s="24" t="str">
        <f aca="false">IF($C90="","",IFERROR(INDEX(Account_Mapping!$C:$C,MATCH($C90&amp;"",Account_Mapping!$A:$A,0))&amp;"",""))</f>
        <v/>
      </c>
      <c r="N90" s="24" t="str">
        <f aca="false">IF($K90&lt;&gt;"",$K90,$M90)</f>
        <v/>
      </c>
      <c r="O90" s="24" t="str">
        <f aca="false">IF($F90="","",IFERROR(INDEX(Counterparties!$C:$C,MATCH($F90&amp;"",Counterparties!$A:$A,0))&amp;"",""))</f>
        <v/>
      </c>
      <c r="P90" s="24" t="str">
        <f aca="false">IF($O90="","",IF($O90="CY","CY",IF(ISNUMBER(MATCH($O90,Lists!$A:$A,0)),"EU","3RD")))</f>
        <v/>
      </c>
      <c r="Q90" s="24" t="str">
        <f aca="false">IF($F90="","N",IFERROR(IF(INDEX(Counterparties!$E:$E,MATCH($F90&amp;"",Counterparties!$A:$A,0))="Y","Y","N"),"N"))</f>
        <v>N</v>
      </c>
      <c r="R90" s="25" t="n">
        <f aca="false">IF(OR($H90="",$H90="EUR"),1,IFERROR(INDEX(FX_Rates!$D:$D,MATCH($H90,FX_Rates!$A:$A,0)),""))</f>
        <v>1</v>
      </c>
      <c r="S90" s="26" t="str">
        <f aca="false">IF(AND($I90="",$J90=""),"",IF($J90&lt;&gt;"",$J90,IF(OR($R90="",$R90=0),"",ROUND($I90/$R90,2))))</f>
        <v/>
      </c>
      <c r="T90" s="24" t="str">
        <f aca="false">IF($N90="","",IFERROR(INDEX(VAT_Codes!$C:$C,MATCH($N90,VAT_Codes!$A:$A,0)),"")&amp;"")</f>
        <v/>
      </c>
      <c r="U90" s="26" t="n">
        <f aca="false">IF(OR($S90="",$T90="",$T90="None"),0,IF($T90="Output",-$S90,$S90))</f>
        <v>0</v>
      </c>
      <c r="V90" s="27" t="n">
        <f aca="false">IF($N90="",0,IFERROR(INDEX(VAT_Codes!$D:$D,MATCH($N90,VAT_Codes!$A:$A,0)),0))</f>
        <v>0</v>
      </c>
      <c r="W90" s="26" t="n">
        <f aca="false">IF($U90=0,0,IF(IFERROR(INDEX(VAT_Codes!$F:$F,MATCH($N90,VAT_Codes!$A:$A,0)),"N")="Y",$U90,IF($L90&lt;&gt;"",ROUND(ABS($L90)/IF(OR($R90="",$R90=0),1,$R90),2)*SIGN($U90),ROUND($U90*$V90,2))))</f>
        <v>0</v>
      </c>
      <c r="X90" s="24" t="str">
        <f aca="false">IF($N90="","",IFERROR(INDEX(VAT_Codes!$H:$H,MATCH($N90,VAT_Codes!$A:$A,0)),"")&amp;"")</f>
        <v/>
      </c>
      <c r="Y90" s="24" t="str">
        <f aca="false">IF($A90="","",(YEAR($A90)-YEAR(Settings!$C$8))*12+MONTH($A90)-MONTH(Settings!$C$8)+1)</f>
        <v/>
      </c>
      <c r="Z90" s="24" t="str">
        <f aca="false">IF(AND($C90="",$I90="",$J90=""),"",IF($N90="","NO VAT CODE",IF($T90="","UNKNOWN VAT CODE",IF($S90="","MISSING FX RATE",IF(OR($A90&lt;Settings!$C$8,$A90&gt;Settings!$C$9),"OUTSIDE PERIOD",IF(AND(IFERROR(INDEX(VAT_Codes!$E:$E,MATCH($N90,VAT_Codes!$A:$A,0)),"ANY")&lt;&gt;"ANY",$P90=""),"MISSING COUNTERPARTY COUNTRY",IF(AND(IFERROR(INDEX(VAT_Codes!$E:$E,MATCH($N90,VAT_Codes!$A:$A,0)),"ANY")&lt;&gt;"ANY",$P90&lt;&gt;IFERROR(INDEX(VAT_Codes!$E:$E,MATCH($N90,VAT_Codes!$A:$A,0)),"ANY")),"REGION MISMATCH","OK")))))))</f>
        <v/>
      </c>
    </row>
    <row r="91" customFormat="false" ht="15" hidden="false" customHeight="false" outlineLevel="0" collapsed="false">
      <c r="M91" s="24" t="str">
        <f aca="false">IF($C91="","",IFERROR(INDEX(Account_Mapping!$C:$C,MATCH($C91&amp;"",Account_Mapping!$A:$A,0))&amp;"",""))</f>
        <v/>
      </c>
      <c r="N91" s="24" t="str">
        <f aca="false">IF($K91&lt;&gt;"",$K91,$M91)</f>
        <v/>
      </c>
      <c r="O91" s="24" t="str">
        <f aca="false">IF($F91="","",IFERROR(INDEX(Counterparties!$C:$C,MATCH($F91&amp;"",Counterparties!$A:$A,0))&amp;"",""))</f>
        <v/>
      </c>
      <c r="P91" s="24" t="str">
        <f aca="false">IF($O91="","",IF($O91="CY","CY",IF(ISNUMBER(MATCH($O91,Lists!$A:$A,0)),"EU","3RD")))</f>
        <v/>
      </c>
      <c r="Q91" s="24" t="str">
        <f aca="false">IF($F91="","N",IFERROR(IF(INDEX(Counterparties!$E:$E,MATCH($F91&amp;"",Counterparties!$A:$A,0))="Y","Y","N"),"N"))</f>
        <v>N</v>
      </c>
      <c r="R91" s="25" t="n">
        <f aca="false">IF(OR($H91="",$H91="EUR"),1,IFERROR(INDEX(FX_Rates!$D:$D,MATCH($H91,FX_Rates!$A:$A,0)),""))</f>
        <v>1</v>
      </c>
      <c r="S91" s="26" t="str">
        <f aca="false">IF(AND($I91="",$J91=""),"",IF($J91&lt;&gt;"",$J91,IF(OR($R91="",$R91=0),"",ROUND($I91/$R91,2))))</f>
        <v/>
      </c>
      <c r="T91" s="24" t="str">
        <f aca="false">IF($N91="","",IFERROR(INDEX(VAT_Codes!$C:$C,MATCH($N91,VAT_Codes!$A:$A,0)),"")&amp;"")</f>
        <v/>
      </c>
      <c r="U91" s="26" t="n">
        <f aca="false">IF(OR($S91="",$T91="",$T91="None"),0,IF($T91="Output",-$S91,$S91))</f>
        <v>0</v>
      </c>
      <c r="V91" s="27" t="n">
        <f aca="false">IF($N91="",0,IFERROR(INDEX(VAT_Codes!$D:$D,MATCH($N91,VAT_Codes!$A:$A,0)),0))</f>
        <v>0</v>
      </c>
      <c r="W91" s="26" t="n">
        <f aca="false">IF($U91=0,0,IF(IFERROR(INDEX(VAT_Codes!$F:$F,MATCH($N91,VAT_Codes!$A:$A,0)),"N")="Y",$U91,IF($L91&lt;&gt;"",ROUND(ABS($L91)/IF(OR($R91="",$R91=0),1,$R91),2)*SIGN($U91),ROUND($U91*$V91,2))))</f>
        <v>0</v>
      </c>
      <c r="X91" s="24" t="str">
        <f aca="false">IF($N91="","",IFERROR(INDEX(VAT_Codes!$H:$H,MATCH($N91,VAT_Codes!$A:$A,0)),"")&amp;"")</f>
        <v/>
      </c>
      <c r="Y91" s="24" t="str">
        <f aca="false">IF($A91="","",(YEAR($A91)-YEAR(Settings!$C$8))*12+MONTH($A91)-MONTH(Settings!$C$8)+1)</f>
        <v/>
      </c>
      <c r="Z91" s="24" t="str">
        <f aca="false">IF(AND($C91="",$I91="",$J91=""),"",IF($N91="","NO VAT CODE",IF($T91="","UNKNOWN VAT CODE",IF($S91="","MISSING FX RATE",IF(OR($A91&lt;Settings!$C$8,$A91&gt;Settings!$C$9),"OUTSIDE PERIOD",IF(AND(IFERROR(INDEX(VAT_Codes!$E:$E,MATCH($N91,VAT_Codes!$A:$A,0)),"ANY")&lt;&gt;"ANY",$P91=""),"MISSING COUNTERPARTY COUNTRY",IF(AND(IFERROR(INDEX(VAT_Codes!$E:$E,MATCH($N91,VAT_Codes!$A:$A,0)),"ANY")&lt;&gt;"ANY",$P91&lt;&gt;IFERROR(INDEX(VAT_Codes!$E:$E,MATCH($N91,VAT_Codes!$A:$A,0)),"ANY")),"REGION MISMATCH","OK")))))))</f>
        <v/>
      </c>
    </row>
    <row r="92" customFormat="false" ht="15" hidden="false" customHeight="false" outlineLevel="0" collapsed="false">
      <c r="M92" s="24" t="str">
        <f aca="false">IF($C92="","",IFERROR(INDEX(Account_Mapping!$C:$C,MATCH($C92&amp;"",Account_Mapping!$A:$A,0))&amp;"",""))</f>
        <v/>
      </c>
      <c r="N92" s="24" t="str">
        <f aca="false">IF($K92&lt;&gt;"",$K92,$M92)</f>
        <v/>
      </c>
      <c r="O92" s="24" t="str">
        <f aca="false">IF($F92="","",IFERROR(INDEX(Counterparties!$C:$C,MATCH($F92&amp;"",Counterparties!$A:$A,0))&amp;"",""))</f>
        <v/>
      </c>
      <c r="P92" s="24" t="str">
        <f aca="false">IF($O92="","",IF($O92="CY","CY",IF(ISNUMBER(MATCH($O92,Lists!$A:$A,0)),"EU","3RD")))</f>
        <v/>
      </c>
      <c r="Q92" s="24" t="str">
        <f aca="false">IF($F92="","N",IFERROR(IF(INDEX(Counterparties!$E:$E,MATCH($F92&amp;"",Counterparties!$A:$A,0))="Y","Y","N"),"N"))</f>
        <v>N</v>
      </c>
      <c r="R92" s="25" t="n">
        <f aca="false">IF(OR($H92="",$H92="EUR"),1,IFERROR(INDEX(FX_Rates!$D:$D,MATCH($H92,FX_Rates!$A:$A,0)),""))</f>
        <v>1</v>
      </c>
      <c r="S92" s="26" t="str">
        <f aca="false">IF(AND($I92="",$J92=""),"",IF($J92&lt;&gt;"",$J92,IF(OR($R92="",$R92=0),"",ROUND($I92/$R92,2))))</f>
        <v/>
      </c>
      <c r="T92" s="24" t="str">
        <f aca="false">IF($N92="","",IFERROR(INDEX(VAT_Codes!$C:$C,MATCH($N92,VAT_Codes!$A:$A,0)),"")&amp;"")</f>
        <v/>
      </c>
      <c r="U92" s="26" t="n">
        <f aca="false">IF(OR($S92="",$T92="",$T92="None"),0,IF($T92="Output",-$S92,$S92))</f>
        <v>0</v>
      </c>
      <c r="V92" s="27" t="n">
        <f aca="false">IF($N92="",0,IFERROR(INDEX(VAT_Codes!$D:$D,MATCH($N92,VAT_Codes!$A:$A,0)),0))</f>
        <v>0</v>
      </c>
      <c r="W92" s="26" t="n">
        <f aca="false">IF($U92=0,0,IF(IFERROR(INDEX(VAT_Codes!$F:$F,MATCH($N92,VAT_Codes!$A:$A,0)),"N")="Y",$U92,IF($L92&lt;&gt;"",ROUND(ABS($L92)/IF(OR($R92="",$R92=0),1,$R92),2)*SIGN($U92),ROUND($U92*$V92,2))))</f>
        <v>0</v>
      </c>
      <c r="X92" s="24" t="str">
        <f aca="false">IF($N92="","",IFERROR(INDEX(VAT_Codes!$H:$H,MATCH($N92,VAT_Codes!$A:$A,0)),"")&amp;"")</f>
        <v/>
      </c>
      <c r="Y92" s="24" t="str">
        <f aca="false">IF($A92="","",(YEAR($A92)-YEAR(Settings!$C$8))*12+MONTH($A92)-MONTH(Settings!$C$8)+1)</f>
        <v/>
      </c>
      <c r="Z92" s="24" t="str">
        <f aca="false">IF(AND($C92="",$I92="",$J92=""),"",IF($N92="","NO VAT CODE",IF($T92="","UNKNOWN VAT CODE",IF($S92="","MISSING FX RATE",IF(OR($A92&lt;Settings!$C$8,$A92&gt;Settings!$C$9),"OUTSIDE PERIOD",IF(AND(IFERROR(INDEX(VAT_Codes!$E:$E,MATCH($N92,VAT_Codes!$A:$A,0)),"ANY")&lt;&gt;"ANY",$P92=""),"MISSING COUNTERPARTY COUNTRY",IF(AND(IFERROR(INDEX(VAT_Codes!$E:$E,MATCH($N92,VAT_Codes!$A:$A,0)),"ANY")&lt;&gt;"ANY",$P92&lt;&gt;IFERROR(INDEX(VAT_Codes!$E:$E,MATCH($N92,VAT_Codes!$A:$A,0)),"ANY")),"REGION MISMATCH","OK")))))))</f>
        <v/>
      </c>
    </row>
    <row r="93" customFormat="false" ht="15" hidden="false" customHeight="false" outlineLevel="0" collapsed="false">
      <c r="M93" s="24" t="str">
        <f aca="false">IF($C93="","",IFERROR(INDEX(Account_Mapping!$C:$C,MATCH($C93&amp;"",Account_Mapping!$A:$A,0))&amp;"",""))</f>
        <v/>
      </c>
      <c r="N93" s="24" t="str">
        <f aca="false">IF($K93&lt;&gt;"",$K93,$M93)</f>
        <v/>
      </c>
      <c r="O93" s="24" t="str">
        <f aca="false">IF($F93="","",IFERROR(INDEX(Counterparties!$C:$C,MATCH($F93&amp;"",Counterparties!$A:$A,0))&amp;"",""))</f>
        <v/>
      </c>
      <c r="P93" s="24" t="str">
        <f aca="false">IF($O93="","",IF($O93="CY","CY",IF(ISNUMBER(MATCH($O93,Lists!$A:$A,0)),"EU","3RD")))</f>
        <v/>
      </c>
      <c r="Q93" s="24" t="str">
        <f aca="false">IF($F93="","N",IFERROR(IF(INDEX(Counterparties!$E:$E,MATCH($F93&amp;"",Counterparties!$A:$A,0))="Y","Y","N"),"N"))</f>
        <v>N</v>
      </c>
      <c r="R93" s="25" t="n">
        <f aca="false">IF(OR($H93="",$H93="EUR"),1,IFERROR(INDEX(FX_Rates!$D:$D,MATCH($H93,FX_Rates!$A:$A,0)),""))</f>
        <v>1</v>
      </c>
      <c r="S93" s="26" t="str">
        <f aca="false">IF(AND($I93="",$J93=""),"",IF($J93&lt;&gt;"",$J93,IF(OR($R93="",$R93=0),"",ROUND($I93/$R93,2))))</f>
        <v/>
      </c>
      <c r="T93" s="24" t="str">
        <f aca="false">IF($N93="","",IFERROR(INDEX(VAT_Codes!$C:$C,MATCH($N93,VAT_Codes!$A:$A,0)),"")&amp;"")</f>
        <v/>
      </c>
      <c r="U93" s="26" t="n">
        <f aca="false">IF(OR($S93="",$T93="",$T93="None"),0,IF($T93="Output",-$S93,$S93))</f>
        <v>0</v>
      </c>
      <c r="V93" s="27" t="n">
        <f aca="false">IF($N93="",0,IFERROR(INDEX(VAT_Codes!$D:$D,MATCH($N93,VAT_Codes!$A:$A,0)),0))</f>
        <v>0</v>
      </c>
      <c r="W93" s="26" t="n">
        <f aca="false">IF($U93=0,0,IF(IFERROR(INDEX(VAT_Codes!$F:$F,MATCH($N93,VAT_Codes!$A:$A,0)),"N")="Y",$U93,IF($L93&lt;&gt;"",ROUND(ABS($L93)/IF(OR($R93="",$R93=0),1,$R93),2)*SIGN($U93),ROUND($U93*$V93,2))))</f>
        <v>0</v>
      </c>
      <c r="X93" s="24" t="str">
        <f aca="false">IF($N93="","",IFERROR(INDEX(VAT_Codes!$H:$H,MATCH($N93,VAT_Codes!$A:$A,0)),"")&amp;"")</f>
        <v/>
      </c>
      <c r="Y93" s="24" t="str">
        <f aca="false">IF($A93="","",(YEAR($A93)-YEAR(Settings!$C$8))*12+MONTH($A93)-MONTH(Settings!$C$8)+1)</f>
        <v/>
      </c>
      <c r="Z93" s="24" t="str">
        <f aca="false">IF(AND($C93="",$I93="",$J93=""),"",IF($N93="","NO VAT CODE",IF($T93="","UNKNOWN VAT CODE",IF($S93="","MISSING FX RATE",IF(OR($A93&lt;Settings!$C$8,$A93&gt;Settings!$C$9),"OUTSIDE PERIOD",IF(AND(IFERROR(INDEX(VAT_Codes!$E:$E,MATCH($N93,VAT_Codes!$A:$A,0)),"ANY")&lt;&gt;"ANY",$P93=""),"MISSING COUNTERPARTY COUNTRY",IF(AND(IFERROR(INDEX(VAT_Codes!$E:$E,MATCH($N93,VAT_Codes!$A:$A,0)),"ANY")&lt;&gt;"ANY",$P93&lt;&gt;IFERROR(INDEX(VAT_Codes!$E:$E,MATCH($N93,VAT_Codes!$A:$A,0)),"ANY")),"REGION MISMATCH","OK")))))))</f>
        <v/>
      </c>
    </row>
    <row r="94" customFormat="false" ht="15" hidden="false" customHeight="false" outlineLevel="0" collapsed="false">
      <c r="M94" s="24" t="str">
        <f aca="false">IF($C94="","",IFERROR(INDEX(Account_Mapping!$C:$C,MATCH($C94&amp;"",Account_Mapping!$A:$A,0))&amp;"",""))</f>
        <v/>
      </c>
      <c r="N94" s="24" t="str">
        <f aca="false">IF($K94&lt;&gt;"",$K94,$M94)</f>
        <v/>
      </c>
      <c r="O94" s="24" t="str">
        <f aca="false">IF($F94="","",IFERROR(INDEX(Counterparties!$C:$C,MATCH($F94&amp;"",Counterparties!$A:$A,0))&amp;"",""))</f>
        <v/>
      </c>
      <c r="P94" s="24" t="str">
        <f aca="false">IF($O94="","",IF($O94="CY","CY",IF(ISNUMBER(MATCH($O94,Lists!$A:$A,0)),"EU","3RD")))</f>
        <v/>
      </c>
      <c r="Q94" s="24" t="str">
        <f aca="false">IF($F94="","N",IFERROR(IF(INDEX(Counterparties!$E:$E,MATCH($F94&amp;"",Counterparties!$A:$A,0))="Y","Y","N"),"N"))</f>
        <v>N</v>
      </c>
      <c r="R94" s="25" t="n">
        <f aca="false">IF(OR($H94="",$H94="EUR"),1,IFERROR(INDEX(FX_Rates!$D:$D,MATCH($H94,FX_Rates!$A:$A,0)),""))</f>
        <v>1</v>
      </c>
      <c r="S94" s="26" t="str">
        <f aca="false">IF(AND($I94="",$J94=""),"",IF($J94&lt;&gt;"",$J94,IF(OR($R94="",$R94=0),"",ROUND($I94/$R94,2))))</f>
        <v/>
      </c>
      <c r="T94" s="24" t="str">
        <f aca="false">IF($N94="","",IFERROR(INDEX(VAT_Codes!$C:$C,MATCH($N94,VAT_Codes!$A:$A,0)),"")&amp;"")</f>
        <v/>
      </c>
      <c r="U94" s="26" t="n">
        <f aca="false">IF(OR($S94="",$T94="",$T94="None"),0,IF($T94="Output",-$S94,$S94))</f>
        <v>0</v>
      </c>
      <c r="V94" s="27" t="n">
        <f aca="false">IF($N94="",0,IFERROR(INDEX(VAT_Codes!$D:$D,MATCH($N94,VAT_Codes!$A:$A,0)),0))</f>
        <v>0</v>
      </c>
      <c r="W94" s="26" t="n">
        <f aca="false">IF($U94=0,0,IF(IFERROR(INDEX(VAT_Codes!$F:$F,MATCH($N94,VAT_Codes!$A:$A,0)),"N")="Y",$U94,IF($L94&lt;&gt;"",ROUND(ABS($L94)/IF(OR($R94="",$R94=0),1,$R94),2)*SIGN($U94),ROUND($U94*$V94,2))))</f>
        <v>0</v>
      </c>
      <c r="X94" s="24" t="str">
        <f aca="false">IF($N94="","",IFERROR(INDEX(VAT_Codes!$H:$H,MATCH($N94,VAT_Codes!$A:$A,0)),"")&amp;"")</f>
        <v/>
      </c>
      <c r="Y94" s="24" t="str">
        <f aca="false">IF($A94="","",(YEAR($A94)-YEAR(Settings!$C$8))*12+MONTH($A94)-MONTH(Settings!$C$8)+1)</f>
        <v/>
      </c>
      <c r="Z94" s="24" t="str">
        <f aca="false">IF(AND($C94="",$I94="",$J94=""),"",IF($N94="","NO VAT CODE",IF($T94="","UNKNOWN VAT CODE",IF($S94="","MISSING FX RATE",IF(OR($A94&lt;Settings!$C$8,$A94&gt;Settings!$C$9),"OUTSIDE PERIOD",IF(AND(IFERROR(INDEX(VAT_Codes!$E:$E,MATCH($N94,VAT_Codes!$A:$A,0)),"ANY")&lt;&gt;"ANY",$P94=""),"MISSING COUNTERPARTY COUNTRY",IF(AND(IFERROR(INDEX(VAT_Codes!$E:$E,MATCH($N94,VAT_Codes!$A:$A,0)),"ANY")&lt;&gt;"ANY",$P94&lt;&gt;IFERROR(INDEX(VAT_Codes!$E:$E,MATCH($N94,VAT_Codes!$A:$A,0)),"ANY")),"REGION MISMATCH","OK")))))))</f>
        <v/>
      </c>
    </row>
    <row r="95" customFormat="false" ht="15" hidden="false" customHeight="false" outlineLevel="0" collapsed="false">
      <c r="M95" s="24" t="str">
        <f aca="false">IF($C95="","",IFERROR(INDEX(Account_Mapping!$C:$C,MATCH($C95&amp;"",Account_Mapping!$A:$A,0))&amp;"",""))</f>
        <v/>
      </c>
      <c r="N95" s="24" t="str">
        <f aca="false">IF($K95&lt;&gt;"",$K95,$M95)</f>
        <v/>
      </c>
      <c r="O95" s="24" t="str">
        <f aca="false">IF($F95="","",IFERROR(INDEX(Counterparties!$C:$C,MATCH($F95&amp;"",Counterparties!$A:$A,0))&amp;"",""))</f>
        <v/>
      </c>
      <c r="P95" s="24" t="str">
        <f aca="false">IF($O95="","",IF($O95="CY","CY",IF(ISNUMBER(MATCH($O95,Lists!$A:$A,0)),"EU","3RD")))</f>
        <v/>
      </c>
      <c r="Q95" s="24" t="str">
        <f aca="false">IF($F95="","N",IFERROR(IF(INDEX(Counterparties!$E:$E,MATCH($F95&amp;"",Counterparties!$A:$A,0))="Y","Y","N"),"N"))</f>
        <v>N</v>
      </c>
      <c r="R95" s="25" t="n">
        <f aca="false">IF(OR($H95="",$H95="EUR"),1,IFERROR(INDEX(FX_Rates!$D:$D,MATCH($H95,FX_Rates!$A:$A,0)),""))</f>
        <v>1</v>
      </c>
      <c r="S95" s="26" t="str">
        <f aca="false">IF(AND($I95="",$J95=""),"",IF($J95&lt;&gt;"",$J95,IF(OR($R95="",$R95=0),"",ROUND($I95/$R95,2))))</f>
        <v/>
      </c>
      <c r="T95" s="24" t="str">
        <f aca="false">IF($N95="","",IFERROR(INDEX(VAT_Codes!$C:$C,MATCH($N95,VAT_Codes!$A:$A,0)),"")&amp;"")</f>
        <v/>
      </c>
      <c r="U95" s="26" t="n">
        <f aca="false">IF(OR($S95="",$T95="",$T95="None"),0,IF($T95="Output",-$S95,$S95))</f>
        <v>0</v>
      </c>
      <c r="V95" s="27" t="n">
        <f aca="false">IF($N95="",0,IFERROR(INDEX(VAT_Codes!$D:$D,MATCH($N95,VAT_Codes!$A:$A,0)),0))</f>
        <v>0</v>
      </c>
      <c r="W95" s="26" t="n">
        <f aca="false">IF($U95=0,0,IF(IFERROR(INDEX(VAT_Codes!$F:$F,MATCH($N95,VAT_Codes!$A:$A,0)),"N")="Y",$U95,IF($L95&lt;&gt;"",ROUND(ABS($L95)/IF(OR($R95="",$R95=0),1,$R95),2)*SIGN($U95),ROUND($U95*$V95,2))))</f>
        <v>0</v>
      </c>
      <c r="X95" s="24" t="str">
        <f aca="false">IF($N95="","",IFERROR(INDEX(VAT_Codes!$H:$H,MATCH($N95,VAT_Codes!$A:$A,0)),"")&amp;"")</f>
        <v/>
      </c>
      <c r="Y95" s="24" t="str">
        <f aca="false">IF($A95="","",(YEAR($A95)-YEAR(Settings!$C$8))*12+MONTH($A95)-MONTH(Settings!$C$8)+1)</f>
        <v/>
      </c>
      <c r="Z95" s="24" t="str">
        <f aca="false">IF(AND($C95="",$I95="",$J95=""),"",IF($N95="","NO VAT CODE",IF($T95="","UNKNOWN VAT CODE",IF($S95="","MISSING FX RATE",IF(OR($A95&lt;Settings!$C$8,$A95&gt;Settings!$C$9),"OUTSIDE PERIOD",IF(AND(IFERROR(INDEX(VAT_Codes!$E:$E,MATCH($N95,VAT_Codes!$A:$A,0)),"ANY")&lt;&gt;"ANY",$P95=""),"MISSING COUNTERPARTY COUNTRY",IF(AND(IFERROR(INDEX(VAT_Codes!$E:$E,MATCH($N95,VAT_Codes!$A:$A,0)),"ANY")&lt;&gt;"ANY",$P95&lt;&gt;IFERROR(INDEX(VAT_Codes!$E:$E,MATCH($N95,VAT_Codes!$A:$A,0)),"ANY")),"REGION MISMATCH","OK")))))))</f>
        <v/>
      </c>
    </row>
    <row r="96" customFormat="false" ht="15" hidden="false" customHeight="false" outlineLevel="0" collapsed="false">
      <c r="M96" s="24" t="str">
        <f aca="false">IF($C96="","",IFERROR(INDEX(Account_Mapping!$C:$C,MATCH($C96&amp;"",Account_Mapping!$A:$A,0))&amp;"",""))</f>
        <v/>
      </c>
      <c r="N96" s="24" t="str">
        <f aca="false">IF($K96&lt;&gt;"",$K96,$M96)</f>
        <v/>
      </c>
      <c r="O96" s="24" t="str">
        <f aca="false">IF($F96="","",IFERROR(INDEX(Counterparties!$C:$C,MATCH($F96&amp;"",Counterparties!$A:$A,0))&amp;"",""))</f>
        <v/>
      </c>
      <c r="P96" s="24" t="str">
        <f aca="false">IF($O96="","",IF($O96="CY","CY",IF(ISNUMBER(MATCH($O96,Lists!$A:$A,0)),"EU","3RD")))</f>
        <v/>
      </c>
      <c r="Q96" s="24" t="str">
        <f aca="false">IF($F96="","N",IFERROR(IF(INDEX(Counterparties!$E:$E,MATCH($F96&amp;"",Counterparties!$A:$A,0))="Y","Y","N"),"N"))</f>
        <v>N</v>
      </c>
      <c r="R96" s="25" t="n">
        <f aca="false">IF(OR($H96="",$H96="EUR"),1,IFERROR(INDEX(FX_Rates!$D:$D,MATCH($H96,FX_Rates!$A:$A,0)),""))</f>
        <v>1</v>
      </c>
      <c r="S96" s="26" t="str">
        <f aca="false">IF(AND($I96="",$J96=""),"",IF($J96&lt;&gt;"",$J96,IF(OR($R96="",$R96=0),"",ROUND($I96/$R96,2))))</f>
        <v/>
      </c>
      <c r="T96" s="24" t="str">
        <f aca="false">IF($N96="","",IFERROR(INDEX(VAT_Codes!$C:$C,MATCH($N96,VAT_Codes!$A:$A,0)),"")&amp;"")</f>
        <v/>
      </c>
      <c r="U96" s="26" t="n">
        <f aca="false">IF(OR($S96="",$T96="",$T96="None"),0,IF($T96="Output",-$S96,$S96))</f>
        <v>0</v>
      </c>
      <c r="V96" s="27" t="n">
        <f aca="false">IF($N96="",0,IFERROR(INDEX(VAT_Codes!$D:$D,MATCH($N96,VAT_Codes!$A:$A,0)),0))</f>
        <v>0</v>
      </c>
      <c r="W96" s="26" t="n">
        <f aca="false">IF($U96=0,0,IF(IFERROR(INDEX(VAT_Codes!$F:$F,MATCH($N96,VAT_Codes!$A:$A,0)),"N")="Y",$U96,IF($L96&lt;&gt;"",ROUND(ABS($L96)/IF(OR($R96="",$R96=0),1,$R96),2)*SIGN($U96),ROUND($U96*$V96,2))))</f>
        <v>0</v>
      </c>
      <c r="X96" s="24" t="str">
        <f aca="false">IF($N96="","",IFERROR(INDEX(VAT_Codes!$H:$H,MATCH($N96,VAT_Codes!$A:$A,0)),"")&amp;"")</f>
        <v/>
      </c>
      <c r="Y96" s="24" t="str">
        <f aca="false">IF($A96="","",(YEAR($A96)-YEAR(Settings!$C$8))*12+MONTH($A96)-MONTH(Settings!$C$8)+1)</f>
        <v/>
      </c>
      <c r="Z96" s="24" t="str">
        <f aca="false">IF(AND($C96="",$I96="",$J96=""),"",IF($N96="","NO VAT CODE",IF($T96="","UNKNOWN VAT CODE",IF($S96="","MISSING FX RATE",IF(OR($A96&lt;Settings!$C$8,$A96&gt;Settings!$C$9),"OUTSIDE PERIOD",IF(AND(IFERROR(INDEX(VAT_Codes!$E:$E,MATCH($N96,VAT_Codes!$A:$A,0)),"ANY")&lt;&gt;"ANY",$P96=""),"MISSING COUNTERPARTY COUNTRY",IF(AND(IFERROR(INDEX(VAT_Codes!$E:$E,MATCH($N96,VAT_Codes!$A:$A,0)),"ANY")&lt;&gt;"ANY",$P96&lt;&gt;IFERROR(INDEX(VAT_Codes!$E:$E,MATCH($N96,VAT_Codes!$A:$A,0)),"ANY")),"REGION MISMATCH","OK")))))))</f>
        <v/>
      </c>
    </row>
    <row r="97" customFormat="false" ht="15" hidden="false" customHeight="false" outlineLevel="0" collapsed="false">
      <c r="M97" s="24" t="str">
        <f aca="false">IF($C97="","",IFERROR(INDEX(Account_Mapping!$C:$C,MATCH($C97&amp;"",Account_Mapping!$A:$A,0))&amp;"",""))</f>
        <v/>
      </c>
      <c r="N97" s="24" t="str">
        <f aca="false">IF($K97&lt;&gt;"",$K97,$M97)</f>
        <v/>
      </c>
      <c r="O97" s="24" t="str">
        <f aca="false">IF($F97="","",IFERROR(INDEX(Counterparties!$C:$C,MATCH($F97&amp;"",Counterparties!$A:$A,0))&amp;"",""))</f>
        <v/>
      </c>
      <c r="P97" s="24" t="str">
        <f aca="false">IF($O97="","",IF($O97="CY","CY",IF(ISNUMBER(MATCH($O97,Lists!$A:$A,0)),"EU","3RD")))</f>
        <v/>
      </c>
      <c r="Q97" s="24" t="str">
        <f aca="false">IF($F97="","N",IFERROR(IF(INDEX(Counterparties!$E:$E,MATCH($F97&amp;"",Counterparties!$A:$A,0))="Y","Y","N"),"N"))</f>
        <v>N</v>
      </c>
      <c r="R97" s="25" t="n">
        <f aca="false">IF(OR($H97="",$H97="EUR"),1,IFERROR(INDEX(FX_Rates!$D:$D,MATCH($H97,FX_Rates!$A:$A,0)),""))</f>
        <v>1</v>
      </c>
      <c r="S97" s="26" t="str">
        <f aca="false">IF(AND($I97="",$J97=""),"",IF($J97&lt;&gt;"",$J97,IF(OR($R97="",$R97=0),"",ROUND($I97/$R97,2))))</f>
        <v/>
      </c>
      <c r="T97" s="24" t="str">
        <f aca="false">IF($N97="","",IFERROR(INDEX(VAT_Codes!$C:$C,MATCH($N97,VAT_Codes!$A:$A,0)),"")&amp;"")</f>
        <v/>
      </c>
      <c r="U97" s="26" t="n">
        <f aca="false">IF(OR($S97="",$T97="",$T97="None"),0,IF($T97="Output",-$S97,$S97))</f>
        <v>0</v>
      </c>
      <c r="V97" s="27" t="n">
        <f aca="false">IF($N97="",0,IFERROR(INDEX(VAT_Codes!$D:$D,MATCH($N97,VAT_Codes!$A:$A,0)),0))</f>
        <v>0</v>
      </c>
      <c r="W97" s="26" t="n">
        <f aca="false">IF($U97=0,0,IF(IFERROR(INDEX(VAT_Codes!$F:$F,MATCH($N97,VAT_Codes!$A:$A,0)),"N")="Y",$U97,IF($L97&lt;&gt;"",ROUND(ABS($L97)/IF(OR($R97="",$R97=0),1,$R97),2)*SIGN($U97),ROUND($U97*$V97,2))))</f>
        <v>0</v>
      </c>
      <c r="X97" s="24" t="str">
        <f aca="false">IF($N97="","",IFERROR(INDEX(VAT_Codes!$H:$H,MATCH($N97,VAT_Codes!$A:$A,0)),"")&amp;"")</f>
        <v/>
      </c>
      <c r="Y97" s="24" t="str">
        <f aca="false">IF($A97="","",(YEAR($A97)-YEAR(Settings!$C$8))*12+MONTH($A97)-MONTH(Settings!$C$8)+1)</f>
        <v/>
      </c>
      <c r="Z97" s="24" t="str">
        <f aca="false">IF(AND($C97="",$I97="",$J97=""),"",IF($N97="","NO VAT CODE",IF($T97="","UNKNOWN VAT CODE",IF($S97="","MISSING FX RATE",IF(OR($A97&lt;Settings!$C$8,$A97&gt;Settings!$C$9),"OUTSIDE PERIOD",IF(AND(IFERROR(INDEX(VAT_Codes!$E:$E,MATCH($N97,VAT_Codes!$A:$A,0)),"ANY")&lt;&gt;"ANY",$P97=""),"MISSING COUNTERPARTY COUNTRY",IF(AND(IFERROR(INDEX(VAT_Codes!$E:$E,MATCH($N97,VAT_Codes!$A:$A,0)),"ANY")&lt;&gt;"ANY",$P97&lt;&gt;IFERROR(INDEX(VAT_Codes!$E:$E,MATCH($N97,VAT_Codes!$A:$A,0)),"ANY")),"REGION MISMATCH","OK")))))))</f>
        <v/>
      </c>
    </row>
    <row r="98" customFormat="false" ht="15" hidden="false" customHeight="false" outlineLevel="0" collapsed="false">
      <c r="M98" s="24" t="str">
        <f aca="false">IF($C98="","",IFERROR(INDEX(Account_Mapping!$C:$C,MATCH($C98&amp;"",Account_Mapping!$A:$A,0))&amp;"",""))</f>
        <v/>
      </c>
      <c r="N98" s="24" t="str">
        <f aca="false">IF($K98&lt;&gt;"",$K98,$M98)</f>
        <v/>
      </c>
      <c r="O98" s="24" t="str">
        <f aca="false">IF($F98="","",IFERROR(INDEX(Counterparties!$C:$C,MATCH($F98&amp;"",Counterparties!$A:$A,0))&amp;"",""))</f>
        <v/>
      </c>
      <c r="P98" s="24" t="str">
        <f aca="false">IF($O98="","",IF($O98="CY","CY",IF(ISNUMBER(MATCH($O98,Lists!$A:$A,0)),"EU","3RD")))</f>
        <v/>
      </c>
      <c r="Q98" s="24" t="str">
        <f aca="false">IF($F98="","N",IFERROR(IF(INDEX(Counterparties!$E:$E,MATCH($F98&amp;"",Counterparties!$A:$A,0))="Y","Y","N"),"N"))</f>
        <v>N</v>
      </c>
      <c r="R98" s="25" t="n">
        <f aca="false">IF(OR($H98="",$H98="EUR"),1,IFERROR(INDEX(FX_Rates!$D:$D,MATCH($H98,FX_Rates!$A:$A,0)),""))</f>
        <v>1</v>
      </c>
      <c r="S98" s="26" t="str">
        <f aca="false">IF(AND($I98="",$J98=""),"",IF($J98&lt;&gt;"",$J98,IF(OR($R98="",$R98=0),"",ROUND($I98/$R98,2))))</f>
        <v/>
      </c>
      <c r="T98" s="24" t="str">
        <f aca="false">IF($N98="","",IFERROR(INDEX(VAT_Codes!$C:$C,MATCH($N98,VAT_Codes!$A:$A,0)),"")&amp;"")</f>
        <v/>
      </c>
      <c r="U98" s="26" t="n">
        <f aca="false">IF(OR($S98="",$T98="",$T98="None"),0,IF($T98="Output",-$S98,$S98))</f>
        <v>0</v>
      </c>
      <c r="V98" s="27" t="n">
        <f aca="false">IF($N98="",0,IFERROR(INDEX(VAT_Codes!$D:$D,MATCH($N98,VAT_Codes!$A:$A,0)),0))</f>
        <v>0</v>
      </c>
      <c r="W98" s="26" t="n">
        <f aca="false">IF($U98=0,0,IF(IFERROR(INDEX(VAT_Codes!$F:$F,MATCH($N98,VAT_Codes!$A:$A,0)),"N")="Y",$U98,IF($L98&lt;&gt;"",ROUND(ABS($L98)/IF(OR($R98="",$R98=0),1,$R98),2)*SIGN($U98),ROUND($U98*$V98,2))))</f>
        <v>0</v>
      </c>
      <c r="X98" s="24" t="str">
        <f aca="false">IF($N98="","",IFERROR(INDEX(VAT_Codes!$H:$H,MATCH($N98,VAT_Codes!$A:$A,0)),"")&amp;"")</f>
        <v/>
      </c>
      <c r="Y98" s="24" t="str">
        <f aca="false">IF($A98="","",(YEAR($A98)-YEAR(Settings!$C$8))*12+MONTH($A98)-MONTH(Settings!$C$8)+1)</f>
        <v/>
      </c>
      <c r="Z98" s="24" t="str">
        <f aca="false">IF(AND($C98="",$I98="",$J98=""),"",IF($N98="","NO VAT CODE",IF($T98="","UNKNOWN VAT CODE",IF($S98="","MISSING FX RATE",IF(OR($A98&lt;Settings!$C$8,$A98&gt;Settings!$C$9),"OUTSIDE PERIOD",IF(AND(IFERROR(INDEX(VAT_Codes!$E:$E,MATCH($N98,VAT_Codes!$A:$A,0)),"ANY")&lt;&gt;"ANY",$P98=""),"MISSING COUNTERPARTY COUNTRY",IF(AND(IFERROR(INDEX(VAT_Codes!$E:$E,MATCH($N98,VAT_Codes!$A:$A,0)),"ANY")&lt;&gt;"ANY",$P98&lt;&gt;IFERROR(INDEX(VAT_Codes!$E:$E,MATCH($N98,VAT_Codes!$A:$A,0)),"ANY")),"REGION MISMATCH","OK")))))))</f>
        <v/>
      </c>
    </row>
    <row r="99" customFormat="false" ht="15" hidden="false" customHeight="false" outlineLevel="0" collapsed="false">
      <c r="M99" s="24" t="str">
        <f aca="false">IF($C99="","",IFERROR(INDEX(Account_Mapping!$C:$C,MATCH($C99&amp;"",Account_Mapping!$A:$A,0))&amp;"",""))</f>
        <v/>
      </c>
      <c r="N99" s="24" t="str">
        <f aca="false">IF($K99&lt;&gt;"",$K99,$M99)</f>
        <v/>
      </c>
      <c r="O99" s="24" t="str">
        <f aca="false">IF($F99="","",IFERROR(INDEX(Counterparties!$C:$C,MATCH($F99&amp;"",Counterparties!$A:$A,0))&amp;"",""))</f>
        <v/>
      </c>
      <c r="P99" s="24" t="str">
        <f aca="false">IF($O99="","",IF($O99="CY","CY",IF(ISNUMBER(MATCH($O99,Lists!$A:$A,0)),"EU","3RD")))</f>
        <v/>
      </c>
      <c r="Q99" s="24" t="str">
        <f aca="false">IF($F99="","N",IFERROR(IF(INDEX(Counterparties!$E:$E,MATCH($F99&amp;"",Counterparties!$A:$A,0))="Y","Y","N"),"N"))</f>
        <v>N</v>
      </c>
      <c r="R99" s="25" t="n">
        <f aca="false">IF(OR($H99="",$H99="EUR"),1,IFERROR(INDEX(FX_Rates!$D:$D,MATCH($H99,FX_Rates!$A:$A,0)),""))</f>
        <v>1</v>
      </c>
      <c r="S99" s="26" t="str">
        <f aca="false">IF(AND($I99="",$J99=""),"",IF($J99&lt;&gt;"",$J99,IF(OR($R99="",$R99=0),"",ROUND($I99/$R99,2))))</f>
        <v/>
      </c>
      <c r="T99" s="24" t="str">
        <f aca="false">IF($N99="","",IFERROR(INDEX(VAT_Codes!$C:$C,MATCH($N99,VAT_Codes!$A:$A,0)),"")&amp;"")</f>
        <v/>
      </c>
      <c r="U99" s="26" t="n">
        <f aca="false">IF(OR($S99="",$T99="",$T99="None"),0,IF($T99="Output",-$S99,$S99))</f>
        <v>0</v>
      </c>
      <c r="V99" s="27" t="n">
        <f aca="false">IF($N99="",0,IFERROR(INDEX(VAT_Codes!$D:$D,MATCH($N99,VAT_Codes!$A:$A,0)),0))</f>
        <v>0</v>
      </c>
      <c r="W99" s="26" t="n">
        <f aca="false">IF($U99=0,0,IF(IFERROR(INDEX(VAT_Codes!$F:$F,MATCH($N99,VAT_Codes!$A:$A,0)),"N")="Y",$U99,IF($L99&lt;&gt;"",ROUND(ABS($L99)/IF(OR($R99="",$R99=0),1,$R99),2)*SIGN($U99),ROUND($U99*$V99,2))))</f>
        <v>0</v>
      </c>
      <c r="X99" s="24" t="str">
        <f aca="false">IF($N99="","",IFERROR(INDEX(VAT_Codes!$H:$H,MATCH($N99,VAT_Codes!$A:$A,0)),"")&amp;"")</f>
        <v/>
      </c>
      <c r="Y99" s="24" t="str">
        <f aca="false">IF($A99="","",(YEAR($A99)-YEAR(Settings!$C$8))*12+MONTH($A99)-MONTH(Settings!$C$8)+1)</f>
        <v/>
      </c>
      <c r="Z99" s="24" t="str">
        <f aca="false">IF(AND($C99="",$I99="",$J99=""),"",IF($N99="","NO VAT CODE",IF($T99="","UNKNOWN VAT CODE",IF($S99="","MISSING FX RATE",IF(OR($A99&lt;Settings!$C$8,$A99&gt;Settings!$C$9),"OUTSIDE PERIOD",IF(AND(IFERROR(INDEX(VAT_Codes!$E:$E,MATCH($N99,VAT_Codes!$A:$A,0)),"ANY")&lt;&gt;"ANY",$P99=""),"MISSING COUNTERPARTY COUNTRY",IF(AND(IFERROR(INDEX(VAT_Codes!$E:$E,MATCH($N99,VAT_Codes!$A:$A,0)),"ANY")&lt;&gt;"ANY",$P99&lt;&gt;IFERROR(INDEX(VAT_Codes!$E:$E,MATCH($N99,VAT_Codes!$A:$A,0)),"ANY")),"REGION MISMATCH","OK")))))))</f>
        <v/>
      </c>
    </row>
    <row r="100" customFormat="false" ht="15" hidden="false" customHeight="false" outlineLevel="0" collapsed="false">
      <c r="M100" s="24" t="str">
        <f aca="false">IF($C100="","",IFERROR(INDEX(Account_Mapping!$C:$C,MATCH($C100&amp;"",Account_Mapping!$A:$A,0))&amp;"",""))</f>
        <v/>
      </c>
      <c r="N100" s="24" t="str">
        <f aca="false">IF($K100&lt;&gt;"",$K100,$M100)</f>
        <v/>
      </c>
      <c r="O100" s="24" t="str">
        <f aca="false">IF($F100="","",IFERROR(INDEX(Counterparties!$C:$C,MATCH($F100&amp;"",Counterparties!$A:$A,0))&amp;"",""))</f>
        <v/>
      </c>
      <c r="P100" s="24" t="str">
        <f aca="false">IF($O100="","",IF($O100="CY","CY",IF(ISNUMBER(MATCH($O100,Lists!$A:$A,0)),"EU","3RD")))</f>
        <v/>
      </c>
      <c r="Q100" s="24" t="str">
        <f aca="false">IF($F100="","N",IFERROR(IF(INDEX(Counterparties!$E:$E,MATCH($F100&amp;"",Counterparties!$A:$A,0))="Y","Y","N"),"N"))</f>
        <v>N</v>
      </c>
      <c r="R100" s="25" t="n">
        <f aca="false">IF(OR($H100="",$H100="EUR"),1,IFERROR(INDEX(FX_Rates!$D:$D,MATCH($H100,FX_Rates!$A:$A,0)),""))</f>
        <v>1</v>
      </c>
      <c r="S100" s="26" t="str">
        <f aca="false">IF(AND($I100="",$J100=""),"",IF($J100&lt;&gt;"",$J100,IF(OR($R100="",$R100=0),"",ROUND($I100/$R100,2))))</f>
        <v/>
      </c>
      <c r="T100" s="24" t="str">
        <f aca="false">IF($N100="","",IFERROR(INDEX(VAT_Codes!$C:$C,MATCH($N100,VAT_Codes!$A:$A,0)),"")&amp;"")</f>
        <v/>
      </c>
      <c r="U100" s="26" t="n">
        <f aca="false">IF(OR($S100="",$T100="",$T100="None"),0,IF($T100="Output",-$S100,$S100))</f>
        <v>0</v>
      </c>
      <c r="V100" s="27" t="n">
        <f aca="false">IF($N100="",0,IFERROR(INDEX(VAT_Codes!$D:$D,MATCH($N100,VAT_Codes!$A:$A,0)),0))</f>
        <v>0</v>
      </c>
      <c r="W100" s="26" t="n">
        <f aca="false">IF($U100=0,0,IF(IFERROR(INDEX(VAT_Codes!$F:$F,MATCH($N100,VAT_Codes!$A:$A,0)),"N")="Y",$U100,IF($L100&lt;&gt;"",ROUND(ABS($L100)/IF(OR($R100="",$R100=0),1,$R100),2)*SIGN($U100),ROUND($U100*$V100,2))))</f>
        <v>0</v>
      </c>
      <c r="X100" s="24" t="str">
        <f aca="false">IF($N100="","",IFERROR(INDEX(VAT_Codes!$H:$H,MATCH($N100,VAT_Codes!$A:$A,0)),"")&amp;"")</f>
        <v/>
      </c>
      <c r="Y100" s="24" t="str">
        <f aca="false">IF($A100="","",(YEAR($A100)-YEAR(Settings!$C$8))*12+MONTH($A100)-MONTH(Settings!$C$8)+1)</f>
        <v/>
      </c>
      <c r="Z100" s="24" t="str">
        <f aca="false">IF(AND($C100="",$I100="",$J100=""),"",IF($N100="","NO VAT CODE",IF($T100="","UNKNOWN VAT CODE",IF($S100="","MISSING FX RATE",IF(OR($A100&lt;Settings!$C$8,$A100&gt;Settings!$C$9),"OUTSIDE PERIOD",IF(AND(IFERROR(INDEX(VAT_Codes!$E:$E,MATCH($N100,VAT_Codes!$A:$A,0)),"ANY")&lt;&gt;"ANY",$P100=""),"MISSING COUNTERPARTY COUNTRY",IF(AND(IFERROR(INDEX(VAT_Codes!$E:$E,MATCH($N100,VAT_Codes!$A:$A,0)),"ANY")&lt;&gt;"ANY",$P100&lt;&gt;IFERROR(INDEX(VAT_Codes!$E:$E,MATCH($N100,VAT_Codes!$A:$A,0)),"ANY")),"REGION MISMATCH","OK")))))))</f>
        <v/>
      </c>
    </row>
    <row r="101" customFormat="false" ht="15" hidden="false" customHeight="false" outlineLevel="0" collapsed="false">
      <c r="M101" s="24" t="str">
        <f aca="false">IF($C101="","",IFERROR(INDEX(Account_Mapping!$C:$C,MATCH($C101&amp;"",Account_Mapping!$A:$A,0))&amp;"",""))</f>
        <v/>
      </c>
      <c r="N101" s="24" t="str">
        <f aca="false">IF($K101&lt;&gt;"",$K101,$M101)</f>
        <v/>
      </c>
      <c r="O101" s="24" t="str">
        <f aca="false">IF($F101="","",IFERROR(INDEX(Counterparties!$C:$C,MATCH($F101&amp;"",Counterparties!$A:$A,0))&amp;"",""))</f>
        <v/>
      </c>
      <c r="P101" s="24" t="str">
        <f aca="false">IF($O101="","",IF($O101="CY","CY",IF(ISNUMBER(MATCH($O101,Lists!$A:$A,0)),"EU","3RD")))</f>
        <v/>
      </c>
      <c r="Q101" s="24" t="str">
        <f aca="false">IF($F101="","N",IFERROR(IF(INDEX(Counterparties!$E:$E,MATCH($F101&amp;"",Counterparties!$A:$A,0))="Y","Y","N"),"N"))</f>
        <v>N</v>
      </c>
      <c r="R101" s="25" t="n">
        <f aca="false">IF(OR($H101="",$H101="EUR"),1,IFERROR(INDEX(FX_Rates!$D:$D,MATCH($H101,FX_Rates!$A:$A,0)),""))</f>
        <v>1</v>
      </c>
      <c r="S101" s="26" t="str">
        <f aca="false">IF(AND($I101="",$J101=""),"",IF($J101&lt;&gt;"",$J101,IF(OR($R101="",$R101=0),"",ROUND($I101/$R101,2))))</f>
        <v/>
      </c>
      <c r="T101" s="24" t="str">
        <f aca="false">IF($N101="","",IFERROR(INDEX(VAT_Codes!$C:$C,MATCH($N101,VAT_Codes!$A:$A,0)),"")&amp;"")</f>
        <v/>
      </c>
      <c r="U101" s="26" t="n">
        <f aca="false">IF(OR($S101="",$T101="",$T101="None"),0,IF($T101="Output",-$S101,$S101))</f>
        <v>0</v>
      </c>
      <c r="V101" s="27" t="n">
        <f aca="false">IF($N101="",0,IFERROR(INDEX(VAT_Codes!$D:$D,MATCH($N101,VAT_Codes!$A:$A,0)),0))</f>
        <v>0</v>
      </c>
      <c r="W101" s="26" t="n">
        <f aca="false">IF($U101=0,0,IF(IFERROR(INDEX(VAT_Codes!$F:$F,MATCH($N101,VAT_Codes!$A:$A,0)),"N")="Y",$U101,IF($L101&lt;&gt;"",ROUND(ABS($L101)/IF(OR($R101="",$R101=0),1,$R101),2)*SIGN($U101),ROUND($U101*$V101,2))))</f>
        <v>0</v>
      </c>
      <c r="X101" s="24" t="str">
        <f aca="false">IF($N101="","",IFERROR(INDEX(VAT_Codes!$H:$H,MATCH($N101,VAT_Codes!$A:$A,0)),"")&amp;"")</f>
        <v/>
      </c>
      <c r="Y101" s="24" t="str">
        <f aca="false">IF($A101="","",(YEAR($A101)-YEAR(Settings!$C$8))*12+MONTH($A101)-MONTH(Settings!$C$8)+1)</f>
        <v/>
      </c>
      <c r="Z101" s="24" t="str">
        <f aca="false">IF(AND($C101="",$I101="",$J101=""),"",IF($N101="","NO VAT CODE",IF($T101="","UNKNOWN VAT CODE",IF($S101="","MISSING FX RATE",IF(OR($A101&lt;Settings!$C$8,$A101&gt;Settings!$C$9),"OUTSIDE PERIOD",IF(AND(IFERROR(INDEX(VAT_Codes!$E:$E,MATCH($N101,VAT_Codes!$A:$A,0)),"ANY")&lt;&gt;"ANY",$P101=""),"MISSING COUNTERPARTY COUNTRY",IF(AND(IFERROR(INDEX(VAT_Codes!$E:$E,MATCH($N101,VAT_Codes!$A:$A,0)),"ANY")&lt;&gt;"ANY",$P101&lt;&gt;IFERROR(INDEX(VAT_Codes!$E:$E,MATCH($N101,VAT_Codes!$A:$A,0)),"ANY")),"REGION MISMATCH","OK")))))))</f>
        <v/>
      </c>
    </row>
    <row r="102" customFormat="false" ht="15" hidden="false" customHeight="false" outlineLevel="0" collapsed="false">
      <c r="M102" s="24" t="str">
        <f aca="false">IF($C102="","",IFERROR(INDEX(Account_Mapping!$C:$C,MATCH($C102&amp;"",Account_Mapping!$A:$A,0))&amp;"",""))</f>
        <v/>
      </c>
      <c r="N102" s="24" t="str">
        <f aca="false">IF($K102&lt;&gt;"",$K102,$M102)</f>
        <v/>
      </c>
      <c r="O102" s="24" t="str">
        <f aca="false">IF($F102="","",IFERROR(INDEX(Counterparties!$C:$C,MATCH($F102&amp;"",Counterparties!$A:$A,0))&amp;"",""))</f>
        <v/>
      </c>
      <c r="P102" s="24" t="str">
        <f aca="false">IF($O102="","",IF($O102="CY","CY",IF(ISNUMBER(MATCH($O102,Lists!$A:$A,0)),"EU","3RD")))</f>
        <v/>
      </c>
      <c r="Q102" s="24" t="str">
        <f aca="false">IF($F102="","N",IFERROR(IF(INDEX(Counterparties!$E:$E,MATCH($F102&amp;"",Counterparties!$A:$A,0))="Y","Y","N"),"N"))</f>
        <v>N</v>
      </c>
      <c r="R102" s="25" t="n">
        <f aca="false">IF(OR($H102="",$H102="EUR"),1,IFERROR(INDEX(FX_Rates!$D:$D,MATCH($H102,FX_Rates!$A:$A,0)),""))</f>
        <v>1</v>
      </c>
      <c r="S102" s="26" t="str">
        <f aca="false">IF(AND($I102="",$J102=""),"",IF($J102&lt;&gt;"",$J102,IF(OR($R102="",$R102=0),"",ROUND($I102/$R102,2))))</f>
        <v/>
      </c>
      <c r="T102" s="24" t="str">
        <f aca="false">IF($N102="","",IFERROR(INDEX(VAT_Codes!$C:$C,MATCH($N102,VAT_Codes!$A:$A,0)),"")&amp;"")</f>
        <v/>
      </c>
      <c r="U102" s="26" t="n">
        <f aca="false">IF(OR($S102="",$T102="",$T102="None"),0,IF($T102="Output",-$S102,$S102))</f>
        <v>0</v>
      </c>
      <c r="V102" s="27" t="n">
        <f aca="false">IF($N102="",0,IFERROR(INDEX(VAT_Codes!$D:$D,MATCH($N102,VAT_Codes!$A:$A,0)),0))</f>
        <v>0</v>
      </c>
      <c r="W102" s="26" t="n">
        <f aca="false">IF($U102=0,0,IF(IFERROR(INDEX(VAT_Codes!$F:$F,MATCH($N102,VAT_Codes!$A:$A,0)),"N")="Y",$U102,IF($L102&lt;&gt;"",ROUND(ABS($L102)/IF(OR($R102="",$R102=0),1,$R102),2)*SIGN($U102),ROUND($U102*$V102,2))))</f>
        <v>0</v>
      </c>
      <c r="X102" s="24" t="str">
        <f aca="false">IF($N102="","",IFERROR(INDEX(VAT_Codes!$H:$H,MATCH($N102,VAT_Codes!$A:$A,0)),"")&amp;"")</f>
        <v/>
      </c>
      <c r="Y102" s="24" t="str">
        <f aca="false">IF($A102="","",(YEAR($A102)-YEAR(Settings!$C$8))*12+MONTH($A102)-MONTH(Settings!$C$8)+1)</f>
        <v/>
      </c>
      <c r="Z102" s="24" t="str">
        <f aca="false">IF(AND($C102="",$I102="",$J102=""),"",IF($N102="","NO VAT CODE",IF($T102="","UNKNOWN VAT CODE",IF($S102="","MISSING FX RATE",IF(OR($A102&lt;Settings!$C$8,$A102&gt;Settings!$C$9),"OUTSIDE PERIOD",IF(AND(IFERROR(INDEX(VAT_Codes!$E:$E,MATCH($N102,VAT_Codes!$A:$A,0)),"ANY")&lt;&gt;"ANY",$P102=""),"MISSING COUNTERPARTY COUNTRY",IF(AND(IFERROR(INDEX(VAT_Codes!$E:$E,MATCH($N102,VAT_Codes!$A:$A,0)),"ANY")&lt;&gt;"ANY",$P102&lt;&gt;IFERROR(INDEX(VAT_Codes!$E:$E,MATCH($N102,VAT_Codes!$A:$A,0)),"ANY")),"REGION MISMATCH","OK")))))))</f>
        <v/>
      </c>
    </row>
    <row r="103" customFormat="false" ht="15" hidden="false" customHeight="false" outlineLevel="0" collapsed="false">
      <c r="M103" s="24" t="str">
        <f aca="false">IF($C103="","",IFERROR(INDEX(Account_Mapping!$C:$C,MATCH($C103&amp;"",Account_Mapping!$A:$A,0))&amp;"",""))</f>
        <v/>
      </c>
      <c r="N103" s="24" t="str">
        <f aca="false">IF($K103&lt;&gt;"",$K103,$M103)</f>
        <v/>
      </c>
      <c r="O103" s="24" t="str">
        <f aca="false">IF($F103="","",IFERROR(INDEX(Counterparties!$C:$C,MATCH($F103&amp;"",Counterparties!$A:$A,0))&amp;"",""))</f>
        <v/>
      </c>
      <c r="P103" s="24" t="str">
        <f aca="false">IF($O103="","",IF($O103="CY","CY",IF(ISNUMBER(MATCH($O103,Lists!$A:$A,0)),"EU","3RD")))</f>
        <v/>
      </c>
      <c r="Q103" s="24" t="str">
        <f aca="false">IF($F103="","N",IFERROR(IF(INDEX(Counterparties!$E:$E,MATCH($F103&amp;"",Counterparties!$A:$A,0))="Y","Y","N"),"N"))</f>
        <v>N</v>
      </c>
      <c r="R103" s="25" t="n">
        <f aca="false">IF(OR($H103="",$H103="EUR"),1,IFERROR(INDEX(FX_Rates!$D:$D,MATCH($H103,FX_Rates!$A:$A,0)),""))</f>
        <v>1</v>
      </c>
      <c r="S103" s="26" t="str">
        <f aca="false">IF(AND($I103="",$J103=""),"",IF($J103&lt;&gt;"",$J103,IF(OR($R103="",$R103=0),"",ROUND($I103/$R103,2))))</f>
        <v/>
      </c>
      <c r="T103" s="24" t="str">
        <f aca="false">IF($N103="","",IFERROR(INDEX(VAT_Codes!$C:$C,MATCH($N103,VAT_Codes!$A:$A,0)),"")&amp;"")</f>
        <v/>
      </c>
      <c r="U103" s="26" t="n">
        <f aca="false">IF(OR($S103="",$T103="",$T103="None"),0,IF($T103="Output",-$S103,$S103))</f>
        <v>0</v>
      </c>
      <c r="V103" s="27" t="n">
        <f aca="false">IF($N103="",0,IFERROR(INDEX(VAT_Codes!$D:$D,MATCH($N103,VAT_Codes!$A:$A,0)),0))</f>
        <v>0</v>
      </c>
      <c r="W103" s="26" t="n">
        <f aca="false">IF($U103=0,0,IF(IFERROR(INDEX(VAT_Codes!$F:$F,MATCH($N103,VAT_Codes!$A:$A,0)),"N")="Y",$U103,IF($L103&lt;&gt;"",ROUND(ABS($L103)/IF(OR($R103="",$R103=0),1,$R103),2)*SIGN($U103),ROUND($U103*$V103,2))))</f>
        <v>0</v>
      </c>
      <c r="X103" s="24" t="str">
        <f aca="false">IF($N103="","",IFERROR(INDEX(VAT_Codes!$H:$H,MATCH($N103,VAT_Codes!$A:$A,0)),"")&amp;"")</f>
        <v/>
      </c>
      <c r="Y103" s="24" t="str">
        <f aca="false">IF($A103="","",(YEAR($A103)-YEAR(Settings!$C$8))*12+MONTH($A103)-MONTH(Settings!$C$8)+1)</f>
        <v/>
      </c>
      <c r="Z103" s="24" t="str">
        <f aca="false">IF(AND($C103="",$I103="",$J103=""),"",IF($N103="","NO VAT CODE",IF($T103="","UNKNOWN VAT CODE",IF($S103="","MISSING FX RATE",IF(OR($A103&lt;Settings!$C$8,$A103&gt;Settings!$C$9),"OUTSIDE PERIOD",IF(AND(IFERROR(INDEX(VAT_Codes!$E:$E,MATCH($N103,VAT_Codes!$A:$A,0)),"ANY")&lt;&gt;"ANY",$P103=""),"MISSING COUNTERPARTY COUNTRY",IF(AND(IFERROR(INDEX(VAT_Codes!$E:$E,MATCH($N103,VAT_Codes!$A:$A,0)),"ANY")&lt;&gt;"ANY",$P103&lt;&gt;IFERROR(INDEX(VAT_Codes!$E:$E,MATCH($N103,VAT_Codes!$A:$A,0)),"ANY")),"REGION MISMATCH","OK")))))))</f>
        <v/>
      </c>
    </row>
    <row r="104" customFormat="false" ht="15" hidden="false" customHeight="false" outlineLevel="0" collapsed="false">
      <c r="M104" s="24" t="str">
        <f aca="false">IF($C104="","",IFERROR(INDEX(Account_Mapping!$C:$C,MATCH($C104&amp;"",Account_Mapping!$A:$A,0))&amp;"",""))</f>
        <v/>
      </c>
      <c r="N104" s="24" t="str">
        <f aca="false">IF($K104&lt;&gt;"",$K104,$M104)</f>
        <v/>
      </c>
      <c r="O104" s="24" t="str">
        <f aca="false">IF($F104="","",IFERROR(INDEX(Counterparties!$C:$C,MATCH($F104&amp;"",Counterparties!$A:$A,0))&amp;"",""))</f>
        <v/>
      </c>
      <c r="P104" s="24" t="str">
        <f aca="false">IF($O104="","",IF($O104="CY","CY",IF(ISNUMBER(MATCH($O104,Lists!$A:$A,0)),"EU","3RD")))</f>
        <v/>
      </c>
      <c r="Q104" s="24" t="str">
        <f aca="false">IF($F104="","N",IFERROR(IF(INDEX(Counterparties!$E:$E,MATCH($F104&amp;"",Counterparties!$A:$A,0))="Y","Y","N"),"N"))</f>
        <v>N</v>
      </c>
      <c r="R104" s="25" t="n">
        <f aca="false">IF(OR($H104="",$H104="EUR"),1,IFERROR(INDEX(FX_Rates!$D:$D,MATCH($H104,FX_Rates!$A:$A,0)),""))</f>
        <v>1</v>
      </c>
      <c r="S104" s="26" t="str">
        <f aca="false">IF(AND($I104="",$J104=""),"",IF($J104&lt;&gt;"",$J104,IF(OR($R104="",$R104=0),"",ROUND($I104/$R104,2))))</f>
        <v/>
      </c>
      <c r="T104" s="24" t="str">
        <f aca="false">IF($N104="","",IFERROR(INDEX(VAT_Codes!$C:$C,MATCH($N104,VAT_Codes!$A:$A,0)),"")&amp;"")</f>
        <v/>
      </c>
      <c r="U104" s="26" t="n">
        <f aca="false">IF(OR($S104="",$T104="",$T104="None"),0,IF($T104="Output",-$S104,$S104))</f>
        <v>0</v>
      </c>
      <c r="V104" s="27" t="n">
        <f aca="false">IF($N104="",0,IFERROR(INDEX(VAT_Codes!$D:$D,MATCH($N104,VAT_Codes!$A:$A,0)),0))</f>
        <v>0</v>
      </c>
      <c r="W104" s="26" t="n">
        <f aca="false">IF($U104=0,0,IF(IFERROR(INDEX(VAT_Codes!$F:$F,MATCH($N104,VAT_Codes!$A:$A,0)),"N")="Y",$U104,IF($L104&lt;&gt;"",ROUND(ABS($L104)/IF(OR($R104="",$R104=0),1,$R104),2)*SIGN($U104),ROUND($U104*$V104,2))))</f>
        <v>0</v>
      </c>
      <c r="X104" s="24" t="str">
        <f aca="false">IF($N104="","",IFERROR(INDEX(VAT_Codes!$H:$H,MATCH($N104,VAT_Codes!$A:$A,0)),"")&amp;"")</f>
        <v/>
      </c>
      <c r="Y104" s="24" t="str">
        <f aca="false">IF($A104="","",(YEAR($A104)-YEAR(Settings!$C$8))*12+MONTH($A104)-MONTH(Settings!$C$8)+1)</f>
        <v/>
      </c>
      <c r="Z104" s="24" t="str">
        <f aca="false">IF(AND($C104="",$I104="",$J104=""),"",IF($N104="","NO VAT CODE",IF($T104="","UNKNOWN VAT CODE",IF($S104="","MISSING FX RATE",IF(OR($A104&lt;Settings!$C$8,$A104&gt;Settings!$C$9),"OUTSIDE PERIOD",IF(AND(IFERROR(INDEX(VAT_Codes!$E:$E,MATCH($N104,VAT_Codes!$A:$A,0)),"ANY")&lt;&gt;"ANY",$P104=""),"MISSING COUNTERPARTY COUNTRY",IF(AND(IFERROR(INDEX(VAT_Codes!$E:$E,MATCH($N104,VAT_Codes!$A:$A,0)),"ANY")&lt;&gt;"ANY",$P104&lt;&gt;IFERROR(INDEX(VAT_Codes!$E:$E,MATCH($N104,VAT_Codes!$A:$A,0)),"ANY")),"REGION MISMATCH","OK")))))))</f>
        <v/>
      </c>
    </row>
    <row r="105" customFormat="false" ht="15" hidden="false" customHeight="false" outlineLevel="0" collapsed="false">
      <c r="M105" s="24" t="str">
        <f aca="false">IF($C105="","",IFERROR(INDEX(Account_Mapping!$C:$C,MATCH($C105&amp;"",Account_Mapping!$A:$A,0))&amp;"",""))</f>
        <v/>
      </c>
      <c r="N105" s="24" t="str">
        <f aca="false">IF($K105&lt;&gt;"",$K105,$M105)</f>
        <v/>
      </c>
      <c r="O105" s="24" t="str">
        <f aca="false">IF($F105="","",IFERROR(INDEX(Counterparties!$C:$C,MATCH($F105&amp;"",Counterparties!$A:$A,0))&amp;"",""))</f>
        <v/>
      </c>
      <c r="P105" s="24" t="str">
        <f aca="false">IF($O105="","",IF($O105="CY","CY",IF(ISNUMBER(MATCH($O105,Lists!$A:$A,0)),"EU","3RD")))</f>
        <v/>
      </c>
      <c r="Q105" s="24" t="str">
        <f aca="false">IF($F105="","N",IFERROR(IF(INDEX(Counterparties!$E:$E,MATCH($F105&amp;"",Counterparties!$A:$A,0))="Y","Y","N"),"N"))</f>
        <v>N</v>
      </c>
      <c r="R105" s="25" t="n">
        <f aca="false">IF(OR($H105="",$H105="EUR"),1,IFERROR(INDEX(FX_Rates!$D:$D,MATCH($H105,FX_Rates!$A:$A,0)),""))</f>
        <v>1</v>
      </c>
      <c r="S105" s="26" t="str">
        <f aca="false">IF(AND($I105="",$J105=""),"",IF($J105&lt;&gt;"",$J105,IF(OR($R105="",$R105=0),"",ROUND($I105/$R105,2))))</f>
        <v/>
      </c>
      <c r="T105" s="24" t="str">
        <f aca="false">IF($N105="","",IFERROR(INDEX(VAT_Codes!$C:$C,MATCH($N105,VAT_Codes!$A:$A,0)),"")&amp;"")</f>
        <v/>
      </c>
      <c r="U105" s="26" t="n">
        <f aca="false">IF(OR($S105="",$T105="",$T105="None"),0,IF($T105="Output",-$S105,$S105))</f>
        <v>0</v>
      </c>
      <c r="V105" s="27" t="n">
        <f aca="false">IF($N105="",0,IFERROR(INDEX(VAT_Codes!$D:$D,MATCH($N105,VAT_Codes!$A:$A,0)),0))</f>
        <v>0</v>
      </c>
      <c r="W105" s="26" t="n">
        <f aca="false">IF($U105=0,0,IF(IFERROR(INDEX(VAT_Codes!$F:$F,MATCH($N105,VAT_Codes!$A:$A,0)),"N")="Y",$U105,IF($L105&lt;&gt;"",ROUND(ABS($L105)/IF(OR($R105="",$R105=0),1,$R105),2)*SIGN($U105),ROUND($U105*$V105,2))))</f>
        <v>0</v>
      </c>
      <c r="X105" s="24" t="str">
        <f aca="false">IF($N105="","",IFERROR(INDEX(VAT_Codes!$H:$H,MATCH($N105,VAT_Codes!$A:$A,0)),"")&amp;"")</f>
        <v/>
      </c>
      <c r="Y105" s="24" t="str">
        <f aca="false">IF($A105="","",(YEAR($A105)-YEAR(Settings!$C$8))*12+MONTH($A105)-MONTH(Settings!$C$8)+1)</f>
        <v/>
      </c>
      <c r="Z105" s="24" t="str">
        <f aca="false">IF(AND($C105="",$I105="",$J105=""),"",IF($N105="","NO VAT CODE",IF($T105="","UNKNOWN VAT CODE",IF($S105="","MISSING FX RATE",IF(OR($A105&lt;Settings!$C$8,$A105&gt;Settings!$C$9),"OUTSIDE PERIOD",IF(AND(IFERROR(INDEX(VAT_Codes!$E:$E,MATCH($N105,VAT_Codes!$A:$A,0)),"ANY")&lt;&gt;"ANY",$P105=""),"MISSING COUNTERPARTY COUNTRY",IF(AND(IFERROR(INDEX(VAT_Codes!$E:$E,MATCH($N105,VAT_Codes!$A:$A,0)),"ANY")&lt;&gt;"ANY",$P105&lt;&gt;IFERROR(INDEX(VAT_Codes!$E:$E,MATCH($N105,VAT_Codes!$A:$A,0)),"ANY")),"REGION MISMATCH","OK")))))))</f>
        <v/>
      </c>
    </row>
    <row r="106" customFormat="false" ht="15" hidden="false" customHeight="false" outlineLevel="0" collapsed="false">
      <c r="M106" s="24" t="str">
        <f aca="false">IF($C106="","",IFERROR(INDEX(Account_Mapping!$C:$C,MATCH($C106&amp;"",Account_Mapping!$A:$A,0))&amp;"",""))</f>
        <v/>
      </c>
      <c r="N106" s="24" t="str">
        <f aca="false">IF($K106&lt;&gt;"",$K106,$M106)</f>
        <v/>
      </c>
      <c r="O106" s="24" t="str">
        <f aca="false">IF($F106="","",IFERROR(INDEX(Counterparties!$C:$C,MATCH($F106&amp;"",Counterparties!$A:$A,0))&amp;"",""))</f>
        <v/>
      </c>
      <c r="P106" s="24" t="str">
        <f aca="false">IF($O106="","",IF($O106="CY","CY",IF(ISNUMBER(MATCH($O106,Lists!$A:$A,0)),"EU","3RD")))</f>
        <v/>
      </c>
      <c r="Q106" s="24" t="str">
        <f aca="false">IF($F106="","N",IFERROR(IF(INDEX(Counterparties!$E:$E,MATCH($F106&amp;"",Counterparties!$A:$A,0))="Y","Y","N"),"N"))</f>
        <v>N</v>
      </c>
      <c r="R106" s="25" t="n">
        <f aca="false">IF(OR($H106="",$H106="EUR"),1,IFERROR(INDEX(FX_Rates!$D:$D,MATCH($H106,FX_Rates!$A:$A,0)),""))</f>
        <v>1</v>
      </c>
      <c r="S106" s="26" t="str">
        <f aca="false">IF(AND($I106="",$J106=""),"",IF($J106&lt;&gt;"",$J106,IF(OR($R106="",$R106=0),"",ROUND($I106/$R106,2))))</f>
        <v/>
      </c>
      <c r="T106" s="24" t="str">
        <f aca="false">IF($N106="","",IFERROR(INDEX(VAT_Codes!$C:$C,MATCH($N106,VAT_Codes!$A:$A,0)),"")&amp;"")</f>
        <v/>
      </c>
      <c r="U106" s="26" t="n">
        <f aca="false">IF(OR($S106="",$T106="",$T106="None"),0,IF($T106="Output",-$S106,$S106))</f>
        <v>0</v>
      </c>
      <c r="V106" s="27" t="n">
        <f aca="false">IF($N106="",0,IFERROR(INDEX(VAT_Codes!$D:$D,MATCH($N106,VAT_Codes!$A:$A,0)),0))</f>
        <v>0</v>
      </c>
      <c r="W106" s="26" t="n">
        <f aca="false">IF($U106=0,0,IF(IFERROR(INDEX(VAT_Codes!$F:$F,MATCH($N106,VAT_Codes!$A:$A,0)),"N")="Y",$U106,IF($L106&lt;&gt;"",ROUND(ABS($L106)/IF(OR($R106="",$R106=0),1,$R106),2)*SIGN($U106),ROUND($U106*$V106,2))))</f>
        <v>0</v>
      </c>
      <c r="X106" s="24" t="str">
        <f aca="false">IF($N106="","",IFERROR(INDEX(VAT_Codes!$H:$H,MATCH($N106,VAT_Codes!$A:$A,0)),"")&amp;"")</f>
        <v/>
      </c>
      <c r="Y106" s="24" t="str">
        <f aca="false">IF($A106="","",(YEAR($A106)-YEAR(Settings!$C$8))*12+MONTH($A106)-MONTH(Settings!$C$8)+1)</f>
        <v/>
      </c>
      <c r="Z106" s="24" t="str">
        <f aca="false">IF(AND($C106="",$I106="",$J106=""),"",IF($N106="","NO VAT CODE",IF($T106="","UNKNOWN VAT CODE",IF($S106="","MISSING FX RATE",IF(OR($A106&lt;Settings!$C$8,$A106&gt;Settings!$C$9),"OUTSIDE PERIOD",IF(AND(IFERROR(INDEX(VAT_Codes!$E:$E,MATCH($N106,VAT_Codes!$A:$A,0)),"ANY")&lt;&gt;"ANY",$P106=""),"MISSING COUNTERPARTY COUNTRY",IF(AND(IFERROR(INDEX(VAT_Codes!$E:$E,MATCH($N106,VAT_Codes!$A:$A,0)),"ANY")&lt;&gt;"ANY",$P106&lt;&gt;IFERROR(INDEX(VAT_Codes!$E:$E,MATCH($N106,VAT_Codes!$A:$A,0)),"ANY")),"REGION MISMATCH","OK")))))))</f>
        <v/>
      </c>
    </row>
    <row r="107" customFormat="false" ht="15" hidden="false" customHeight="false" outlineLevel="0" collapsed="false">
      <c r="M107" s="24" t="str">
        <f aca="false">IF($C107="","",IFERROR(INDEX(Account_Mapping!$C:$C,MATCH($C107&amp;"",Account_Mapping!$A:$A,0))&amp;"",""))</f>
        <v/>
      </c>
      <c r="N107" s="24" t="str">
        <f aca="false">IF($K107&lt;&gt;"",$K107,$M107)</f>
        <v/>
      </c>
      <c r="O107" s="24" t="str">
        <f aca="false">IF($F107="","",IFERROR(INDEX(Counterparties!$C:$C,MATCH($F107&amp;"",Counterparties!$A:$A,0))&amp;"",""))</f>
        <v/>
      </c>
      <c r="P107" s="24" t="str">
        <f aca="false">IF($O107="","",IF($O107="CY","CY",IF(ISNUMBER(MATCH($O107,Lists!$A:$A,0)),"EU","3RD")))</f>
        <v/>
      </c>
      <c r="Q107" s="24" t="str">
        <f aca="false">IF($F107="","N",IFERROR(IF(INDEX(Counterparties!$E:$E,MATCH($F107&amp;"",Counterparties!$A:$A,0))="Y","Y","N"),"N"))</f>
        <v>N</v>
      </c>
      <c r="R107" s="25" t="n">
        <f aca="false">IF(OR($H107="",$H107="EUR"),1,IFERROR(INDEX(FX_Rates!$D:$D,MATCH($H107,FX_Rates!$A:$A,0)),""))</f>
        <v>1</v>
      </c>
      <c r="S107" s="26" t="str">
        <f aca="false">IF(AND($I107="",$J107=""),"",IF($J107&lt;&gt;"",$J107,IF(OR($R107="",$R107=0),"",ROUND($I107/$R107,2))))</f>
        <v/>
      </c>
      <c r="T107" s="24" t="str">
        <f aca="false">IF($N107="","",IFERROR(INDEX(VAT_Codes!$C:$C,MATCH($N107,VAT_Codes!$A:$A,0)),"")&amp;"")</f>
        <v/>
      </c>
      <c r="U107" s="26" t="n">
        <f aca="false">IF(OR($S107="",$T107="",$T107="None"),0,IF($T107="Output",-$S107,$S107))</f>
        <v>0</v>
      </c>
      <c r="V107" s="27" t="n">
        <f aca="false">IF($N107="",0,IFERROR(INDEX(VAT_Codes!$D:$D,MATCH($N107,VAT_Codes!$A:$A,0)),0))</f>
        <v>0</v>
      </c>
      <c r="W107" s="26" t="n">
        <f aca="false">IF($U107=0,0,IF(IFERROR(INDEX(VAT_Codes!$F:$F,MATCH($N107,VAT_Codes!$A:$A,0)),"N")="Y",$U107,IF($L107&lt;&gt;"",ROUND(ABS($L107)/IF(OR($R107="",$R107=0),1,$R107),2)*SIGN($U107),ROUND($U107*$V107,2))))</f>
        <v>0</v>
      </c>
      <c r="X107" s="24" t="str">
        <f aca="false">IF($N107="","",IFERROR(INDEX(VAT_Codes!$H:$H,MATCH($N107,VAT_Codes!$A:$A,0)),"")&amp;"")</f>
        <v/>
      </c>
      <c r="Y107" s="24" t="str">
        <f aca="false">IF($A107="","",(YEAR($A107)-YEAR(Settings!$C$8))*12+MONTH($A107)-MONTH(Settings!$C$8)+1)</f>
        <v/>
      </c>
      <c r="Z107" s="24" t="str">
        <f aca="false">IF(AND($C107="",$I107="",$J107=""),"",IF($N107="","NO VAT CODE",IF($T107="","UNKNOWN VAT CODE",IF($S107="","MISSING FX RATE",IF(OR($A107&lt;Settings!$C$8,$A107&gt;Settings!$C$9),"OUTSIDE PERIOD",IF(AND(IFERROR(INDEX(VAT_Codes!$E:$E,MATCH($N107,VAT_Codes!$A:$A,0)),"ANY")&lt;&gt;"ANY",$P107=""),"MISSING COUNTERPARTY COUNTRY",IF(AND(IFERROR(INDEX(VAT_Codes!$E:$E,MATCH($N107,VAT_Codes!$A:$A,0)),"ANY")&lt;&gt;"ANY",$P107&lt;&gt;IFERROR(INDEX(VAT_Codes!$E:$E,MATCH($N107,VAT_Codes!$A:$A,0)),"ANY")),"REGION MISMATCH","OK")))))))</f>
        <v/>
      </c>
    </row>
    <row r="108" customFormat="false" ht="15" hidden="false" customHeight="false" outlineLevel="0" collapsed="false">
      <c r="M108" s="24" t="str">
        <f aca="false">IF($C108="","",IFERROR(INDEX(Account_Mapping!$C:$C,MATCH($C108&amp;"",Account_Mapping!$A:$A,0))&amp;"",""))</f>
        <v/>
      </c>
      <c r="N108" s="24" t="str">
        <f aca="false">IF($K108&lt;&gt;"",$K108,$M108)</f>
        <v/>
      </c>
      <c r="O108" s="24" t="str">
        <f aca="false">IF($F108="","",IFERROR(INDEX(Counterparties!$C:$C,MATCH($F108&amp;"",Counterparties!$A:$A,0))&amp;"",""))</f>
        <v/>
      </c>
      <c r="P108" s="24" t="str">
        <f aca="false">IF($O108="","",IF($O108="CY","CY",IF(ISNUMBER(MATCH($O108,Lists!$A:$A,0)),"EU","3RD")))</f>
        <v/>
      </c>
      <c r="Q108" s="24" t="str">
        <f aca="false">IF($F108="","N",IFERROR(IF(INDEX(Counterparties!$E:$E,MATCH($F108&amp;"",Counterparties!$A:$A,0))="Y","Y","N"),"N"))</f>
        <v>N</v>
      </c>
      <c r="R108" s="25" t="n">
        <f aca="false">IF(OR($H108="",$H108="EUR"),1,IFERROR(INDEX(FX_Rates!$D:$D,MATCH($H108,FX_Rates!$A:$A,0)),""))</f>
        <v>1</v>
      </c>
      <c r="S108" s="26" t="str">
        <f aca="false">IF(AND($I108="",$J108=""),"",IF($J108&lt;&gt;"",$J108,IF(OR($R108="",$R108=0),"",ROUND($I108/$R108,2))))</f>
        <v/>
      </c>
      <c r="T108" s="24" t="str">
        <f aca="false">IF($N108="","",IFERROR(INDEX(VAT_Codes!$C:$C,MATCH($N108,VAT_Codes!$A:$A,0)),"")&amp;"")</f>
        <v/>
      </c>
      <c r="U108" s="26" t="n">
        <f aca="false">IF(OR($S108="",$T108="",$T108="None"),0,IF($T108="Output",-$S108,$S108))</f>
        <v>0</v>
      </c>
      <c r="V108" s="27" t="n">
        <f aca="false">IF($N108="",0,IFERROR(INDEX(VAT_Codes!$D:$D,MATCH($N108,VAT_Codes!$A:$A,0)),0))</f>
        <v>0</v>
      </c>
      <c r="W108" s="26" t="n">
        <f aca="false">IF($U108=0,0,IF(IFERROR(INDEX(VAT_Codes!$F:$F,MATCH($N108,VAT_Codes!$A:$A,0)),"N")="Y",$U108,IF($L108&lt;&gt;"",ROUND(ABS($L108)/IF(OR($R108="",$R108=0),1,$R108),2)*SIGN($U108),ROUND($U108*$V108,2))))</f>
        <v>0</v>
      </c>
      <c r="X108" s="24" t="str">
        <f aca="false">IF($N108="","",IFERROR(INDEX(VAT_Codes!$H:$H,MATCH($N108,VAT_Codes!$A:$A,0)),"")&amp;"")</f>
        <v/>
      </c>
      <c r="Y108" s="24" t="str">
        <f aca="false">IF($A108="","",(YEAR($A108)-YEAR(Settings!$C$8))*12+MONTH($A108)-MONTH(Settings!$C$8)+1)</f>
        <v/>
      </c>
      <c r="Z108" s="24" t="str">
        <f aca="false">IF(AND($C108="",$I108="",$J108=""),"",IF($N108="","NO VAT CODE",IF($T108="","UNKNOWN VAT CODE",IF($S108="","MISSING FX RATE",IF(OR($A108&lt;Settings!$C$8,$A108&gt;Settings!$C$9),"OUTSIDE PERIOD",IF(AND(IFERROR(INDEX(VAT_Codes!$E:$E,MATCH($N108,VAT_Codes!$A:$A,0)),"ANY")&lt;&gt;"ANY",$P108=""),"MISSING COUNTERPARTY COUNTRY",IF(AND(IFERROR(INDEX(VAT_Codes!$E:$E,MATCH($N108,VAT_Codes!$A:$A,0)),"ANY")&lt;&gt;"ANY",$P108&lt;&gt;IFERROR(INDEX(VAT_Codes!$E:$E,MATCH($N108,VAT_Codes!$A:$A,0)),"ANY")),"REGION MISMATCH","OK")))))))</f>
        <v/>
      </c>
    </row>
    <row r="109" customFormat="false" ht="15" hidden="false" customHeight="false" outlineLevel="0" collapsed="false">
      <c r="M109" s="24" t="str">
        <f aca="false">IF($C109="","",IFERROR(INDEX(Account_Mapping!$C:$C,MATCH($C109&amp;"",Account_Mapping!$A:$A,0))&amp;"",""))</f>
        <v/>
      </c>
      <c r="N109" s="24" t="str">
        <f aca="false">IF($K109&lt;&gt;"",$K109,$M109)</f>
        <v/>
      </c>
      <c r="O109" s="24" t="str">
        <f aca="false">IF($F109="","",IFERROR(INDEX(Counterparties!$C:$C,MATCH($F109&amp;"",Counterparties!$A:$A,0))&amp;"",""))</f>
        <v/>
      </c>
      <c r="P109" s="24" t="str">
        <f aca="false">IF($O109="","",IF($O109="CY","CY",IF(ISNUMBER(MATCH($O109,Lists!$A:$A,0)),"EU","3RD")))</f>
        <v/>
      </c>
      <c r="Q109" s="24" t="str">
        <f aca="false">IF($F109="","N",IFERROR(IF(INDEX(Counterparties!$E:$E,MATCH($F109&amp;"",Counterparties!$A:$A,0))="Y","Y","N"),"N"))</f>
        <v>N</v>
      </c>
      <c r="R109" s="25" t="n">
        <f aca="false">IF(OR($H109="",$H109="EUR"),1,IFERROR(INDEX(FX_Rates!$D:$D,MATCH($H109,FX_Rates!$A:$A,0)),""))</f>
        <v>1</v>
      </c>
      <c r="S109" s="26" t="str">
        <f aca="false">IF(AND($I109="",$J109=""),"",IF($J109&lt;&gt;"",$J109,IF(OR($R109="",$R109=0),"",ROUND($I109/$R109,2))))</f>
        <v/>
      </c>
      <c r="T109" s="24" t="str">
        <f aca="false">IF($N109="","",IFERROR(INDEX(VAT_Codes!$C:$C,MATCH($N109,VAT_Codes!$A:$A,0)),"")&amp;"")</f>
        <v/>
      </c>
      <c r="U109" s="26" t="n">
        <f aca="false">IF(OR($S109="",$T109="",$T109="None"),0,IF($T109="Output",-$S109,$S109))</f>
        <v>0</v>
      </c>
      <c r="V109" s="27" t="n">
        <f aca="false">IF($N109="",0,IFERROR(INDEX(VAT_Codes!$D:$D,MATCH($N109,VAT_Codes!$A:$A,0)),0))</f>
        <v>0</v>
      </c>
      <c r="W109" s="26" t="n">
        <f aca="false">IF($U109=0,0,IF(IFERROR(INDEX(VAT_Codes!$F:$F,MATCH($N109,VAT_Codes!$A:$A,0)),"N")="Y",$U109,IF($L109&lt;&gt;"",ROUND(ABS($L109)/IF(OR($R109="",$R109=0),1,$R109),2)*SIGN($U109),ROUND($U109*$V109,2))))</f>
        <v>0</v>
      </c>
      <c r="X109" s="24" t="str">
        <f aca="false">IF($N109="","",IFERROR(INDEX(VAT_Codes!$H:$H,MATCH($N109,VAT_Codes!$A:$A,0)),"")&amp;"")</f>
        <v/>
      </c>
      <c r="Y109" s="24" t="str">
        <f aca="false">IF($A109="","",(YEAR($A109)-YEAR(Settings!$C$8))*12+MONTH($A109)-MONTH(Settings!$C$8)+1)</f>
        <v/>
      </c>
      <c r="Z109" s="24" t="str">
        <f aca="false">IF(AND($C109="",$I109="",$J109=""),"",IF($N109="","NO VAT CODE",IF($T109="","UNKNOWN VAT CODE",IF($S109="","MISSING FX RATE",IF(OR($A109&lt;Settings!$C$8,$A109&gt;Settings!$C$9),"OUTSIDE PERIOD",IF(AND(IFERROR(INDEX(VAT_Codes!$E:$E,MATCH($N109,VAT_Codes!$A:$A,0)),"ANY")&lt;&gt;"ANY",$P109=""),"MISSING COUNTERPARTY COUNTRY",IF(AND(IFERROR(INDEX(VAT_Codes!$E:$E,MATCH($N109,VAT_Codes!$A:$A,0)),"ANY")&lt;&gt;"ANY",$P109&lt;&gt;IFERROR(INDEX(VAT_Codes!$E:$E,MATCH($N109,VAT_Codes!$A:$A,0)),"ANY")),"REGION MISMATCH","OK")))))))</f>
        <v/>
      </c>
    </row>
    <row r="110" customFormat="false" ht="15" hidden="false" customHeight="false" outlineLevel="0" collapsed="false">
      <c r="M110" s="24" t="str">
        <f aca="false">IF($C110="","",IFERROR(INDEX(Account_Mapping!$C:$C,MATCH($C110&amp;"",Account_Mapping!$A:$A,0))&amp;"",""))</f>
        <v/>
      </c>
      <c r="N110" s="24" t="str">
        <f aca="false">IF($K110&lt;&gt;"",$K110,$M110)</f>
        <v/>
      </c>
      <c r="O110" s="24" t="str">
        <f aca="false">IF($F110="","",IFERROR(INDEX(Counterparties!$C:$C,MATCH($F110&amp;"",Counterparties!$A:$A,0))&amp;"",""))</f>
        <v/>
      </c>
      <c r="P110" s="24" t="str">
        <f aca="false">IF($O110="","",IF($O110="CY","CY",IF(ISNUMBER(MATCH($O110,Lists!$A:$A,0)),"EU","3RD")))</f>
        <v/>
      </c>
      <c r="Q110" s="24" t="str">
        <f aca="false">IF($F110="","N",IFERROR(IF(INDEX(Counterparties!$E:$E,MATCH($F110&amp;"",Counterparties!$A:$A,0))="Y","Y","N"),"N"))</f>
        <v>N</v>
      </c>
      <c r="R110" s="25" t="n">
        <f aca="false">IF(OR($H110="",$H110="EUR"),1,IFERROR(INDEX(FX_Rates!$D:$D,MATCH($H110,FX_Rates!$A:$A,0)),""))</f>
        <v>1</v>
      </c>
      <c r="S110" s="26" t="str">
        <f aca="false">IF(AND($I110="",$J110=""),"",IF($J110&lt;&gt;"",$J110,IF(OR($R110="",$R110=0),"",ROUND($I110/$R110,2))))</f>
        <v/>
      </c>
      <c r="T110" s="24" t="str">
        <f aca="false">IF($N110="","",IFERROR(INDEX(VAT_Codes!$C:$C,MATCH($N110,VAT_Codes!$A:$A,0)),"")&amp;"")</f>
        <v/>
      </c>
      <c r="U110" s="26" t="n">
        <f aca="false">IF(OR($S110="",$T110="",$T110="None"),0,IF($T110="Output",-$S110,$S110))</f>
        <v>0</v>
      </c>
      <c r="V110" s="27" t="n">
        <f aca="false">IF($N110="",0,IFERROR(INDEX(VAT_Codes!$D:$D,MATCH($N110,VAT_Codes!$A:$A,0)),0))</f>
        <v>0</v>
      </c>
      <c r="W110" s="26" t="n">
        <f aca="false">IF($U110=0,0,IF(IFERROR(INDEX(VAT_Codes!$F:$F,MATCH($N110,VAT_Codes!$A:$A,0)),"N")="Y",$U110,IF($L110&lt;&gt;"",ROUND(ABS($L110)/IF(OR($R110="",$R110=0),1,$R110),2)*SIGN($U110),ROUND($U110*$V110,2))))</f>
        <v>0</v>
      </c>
      <c r="X110" s="24" t="str">
        <f aca="false">IF($N110="","",IFERROR(INDEX(VAT_Codes!$H:$H,MATCH($N110,VAT_Codes!$A:$A,0)),"")&amp;"")</f>
        <v/>
      </c>
      <c r="Y110" s="24" t="str">
        <f aca="false">IF($A110="","",(YEAR($A110)-YEAR(Settings!$C$8))*12+MONTH($A110)-MONTH(Settings!$C$8)+1)</f>
        <v/>
      </c>
      <c r="Z110" s="24" t="str">
        <f aca="false">IF(AND($C110="",$I110="",$J110=""),"",IF($N110="","NO VAT CODE",IF($T110="","UNKNOWN VAT CODE",IF($S110="","MISSING FX RATE",IF(OR($A110&lt;Settings!$C$8,$A110&gt;Settings!$C$9),"OUTSIDE PERIOD",IF(AND(IFERROR(INDEX(VAT_Codes!$E:$E,MATCH($N110,VAT_Codes!$A:$A,0)),"ANY")&lt;&gt;"ANY",$P110=""),"MISSING COUNTERPARTY COUNTRY",IF(AND(IFERROR(INDEX(VAT_Codes!$E:$E,MATCH($N110,VAT_Codes!$A:$A,0)),"ANY")&lt;&gt;"ANY",$P110&lt;&gt;IFERROR(INDEX(VAT_Codes!$E:$E,MATCH($N110,VAT_Codes!$A:$A,0)),"ANY")),"REGION MISMATCH","OK")))))))</f>
        <v/>
      </c>
    </row>
    <row r="111" customFormat="false" ht="15" hidden="false" customHeight="false" outlineLevel="0" collapsed="false">
      <c r="M111" s="24" t="str">
        <f aca="false">IF($C111="","",IFERROR(INDEX(Account_Mapping!$C:$C,MATCH($C111&amp;"",Account_Mapping!$A:$A,0))&amp;"",""))</f>
        <v/>
      </c>
      <c r="N111" s="24" t="str">
        <f aca="false">IF($K111&lt;&gt;"",$K111,$M111)</f>
        <v/>
      </c>
      <c r="O111" s="24" t="str">
        <f aca="false">IF($F111="","",IFERROR(INDEX(Counterparties!$C:$C,MATCH($F111&amp;"",Counterparties!$A:$A,0))&amp;"",""))</f>
        <v/>
      </c>
      <c r="P111" s="24" t="str">
        <f aca="false">IF($O111="","",IF($O111="CY","CY",IF(ISNUMBER(MATCH($O111,Lists!$A:$A,0)),"EU","3RD")))</f>
        <v/>
      </c>
      <c r="Q111" s="24" t="str">
        <f aca="false">IF($F111="","N",IFERROR(IF(INDEX(Counterparties!$E:$E,MATCH($F111&amp;"",Counterparties!$A:$A,0))="Y","Y","N"),"N"))</f>
        <v>N</v>
      </c>
      <c r="R111" s="25" t="n">
        <f aca="false">IF(OR($H111="",$H111="EUR"),1,IFERROR(INDEX(FX_Rates!$D:$D,MATCH($H111,FX_Rates!$A:$A,0)),""))</f>
        <v>1</v>
      </c>
      <c r="S111" s="26" t="str">
        <f aca="false">IF(AND($I111="",$J111=""),"",IF($J111&lt;&gt;"",$J111,IF(OR($R111="",$R111=0),"",ROUND($I111/$R111,2))))</f>
        <v/>
      </c>
      <c r="T111" s="24" t="str">
        <f aca="false">IF($N111="","",IFERROR(INDEX(VAT_Codes!$C:$C,MATCH($N111,VAT_Codes!$A:$A,0)),"")&amp;"")</f>
        <v/>
      </c>
      <c r="U111" s="26" t="n">
        <f aca="false">IF(OR($S111="",$T111="",$T111="None"),0,IF($T111="Output",-$S111,$S111))</f>
        <v>0</v>
      </c>
      <c r="V111" s="27" t="n">
        <f aca="false">IF($N111="",0,IFERROR(INDEX(VAT_Codes!$D:$D,MATCH($N111,VAT_Codes!$A:$A,0)),0))</f>
        <v>0</v>
      </c>
      <c r="W111" s="26" t="n">
        <f aca="false">IF($U111=0,0,IF(IFERROR(INDEX(VAT_Codes!$F:$F,MATCH($N111,VAT_Codes!$A:$A,0)),"N")="Y",$U111,IF($L111&lt;&gt;"",ROUND(ABS($L111)/IF(OR($R111="",$R111=0),1,$R111),2)*SIGN($U111),ROUND($U111*$V111,2))))</f>
        <v>0</v>
      </c>
      <c r="X111" s="24" t="str">
        <f aca="false">IF($N111="","",IFERROR(INDEX(VAT_Codes!$H:$H,MATCH($N111,VAT_Codes!$A:$A,0)),"")&amp;"")</f>
        <v/>
      </c>
      <c r="Y111" s="24" t="str">
        <f aca="false">IF($A111="","",(YEAR($A111)-YEAR(Settings!$C$8))*12+MONTH($A111)-MONTH(Settings!$C$8)+1)</f>
        <v/>
      </c>
      <c r="Z111" s="24" t="str">
        <f aca="false">IF(AND($C111="",$I111="",$J111=""),"",IF($N111="","NO VAT CODE",IF($T111="","UNKNOWN VAT CODE",IF($S111="","MISSING FX RATE",IF(OR($A111&lt;Settings!$C$8,$A111&gt;Settings!$C$9),"OUTSIDE PERIOD",IF(AND(IFERROR(INDEX(VAT_Codes!$E:$E,MATCH($N111,VAT_Codes!$A:$A,0)),"ANY")&lt;&gt;"ANY",$P111=""),"MISSING COUNTERPARTY COUNTRY",IF(AND(IFERROR(INDEX(VAT_Codes!$E:$E,MATCH($N111,VAT_Codes!$A:$A,0)),"ANY")&lt;&gt;"ANY",$P111&lt;&gt;IFERROR(INDEX(VAT_Codes!$E:$E,MATCH($N111,VAT_Codes!$A:$A,0)),"ANY")),"REGION MISMATCH","OK")))))))</f>
        <v/>
      </c>
    </row>
    <row r="112" customFormat="false" ht="15" hidden="false" customHeight="false" outlineLevel="0" collapsed="false">
      <c r="M112" s="24" t="str">
        <f aca="false">IF($C112="","",IFERROR(INDEX(Account_Mapping!$C:$C,MATCH($C112&amp;"",Account_Mapping!$A:$A,0))&amp;"",""))</f>
        <v/>
      </c>
      <c r="N112" s="24" t="str">
        <f aca="false">IF($K112&lt;&gt;"",$K112,$M112)</f>
        <v/>
      </c>
      <c r="O112" s="24" t="str">
        <f aca="false">IF($F112="","",IFERROR(INDEX(Counterparties!$C:$C,MATCH($F112&amp;"",Counterparties!$A:$A,0))&amp;"",""))</f>
        <v/>
      </c>
      <c r="P112" s="24" t="str">
        <f aca="false">IF($O112="","",IF($O112="CY","CY",IF(ISNUMBER(MATCH($O112,Lists!$A:$A,0)),"EU","3RD")))</f>
        <v/>
      </c>
      <c r="Q112" s="24" t="str">
        <f aca="false">IF($F112="","N",IFERROR(IF(INDEX(Counterparties!$E:$E,MATCH($F112&amp;"",Counterparties!$A:$A,0))="Y","Y","N"),"N"))</f>
        <v>N</v>
      </c>
      <c r="R112" s="25" t="n">
        <f aca="false">IF(OR($H112="",$H112="EUR"),1,IFERROR(INDEX(FX_Rates!$D:$D,MATCH($H112,FX_Rates!$A:$A,0)),""))</f>
        <v>1</v>
      </c>
      <c r="S112" s="26" t="str">
        <f aca="false">IF(AND($I112="",$J112=""),"",IF($J112&lt;&gt;"",$J112,IF(OR($R112="",$R112=0),"",ROUND($I112/$R112,2))))</f>
        <v/>
      </c>
      <c r="T112" s="24" t="str">
        <f aca="false">IF($N112="","",IFERROR(INDEX(VAT_Codes!$C:$C,MATCH($N112,VAT_Codes!$A:$A,0)),"")&amp;"")</f>
        <v/>
      </c>
      <c r="U112" s="26" t="n">
        <f aca="false">IF(OR($S112="",$T112="",$T112="None"),0,IF($T112="Output",-$S112,$S112))</f>
        <v>0</v>
      </c>
      <c r="V112" s="27" t="n">
        <f aca="false">IF($N112="",0,IFERROR(INDEX(VAT_Codes!$D:$D,MATCH($N112,VAT_Codes!$A:$A,0)),0))</f>
        <v>0</v>
      </c>
      <c r="W112" s="26" t="n">
        <f aca="false">IF($U112=0,0,IF(IFERROR(INDEX(VAT_Codes!$F:$F,MATCH($N112,VAT_Codes!$A:$A,0)),"N")="Y",$U112,IF($L112&lt;&gt;"",ROUND(ABS($L112)/IF(OR($R112="",$R112=0),1,$R112),2)*SIGN($U112),ROUND($U112*$V112,2))))</f>
        <v>0</v>
      </c>
      <c r="X112" s="24" t="str">
        <f aca="false">IF($N112="","",IFERROR(INDEX(VAT_Codes!$H:$H,MATCH($N112,VAT_Codes!$A:$A,0)),"")&amp;"")</f>
        <v/>
      </c>
      <c r="Y112" s="24" t="str">
        <f aca="false">IF($A112="","",(YEAR($A112)-YEAR(Settings!$C$8))*12+MONTH($A112)-MONTH(Settings!$C$8)+1)</f>
        <v/>
      </c>
      <c r="Z112" s="24" t="str">
        <f aca="false">IF(AND($C112="",$I112="",$J112=""),"",IF($N112="","NO VAT CODE",IF($T112="","UNKNOWN VAT CODE",IF($S112="","MISSING FX RATE",IF(OR($A112&lt;Settings!$C$8,$A112&gt;Settings!$C$9),"OUTSIDE PERIOD",IF(AND(IFERROR(INDEX(VAT_Codes!$E:$E,MATCH($N112,VAT_Codes!$A:$A,0)),"ANY")&lt;&gt;"ANY",$P112=""),"MISSING COUNTERPARTY COUNTRY",IF(AND(IFERROR(INDEX(VAT_Codes!$E:$E,MATCH($N112,VAT_Codes!$A:$A,0)),"ANY")&lt;&gt;"ANY",$P112&lt;&gt;IFERROR(INDEX(VAT_Codes!$E:$E,MATCH($N112,VAT_Codes!$A:$A,0)),"ANY")),"REGION MISMATCH","OK")))))))</f>
        <v/>
      </c>
    </row>
    <row r="113" customFormat="false" ht="15" hidden="false" customHeight="false" outlineLevel="0" collapsed="false">
      <c r="M113" s="24" t="str">
        <f aca="false">IF($C113="","",IFERROR(INDEX(Account_Mapping!$C:$C,MATCH($C113&amp;"",Account_Mapping!$A:$A,0))&amp;"",""))</f>
        <v/>
      </c>
      <c r="N113" s="24" t="str">
        <f aca="false">IF($K113&lt;&gt;"",$K113,$M113)</f>
        <v/>
      </c>
      <c r="O113" s="24" t="str">
        <f aca="false">IF($F113="","",IFERROR(INDEX(Counterparties!$C:$C,MATCH($F113&amp;"",Counterparties!$A:$A,0))&amp;"",""))</f>
        <v/>
      </c>
      <c r="P113" s="24" t="str">
        <f aca="false">IF($O113="","",IF($O113="CY","CY",IF(ISNUMBER(MATCH($O113,Lists!$A:$A,0)),"EU","3RD")))</f>
        <v/>
      </c>
      <c r="Q113" s="24" t="str">
        <f aca="false">IF($F113="","N",IFERROR(IF(INDEX(Counterparties!$E:$E,MATCH($F113&amp;"",Counterparties!$A:$A,0))="Y","Y","N"),"N"))</f>
        <v>N</v>
      </c>
      <c r="R113" s="25" t="n">
        <f aca="false">IF(OR($H113="",$H113="EUR"),1,IFERROR(INDEX(FX_Rates!$D:$D,MATCH($H113,FX_Rates!$A:$A,0)),""))</f>
        <v>1</v>
      </c>
      <c r="S113" s="26" t="str">
        <f aca="false">IF(AND($I113="",$J113=""),"",IF($J113&lt;&gt;"",$J113,IF(OR($R113="",$R113=0),"",ROUND($I113/$R113,2))))</f>
        <v/>
      </c>
      <c r="T113" s="24" t="str">
        <f aca="false">IF($N113="","",IFERROR(INDEX(VAT_Codes!$C:$C,MATCH($N113,VAT_Codes!$A:$A,0)),"")&amp;"")</f>
        <v/>
      </c>
      <c r="U113" s="26" t="n">
        <f aca="false">IF(OR($S113="",$T113="",$T113="None"),0,IF($T113="Output",-$S113,$S113))</f>
        <v>0</v>
      </c>
      <c r="V113" s="27" t="n">
        <f aca="false">IF($N113="",0,IFERROR(INDEX(VAT_Codes!$D:$D,MATCH($N113,VAT_Codes!$A:$A,0)),0))</f>
        <v>0</v>
      </c>
      <c r="W113" s="26" t="n">
        <f aca="false">IF($U113=0,0,IF(IFERROR(INDEX(VAT_Codes!$F:$F,MATCH($N113,VAT_Codes!$A:$A,0)),"N")="Y",$U113,IF($L113&lt;&gt;"",ROUND(ABS($L113)/IF(OR($R113="",$R113=0),1,$R113),2)*SIGN($U113),ROUND($U113*$V113,2))))</f>
        <v>0</v>
      </c>
      <c r="X113" s="24" t="str">
        <f aca="false">IF($N113="","",IFERROR(INDEX(VAT_Codes!$H:$H,MATCH($N113,VAT_Codes!$A:$A,0)),"")&amp;"")</f>
        <v/>
      </c>
      <c r="Y113" s="24" t="str">
        <f aca="false">IF($A113="","",(YEAR($A113)-YEAR(Settings!$C$8))*12+MONTH($A113)-MONTH(Settings!$C$8)+1)</f>
        <v/>
      </c>
      <c r="Z113" s="24" t="str">
        <f aca="false">IF(AND($C113="",$I113="",$J113=""),"",IF($N113="","NO VAT CODE",IF($T113="","UNKNOWN VAT CODE",IF($S113="","MISSING FX RATE",IF(OR($A113&lt;Settings!$C$8,$A113&gt;Settings!$C$9),"OUTSIDE PERIOD",IF(AND(IFERROR(INDEX(VAT_Codes!$E:$E,MATCH($N113,VAT_Codes!$A:$A,0)),"ANY")&lt;&gt;"ANY",$P113=""),"MISSING COUNTERPARTY COUNTRY",IF(AND(IFERROR(INDEX(VAT_Codes!$E:$E,MATCH($N113,VAT_Codes!$A:$A,0)),"ANY")&lt;&gt;"ANY",$P113&lt;&gt;IFERROR(INDEX(VAT_Codes!$E:$E,MATCH($N113,VAT_Codes!$A:$A,0)),"ANY")),"REGION MISMATCH","OK")))))))</f>
        <v/>
      </c>
    </row>
    <row r="114" customFormat="false" ht="15" hidden="false" customHeight="false" outlineLevel="0" collapsed="false">
      <c r="M114" s="24" t="str">
        <f aca="false">IF($C114="","",IFERROR(INDEX(Account_Mapping!$C:$C,MATCH($C114&amp;"",Account_Mapping!$A:$A,0))&amp;"",""))</f>
        <v/>
      </c>
      <c r="N114" s="24" t="str">
        <f aca="false">IF($K114&lt;&gt;"",$K114,$M114)</f>
        <v/>
      </c>
      <c r="O114" s="24" t="str">
        <f aca="false">IF($F114="","",IFERROR(INDEX(Counterparties!$C:$C,MATCH($F114&amp;"",Counterparties!$A:$A,0))&amp;"",""))</f>
        <v/>
      </c>
      <c r="P114" s="24" t="str">
        <f aca="false">IF($O114="","",IF($O114="CY","CY",IF(ISNUMBER(MATCH($O114,Lists!$A:$A,0)),"EU","3RD")))</f>
        <v/>
      </c>
      <c r="Q114" s="24" t="str">
        <f aca="false">IF($F114="","N",IFERROR(IF(INDEX(Counterparties!$E:$E,MATCH($F114&amp;"",Counterparties!$A:$A,0))="Y","Y","N"),"N"))</f>
        <v>N</v>
      </c>
      <c r="R114" s="25" t="n">
        <f aca="false">IF(OR($H114="",$H114="EUR"),1,IFERROR(INDEX(FX_Rates!$D:$D,MATCH($H114,FX_Rates!$A:$A,0)),""))</f>
        <v>1</v>
      </c>
      <c r="S114" s="26" t="str">
        <f aca="false">IF(AND($I114="",$J114=""),"",IF($J114&lt;&gt;"",$J114,IF(OR($R114="",$R114=0),"",ROUND($I114/$R114,2))))</f>
        <v/>
      </c>
      <c r="T114" s="24" t="str">
        <f aca="false">IF($N114="","",IFERROR(INDEX(VAT_Codes!$C:$C,MATCH($N114,VAT_Codes!$A:$A,0)),"")&amp;"")</f>
        <v/>
      </c>
      <c r="U114" s="26" t="n">
        <f aca="false">IF(OR($S114="",$T114="",$T114="None"),0,IF($T114="Output",-$S114,$S114))</f>
        <v>0</v>
      </c>
      <c r="V114" s="27" t="n">
        <f aca="false">IF($N114="",0,IFERROR(INDEX(VAT_Codes!$D:$D,MATCH($N114,VAT_Codes!$A:$A,0)),0))</f>
        <v>0</v>
      </c>
      <c r="W114" s="26" t="n">
        <f aca="false">IF($U114=0,0,IF(IFERROR(INDEX(VAT_Codes!$F:$F,MATCH($N114,VAT_Codes!$A:$A,0)),"N")="Y",$U114,IF($L114&lt;&gt;"",ROUND(ABS($L114)/IF(OR($R114="",$R114=0),1,$R114),2)*SIGN($U114),ROUND($U114*$V114,2))))</f>
        <v>0</v>
      </c>
      <c r="X114" s="24" t="str">
        <f aca="false">IF($N114="","",IFERROR(INDEX(VAT_Codes!$H:$H,MATCH($N114,VAT_Codes!$A:$A,0)),"")&amp;"")</f>
        <v/>
      </c>
      <c r="Y114" s="24" t="str">
        <f aca="false">IF($A114="","",(YEAR($A114)-YEAR(Settings!$C$8))*12+MONTH($A114)-MONTH(Settings!$C$8)+1)</f>
        <v/>
      </c>
      <c r="Z114" s="24" t="str">
        <f aca="false">IF(AND($C114="",$I114="",$J114=""),"",IF($N114="","NO VAT CODE",IF($T114="","UNKNOWN VAT CODE",IF($S114="","MISSING FX RATE",IF(OR($A114&lt;Settings!$C$8,$A114&gt;Settings!$C$9),"OUTSIDE PERIOD",IF(AND(IFERROR(INDEX(VAT_Codes!$E:$E,MATCH($N114,VAT_Codes!$A:$A,0)),"ANY")&lt;&gt;"ANY",$P114=""),"MISSING COUNTERPARTY COUNTRY",IF(AND(IFERROR(INDEX(VAT_Codes!$E:$E,MATCH($N114,VAT_Codes!$A:$A,0)),"ANY")&lt;&gt;"ANY",$P114&lt;&gt;IFERROR(INDEX(VAT_Codes!$E:$E,MATCH($N114,VAT_Codes!$A:$A,0)),"ANY")),"REGION MISMATCH","OK")))))))</f>
        <v/>
      </c>
    </row>
    <row r="115" customFormat="false" ht="15" hidden="false" customHeight="false" outlineLevel="0" collapsed="false">
      <c r="M115" s="24" t="str">
        <f aca="false">IF($C115="","",IFERROR(INDEX(Account_Mapping!$C:$C,MATCH($C115&amp;"",Account_Mapping!$A:$A,0))&amp;"",""))</f>
        <v/>
      </c>
      <c r="N115" s="24" t="str">
        <f aca="false">IF($K115&lt;&gt;"",$K115,$M115)</f>
        <v/>
      </c>
      <c r="O115" s="24" t="str">
        <f aca="false">IF($F115="","",IFERROR(INDEX(Counterparties!$C:$C,MATCH($F115&amp;"",Counterparties!$A:$A,0))&amp;"",""))</f>
        <v/>
      </c>
      <c r="P115" s="24" t="str">
        <f aca="false">IF($O115="","",IF($O115="CY","CY",IF(ISNUMBER(MATCH($O115,Lists!$A:$A,0)),"EU","3RD")))</f>
        <v/>
      </c>
      <c r="Q115" s="24" t="str">
        <f aca="false">IF($F115="","N",IFERROR(IF(INDEX(Counterparties!$E:$E,MATCH($F115&amp;"",Counterparties!$A:$A,0))="Y","Y","N"),"N"))</f>
        <v>N</v>
      </c>
      <c r="R115" s="25" t="n">
        <f aca="false">IF(OR($H115="",$H115="EUR"),1,IFERROR(INDEX(FX_Rates!$D:$D,MATCH($H115,FX_Rates!$A:$A,0)),""))</f>
        <v>1</v>
      </c>
      <c r="S115" s="26" t="str">
        <f aca="false">IF(AND($I115="",$J115=""),"",IF($J115&lt;&gt;"",$J115,IF(OR($R115="",$R115=0),"",ROUND($I115/$R115,2))))</f>
        <v/>
      </c>
      <c r="T115" s="24" t="str">
        <f aca="false">IF($N115="","",IFERROR(INDEX(VAT_Codes!$C:$C,MATCH($N115,VAT_Codes!$A:$A,0)),"")&amp;"")</f>
        <v/>
      </c>
      <c r="U115" s="26" t="n">
        <f aca="false">IF(OR($S115="",$T115="",$T115="None"),0,IF($T115="Output",-$S115,$S115))</f>
        <v>0</v>
      </c>
      <c r="V115" s="27" t="n">
        <f aca="false">IF($N115="",0,IFERROR(INDEX(VAT_Codes!$D:$D,MATCH($N115,VAT_Codes!$A:$A,0)),0))</f>
        <v>0</v>
      </c>
      <c r="W115" s="26" t="n">
        <f aca="false">IF($U115=0,0,IF(IFERROR(INDEX(VAT_Codes!$F:$F,MATCH($N115,VAT_Codes!$A:$A,0)),"N")="Y",$U115,IF($L115&lt;&gt;"",ROUND(ABS($L115)/IF(OR($R115="",$R115=0),1,$R115),2)*SIGN($U115),ROUND($U115*$V115,2))))</f>
        <v>0</v>
      </c>
      <c r="X115" s="24" t="str">
        <f aca="false">IF($N115="","",IFERROR(INDEX(VAT_Codes!$H:$H,MATCH($N115,VAT_Codes!$A:$A,0)),"")&amp;"")</f>
        <v/>
      </c>
      <c r="Y115" s="24" t="str">
        <f aca="false">IF($A115="","",(YEAR($A115)-YEAR(Settings!$C$8))*12+MONTH($A115)-MONTH(Settings!$C$8)+1)</f>
        <v/>
      </c>
      <c r="Z115" s="24" t="str">
        <f aca="false">IF(AND($C115="",$I115="",$J115=""),"",IF($N115="","NO VAT CODE",IF($T115="","UNKNOWN VAT CODE",IF($S115="","MISSING FX RATE",IF(OR($A115&lt;Settings!$C$8,$A115&gt;Settings!$C$9),"OUTSIDE PERIOD",IF(AND(IFERROR(INDEX(VAT_Codes!$E:$E,MATCH($N115,VAT_Codes!$A:$A,0)),"ANY")&lt;&gt;"ANY",$P115=""),"MISSING COUNTERPARTY COUNTRY",IF(AND(IFERROR(INDEX(VAT_Codes!$E:$E,MATCH($N115,VAT_Codes!$A:$A,0)),"ANY")&lt;&gt;"ANY",$P115&lt;&gt;IFERROR(INDEX(VAT_Codes!$E:$E,MATCH($N115,VAT_Codes!$A:$A,0)),"ANY")),"REGION MISMATCH","OK")))))))</f>
        <v/>
      </c>
    </row>
    <row r="116" customFormat="false" ht="15" hidden="false" customHeight="false" outlineLevel="0" collapsed="false">
      <c r="M116" s="24" t="str">
        <f aca="false">IF($C116="","",IFERROR(INDEX(Account_Mapping!$C:$C,MATCH($C116&amp;"",Account_Mapping!$A:$A,0))&amp;"",""))</f>
        <v/>
      </c>
      <c r="N116" s="24" t="str">
        <f aca="false">IF($K116&lt;&gt;"",$K116,$M116)</f>
        <v/>
      </c>
      <c r="O116" s="24" t="str">
        <f aca="false">IF($F116="","",IFERROR(INDEX(Counterparties!$C:$C,MATCH($F116&amp;"",Counterparties!$A:$A,0))&amp;"",""))</f>
        <v/>
      </c>
      <c r="P116" s="24" t="str">
        <f aca="false">IF($O116="","",IF($O116="CY","CY",IF(ISNUMBER(MATCH($O116,Lists!$A:$A,0)),"EU","3RD")))</f>
        <v/>
      </c>
      <c r="Q116" s="24" t="str">
        <f aca="false">IF($F116="","N",IFERROR(IF(INDEX(Counterparties!$E:$E,MATCH($F116&amp;"",Counterparties!$A:$A,0))="Y","Y","N"),"N"))</f>
        <v>N</v>
      </c>
      <c r="R116" s="25" t="n">
        <f aca="false">IF(OR($H116="",$H116="EUR"),1,IFERROR(INDEX(FX_Rates!$D:$D,MATCH($H116,FX_Rates!$A:$A,0)),""))</f>
        <v>1</v>
      </c>
      <c r="S116" s="26" t="str">
        <f aca="false">IF(AND($I116="",$J116=""),"",IF($J116&lt;&gt;"",$J116,IF(OR($R116="",$R116=0),"",ROUND($I116/$R116,2))))</f>
        <v/>
      </c>
      <c r="T116" s="24" t="str">
        <f aca="false">IF($N116="","",IFERROR(INDEX(VAT_Codes!$C:$C,MATCH($N116,VAT_Codes!$A:$A,0)),"")&amp;"")</f>
        <v/>
      </c>
      <c r="U116" s="26" t="n">
        <f aca="false">IF(OR($S116="",$T116="",$T116="None"),0,IF($T116="Output",-$S116,$S116))</f>
        <v>0</v>
      </c>
      <c r="V116" s="27" t="n">
        <f aca="false">IF($N116="",0,IFERROR(INDEX(VAT_Codes!$D:$D,MATCH($N116,VAT_Codes!$A:$A,0)),0))</f>
        <v>0</v>
      </c>
      <c r="W116" s="26" t="n">
        <f aca="false">IF($U116=0,0,IF(IFERROR(INDEX(VAT_Codes!$F:$F,MATCH($N116,VAT_Codes!$A:$A,0)),"N")="Y",$U116,IF($L116&lt;&gt;"",ROUND(ABS($L116)/IF(OR($R116="",$R116=0),1,$R116),2)*SIGN($U116),ROUND($U116*$V116,2))))</f>
        <v>0</v>
      </c>
      <c r="X116" s="24" t="str">
        <f aca="false">IF($N116="","",IFERROR(INDEX(VAT_Codes!$H:$H,MATCH($N116,VAT_Codes!$A:$A,0)),"")&amp;"")</f>
        <v/>
      </c>
      <c r="Y116" s="24" t="str">
        <f aca="false">IF($A116="","",(YEAR($A116)-YEAR(Settings!$C$8))*12+MONTH($A116)-MONTH(Settings!$C$8)+1)</f>
        <v/>
      </c>
      <c r="Z116" s="24" t="str">
        <f aca="false">IF(AND($C116="",$I116="",$J116=""),"",IF($N116="","NO VAT CODE",IF($T116="","UNKNOWN VAT CODE",IF($S116="","MISSING FX RATE",IF(OR($A116&lt;Settings!$C$8,$A116&gt;Settings!$C$9),"OUTSIDE PERIOD",IF(AND(IFERROR(INDEX(VAT_Codes!$E:$E,MATCH($N116,VAT_Codes!$A:$A,0)),"ANY")&lt;&gt;"ANY",$P116=""),"MISSING COUNTERPARTY COUNTRY",IF(AND(IFERROR(INDEX(VAT_Codes!$E:$E,MATCH($N116,VAT_Codes!$A:$A,0)),"ANY")&lt;&gt;"ANY",$P116&lt;&gt;IFERROR(INDEX(VAT_Codes!$E:$E,MATCH($N116,VAT_Codes!$A:$A,0)),"ANY")),"REGION MISMATCH","OK")))))))</f>
        <v/>
      </c>
    </row>
    <row r="117" customFormat="false" ht="15" hidden="false" customHeight="false" outlineLevel="0" collapsed="false">
      <c r="M117" s="24" t="str">
        <f aca="false">IF($C117="","",IFERROR(INDEX(Account_Mapping!$C:$C,MATCH($C117&amp;"",Account_Mapping!$A:$A,0))&amp;"",""))</f>
        <v/>
      </c>
      <c r="N117" s="24" t="str">
        <f aca="false">IF($K117&lt;&gt;"",$K117,$M117)</f>
        <v/>
      </c>
      <c r="O117" s="24" t="str">
        <f aca="false">IF($F117="","",IFERROR(INDEX(Counterparties!$C:$C,MATCH($F117&amp;"",Counterparties!$A:$A,0))&amp;"",""))</f>
        <v/>
      </c>
      <c r="P117" s="24" t="str">
        <f aca="false">IF($O117="","",IF($O117="CY","CY",IF(ISNUMBER(MATCH($O117,Lists!$A:$A,0)),"EU","3RD")))</f>
        <v/>
      </c>
      <c r="Q117" s="24" t="str">
        <f aca="false">IF($F117="","N",IFERROR(IF(INDEX(Counterparties!$E:$E,MATCH($F117&amp;"",Counterparties!$A:$A,0))="Y","Y","N"),"N"))</f>
        <v>N</v>
      </c>
      <c r="R117" s="25" t="n">
        <f aca="false">IF(OR($H117="",$H117="EUR"),1,IFERROR(INDEX(FX_Rates!$D:$D,MATCH($H117,FX_Rates!$A:$A,0)),""))</f>
        <v>1</v>
      </c>
      <c r="S117" s="26" t="str">
        <f aca="false">IF(AND($I117="",$J117=""),"",IF($J117&lt;&gt;"",$J117,IF(OR($R117="",$R117=0),"",ROUND($I117/$R117,2))))</f>
        <v/>
      </c>
      <c r="T117" s="24" t="str">
        <f aca="false">IF($N117="","",IFERROR(INDEX(VAT_Codes!$C:$C,MATCH($N117,VAT_Codes!$A:$A,0)),"")&amp;"")</f>
        <v/>
      </c>
      <c r="U117" s="26" t="n">
        <f aca="false">IF(OR($S117="",$T117="",$T117="None"),0,IF($T117="Output",-$S117,$S117))</f>
        <v>0</v>
      </c>
      <c r="V117" s="27" t="n">
        <f aca="false">IF($N117="",0,IFERROR(INDEX(VAT_Codes!$D:$D,MATCH($N117,VAT_Codes!$A:$A,0)),0))</f>
        <v>0</v>
      </c>
      <c r="W117" s="26" t="n">
        <f aca="false">IF($U117=0,0,IF(IFERROR(INDEX(VAT_Codes!$F:$F,MATCH($N117,VAT_Codes!$A:$A,0)),"N")="Y",$U117,IF($L117&lt;&gt;"",ROUND(ABS($L117)/IF(OR($R117="",$R117=0),1,$R117),2)*SIGN($U117),ROUND($U117*$V117,2))))</f>
        <v>0</v>
      </c>
      <c r="X117" s="24" t="str">
        <f aca="false">IF($N117="","",IFERROR(INDEX(VAT_Codes!$H:$H,MATCH($N117,VAT_Codes!$A:$A,0)),"")&amp;"")</f>
        <v/>
      </c>
      <c r="Y117" s="24" t="str">
        <f aca="false">IF($A117="","",(YEAR($A117)-YEAR(Settings!$C$8))*12+MONTH($A117)-MONTH(Settings!$C$8)+1)</f>
        <v/>
      </c>
      <c r="Z117" s="24" t="str">
        <f aca="false">IF(AND($C117="",$I117="",$J117=""),"",IF($N117="","NO VAT CODE",IF($T117="","UNKNOWN VAT CODE",IF($S117="","MISSING FX RATE",IF(OR($A117&lt;Settings!$C$8,$A117&gt;Settings!$C$9),"OUTSIDE PERIOD",IF(AND(IFERROR(INDEX(VAT_Codes!$E:$E,MATCH($N117,VAT_Codes!$A:$A,0)),"ANY")&lt;&gt;"ANY",$P117=""),"MISSING COUNTERPARTY COUNTRY",IF(AND(IFERROR(INDEX(VAT_Codes!$E:$E,MATCH($N117,VAT_Codes!$A:$A,0)),"ANY")&lt;&gt;"ANY",$P117&lt;&gt;IFERROR(INDEX(VAT_Codes!$E:$E,MATCH($N117,VAT_Codes!$A:$A,0)),"ANY")),"REGION MISMATCH","OK")))))))</f>
        <v/>
      </c>
    </row>
    <row r="118" customFormat="false" ht="15" hidden="false" customHeight="false" outlineLevel="0" collapsed="false">
      <c r="M118" s="24" t="str">
        <f aca="false">IF($C118="","",IFERROR(INDEX(Account_Mapping!$C:$C,MATCH($C118&amp;"",Account_Mapping!$A:$A,0))&amp;"",""))</f>
        <v/>
      </c>
      <c r="N118" s="24" t="str">
        <f aca="false">IF($K118&lt;&gt;"",$K118,$M118)</f>
        <v/>
      </c>
      <c r="O118" s="24" t="str">
        <f aca="false">IF($F118="","",IFERROR(INDEX(Counterparties!$C:$C,MATCH($F118&amp;"",Counterparties!$A:$A,0))&amp;"",""))</f>
        <v/>
      </c>
      <c r="P118" s="24" t="str">
        <f aca="false">IF($O118="","",IF($O118="CY","CY",IF(ISNUMBER(MATCH($O118,Lists!$A:$A,0)),"EU","3RD")))</f>
        <v/>
      </c>
      <c r="Q118" s="24" t="str">
        <f aca="false">IF($F118="","N",IFERROR(IF(INDEX(Counterparties!$E:$E,MATCH($F118&amp;"",Counterparties!$A:$A,0))="Y","Y","N"),"N"))</f>
        <v>N</v>
      </c>
      <c r="R118" s="25" t="n">
        <f aca="false">IF(OR($H118="",$H118="EUR"),1,IFERROR(INDEX(FX_Rates!$D:$D,MATCH($H118,FX_Rates!$A:$A,0)),""))</f>
        <v>1</v>
      </c>
      <c r="S118" s="26" t="str">
        <f aca="false">IF(AND($I118="",$J118=""),"",IF($J118&lt;&gt;"",$J118,IF(OR($R118="",$R118=0),"",ROUND($I118/$R118,2))))</f>
        <v/>
      </c>
      <c r="T118" s="24" t="str">
        <f aca="false">IF($N118="","",IFERROR(INDEX(VAT_Codes!$C:$C,MATCH($N118,VAT_Codes!$A:$A,0)),"")&amp;"")</f>
        <v/>
      </c>
      <c r="U118" s="26" t="n">
        <f aca="false">IF(OR($S118="",$T118="",$T118="None"),0,IF($T118="Output",-$S118,$S118))</f>
        <v>0</v>
      </c>
      <c r="V118" s="27" t="n">
        <f aca="false">IF($N118="",0,IFERROR(INDEX(VAT_Codes!$D:$D,MATCH($N118,VAT_Codes!$A:$A,0)),0))</f>
        <v>0</v>
      </c>
      <c r="W118" s="26" t="n">
        <f aca="false">IF($U118=0,0,IF(IFERROR(INDEX(VAT_Codes!$F:$F,MATCH($N118,VAT_Codes!$A:$A,0)),"N")="Y",$U118,IF($L118&lt;&gt;"",ROUND(ABS($L118)/IF(OR($R118="",$R118=0),1,$R118),2)*SIGN($U118),ROUND($U118*$V118,2))))</f>
        <v>0</v>
      </c>
      <c r="X118" s="24" t="str">
        <f aca="false">IF($N118="","",IFERROR(INDEX(VAT_Codes!$H:$H,MATCH($N118,VAT_Codes!$A:$A,0)),"")&amp;"")</f>
        <v/>
      </c>
      <c r="Y118" s="24" t="str">
        <f aca="false">IF($A118="","",(YEAR($A118)-YEAR(Settings!$C$8))*12+MONTH($A118)-MONTH(Settings!$C$8)+1)</f>
        <v/>
      </c>
      <c r="Z118" s="24" t="str">
        <f aca="false">IF(AND($C118="",$I118="",$J118=""),"",IF($N118="","NO VAT CODE",IF($T118="","UNKNOWN VAT CODE",IF($S118="","MISSING FX RATE",IF(OR($A118&lt;Settings!$C$8,$A118&gt;Settings!$C$9),"OUTSIDE PERIOD",IF(AND(IFERROR(INDEX(VAT_Codes!$E:$E,MATCH($N118,VAT_Codes!$A:$A,0)),"ANY")&lt;&gt;"ANY",$P118=""),"MISSING COUNTERPARTY COUNTRY",IF(AND(IFERROR(INDEX(VAT_Codes!$E:$E,MATCH($N118,VAT_Codes!$A:$A,0)),"ANY")&lt;&gt;"ANY",$P118&lt;&gt;IFERROR(INDEX(VAT_Codes!$E:$E,MATCH($N118,VAT_Codes!$A:$A,0)),"ANY")),"REGION MISMATCH","OK")))))))</f>
        <v/>
      </c>
    </row>
    <row r="119" customFormat="false" ht="15" hidden="false" customHeight="false" outlineLevel="0" collapsed="false">
      <c r="M119" s="24" t="str">
        <f aca="false">IF($C119="","",IFERROR(INDEX(Account_Mapping!$C:$C,MATCH($C119&amp;"",Account_Mapping!$A:$A,0))&amp;"",""))</f>
        <v/>
      </c>
      <c r="N119" s="24" t="str">
        <f aca="false">IF($K119&lt;&gt;"",$K119,$M119)</f>
        <v/>
      </c>
      <c r="O119" s="24" t="str">
        <f aca="false">IF($F119="","",IFERROR(INDEX(Counterparties!$C:$C,MATCH($F119&amp;"",Counterparties!$A:$A,0))&amp;"",""))</f>
        <v/>
      </c>
      <c r="P119" s="24" t="str">
        <f aca="false">IF($O119="","",IF($O119="CY","CY",IF(ISNUMBER(MATCH($O119,Lists!$A:$A,0)),"EU","3RD")))</f>
        <v/>
      </c>
      <c r="Q119" s="24" t="str">
        <f aca="false">IF($F119="","N",IFERROR(IF(INDEX(Counterparties!$E:$E,MATCH($F119&amp;"",Counterparties!$A:$A,0))="Y","Y","N"),"N"))</f>
        <v>N</v>
      </c>
      <c r="R119" s="25" t="n">
        <f aca="false">IF(OR($H119="",$H119="EUR"),1,IFERROR(INDEX(FX_Rates!$D:$D,MATCH($H119,FX_Rates!$A:$A,0)),""))</f>
        <v>1</v>
      </c>
      <c r="S119" s="26" t="str">
        <f aca="false">IF(AND($I119="",$J119=""),"",IF($J119&lt;&gt;"",$J119,IF(OR($R119="",$R119=0),"",ROUND($I119/$R119,2))))</f>
        <v/>
      </c>
      <c r="T119" s="24" t="str">
        <f aca="false">IF($N119="","",IFERROR(INDEX(VAT_Codes!$C:$C,MATCH($N119,VAT_Codes!$A:$A,0)),"")&amp;"")</f>
        <v/>
      </c>
      <c r="U119" s="26" t="n">
        <f aca="false">IF(OR($S119="",$T119="",$T119="None"),0,IF($T119="Output",-$S119,$S119))</f>
        <v>0</v>
      </c>
      <c r="V119" s="27" t="n">
        <f aca="false">IF($N119="",0,IFERROR(INDEX(VAT_Codes!$D:$D,MATCH($N119,VAT_Codes!$A:$A,0)),0))</f>
        <v>0</v>
      </c>
      <c r="W119" s="26" t="n">
        <f aca="false">IF($U119=0,0,IF(IFERROR(INDEX(VAT_Codes!$F:$F,MATCH($N119,VAT_Codes!$A:$A,0)),"N")="Y",$U119,IF($L119&lt;&gt;"",ROUND(ABS($L119)/IF(OR($R119="",$R119=0),1,$R119),2)*SIGN($U119),ROUND($U119*$V119,2))))</f>
        <v>0</v>
      </c>
      <c r="X119" s="24" t="str">
        <f aca="false">IF($N119="","",IFERROR(INDEX(VAT_Codes!$H:$H,MATCH($N119,VAT_Codes!$A:$A,0)),"")&amp;"")</f>
        <v/>
      </c>
      <c r="Y119" s="24" t="str">
        <f aca="false">IF($A119="","",(YEAR($A119)-YEAR(Settings!$C$8))*12+MONTH($A119)-MONTH(Settings!$C$8)+1)</f>
        <v/>
      </c>
      <c r="Z119" s="24" t="str">
        <f aca="false">IF(AND($C119="",$I119="",$J119=""),"",IF($N119="","NO VAT CODE",IF($T119="","UNKNOWN VAT CODE",IF($S119="","MISSING FX RATE",IF(OR($A119&lt;Settings!$C$8,$A119&gt;Settings!$C$9),"OUTSIDE PERIOD",IF(AND(IFERROR(INDEX(VAT_Codes!$E:$E,MATCH($N119,VAT_Codes!$A:$A,0)),"ANY")&lt;&gt;"ANY",$P119=""),"MISSING COUNTERPARTY COUNTRY",IF(AND(IFERROR(INDEX(VAT_Codes!$E:$E,MATCH($N119,VAT_Codes!$A:$A,0)),"ANY")&lt;&gt;"ANY",$P119&lt;&gt;IFERROR(INDEX(VAT_Codes!$E:$E,MATCH($N119,VAT_Codes!$A:$A,0)),"ANY")),"REGION MISMATCH","OK")))))))</f>
        <v/>
      </c>
    </row>
    <row r="120" customFormat="false" ht="15" hidden="false" customHeight="false" outlineLevel="0" collapsed="false">
      <c r="M120" s="24" t="str">
        <f aca="false">IF($C120="","",IFERROR(INDEX(Account_Mapping!$C:$C,MATCH($C120&amp;"",Account_Mapping!$A:$A,0))&amp;"",""))</f>
        <v/>
      </c>
      <c r="N120" s="24" t="str">
        <f aca="false">IF($K120&lt;&gt;"",$K120,$M120)</f>
        <v/>
      </c>
      <c r="O120" s="24" t="str">
        <f aca="false">IF($F120="","",IFERROR(INDEX(Counterparties!$C:$C,MATCH($F120&amp;"",Counterparties!$A:$A,0))&amp;"",""))</f>
        <v/>
      </c>
      <c r="P120" s="24" t="str">
        <f aca="false">IF($O120="","",IF($O120="CY","CY",IF(ISNUMBER(MATCH($O120,Lists!$A:$A,0)),"EU","3RD")))</f>
        <v/>
      </c>
      <c r="Q120" s="24" t="str">
        <f aca="false">IF($F120="","N",IFERROR(IF(INDEX(Counterparties!$E:$E,MATCH($F120&amp;"",Counterparties!$A:$A,0))="Y","Y","N"),"N"))</f>
        <v>N</v>
      </c>
      <c r="R120" s="25" t="n">
        <f aca="false">IF(OR($H120="",$H120="EUR"),1,IFERROR(INDEX(FX_Rates!$D:$D,MATCH($H120,FX_Rates!$A:$A,0)),""))</f>
        <v>1</v>
      </c>
      <c r="S120" s="26" t="str">
        <f aca="false">IF(AND($I120="",$J120=""),"",IF($J120&lt;&gt;"",$J120,IF(OR($R120="",$R120=0),"",ROUND($I120/$R120,2))))</f>
        <v/>
      </c>
      <c r="T120" s="24" t="str">
        <f aca="false">IF($N120="","",IFERROR(INDEX(VAT_Codes!$C:$C,MATCH($N120,VAT_Codes!$A:$A,0)),"")&amp;"")</f>
        <v/>
      </c>
      <c r="U120" s="26" t="n">
        <f aca="false">IF(OR($S120="",$T120="",$T120="None"),0,IF($T120="Output",-$S120,$S120))</f>
        <v>0</v>
      </c>
      <c r="V120" s="27" t="n">
        <f aca="false">IF($N120="",0,IFERROR(INDEX(VAT_Codes!$D:$D,MATCH($N120,VAT_Codes!$A:$A,0)),0))</f>
        <v>0</v>
      </c>
      <c r="W120" s="26" t="n">
        <f aca="false">IF($U120=0,0,IF(IFERROR(INDEX(VAT_Codes!$F:$F,MATCH($N120,VAT_Codes!$A:$A,0)),"N")="Y",$U120,IF($L120&lt;&gt;"",ROUND(ABS($L120)/IF(OR($R120="",$R120=0),1,$R120),2)*SIGN($U120),ROUND($U120*$V120,2))))</f>
        <v>0</v>
      </c>
      <c r="X120" s="24" t="str">
        <f aca="false">IF($N120="","",IFERROR(INDEX(VAT_Codes!$H:$H,MATCH($N120,VAT_Codes!$A:$A,0)),"")&amp;"")</f>
        <v/>
      </c>
      <c r="Y120" s="24" t="str">
        <f aca="false">IF($A120="","",(YEAR($A120)-YEAR(Settings!$C$8))*12+MONTH($A120)-MONTH(Settings!$C$8)+1)</f>
        <v/>
      </c>
      <c r="Z120" s="24" t="str">
        <f aca="false">IF(AND($C120="",$I120="",$J120=""),"",IF($N120="","NO VAT CODE",IF($T120="","UNKNOWN VAT CODE",IF($S120="","MISSING FX RATE",IF(OR($A120&lt;Settings!$C$8,$A120&gt;Settings!$C$9),"OUTSIDE PERIOD",IF(AND(IFERROR(INDEX(VAT_Codes!$E:$E,MATCH($N120,VAT_Codes!$A:$A,0)),"ANY")&lt;&gt;"ANY",$P120=""),"MISSING COUNTERPARTY COUNTRY",IF(AND(IFERROR(INDEX(VAT_Codes!$E:$E,MATCH($N120,VAT_Codes!$A:$A,0)),"ANY")&lt;&gt;"ANY",$P120&lt;&gt;IFERROR(INDEX(VAT_Codes!$E:$E,MATCH($N120,VAT_Codes!$A:$A,0)),"ANY")),"REGION MISMATCH","OK")))))))</f>
        <v/>
      </c>
    </row>
    <row r="121" customFormat="false" ht="15" hidden="false" customHeight="false" outlineLevel="0" collapsed="false">
      <c r="M121" s="24" t="str">
        <f aca="false">IF($C121="","",IFERROR(INDEX(Account_Mapping!$C:$C,MATCH($C121&amp;"",Account_Mapping!$A:$A,0))&amp;"",""))</f>
        <v/>
      </c>
      <c r="N121" s="24" t="str">
        <f aca="false">IF($K121&lt;&gt;"",$K121,$M121)</f>
        <v/>
      </c>
      <c r="O121" s="24" t="str">
        <f aca="false">IF($F121="","",IFERROR(INDEX(Counterparties!$C:$C,MATCH($F121&amp;"",Counterparties!$A:$A,0))&amp;"",""))</f>
        <v/>
      </c>
      <c r="P121" s="24" t="str">
        <f aca="false">IF($O121="","",IF($O121="CY","CY",IF(ISNUMBER(MATCH($O121,Lists!$A:$A,0)),"EU","3RD")))</f>
        <v/>
      </c>
      <c r="Q121" s="24" t="str">
        <f aca="false">IF($F121="","N",IFERROR(IF(INDEX(Counterparties!$E:$E,MATCH($F121&amp;"",Counterparties!$A:$A,0))="Y","Y","N"),"N"))</f>
        <v>N</v>
      </c>
      <c r="R121" s="25" t="n">
        <f aca="false">IF(OR($H121="",$H121="EUR"),1,IFERROR(INDEX(FX_Rates!$D:$D,MATCH($H121,FX_Rates!$A:$A,0)),""))</f>
        <v>1</v>
      </c>
      <c r="S121" s="26" t="str">
        <f aca="false">IF(AND($I121="",$J121=""),"",IF($J121&lt;&gt;"",$J121,IF(OR($R121="",$R121=0),"",ROUND($I121/$R121,2))))</f>
        <v/>
      </c>
      <c r="T121" s="24" t="str">
        <f aca="false">IF($N121="","",IFERROR(INDEX(VAT_Codes!$C:$C,MATCH($N121,VAT_Codes!$A:$A,0)),"")&amp;"")</f>
        <v/>
      </c>
      <c r="U121" s="26" t="n">
        <f aca="false">IF(OR($S121="",$T121="",$T121="None"),0,IF($T121="Output",-$S121,$S121))</f>
        <v>0</v>
      </c>
      <c r="V121" s="27" t="n">
        <f aca="false">IF($N121="",0,IFERROR(INDEX(VAT_Codes!$D:$D,MATCH($N121,VAT_Codes!$A:$A,0)),0))</f>
        <v>0</v>
      </c>
      <c r="W121" s="26" t="n">
        <f aca="false">IF($U121=0,0,IF(IFERROR(INDEX(VAT_Codes!$F:$F,MATCH($N121,VAT_Codes!$A:$A,0)),"N")="Y",$U121,IF($L121&lt;&gt;"",ROUND(ABS($L121)/IF(OR($R121="",$R121=0),1,$R121),2)*SIGN($U121),ROUND($U121*$V121,2))))</f>
        <v>0</v>
      </c>
      <c r="X121" s="24" t="str">
        <f aca="false">IF($N121="","",IFERROR(INDEX(VAT_Codes!$H:$H,MATCH($N121,VAT_Codes!$A:$A,0)),"")&amp;"")</f>
        <v/>
      </c>
      <c r="Y121" s="24" t="str">
        <f aca="false">IF($A121="","",(YEAR($A121)-YEAR(Settings!$C$8))*12+MONTH($A121)-MONTH(Settings!$C$8)+1)</f>
        <v/>
      </c>
      <c r="Z121" s="24" t="str">
        <f aca="false">IF(AND($C121="",$I121="",$J121=""),"",IF($N121="","NO VAT CODE",IF($T121="","UNKNOWN VAT CODE",IF($S121="","MISSING FX RATE",IF(OR($A121&lt;Settings!$C$8,$A121&gt;Settings!$C$9),"OUTSIDE PERIOD",IF(AND(IFERROR(INDEX(VAT_Codes!$E:$E,MATCH($N121,VAT_Codes!$A:$A,0)),"ANY")&lt;&gt;"ANY",$P121=""),"MISSING COUNTERPARTY COUNTRY",IF(AND(IFERROR(INDEX(VAT_Codes!$E:$E,MATCH($N121,VAT_Codes!$A:$A,0)),"ANY")&lt;&gt;"ANY",$P121&lt;&gt;IFERROR(INDEX(VAT_Codes!$E:$E,MATCH($N121,VAT_Codes!$A:$A,0)),"ANY")),"REGION MISMATCH","OK")))))))</f>
        <v/>
      </c>
    </row>
    <row r="122" customFormat="false" ht="15" hidden="false" customHeight="false" outlineLevel="0" collapsed="false">
      <c r="M122" s="24" t="str">
        <f aca="false">IF($C122="","",IFERROR(INDEX(Account_Mapping!$C:$C,MATCH($C122&amp;"",Account_Mapping!$A:$A,0))&amp;"",""))</f>
        <v/>
      </c>
      <c r="N122" s="24" t="str">
        <f aca="false">IF($K122&lt;&gt;"",$K122,$M122)</f>
        <v/>
      </c>
      <c r="O122" s="24" t="str">
        <f aca="false">IF($F122="","",IFERROR(INDEX(Counterparties!$C:$C,MATCH($F122&amp;"",Counterparties!$A:$A,0))&amp;"",""))</f>
        <v/>
      </c>
      <c r="P122" s="24" t="str">
        <f aca="false">IF($O122="","",IF($O122="CY","CY",IF(ISNUMBER(MATCH($O122,Lists!$A:$A,0)),"EU","3RD")))</f>
        <v/>
      </c>
      <c r="Q122" s="24" t="str">
        <f aca="false">IF($F122="","N",IFERROR(IF(INDEX(Counterparties!$E:$E,MATCH($F122&amp;"",Counterparties!$A:$A,0))="Y","Y","N"),"N"))</f>
        <v>N</v>
      </c>
      <c r="R122" s="25" t="n">
        <f aca="false">IF(OR($H122="",$H122="EUR"),1,IFERROR(INDEX(FX_Rates!$D:$D,MATCH($H122,FX_Rates!$A:$A,0)),""))</f>
        <v>1</v>
      </c>
      <c r="S122" s="26" t="str">
        <f aca="false">IF(AND($I122="",$J122=""),"",IF($J122&lt;&gt;"",$J122,IF(OR($R122="",$R122=0),"",ROUND($I122/$R122,2))))</f>
        <v/>
      </c>
      <c r="T122" s="24" t="str">
        <f aca="false">IF($N122="","",IFERROR(INDEX(VAT_Codes!$C:$C,MATCH($N122,VAT_Codes!$A:$A,0)),"")&amp;"")</f>
        <v/>
      </c>
      <c r="U122" s="26" t="n">
        <f aca="false">IF(OR($S122="",$T122="",$T122="None"),0,IF($T122="Output",-$S122,$S122))</f>
        <v>0</v>
      </c>
      <c r="V122" s="27" t="n">
        <f aca="false">IF($N122="",0,IFERROR(INDEX(VAT_Codes!$D:$D,MATCH($N122,VAT_Codes!$A:$A,0)),0))</f>
        <v>0</v>
      </c>
      <c r="W122" s="26" t="n">
        <f aca="false">IF($U122=0,0,IF(IFERROR(INDEX(VAT_Codes!$F:$F,MATCH($N122,VAT_Codes!$A:$A,0)),"N")="Y",$U122,IF($L122&lt;&gt;"",ROUND(ABS($L122)/IF(OR($R122="",$R122=0),1,$R122),2)*SIGN($U122),ROUND($U122*$V122,2))))</f>
        <v>0</v>
      </c>
      <c r="X122" s="24" t="str">
        <f aca="false">IF($N122="","",IFERROR(INDEX(VAT_Codes!$H:$H,MATCH($N122,VAT_Codes!$A:$A,0)),"")&amp;"")</f>
        <v/>
      </c>
      <c r="Y122" s="24" t="str">
        <f aca="false">IF($A122="","",(YEAR($A122)-YEAR(Settings!$C$8))*12+MONTH($A122)-MONTH(Settings!$C$8)+1)</f>
        <v/>
      </c>
      <c r="Z122" s="24" t="str">
        <f aca="false">IF(AND($C122="",$I122="",$J122=""),"",IF($N122="","NO VAT CODE",IF($T122="","UNKNOWN VAT CODE",IF($S122="","MISSING FX RATE",IF(OR($A122&lt;Settings!$C$8,$A122&gt;Settings!$C$9),"OUTSIDE PERIOD",IF(AND(IFERROR(INDEX(VAT_Codes!$E:$E,MATCH($N122,VAT_Codes!$A:$A,0)),"ANY")&lt;&gt;"ANY",$P122=""),"MISSING COUNTERPARTY COUNTRY",IF(AND(IFERROR(INDEX(VAT_Codes!$E:$E,MATCH($N122,VAT_Codes!$A:$A,0)),"ANY")&lt;&gt;"ANY",$P122&lt;&gt;IFERROR(INDEX(VAT_Codes!$E:$E,MATCH($N122,VAT_Codes!$A:$A,0)),"ANY")),"REGION MISMATCH","OK")))))))</f>
        <v/>
      </c>
    </row>
    <row r="123" customFormat="false" ht="15" hidden="false" customHeight="false" outlineLevel="0" collapsed="false">
      <c r="M123" s="24" t="str">
        <f aca="false">IF($C123="","",IFERROR(INDEX(Account_Mapping!$C:$C,MATCH($C123&amp;"",Account_Mapping!$A:$A,0))&amp;"",""))</f>
        <v/>
      </c>
      <c r="N123" s="24" t="str">
        <f aca="false">IF($K123&lt;&gt;"",$K123,$M123)</f>
        <v/>
      </c>
      <c r="O123" s="24" t="str">
        <f aca="false">IF($F123="","",IFERROR(INDEX(Counterparties!$C:$C,MATCH($F123&amp;"",Counterparties!$A:$A,0))&amp;"",""))</f>
        <v/>
      </c>
      <c r="P123" s="24" t="str">
        <f aca="false">IF($O123="","",IF($O123="CY","CY",IF(ISNUMBER(MATCH($O123,Lists!$A:$A,0)),"EU","3RD")))</f>
        <v/>
      </c>
      <c r="Q123" s="24" t="str">
        <f aca="false">IF($F123="","N",IFERROR(IF(INDEX(Counterparties!$E:$E,MATCH($F123&amp;"",Counterparties!$A:$A,0))="Y","Y","N"),"N"))</f>
        <v>N</v>
      </c>
      <c r="R123" s="25" t="n">
        <f aca="false">IF(OR($H123="",$H123="EUR"),1,IFERROR(INDEX(FX_Rates!$D:$D,MATCH($H123,FX_Rates!$A:$A,0)),""))</f>
        <v>1</v>
      </c>
      <c r="S123" s="26" t="str">
        <f aca="false">IF(AND($I123="",$J123=""),"",IF($J123&lt;&gt;"",$J123,IF(OR($R123="",$R123=0),"",ROUND($I123/$R123,2))))</f>
        <v/>
      </c>
      <c r="T123" s="24" t="str">
        <f aca="false">IF($N123="","",IFERROR(INDEX(VAT_Codes!$C:$C,MATCH($N123,VAT_Codes!$A:$A,0)),"")&amp;"")</f>
        <v/>
      </c>
      <c r="U123" s="26" t="n">
        <f aca="false">IF(OR($S123="",$T123="",$T123="None"),0,IF($T123="Output",-$S123,$S123))</f>
        <v>0</v>
      </c>
      <c r="V123" s="27" t="n">
        <f aca="false">IF($N123="",0,IFERROR(INDEX(VAT_Codes!$D:$D,MATCH($N123,VAT_Codes!$A:$A,0)),0))</f>
        <v>0</v>
      </c>
      <c r="W123" s="26" t="n">
        <f aca="false">IF($U123=0,0,IF(IFERROR(INDEX(VAT_Codes!$F:$F,MATCH($N123,VAT_Codes!$A:$A,0)),"N")="Y",$U123,IF($L123&lt;&gt;"",ROUND(ABS($L123)/IF(OR($R123="",$R123=0),1,$R123),2)*SIGN($U123),ROUND($U123*$V123,2))))</f>
        <v>0</v>
      </c>
      <c r="X123" s="24" t="str">
        <f aca="false">IF($N123="","",IFERROR(INDEX(VAT_Codes!$H:$H,MATCH($N123,VAT_Codes!$A:$A,0)),"")&amp;"")</f>
        <v/>
      </c>
      <c r="Y123" s="24" t="str">
        <f aca="false">IF($A123="","",(YEAR($A123)-YEAR(Settings!$C$8))*12+MONTH($A123)-MONTH(Settings!$C$8)+1)</f>
        <v/>
      </c>
      <c r="Z123" s="24" t="str">
        <f aca="false">IF(AND($C123="",$I123="",$J123=""),"",IF($N123="","NO VAT CODE",IF($T123="","UNKNOWN VAT CODE",IF($S123="","MISSING FX RATE",IF(OR($A123&lt;Settings!$C$8,$A123&gt;Settings!$C$9),"OUTSIDE PERIOD",IF(AND(IFERROR(INDEX(VAT_Codes!$E:$E,MATCH($N123,VAT_Codes!$A:$A,0)),"ANY")&lt;&gt;"ANY",$P123=""),"MISSING COUNTERPARTY COUNTRY",IF(AND(IFERROR(INDEX(VAT_Codes!$E:$E,MATCH($N123,VAT_Codes!$A:$A,0)),"ANY")&lt;&gt;"ANY",$P123&lt;&gt;IFERROR(INDEX(VAT_Codes!$E:$E,MATCH($N123,VAT_Codes!$A:$A,0)),"ANY")),"REGION MISMATCH","OK")))))))</f>
        <v/>
      </c>
    </row>
    <row r="124" customFormat="false" ht="15" hidden="false" customHeight="false" outlineLevel="0" collapsed="false">
      <c r="M124" s="24" t="str">
        <f aca="false">IF($C124="","",IFERROR(INDEX(Account_Mapping!$C:$C,MATCH($C124&amp;"",Account_Mapping!$A:$A,0))&amp;"",""))</f>
        <v/>
      </c>
      <c r="N124" s="24" t="str">
        <f aca="false">IF($K124&lt;&gt;"",$K124,$M124)</f>
        <v/>
      </c>
      <c r="O124" s="24" t="str">
        <f aca="false">IF($F124="","",IFERROR(INDEX(Counterparties!$C:$C,MATCH($F124&amp;"",Counterparties!$A:$A,0))&amp;"",""))</f>
        <v/>
      </c>
      <c r="P124" s="24" t="str">
        <f aca="false">IF($O124="","",IF($O124="CY","CY",IF(ISNUMBER(MATCH($O124,Lists!$A:$A,0)),"EU","3RD")))</f>
        <v/>
      </c>
      <c r="Q124" s="24" t="str">
        <f aca="false">IF($F124="","N",IFERROR(IF(INDEX(Counterparties!$E:$E,MATCH($F124&amp;"",Counterparties!$A:$A,0))="Y","Y","N"),"N"))</f>
        <v>N</v>
      </c>
      <c r="R124" s="25" t="n">
        <f aca="false">IF(OR($H124="",$H124="EUR"),1,IFERROR(INDEX(FX_Rates!$D:$D,MATCH($H124,FX_Rates!$A:$A,0)),""))</f>
        <v>1</v>
      </c>
      <c r="S124" s="26" t="str">
        <f aca="false">IF(AND($I124="",$J124=""),"",IF($J124&lt;&gt;"",$J124,IF(OR($R124="",$R124=0),"",ROUND($I124/$R124,2))))</f>
        <v/>
      </c>
      <c r="T124" s="24" t="str">
        <f aca="false">IF($N124="","",IFERROR(INDEX(VAT_Codes!$C:$C,MATCH($N124,VAT_Codes!$A:$A,0)),"")&amp;"")</f>
        <v/>
      </c>
      <c r="U124" s="26" t="n">
        <f aca="false">IF(OR($S124="",$T124="",$T124="None"),0,IF($T124="Output",-$S124,$S124))</f>
        <v>0</v>
      </c>
      <c r="V124" s="27" t="n">
        <f aca="false">IF($N124="",0,IFERROR(INDEX(VAT_Codes!$D:$D,MATCH($N124,VAT_Codes!$A:$A,0)),0))</f>
        <v>0</v>
      </c>
      <c r="W124" s="26" t="n">
        <f aca="false">IF($U124=0,0,IF(IFERROR(INDEX(VAT_Codes!$F:$F,MATCH($N124,VAT_Codes!$A:$A,0)),"N")="Y",$U124,IF($L124&lt;&gt;"",ROUND(ABS($L124)/IF(OR($R124="",$R124=0),1,$R124),2)*SIGN($U124),ROUND($U124*$V124,2))))</f>
        <v>0</v>
      </c>
      <c r="X124" s="24" t="str">
        <f aca="false">IF($N124="","",IFERROR(INDEX(VAT_Codes!$H:$H,MATCH($N124,VAT_Codes!$A:$A,0)),"")&amp;"")</f>
        <v/>
      </c>
      <c r="Y124" s="24" t="str">
        <f aca="false">IF($A124="","",(YEAR($A124)-YEAR(Settings!$C$8))*12+MONTH($A124)-MONTH(Settings!$C$8)+1)</f>
        <v/>
      </c>
      <c r="Z124" s="24" t="str">
        <f aca="false">IF(AND($C124="",$I124="",$J124=""),"",IF($N124="","NO VAT CODE",IF($T124="","UNKNOWN VAT CODE",IF($S124="","MISSING FX RATE",IF(OR($A124&lt;Settings!$C$8,$A124&gt;Settings!$C$9),"OUTSIDE PERIOD",IF(AND(IFERROR(INDEX(VAT_Codes!$E:$E,MATCH($N124,VAT_Codes!$A:$A,0)),"ANY")&lt;&gt;"ANY",$P124=""),"MISSING COUNTERPARTY COUNTRY",IF(AND(IFERROR(INDEX(VAT_Codes!$E:$E,MATCH($N124,VAT_Codes!$A:$A,0)),"ANY")&lt;&gt;"ANY",$P124&lt;&gt;IFERROR(INDEX(VAT_Codes!$E:$E,MATCH($N124,VAT_Codes!$A:$A,0)),"ANY")),"REGION MISMATCH","OK")))))))</f>
        <v/>
      </c>
    </row>
    <row r="125" customFormat="false" ht="15" hidden="false" customHeight="false" outlineLevel="0" collapsed="false">
      <c r="M125" s="24" t="str">
        <f aca="false">IF($C125="","",IFERROR(INDEX(Account_Mapping!$C:$C,MATCH($C125&amp;"",Account_Mapping!$A:$A,0))&amp;"",""))</f>
        <v/>
      </c>
      <c r="N125" s="24" t="str">
        <f aca="false">IF($K125&lt;&gt;"",$K125,$M125)</f>
        <v/>
      </c>
      <c r="O125" s="24" t="str">
        <f aca="false">IF($F125="","",IFERROR(INDEX(Counterparties!$C:$C,MATCH($F125&amp;"",Counterparties!$A:$A,0))&amp;"",""))</f>
        <v/>
      </c>
      <c r="P125" s="24" t="str">
        <f aca="false">IF($O125="","",IF($O125="CY","CY",IF(ISNUMBER(MATCH($O125,Lists!$A:$A,0)),"EU","3RD")))</f>
        <v/>
      </c>
      <c r="Q125" s="24" t="str">
        <f aca="false">IF($F125="","N",IFERROR(IF(INDEX(Counterparties!$E:$E,MATCH($F125&amp;"",Counterparties!$A:$A,0))="Y","Y","N"),"N"))</f>
        <v>N</v>
      </c>
      <c r="R125" s="25" t="n">
        <f aca="false">IF(OR($H125="",$H125="EUR"),1,IFERROR(INDEX(FX_Rates!$D:$D,MATCH($H125,FX_Rates!$A:$A,0)),""))</f>
        <v>1</v>
      </c>
      <c r="S125" s="26" t="str">
        <f aca="false">IF(AND($I125="",$J125=""),"",IF($J125&lt;&gt;"",$J125,IF(OR($R125="",$R125=0),"",ROUND($I125/$R125,2))))</f>
        <v/>
      </c>
      <c r="T125" s="24" t="str">
        <f aca="false">IF($N125="","",IFERROR(INDEX(VAT_Codes!$C:$C,MATCH($N125,VAT_Codes!$A:$A,0)),"")&amp;"")</f>
        <v/>
      </c>
      <c r="U125" s="26" t="n">
        <f aca="false">IF(OR($S125="",$T125="",$T125="None"),0,IF($T125="Output",-$S125,$S125))</f>
        <v>0</v>
      </c>
      <c r="V125" s="27" t="n">
        <f aca="false">IF($N125="",0,IFERROR(INDEX(VAT_Codes!$D:$D,MATCH($N125,VAT_Codes!$A:$A,0)),0))</f>
        <v>0</v>
      </c>
      <c r="W125" s="26" t="n">
        <f aca="false">IF($U125=0,0,IF(IFERROR(INDEX(VAT_Codes!$F:$F,MATCH($N125,VAT_Codes!$A:$A,0)),"N")="Y",$U125,IF($L125&lt;&gt;"",ROUND(ABS($L125)/IF(OR($R125="",$R125=0),1,$R125),2)*SIGN($U125),ROUND($U125*$V125,2))))</f>
        <v>0</v>
      </c>
      <c r="X125" s="24" t="str">
        <f aca="false">IF($N125="","",IFERROR(INDEX(VAT_Codes!$H:$H,MATCH($N125,VAT_Codes!$A:$A,0)),"")&amp;"")</f>
        <v/>
      </c>
      <c r="Y125" s="24" t="str">
        <f aca="false">IF($A125="","",(YEAR($A125)-YEAR(Settings!$C$8))*12+MONTH($A125)-MONTH(Settings!$C$8)+1)</f>
        <v/>
      </c>
      <c r="Z125" s="24" t="str">
        <f aca="false">IF(AND($C125="",$I125="",$J125=""),"",IF($N125="","NO VAT CODE",IF($T125="","UNKNOWN VAT CODE",IF($S125="","MISSING FX RATE",IF(OR($A125&lt;Settings!$C$8,$A125&gt;Settings!$C$9),"OUTSIDE PERIOD",IF(AND(IFERROR(INDEX(VAT_Codes!$E:$E,MATCH($N125,VAT_Codes!$A:$A,0)),"ANY")&lt;&gt;"ANY",$P125=""),"MISSING COUNTERPARTY COUNTRY",IF(AND(IFERROR(INDEX(VAT_Codes!$E:$E,MATCH($N125,VAT_Codes!$A:$A,0)),"ANY")&lt;&gt;"ANY",$P125&lt;&gt;IFERROR(INDEX(VAT_Codes!$E:$E,MATCH($N125,VAT_Codes!$A:$A,0)),"ANY")),"REGION MISMATCH","OK")))))))</f>
        <v/>
      </c>
    </row>
    <row r="126" customFormat="false" ht="15" hidden="false" customHeight="false" outlineLevel="0" collapsed="false">
      <c r="M126" s="24" t="str">
        <f aca="false">IF($C126="","",IFERROR(INDEX(Account_Mapping!$C:$C,MATCH($C126&amp;"",Account_Mapping!$A:$A,0))&amp;"",""))</f>
        <v/>
      </c>
      <c r="N126" s="24" t="str">
        <f aca="false">IF($K126&lt;&gt;"",$K126,$M126)</f>
        <v/>
      </c>
      <c r="O126" s="24" t="str">
        <f aca="false">IF($F126="","",IFERROR(INDEX(Counterparties!$C:$C,MATCH($F126&amp;"",Counterparties!$A:$A,0))&amp;"",""))</f>
        <v/>
      </c>
      <c r="P126" s="24" t="str">
        <f aca="false">IF($O126="","",IF($O126="CY","CY",IF(ISNUMBER(MATCH($O126,Lists!$A:$A,0)),"EU","3RD")))</f>
        <v/>
      </c>
      <c r="Q126" s="24" t="str">
        <f aca="false">IF($F126="","N",IFERROR(IF(INDEX(Counterparties!$E:$E,MATCH($F126&amp;"",Counterparties!$A:$A,0))="Y","Y","N"),"N"))</f>
        <v>N</v>
      </c>
      <c r="R126" s="25" t="n">
        <f aca="false">IF(OR($H126="",$H126="EUR"),1,IFERROR(INDEX(FX_Rates!$D:$D,MATCH($H126,FX_Rates!$A:$A,0)),""))</f>
        <v>1</v>
      </c>
      <c r="S126" s="26" t="str">
        <f aca="false">IF(AND($I126="",$J126=""),"",IF($J126&lt;&gt;"",$J126,IF(OR($R126="",$R126=0),"",ROUND($I126/$R126,2))))</f>
        <v/>
      </c>
      <c r="T126" s="24" t="str">
        <f aca="false">IF($N126="","",IFERROR(INDEX(VAT_Codes!$C:$C,MATCH($N126,VAT_Codes!$A:$A,0)),"")&amp;"")</f>
        <v/>
      </c>
      <c r="U126" s="26" t="n">
        <f aca="false">IF(OR($S126="",$T126="",$T126="None"),0,IF($T126="Output",-$S126,$S126))</f>
        <v>0</v>
      </c>
      <c r="V126" s="27" t="n">
        <f aca="false">IF($N126="",0,IFERROR(INDEX(VAT_Codes!$D:$D,MATCH($N126,VAT_Codes!$A:$A,0)),0))</f>
        <v>0</v>
      </c>
      <c r="W126" s="26" t="n">
        <f aca="false">IF($U126=0,0,IF(IFERROR(INDEX(VAT_Codes!$F:$F,MATCH($N126,VAT_Codes!$A:$A,0)),"N")="Y",$U126,IF($L126&lt;&gt;"",ROUND(ABS($L126)/IF(OR($R126="",$R126=0),1,$R126),2)*SIGN($U126),ROUND($U126*$V126,2))))</f>
        <v>0</v>
      </c>
      <c r="X126" s="24" t="str">
        <f aca="false">IF($N126="","",IFERROR(INDEX(VAT_Codes!$H:$H,MATCH($N126,VAT_Codes!$A:$A,0)),"")&amp;"")</f>
        <v/>
      </c>
      <c r="Y126" s="24" t="str">
        <f aca="false">IF($A126="","",(YEAR($A126)-YEAR(Settings!$C$8))*12+MONTH($A126)-MONTH(Settings!$C$8)+1)</f>
        <v/>
      </c>
      <c r="Z126" s="24" t="str">
        <f aca="false">IF(AND($C126="",$I126="",$J126=""),"",IF($N126="","NO VAT CODE",IF($T126="","UNKNOWN VAT CODE",IF($S126="","MISSING FX RATE",IF(OR($A126&lt;Settings!$C$8,$A126&gt;Settings!$C$9),"OUTSIDE PERIOD",IF(AND(IFERROR(INDEX(VAT_Codes!$E:$E,MATCH($N126,VAT_Codes!$A:$A,0)),"ANY")&lt;&gt;"ANY",$P126=""),"MISSING COUNTERPARTY COUNTRY",IF(AND(IFERROR(INDEX(VAT_Codes!$E:$E,MATCH($N126,VAT_Codes!$A:$A,0)),"ANY")&lt;&gt;"ANY",$P126&lt;&gt;IFERROR(INDEX(VAT_Codes!$E:$E,MATCH($N126,VAT_Codes!$A:$A,0)),"ANY")),"REGION MISMATCH","OK")))))))</f>
        <v/>
      </c>
    </row>
    <row r="127" customFormat="false" ht="15" hidden="false" customHeight="false" outlineLevel="0" collapsed="false">
      <c r="M127" s="24" t="str">
        <f aca="false">IF($C127="","",IFERROR(INDEX(Account_Mapping!$C:$C,MATCH($C127&amp;"",Account_Mapping!$A:$A,0))&amp;"",""))</f>
        <v/>
      </c>
      <c r="N127" s="24" t="str">
        <f aca="false">IF($K127&lt;&gt;"",$K127,$M127)</f>
        <v/>
      </c>
      <c r="O127" s="24" t="str">
        <f aca="false">IF($F127="","",IFERROR(INDEX(Counterparties!$C:$C,MATCH($F127&amp;"",Counterparties!$A:$A,0))&amp;"",""))</f>
        <v/>
      </c>
      <c r="P127" s="24" t="str">
        <f aca="false">IF($O127="","",IF($O127="CY","CY",IF(ISNUMBER(MATCH($O127,Lists!$A:$A,0)),"EU","3RD")))</f>
        <v/>
      </c>
      <c r="Q127" s="24" t="str">
        <f aca="false">IF($F127="","N",IFERROR(IF(INDEX(Counterparties!$E:$E,MATCH($F127&amp;"",Counterparties!$A:$A,0))="Y","Y","N"),"N"))</f>
        <v>N</v>
      </c>
      <c r="R127" s="25" t="n">
        <f aca="false">IF(OR($H127="",$H127="EUR"),1,IFERROR(INDEX(FX_Rates!$D:$D,MATCH($H127,FX_Rates!$A:$A,0)),""))</f>
        <v>1</v>
      </c>
      <c r="S127" s="26" t="str">
        <f aca="false">IF(AND($I127="",$J127=""),"",IF($J127&lt;&gt;"",$J127,IF(OR($R127="",$R127=0),"",ROUND($I127/$R127,2))))</f>
        <v/>
      </c>
      <c r="T127" s="24" t="str">
        <f aca="false">IF($N127="","",IFERROR(INDEX(VAT_Codes!$C:$C,MATCH($N127,VAT_Codes!$A:$A,0)),"")&amp;"")</f>
        <v/>
      </c>
      <c r="U127" s="26" t="n">
        <f aca="false">IF(OR($S127="",$T127="",$T127="None"),0,IF($T127="Output",-$S127,$S127))</f>
        <v>0</v>
      </c>
      <c r="V127" s="27" t="n">
        <f aca="false">IF($N127="",0,IFERROR(INDEX(VAT_Codes!$D:$D,MATCH($N127,VAT_Codes!$A:$A,0)),0))</f>
        <v>0</v>
      </c>
      <c r="W127" s="26" t="n">
        <f aca="false">IF($U127=0,0,IF(IFERROR(INDEX(VAT_Codes!$F:$F,MATCH($N127,VAT_Codes!$A:$A,0)),"N")="Y",$U127,IF($L127&lt;&gt;"",ROUND(ABS($L127)/IF(OR($R127="",$R127=0),1,$R127),2)*SIGN($U127),ROUND($U127*$V127,2))))</f>
        <v>0</v>
      </c>
      <c r="X127" s="24" t="str">
        <f aca="false">IF($N127="","",IFERROR(INDEX(VAT_Codes!$H:$H,MATCH($N127,VAT_Codes!$A:$A,0)),"")&amp;"")</f>
        <v/>
      </c>
      <c r="Y127" s="24" t="str">
        <f aca="false">IF($A127="","",(YEAR($A127)-YEAR(Settings!$C$8))*12+MONTH($A127)-MONTH(Settings!$C$8)+1)</f>
        <v/>
      </c>
      <c r="Z127" s="24" t="str">
        <f aca="false">IF(AND($C127="",$I127="",$J127=""),"",IF($N127="","NO VAT CODE",IF($T127="","UNKNOWN VAT CODE",IF($S127="","MISSING FX RATE",IF(OR($A127&lt;Settings!$C$8,$A127&gt;Settings!$C$9),"OUTSIDE PERIOD",IF(AND(IFERROR(INDEX(VAT_Codes!$E:$E,MATCH($N127,VAT_Codes!$A:$A,0)),"ANY")&lt;&gt;"ANY",$P127=""),"MISSING COUNTERPARTY COUNTRY",IF(AND(IFERROR(INDEX(VAT_Codes!$E:$E,MATCH($N127,VAT_Codes!$A:$A,0)),"ANY")&lt;&gt;"ANY",$P127&lt;&gt;IFERROR(INDEX(VAT_Codes!$E:$E,MATCH($N127,VAT_Codes!$A:$A,0)),"ANY")),"REGION MISMATCH","OK")))))))</f>
        <v/>
      </c>
    </row>
    <row r="128" customFormat="false" ht="15" hidden="false" customHeight="false" outlineLevel="0" collapsed="false">
      <c r="M128" s="24" t="str">
        <f aca="false">IF($C128="","",IFERROR(INDEX(Account_Mapping!$C:$C,MATCH($C128&amp;"",Account_Mapping!$A:$A,0))&amp;"",""))</f>
        <v/>
      </c>
      <c r="N128" s="24" t="str">
        <f aca="false">IF($K128&lt;&gt;"",$K128,$M128)</f>
        <v/>
      </c>
      <c r="O128" s="24" t="str">
        <f aca="false">IF($F128="","",IFERROR(INDEX(Counterparties!$C:$C,MATCH($F128&amp;"",Counterparties!$A:$A,0))&amp;"",""))</f>
        <v/>
      </c>
      <c r="P128" s="24" t="str">
        <f aca="false">IF($O128="","",IF($O128="CY","CY",IF(ISNUMBER(MATCH($O128,Lists!$A:$A,0)),"EU","3RD")))</f>
        <v/>
      </c>
      <c r="Q128" s="24" t="str">
        <f aca="false">IF($F128="","N",IFERROR(IF(INDEX(Counterparties!$E:$E,MATCH($F128&amp;"",Counterparties!$A:$A,0))="Y","Y","N"),"N"))</f>
        <v>N</v>
      </c>
      <c r="R128" s="25" t="n">
        <f aca="false">IF(OR($H128="",$H128="EUR"),1,IFERROR(INDEX(FX_Rates!$D:$D,MATCH($H128,FX_Rates!$A:$A,0)),""))</f>
        <v>1</v>
      </c>
      <c r="S128" s="26" t="str">
        <f aca="false">IF(AND($I128="",$J128=""),"",IF($J128&lt;&gt;"",$J128,IF(OR($R128="",$R128=0),"",ROUND($I128/$R128,2))))</f>
        <v/>
      </c>
      <c r="T128" s="24" t="str">
        <f aca="false">IF($N128="","",IFERROR(INDEX(VAT_Codes!$C:$C,MATCH($N128,VAT_Codes!$A:$A,0)),"")&amp;"")</f>
        <v/>
      </c>
      <c r="U128" s="26" t="n">
        <f aca="false">IF(OR($S128="",$T128="",$T128="None"),0,IF($T128="Output",-$S128,$S128))</f>
        <v>0</v>
      </c>
      <c r="V128" s="27" t="n">
        <f aca="false">IF($N128="",0,IFERROR(INDEX(VAT_Codes!$D:$D,MATCH($N128,VAT_Codes!$A:$A,0)),0))</f>
        <v>0</v>
      </c>
      <c r="W128" s="26" t="n">
        <f aca="false">IF($U128=0,0,IF(IFERROR(INDEX(VAT_Codes!$F:$F,MATCH($N128,VAT_Codes!$A:$A,0)),"N")="Y",$U128,IF($L128&lt;&gt;"",ROUND(ABS($L128)/IF(OR($R128="",$R128=0),1,$R128),2)*SIGN($U128),ROUND($U128*$V128,2))))</f>
        <v>0</v>
      </c>
      <c r="X128" s="24" t="str">
        <f aca="false">IF($N128="","",IFERROR(INDEX(VAT_Codes!$H:$H,MATCH($N128,VAT_Codes!$A:$A,0)),"")&amp;"")</f>
        <v/>
      </c>
      <c r="Y128" s="24" t="str">
        <f aca="false">IF($A128="","",(YEAR($A128)-YEAR(Settings!$C$8))*12+MONTH($A128)-MONTH(Settings!$C$8)+1)</f>
        <v/>
      </c>
      <c r="Z128" s="24" t="str">
        <f aca="false">IF(AND($C128="",$I128="",$J128=""),"",IF($N128="","NO VAT CODE",IF($T128="","UNKNOWN VAT CODE",IF($S128="","MISSING FX RATE",IF(OR($A128&lt;Settings!$C$8,$A128&gt;Settings!$C$9),"OUTSIDE PERIOD",IF(AND(IFERROR(INDEX(VAT_Codes!$E:$E,MATCH($N128,VAT_Codes!$A:$A,0)),"ANY")&lt;&gt;"ANY",$P128=""),"MISSING COUNTERPARTY COUNTRY",IF(AND(IFERROR(INDEX(VAT_Codes!$E:$E,MATCH($N128,VAT_Codes!$A:$A,0)),"ANY")&lt;&gt;"ANY",$P128&lt;&gt;IFERROR(INDEX(VAT_Codes!$E:$E,MATCH($N128,VAT_Codes!$A:$A,0)),"ANY")),"REGION MISMATCH","OK")))))))</f>
        <v/>
      </c>
    </row>
    <row r="129" customFormat="false" ht="15" hidden="false" customHeight="false" outlineLevel="0" collapsed="false">
      <c r="M129" s="24" t="str">
        <f aca="false">IF($C129="","",IFERROR(INDEX(Account_Mapping!$C:$C,MATCH($C129&amp;"",Account_Mapping!$A:$A,0))&amp;"",""))</f>
        <v/>
      </c>
      <c r="N129" s="24" t="str">
        <f aca="false">IF($K129&lt;&gt;"",$K129,$M129)</f>
        <v/>
      </c>
      <c r="O129" s="24" t="str">
        <f aca="false">IF($F129="","",IFERROR(INDEX(Counterparties!$C:$C,MATCH($F129&amp;"",Counterparties!$A:$A,0))&amp;"",""))</f>
        <v/>
      </c>
      <c r="P129" s="24" t="str">
        <f aca="false">IF($O129="","",IF($O129="CY","CY",IF(ISNUMBER(MATCH($O129,Lists!$A:$A,0)),"EU","3RD")))</f>
        <v/>
      </c>
      <c r="Q129" s="24" t="str">
        <f aca="false">IF($F129="","N",IFERROR(IF(INDEX(Counterparties!$E:$E,MATCH($F129&amp;"",Counterparties!$A:$A,0))="Y","Y","N"),"N"))</f>
        <v>N</v>
      </c>
      <c r="R129" s="25" t="n">
        <f aca="false">IF(OR($H129="",$H129="EUR"),1,IFERROR(INDEX(FX_Rates!$D:$D,MATCH($H129,FX_Rates!$A:$A,0)),""))</f>
        <v>1</v>
      </c>
      <c r="S129" s="26" t="str">
        <f aca="false">IF(AND($I129="",$J129=""),"",IF($J129&lt;&gt;"",$J129,IF(OR($R129="",$R129=0),"",ROUND($I129/$R129,2))))</f>
        <v/>
      </c>
      <c r="T129" s="24" t="str">
        <f aca="false">IF($N129="","",IFERROR(INDEX(VAT_Codes!$C:$C,MATCH($N129,VAT_Codes!$A:$A,0)),"")&amp;"")</f>
        <v/>
      </c>
      <c r="U129" s="26" t="n">
        <f aca="false">IF(OR($S129="",$T129="",$T129="None"),0,IF($T129="Output",-$S129,$S129))</f>
        <v>0</v>
      </c>
      <c r="V129" s="27" t="n">
        <f aca="false">IF($N129="",0,IFERROR(INDEX(VAT_Codes!$D:$D,MATCH($N129,VAT_Codes!$A:$A,0)),0))</f>
        <v>0</v>
      </c>
      <c r="W129" s="26" t="n">
        <f aca="false">IF($U129=0,0,IF(IFERROR(INDEX(VAT_Codes!$F:$F,MATCH($N129,VAT_Codes!$A:$A,0)),"N")="Y",$U129,IF($L129&lt;&gt;"",ROUND(ABS($L129)/IF(OR($R129="",$R129=0),1,$R129),2)*SIGN($U129),ROUND($U129*$V129,2))))</f>
        <v>0</v>
      </c>
      <c r="X129" s="24" t="str">
        <f aca="false">IF($N129="","",IFERROR(INDEX(VAT_Codes!$H:$H,MATCH($N129,VAT_Codes!$A:$A,0)),"")&amp;"")</f>
        <v/>
      </c>
      <c r="Y129" s="24" t="str">
        <f aca="false">IF($A129="","",(YEAR($A129)-YEAR(Settings!$C$8))*12+MONTH($A129)-MONTH(Settings!$C$8)+1)</f>
        <v/>
      </c>
      <c r="Z129" s="24" t="str">
        <f aca="false">IF(AND($C129="",$I129="",$J129=""),"",IF($N129="","NO VAT CODE",IF($T129="","UNKNOWN VAT CODE",IF($S129="","MISSING FX RATE",IF(OR($A129&lt;Settings!$C$8,$A129&gt;Settings!$C$9),"OUTSIDE PERIOD",IF(AND(IFERROR(INDEX(VAT_Codes!$E:$E,MATCH($N129,VAT_Codes!$A:$A,0)),"ANY")&lt;&gt;"ANY",$P129=""),"MISSING COUNTERPARTY COUNTRY",IF(AND(IFERROR(INDEX(VAT_Codes!$E:$E,MATCH($N129,VAT_Codes!$A:$A,0)),"ANY")&lt;&gt;"ANY",$P129&lt;&gt;IFERROR(INDEX(VAT_Codes!$E:$E,MATCH($N129,VAT_Codes!$A:$A,0)),"ANY")),"REGION MISMATCH","OK")))))))</f>
        <v/>
      </c>
    </row>
    <row r="130" customFormat="false" ht="15" hidden="false" customHeight="false" outlineLevel="0" collapsed="false">
      <c r="M130" s="24" t="str">
        <f aca="false">IF($C130="","",IFERROR(INDEX(Account_Mapping!$C:$C,MATCH($C130&amp;"",Account_Mapping!$A:$A,0))&amp;"",""))</f>
        <v/>
      </c>
      <c r="N130" s="24" t="str">
        <f aca="false">IF($K130&lt;&gt;"",$K130,$M130)</f>
        <v/>
      </c>
      <c r="O130" s="24" t="str">
        <f aca="false">IF($F130="","",IFERROR(INDEX(Counterparties!$C:$C,MATCH($F130&amp;"",Counterparties!$A:$A,0))&amp;"",""))</f>
        <v/>
      </c>
      <c r="P130" s="24" t="str">
        <f aca="false">IF($O130="","",IF($O130="CY","CY",IF(ISNUMBER(MATCH($O130,Lists!$A:$A,0)),"EU","3RD")))</f>
        <v/>
      </c>
      <c r="Q130" s="24" t="str">
        <f aca="false">IF($F130="","N",IFERROR(IF(INDEX(Counterparties!$E:$E,MATCH($F130&amp;"",Counterparties!$A:$A,0))="Y","Y","N"),"N"))</f>
        <v>N</v>
      </c>
      <c r="R130" s="25" t="n">
        <f aca="false">IF(OR($H130="",$H130="EUR"),1,IFERROR(INDEX(FX_Rates!$D:$D,MATCH($H130,FX_Rates!$A:$A,0)),""))</f>
        <v>1</v>
      </c>
      <c r="S130" s="26" t="str">
        <f aca="false">IF(AND($I130="",$J130=""),"",IF($J130&lt;&gt;"",$J130,IF(OR($R130="",$R130=0),"",ROUND($I130/$R130,2))))</f>
        <v/>
      </c>
      <c r="T130" s="24" t="str">
        <f aca="false">IF($N130="","",IFERROR(INDEX(VAT_Codes!$C:$C,MATCH($N130,VAT_Codes!$A:$A,0)),"")&amp;"")</f>
        <v/>
      </c>
      <c r="U130" s="26" t="n">
        <f aca="false">IF(OR($S130="",$T130="",$T130="None"),0,IF($T130="Output",-$S130,$S130))</f>
        <v>0</v>
      </c>
      <c r="V130" s="27" t="n">
        <f aca="false">IF($N130="",0,IFERROR(INDEX(VAT_Codes!$D:$D,MATCH($N130,VAT_Codes!$A:$A,0)),0))</f>
        <v>0</v>
      </c>
      <c r="W130" s="26" t="n">
        <f aca="false">IF($U130=0,0,IF(IFERROR(INDEX(VAT_Codes!$F:$F,MATCH($N130,VAT_Codes!$A:$A,0)),"N")="Y",$U130,IF($L130&lt;&gt;"",ROUND(ABS($L130)/IF(OR($R130="",$R130=0),1,$R130),2)*SIGN($U130),ROUND($U130*$V130,2))))</f>
        <v>0</v>
      </c>
      <c r="X130" s="24" t="str">
        <f aca="false">IF($N130="","",IFERROR(INDEX(VAT_Codes!$H:$H,MATCH($N130,VAT_Codes!$A:$A,0)),"")&amp;"")</f>
        <v/>
      </c>
      <c r="Y130" s="24" t="str">
        <f aca="false">IF($A130="","",(YEAR($A130)-YEAR(Settings!$C$8))*12+MONTH($A130)-MONTH(Settings!$C$8)+1)</f>
        <v/>
      </c>
      <c r="Z130" s="24" t="str">
        <f aca="false">IF(AND($C130="",$I130="",$J130=""),"",IF($N130="","NO VAT CODE",IF($T130="","UNKNOWN VAT CODE",IF($S130="","MISSING FX RATE",IF(OR($A130&lt;Settings!$C$8,$A130&gt;Settings!$C$9),"OUTSIDE PERIOD",IF(AND(IFERROR(INDEX(VAT_Codes!$E:$E,MATCH($N130,VAT_Codes!$A:$A,0)),"ANY")&lt;&gt;"ANY",$P130=""),"MISSING COUNTERPARTY COUNTRY",IF(AND(IFERROR(INDEX(VAT_Codes!$E:$E,MATCH($N130,VAT_Codes!$A:$A,0)),"ANY")&lt;&gt;"ANY",$P130&lt;&gt;IFERROR(INDEX(VAT_Codes!$E:$E,MATCH($N130,VAT_Codes!$A:$A,0)),"ANY")),"REGION MISMATCH","OK")))))))</f>
        <v/>
      </c>
    </row>
    <row r="131" customFormat="false" ht="15" hidden="false" customHeight="false" outlineLevel="0" collapsed="false">
      <c r="M131" s="24" t="str">
        <f aca="false">IF($C131="","",IFERROR(INDEX(Account_Mapping!$C:$C,MATCH($C131&amp;"",Account_Mapping!$A:$A,0))&amp;"",""))</f>
        <v/>
      </c>
      <c r="N131" s="24" t="str">
        <f aca="false">IF($K131&lt;&gt;"",$K131,$M131)</f>
        <v/>
      </c>
      <c r="O131" s="24" t="str">
        <f aca="false">IF($F131="","",IFERROR(INDEX(Counterparties!$C:$C,MATCH($F131&amp;"",Counterparties!$A:$A,0))&amp;"",""))</f>
        <v/>
      </c>
      <c r="P131" s="24" t="str">
        <f aca="false">IF($O131="","",IF($O131="CY","CY",IF(ISNUMBER(MATCH($O131,Lists!$A:$A,0)),"EU","3RD")))</f>
        <v/>
      </c>
      <c r="Q131" s="24" t="str">
        <f aca="false">IF($F131="","N",IFERROR(IF(INDEX(Counterparties!$E:$E,MATCH($F131&amp;"",Counterparties!$A:$A,0))="Y","Y","N"),"N"))</f>
        <v>N</v>
      </c>
      <c r="R131" s="25" t="n">
        <f aca="false">IF(OR($H131="",$H131="EUR"),1,IFERROR(INDEX(FX_Rates!$D:$D,MATCH($H131,FX_Rates!$A:$A,0)),""))</f>
        <v>1</v>
      </c>
      <c r="S131" s="26" t="str">
        <f aca="false">IF(AND($I131="",$J131=""),"",IF($J131&lt;&gt;"",$J131,IF(OR($R131="",$R131=0),"",ROUND($I131/$R131,2))))</f>
        <v/>
      </c>
      <c r="T131" s="24" t="str">
        <f aca="false">IF($N131="","",IFERROR(INDEX(VAT_Codes!$C:$C,MATCH($N131,VAT_Codes!$A:$A,0)),"")&amp;"")</f>
        <v/>
      </c>
      <c r="U131" s="26" t="n">
        <f aca="false">IF(OR($S131="",$T131="",$T131="None"),0,IF($T131="Output",-$S131,$S131))</f>
        <v>0</v>
      </c>
      <c r="V131" s="27" t="n">
        <f aca="false">IF($N131="",0,IFERROR(INDEX(VAT_Codes!$D:$D,MATCH($N131,VAT_Codes!$A:$A,0)),0))</f>
        <v>0</v>
      </c>
      <c r="W131" s="26" t="n">
        <f aca="false">IF($U131=0,0,IF(IFERROR(INDEX(VAT_Codes!$F:$F,MATCH($N131,VAT_Codes!$A:$A,0)),"N")="Y",$U131,IF($L131&lt;&gt;"",ROUND(ABS($L131)/IF(OR($R131="",$R131=0),1,$R131),2)*SIGN($U131),ROUND($U131*$V131,2))))</f>
        <v>0</v>
      </c>
      <c r="X131" s="24" t="str">
        <f aca="false">IF($N131="","",IFERROR(INDEX(VAT_Codes!$H:$H,MATCH($N131,VAT_Codes!$A:$A,0)),"")&amp;"")</f>
        <v/>
      </c>
      <c r="Y131" s="24" t="str">
        <f aca="false">IF($A131="","",(YEAR($A131)-YEAR(Settings!$C$8))*12+MONTH($A131)-MONTH(Settings!$C$8)+1)</f>
        <v/>
      </c>
      <c r="Z131" s="24" t="str">
        <f aca="false">IF(AND($C131="",$I131="",$J131=""),"",IF($N131="","NO VAT CODE",IF($T131="","UNKNOWN VAT CODE",IF($S131="","MISSING FX RATE",IF(OR($A131&lt;Settings!$C$8,$A131&gt;Settings!$C$9),"OUTSIDE PERIOD",IF(AND(IFERROR(INDEX(VAT_Codes!$E:$E,MATCH($N131,VAT_Codes!$A:$A,0)),"ANY")&lt;&gt;"ANY",$P131=""),"MISSING COUNTERPARTY COUNTRY",IF(AND(IFERROR(INDEX(VAT_Codes!$E:$E,MATCH($N131,VAT_Codes!$A:$A,0)),"ANY")&lt;&gt;"ANY",$P131&lt;&gt;IFERROR(INDEX(VAT_Codes!$E:$E,MATCH($N131,VAT_Codes!$A:$A,0)),"ANY")),"REGION MISMATCH","OK")))))))</f>
        <v/>
      </c>
    </row>
    <row r="132" customFormat="false" ht="15" hidden="false" customHeight="false" outlineLevel="0" collapsed="false">
      <c r="M132" s="24" t="str">
        <f aca="false">IF($C132="","",IFERROR(INDEX(Account_Mapping!$C:$C,MATCH($C132&amp;"",Account_Mapping!$A:$A,0))&amp;"",""))</f>
        <v/>
      </c>
      <c r="N132" s="24" t="str">
        <f aca="false">IF($K132&lt;&gt;"",$K132,$M132)</f>
        <v/>
      </c>
      <c r="O132" s="24" t="str">
        <f aca="false">IF($F132="","",IFERROR(INDEX(Counterparties!$C:$C,MATCH($F132&amp;"",Counterparties!$A:$A,0))&amp;"",""))</f>
        <v/>
      </c>
      <c r="P132" s="24" t="str">
        <f aca="false">IF($O132="","",IF($O132="CY","CY",IF(ISNUMBER(MATCH($O132,Lists!$A:$A,0)),"EU","3RD")))</f>
        <v/>
      </c>
      <c r="Q132" s="24" t="str">
        <f aca="false">IF($F132="","N",IFERROR(IF(INDEX(Counterparties!$E:$E,MATCH($F132&amp;"",Counterparties!$A:$A,0))="Y","Y","N"),"N"))</f>
        <v>N</v>
      </c>
      <c r="R132" s="25" t="n">
        <f aca="false">IF(OR($H132="",$H132="EUR"),1,IFERROR(INDEX(FX_Rates!$D:$D,MATCH($H132,FX_Rates!$A:$A,0)),""))</f>
        <v>1</v>
      </c>
      <c r="S132" s="26" t="str">
        <f aca="false">IF(AND($I132="",$J132=""),"",IF($J132&lt;&gt;"",$J132,IF(OR($R132="",$R132=0),"",ROUND($I132/$R132,2))))</f>
        <v/>
      </c>
      <c r="T132" s="24" t="str">
        <f aca="false">IF($N132="","",IFERROR(INDEX(VAT_Codes!$C:$C,MATCH($N132,VAT_Codes!$A:$A,0)),"")&amp;"")</f>
        <v/>
      </c>
      <c r="U132" s="26" t="n">
        <f aca="false">IF(OR($S132="",$T132="",$T132="None"),0,IF($T132="Output",-$S132,$S132))</f>
        <v>0</v>
      </c>
      <c r="V132" s="27" t="n">
        <f aca="false">IF($N132="",0,IFERROR(INDEX(VAT_Codes!$D:$D,MATCH($N132,VAT_Codes!$A:$A,0)),0))</f>
        <v>0</v>
      </c>
      <c r="W132" s="26" t="n">
        <f aca="false">IF($U132=0,0,IF(IFERROR(INDEX(VAT_Codes!$F:$F,MATCH($N132,VAT_Codes!$A:$A,0)),"N")="Y",$U132,IF($L132&lt;&gt;"",ROUND(ABS($L132)/IF(OR($R132="",$R132=0),1,$R132),2)*SIGN($U132),ROUND($U132*$V132,2))))</f>
        <v>0</v>
      </c>
      <c r="X132" s="24" t="str">
        <f aca="false">IF($N132="","",IFERROR(INDEX(VAT_Codes!$H:$H,MATCH($N132,VAT_Codes!$A:$A,0)),"")&amp;"")</f>
        <v/>
      </c>
      <c r="Y132" s="24" t="str">
        <f aca="false">IF($A132="","",(YEAR($A132)-YEAR(Settings!$C$8))*12+MONTH($A132)-MONTH(Settings!$C$8)+1)</f>
        <v/>
      </c>
      <c r="Z132" s="24" t="str">
        <f aca="false">IF(AND($C132="",$I132="",$J132=""),"",IF($N132="","NO VAT CODE",IF($T132="","UNKNOWN VAT CODE",IF($S132="","MISSING FX RATE",IF(OR($A132&lt;Settings!$C$8,$A132&gt;Settings!$C$9),"OUTSIDE PERIOD",IF(AND(IFERROR(INDEX(VAT_Codes!$E:$E,MATCH($N132,VAT_Codes!$A:$A,0)),"ANY")&lt;&gt;"ANY",$P132=""),"MISSING COUNTERPARTY COUNTRY",IF(AND(IFERROR(INDEX(VAT_Codes!$E:$E,MATCH($N132,VAT_Codes!$A:$A,0)),"ANY")&lt;&gt;"ANY",$P132&lt;&gt;IFERROR(INDEX(VAT_Codes!$E:$E,MATCH($N132,VAT_Codes!$A:$A,0)),"ANY")),"REGION MISMATCH","OK")))))))</f>
        <v/>
      </c>
    </row>
    <row r="133" customFormat="false" ht="15" hidden="false" customHeight="false" outlineLevel="0" collapsed="false">
      <c r="M133" s="24" t="str">
        <f aca="false">IF($C133="","",IFERROR(INDEX(Account_Mapping!$C:$C,MATCH($C133&amp;"",Account_Mapping!$A:$A,0))&amp;"",""))</f>
        <v/>
      </c>
      <c r="N133" s="24" t="str">
        <f aca="false">IF($K133&lt;&gt;"",$K133,$M133)</f>
        <v/>
      </c>
      <c r="O133" s="24" t="str">
        <f aca="false">IF($F133="","",IFERROR(INDEX(Counterparties!$C:$C,MATCH($F133&amp;"",Counterparties!$A:$A,0))&amp;"",""))</f>
        <v/>
      </c>
      <c r="P133" s="24" t="str">
        <f aca="false">IF($O133="","",IF($O133="CY","CY",IF(ISNUMBER(MATCH($O133,Lists!$A:$A,0)),"EU","3RD")))</f>
        <v/>
      </c>
      <c r="Q133" s="24" t="str">
        <f aca="false">IF($F133="","N",IFERROR(IF(INDEX(Counterparties!$E:$E,MATCH($F133&amp;"",Counterparties!$A:$A,0))="Y","Y","N"),"N"))</f>
        <v>N</v>
      </c>
      <c r="R133" s="25" t="n">
        <f aca="false">IF(OR($H133="",$H133="EUR"),1,IFERROR(INDEX(FX_Rates!$D:$D,MATCH($H133,FX_Rates!$A:$A,0)),""))</f>
        <v>1</v>
      </c>
      <c r="S133" s="26" t="str">
        <f aca="false">IF(AND($I133="",$J133=""),"",IF($J133&lt;&gt;"",$J133,IF(OR($R133="",$R133=0),"",ROUND($I133/$R133,2))))</f>
        <v/>
      </c>
      <c r="T133" s="24" t="str">
        <f aca="false">IF($N133="","",IFERROR(INDEX(VAT_Codes!$C:$C,MATCH($N133,VAT_Codes!$A:$A,0)),"")&amp;"")</f>
        <v/>
      </c>
      <c r="U133" s="26" t="n">
        <f aca="false">IF(OR($S133="",$T133="",$T133="None"),0,IF($T133="Output",-$S133,$S133))</f>
        <v>0</v>
      </c>
      <c r="V133" s="27" t="n">
        <f aca="false">IF($N133="",0,IFERROR(INDEX(VAT_Codes!$D:$D,MATCH($N133,VAT_Codes!$A:$A,0)),0))</f>
        <v>0</v>
      </c>
      <c r="W133" s="26" t="n">
        <f aca="false">IF($U133=0,0,IF(IFERROR(INDEX(VAT_Codes!$F:$F,MATCH($N133,VAT_Codes!$A:$A,0)),"N")="Y",$U133,IF($L133&lt;&gt;"",ROUND(ABS($L133)/IF(OR($R133="",$R133=0),1,$R133),2)*SIGN($U133),ROUND($U133*$V133,2))))</f>
        <v>0</v>
      </c>
      <c r="X133" s="24" t="str">
        <f aca="false">IF($N133="","",IFERROR(INDEX(VAT_Codes!$H:$H,MATCH($N133,VAT_Codes!$A:$A,0)),"")&amp;"")</f>
        <v/>
      </c>
      <c r="Y133" s="24" t="str">
        <f aca="false">IF($A133="","",(YEAR($A133)-YEAR(Settings!$C$8))*12+MONTH($A133)-MONTH(Settings!$C$8)+1)</f>
        <v/>
      </c>
      <c r="Z133" s="24" t="str">
        <f aca="false">IF(AND($C133="",$I133="",$J133=""),"",IF($N133="","NO VAT CODE",IF($T133="","UNKNOWN VAT CODE",IF($S133="","MISSING FX RATE",IF(OR($A133&lt;Settings!$C$8,$A133&gt;Settings!$C$9),"OUTSIDE PERIOD",IF(AND(IFERROR(INDEX(VAT_Codes!$E:$E,MATCH($N133,VAT_Codes!$A:$A,0)),"ANY")&lt;&gt;"ANY",$P133=""),"MISSING COUNTERPARTY COUNTRY",IF(AND(IFERROR(INDEX(VAT_Codes!$E:$E,MATCH($N133,VAT_Codes!$A:$A,0)),"ANY")&lt;&gt;"ANY",$P133&lt;&gt;IFERROR(INDEX(VAT_Codes!$E:$E,MATCH($N133,VAT_Codes!$A:$A,0)),"ANY")),"REGION MISMATCH","OK")))))))</f>
        <v/>
      </c>
    </row>
    <row r="134" customFormat="false" ht="15" hidden="false" customHeight="false" outlineLevel="0" collapsed="false">
      <c r="M134" s="24" t="str">
        <f aca="false">IF($C134="","",IFERROR(INDEX(Account_Mapping!$C:$C,MATCH($C134&amp;"",Account_Mapping!$A:$A,0))&amp;"",""))</f>
        <v/>
      </c>
      <c r="N134" s="24" t="str">
        <f aca="false">IF($K134&lt;&gt;"",$K134,$M134)</f>
        <v/>
      </c>
      <c r="O134" s="24" t="str">
        <f aca="false">IF($F134="","",IFERROR(INDEX(Counterparties!$C:$C,MATCH($F134&amp;"",Counterparties!$A:$A,0))&amp;"",""))</f>
        <v/>
      </c>
      <c r="P134" s="24" t="str">
        <f aca="false">IF($O134="","",IF($O134="CY","CY",IF(ISNUMBER(MATCH($O134,Lists!$A:$A,0)),"EU","3RD")))</f>
        <v/>
      </c>
      <c r="Q134" s="24" t="str">
        <f aca="false">IF($F134="","N",IFERROR(IF(INDEX(Counterparties!$E:$E,MATCH($F134&amp;"",Counterparties!$A:$A,0))="Y","Y","N"),"N"))</f>
        <v>N</v>
      </c>
      <c r="R134" s="25" t="n">
        <f aca="false">IF(OR($H134="",$H134="EUR"),1,IFERROR(INDEX(FX_Rates!$D:$D,MATCH($H134,FX_Rates!$A:$A,0)),""))</f>
        <v>1</v>
      </c>
      <c r="S134" s="26" t="str">
        <f aca="false">IF(AND($I134="",$J134=""),"",IF($J134&lt;&gt;"",$J134,IF(OR($R134="",$R134=0),"",ROUND($I134/$R134,2))))</f>
        <v/>
      </c>
      <c r="T134" s="24" t="str">
        <f aca="false">IF($N134="","",IFERROR(INDEX(VAT_Codes!$C:$C,MATCH($N134,VAT_Codes!$A:$A,0)),"")&amp;"")</f>
        <v/>
      </c>
      <c r="U134" s="26" t="n">
        <f aca="false">IF(OR($S134="",$T134="",$T134="None"),0,IF($T134="Output",-$S134,$S134))</f>
        <v>0</v>
      </c>
      <c r="V134" s="27" t="n">
        <f aca="false">IF($N134="",0,IFERROR(INDEX(VAT_Codes!$D:$D,MATCH($N134,VAT_Codes!$A:$A,0)),0))</f>
        <v>0</v>
      </c>
      <c r="W134" s="26" t="n">
        <f aca="false">IF($U134=0,0,IF(IFERROR(INDEX(VAT_Codes!$F:$F,MATCH($N134,VAT_Codes!$A:$A,0)),"N")="Y",$U134,IF($L134&lt;&gt;"",ROUND(ABS($L134)/IF(OR($R134="",$R134=0),1,$R134),2)*SIGN($U134),ROUND($U134*$V134,2))))</f>
        <v>0</v>
      </c>
      <c r="X134" s="24" t="str">
        <f aca="false">IF($N134="","",IFERROR(INDEX(VAT_Codes!$H:$H,MATCH($N134,VAT_Codes!$A:$A,0)),"")&amp;"")</f>
        <v/>
      </c>
      <c r="Y134" s="24" t="str">
        <f aca="false">IF($A134="","",(YEAR($A134)-YEAR(Settings!$C$8))*12+MONTH($A134)-MONTH(Settings!$C$8)+1)</f>
        <v/>
      </c>
      <c r="Z134" s="24" t="str">
        <f aca="false">IF(AND($C134="",$I134="",$J134=""),"",IF($N134="","NO VAT CODE",IF($T134="","UNKNOWN VAT CODE",IF($S134="","MISSING FX RATE",IF(OR($A134&lt;Settings!$C$8,$A134&gt;Settings!$C$9),"OUTSIDE PERIOD",IF(AND(IFERROR(INDEX(VAT_Codes!$E:$E,MATCH($N134,VAT_Codes!$A:$A,0)),"ANY")&lt;&gt;"ANY",$P134=""),"MISSING COUNTERPARTY COUNTRY",IF(AND(IFERROR(INDEX(VAT_Codes!$E:$E,MATCH($N134,VAT_Codes!$A:$A,0)),"ANY")&lt;&gt;"ANY",$P134&lt;&gt;IFERROR(INDEX(VAT_Codes!$E:$E,MATCH($N134,VAT_Codes!$A:$A,0)),"ANY")),"REGION MISMATCH","OK")))))))</f>
        <v/>
      </c>
    </row>
    <row r="135" customFormat="false" ht="15" hidden="false" customHeight="false" outlineLevel="0" collapsed="false">
      <c r="M135" s="24" t="str">
        <f aca="false">IF($C135="","",IFERROR(INDEX(Account_Mapping!$C:$C,MATCH($C135&amp;"",Account_Mapping!$A:$A,0))&amp;"",""))</f>
        <v/>
      </c>
      <c r="N135" s="24" t="str">
        <f aca="false">IF($K135&lt;&gt;"",$K135,$M135)</f>
        <v/>
      </c>
      <c r="O135" s="24" t="str">
        <f aca="false">IF($F135="","",IFERROR(INDEX(Counterparties!$C:$C,MATCH($F135&amp;"",Counterparties!$A:$A,0))&amp;"",""))</f>
        <v/>
      </c>
      <c r="P135" s="24" t="str">
        <f aca="false">IF($O135="","",IF($O135="CY","CY",IF(ISNUMBER(MATCH($O135,Lists!$A:$A,0)),"EU","3RD")))</f>
        <v/>
      </c>
      <c r="Q135" s="24" t="str">
        <f aca="false">IF($F135="","N",IFERROR(IF(INDEX(Counterparties!$E:$E,MATCH($F135&amp;"",Counterparties!$A:$A,0))="Y","Y","N"),"N"))</f>
        <v>N</v>
      </c>
      <c r="R135" s="25" t="n">
        <f aca="false">IF(OR($H135="",$H135="EUR"),1,IFERROR(INDEX(FX_Rates!$D:$D,MATCH($H135,FX_Rates!$A:$A,0)),""))</f>
        <v>1</v>
      </c>
      <c r="S135" s="26" t="str">
        <f aca="false">IF(AND($I135="",$J135=""),"",IF($J135&lt;&gt;"",$J135,IF(OR($R135="",$R135=0),"",ROUND($I135/$R135,2))))</f>
        <v/>
      </c>
      <c r="T135" s="24" t="str">
        <f aca="false">IF($N135="","",IFERROR(INDEX(VAT_Codes!$C:$C,MATCH($N135,VAT_Codes!$A:$A,0)),"")&amp;"")</f>
        <v/>
      </c>
      <c r="U135" s="26" t="n">
        <f aca="false">IF(OR($S135="",$T135="",$T135="None"),0,IF($T135="Output",-$S135,$S135))</f>
        <v>0</v>
      </c>
      <c r="V135" s="27" t="n">
        <f aca="false">IF($N135="",0,IFERROR(INDEX(VAT_Codes!$D:$D,MATCH($N135,VAT_Codes!$A:$A,0)),0))</f>
        <v>0</v>
      </c>
      <c r="W135" s="26" t="n">
        <f aca="false">IF($U135=0,0,IF(IFERROR(INDEX(VAT_Codes!$F:$F,MATCH($N135,VAT_Codes!$A:$A,0)),"N")="Y",$U135,IF($L135&lt;&gt;"",ROUND(ABS($L135)/IF(OR($R135="",$R135=0),1,$R135),2)*SIGN($U135),ROUND($U135*$V135,2))))</f>
        <v>0</v>
      </c>
      <c r="X135" s="24" t="str">
        <f aca="false">IF($N135="","",IFERROR(INDEX(VAT_Codes!$H:$H,MATCH($N135,VAT_Codes!$A:$A,0)),"")&amp;"")</f>
        <v/>
      </c>
      <c r="Y135" s="24" t="str">
        <f aca="false">IF($A135="","",(YEAR($A135)-YEAR(Settings!$C$8))*12+MONTH($A135)-MONTH(Settings!$C$8)+1)</f>
        <v/>
      </c>
      <c r="Z135" s="24" t="str">
        <f aca="false">IF(AND($C135="",$I135="",$J135=""),"",IF($N135="","NO VAT CODE",IF($T135="","UNKNOWN VAT CODE",IF($S135="","MISSING FX RATE",IF(OR($A135&lt;Settings!$C$8,$A135&gt;Settings!$C$9),"OUTSIDE PERIOD",IF(AND(IFERROR(INDEX(VAT_Codes!$E:$E,MATCH($N135,VAT_Codes!$A:$A,0)),"ANY")&lt;&gt;"ANY",$P135=""),"MISSING COUNTERPARTY COUNTRY",IF(AND(IFERROR(INDEX(VAT_Codes!$E:$E,MATCH($N135,VAT_Codes!$A:$A,0)),"ANY")&lt;&gt;"ANY",$P135&lt;&gt;IFERROR(INDEX(VAT_Codes!$E:$E,MATCH($N135,VAT_Codes!$A:$A,0)),"ANY")),"REGION MISMATCH","OK")))))))</f>
        <v/>
      </c>
    </row>
    <row r="136" customFormat="false" ht="15" hidden="false" customHeight="false" outlineLevel="0" collapsed="false">
      <c r="M136" s="24" t="str">
        <f aca="false">IF($C136="","",IFERROR(INDEX(Account_Mapping!$C:$C,MATCH($C136&amp;"",Account_Mapping!$A:$A,0))&amp;"",""))</f>
        <v/>
      </c>
      <c r="N136" s="24" t="str">
        <f aca="false">IF($K136&lt;&gt;"",$K136,$M136)</f>
        <v/>
      </c>
      <c r="O136" s="24" t="str">
        <f aca="false">IF($F136="","",IFERROR(INDEX(Counterparties!$C:$C,MATCH($F136&amp;"",Counterparties!$A:$A,0))&amp;"",""))</f>
        <v/>
      </c>
      <c r="P136" s="24" t="str">
        <f aca="false">IF($O136="","",IF($O136="CY","CY",IF(ISNUMBER(MATCH($O136,Lists!$A:$A,0)),"EU","3RD")))</f>
        <v/>
      </c>
      <c r="Q136" s="24" t="str">
        <f aca="false">IF($F136="","N",IFERROR(IF(INDEX(Counterparties!$E:$E,MATCH($F136&amp;"",Counterparties!$A:$A,0))="Y","Y","N"),"N"))</f>
        <v>N</v>
      </c>
      <c r="R136" s="25" t="n">
        <f aca="false">IF(OR($H136="",$H136="EUR"),1,IFERROR(INDEX(FX_Rates!$D:$D,MATCH($H136,FX_Rates!$A:$A,0)),""))</f>
        <v>1</v>
      </c>
      <c r="S136" s="26" t="str">
        <f aca="false">IF(AND($I136="",$J136=""),"",IF($J136&lt;&gt;"",$J136,IF(OR($R136="",$R136=0),"",ROUND($I136/$R136,2))))</f>
        <v/>
      </c>
      <c r="T136" s="24" t="str">
        <f aca="false">IF($N136="","",IFERROR(INDEX(VAT_Codes!$C:$C,MATCH($N136,VAT_Codes!$A:$A,0)),"")&amp;"")</f>
        <v/>
      </c>
      <c r="U136" s="26" t="n">
        <f aca="false">IF(OR($S136="",$T136="",$T136="None"),0,IF($T136="Output",-$S136,$S136))</f>
        <v>0</v>
      </c>
      <c r="V136" s="27" t="n">
        <f aca="false">IF($N136="",0,IFERROR(INDEX(VAT_Codes!$D:$D,MATCH($N136,VAT_Codes!$A:$A,0)),0))</f>
        <v>0</v>
      </c>
      <c r="W136" s="26" t="n">
        <f aca="false">IF($U136=0,0,IF(IFERROR(INDEX(VAT_Codes!$F:$F,MATCH($N136,VAT_Codes!$A:$A,0)),"N")="Y",$U136,IF($L136&lt;&gt;"",ROUND(ABS($L136)/IF(OR($R136="",$R136=0),1,$R136),2)*SIGN($U136),ROUND($U136*$V136,2))))</f>
        <v>0</v>
      </c>
      <c r="X136" s="24" t="str">
        <f aca="false">IF($N136="","",IFERROR(INDEX(VAT_Codes!$H:$H,MATCH($N136,VAT_Codes!$A:$A,0)),"")&amp;"")</f>
        <v/>
      </c>
      <c r="Y136" s="24" t="str">
        <f aca="false">IF($A136="","",(YEAR($A136)-YEAR(Settings!$C$8))*12+MONTH($A136)-MONTH(Settings!$C$8)+1)</f>
        <v/>
      </c>
      <c r="Z136" s="24" t="str">
        <f aca="false">IF(AND($C136="",$I136="",$J136=""),"",IF($N136="","NO VAT CODE",IF($T136="","UNKNOWN VAT CODE",IF($S136="","MISSING FX RATE",IF(OR($A136&lt;Settings!$C$8,$A136&gt;Settings!$C$9),"OUTSIDE PERIOD",IF(AND(IFERROR(INDEX(VAT_Codes!$E:$E,MATCH($N136,VAT_Codes!$A:$A,0)),"ANY")&lt;&gt;"ANY",$P136=""),"MISSING COUNTERPARTY COUNTRY",IF(AND(IFERROR(INDEX(VAT_Codes!$E:$E,MATCH($N136,VAT_Codes!$A:$A,0)),"ANY")&lt;&gt;"ANY",$P136&lt;&gt;IFERROR(INDEX(VAT_Codes!$E:$E,MATCH($N136,VAT_Codes!$A:$A,0)),"ANY")),"REGION MISMATCH","OK")))))))</f>
        <v/>
      </c>
    </row>
    <row r="137" customFormat="false" ht="15" hidden="false" customHeight="false" outlineLevel="0" collapsed="false">
      <c r="M137" s="24" t="str">
        <f aca="false">IF($C137="","",IFERROR(INDEX(Account_Mapping!$C:$C,MATCH($C137&amp;"",Account_Mapping!$A:$A,0))&amp;"",""))</f>
        <v/>
      </c>
      <c r="N137" s="24" t="str">
        <f aca="false">IF($K137&lt;&gt;"",$K137,$M137)</f>
        <v/>
      </c>
      <c r="O137" s="24" t="str">
        <f aca="false">IF($F137="","",IFERROR(INDEX(Counterparties!$C:$C,MATCH($F137&amp;"",Counterparties!$A:$A,0))&amp;"",""))</f>
        <v/>
      </c>
      <c r="P137" s="24" t="str">
        <f aca="false">IF($O137="","",IF($O137="CY","CY",IF(ISNUMBER(MATCH($O137,Lists!$A:$A,0)),"EU","3RD")))</f>
        <v/>
      </c>
      <c r="Q137" s="24" t="str">
        <f aca="false">IF($F137="","N",IFERROR(IF(INDEX(Counterparties!$E:$E,MATCH($F137&amp;"",Counterparties!$A:$A,0))="Y","Y","N"),"N"))</f>
        <v>N</v>
      </c>
      <c r="R137" s="25" t="n">
        <f aca="false">IF(OR($H137="",$H137="EUR"),1,IFERROR(INDEX(FX_Rates!$D:$D,MATCH($H137,FX_Rates!$A:$A,0)),""))</f>
        <v>1</v>
      </c>
      <c r="S137" s="26" t="str">
        <f aca="false">IF(AND($I137="",$J137=""),"",IF($J137&lt;&gt;"",$J137,IF(OR($R137="",$R137=0),"",ROUND($I137/$R137,2))))</f>
        <v/>
      </c>
      <c r="T137" s="24" t="str">
        <f aca="false">IF($N137="","",IFERROR(INDEX(VAT_Codes!$C:$C,MATCH($N137,VAT_Codes!$A:$A,0)),"")&amp;"")</f>
        <v/>
      </c>
      <c r="U137" s="26" t="n">
        <f aca="false">IF(OR($S137="",$T137="",$T137="None"),0,IF($T137="Output",-$S137,$S137))</f>
        <v>0</v>
      </c>
      <c r="V137" s="27" t="n">
        <f aca="false">IF($N137="",0,IFERROR(INDEX(VAT_Codes!$D:$D,MATCH($N137,VAT_Codes!$A:$A,0)),0))</f>
        <v>0</v>
      </c>
      <c r="W137" s="26" t="n">
        <f aca="false">IF($U137=0,0,IF(IFERROR(INDEX(VAT_Codes!$F:$F,MATCH($N137,VAT_Codes!$A:$A,0)),"N")="Y",$U137,IF($L137&lt;&gt;"",ROUND(ABS($L137)/IF(OR($R137="",$R137=0),1,$R137),2)*SIGN($U137),ROUND($U137*$V137,2))))</f>
        <v>0</v>
      </c>
      <c r="X137" s="24" t="str">
        <f aca="false">IF($N137="","",IFERROR(INDEX(VAT_Codes!$H:$H,MATCH($N137,VAT_Codes!$A:$A,0)),"")&amp;"")</f>
        <v/>
      </c>
      <c r="Y137" s="24" t="str">
        <f aca="false">IF($A137="","",(YEAR($A137)-YEAR(Settings!$C$8))*12+MONTH($A137)-MONTH(Settings!$C$8)+1)</f>
        <v/>
      </c>
      <c r="Z137" s="24" t="str">
        <f aca="false">IF(AND($C137="",$I137="",$J137=""),"",IF($N137="","NO VAT CODE",IF($T137="","UNKNOWN VAT CODE",IF($S137="","MISSING FX RATE",IF(OR($A137&lt;Settings!$C$8,$A137&gt;Settings!$C$9),"OUTSIDE PERIOD",IF(AND(IFERROR(INDEX(VAT_Codes!$E:$E,MATCH($N137,VAT_Codes!$A:$A,0)),"ANY")&lt;&gt;"ANY",$P137=""),"MISSING COUNTERPARTY COUNTRY",IF(AND(IFERROR(INDEX(VAT_Codes!$E:$E,MATCH($N137,VAT_Codes!$A:$A,0)),"ANY")&lt;&gt;"ANY",$P137&lt;&gt;IFERROR(INDEX(VAT_Codes!$E:$E,MATCH($N137,VAT_Codes!$A:$A,0)),"ANY")),"REGION MISMATCH","OK")))))))</f>
        <v/>
      </c>
    </row>
    <row r="138" customFormat="false" ht="15" hidden="false" customHeight="false" outlineLevel="0" collapsed="false">
      <c r="M138" s="24" t="str">
        <f aca="false">IF($C138="","",IFERROR(INDEX(Account_Mapping!$C:$C,MATCH($C138&amp;"",Account_Mapping!$A:$A,0))&amp;"",""))</f>
        <v/>
      </c>
      <c r="N138" s="24" t="str">
        <f aca="false">IF($K138&lt;&gt;"",$K138,$M138)</f>
        <v/>
      </c>
      <c r="O138" s="24" t="str">
        <f aca="false">IF($F138="","",IFERROR(INDEX(Counterparties!$C:$C,MATCH($F138&amp;"",Counterparties!$A:$A,0))&amp;"",""))</f>
        <v/>
      </c>
      <c r="P138" s="24" t="str">
        <f aca="false">IF($O138="","",IF($O138="CY","CY",IF(ISNUMBER(MATCH($O138,Lists!$A:$A,0)),"EU","3RD")))</f>
        <v/>
      </c>
      <c r="Q138" s="24" t="str">
        <f aca="false">IF($F138="","N",IFERROR(IF(INDEX(Counterparties!$E:$E,MATCH($F138&amp;"",Counterparties!$A:$A,0))="Y","Y","N"),"N"))</f>
        <v>N</v>
      </c>
      <c r="R138" s="25" t="n">
        <f aca="false">IF(OR($H138="",$H138="EUR"),1,IFERROR(INDEX(FX_Rates!$D:$D,MATCH($H138,FX_Rates!$A:$A,0)),""))</f>
        <v>1</v>
      </c>
      <c r="S138" s="26" t="str">
        <f aca="false">IF(AND($I138="",$J138=""),"",IF($J138&lt;&gt;"",$J138,IF(OR($R138="",$R138=0),"",ROUND($I138/$R138,2))))</f>
        <v/>
      </c>
      <c r="T138" s="24" t="str">
        <f aca="false">IF($N138="","",IFERROR(INDEX(VAT_Codes!$C:$C,MATCH($N138,VAT_Codes!$A:$A,0)),"")&amp;"")</f>
        <v/>
      </c>
      <c r="U138" s="26" t="n">
        <f aca="false">IF(OR($S138="",$T138="",$T138="None"),0,IF($T138="Output",-$S138,$S138))</f>
        <v>0</v>
      </c>
      <c r="V138" s="27" t="n">
        <f aca="false">IF($N138="",0,IFERROR(INDEX(VAT_Codes!$D:$D,MATCH($N138,VAT_Codes!$A:$A,0)),0))</f>
        <v>0</v>
      </c>
      <c r="W138" s="26" t="n">
        <f aca="false">IF($U138=0,0,IF(IFERROR(INDEX(VAT_Codes!$F:$F,MATCH($N138,VAT_Codes!$A:$A,0)),"N")="Y",$U138,IF($L138&lt;&gt;"",ROUND(ABS($L138)/IF(OR($R138="",$R138=0),1,$R138),2)*SIGN($U138),ROUND($U138*$V138,2))))</f>
        <v>0</v>
      </c>
      <c r="X138" s="24" t="str">
        <f aca="false">IF($N138="","",IFERROR(INDEX(VAT_Codes!$H:$H,MATCH($N138,VAT_Codes!$A:$A,0)),"")&amp;"")</f>
        <v/>
      </c>
      <c r="Y138" s="24" t="str">
        <f aca="false">IF($A138="","",(YEAR($A138)-YEAR(Settings!$C$8))*12+MONTH($A138)-MONTH(Settings!$C$8)+1)</f>
        <v/>
      </c>
      <c r="Z138" s="24" t="str">
        <f aca="false">IF(AND($C138="",$I138="",$J138=""),"",IF($N138="","NO VAT CODE",IF($T138="","UNKNOWN VAT CODE",IF($S138="","MISSING FX RATE",IF(OR($A138&lt;Settings!$C$8,$A138&gt;Settings!$C$9),"OUTSIDE PERIOD",IF(AND(IFERROR(INDEX(VAT_Codes!$E:$E,MATCH($N138,VAT_Codes!$A:$A,0)),"ANY")&lt;&gt;"ANY",$P138=""),"MISSING COUNTERPARTY COUNTRY",IF(AND(IFERROR(INDEX(VAT_Codes!$E:$E,MATCH($N138,VAT_Codes!$A:$A,0)),"ANY")&lt;&gt;"ANY",$P138&lt;&gt;IFERROR(INDEX(VAT_Codes!$E:$E,MATCH($N138,VAT_Codes!$A:$A,0)),"ANY")),"REGION MISMATCH","OK")))))))</f>
        <v/>
      </c>
    </row>
    <row r="139" customFormat="false" ht="15" hidden="false" customHeight="false" outlineLevel="0" collapsed="false">
      <c r="M139" s="24" t="str">
        <f aca="false">IF($C139="","",IFERROR(INDEX(Account_Mapping!$C:$C,MATCH($C139&amp;"",Account_Mapping!$A:$A,0))&amp;"",""))</f>
        <v/>
      </c>
      <c r="N139" s="24" t="str">
        <f aca="false">IF($K139&lt;&gt;"",$K139,$M139)</f>
        <v/>
      </c>
      <c r="O139" s="24" t="str">
        <f aca="false">IF($F139="","",IFERROR(INDEX(Counterparties!$C:$C,MATCH($F139&amp;"",Counterparties!$A:$A,0))&amp;"",""))</f>
        <v/>
      </c>
      <c r="P139" s="24" t="str">
        <f aca="false">IF($O139="","",IF($O139="CY","CY",IF(ISNUMBER(MATCH($O139,Lists!$A:$A,0)),"EU","3RD")))</f>
        <v/>
      </c>
      <c r="Q139" s="24" t="str">
        <f aca="false">IF($F139="","N",IFERROR(IF(INDEX(Counterparties!$E:$E,MATCH($F139&amp;"",Counterparties!$A:$A,0))="Y","Y","N"),"N"))</f>
        <v>N</v>
      </c>
      <c r="R139" s="25" t="n">
        <f aca="false">IF(OR($H139="",$H139="EUR"),1,IFERROR(INDEX(FX_Rates!$D:$D,MATCH($H139,FX_Rates!$A:$A,0)),""))</f>
        <v>1</v>
      </c>
      <c r="S139" s="26" t="str">
        <f aca="false">IF(AND($I139="",$J139=""),"",IF($J139&lt;&gt;"",$J139,IF(OR($R139="",$R139=0),"",ROUND($I139/$R139,2))))</f>
        <v/>
      </c>
      <c r="T139" s="24" t="str">
        <f aca="false">IF($N139="","",IFERROR(INDEX(VAT_Codes!$C:$C,MATCH($N139,VAT_Codes!$A:$A,0)),"")&amp;"")</f>
        <v/>
      </c>
      <c r="U139" s="26" t="n">
        <f aca="false">IF(OR($S139="",$T139="",$T139="None"),0,IF($T139="Output",-$S139,$S139))</f>
        <v>0</v>
      </c>
      <c r="V139" s="27" t="n">
        <f aca="false">IF($N139="",0,IFERROR(INDEX(VAT_Codes!$D:$D,MATCH($N139,VAT_Codes!$A:$A,0)),0))</f>
        <v>0</v>
      </c>
      <c r="W139" s="26" t="n">
        <f aca="false">IF($U139=0,0,IF(IFERROR(INDEX(VAT_Codes!$F:$F,MATCH($N139,VAT_Codes!$A:$A,0)),"N")="Y",$U139,IF($L139&lt;&gt;"",ROUND(ABS($L139)/IF(OR($R139="",$R139=0),1,$R139),2)*SIGN($U139),ROUND($U139*$V139,2))))</f>
        <v>0</v>
      </c>
      <c r="X139" s="24" t="str">
        <f aca="false">IF($N139="","",IFERROR(INDEX(VAT_Codes!$H:$H,MATCH($N139,VAT_Codes!$A:$A,0)),"")&amp;"")</f>
        <v/>
      </c>
      <c r="Y139" s="24" t="str">
        <f aca="false">IF($A139="","",(YEAR($A139)-YEAR(Settings!$C$8))*12+MONTH($A139)-MONTH(Settings!$C$8)+1)</f>
        <v/>
      </c>
      <c r="Z139" s="24" t="str">
        <f aca="false">IF(AND($C139="",$I139="",$J139=""),"",IF($N139="","NO VAT CODE",IF($T139="","UNKNOWN VAT CODE",IF($S139="","MISSING FX RATE",IF(OR($A139&lt;Settings!$C$8,$A139&gt;Settings!$C$9),"OUTSIDE PERIOD",IF(AND(IFERROR(INDEX(VAT_Codes!$E:$E,MATCH($N139,VAT_Codes!$A:$A,0)),"ANY")&lt;&gt;"ANY",$P139=""),"MISSING COUNTERPARTY COUNTRY",IF(AND(IFERROR(INDEX(VAT_Codes!$E:$E,MATCH($N139,VAT_Codes!$A:$A,0)),"ANY")&lt;&gt;"ANY",$P139&lt;&gt;IFERROR(INDEX(VAT_Codes!$E:$E,MATCH($N139,VAT_Codes!$A:$A,0)),"ANY")),"REGION MISMATCH","OK")))))))</f>
        <v/>
      </c>
    </row>
    <row r="140" customFormat="false" ht="15" hidden="false" customHeight="false" outlineLevel="0" collapsed="false">
      <c r="M140" s="24" t="str">
        <f aca="false">IF($C140="","",IFERROR(INDEX(Account_Mapping!$C:$C,MATCH($C140&amp;"",Account_Mapping!$A:$A,0))&amp;"",""))</f>
        <v/>
      </c>
      <c r="N140" s="24" t="str">
        <f aca="false">IF($K140&lt;&gt;"",$K140,$M140)</f>
        <v/>
      </c>
      <c r="O140" s="24" t="str">
        <f aca="false">IF($F140="","",IFERROR(INDEX(Counterparties!$C:$C,MATCH($F140&amp;"",Counterparties!$A:$A,0))&amp;"",""))</f>
        <v/>
      </c>
      <c r="P140" s="24" t="str">
        <f aca="false">IF($O140="","",IF($O140="CY","CY",IF(ISNUMBER(MATCH($O140,Lists!$A:$A,0)),"EU","3RD")))</f>
        <v/>
      </c>
      <c r="Q140" s="24" t="str">
        <f aca="false">IF($F140="","N",IFERROR(IF(INDEX(Counterparties!$E:$E,MATCH($F140&amp;"",Counterparties!$A:$A,0))="Y","Y","N"),"N"))</f>
        <v>N</v>
      </c>
      <c r="R140" s="25" t="n">
        <f aca="false">IF(OR($H140="",$H140="EUR"),1,IFERROR(INDEX(FX_Rates!$D:$D,MATCH($H140,FX_Rates!$A:$A,0)),""))</f>
        <v>1</v>
      </c>
      <c r="S140" s="26" t="str">
        <f aca="false">IF(AND($I140="",$J140=""),"",IF($J140&lt;&gt;"",$J140,IF(OR($R140="",$R140=0),"",ROUND($I140/$R140,2))))</f>
        <v/>
      </c>
      <c r="T140" s="24" t="str">
        <f aca="false">IF($N140="","",IFERROR(INDEX(VAT_Codes!$C:$C,MATCH($N140,VAT_Codes!$A:$A,0)),"")&amp;"")</f>
        <v/>
      </c>
      <c r="U140" s="26" t="n">
        <f aca="false">IF(OR($S140="",$T140="",$T140="None"),0,IF($T140="Output",-$S140,$S140))</f>
        <v>0</v>
      </c>
      <c r="V140" s="27" t="n">
        <f aca="false">IF($N140="",0,IFERROR(INDEX(VAT_Codes!$D:$D,MATCH($N140,VAT_Codes!$A:$A,0)),0))</f>
        <v>0</v>
      </c>
      <c r="W140" s="26" t="n">
        <f aca="false">IF($U140=0,0,IF(IFERROR(INDEX(VAT_Codes!$F:$F,MATCH($N140,VAT_Codes!$A:$A,0)),"N")="Y",$U140,IF($L140&lt;&gt;"",ROUND(ABS($L140)/IF(OR($R140="",$R140=0),1,$R140),2)*SIGN($U140),ROUND($U140*$V140,2))))</f>
        <v>0</v>
      </c>
      <c r="X140" s="24" t="str">
        <f aca="false">IF($N140="","",IFERROR(INDEX(VAT_Codes!$H:$H,MATCH($N140,VAT_Codes!$A:$A,0)),"")&amp;"")</f>
        <v/>
      </c>
      <c r="Y140" s="24" t="str">
        <f aca="false">IF($A140="","",(YEAR($A140)-YEAR(Settings!$C$8))*12+MONTH($A140)-MONTH(Settings!$C$8)+1)</f>
        <v/>
      </c>
      <c r="Z140" s="24" t="str">
        <f aca="false">IF(AND($C140="",$I140="",$J140=""),"",IF($N140="","NO VAT CODE",IF($T140="","UNKNOWN VAT CODE",IF($S140="","MISSING FX RATE",IF(OR($A140&lt;Settings!$C$8,$A140&gt;Settings!$C$9),"OUTSIDE PERIOD",IF(AND(IFERROR(INDEX(VAT_Codes!$E:$E,MATCH($N140,VAT_Codes!$A:$A,0)),"ANY")&lt;&gt;"ANY",$P140=""),"MISSING COUNTERPARTY COUNTRY",IF(AND(IFERROR(INDEX(VAT_Codes!$E:$E,MATCH($N140,VAT_Codes!$A:$A,0)),"ANY")&lt;&gt;"ANY",$P140&lt;&gt;IFERROR(INDEX(VAT_Codes!$E:$E,MATCH($N140,VAT_Codes!$A:$A,0)),"ANY")),"REGION MISMATCH","OK")))))))</f>
        <v/>
      </c>
    </row>
    <row r="141" customFormat="false" ht="15" hidden="false" customHeight="false" outlineLevel="0" collapsed="false">
      <c r="M141" s="24" t="str">
        <f aca="false">IF($C141="","",IFERROR(INDEX(Account_Mapping!$C:$C,MATCH($C141&amp;"",Account_Mapping!$A:$A,0))&amp;"",""))</f>
        <v/>
      </c>
      <c r="N141" s="24" t="str">
        <f aca="false">IF($K141&lt;&gt;"",$K141,$M141)</f>
        <v/>
      </c>
      <c r="O141" s="24" t="str">
        <f aca="false">IF($F141="","",IFERROR(INDEX(Counterparties!$C:$C,MATCH($F141&amp;"",Counterparties!$A:$A,0))&amp;"",""))</f>
        <v/>
      </c>
      <c r="P141" s="24" t="str">
        <f aca="false">IF($O141="","",IF($O141="CY","CY",IF(ISNUMBER(MATCH($O141,Lists!$A:$A,0)),"EU","3RD")))</f>
        <v/>
      </c>
      <c r="Q141" s="24" t="str">
        <f aca="false">IF($F141="","N",IFERROR(IF(INDEX(Counterparties!$E:$E,MATCH($F141&amp;"",Counterparties!$A:$A,0))="Y","Y","N"),"N"))</f>
        <v>N</v>
      </c>
      <c r="R141" s="25" t="n">
        <f aca="false">IF(OR($H141="",$H141="EUR"),1,IFERROR(INDEX(FX_Rates!$D:$D,MATCH($H141,FX_Rates!$A:$A,0)),""))</f>
        <v>1</v>
      </c>
      <c r="S141" s="26" t="str">
        <f aca="false">IF(AND($I141="",$J141=""),"",IF($J141&lt;&gt;"",$J141,IF(OR($R141="",$R141=0),"",ROUND($I141/$R141,2))))</f>
        <v/>
      </c>
      <c r="T141" s="24" t="str">
        <f aca="false">IF($N141="","",IFERROR(INDEX(VAT_Codes!$C:$C,MATCH($N141,VAT_Codes!$A:$A,0)),"")&amp;"")</f>
        <v/>
      </c>
      <c r="U141" s="26" t="n">
        <f aca="false">IF(OR($S141="",$T141="",$T141="None"),0,IF($T141="Output",-$S141,$S141))</f>
        <v>0</v>
      </c>
      <c r="V141" s="27" t="n">
        <f aca="false">IF($N141="",0,IFERROR(INDEX(VAT_Codes!$D:$D,MATCH($N141,VAT_Codes!$A:$A,0)),0))</f>
        <v>0</v>
      </c>
      <c r="W141" s="26" t="n">
        <f aca="false">IF($U141=0,0,IF(IFERROR(INDEX(VAT_Codes!$F:$F,MATCH($N141,VAT_Codes!$A:$A,0)),"N")="Y",$U141,IF($L141&lt;&gt;"",ROUND(ABS($L141)/IF(OR($R141="",$R141=0),1,$R141),2)*SIGN($U141),ROUND($U141*$V141,2))))</f>
        <v>0</v>
      </c>
      <c r="X141" s="24" t="str">
        <f aca="false">IF($N141="","",IFERROR(INDEX(VAT_Codes!$H:$H,MATCH($N141,VAT_Codes!$A:$A,0)),"")&amp;"")</f>
        <v/>
      </c>
      <c r="Y141" s="24" t="str">
        <f aca="false">IF($A141="","",(YEAR($A141)-YEAR(Settings!$C$8))*12+MONTH($A141)-MONTH(Settings!$C$8)+1)</f>
        <v/>
      </c>
      <c r="Z141" s="24" t="str">
        <f aca="false">IF(AND($C141="",$I141="",$J141=""),"",IF($N141="","NO VAT CODE",IF($T141="","UNKNOWN VAT CODE",IF($S141="","MISSING FX RATE",IF(OR($A141&lt;Settings!$C$8,$A141&gt;Settings!$C$9),"OUTSIDE PERIOD",IF(AND(IFERROR(INDEX(VAT_Codes!$E:$E,MATCH($N141,VAT_Codes!$A:$A,0)),"ANY")&lt;&gt;"ANY",$P141=""),"MISSING COUNTERPARTY COUNTRY",IF(AND(IFERROR(INDEX(VAT_Codes!$E:$E,MATCH($N141,VAT_Codes!$A:$A,0)),"ANY")&lt;&gt;"ANY",$P141&lt;&gt;IFERROR(INDEX(VAT_Codes!$E:$E,MATCH($N141,VAT_Codes!$A:$A,0)),"ANY")),"REGION MISMATCH","OK")))))))</f>
        <v/>
      </c>
    </row>
    <row r="142" customFormat="false" ht="15" hidden="false" customHeight="false" outlineLevel="0" collapsed="false">
      <c r="M142" s="24" t="str">
        <f aca="false">IF($C142="","",IFERROR(INDEX(Account_Mapping!$C:$C,MATCH($C142&amp;"",Account_Mapping!$A:$A,0))&amp;"",""))</f>
        <v/>
      </c>
      <c r="N142" s="24" t="str">
        <f aca="false">IF($K142&lt;&gt;"",$K142,$M142)</f>
        <v/>
      </c>
      <c r="O142" s="24" t="str">
        <f aca="false">IF($F142="","",IFERROR(INDEX(Counterparties!$C:$C,MATCH($F142&amp;"",Counterparties!$A:$A,0))&amp;"",""))</f>
        <v/>
      </c>
      <c r="P142" s="24" t="str">
        <f aca="false">IF($O142="","",IF($O142="CY","CY",IF(ISNUMBER(MATCH($O142,Lists!$A:$A,0)),"EU","3RD")))</f>
        <v/>
      </c>
      <c r="Q142" s="24" t="str">
        <f aca="false">IF($F142="","N",IFERROR(IF(INDEX(Counterparties!$E:$E,MATCH($F142&amp;"",Counterparties!$A:$A,0))="Y","Y","N"),"N"))</f>
        <v>N</v>
      </c>
      <c r="R142" s="25" t="n">
        <f aca="false">IF(OR($H142="",$H142="EUR"),1,IFERROR(INDEX(FX_Rates!$D:$D,MATCH($H142,FX_Rates!$A:$A,0)),""))</f>
        <v>1</v>
      </c>
      <c r="S142" s="26" t="str">
        <f aca="false">IF(AND($I142="",$J142=""),"",IF($J142&lt;&gt;"",$J142,IF(OR($R142="",$R142=0),"",ROUND($I142/$R142,2))))</f>
        <v/>
      </c>
      <c r="T142" s="24" t="str">
        <f aca="false">IF($N142="","",IFERROR(INDEX(VAT_Codes!$C:$C,MATCH($N142,VAT_Codes!$A:$A,0)),"")&amp;"")</f>
        <v/>
      </c>
      <c r="U142" s="26" t="n">
        <f aca="false">IF(OR($S142="",$T142="",$T142="None"),0,IF($T142="Output",-$S142,$S142))</f>
        <v>0</v>
      </c>
      <c r="V142" s="27" t="n">
        <f aca="false">IF($N142="",0,IFERROR(INDEX(VAT_Codes!$D:$D,MATCH($N142,VAT_Codes!$A:$A,0)),0))</f>
        <v>0</v>
      </c>
      <c r="W142" s="26" t="n">
        <f aca="false">IF($U142=0,0,IF(IFERROR(INDEX(VAT_Codes!$F:$F,MATCH($N142,VAT_Codes!$A:$A,0)),"N")="Y",$U142,IF($L142&lt;&gt;"",ROUND(ABS($L142)/IF(OR($R142="",$R142=0),1,$R142),2)*SIGN($U142),ROUND($U142*$V142,2))))</f>
        <v>0</v>
      </c>
      <c r="X142" s="24" t="str">
        <f aca="false">IF($N142="","",IFERROR(INDEX(VAT_Codes!$H:$H,MATCH($N142,VAT_Codes!$A:$A,0)),"")&amp;"")</f>
        <v/>
      </c>
      <c r="Y142" s="24" t="str">
        <f aca="false">IF($A142="","",(YEAR($A142)-YEAR(Settings!$C$8))*12+MONTH($A142)-MONTH(Settings!$C$8)+1)</f>
        <v/>
      </c>
      <c r="Z142" s="24" t="str">
        <f aca="false">IF(AND($C142="",$I142="",$J142=""),"",IF($N142="","NO VAT CODE",IF($T142="","UNKNOWN VAT CODE",IF($S142="","MISSING FX RATE",IF(OR($A142&lt;Settings!$C$8,$A142&gt;Settings!$C$9),"OUTSIDE PERIOD",IF(AND(IFERROR(INDEX(VAT_Codes!$E:$E,MATCH($N142,VAT_Codes!$A:$A,0)),"ANY")&lt;&gt;"ANY",$P142=""),"MISSING COUNTERPARTY COUNTRY",IF(AND(IFERROR(INDEX(VAT_Codes!$E:$E,MATCH($N142,VAT_Codes!$A:$A,0)),"ANY")&lt;&gt;"ANY",$P142&lt;&gt;IFERROR(INDEX(VAT_Codes!$E:$E,MATCH($N142,VAT_Codes!$A:$A,0)),"ANY")),"REGION MISMATCH","OK")))))))</f>
        <v/>
      </c>
    </row>
    <row r="143" customFormat="false" ht="15" hidden="false" customHeight="false" outlineLevel="0" collapsed="false">
      <c r="M143" s="24" t="str">
        <f aca="false">IF($C143="","",IFERROR(INDEX(Account_Mapping!$C:$C,MATCH($C143&amp;"",Account_Mapping!$A:$A,0))&amp;"",""))</f>
        <v/>
      </c>
      <c r="N143" s="24" t="str">
        <f aca="false">IF($K143&lt;&gt;"",$K143,$M143)</f>
        <v/>
      </c>
      <c r="O143" s="24" t="str">
        <f aca="false">IF($F143="","",IFERROR(INDEX(Counterparties!$C:$C,MATCH($F143&amp;"",Counterparties!$A:$A,0))&amp;"",""))</f>
        <v/>
      </c>
      <c r="P143" s="24" t="str">
        <f aca="false">IF($O143="","",IF($O143="CY","CY",IF(ISNUMBER(MATCH($O143,Lists!$A:$A,0)),"EU","3RD")))</f>
        <v/>
      </c>
      <c r="Q143" s="24" t="str">
        <f aca="false">IF($F143="","N",IFERROR(IF(INDEX(Counterparties!$E:$E,MATCH($F143&amp;"",Counterparties!$A:$A,0))="Y","Y","N"),"N"))</f>
        <v>N</v>
      </c>
      <c r="R143" s="25" t="n">
        <f aca="false">IF(OR($H143="",$H143="EUR"),1,IFERROR(INDEX(FX_Rates!$D:$D,MATCH($H143,FX_Rates!$A:$A,0)),""))</f>
        <v>1</v>
      </c>
      <c r="S143" s="26" t="str">
        <f aca="false">IF(AND($I143="",$J143=""),"",IF($J143&lt;&gt;"",$J143,IF(OR($R143="",$R143=0),"",ROUND($I143/$R143,2))))</f>
        <v/>
      </c>
      <c r="T143" s="24" t="str">
        <f aca="false">IF($N143="","",IFERROR(INDEX(VAT_Codes!$C:$C,MATCH($N143,VAT_Codes!$A:$A,0)),"")&amp;"")</f>
        <v/>
      </c>
      <c r="U143" s="26" t="n">
        <f aca="false">IF(OR($S143="",$T143="",$T143="None"),0,IF($T143="Output",-$S143,$S143))</f>
        <v>0</v>
      </c>
      <c r="V143" s="27" t="n">
        <f aca="false">IF($N143="",0,IFERROR(INDEX(VAT_Codes!$D:$D,MATCH($N143,VAT_Codes!$A:$A,0)),0))</f>
        <v>0</v>
      </c>
      <c r="W143" s="26" t="n">
        <f aca="false">IF($U143=0,0,IF(IFERROR(INDEX(VAT_Codes!$F:$F,MATCH($N143,VAT_Codes!$A:$A,0)),"N")="Y",$U143,IF($L143&lt;&gt;"",ROUND(ABS($L143)/IF(OR($R143="",$R143=0),1,$R143),2)*SIGN($U143),ROUND($U143*$V143,2))))</f>
        <v>0</v>
      </c>
      <c r="X143" s="24" t="str">
        <f aca="false">IF($N143="","",IFERROR(INDEX(VAT_Codes!$H:$H,MATCH($N143,VAT_Codes!$A:$A,0)),"")&amp;"")</f>
        <v/>
      </c>
      <c r="Y143" s="24" t="str">
        <f aca="false">IF($A143="","",(YEAR($A143)-YEAR(Settings!$C$8))*12+MONTH($A143)-MONTH(Settings!$C$8)+1)</f>
        <v/>
      </c>
      <c r="Z143" s="24" t="str">
        <f aca="false">IF(AND($C143="",$I143="",$J143=""),"",IF($N143="","NO VAT CODE",IF($T143="","UNKNOWN VAT CODE",IF($S143="","MISSING FX RATE",IF(OR($A143&lt;Settings!$C$8,$A143&gt;Settings!$C$9),"OUTSIDE PERIOD",IF(AND(IFERROR(INDEX(VAT_Codes!$E:$E,MATCH($N143,VAT_Codes!$A:$A,0)),"ANY")&lt;&gt;"ANY",$P143=""),"MISSING COUNTERPARTY COUNTRY",IF(AND(IFERROR(INDEX(VAT_Codes!$E:$E,MATCH($N143,VAT_Codes!$A:$A,0)),"ANY")&lt;&gt;"ANY",$P143&lt;&gt;IFERROR(INDEX(VAT_Codes!$E:$E,MATCH($N143,VAT_Codes!$A:$A,0)),"ANY")),"REGION MISMATCH","OK")))))))</f>
        <v/>
      </c>
    </row>
    <row r="144" customFormat="false" ht="15" hidden="false" customHeight="false" outlineLevel="0" collapsed="false">
      <c r="M144" s="24" t="str">
        <f aca="false">IF($C144="","",IFERROR(INDEX(Account_Mapping!$C:$C,MATCH($C144&amp;"",Account_Mapping!$A:$A,0))&amp;"",""))</f>
        <v/>
      </c>
      <c r="N144" s="24" t="str">
        <f aca="false">IF($K144&lt;&gt;"",$K144,$M144)</f>
        <v/>
      </c>
      <c r="O144" s="24" t="str">
        <f aca="false">IF($F144="","",IFERROR(INDEX(Counterparties!$C:$C,MATCH($F144&amp;"",Counterparties!$A:$A,0))&amp;"",""))</f>
        <v/>
      </c>
      <c r="P144" s="24" t="str">
        <f aca="false">IF($O144="","",IF($O144="CY","CY",IF(ISNUMBER(MATCH($O144,Lists!$A:$A,0)),"EU","3RD")))</f>
        <v/>
      </c>
      <c r="Q144" s="24" t="str">
        <f aca="false">IF($F144="","N",IFERROR(IF(INDEX(Counterparties!$E:$E,MATCH($F144&amp;"",Counterparties!$A:$A,0))="Y","Y","N"),"N"))</f>
        <v>N</v>
      </c>
      <c r="R144" s="25" t="n">
        <f aca="false">IF(OR($H144="",$H144="EUR"),1,IFERROR(INDEX(FX_Rates!$D:$D,MATCH($H144,FX_Rates!$A:$A,0)),""))</f>
        <v>1</v>
      </c>
      <c r="S144" s="26" t="str">
        <f aca="false">IF(AND($I144="",$J144=""),"",IF($J144&lt;&gt;"",$J144,IF(OR($R144="",$R144=0),"",ROUND($I144/$R144,2))))</f>
        <v/>
      </c>
      <c r="T144" s="24" t="str">
        <f aca="false">IF($N144="","",IFERROR(INDEX(VAT_Codes!$C:$C,MATCH($N144,VAT_Codes!$A:$A,0)),"")&amp;"")</f>
        <v/>
      </c>
      <c r="U144" s="26" t="n">
        <f aca="false">IF(OR($S144="",$T144="",$T144="None"),0,IF($T144="Output",-$S144,$S144))</f>
        <v>0</v>
      </c>
      <c r="V144" s="27" t="n">
        <f aca="false">IF($N144="",0,IFERROR(INDEX(VAT_Codes!$D:$D,MATCH($N144,VAT_Codes!$A:$A,0)),0))</f>
        <v>0</v>
      </c>
      <c r="W144" s="26" t="n">
        <f aca="false">IF($U144=0,0,IF(IFERROR(INDEX(VAT_Codes!$F:$F,MATCH($N144,VAT_Codes!$A:$A,0)),"N")="Y",$U144,IF($L144&lt;&gt;"",ROUND(ABS($L144)/IF(OR($R144="",$R144=0),1,$R144),2)*SIGN($U144),ROUND($U144*$V144,2))))</f>
        <v>0</v>
      </c>
      <c r="X144" s="24" t="str">
        <f aca="false">IF($N144="","",IFERROR(INDEX(VAT_Codes!$H:$H,MATCH($N144,VAT_Codes!$A:$A,0)),"")&amp;"")</f>
        <v/>
      </c>
      <c r="Y144" s="24" t="str">
        <f aca="false">IF($A144="","",(YEAR($A144)-YEAR(Settings!$C$8))*12+MONTH($A144)-MONTH(Settings!$C$8)+1)</f>
        <v/>
      </c>
      <c r="Z144" s="24" t="str">
        <f aca="false">IF(AND($C144="",$I144="",$J144=""),"",IF($N144="","NO VAT CODE",IF($T144="","UNKNOWN VAT CODE",IF($S144="","MISSING FX RATE",IF(OR($A144&lt;Settings!$C$8,$A144&gt;Settings!$C$9),"OUTSIDE PERIOD",IF(AND(IFERROR(INDEX(VAT_Codes!$E:$E,MATCH($N144,VAT_Codes!$A:$A,0)),"ANY")&lt;&gt;"ANY",$P144=""),"MISSING COUNTERPARTY COUNTRY",IF(AND(IFERROR(INDEX(VAT_Codes!$E:$E,MATCH($N144,VAT_Codes!$A:$A,0)),"ANY")&lt;&gt;"ANY",$P144&lt;&gt;IFERROR(INDEX(VAT_Codes!$E:$E,MATCH($N144,VAT_Codes!$A:$A,0)),"ANY")),"REGION MISMATCH","OK")))))))</f>
        <v/>
      </c>
    </row>
    <row r="145" customFormat="false" ht="15" hidden="false" customHeight="false" outlineLevel="0" collapsed="false">
      <c r="M145" s="24" t="str">
        <f aca="false">IF($C145="","",IFERROR(INDEX(Account_Mapping!$C:$C,MATCH($C145&amp;"",Account_Mapping!$A:$A,0))&amp;"",""))</f>
        <v/>
      </c>
      <c r="N145" s="24" t="str">
        <f aca="false">IF($K145&lt;&gt;"",$K145,$M145)</f>
        <v/>
      </c>
      <c r="O145" s="24" t="str">
        <f aca="false">IF($F145="","",IFERROR(INDEX(Counterparties!$C:$C,MATCH($F145&amp;"",Counterparties!$A:$A,0))&amp;"",""))</f>
        <v/>
      </c>
      <c r="P145" s="24" t="str">
        <f aca="false">IF($O145="","",IF($O145="CY","CY",IF(ISNUMBER(MATCH($O145,Lists!$A:$A,0)),"EU","3RD")))</f>
        <v/>
      </c>
      <c r="Q145" s="24" t="str">
        <f aca="false">IF($F145="","N",IFERROR(IF(INDEX(Counterparties!$E:$E,MATCH($F145&amp;"",Counterparties!$A:$A,0))="Y","Y","N"),"N"))</f>
        <v>N</v>
      </c>
      <c r="R145" s="25" t="n">
        <f aca="false">IF(OR($H145="",$H145="EUR"),1,IFERROR(INDEX(FX_Rates!$D:$D,MATCH($H145,FX_Rates!$A:$A,0)),""))</f>
        <v>1</v>
      </c>
      <c r="S145" s="26" t="str">
        <f aca="false">IF(AND($I145="",$J145=""),"",IF($J145&lt;&gt;"",$J145,IF(OR($R145="",$R145=0),"",ROUND($I145/$R145,2))))</f>
        <v/>
      </c>
      <c r="T145" s="24" t="str">
        <f aca="false">IF($N145="","",IFERROR(INDEX(VAT_Codes!$C:$C,MATCH($N145,VAT_Codes!$A:$A,0)),"")&amp;"")</f>
        <v/>
      </c>
      <c r="U145" s="26" t="n">
        <f aca="false">IF(OR($S145="",$T145="",$T145="None"),0,IF($T145="Output",-$S145,$S145))</f>
        <v>0</v>
      </c>
      <c r="V145" s="27" t="n">
        <f aca="false">IF($N145="",0,IFERROR(INDEX(VAT_Codes!$D:$D,MATCH($N145,VAT_Codes!$A:$A,0)),0))</f>
        <v>0</v>
      </c>
      <c r="W145" s="26" t="n">
        <f aca="false">IF($U145=0,0,IF(IFERROR(INDEX(VAT_Codes!$F:$F,MATCH($N145,VAT_Codes!$A:$A,0)),"N")="Y",$U145,IF($L145&lt;&gt;"",ROUND(ABS($L145)/IF(OR($R145="",$R145=0),1,$R145),2)*SIGN($U145),ROUND($U145*$V145,2))))</f>
        <v>0</v>
      </c>
      <c r="X145" s="24" t="str">
        <f aca="false">IF($N145="","",IFERROR(INDEX(VAT_Codes!$H:$H,MATCH($N145,VAT_Codes!$A:$A,0)),"")&amp;"")</f>
        <v/>
      </c>
      <c r="Y145" s="24" t="str">
        <f aca="false">IF($A145="","",(YEAR($A145)-YEAR(Settings!$C$8))*12+MONTH($A145)-MONTH(Settings!$C$8)+1)</f>
        <v/>
      </c>
      <c r="Z145" s="24" t="str">
        <f aca="false">IF(AND($C145="",$I145="",$J145=""),"",IF($N145="","NO VAT CODE",IF($T145="","UNKNOWN VAT CODE",IF($S145="","MISSING FX RATE",IF(OR($A145&lt;Settings!$C$8,$A145&gt;Settings!$C$9),"OUTSIDE PERIOD",IF(AND(IFERROR(INDEX(VAT_Codes!$E:$E,MATCH($N145,VAT_Codes!$A:$A,0)),"ANY")&lt;&gt;"ANY",$P145=""),"MISSING COUNTERPARTY COUNTRY",IF(AND(IFERROR(INDEX(VAT_Codes!$E:$E,MATCH($N145,VAT_Codes!$A:$A,0)),"ANY")&lt;&gt;"ANY",$P145&lt;&gt;IFERROR(INDEX(VAT_Codes!$E:$E,MATCH($N145,VAT_Codes!$A:$A,0)),"ANY")),"REGION MISMATCH","OK")))))))</f>
        <v/>
      </c>
    </row>
    <row r="146" customFormat="false" ht="15" hidden="false" customHeight="false" outlineLevel="0" collapsed="false">
      <c r="M146" s="24" t="str">
        <f aca="false">IF($C146="","",IFERROR(INDEX(Account_Mapping!$C:$C,MATCH($C146&amp;"",Account_Mapping!$A:$A,0))&amp;"",""))</f>
        <v/>
      </c>
      <c r="N146" s="24" t="str">
        <f aca="false">IF($K146&lt;&gt;"",$K146,$M146)</f>
        <v/>
      </c>
      <c r="O146" s="24" t="str">
        <f aca="false">IF($F146="","",IFERROR(INDEX(Counterparties!$C:$C,MATCH($F146&amp;"",Counterparties!$A:$A,0))&amp;"",""))</f>
        <v/>
      </c>
      <c r="P146" s="24" t="str">
        <f aca="false">IF($O146="","",IF($O146="CY","CY",IF(ISNUMBER(MATCH($O146,Lists!$A:$A,0)),"EU","3RD")))</f>
        <v/>
      </c>
      <c r="Q146" s="24" t="str">
        <f aca="false">IF($F146="","N",IFERROR(IF(INDEX(Counterparties!$E:$E,MATCH($F146&amp;"",Counterparties!$A:$A,0))="Y","Y","N"),"N"))</f>
        <v>N</v>
      </c>
      <c r="R146" s="25" t="n">
        <f aca="false">IF(OR($H146="",$H146="EUR"),1,IFERROR(INDEX(FX_Rates!$D:$D,MATCH($H146,FX_Rates!$A:$A,0)),""))</f>
        <v>1</v>
      </c>
      <c r="S146" s="26" t="str">
        <f aca="false">IF(AND($I146="",$J146=""),"",IF($J146&lt;&gt;"",$J146,IF(OR($R146="",$R146=0),"",ROUND($I146/$R146,2))))</f>
        <v/>
      </c>
      <c r="T146" s="24" t="str">
        <f aca="false">IF($N146="","",IFERROR(INDEX(VAT_Codes!$C:$C,MATCH($N146,VAT_Codes!$A:$A,0)),"")&amp;"")</f>
        <v/>
      </c>
      <c r="U146" s="26" t="n">
        <f aca="false">IF(OR($S146="",$T146="",$T146="None"),0,IF($T146="Output",-$S146,$S146))</f>
        <v>0</v>
      </c>
      <c r="V146" s="27" t="n">
        <f aca="false">IF($N146="",0,IFERROR(INDEX(VAT_Codes!$D:$D,MATCH($N146,VAT_Codes!$A:$A,0)),0))</f>
        <v>0</v>
      </c>
      <c r="W146" s="26" t="n">
        <f aca="false">IF($U146=0,0,IF(IFERROR(INDEX(VAT_Codes!$F:$F,MATCH($N146,VAT_Codes!$A:$A,0)),"N")="Y",$U146,IF($L146&lt;&gt;"",ROUND(ABS($L146)/IF(OR($R146="",$R146=0),1,$R146),2)*SIGN($U146),ROUND($U146*$V146,2))))</f>
        <v>0</v>
      </c>
      <c r="X146" s="24" t="str">
        <f aca="false">IF($N146="","",IFERROR(INDEX(VAT_Codes!$H:$H,MATCH($N146,VAT_Codes!$A:$A,0)),"")&amp;"")</f>
        <v/>
      </c>
      <c r="Y146" s="24" t="str">
        <f aca="false">IF($A146="","",(YEAR($A146)-YEAR(Settings!$C$8))*12+MONTH($A146)-MONTH(Settings!$C$8)+1)</f>
        <v/>
      </c>
      <c r="Z146" s="24" t="str">
        <f aca="false">IF(AND($C146="",$I146="",$J146=""),"",IF($N146="","NO VAT CODE",IF($T146="","UNKNOWN VAT CODE",IF($S146="","MISSING FX RATE",IF(OR($A146&lt;Settings!$C$8,$A146&gt;Settings!$C$9),"OUTSIDE PERIOD",IF(AND(IFERROR(INDEX(VAT_Codes!$E:$E,MATCH($N146,VAT_Codes!$A:$A,0)),"ANY")&lt;&gt;"ANY",$P146=""),"MISSING COUNTERPARTY COUNTRY",IF(AND(IFERROR(INDEX(VAT_Codes!$E:$E,MATCH($N146,VAT_Codes!$A:$A,0)),"ANY")&lt;&gt;"ANY",$P146&lt;&gt;IFERROR(INDEX(VAT_Codes!$E:$E,MATCH($N146,VAT_Codes!$A:$A,0)),"ANY")),"REGION MISMATCH","OK")))))))</f>
        <v/>
      </c>
    </row>
    <row r="147" customFormat="false" ht="15" hidden="false" customHeight="false" outlineLevel="0" collapsed="false">
      <c r="M147" s="24" t="str">
        <f aca="false">IF($C147="","",IFERROR(INDEX(Account_Mapping!$C:$C,MATCH($C147&amp;"",Account_Mapping!$A:$A,0))&amp;"",""))</f>
        <v/>
      </c>
      <c r="N147" s="24" t="str">
        <f aca="false">IF($K147&lt;&gt;"",$K147,$M147)</f>
        <v/>
      </c>
      <c r="O147" s="24" t="str">
        <f aca="false">IF($F147="","",IFERROR(INDEX(Counterparties!$C:$C,MATCH($F147&amp;"",Counterparties!$A:$A,0))&amp;"",""))</f>
        <v/>
      </c>
      <c r="P147" s="24" t="str">
        <f aca="false">IF($O147="","",IF($O147="CY","CY",IF(ISNUMBER(MATCH($O147,Lists!$A:$A,0)),"EU","3RD")))</f>
        <v/>
      </c>
      <c r="Q147" s="24" t="str">
        <f aca="false">IF($F147="","N",IFERROR(IF(INDEX(Counterparties!$E:$E,MATCH($F147&amp;"",Counterparties!$A:$A,0))="Y","Y","N"),"N"))</f>
        <v>N</v>
      </c>
      <c r="R147" s="25" t="n">
        <f aca="false">IF(OR($H147="",$H147="EUR"),1,IFERROR(INDEX(FX_Rates!$D:$D,MATCH($H147,FX_Rates!$A:$A,0)),""))</f>
        <v>1</v>
      </c>
      <c r="S147" s="26" t="str">
        <f aca="false">IF(AND($I147="",$J147=""),"",IF($J147&lt;&gt;"",$J147,IF(OR($R147="",$R147=0),"",ROUND($I147/$R147,2))))</f>
        <v/>
      </c>
      <c r="T147" s="24" t="str">
        <f aca="false">IF($N147="","",IFERROR(INDEX(VAT_Codes!$C:$C,MATCH($N147,VAT_Codes!$A:$A,0)),"")&amp;"")</f>
        <v/>
      </c>
      <c r="U147" s="26" t="n">
        <f aca="false">IF(OR($S147="",$T147="",$T147="None"),0,IF($T147="Output",-$S147,$S147))</f>
        <v>0</v>
      </c>
      <c r="V147" s="27" t="n">
        <f aca="false">IF($N147="",0,IFERROR(INDEX(VAT_Codes!$D:$D,MATCH($N147,VAT_Codes!$A:$A,0)),0))</f>
        <v>0</v>
      </c>
      <c r="W147" s="26" t="n">
        <f aca="false">IF($U147=0,0,IF(IFERROR(INDEX(VAT_Codes!$F:$F,MATCH($N147,VAT_Codes!$A:$A,0)),"N")="Y",$U147,IF($L147&lt;&gt;"",ROUND(ABS($L147)/IF(OR($R147="",$R147=0),1,$R147),2)*SIGN($U147),ROUND($U147*$V147,2))))</f>
        <v>0</v>
      </c>
      <c r="X147" s="24" t="str">
        <f aca="false">IF($N147="","",IFERROR(INDEX(VAT_Codes!$H:$H,MATCH($N147,VAT_Codes!$A:$A,0)),"")&amp;"")</f>
        <v/>
      </c>
      <c r="Y147" s="24" t="str">
        <f aca="false">IF($A147="","",(YEAR($A147)-YEAR(Settings!$C$8))*12+MONTH($A147)-MONTH(Settings!$C$8)+1)</f>
        <v/>
      </c>
      <c r="Z147" s="24" t="str">
        <f aca="false">IF(AND($C147="",$I147="",$J147=""),"",IF($N147="","NO VAT CODE",IF($T147="","UNKNOWN VAT CODE",IF($S147="","MISSING FX RATE",IF(OR($A147&lt;Settings!$C$8,$A147&gt;Settings!$C$9),"OUTSIDE PERIOD",IF(AND(IFERROR(INDEX(VAT_Codes!$E:$E,MATCH($N147,VAT_Codes!$A:$A,0)),"ANY")&lt;&gt;"ANY",$P147=""),"MISSING COUNTERPARTY COUNTRY",IF(AND(IFERROR(INDEX(VAT_Codes!$E:$E,MATCH($N147,VAT_Codes!$A:$A,0)),"ANY")&lt;&gt;"ANY",$P147&lt;&gt;IFERROR(INDEX(VAT_Codes!$E:$E,MATCH($N147,VAT_Codes!$A:$A,0)),"ANY")),"REGION MISMATCH","OK")))))))</f>
        <v/>
      </c>
    </row>
    <row r="148" customFormat="false" ht="15" hidden="false" customHeight="false" outlineLevel="0" collapsed="false">
      <c r="M148" s="24" t="str">
        <f aca="false">IF($C148="","",IFERROR(INDEX(Account_Mapping!$C:$C,MATCH($C148&amp;"",Account_Mapping!$A:$A,0))&amp;"",""))</f>
        <v/>
      </c>
      <c r="N148" s="24" t="str">
        <f aca="false">IF($K148&lt;&gt;"",$K148,$M148)</f>
        <v/>
      </c>
      <c r="O148" s="24" t="str">
        <f aca="false">IF($F148="","",IFERROR(INDEX(Counterparties!$C:$C,MATCH($F148&amp;"",Counterparties!$A:$A,0))&amp;"",""))</f>
        <v/>
      </c>
      <c r="P148" s="24" t="str">
        <f aca="false">IF($O148="","",IF($O148="CY","CY",IF(ISNUMBER(MATCH($O148,Lists!$A:$A,0)),"EU","3RD")))</f>
        <v/>
      </c>
      <c r="Q148" s="24" t="str">
        <f aca="false">IF($F148="","N",IFERROR(IF(INDEX(Counterparties!$E:$E,MATCH($F148&amp;"",Counterparties!$A:$A,0))="Y","Y","N"),"N"))</f>
        <v>N</v>
      </c>
      <c r="R148" s="25" t="n">
        <f aca="false">IF(OR($H148="",$H148="EUR"),1,IFERROR(INDEX(FX_Rates!$D:$D,MATCH($H148,FX_Rates!$A:$A,0)),""))</f>
        <v>1</v>
      </c>
      <c r="S148" s="26" t="str">
        <f aca="false">IF(AND($I148="",$J148=""),"",IF($J148&lt;&gt;"",$J148,IF(OR($R148="",$R148=0),"",ROUND($I148/$R148,2))))</f>
        <v/>
      </c>
      <c r="T148" s="24" t="str">
        <f aca="false">IF($N148="","",IFERROR(INDEX(VAT_Codes!$C:$C,MATCH($N148,VAT_Codes!$A:$A,0)),"")&amp;"")</f>
        <v/>
      </c>
      <c r="U148" s="26" t="n">
        <f aca="false">IF(OR($S148="",$T148="",$T148="None"),0,IF($T148="Output",-$S148,$S148))</f>
        <v>0</v>
      </c>
      <c r="V148" s="27" t="n">
        <f aca="false">IF($N148="",0,IFERROR(INDEX(VAT_Codes!$D:$D,MATCH($N148,VAT_Codes!$A:$A,0)),0))</f>
        <v>0</v>
      </c>
      <c r="W148" s="26" t="n">
        <f aca="false">IF($U148=0,0,IF(IFERROR(INDEX(VAT_Codes!$F:$F,MATCH($N148,VAT_Codes!$A:$A,0)),"N")="Y",$U148,IF($L148&lt;&gt;"",ROUND(ABS($L148)/IF(OR($R148="",$R148=0),1,$R148),2)*SIGN($U148),ROUND($U148*$V148,2))))</f>
        <v>0</v>
      </c>
      <c r="X148" s="24" t="str">
        <f aca="false">IF($N148="","",IFERROR(INDEX(VAT_Codes!$H:$H,MATCH($N148,VAT_Codes!$A:$A,0)),"")&amp;"")</f>
        <v/>
      </c>
      <c r="Y148" s="24" t="str">
        <f aca="false">IF($A148="","",(YEAR($A148)-YEAR(Settings!$C$8))*12+MONTH($A148)-MONTH(Settings!$C$8)+1)</f>
        <v/>
      </c>
      <c r="Z148" s="24" t="str">
        <f aca="false">IF(AND($C148="",$I148="",$J148=""),"",IF($N148="","NO VAT CODE",IF($T148="","UNKNOWN VAT CODE",IF($S148="","MISSING FX RATE",IF(OR($A148&lt;Settings!$C$8,$A148&gt;Settings!$C$9),"OUTSIDE PERIOD",IF(AND(IFERROR(INDEX(VAT_Codes!$E:$E,MATCH($N148,VAT_Codes!$A:$A,0)),"ANY")&lt;&gt;"ANY",$P148=""),"MISSING COUNTERPARTY COUNTRY",IF(AND(IFERROR(INDEX(VAT_Codes!$E:$E,MATCH($N148,VAT_Codes!$A:$A,0)),"ANY")&lt;&gt;"ANY",$P148&lt;&gt;IFERROR(INDEX(VAT_Codes!$E:$E,MATCH($N148,VAT_Codes!$A:$A,0)),"ANY")),"REGION MISMATCH","OK")))))))</f>
        <v/>
      </c>
    </row>
    <row r="149" customFormat="false" ht="15" hidden="false" customHeight="false" outlineLevel="0" collapsed="false">
      <c r="M149" s="24" t="str">
        <f aca="false">IF($C149="","",IFERROR(INDEX(Account_Mapping!$C:$C,MATCH($C149&amp;"",Account_Mapping!$A:$A,0))&amp;"",""))</f>
        <v/>
      </c>
      <c r="N149" s="24" t="str">
        <f aca="false">IF($K149&lt;&gt;"",$K149,$M149)</f>
        <v/>
      </c>
      <c r="O149" s="24" t="str">
        <f aca="false">IF($F149="","",IFERROR(INDEX(Counterparties!$C:$C,MATCH($F149&amp;"",Counterparties!$A:$A,0))&amp;"",""))</f>
        <v/>
      </c>
      <c r="P149" s="24" t="str">
        <f aca="false">IF($O149="","",IF($O149="CY","CY",IF(ISNUMBER(MATCH($O149,Lists!$A:$A,0)),"EU","3RD")))</f>
        <v/>
      </c>
      <c r="Q149" s="24" t="str">
        <f aca="false">IF($F149="","N",IFERROR(IF(INDEX(Counterparties!$E:$E,MATCH($F149&amp;"",Counterparties!$A:$A,0))="Y","Y","N"),"N"))</f>
        <v>N</v>
      </c>
      <c r="R149" s="25" t="n">
        <f aca="false">IF(OR($H149="",$H149="EUR"),1,IFERROR(INDEX(FX_Rates!$D:$D,MATCH($H149,FX_Rates!$A:$A,0)),""))</f>
        <v>1</v>
      </c>
      <c r="S149" s="26" t="str">
        <f aca="false">IF(AND($I149="",$J149=""),"",IF($J149&lt;&gt;"",$J149,IF(OR($R149="",$R149=0),"",ROUND($I149/$R149,2))))</f>
        <v/>
      </c>
      <c r="T149" s="24" t="str">
        <f aca="false">IF($N149="","",IFERROR(INDEX(VAT_Codes!$C:$C,MATCH($N149,VAT_Codes!$A:$A,0)),"")&amp;"")</f>
        <v/>
      </c>
      <c r="U149" s="26" t="n">
        <f aca="false">IF(OR($S149="",$T149="",$T149="None"),0,IF($T149="Output",-$S149,$S149))</f>
        <v>0</v>
      </c>
      <c r="V149" s="27" t="n">
        <f aca="false">IF($N149="",0,IFERROR(INDEX(VAT_Codes!$D:$D,MATCH($N149,VAT_Codes!$A:$A,0)),0))</f>
        <v>0</v>
      </c>
      <c r="W149" s="26" t="n">
        <f aca="false">IF($U149=0,0,IF(IFERROR(INDEX(VAT_Codes!$F:$F,MATCH($N149,VAT_Codes!$A:$A,0)),"N")="Y",$U149,IF($L149&lt;&gt;"",ROUND(ABS($L149)/IF(OR($R149="",$R149=0),1,$R149),2)*SIGN($U149),ROUND($U149*$V149,2))))</f>
        <v>0</v>
      </c>
      <c r="X149" s="24" t="str">
        <f aca="false">IF($N149="","",IFERROR(INDEX(VAT_Codes!$H:$H,MATCH($N149,VAT_Codes!$A:$A,0)),"")&amp;"")</f>
        <v/>
      </c>
      <c r="Y149" s="24" t="str">
        <f aca="false">IF($A149="","",(YEAR($A149)-YEAR(Settings!$C$8))*12+MONTH($A149)-MONTH(Settings!$C$8)+1)</f>
        <v/>
      </c>
      <c r="Z149" s="24" t="str">
        <f aca="false">IF(AND($C149="",$I149="",$J149=""),"",IF($N149="","NO VAT CODE",IF($T149="","UNKNOWN VAT CODE",IF($S149="","MISSING FX RATE",IF(OR($A149&lt;Settings!$C$8,$A149&gt;Settings!$C$9),"OUTSIDE PERIOD",IF(AND(IFERROR(INDEX(VAT_Codes!$E:$E,MATCH($N149,VAT_Codes!$A:$A,0)),"ANY")&lt;&gt;"ANY",$P149=""),"MISSING COUNTERPARTY COUNTRY",IF(AND(IFERROR(INDEX(VAT_Codes!$E:$E,MATCH($N149,VAT_Codes!$A:$A,0)),"ANY")&lt;&gt;"ANY",$P149&lt;&gt;IFERROR(INDEX(VAT_Codes!$E:$E,MATCH($N149,VAT_Codes!$A:$A,0)),"ANY")),"REGION MISMATCH","OK")))))))</f>
        <v/>
      </c>
    </row>
    <row r="150" customFormat="false" ht="15" hidden="false" customHeight="false" outlineLevel="0" collapsed="false">
      <c r="M150" s="24" t="str">
        <f aca="false">IF($C150="","",IFERROR(INDEX(Account_Mapping!$C:$C,MATCH($C150&amp;"",Account_Mapping!$A:$A,0))&amp;"",""))</f>
        <v/>
      </c>
      <c r="N150" s="24" t="str">
        <f aca="false">IF($K150&lt;&gt;"",$K150,$M150)</f>
        <v/>
      </c>
      <c r="O150" s="24" t="str">
        <f aca="false">IF($F150="","",IFERROR(INDEX(Counterparties!$C:$C,MATCH($F150&amp;"",Counterparties!$A:$A,0))&amp;"",""))</f>
        <v/>
      </c>
      <c r="P150" s="24" t="str">
        <f aca="false">IF($O150="","",IF($O150="CY","CY",IF(ISNUMBER(MATCH($O150,Lists!$A:$A,0)),"EU","3RD")))</f>
        <v/>
      </c>
      <c r="Q150" s="24" t="str">
        <f aca="false">IF($F150="","N",IFERROR(IF(INDEX(Counterparties!$E:$E,MATCH($F150&amp;"",Counterparties!$A:$A,0))="Y","Y","N"),"N"))</f>
        <v>N</v>
      </c>
      <c r="R150" s="25" t="n">
        <f aca="false">IF(OR($H150="",$H150="EUR"),1,IFERROR(INDEX(FX_Rates!$D:$D,MATCH($H150,FX_Rates!$A:$A,0)),""))</f>
        <v>1</v>
      </c>
      <c r="S150" s="26" t="str">
        <f aca="false">IF(AND($I150="",$J150=""),"",IF($J150&lt;&gt;"",$J150,IF(OR($R150="",$R150=0),"",ROUND($I150/$R150,2))))</f>
        <v/>
      </c>
      <c r="T150" s="24" t="str">
        <f aca="false">IF($N150="","",IFERROR(INDEX(VAT_Codes!$C:$C,MATCH($N150,VAT_Codes!$A:$A,0)),"")&amp;"")</f>
        <v/>
      </c>
      <c r="U150" s="26" t="n">
        <f aca="false">IF(OR($S150="",$T150="",$T150="None"),0,IF($T150="Output",-$S150,$S150))</f>
        <v>0</v>
      </c>
      <c r="V150" s="27" t="n">
        <f aca="false">IF($N150="",0,IFERROR(INDEX(VAT_Codes!$D:$D,MATCH($N150,VAT_Codes!$A:$A,0)),0))</f>
        <v>0</v>
      </c>
      <c r="W150" s="26" t="n">
        <f aca="false">IF($U150=0,0,IF(IFERROR(INDEX(VAT_Codes!$F:$F,MATCH($N150,VAT_Codes!$A:$A,0)),"N")="Y",$U150,IF($L150&lt;&gt;"",ROUND(ABS($L150)/IF(OR($R150="",$R150=0),1,$R150),2)*SIGN($U150),ROUND($U150*$V150,2))))</f>
        <v>0</v>
      </c>
      <c r="X150" s="24" t="str">
        <f aca="false">IF($N150="","",IFERROR(INDEX(VAT_Codes!$H:$H,MATCH($N150,VAT_Codes!$A:$A,0)),"")&amp;"")</f>
        <v/>
      </c>
      <c r="Y150" s="24" t="str">
        <f aca="false">IF($A150="","",(YEAR($A150)-YEAR(Settings!$C$8))*12+MONTH($A150)-MONTH(Settings!$C$8)+1)</f>
        <v/>
      </c>
      <c r="Z150" s="24" t="str">
        <f aca="false">IF(AND($C150="",$I150="",$J150=""),"",IF($N150="","NO VAT CODE",IF($T150="","UNKNOWN VAT CODE",IF($S150="","MISSING FX RATE",IF(OR($A150&lt;Settings!$C$8,$A150&gt;Settings!$C$9),"OUTSIDE PERIOD",IF(AND(IFERROR(INDEX(VAT_Codes!$E:$E,MATCH($N150,VAT_Codes!$A:$A,0)),"ANY")&lt;&gt;"ANY",$P150=""),"MISSING COUNTERPARTY COUNTRY",IF(AND(IFERROR(INDEX(VAT_Codes!$E:$E,MATCH($N150,VAT_Codes!$A:$A,0)),"ANY")&lt;&gt;"ANY",$P150&lt;&gt;IFERROR(INDEX(VAT_Codes!$E:$E,MATCH($N150,VAT_Codes!$A:$A,0)),"ANY")),"REGION MISMATCH","OK")))))))</f>
        <v/>
      </c>
    </row>
    <row r="151" customFormat="false" ht="15" hidden="false" customHeight="false" outlineLevel="0" collapsed="false">
      <c r="M151" s="24" t="str">
        <f aca="false">IF($C151="","",IFERROR(INDEX(Account_Mapping!$C:$C,MATCH($C151&amp;"",Account_Mapping!$A:$A,0))&amp;"",""))</f>
        <v/>
      </c>
      <c r="N151" s="24" t="str">
        <f aca="false">IF($K151&lt;&gt;"",$K151,$M151)</f>
        <v/>
      </c>
      <c r="O151" s="24" t="str">
        <f aca="false">IF($F151="","",IFERROR(INDEX(Counterparties!$C:$C,MATCH($F151&amp;"",Counterparties!$A:$A,0))&amp;"",""))</f>
        <v/>
      </c>
      <c r="P151" s="24" t="str">
        <f aca="false">IF($O151="","",IF($O151="CY","CY",IF(ISNUMBER(MATCH($O151,Lists!$A:$A,0)),"EU","3RD")))</f>
        <v/>
      </c>
      <c r="Q151" s="24" t="str">
        <f aca="false">IF($F151="","N",IFERROR(IF(INDEX(Counterparties!$E:$E,MATCH($F151&amp;"",Counterparties!$A:$A,0))="Y","Y","N"),"N"))</f>
        <v>N</v>
      </c>
      <c r="R151" s="25" t="n">
        <f aca="false">IF(OR($H151="",$H151="EUR"),1,IFERROR(INDEX(FX_Rates!$D:$D,MATCH($H151,FX_Rates!$A:$A,0)),""))</f>
        <v>1</v>
      </c>
      <c r="S151" s="26" t="str">
        <f aca="false">IF(AND($I151="",$J151=""),"",IF($J151&lt;&gt;"",$J151,IF(OR($R151="",$R151=0),"",ROUND($I151/$R151,2))))</f>
        <v/>
      </c>
      <c r="T151" s="24" t="str">
        <f aca="false">IF($N151="","",IFERROR(INDEX(VAT_Codes!$C:$C,MATCH($N151,VAT_Codes!$A:$A,0)),"")&amp;"")</f>
        <v/>
      </c>
      <c r="U151" s="26" t="n">
        <f aca="false">IF(OR($S151="",$T151="",$T151="None"),0,IF($T151="Output",-$S151,$S151))</f>
        <v>0</v>
      </c>
      <c r="V151" s="27" t="n">
        <f aca="false">IF($N151="",0,IFERROR(INDEX(VAT_Codes!$D:$D,MATCH($N151,VAT_Codes!$A:$A,0)),0))</f>
        <v>0</v>
      </c>
      <c r="W151" s="26" t="n">
        <f aca="false">IF($U151=0,0,IF(IFERROR(INDEX(VAT_Codes!$F:$F,MATCH($N151,VAT_Codes!$A:$A,0)),"N")="Y",$U151,IF($L151&lt;&gt;"",ROUND(ABS($L151)/IF(OR($R151="",$R151=0),1,$R151),2)*SIGN($U151),ROUND($U151*$V151,2))))</f>
        <v>0</v>
      </c>
      <c r="X151" s="24" t="str">
        <f aca="false">IF($N151="","",IFERROR(INDEX(VAT_Codes!$H:$H,MATCH($N151,VAT_Codes!$A:$A,0)),"")&amp;"")</f>
        <v/>
      </c>
      <c r="Y151" s="24" t="str">
        <f aca="false">IF($A151="","",(YEAR($A151)-YEAR(Settings!$C$8))*12+MONTH($A151)-MONTH(Settings!$C$8)+1)</f>
        <v/>
      </c>
      <c r="Z151" s="24" t="str">
        <f aca="false">IF(AND($C151="",$I151="",$J151=""),"",IF($N151="","NO VAT CODE",IF($T151="","UNKNOWN VAT CODE",IF($S151="","MISSING FX RATE",IF(OR($A151&lt;Settings!$C$8,$A151&gt;Settings!$C$9),"OUTSIDE PERIOD",IF(AND(IFERROR(INDEX(VAT_Codes!$E:$E,MATCH($N151,VAT_Codes!$A:$A,0)),"ANY")&lt;&gt;"ANY",$P151=""),"MISSING COUNTERPARTY COUNTRY",IF(AND(IFERROR(INDEX(VAT_Codes!$E:$E,MATCH($N151,VAT_Codes!$A:$A,0)),"ANY")&lt;&gt;"ANY",$P151&lt;&gt;IFERROR(INDEX(VAT_Codes!$E:$E,MATCH($N151,VAT_Codes!$A:$A,0)),"ANY")),"REGION MISMATCH","OK")))))))</f>
        <v/>
      </c>
    </row>
    <row r="152" customFormat="false" ht="15" hidden="false" customHeight="false" outlineLevel="0" collapsed="false">
      <c r="M152" s="24" t="str">
        <f aca="false">IF($C152="","",IFERROR(INDEX(Account_Mapping!$C:$C,MATCH($C152&amp;"",Account_Mapping!$A:$A,0))&amp;"",""))</f>
        <v/>
      </c>
      <c r="N152" s="24" t="str">
        <f aca="false">IF($K152&lt;&gt;"",$K152,$M152)</f>
        <v/>
      </c>
      <c r="O152" s="24" t="str">
        <f aca="false">IF($F152="","",IFERROR(INDEX(Counterparties!$C:$C,MATCH($F152&amp;"",Counterparties!$A:$A,0))&amp;"",""))</f>
        <v/>
      </c>
      <c r="P152" s="24" t="str">
        <f aca="false">IF($O152="","",IF($O152="CY","CY",IF(ISNUMBER(MATCH($O152,Lists!$A:$A,0)),"EU","3RD")))</f>
        <v/>
      </c>
      <c r="Q152" s="24" t="str">
        <f aca="false">IF($F152="","N",IFERROR(IF(INDEX(Counterparties!$E:$E,MATCH($F152&amp;"",Counterparties!$A:$A,0))="Y","Y","N"),"N"))</f>
        <v>N</v>
      </c>
      <c r="R152" s="25" t="n">
        <f aca="false">IF(OR($H152="",$H152="EUR"),1,IFERROR(INDEX(FX_Rates!$D:$D,MATCH($H152,FX_Rates!$A:$A,0)),""))</f>
        <v>1</v>
      </c>
      <c r="S152" s="26" t="str">
        <f aca="false">IF(AND($I152="",$J152=""),"",IF($J152&lt;&gt;"",$J152,IF(OR($R152="",$R152=0),"",ROUND($I152/$R152,2))))</f>
        <v/>
      </c>
      <c r="T152" s="24" t="str">
        <f aca="false">IF($N152="","",IFERROR(INDEX(VAT_Codes!$C:$C,MATCH($N152,VAT_Codes!$A:$A,0)),"")&amp;"")</f>
        <v/>
      </c>
      <c r="U152" s="26" t="n">
        <f aca="false">IF(OR($S152="",$T152="",$T152="None"),0,IF($T152="Output",-$S152,$S152))</f>
        <v>0</v>
      </c>
      <c r="V152" s="27" t="n">
        <f aca="false">IF($N152="",0,IFERROR(INDEX(VAT_Codes!$D:$D,MATCH($N152,VAT_Codes!$A:$A,0)),0))</f>
        <v>0</v>
      </c>
      <c r="W152" s="26" t="n">
        <f aca="false">IF($U152=0,0,IF(IFERROR(INDEX(VAT_Codes!$F:$F,MATCH($N152,VAT_Codes!$A:$A,0)),"N")="Y",$U152,IF($L152&lt;&gt;"",ROUND(ABS($L152)/IF(OR($R152="",$R152=0),1,$R152),2)*SIGN($U152),ROUND($U152*$V152,2))))</f>
        <v>0</v>
      </c>
      <c r="X152" s="24" t="str">
        <f aca="false">IF($N152="","",IFERROR(INDEX(VAT_Codes!$H:$H,MATCH($N152,VAT_Codes!$A:$A,0)),"")&amp;"")</f>
        <v/>
      </c>
      <c r="Y152" s="24" t="str">
        <f aca="false">IF($A152="","",(YEAR($A152)-YEAR(Settings!$C$8))*12+MONTH($A152)-MONTH(Settings!$C$8)+1)</f>
        <v/>
      </c>
      <c r="Z152" s="24" t="str">
        <f aca="false">IF(AND($C152="",$I152="",$J152=""),"",IF($N152="","NO VAT CODE",IF($T152="","UNKNOWN VAT CODE",IF($S152="","MISSING FX RATE",IF(OR($A152&lt;Settings!$C$8,$A152&gt;Settings!$C$9),"OUTSIDE PERIOD",IF(AND(IFERROR(INDEX(VAT_Codes!$E:$E,MATCH($N152,VAT_Codes!$A:$A,0)),"ANY")&lt;&gt;"ANY",$P152=""),"MISSING COUNTERPARTY COUNTRY",IF(AND(IFERROR(INDEX(VAT_Codes!$E:$E,MATCH($N152,VAT_Codes!$A:$A,0)),"ANY")&lt;&gt;"ANY",$P152&lt;&gt;IFERROR(INDEX(VAT_Codes!$E:$E,MATCH($N152,VAT_Codes!$A:$A,0)),"ANY")),"REGION MISMATCH","OK")))))))</f>
        <v/>
      </c>
    </row>
    <row r="153" customFormat="false" ht="15" hidden="false" customHeight="false" outlineLevel="0" collapsed="false">
      <c r="M153" s="24" t="str">
        <f aca="false">IF($C153="","",IFERROR(INDEX(Account_Mapping!$C:$C,MATCH($C153&amp;"",Account_Mapping!$A:$A,0))&amp;"",""))</f>
        <v/>
      </c>
      <c r="N153" s="24" t="str">
        <f aca="false">IF($K153&lt;&gt;"",$K153,$M153)</f>
        <v/>
      </c>
      <c r="O153" s="24" t="str">
        <f aca="false">IF($F153="","",IFERROR(INDEX(Counterparties!$C:$C,MATCH($F153&amp;"",Counterparties!$A:$A,0))&amp;"",""))</f>
        <v/>
      </c>
      <c r="P153" s="24" t="str">
        <f aca="false">IF($O153="","",IF($O153="CY","CY",IF(ISNUMBER(MATCH($O153,Lists!$A:$A,0)),"EU","3RD")))</f>
        <v/>
      </c>
      <c r="Q153" s="24" t="str">
        <f aca="false">IF($F153="","N",IFERROR(IF(INDEX(Counterparties!$E:$E,MATCH($F153&amp;"",Counterparties!$A:$A,0))="Y","Y","N"),"N"))</f>
        <v>N</v>
      </c>
      <c r="R153" s="25" t="n">
        <f aca="false">IF(OR($H153="",$H153="EUR"),1,IFERROR(INDEX(FX_Rates!$D:$D,MATCH($H153,FX_Rates!$A:$A,0)),""))</f>
        <v>1</v>
      </c>
      <c r="S153" s="26" t="str">
        <f aca="false">IF(AND($I153="",$J153=""),"",IF($J153&lt;&gt;"",$J153,IF(OR($R153="",$R153=0),"",ROUND($I153/$R153,2))))</f>
        <v/>
      </c>
      <c r="T153" s="24" t="str">
        <f aca="false">IF($N153="","",IFERROR(INDEX(VAT_Codes!$C:$C,MATCH($N153,VAT_Codes!$A:$A,0)),"")&amp;"")</f>
        <v/>
      </c>
      <c r="U153" s="26" t="n">
        <f aca="false">IF(OR($S153="",$T153="",$T153="None"),0,IF($T153="Output",-$S153,$S153))</f>
        <v>0</v>
      </c>
      <c r="V153" s="27" t="n">
        <f aca="false">IF($N153="",0,IFERROR(INDEX(VAT_Codes!$D:$D,MATCH($N153,VAT_Codes!$A:$A,0)),0))</f>
        <v>0</v>
      </c>
      <c r="W153" s="26" t="n">
        <f aca="false">IF($U153=0,0,IF(IFERROR(INDEX(VAT_Codes!$F:$F,MATCH($N153,VAT_Codes!$A:$A,0)),"N")="Y",$U153,IF($L153&lt;&gt;"",ROUND(ABS($L153)/IF(OR($R153="",$R153=0),1,$R153),2)*SIGN($U153),ROUND($U153*$V153,2))))</f>
        <v>0</v>
      </c>
      <c r="X153" s="24" t="str">
        <f aca="false">IF($N153="","",IFERROR(INDEX(VAT_Codes!$H:$H,MATCH($N153,VAT_Codes!$A:$A,0)),"")&amp;"")</f>
        <v/>
      </c>
      <c r="Y153" s="24" t="str">
        <f aca="false">IF($A153="","",(YEAR($A153)-YEAR(Settings!$C$8))*12+MONTH($A153)-MONTH(Settings!$C$8)+1)</f>
        <v/>
      </c>
      <c r="Z153" s="24" t="str">
        <f aca="false">IF(AND($C153="",$I153="",$J153=""),"",IF($N153="","NO VAT CODE",IF($T153="","UNKNOWN VAT CODE",IF($S153="","MISSING FX RATE",IF(OR($A153&lt;Settings!$C$8,$A153&gt;Settings!$C$9),"OUTSIDE PERIOD",IF(AND(IFERROR(INDEX(VAT_Codes!$E:$E,MATCH($N153,VAT_Codes!$A:$A,0)),"ANY")&lt;&gt;"ANY",$P153=""),"MISSING COUNTERPARTY COUNTRY",IF(AND(IFERROR(INDEX(VAT_Codes!$E:$E,MATCH($N153,VAT_Codes!$A:$A,0)),"ANY")&lt;&gt;"ANY",$P153&lt;&gt;IFERROR(INDEX(VAT_Codes!$E:$E,MATCH($N153,VAT_Codes!$A:$A,0)),"ANY")),"REGION MISMATCH","OK")))))))</f>
        <v/>
      </c>
    </row>
    <row r="154" customFormat="false" ht="15" hidden="false" customHeight="false" outlineLevel="0" collapsed="false">
      <c r="M154" s="24" t="str">
        <f aca="false">IF($C154="","",IFERROR(INDEX(Account_Mapping!$C:$C,MATCH($C154&amp;"",Account_Mapping!$A:$A,0))&amp;"",""))</f>
        <v/>
      </c>
      <c r="N154" s="24" t="str">
        <f aca="false">IF($K154&lt;&gt;"",$K154,$M154)</f>
        <v/>
      </c>
      <c r="O154" s="24" t="str">
        <f aca="false">IF($F154="","",IFERROR(INDEX(Counterparties!$C:$C,MATCH($F154&amp;"",Counterparties!$A:$A,0))&amp;"",""))</f>
        <v/>
      </c>
      <c r="P154" s="24" t="str">
        <f aca="false">IF($O154="","",IF($O154="CY","CY",IF(ISNUMBER(MATCH($O154,Lists!$A:$A,0)),"EU","3RD")))</f>
        <v/>
      </c>
      <c r="Q154" s="24" t="str">
        <f aca="false">IF($F154="","N",IFERROR(IF(INDEX(Counterparties!$E:$E,MATCH($F154&amp;"",Counterparties!$A:$A,0))="Y","Y","N"),"N"))</f>
        <v>N</v>
      </c>
      <c r="R154" s="25" t="n">
        <f aca="false">IF(OR($H154="",$H154="EUR"),1,IFERROR(INDEX(FX_Rates!$D:$D,MATCH($H154,FX_Rates!$A:$A,0)),""))</f>
        <v>1</v>
      </c>
      <c r="S154" s="26" t="str">
        <f aca="false">IF(AND($I154="",$J154=""),"",IF($J154&lt;&gt;"",$J154,IF(OR($R154="",$R154=0),"",ROUND($I154/$R154,2))))</f>
        <v/>
      </c>
      <c r="T154" s="24" t="str">
        <f aca="false">IF($N154="","",IFERROR(INDEX(VAT_Codes!$C:$C,MATCH($N154,VAT_Codes!$A:$A,0)),"")&amp;"")</f>
        <v/>
      </c>
      <c r="U154" s="26" t="n">
        <f aca="false">IF(OR($S154="",$T154="",$T154="None"),0,IF($T154="Output",-$S154,$S154))</f>
        <v>0</v>
      </c>
      <c r="V154" s="27" t="n">
        <f aca="false">IF($N154="",0,IFERROR(INDEX(VAT_Codes!$D:$D,MATCH($N154,VAT_Codes!$A:$A,0)),0))</f>
        <v>0</v>
      </c>
      <c r="W154" s="26" t="n">
        <f aca="false">IF($U154=0,0,IF(IFERROR(INDEX(VAT_Codes!$F:$F,MATCH($N154,VAT_Codes!$A:$A,0)),"N")="Y",$U154,IF($L154&lt;&gt;"",ROUND(ABS($L154)/IF(OR($R154="",$R154=0),1,$R154),2)*SIGN($U154),ROUND($U154*$V154,2))))</f>
        <v>0</v>
      </c>
      <c r="X154" s="24" t="str">
        <f aca="false">IF($N154="","",IFERROR(INDEX(VAT_Codes!$H:$H,MATCH($N154,VAT_Codes!$A:$A,0)),"")&amp;"")</f>
        <v/>
      </c>
      <c r="Y154" s="24" t="str">
        <f aca="false">IF($A154="","",(YEAR($A154)-YEAR(Settings!$C$8))*12+MONTH($A154)-MONTH(Settings!$C$8)+1)</f>
        <v/>
      </c>
      <c r="Z154" s="24" t="str">
        <f aca="false">IF(AND($C154="",$I154="",$J154=""),"",IF($N154="","NO VAT CODE",IF($T154="","UNKNOWN VAT CODE",IF($S154="","MISSING FX RATE",IF(OR($A154&lt;Settings!$C$8,$A154&gt;Settings!$C$9),"OUTSIDE PERIOD",IF(AND(IFERROR(INDEX(VAT_Codes!$E:$E,MATCH($N154,VAT_Codes!$A:$A,0)),"ANY")&lt;&gt;"ANY",$P154=""),"MISSING COUNTERPARTY COUNTRY",IF(AND(IFERROR(INDEX(VAT_Codes!$E:$E,MATCH($N154,VAT_Codes!$A:$A,0)),"ANY")&lt;&gt;"ANY",$P154&lt;&gt;IFERROR(INDEX(VAT_Codes!$E:$E,MATCH($N154,VAT_Codes!$A:$A,0)),"ANY")),"REGION MISMATCH","OK")))))))</f>
        <v/>
      </c>
    </row>
    <row r="155" customFormat="false" ht="15" hidden="false" customHeight="false" outlineLevel="0" collapsed="false">
      <c r="M155" s="24" t="str">
        <f aca="false">IF($C155="","",IFERROR(INDEX(Account_Mapping!$C:$C,MATCH($C155&amp;"",Account_Mapping!$A:$A,0))&amp;"",""))</f>
        <v/>
      </c>
      <c r="N155" s="24" t="str">
        <f aca="false">IF($K155&lt;&gt;"",$K155,$M155)</f>
        <v/>
      </c>
      <c r="O155" s="24" t="str">
        <f aca="false">IF($F155="","",IFERROR(INDEX(Counterparties!$C:$C,MATCH($F155&amp;"",Counterparties!$A:$A,0))&amp;"",""))</f>
        <v/>
      </c>
      <c r="P155" s="24" t="str">
        <f aca="false">IF($O155="","",IF($O155="CY","CY",IF(ISNUMBER(MATCH($O155,Lists!$A:$A,0)),"EU","3RD")))</f>
        <v/>
      </c>
      <c r="Q155" s="24" t="str">
        <f aca="false">IF($F155="","N",IFERROR(IF(INDEX(Counterparties!$E:$E,MATCH($F155&amp;"",Counterparties!$A:$A,0))="Y","Y","N"),"N"))</f>
        <v>N</v>
      </c>
      <c r="R155" s="25" t="n">
        <f aca="false">IF(OR($H155="",$H155="EUR"),1,IFERROR(INDEX(FX_Rates!$D:$D,MATCH($H155,FX_Rates!$A:$A,0)),""))</f>
        <v>1</v>
      </c>
      <c r="S155" s="26" t="str">
        <f aca="false">IF(AND($I155="",$J155=""),"",IF($J155&lt;&gt;"",$J155,IF(OR($R155="",$R155=0),"",ROUND($I155/$R155,2))))</f>
        <v/>
      </c>
      <c r="T155" s="24" t="str">
        <f aca="false">IF($N155="","",IFERROR(INDEX(VAT_Codes!$C:$C,MATCH($N155,VAT_Codes!$A:$A,0)),"")&amp;"")</f>
        <v/>
      </c>
      <c r="U155" s="26" t="n">
        <f aca="false">IF(OR($S155="",$T155="",$T155="None"),0,IF($T155="Output",-$S155,$S155))</f>
        <v>0</v>
      </c>
      <c r="V155" s="27" t="n">
        <f aca="false">IF($N155="",0,IFERROR(INDEX(VAT_Codes!$D:$D,MATCH($N155,VAT_Codes!$A:$A,0)),0))</f>
        <v>0</v>
      </c>
      <c r="W155" s="26" t="n">
        <f aca="false">IF($U155=0,0,IF(IFERROR(INDEX(VAT_Codes!$F:$F,MATCH($N155,VAT_Codes!$A:$A,0)),"N")="Y",$U155,IF($L155&lt;&gt;"",ROUND(ABS($L155)/IF(OR($R155="",$R155=0),1,$R155),2)*SIGN($U155),ROUND($U155*$V155,2))))</f>
        <v>0</v>
      </c>
      <c r="X155" s="24" t="str">
        <f aca="false">IF($N155="","",IFERROR(INDEX(VAT_Codes!$H:$H,MATCH($N155,VAT_Codes!$A:$A,0)),"")&amp;"")</f>
        <v/>
      </c>
      <c r="Y155" s="24" t="str">
        <f aca="false">IF($A155="","",(YEAR($A155)-YEAR(Settings!$C$8))*12+MONTH($A155)-MONTH(Settings!$C$8)+1)</f>
        <v/>
      </c>
      <c r="Z155" s="24" t="str">
        <f aca="false">IF(AND($C155="",$I155="",$J155=""),"",IF($N155="","NO VAT CODE",IF($T155="","UNKNOWN VAT CODE",IF($S155="","MISSING FX RATE",IF(OR($A155&lt;Settings!$C$8,$A155&gt;Settings!$C$9),"OUTSIDE PERIOD",IF(AND(IFERROR(INDEX(VAT_Codes!$E:$E,MATCH($N155,VAT_Codes!$A:$A,0)),"ANY")&lt;&gt;"ANY",$P155=""),"MISSING COUNTERPARTY COUNTRY",IF(AND(IFERROR(INDEX(VAT_Codes!$E:$E,MATCH($N155,VAT_Codes!$A:$A,0)),"ANY")&lt;&gt;"ANY",$P155&lt;&gt;IFERROR(INDEX(VAT_Codes!$E:$E,MATCH($N155,VAT_Codes!$A:$A,0)),"ANY")),"REGION MISMATCH","OK")))))))</f>
        <v/>
      </c>
    </row>
    <row r="156" customFormat="false" ht="15" hidden="false" customHeight="false" outlineLevel="0" collapsed="false">
      <c r="M156" s="24" t="str">
        <f aca="false">IF($C156="","",IFERROR(INDEX(Account_Mapping!$C:$C,MATCH($C156&amp;"",Account_Mapping!$A:$A,0))&amp;"",""))</f>
        <v/>
      </c>
      <c r="N156" s="24" t="str">
        <f aca="false">IF($K156&lt;&gt;"",$K156,$M156)</f>
        <v/>
      </c>
      <c r="O156" s="24" t="str">
        <f aca="false">IF($F156="","",IFERROR(INDEX(Counterparties!$C:$C,MATCH($F156&amp;"",Counterparties!$A:$A,0))&amp;"",""))</f>
        <v/>
      </c>
      <c r="P156" s="24" t="str">
        <f aca="false">IF($O156="","",IF($O156="CY","CY",IF(ISNUMBER(MATCH($O156,Lists!$A:$A,0)),"EU","3RD")))</f>
        <v/>
      </c>
      <c r="Q156" s="24" t="str">
        <f aca="false">IF($F156="","N",IFERROR(IF(INDEX(Counterparties!$E:$E,MATCH($F156&amp;"",Counterparties!$A:$A,0))="Y","Y","N"),"N"))</f>
        <v>N</v>
      </c>
      <c r="R156" s="25" t="n">
        <f aca="false">IF(OR($H156="",$H156="EUR"),1,IFERROR(INDEX(FX_Rates!$D:$D,MATCH($H156,FX_Rates!$A:$A,0)),""))</f>
        <v>1</v>
      </c>
      <c r="S156" s="26" t="str">
        <f aca="false">IF(AND($I156="",$J156=""),"",IF($J156&lt;&gt;"",$J156,IF(OR($R156="",$R156=0),"",ROUND($I156/$R156,2))))</f>
        <v/>
      </c>
      <c r="T156" s="24" t="str">
        <f aca="false">IF($N156="","",IFERROR(INDEX(VAT_Codes!$C:$C,MATCH($N156,VAT_Codes!$A:$A,0)),"")&amp;"")</f>
        <v/>
      </c>
      <c r="U156" s="26" t="n">
        <f aca="false">IF(OR($S156="",$T156="",$T156="None"),0,IF($T156="Output",-$S156,$S156))</f>
        <v>0</v>
      </c>
      <c r="V156" s="27" t="n">
        <f aca="false">IF($N156="",0,IFERROR(INDEX(VAT_Codes!$D:$D,MATCH($N156,VAT_Codes!$A:$A,0)),0))</f>
        <v>0</v>
      </c>
      <c r="W156" s="26" t="n">
        <f aca="false">IF($U156=0,0,IF(IFERROR(INDEX(VAT_Codes!$F:$F,MATCH($N156,VAT_Codes!$A:$A,0)),"N")="Y",$U156,IF($L156&lt;&gt;"",ROUND(ABS($L156)/IF(OR($R156="",$R156=0),1,$R156),2)*SIGN($U156),ROUND($U156*$V156,2))))</f>
        <v>0</v>
      </c>
      <c r="X156" s="24" t="str">
        <f aca="false">IF($N156="","",IFERROR(INDEX(VAT_Codes!$H:$H,MATCH($N156,VAT_Codes!$A:$A,0)),"")&amp;"")</f>
        <v/>
      </c>
      <c r="Y156" s="24" t="str">
        <f aca="false">IF($A156="","",(YEAR($A156)-YEAR(Settings!$C$8))*12+MONTH($A156)-MONTH(Settings!$C$8)+1)</f>
        <v/>
      </c>
      <c r="Z156" s="24" t="str">
        <f aca="false">IF(AND($C156="",$I156="",$J156=""),"",IF($N156="","NO VAT CODE",IF($T156="","UNKNOWN VAT CODE",IF($S156="","MISSING FX RATE",IF(OR($A156&lt;Settings!$C$8,$A156&gt;Settings!$C$9),"OUTSIDE PERIOD",IF(AND(IFERROR(INDEX(VAT_Codes!$E:$E,MATCH($N156,VAT_Codes!$A:$A,0)),"ANY")&lt;&gt;"ANY",$P156=""),"MISSING COUNTERPARTY COUNTRY",IF(AND(IFERROR(INDEX(VAT_Codes!$E:$E,MATCH($N156,VAT_Codes!$A:$A,0)),"ANY")&lt;&gt;"ANY",$P156&lt;&gt;IFERROR(INDEX(VAT_Codes!$E:$E,MATCH($N156,VAT_Codes!$A:$A,0)),"ANY")),"REGION MISMATCH","OK")))))))</f>
        <v/>
      </c>
    </row>
    <row r="157" customFormat="false" ht="15" hidden="false" customHeight="false" outlineLevel="0" collapsed="false">
      <c r="M157" s="24" t="str">
        <f aca="false">IF($C157="","",IFERROR(INDEX(Account_Mapping!$C:$C,MATCH($C157&amp;"",Account_Mapping!$A:$A,0))&amp;"",""))</f>
        <v/>
      </c>
      <c r="N157" s="24" t="str">
        <f aca="false">IF($K157&lt;&gt;"",$K157,$M157)</f>
        <v/>
      </c>
      <c r="O157" s="24" t="str">
        <f aca="false">IF($F157="","",IFERROR(INDEX(Counterparties!$C:$C,MATCH($F157&amp;"",Counterparties!$A:$A,0))&amp;"",""))</f>
        <v/>
      </c>
      <c r="P157" s="24" t="str">
        <f aca="false">IF($O157="","",IF($O157="CY","CY",IF(ISNUMBER(MATCH($O157,Lists!$A:$A,0)),"EU","3RD")))</f>
        <v/>
      </c>
      <c r="Q157" s="24" t="str">
        <f aca="false">IF($F157="","N",IFERROR(IF(INDEX(Counterparties!$E:$E,MATCH($F157&amp;"",Counterparties!$A:$A,0))="Y","Y","N"),"N"))</f>
        <v>N</v>
      </c>
      <c r="R157" s="25" t="n">
        <f aca="false">IF(OR($H157="",$H157="EUR"),1,IFERROR(INDEX(FX_Rates!$D:$D,MATCH($H157,FX_Rates!$A:$A,0)),""))</f>
        <v>1</v>
      </c>
      <c r="S157" s="26" t="str">
        <f aca="false">IF(AND($I157="",$J157=""),"",IF($J157&lt;&gt;"",$J157,IF(OR($R157="",$R157=0),"",ROUND($I157/$R157,2))))</f>
        <v/>
      </c>
      <c r="T157" s="24" t="str">
        <f aca="false">IF($N157="","",IFERROR(INDEX(VAT_Codes!$C:$C,MATCH($N157,VAT_Codes!$A:$A,0)),"")&amp;"")</f>
        <v/>
      </c>
      <c r="U157" s="26" t="n">
        <f aca="false">IF(OR($S157="",$T157="",$T157="None"),0,IF($T157="Output",-$S157,$S157))</f>
        <v>0</v>
      </c>
      <c r="V157" s="27" t="n">
        <f aca="false">IF($N157="",0,IFERROR(INDEX(VAT_Codes!$D:$D,MATCH($N157,VAT_Codes!$A:$A,0)),0))</f>
        <v>0</v>
      </c>
      <c r="W157" s="26" t="n">
        <f aca="false">IF($U157=0,0,IF(IFERROR(INDEX(VAT_Codes!$F:$F,MATCH($N157,VAT_Codes!$A:$A,0)),"N")="Y",$U157,IF($L157&lt;&gt;"",ROUND(ABS($L157)/IF(OR($R157="",$R157=0),1,$R157),2)*SIGN($U157),ROUND($U157*$V157,2))))</f>
        <v>0</v>
      </c>
      <c r="X157" s="24" t="str">
        <f aca="false">IF($N157="","",IFERROR(INDEX(VAT_Codes!$H:$H,MATCH($N157,VAT_Codes!$A:$A,0)),"")&amp;"")</f>
        <v/>
      </c>
      <c r="Y157" s="24" t="str">
        <f aca="false">IF($A157="","",(YEAR($A157)-YEAR(Settings!$C$8))*12+MONTH($A157)-MONTH(Settings!$C$8)+1)</f>
        <v/>
      </c>
      <c r="Z157" s="24" t="str">
        <f aca="false">IF(AND($C157="",$I157="",$J157=""),"",IF($N157="","NO VAT CODE",IF($T157="","UNKNOWN VAT CODE",IF($S157="","MISSING FX RATE",IF(OR($A157&lt;Settings!$C$8,$A157&gt;Settings!$C$9),"OUTSIDE PERIOD",IF(AND(IFERROR(INDEX(VAT_Codes!$E:$E,MATCH($N157,VAT_Codes!$A:$A,0)),"ANY")&lt;&gt;"ANY",$P157=""),"MISSING COUNTERPARTY COUNTRY",IF(AND(IFERROR(INDEX(VAT_Codes!$E:$E,MATCH($N157,VAT_Codes!$A:$A,0)),"ANY")&lt;&gt;"ANY",$P157&lt;&gt;IFERROR(INDEX(VAT_Codes!$E:$E,MATCH($N157,VAT_Codes!$A:$A,0)),"ANY")),"REGION MISMATCH","OK")))))))</f>
        <v/>
      </c>
    </row>
    <row r="158" customFormat="false" ht="15" hidden="false" customHeight="false" outlineLevel="0" collapsed="false">
      <c r="M158" s="24" t="str">
        <f aca="false">IF($C158="","",IFERROR(INDEX(Account_Mapping!$C:$C,MATCH($C158&amp;"",Account_Mapping!$A:$A,0))&amp;"",""))</f>
        <v/>
      </c>
      <c r="N158" s="24" t="str">
        <f aca="false">IF($K158&lt;&gt;"",$K158,$M158)</f>
        <v/>
      </c>
      <c r="O158" s="24" t="str">
        <f aca="false">IF($F158="","",IFERROR(INDEX(Counterparties!$C:$C,MATCH($F158&amp;"",Counterparties!$A:$A,0))&amp;"",""))</f>
        <v/>
      </c>
      <c r="P158" s="24" t="str">
        <f aca="false">IF($O158="","",IF($O158="CY","CY",IF(ISNUMBER(MATCH($O158,Lists!$A:$A,0)),"EU","3RD")))</f>
        <v/>
      </c>
      <c r="Q158" s="24" t="str">
        <f aca="false">IF($F158="","N",IFERROR(IF(INDEX(Counterparties!$E:$E,MATCH($F158&amp;"",Counterparties!$A:$A,0))="Y","Y","N"),"N"))</f>
        <v>N</v>
      </c>
      <c r="R158" s="25" t="n">
        <f aca="false">IF(OR($H158="",$H158="EUR"),1,IFERROR(INDEX(FX_Rates!$D:$D,MATCH($H158,FX_Rates!$A:$A,0)),""))</f>
        <v>1</v>
      </c>
      <c r="S158" s="26" t="str">
        <f aca="false">IF(AND($I158="",$J158=""),"",IF($J158&lt;&gt;"",$J158,IF(OR($R158="",$R158=0),"",ROUND($I158/$R158,2))))</f>
        <v/>
      </c>
      <c r="T158" s="24" t="str">
        <f aca="false">IF($N158="","",IFERROR(INDEX(VAT_Codes!$C:$C,MATCH($N158,VAT_Codes!$A:$A,0)),"")&amp;"")</f>
        <v/>
      </c>
      <c r="U158" s="26" t="n">
        <f aca="false">IF(OR($S158="",$T158="",$T158="None"),0,IF($T158="Output",-$S158,$S158))</f>
        <v>0</v>
      </c>
      <c r="V158" s="27" t="n">
        <f aca="false">IF($N158="",0,IFERROR(INDEX(VAT_Codes!$D:$D,MATCH($N158,VAT_Codes!$A:$A,0)),0))</f>
        <v>0</v>
      </c>
      <c r="W158" s="26" t="n">
        <f aca="false">IF($U158=0,0,IF(IFERROR(INDEX(VAT_Codes!$F:$F,MATCH($N158,VAT_Codes!$A:$A,0)),"N")="Y",$U158,IF($L158&lt;&gt;"",ROUND(ABS($L158)/IF(OR($R158="",$R158=0),1,$R158),2)*SIGN($U158),ROUND($U158*$V158,2))))</f>
        <v>0</v>
      </c>
      <c r="X158" s="24" t="str">
        <f aca="false">IF($N158="","",IFERROR(INDEX(VAT_Codes!$H:$H,MATCH($N158,VAT_Codes!$A:$A,0)),"")&amp;"")</f>
        <v/>
      </c>
      <c r="Y158" s="24" t="str">
        <f aca="false">IF($A158="","",(YEAR($A158)-YEAR(Settings!$C$8))*12+MONTH($A158)-MONTH(Settings!$C$8)+1)</f>
        <v/>
      </c>
      <c r="Z158" s="24" t="str">
        <f aca="false">IF(AND($C158="",$I158="",$J158=""),"",IF($N158="","NO VAT CODE",IF($T158="","UNKNOWN VAT CODE",IF($S158="","MISSING FX RATE",IF(OR($A158&lt;Settings!$C$8,$A158&gt;Settings!$C$9),"OUTSIDE PERIOD",IF(AND(IFERROR(INDEX(VAT_Codes!$E:$E,MATCH($N158,VAT_Codes!$A:$A,0)),"ANY")&lt;&gt;"ANY",$P158=""),"MISSING COUNTERPARTY COUNTRY",IF(AND(IFERROR(INDEX(VAT_Codes!$E:$E,MATCH($N158,VAT_Codes!$A:$A,0)),"ANY")&lt;&gt;"ANY",$P158&lt;&gt;IFERROR(INDEX(VAT_Codes!$E:$E,MATCH($N158,VAT_Codes!$A:$A,0)),"ANY")),"REGION MISMATCH","OK")))))))</f>
        <v/>
      </c>
    </row>
    <row r="159" customFormat="false" ht="15" hidden="false" customHeight="false" outlineLevel="0" collapsed="false">
      <c r="M159" s="24" t="str">
        <f aca="false">IF($C159="","",IFERROR(INDEX(Account_Mapping!$C:$C,MATCH($C159&amp;"",Account_Mapping!$A:$A,0))&amp;"",""))</f>
        <v/>
      </c>
      <c r="N159" s="24" t="str">
        <f aca="false">IF($K159&lt;&gt;"",$K159,$M159)</f>
        <v/>
      </c>
      <c r="O159" s="24" t="str">
        <f aca="false">IF($F159="","",IFERROR(INDEX(Counterparties!$C:$C,MATCH($F159&amp;"",Counterparties!$A:$A,0))&amp;"",""))</f>
        <v/>
      </c>
      <c r="P159" s="24" t="str">
        <f aca="false">IF($O159="","",IF($O159="CY","CY",IF(ISNUMBER(MATCH($O159,Lists!$A:$A,0)),"EU","3RD")))</f>
        <v/>
      </c>
      <c r="Q159" s="24" t="str">
        <f aca="false">IF($F159="","N",IFERROR(IF(INDEX(Counterparties!$E:$E,MATCH($F159&amp;"",Counterparties!$A:$A,0))="Y","Y","N"),"N"))</f>
        <v>N</v>
      </c>
      <c r="R159" s="25" t="n">
        <f aca="false">IF(OR($H159="",$H159="EUR"),1,IFERROR(INDEX(FX_Rates!$D:$D,MATCH($H159,FX_Rates!$A:$A,0)),""))</f>
        <v>1</v>
      </c>
      <c r="S159" s="26" t="str">
        <f aca="false">IF(AND($I159="",$J159=""),"",IF($J159&lt;&gt;"",$J159,IF(OR($R159="",$R159=0),"",ROUND($I159/$R159,2))))</f>
        <v/>
      </c>
      <c r="T159" s="24" t="str">
        <f aca="false">IF($N159="","",IFERROR(INDEX(VAT_Codes!$C:$C,MATCH($N159,VAT_Codes!$A:$A,0)),"")&amp;"")</f>
        <v/>
      </c>
      <c r="U159" s="26" t="n">
        <f aca="false">IF(OR($S159="",$T159="",$T159="None"),0,IF($T159="Output",-$S159,$S159))</f>
        <v>0</v>
      </c>
      <c r="V159" s="27" t="n">
        <f aca="false">IF($N159="",0,IFERROR(INDEX(VAT_Codes!$D:$D,MATCH($N159,VAT_Codes!$A:$A,0)),0))</f>
        <v>0</v>
      </c>
      <c r="W159" s="26" t="n">
        <f aca="false">IF($U159=0,0,IF(IFERROR(INDEX(VAT_Codes!$F:$F,MATCH($N159,VAT_Codes!$A:$A,0)),"N")="Y",$U159,IF($L159&lt;&gt;"",ROUND(ABS($L159)/IF(OR($R159="",$R159=0),1,$R159),2)*SIGN($U159),ROUND($U159*$V159,2))))</f>
        <v>0</v>
      </c>
      <c r="X159" s="24" t="str">
        <f aca="false">IF($N159="","",IFERROR(INDEX(VAT_Codes!$H:$H,MATCH($N159,VAT_Codes!$A:$A,0)),"")&amp;"")</f>
        <v/>
      </c>
      <c r="Y159" s="24" t="str">
        <f aca="false">IF($A159="","",(YEAR($A159)-YEAR(Settings!$C$8))*12+MONTH($A159)-MONTH(Settings!$C$8)+1)</f>
        <v/>
      </c>
      <c r="Z159" s="24" t="str">
        <f aca="false">IF(AND($C159="",$I159="",$J159=""),"",IF($N159="","NO VAT CODE",IF($T159="","UNKNOWN VAT CODE",IF($S159="","MISSING FX RATE",IF(OR($A159&lt;Settings!$C$8,$A159&gt;Settings!$C$9),"OUTSIDE PERIOD",IF(AND(IFERROR(INDEX(VAT_Codes!$E:$E,MATCH($N159,VAT_Codes!$A:$A,0)),"ANY")&lt;&gt;"ANY",$P159=""),"MISSING COUNTERPARTY COUNTRY",IF(AND(IFERROR(INDEX(VAT_Codes!$E:$E,MATCH($N159,VAT_Codes!$A:$A,0)),"ANY")&lt;&gt;"ANY",$P159&lt;&gt;IFERROR(INDEX(VAT_Codes!$E:$E,MATCH($N159,VAT_Codes!$A:$A,0)),"ANY")),"REGION MISMATCH","OK")))))))</f>
        <v/>
      </c>
    </row>
    <row r="160" customFormat="false" ht="15" hidden="false" customHeight="false" outlineLevel="0" collapsed="false">
      <c r="M160" s="24" t="str">
        <f aca="false">IF($C160="","",IFERROR(INDEX(Account_Mapping!$C:$C,MATCH($C160&amp;"",Account_Mapping!$A:$A,0))&amp;"",""))</f>
        <v/>
      </c>
      <c r="N160" s="24" t="str">
        <f aca="false">IF($K160&lt;&gt;"",$K160,$M160)</f>
        <v/>
      </c>
      <c r="O160" s="24" t="str">
        <f aca="false">IF($F160="","",IFERROR(INDEX(Counterparties!$C:$C,MATCH($F160&amp;"",Counterparties!$A:$A,0))&amp;"",""))</f>
        <v/>
      </c>
      <c r="P160" s="24" t="str">
        <f aca="false">IF($O160="","",IF($O160="CY","CY",IF(ISNUMBER(MATCH($O160,Lists!$A:$A,0)),"EU","3RD")))</f>
        <v/>
      </c>
      <c r="Q160" s="24" t="str">
        <f aca="false">IF($F160="","N",IFERROR(IF(INDEX(Counterparties!$E:$E,MATCH($F160&amp;"",Counterparties!$A:$A,0))="Y","Y","N"),"N"))</f>
        <v>N</v>
      </c>
      <c r="R160" s="25" t="n">
        <f aca="false">IF(OR($H160="",$H160="EUR"),1,IFERROR(INDEX(FX_Rates!$D:$D,MATCH($H160,FX_Rates!$A:$A,0)),""))</f>
        <v>1</v>
      </c>
      <c r="S160" s="26" t="str">
        <f aca="false">IF(AND($I160="",$J160=""),"",IF($J160&lt;&gt;"",$J160,IF(OR($R160="",$R160=0),"",ROUND($I160/$R160,2))))</f>
        <v/>
      </c>
      <c r="T160" s="24" t="str">
        <f aca="false">IF($N160="","",IFERROR(INDEX(VAT_Codes!$C:$C,MATCH($N160,VAT_Codes!$A:$A,0)),"")&amp;"")</f>
        <v/>
      </c>
      <c r="U160" s="26" t="n">
        <f aca="false">IF(OR($S160="",$T160="",$T160="None"),0,IF($T160="Output",-$S160,$S160))</f>
        <v>0</v>
      </c>
      <c r="V160" s="27" t="n">
        <f aca="false">IF($N160="",0,IFERROR(INDEX(VAT_Codes!$D:$D,MATCH($N160,VAT_Codes!$A:$A,0)),0))</f>
        <v>0</v>
      </c>
      <c r="W160" s="26" t="n">
        <f aca="false">IF($U160=0,0,IF(IFERROR(INDEX(VAT_Codes!$F:$F,MATCH($N160,VAT_Codes!$A:$A,0)),"N")="Y",$U160,IF($L160&lt;&gt;"",ROUND(ABS($L160)/IF(OR($R160="",$R160=0),1,$R160),2)*SIGN($U160),ROUND($U160*$V160,2))))</f>
        <v>0</v>
      </c>
      <c r="X160" s="24" t="str">
        <f aca="false">IF($N160="","",IFERROR(INDEX(VAT_Codes!$H:$H,MATCH($N160,VAT_Codes!$A:$A,0)),"")&amp;"")</f>
        <v/>
      </c>
      <c r="Y160" s="24" t="str">
        <f aca="false">IF($A160="","",(YEAR($A160)-YEAR(Settings!$C$8))*12+MONTH($A160)-MONTH(Settings!$C$8)+1)</f>
        <v/>
      </c>
      <c r="Z160" s="24" t="str">
        <f aca="false">IF(AND($C160="",$I160="",$J160=""),"",IF($N160="","NO VAT CODE",IF($T160="","UNKNOWN VAT CODE",IF($S160="","MISSING FX RATE",IF(OR($A160&lt;Settings!$C$8,$A160&gt;Settings!$C$9),"OUTSIDE PERIOD",IF(AND(IFERROR(INDEX(VAT_Codes!$E:$E,MATCH($N160,VAT_Codes!$A:$A,0)),"ANY")&lt;&gt;"ANY",$P160=""),"MISSING COUNTERPARTY COUNTRY",IF(AND(IFERROR(INDEX(VAT_Codes!$E:$E,MATCH($N160,VAT_Codes!$A:$A,0)),"ANY")&lt;&gt;"ANY",$P160&lt;&gt;IFERROR(INDEX(VAT_Codes!$E:$E,MATCH($N160,VAT_Codes!$A:$A,0)),"ANY")),"REGION MISMATCH","OK")))))))</f>
        <v/>
      </c>
    </row>
    <row r="161" customFormat="false" ht="15" hidden="false" customHeight="false" outlineLevel="0" collapsed="false">
      <c r="M161" s="24" t="str">
        <f aca="false">IF($C161="","",IFERROR(INDEX(Account_Mapping!$C:$C,MATCH($C161&amp;"",Account_Mapping!$A:$A,0))&amp;"",""))</f>
        <v/>
      </c>
      <c r="N161" s="24" t="str">
        <f aca="false">IF($K161&lt;&gt;"",$K161,$M161)</f>
        <v/>
      </c>
      <c r="O161" s="24" t="str">
        <f aca="false">IF($F161="","",IFERROR(INDEX(Counterparties!$C:$C,MATCH($F161&amp;"",Counterparties!$A:$A,0))&amp;"",""))</f>
        <v/>
      </c>
      <c r="P161" s="24" t="str">
        <f aca="false">IF($O161="","",IF($O161="CY","CY",IF(ISNUMBER(MATCH($O161,Lists!$A:$A,0)),"EU","3RD")))</f>
        <v/>
      </c>
      <c r="Q161" s="24" t="str">
        <f aca="false">IF($F161="","N",IFERROR(IF(INDEX(Counterparties!$E:$E,MATCH($F161&amp;"",Counterparties!$A:$A,0))="Y","Y","N"),"N"))</f>
        <v>N</v>
      </c>
      <c r="R161" s="25" t="n">
        <f aca="false">IF(OR($H161="",$H161="EUR"),1,IFERROR(INDEX(FX_Rates!$D:$D,MATCH($H161,FX_Rates!$A:$A,0)),""))</f>
        <v>1</v>
      </c>
      <c r="S161" s="26" t="str">
        <f aca="false">IF(AND($I161="",$J161=""),"",IF($J161&lt;&gt;"",$J161,IF(OR($R161="",$R161=0),"",ROUND($I161/$R161,2))))</f>
        <v/>
      </c>
      <c r="T161" s="24" t="str">
        <f aca="false">IF($N161="","",IFERROR(INDEX(VAT_Codes!$C:$C,MATCH($N161,VAT_Codes!$A:$A,0)),"")&amp;"")</f>
        <v/>
      </c>
      <c r="U161" s="26" t="n">
        <f aca="false">IF(OR($S161="",$T161="",$T161="None"),0,IF($T161="Output",-$S161,$S161))</f>
        <v>0</v>
      </c>
      <c r="V161" s="27" t="n">
        <f aca="false">IF($N161="",0,IFERROR(INDEX(VAT_Codes!$D:$D,MATCH($N161,VAT_Codes!$A:$A,0)),0))</f>
        <v>0</v>
      </c>
      <c r="W161" s="26" t="n">
        <f aca="false">IF($U161=0,0,IF(IFERROR(INDEX(VAT_Codes!$F:$F,MATCH($N161,VAT_Codes!$A:$A,0)),"N")="Y",$U161,IF($L161&lt;&gt;"",ROUND(ABS($L161)/IF(OR($R161="",$R161=0),1,$R161),2)*SIGN($U161),ROUND($U161*$V161,2))))</f>
        <v>0</v>
      </c>
      <c r="X161" s="24" t="str">
        <f aca="false">IF($N161="","",IFERROR(INDEX(VAT_Codes!$H:$H,MATCH($N161,VAT_Codes!$A:$A,0)),"")&amp;"")</f>
        <v/>
      </c>
      <c r="Y161" s="24" t="str">
        <f aca="false">IF($A161="","",(YEAR($A161)-YEAR(Settings!$C$8))*12+MONTH($A161)-MONTH(Settings!$C$8)+1)</f>
        <v/>
      </c>
      <c r="Z161" s="24" t="str">
        <f aca="false">IF(AND($C161="",$I161="",$J161=""),"",IF($N161="","NO VAT CODE",IF($T161="","UNKNOWN VAT CODE",IF($S161="","MISSING FX RATE",IF(OR($A161&lt;Settings!$C$8,$A161&gt;Settings!$C$9),"OUTSIDE PERIOD",IF(AND(IFERROR(INDEX(VAT_Codes!$E:$E,MATCH($N161,VAT_Codes!$A:$A,0)),"ANY")&lt;&gt;"ANY",$P161=""),"MISSING COUNTERPARTY COUNTRY",IF(AND(IFERROR(INDEX(VAT_Codes!$E:$E,MATCH($N161,VAT_Codes!$A:$A,0)),"ANY")&lt;&gt;"ANY",$P161&lt;&gt;IFERROR(INDEX(VAT_Codes!$E:$E,MATCH($N161,VAT_Codes!$A:$A,0)),"ANY")),"REGION MISMATCH","OK")))))))</f>
        <v/>
      </c>
    </row>
    <row r="162" customFormat="false" ht="15" hidden="false" customHeight="false" outlineLevel="0" collapsed="false">
      <c r="M162" s="24" t="str">
        <f aca="false">IF($C162="","",IFERROR(INDEX(Account_Mapping!$C:$C,MATCH($C162&amp;"",Account_Mapping!$A:$A,0))&amp;"",""))</f>
        <v/>
      </c>
      <c r="N162" s="24" t="str">
        <f aca="false">IF($K162&lt;&gt;"",$K162,$M162)</f>
        <v/>
      </c>
      <c r="O162" s="24" t="str">
        <f aca="false">IF($F162="","",IFERROR(INDEX(Counterparties!$C:$C,MATCH($F162&amp;"",Counterparties!$A:$A,0))&amp;"",""))</f>
        <v/>
      </c>
      <c r="P162" s="24" t="str">
        <f aca="false">IF($O162="","",IF($O162="CY","CY",IF(ISNUMBER(MATCH($O162,Lists!$A:$A,0)),"EU","3RD")))</f>
        <v/>
      </c>
      <c r="Q162" s="24" t="str">
        <f aca="false">IF($F162="","N",IFERROR(IF(INDEX(Counterparties!$E:$E,MATCH($F162&amp;"",Counterparties!$A:$A,0))="Y","Y","N"),"N"))</f>
        <v>N</v>
      </c>
      <c r="R162" s="25" t="n">
        <f aca="false">IF(OR($H162="",$H162="EUR"),1,IFERROR(INDEX(FX_Rates!$D:$D,MATCH($H162,FX_Rates!$A:$A,0)),""))</f>
        <v>1</v>
      </c>
      <c r="S162" s="26" t="str">
        <f aca="false">IF(AND($I162="",$J162=""),"",IF($J162&lt;&gt;"",$J162,IF(OR($R162="",$R162=0),"",ROUND($I162/$R162,2))))</f>
        <v/>
      </c>
      <c r="T162" s="24" t="str">
        <f aca="false">IF($N162="","",IFERROR(INDEX(VAT_Codes!$C:$C,MATCH($N162,VAT_Codes!$A:$A,0)),"")&amp;"")</f>
        <v/>
      </c>
      <c r="U162" s="26" t="n">
        <f aca="false">IF(OR($S162="",$T162="",$T162="None"),0,IF($T162="Output",-$S162,$S162))</f>
        <v>0</v>
      </c>
      <c r="V162" s="27" t="n">
        <f aca="false">IF($N162="",0,IFERROR(INDEX(VAT_Codes!$D:$D,MATCH($N162,VAT_Codes!$A:$A,0)),0))</f>
        <v>0</v>
      </c>
      <c r="W162" s="26" t="n">
        <f aca="false">IF($U162=0,0,IF(IFERROR(INDEX(VAT_Codes!$F:$F,MATCH($N162,VAT_Codes!$A:$A,0)),"N")="Y",$U162,IF($L162&lt;&gt;"",ROUND(ABS($L162)/IF(OR($R162="",$R162=0),1,$R162),2)*SIGN($U162),ROUND($U162*$V162,2))))</f>
        <v>0</v>
      </c>
      <c r="X162" s="24" t="str">
        <f aca="false">IF($N162="","",IFERROR(INDEX(VAT_Codes!$H:$H,MATCH($N162,VAT_Codes!$A:$A,0)),"")&amp;"")</f>
        <v/>
      </c>
      <c r="Y162" s="24" t="str">
        <f aca="false">IF($A162="","",(YEAR($A162)-YEAR(Settings!$C$8))*12+MONTH($A162)-MONTH(Settings!$C$8)+1)</f>
        <v/>
      </c>
      <c r="Z162" s="24" t="str">
        <f aca="false">IF(AND($C162="",$I162="",$J162=""),"",IF($N162="","NO VAT CODE",IF($T162="","UNKNOWN VAT CODE",IF($S162="","MISSING FX RATE",IF(OR($A162&lt;Settings!$C$8,$A162&gt;Settings!$C$9),"OUTSIDE PERIOD",IF(AND(IFERROR(INDEX(VAT_Codes!$E:$E,MATCH($N162,VAT_Codes!$A:$A,0)),"ANY")&lt;&gt;"ANY",$P162=""),"MISSING COUNTERPARTY COUNTRY",IF(AND(IFERROR(INDEX(VAT_Codes!$E:$E,MATCH($N162,VAT_Codes!$A:$A,0)),"ANY")&lt;&gt;"ANY",$P162&lt;&gt;IFERROR(INDEX(VAT_Codes!$E:$E,MATCH($N162,VAT_Codes!$A:$A,0)),"ANY")),"REGION MISMATCH","OK")))))))</f>
        <v/>
      </c>
    </row>
    <row r="163" customFormat="false" ht="15" hidden="false" customHeight="false" outlineLevel="0" collapsed="false">
      <c r="M163" s="24" t="str">
        <f aca="false">IF($C163="","",IFERROR(INDEX(Account_Mapping!$C:$C,MATCH($C163&amp;"",Account_Mapping!$A:$A,0))&amp;"",""))</f>
        <v/>
      </c>
      <c r="N163" s="24" t="str">
        <f aca="false">IF($K163&lt;&gt;"",$K163,$M163)</f>
        <v/>
      </c>
      <c r="O163" s="24" t="str">
        <f aca="false">IF($F163="","",IFERROR(INDEX(Counterparties!$C:$C,MATCH($F163&amp;"",Counterparties!$A:$A,0))&amp;"",""))</f>
        <v/>
      </c>
      <c r="P163" s="24" t="str">
        <f aca="false">IF($O163="","",IF($O163="CY","CY",IF(ISNUMBER(MATCH($O163,Lists!$A:$A,0)),"EU","3RD")))</f>
        <v/>
      </c>
      <c r="Q163" s="24" t="str">
        <f aca="false">IF($F163="","N",IFERROR(IF(INDEX(Counterparties!$E:$E,MATCH($F163&amp;"",Counterparties!$A:$A,0))="Y","Y","N"),"N"))</f>
        <v>N</v>
      </c>
      <c r="R163" s="25" t="n">
        <f aca="false">IF(OR($H163="",$H163="EUR"),1,IFERROR(INDEX(FX_Rates!$D:$D,MATCH($H163,FX_Rates!$A:$A,0)),""))</f>
        <v>1</v>
      </c>
      <c r="S163" s="26" t="str">
        <f aca="false">IF(AND($I163="",$J163=""),"",IF($J163&lt;&gt;"",$J163,IF(OR($R163="",$R163=0),"",ROUND($I163/$R163,2))))</f>
        <v/>
      </c>
      <c r="T163" s="24" t="str">
        <f aca="false">IF($N163="","",IFERROR(INDEX(VAT_Codes!$C:$C,MATCH($N163,VAT_Codes!$A:$A,0)),"")&amp;"")</f>
        <v/>
      </c>
      <c r="U163" s="26" t="n">
        <f aca="false">IF(OR($S163="",$T163="",$T163="None"),0,IF($T163="Output",-$S163,$S163))</f>
        <v>0</v>
      </c>
      <c r="V163" s="27" t="n">
        <f aca="false">IF($N163="",0,IFERROR(INDEX(VAT_Codes!$D:$D,MATCH($N163,VAT_Codes!$A:$A,0)),0))</f>
        <v>0</v>
      </c>
      <c r="W163" s="26" t="n">
        <f aca="false">IF($U163=0,0,IF(IFERROR(INDEX(VAT_Codes!$F:$F,MATCH($N163,VAT_Codes!$A:$A,0)),"N")="Y",$U163,IF($L163&lt;&gt;"",ROUND(ABS($L163)/IF(OR($R163="",$R163=0),1,$R163),2)*SIGN($U163),ROUND($U163*$V163,2))))</f>
        <v>0</v>
      </c>
      <c r="X163" s="24" t="str">
        <f aca="false">IF($N163="","",IFERROR(INDEX(VAT_Codes!$H:$H,MATCH($N163,VAT_Codes!$A:$A,0)),"")&amp;"")</f>
        <v/>
      </c>
      <c r="Y163" s="24" t="str">
        <f aca="false">IF($A163="","",(YEAR($A163)-YEAR(Settings!$C$8))*12+MONTH($A163)-MONTH(Settings!$C$8)+1)</f>
        <v/>
      </c>
      <c r="Z163" s="24" t="str">
        <f aca="false">IF(AND($C163="",$I163="",$J163=""),"",IF($N163="","NO VAT CODE",IF($T163="","UNKNOWN VAT CODE",IF($S163="","MISSING FX RATE",IF(OR($A163&lt;Settings!$C$8,$A163&gt;Settings!$C$9),"OUTSIDE PERIOD",IF(AND(IFERROR(INDEX(VAT_Codes!$E:$E,MATCH($N163,VAT_Codes!$A:$A,0)),"ANY")&lt;&gt;"ANY",$P163=""),"MISSING COUNTERPARTY COUNTRY",IF(AND(IFERROR(INDEX(VAT_Codes!$E:$E,MATCH($N163,VAT_Codes!$A:$A,0)),"ANY")&lt;&gt;"ANY",$P163&lt;&gt;IFERROR(INDEX(VAT_Codes!$E:$E,MATCH($N163,VAT_Codes!$A:$A,0)),"ANY")),"REGION MISMATCH","OK")))))))</f>
        <v/>
      </c>
    </row>
    <row r="164" customFormat="false" ht="15" hidden="false" customHeight="false" outlineLevel="0" collapsed="false">
      <c r="M164" s="24" t="str">
        <f aca="false">IF($C164="","",IFERROR(INDEX(Account_Mapping!$C:$C,MATCH($C164&amp;"",Account_Mapping!$A:$A,0))&amp;"",""))</f>
        <v/>
      </c>
      <c r="N164" s="24" t="str">
        <f aca="false">IF($K164&lt;&gt;"",$K164,$M164)</f>
        <v/>
      </c>
      <c r="O164" s="24" t="str">
        <f aca="false">IF($F164="","",IFERROR(INDEX(Counterparties!$C:$C,MATCH($F164&amp;"",Counterparties!$A:$A,0))&amp;"",""))</f>
        <v/>
      </c>
      <c r="P164" s="24" t="str">
        <f aca="false">IF($O164="","",IF($O164="CY","CY",IF(ISNUMBER(MATCH($O164,Lists!$A:$A,0)),"EU","3RD")))</f>
        <v/>
      </c>
      <c r="Q164" s="24" t="str">
        <f aca="false">IF($F164="","N",IFERROR(IF(INDEX(Counterparties!$E:$E,MATCH($F164&amp;"",Counterparties!$A:$A,0))="Y","Y","N"),"N"))</f>
        <v>N</v>
      </c>
      <c r="R164" s="25" t="n">
        <f aca="false">IF(OR($H164="",$H164="EUR"),1,IFERROR(INDEX(FX_Rates!$D:$D,MATCH($H164,FX_Rates!$A:$A,0)),""))</f>
        <v>1</v>
      </c>
      <c r="S164" s="26" t="str">
        <f aca="false">IF(AND($I164="",$J164=""),"",IF($J164&lt;&gt;"",$J164,IF(OR($R164="",$R164=0),"",ROUND($I164/$R164,2))))</f>
        <v/>
      </c>
      <c r="T164" s="24" t="str">
        <f aca="false">IF($N164="","",IFERROR(INDEX(VAT_Codes!$C:$C,MATCH($N164,VAT_Codes!$A:$A,0)),"")&amp;"")</f>
        <v/>
      </c>
      <c r="U164" s="26" t="n">
        <f aca="false">IF(OR($S164="",$T164="",$T164="None"),0,IF($T164="Output",-$S164,$S164))</f>
        <v>0</v>
      </c>
      <c r="V164" s="27" t="n">
        <f aca="false">IF($N164="",0,IFERROR(INDEX(VAT_Codes!$D:$D,MATCH($N164,VAT_Codes!$A:$A,0)),0))</f>
        <v>0</v>
      </c>
      <c r="W164" s="26" t="n">
        <f aca="false">IF($U164=0,0,IF(IFERROR(INDEX(VAT_Codes!$F:$F,MATCH($N164,VAT_Codes!$A:$A,0)),"N")="Y",$U164,IF($L164&lt;&gt;"",ROUND(ABS($L164)/IF(OR($R164="",$R164=0),1,$R164),2)*SIGN($U164),ROUND($U164*$V164,2))))</f>
        <v>0</v>
      </c>
      <c r="X164" s="24" t="str">
        <f aca="false">IF($N164="","",IFERROR(INDEX(VAT_Codes!$H:$H,MATCH($N164,VAT_Codes!$A:$A,0)),"")&amp;"")</f>
        <v/>
      </c>
      <c r="Y164" s="24" t="str">
        <f aca="false">IF($A164="","",(YEAR($A164)-YEAR(Settings!$C$8))*12+MONTH($A164)-MONTH(Settings!$C$8)+1)</f>
        <v/>
      </c>
      <c r="Z164" s="24" t="str">
        <f aca="false">IF(AND($C164="",$I164="",$J164=""),"",IF($N164="","NO VAT CODE",IF($T164="","UNKNOWN VAT CODE",IF($S164="","MISSING FX RATE",IF(OR($A164&lt;Settings!$C$8,$A164&gt;Settings!$C$9),"OUTSIDE PERIOD",IF(AND(IFERROR(INDEX(VAT_Codes!$E:$E,MATCH($N164,VAT_Codes!$A:$A,0)),"ANY")&lt;&gt;"ANY",$P164=""),"MISSING COUNTERPARTY COUNTRY",IF(AND(IFERROR(INDEX(VAT_Codes!$E:$E,MATCH($N164,VAT_Codes!$A:$A,0)),"ANY")&lt;&gt;"ANY",$P164&lt;&gt;IFERROR(INDEX(VAT_Codes!$E:$E,MATCH($N164,VAT_Codes!$A:$A,0)),"ANY")),"REGION MISMATCH","OK")))))))</f>
        <v/>
      </c>
    </row>
    <row r="165" customFormat="false" ht="15" hidden="false" customHeight="false" outlineLevel="0" collapsed="false">
      <c r="M165" s="24" t="str">
        <f aca="false">IF($C165="","",IFERROR(INDEX(Account_Mapping!$C:$C,MATCH($C165&amp;"",Account_Mapping!$A:$A,0))&amp;"",""))</f>
        <v/>
      </c>
      <c r="N165" s="24" t="str">
        <f aca="false">IF($K165&lt;&gt;"",$K165,$M165)</f>
        <v/>
      </c>
      <c r="O165" s="24" t="str">
        <f aca="false">IF($F165="","",IFERROR(INDEX(Counterparties!$C:$C,MATCH($F165&amp;"",Counterparties!$A:$A,0))&amp;"",""))</f>
        <v/>
      </c>
      <c r="P165" s="24" t="str">
        <f aca="false">IF($O165="","",IF($O165="CY","CY",IF(ISNUMBER(MATCH($O165,Lists!$A:$A,0)),"EU","3RD")))</f>
        <v/>
      </c>
      <c r="Q165" s="24" t="str">
        <f aca="false">IF($F165="","N",IFERROR(IF(INDEX(Counterparties!$E:$E,MATCH($F165&amp;"",Counterparties!$A:$A,0))="Y","Y","N"),"N"))</f>
        <v>N</v>
      </c>
      <c r="R165" s="25" t="n">
        <f aca="false">IF(OR($H165="",$H165="EUR"),1,IFERROR(INDEX(FX_Rates!$D:$D,MATCH($H165,FX_Rates!$A:$A,0)),""))</f>
        <v>1</v>
      </c>
      <c r="S165" s="26" t="str">
        <f aca="false">IF(AND($I165="",$J165=""),"",IF($J165&lt;&gt;"",$J165,IF(OR($R165="",$R165=0),"",ROUND($I165/$R165,2))))</f>
        <v/>
      </c>
      <c r="T165" s="24" t="str">
        <f aca="false">IF($N165="","",IFERROR(INDEX(VAT_Codes!$C:$C,MATCH($N165,VAT_Codes!$A:$A,0)),"")&amp;"")</f>
        <v/>
      </c>
      <c r="U165" s="26" t="n">
        <f aca="false">IF(OR($S165="",$T165="",$T165="None"),0,IF($T165="Output",-$S165,$S165))</f>
        <v>0</v>
      </c>
      <c r="V165" s="27" t="n">
        <f aca="false">IF($N165="",0,IFERROR(INDEX(VAT_Codes!$D:$D,MATCH($N165,VAT_Codes!$A:$A,0)),0))</f>
        <v>0</v>
      </c>
      <c r="W165" s="26" t="n">
        <f aca="false">IF($U165=0,0,IF(IFERROR(INDEX(VAT_Codes!$F:$F,MATCH($N165,VAT_Codes!$A:$A,0)),"N")="Y",$U165,IF($L165&lt;&gt;"",ROUND(ABS($L165)/IF(OR($R165="",$R165=0),1,$R165),2)*SIGN($U165),ROUND($U165*$V165,2))))</f>
        <v>0</v>
      </c>
      <c r="X165" s="24" t="str">
        <f aca="false">IF($N165="","",IFERROR(INDEX(VAT_Codes!$H:$H,MATCH($N165,VAT_Codes!$A:$A,0)),"")&amp;"")</f>
        <v/>
      </c>
      <c r="Y165" s="24" t="str">
        <f aca="false">IF($A165="","",(YEAR($A165)-YEAR(Settings!$C$8))*12+MONTH($A165)-MONTH(Settings!$C$8)+1)</f>
        <v/>
      </c>
      <c r="Z165" s="24" t="str">
        <f aca="false">IF(AND($C165="",$I165="",$J165=""),"",IF($N165="","NO VAT CODE",IF($T165="","UNKNOWN VAT CODE",IF($S165="","MISSING FX RATE",IF(OR($A165&lt;Settings!$C$8,$A165&gt;Settings!$C$9),"OUTSIDE PERIOD",IF(AND(IFERROR(INDEX(VAT_Codes!$E:$E,MATCH($N165,VAT_Codes!$A:$A,0)),"ANY")&lt;&gt;"ANY",$P165=""),"MISSING COUNTERPARTY COUNTRY",IF(AND(IFERROR(INDEX(VAT_Codes!$E:$E,MATCH($N165,VAT_Codes!$A:$A,0)),"ANY")&lt;&gt;"ANY",$P165&lt;&gt;IFERROR(INDEX(VAT_Codes!$E:$E,MATCH($N165,VAT_Codes!$A:$A,0)),"ANY")),"REGION MISMATCH","OK")))))))</f>
        <v/>
      </c>
    </row>
    <row r="166" customFormat="false" ht="15" hidden="false" customHeight="false" outlineLevel="0" collapsed="false">
      <c r="M166" s="24" t="str">
        <f aca="false">IF($C166="","",IFERROR(INDEX(Account_Mapping!$C:$C,MATCH($C166&amp;"",Account_Mapping!$A:$A,0))&amp;"",""))</f>
        <v/>
      </c>
      <c r="N166" s="24" t="str">
        <f aca="false">IF($K166&lt;&gt;"",$K166,$M166)</f>
        <v/>
      </c>
      <c r="O166" s="24" t="str">
        <f aca="false">IF($F166="","",IFERROR(INDEX(Counterparties!$C:$C,MATCH($F166&amp;"",Counterparties!$A:$A,0))&amp;"",""))</f>
        <v/>
      </c>
      <c r="P166" s="24" t="str">
        <f aca="false">IF($O166="","",IF($O166="CY","CY",IF(ISNUMBER(MATCH($O166,Lists!$A:$A,0)),"EU","3RD")))</f>
        <v/>
      </c>
      <c r="Q166" s="24" t="str">
        <f aca="false">IF($F166="","N",IFERROR(IF(INDEX(Counterparties!$E:$E,MATCH($F166&amp;"",Counterparties!$A:$A,0))="Y","Y","N"),"N"))</f>
        <v>N</v>
      </c>
      <c r="R166" s="25" t="n">
        <f aca="false">IF(OR($H166="",$H166="EUR"),1,IFERROR(INDEX(FX_Rates!$D:$D,MATCH($H166,FX_Rates!$A:$A,0)),""))</f>
        <v>1</v>
      </c>
      <c r="S166" s="26" t="str">
        <f aca="false">IF(AND($I166="",$J166=""),"",IF($J166&lt;&gt;"",$J166,IF(OR($R166="",$R166=0),"",ROUND($I166/$R166,2))))</f>
        <v/>
      </c>
      <c r="T166" s="24" t="str">
        <f aca="false">IF($N166="","",IFERROR(INDEX(VAT_Codes!$C:$C,MATCH($N166,VAT_Codes!$A:$A,0)),"")&amp;"")</f>
        <v/>
      </c>
      <c r="U166" s="26" t="n">
        <f aca="false">IF(OR($S166="",$T166="",$T166="None"),0,IF($T166="Output",-$S166,$S166))</f>
        <v>0</v>
      </c>
      <c r="V166" s="27" t="n">
        <f aca="false">IF($N166="",0,IFERROR(INDEX(VAT_Codes!$D:$D,MATCH($N166,VAT_Codes!$A:$A,0)),0))</f>
        <v>0</v>
      </c>
      <c r="W166" s="26" t="n">
        <f aca="false">IF($U166=0,0,IF(IFERROR(INDEX(VAT_Codes!$F:$F,MATCH($N166,VAT_Codes!$A:$A,0)),"N")="Y",$U166,IF($L166&lt;&gt;"",ROUND(ABS($L166)/IF(OR($R166="",$R166=0),1,$R166),2)*SIGN($U166),ROUND($U166*$V166,2))))</f>
        <v>0</v>
      </c>
      <c r="X166" s="24" t="str">
        <f aca="false">IF($N166="","",IFERROR(INDEX(VAT_Codes!$H:$H,MATCH($N166,VAT_Codes!$A:$A,0)),"")&amp;"")</f>
        <v/>
      </c>
      <c r="Y166" s="24" t="str">
        <f aca="false">IF($A166="","",(YEAR($A166)-YEAR(Settings!$C$8))*12+MONTH($A166)-MONTH(Settings!$C$8)+1)</f>
        <v/>
      </c>
      <c r="Z166" s="24" t="str">
        <f aca="false">IF(AND($C166="",$I166="",$J166=""),"",IF($N166="","NO VAT CODE",IF($T166="","UNKNOWN VAT CODE",IF($S166="","MISSING FX RATE",IF(OR($A166&lt;Settings!$C$8,$A166&gt;Settings!$C$9),"OUTSIDE PERIOD",IF(AND(IFERROR(INDEX(VAT_Codes!$E:$E,MATCH($N166,VAT_Codes!$A:$A,0)),"ANY")&lt;&gt;"ANY",$P166=""),"MISSING COUNTERPARTY COUNTRY",IF(AND(IFERROR(INDEX(VAT_Codes!$E:$E,MATCH($N166,VAT_Codes!$A:$A,0)),"ANY")&lt;&gt;"ANY",$P166&lt;&gt;IFERROR(INDEX(VAT_Codes!$E:$E,MATCH($N166,VAT_Codes!$A:$A,0)),"ANY")),"REGION MISMATCH","OK")))))))</f>
        <v/>
      </c>
    </row>
    <row r="167" customFormat="false" ht="15" hidden="false" customHeight="false" outlineLevel="0" collapsed="false">
      <c r="M167" s="24" t="str">
        <f aca="false">IF($C167="","",IFERROR(INDEX(Account_Mapping!$C:$C,MATCH($C167&amp;"",Account_Mapping!$A:$A,0))&amp;"",""))</f>
        <v/>
      </c>
      <c r="N167" s="24" t="str">
        <f aca="false">IF($K167&lt;&gt;"",$K167,$M167)</f>
        <v/>
      </c>
      <c r="O167" s="24" t="str">
        <f aca="false">IF($F167="","",IFERROR(INDEX(Counterparties!$C:$C,MATCH($F167&amp;"",Counterparties!$A:$A,0))&amp;"",""))</f>
        <v/>
      </c>
      <c r="P167" s="24" t="str">
        <f aca="false">IF($O167="","",IF($O167="CY","CY",IF(ISNUMBER(MATCH($O167,Lists!$A:$A,0)),"EU","3RD")))</f>
        <v/>
      </c>
      <c r="Q167" s="24" t="str">
        <f aca="false">IF($F167="","N",IFERROR(IF(INDEX(Counterparties!$E:$E,MATCH($F167&amp;"",Counterparties!$A:$A,0))="Y","Y","N"),"N"))</f>
        <v>N</v>
      </c>
      <c r="R167" s="25" t="n">
        <f aca="false">IF(OR($H167="",$H167="EUR"),1,IFERROR(INDEX(FX_Rates!$D:$D,MATCH($H167,FX_Rates!$A:$A,0)),""))</f>
        <v>1</v>
      </c>
      <c r="S167" s="26" t="str">
        <f aca="false">IF(AND($I167="",$J167=""),"",IF($J167&lt;&gt;"",$J167,IF(OR($R167="",$R167=0),"",ROUND($I167/$R167,2))))</f>
        <v/>
      </c>
      <c r="T167" s="24" t="str">
        <f aca="false">IF($N167="","",IFERROR(INDEX(VAT_Codes!$C:$C,MATCH($N167,VAT_Codes!$A:$A,0)),"")&amp;"")</f>
        <v/>
      </c>
      <c r="U167" s="26" t="n">
        <f aca="false">IF(OR($S167="",$T167="",$T167="None"),0,IF($T167="Output",-$S167,$S167))</f>
        <v>0</v>
      </c>
      <c r="V167" s="27" t="n">
        <f aca="false">IF($N167="",0,IFERROR(INDEX(VAT_Codes!$D:$D,MATCH($N167,VAT_Codes!$A:$A,0)),0))</f>
        <v>0</v>
      </c>
      <c r="W167" s="26" t="n">
        <f aca="false">IF($U167=0,0,IF(IFERROR(INDEX(VAT_Codes!$F:$F,MATCH($N167,VAT_Codes!$A:$A,0)),"N")="Y",$U167,IF($L167&lt;&gt;"",ROUND(ABS($L167)/IF(OR($R167="",$R167=0),1,$R167),2)*SIGN($U167),ROUND($U167*$V167,2))))</f>
        <v>0</v>
      </c>
      <c r="X167" s="24" t="str">
        <f aca="false">IF($N167="","",IFERROR(INDEX(VAT_Codes!$H:$H,MATCH($N167,VAT_Codes!$A:$A,0)),"")&amp;"")</f>
        <v/>
      </c>
      <c r="Y167" s="24" t="str">
        <f aca="false">IF($A167="","",(YEAR($A167)-YEAR(Settings!$C$8))*12+MONTH($A167)-MONTH(Settings!$C$8)+1)</f>
        <v/>
      </c>
      <c r="Z167" s="24" t="str">
        <f aca="false">IF(AND($C167="",$I167="",$J167=""),"",IF($N167="","NO VAT CODE",IF($T167="","UNKNOWN VAT CODE",IF($S167="","MISSING FX RATE",IF(OR($A167&lt;Settings!$C$8,$A167&gt;Settings!$C$9),"OUTSIDE PERIOD",IF(AND(IFERROR(INDEX(VAT_Codes!$E:$E,MATCH($N167,VAT_Codes!$A:$A,0)),"ANY")&lt;&gt;"ANY",$P167=""),"MISSING COUNTERPARTY COUNTRY",IF(AND(IFERROR(INDEX(VAT_Codes!$E:$E,MATCH($N167,VAT_Codes!$A:$A,0)),"ANY")&lt;&gt;"ANY",$P167&lt;&gt;IFERROR(INDEX(VAT_Codes!$E:$E,MATCH($N167,VAT_Codes!$A:$A,0)),"ANY")),"REGION MISMATCH","OK")))))))</f>
        <v/>
      </c>
    </row>
    <row r="168" customFormat="false" ht="15" hidden="false" customHeight="false" outlineLevel="0" collapsed="false">
      <c r="M168" s="24" t="str">
        <f aca="false">IF($C168="","",IFERROR(INDEX(Account_Mapping!$C:$C,MATCH($C168&amp;"",Account_Mapping!$A:$A,0))&amp;"",""))</f>
        <v/>
      </c>
      <c r="N168" s="24" t="str">
        <f aca="false">IF($K168&lt;&gt;"",$K168,$M168)</f>
        <v/>
      </c>
      <c r="O168" s="24" t="str">
        <f aca="false">IF($F168="","",IFERROR(INDEX(Counterparties!$C:$C,MATCH($F168&amp;"",Counterparties!$A:$A,0))&amp;"",""))</f>
        <v/>
      </c>
      <c r="P168" s="24" t="str">
        <f aca="false">IF($O168="","",IF($O168="CY","CY",IF(ISNUMBER(MATCH($O168,Lists!$A:$A,0)),"EU","3RD")))</f>
        <v/>
      </c>
      <c r="Q168" s="24" t="str">
        <f aca="false">IF($F168="","N",IFERROR(IF(INDEX(Counterparties!$E:$E,MATCH($F168&amp;"",Counterparties!$A:$A,0))="Y","Y","N"),"N"))</f>
        <v>N</v>
      </c>
      <c r="R168" s="25" t="n">
        <f aca="false">IF(OR($H168="",$H168="EUR"),1,IFERROR(INDEX(FX_Rates!$D:$D,MATCH($H168,FX_Rates!$A:$A,0)),""))</f>
        <v>1</v>
      </c>
      <c r="S168" s="26" t="str">
        <f aca="false">IF(AND($I168="",$J168=""),"",IF($J168&lt;&gt;"",$J168,IF(OR($R168="",$R168=0),"",ROUND($I168/$R168,2))))</f>
        <v/>
      </c>
      <c r="T168" s="24" t="str">
        <f aca="false">IF($N168="","",IFERROR(INDEX(VAT_Codes!$C:$C,MATCH($N168,VAT_Codes!$A:$A,0)),"")&amp;"")</f>
        <v/>
      </c>
      <c r="U168" s="26" t="n">
        <f aca="false">IF(OR($S168="",$T168="",$T168="None"),0,IF($T168="Output",-$S168,$S168))</f>
        <v>0</v>
      </c>
      <c r="V168" s="27" t="n">
        <f aca="false">IF($N168="",0,IFERROR(INDEX(VAT_Codes!$D:$D,MATCH($N168,VAT_Codes!$A:$A,0)),0))</f>
        <v>0</v>
      </c>
      <c r="W168" s="26" t="n">
        <f aca="false">IF($U168=0,0,IF(IFERROR(INDEX(VAT_Codes!$F:$F,MATCH($N168,VAT_Codes!$A:$A,0)),"N")="Y",$U168,IF($L168&lt;&gt;"",ROUND(ABS($L168)/IF(OR($R168="",$R168=0),1,$R168),2)*SIGN($U168),ROUND($U168*$V168,2))))</f>
        <v>0</v>
      </c>
      <c r="X168" s="24" t="str">
        <f aca="false">IF($N168="","",IFERROR(INDEX(VAT_Codes!$H:$H,MATCH($N168,VAT_Codes!$A:$A,0)),"")&amp;"")</f>
        <v/>
      </c>
      <c r="Y168" s="24" t="str">
        <f aca="false">IF($A168="","",(YEAR($A168)-YEAR(Settings!$C$8))*12+MONTH($A168)-MONTH(Settings!$C$8)+1)</f>
        <v/>
      </c>
      <c r="Z168" s="24" t="str">
        <f aca="false">IF(AND($C168="",$I168="",$J168=""),"",IF($N168="","NO VAT CODE",IF($T168="","UNKNOWN VAT CODE",IF($S168="","MISSING FX RATE",IF(OR($A168&lt;Settings!$C$8,$A168&gt;Settings!$C$9),"OUTSIDE PERIOD",IF(AND(IFERROR(INDEX(VAT_Codes!$E:$E,MATCH($N168,VAT_Codes!$A:$A,0)),"ANY")&lt;&gt;"ANY",$P168=""),"MISSING COUNTERPARTY COUNTRY",IF(AND(IFERROR(INDEX(VAT_Codes!$E:$E,MATCH($N168,VAT_Codes!$A:$A,0)),"ANY")&lt;&gt;"ANY",$P168&lt;&gt;IFERROR(INDEX(VAT_Codes!$E:$E,MATCH($N168,VAT_Codes!$A:$A,0)),"ANY")),"REGION MISMATCH","OK")))))))</f>
        <v/>
      </c>
    </row>
    <row r="169" customFormat="false" ht="15" hidden="false" customHeight="false" outlineLevel="0" collapsed="false">
      <c r="M169" s="24" t="str">
        <f aca="false">IF($C169="","",IFERROR(INDEX(Account_Mapping!$C:$C,MATCH($C169&amp;"",Account_Mapping!$A:$A,0))&amp;"",""))</f>
        <v/>
      </c>
      <c r="N169" s="24" t="str">
        <f aca="false">IF($K169&lt;&gt;"",$K169,$M169)</f>
        <v/>
      </c>
      <c r="O169" s="24" t="str">
        <f aca="false">IF($F169="","",IFERROR(INDEX(Counterparties!$C:$C,MATCH($F169&amp;"",Counterparties!$A:$A,0))&amp;"",""))</f>
        <v/>
      </c>
      <c r="P169" s="24" t="str">
        <f aca="false">IF($O169="","",IF($O169="CY","CY",IF(ISNUMBER(MATCH($O169,Lists!$A:$A,0)),"EU","3RD")))</f>
        <v/>
      </c>
      <c r="Q169" s="24" t="str">
        <f aca="false">IF($F169="","N",IFERROR(IF(INDEX(Counterparties!$E:$E,MATCH($F169&amp;"",Counterparties!$A:$A,0))="Y","Y","N"),"N"))</f>
        <v>N</v>
      </c>
      <c r="R169" s="25" t="n">
        <f aca="false">IF(OR($H169="",$H169="EUR"),1,IFERROR(INDEX(FX_Rates!$D:$D,MATCH($H169,FX_Rates!$A:$A,0)),""))</f>
        <v>1</v>
      </c>
      <c r="S169" s="26" t="str">
        <f aca="false">IF(AND($I169="",$J169=""),"",IF($J169&lt;&gt;"",$J169,IF(OR($R169="",$R169=0),"",ROUND($I169/$R169,2))))</f>
        <v/>
      </c>
      <c r="T169" s="24" t="str">
        <f aca="false">IF($N169="","",IFERROR(INDEX(VAT_Codes!$C:$C,MATCH($N169,VAT_Codes!$A:$A,0)),"")&amp;"")</f>
        <v/>
      </c>
      <c r="U169" s="26" t="n">
        <f aca="false">IF(OR($S169="",$T169="",$T169="None"),0,IF($T169="Output",-$S169,$S169))</f>
        <v>0</v>
      </c>
      <c r="V169" s="27" t="n">
        <f aca="false">IF($N169="",0,IFERROR(INDEX(VAT_Codes!$D:$D,MATCH($N169,VAT_Codes!$A:$A,0)),0))</f>
        <v>0</v>
      </c>
      <c r="W169" s="26" t="n">
        <f aca="false">IF($U169=0,0,IF(IFERROR(INDEX(VAT_Codes!$F:$F,MATCH($N169,VAT_Codes!$A:$A,0)),"N")="Y",$U169,IF($L169&lt;&gt;"",ROUND(ABS($L169)/IF(OR($R169="",$R169=0),1,$R169),2)*SIGN($U169),ROUND($U169*$V169,2))))</f>
        <v>0</v>
      </c>
      <c r="X169" s="24" t="str">
        <f aca="false">IF($N169="","",IFERROR(INDEX(VAT_Codes!$H:$H,MATCH($N169,VAT_Codes!$A:$A,0)),"")&amp;"")</f>
        <v/>
      </c>
      <c r="Y169" s="24" t="str">
        <f aca="false">IF($A169="","",(YEAR($A169)-YEAR(Settings!$C$8))*12+MONTH($A169)-MONTH(Settings!$C$8)+1)</f>
        <v/>
      </c>
      <c r="Z169" s="24" t="str">
        <f aca="false">IF(AND($C169="",$I169="",$J169=""),"",IF($N169="","NO VAT CODE",IF($T169="","UNKNOWN VAT CODE",IF($S169="","MISSING FX RATE",IF(OR($A169&lt;Settings!$C$8,$A169&gt;Settings!$C$9),"OUTSIDE PERIOD",IF(AND(IFERROR(INDEX(VAT_Codes!$E:$E,MATCH($N169,VAT_Codes!$A:$A,0)),"ANY")&lt;&gt;"ANY",$P169=""),"MISSING COUNTERPARTY COUNTRY",IF(AND(IFERROR(INDEX(VAT_Codes!$E:$E,MATCH($N169,VAT_Codes!$A:$A,0)),"ANY")&lt;&gt;"ANY",$P169&lt;&gt;IFERROR(INDEX(VAT_Codes!$E:$E,MATCH($N169,VAT_Codes!$A:$A,0)),"ANY")),"REGION MISMATCH","OK")))))))</f>
        <v/>
      </c>
    </row>
    <row r="170" customFormat="false" ht="15" hidden="false" customHeight="false" outlineLevel="0" collapsed="false">
      <c r="M170" s="24" t="str">
        <f aca="false">IF($C170="","",IFERROR(INDEX(Account_Mapping!$C:$C,MATCH($C170&amp;"",Account_Mapping!$A:$A,0))&amp;"",""))</f>
        <v/>
      </c>
      <c r="N170" s="24" t="str">
        <f aca="false">IF($K170&lt;&gt;"",$K170,$M170)</f>
        <v/>
      </c>
      <c r="O170" s="24" t="str">
        <f aca="false">IF($F170="","",IFERROR(INDEX(Counterparties!$C:$C,MATCH($F170&amp;"",Counterparties!$A:$A,0))&amp;"",""))</f>
        <v/>
      </c>
      <c r="P170" s="24" t="str">
        <f aca="false">IF($O170="","",IF($O170="CY","CY",IF(ISNUMBER(MATCH($O170,Lists!$A:$A,0)),"EU","3RD")))</f>
        <v/>
      </c>
      <c r="Q170" s="24" t="str">
        <f aca="false">IF($F170="","N",IFERROR(IF(INDEX(Counterparties!$E:$E,MATCH($F170&amp;"",Counterparties!$A:$A,0))="Y","Y","N"),"N"))</f>
        <v>N</v>
      </c>
      <c r="R170" s="25" t="n">
        <f aca="false">IF(OR($H170="",$H170="EUR"),1,IFERROR(INDEX(FX_Rates!$D:$D,MATCH($H170,FX_Rates!$A:$A,0)),""))</f>
        <v>1</v>
      </c>
      <c r="S170" s="26" t="str">
        <f aca="false">IF(AND($I170="",$J170=""),"",IF($J170&lt;&gt;"",$J170,IF(OR($R170="",$R170=0),"",ROUND($I170/$R170,2))))</f>
        <v/>
      </c>
      <c r="T170" s="24" t="str">
        <f aca="false">IF($N170="","",IFERROR(INDEX(VAT_Codes!$C:$C,MATCH($N170,VAT_Codes!$A:$A,0)),"")&amp;"")</f>
        <v/>
      </c>
      <c r="U170" s="26" t="n">
        <f aca="false">IF(OR($S170="",$T170="",$T170="None"),0,IF($T170="Output",-$S170,$S170))</f>
        <v>0</v>
      </c>
      <c r="V170" s="27" t="n">
        <f aca="false">IF($N170="",0,IFERROR(INDEX(VAT_Codes!$D:$D,MATCH($N170,VAT_Codes!$A:$A,0)),0))</f>
        <v>0</v>
      </c>
      <c r="W170" s="26" t="n">
        <f aca="false">IF($U170=0,0,IF(IFERROR(INDEX(VAT_Codes!$F:$F,MATCH($N170,VAT_Codes!$A:$A,0)),"N")="Y",$U170,IF($L170&lt;&gt;"",ROUND(ABS($L170)/IF(OR($R170="",$R170=0),1,$R170),2)*SIGN($U170),ROUND($U170*$V170,2))))</f>
        <v>0</v>
      </c>
      <c r="X170" s="24" t="str">
        <f aca="false">IF($N170="","",IFERROR(INDEX(VAT_Codes!$H:$H,MATCH($N170,VAT_Codes!$A:$A,0)),"")&amp;"")</f>
        <v/>
      </c>
      <c r="Y170" s="24" t="str">
        <f aca="false">IF($A170="","",(YEAR($A170)-YEAR(Settings!$C$8))*12+MONTH($A170)-MONTH(Settings!$C$8)+1)</f>
        <v/>
      </c>
      <c r="Z170" s="24" t="str">
        <f aca="false">IF(AND($C170="",$I170="",$J170=""),"",IF($N170="","NO VAT CODE",IF($T170="","UNKNOWN VAT CODE",IF($S170="","MISSING FX RATE",IF(OR($A170&lt;Settings!$C$8,$A170&gt;Settings!$C$9),"OUTSIDE PERIOD",IF(AND(IFERROR(INDEX(VAT_Codes!$E:$E,MATCH($N170,VAT_Codes!$A:$A,0)),"ANY")&lt;&gt;"ANY",$P170=""),"MISSING COUNTERPARTY COUNTRY",IF(AND(IFERROR(INDEX(VAT_Codes!$E:$E,MATCH($N170,VAT_Codes!$A:$A,0)),"ANY")&lt;&gt;"ANY",$P170&lt;&gt;IFERROR(INDEX(VAT_Codes!$E:$E,MATCH($N170,VAT_Codes!$A:$A,0)),"ANY")),"REGION MISMATCH","OK")))))))</f>
        <v/>
      </c>
    </row>
    <row r="171" customFormat="false" ht="15" hidden="false" customHeight="false" outlineLevel="0" collapsed="false">
      <c r="M171" s="24" t="str">
        <f aca="false">IF($C171="","",IFERROR(INDEX(Account_Mapping!$C:$C,MATCH($C171&amp;"",Account_Mapping!$A:$A,0))&amp;"",""))</f>
        <v/>
      </c>
      <c r="N171" s="24" t="str">
        <f aca="false">IF($K171&lt;&gt;"",$K171,$M171)</f>
        <v/>
      </c>
      <c r="O171" s="24" t="str">
        <f aca="false">IF($F171="","",IFERROR(INDEX(Counterparties!$C:$C,MATCH($F171&amp;"",Counterparties!$A:$A,0))&amp;"",""))</f>
        <v/>
      </c>
      <c r="P171" s="24" t="str">
        <f aca="false">IF($O171="","",IF($O171="CY","CY",IF(ISNUMBER(MATCH($O171,Lists!$A:$A,0)),"EU","3RD")))</f>
        <v/>
      </c>
      <c r="Q171" s="24" t="str">
        <f aca="false">IF($F171="","N",IFERROR(IF(INDEX(Counterparties!$E:$E,MATCH($F171&amp;"",Counterparties!$A:$A,0))="Y","Y","N"),"N"))</f>
        <v>N</v>
      </c>
      <c r="R171" s="25" t="n">
        <f aca="false">IF(OR($H171="",$H171="EUR"),1,IFERROR(INDEX(FX_Rates!$D:$D,MATCH($H171,FX_Rates!$A:$A,0)),""))</f>
        <v>1</v>
      </c>
      <c r="S171" s="26" t="str">
        <f aca="false">IF(AND($I171="",$J171=""),"",IF($J171&lt;&gt;"",$J171,IF(OR($R171="",$R171=0),"",ROUND($I171/$R171,2))))</f>
        <v/>
      </c>
      <c r="T171" s="24" t="str">
        <f aca="false">IF($N171="","",IFERROR(INDEX(VAT_Codes!$C:$C,MATCH($N171,VAT_Codes!$A:$A,0)),"")&amp;"")</f>
        <v/>
      </c>
      <c r="U171" s="26" t="n">
        <f aca="false">IF(OR($S171="",$T171="",$T171="None"),0,IF($T171="Output",-$S171,$S171))</f>
        <v>0</v>
      </c>
      <c r="V171" s="27" t="n">
        <f aca="false">IF($N171="",0,IFERROR(INDEX(VAT_Codes!$D:$D,MATCH($N171,VAT_Codes!$A:$A,0)),0))</f>
        <v>0</v>
      </c>
      <c r="W171" s="26" t="n">
        <f aca="false">IF($U171=0,0,IF(IFERROR(INDEX(VAT_Codes!$F:$F,MATCH($N171,VAT_Codes!$A:$A,0)),"N")="Y",$U171,IF($L171&lt;&gt;"",ROUND(ABS($L171)/IF(OR($R171="",$R171=0),1,$R171),2)*SIGN($U171),ROUND($U171*$V171,2))))</f>
        <v>0</v>
      </c>
      <c r="X171" s="24" t="str">
        <f aca="false">IF($N171="","",IFERROR(INDEX(VAT_Codes!$H:$H,MATCH($N171,VAT_Codes!$A:$A,0)),"")&amp;"")</f>
        <v/>
      </c>
      <c r="Y171" s="24" t="str">
        <f aca="false">IF($A171="","",(YEAR($A171)-YEAR(Settings!$C$8))*12+MONTH($A171)-MONTH(Settings!$C$8)+1)</f>
        <v/>
      </c>
      <c r="Z171" s="24" t="str">
        <f aca="false">IF(AND($C171="",$I171="",$J171=""),"",IF($N171="","NO VAT CODE",IF($T171="","UNKNOWN VAT CODE",IF($S171="","MISSING FX RATE",IF(OR($A171&lt;Settings!$C$8,$A171&gt;Settings!$C$9),"OUTSIDE PERIOD",IF(AND(IFERROR(INDEX(VAT_Codes!$E:$E,MATCH($N171,VAT_Codes!$A:$A,0)),"ANY")&lt;&gt;"ANY",$P171=""),"MISSING COUNTERPARTY COUNTRY",IF(AND(IFERROR(INDEX(VAT_Codes!$E:$E,MATCH($N171,VAT_Codes!$A:$A,0)),"ANY")&lt;&gt;"ANY",$P171&lt;&gt;IFERROR(INDEX(VAT_Codes!$E:$E,MATCH($N171,VAT_Codes!$A:$A,0)),"ANY")),"REGION MISMATCH","OK")))))))</f>
        <v/>
      </c>
    </row>
    <row r="172" customFormat="false" ht="15" hidden="false" customHeight="false" outlineLevel="0" collapsed="false">
      <c r="M172" s="24" t="str">
        <f aca="false">IF($C172="","",IFERROR(INDEX(Account_Mapping!$C:$C,MATCH($C172&amp;"",Account_Mapping!$A:$A,0))&amp;"",""))</f>
        <v/>
      </c>
      <c r="N172" s="24" t="str">
        <f aca="false">IF($K172&lt;&gt;"",$K172,$M172)</f>
        <v/>
      </c>
      <c r="O172" s="24" t="str">
        <f aca="false">IF($F172="","",IFERROR(INDEX(Counterparties!$C:$C,MATCH($F172&amp;"",Counterparties!$A:$A,0))&amp;"",""))</f>
        <v/>
      </c>
      <c r="P172" s="24" t="str">
        <f aca="false">IF($O172="","",IF($O172="CY","CY",IF(ISNUMBER(MATCH($O172,Lists!$A:$A,0)),"EU","3RD")))</f>
        <v/>
      </c>
      <c r="Q172" s="24" t="str">
        <f aca="false">IF($F172="","N",IFERROR(IF(INDEX(Counterparties!$E:$E,MATCH($F172&amp;"",Counterparties!$A:$A,0))="Y","Y","N"),"N"))</f>
        <v>N</v>
      </c>
      <c r="R172" s="25" t="n">
        <f aca="false">IF(OR($H172="",$H172="EUR"),1,IFERROR(INDEX(FX_Rates!$D:$D,MATCH($H172,FX_Rates!$A:$A,0)),""))</f>
        <v>1</v>
      </c>
      <c r="S172" s="26" t="str">
        <f aca="false">IF(AND($I172="",$J172=""),"",IF($J172&lt;&gt;"",$J172,IF(OR($R172="",$R172=0),"",ROUND($I172/$R172,2))))</f>
        <v/>
      </c>
      <c r="T172" s="24" t="str">
        <f aca="false">IF($N172="","",IFERROR(INDEX(VAT_Codes!$C:$C,MATCH($N172,VAT_Codes!$A:$A,0)),"")&amp;"")</f>
        <v/>
      </c>
      <c r="U172" s="26" t="n">
        <f aca="false">IF(OR($S172="",$T172="",$T172="None"),0,IF($T172="Output",-$S172,$S172))</f>
        <v>0</v>
      </c>
      <c r="V172" s="27" t="n">
        <f aca="false">IF($N172="",0,IFERROR(INDEX(VAT_Codes!$D:$D,MATCH($N172,VAT_Codes!$A:$A,0)),0))</f>
        <v>0</v>
      </c>
      <c r="W172" s="26" t="n">
        <f aca="false">IF($U172=0,0,IF(IFERROR(INDEX(VAT_Codes!$F:$F,MATCH($N172,VAT_Codes!$A:$A,0)),"N")="Y",$U172,IF($L172&lt;&gt;"",ROUND(ABS($L172)/IF(OR($R172="",$R172=0),1,$R172),2)*SIGN($U172),ROUND($U172*$V172,2))))</f>
        <v>0</v>
      </c>
      <c r="X172" s="24" t="str">
        <f aca="false">IF($N172="","",IFERROR(INDEX(VAT_Codes!$H:$H,MATCH($N172,VAT_Codes!$A:$A,0)),"")&amp;"")</f>
        <v/>
      </c>
      <c r="Y172" s="24" t="str">
        <f aca="false">IF($A172="","",(YEAR($A172)-YEAR(Settings!$C$8))*12+MONTH($A172)-MONTH(Settings!$C$8)+1)</f>
        <v/>
      </c>
      <c r="Z172" s="24" t="str">
        <f aca="false">IF(AND($C172="",$I172="",$J172=""),"",IF($N172="","NO VAT CODE",IF($T172="","UNKNOWN VAT CODE",IF($S172="","MISSING FX RATE",IF(OR($A172&lt;Settings!$C$8,$A172&gt;Settings!$C$9),"OUTSIDE PERIOD",IF(AND(IFERROR(INDEX(VAT_Codes!$E:$E,MATCH($N172,VAT_Codes!$A:$A,0)),"ANY")&lt;&gt;"ANY",$P172=""),"MISSING COUNTERPARTY COUNTRY",IF(AND(IFERROR(INDEX(VAT_Codes!$E:$E,MATCH($N172,VAT_Codes!$A:$A,0)),"ANY")&lt;&gt;"ANY",$P172&lt;&gt;IFERROR(INDEX(VAT_Codes!$E:$E,MATCH($N172,VAT_Codes!$A:$A,0)),"ANY")),"REGION MISMATCH","OK")))))))</f>
        <v/>
      </c>
    </row>
    <row r="173" customFormat="false" ht="15" hidden="false" customHeight="false" outlineLevel="0" collapsed="false">
      <c r="M173" s="24" t="str">
        <f aca="false">IF($C173="","",IFERROR(INDEX(Account_Mapping!$C:$C,MATCH($C173&amp;"",Account_Mapping!$A:$A,0))&amp;"",""))</f>
        <v/>
      </c>
      <c r="N173" s="24" t="str">
        <f aca="false">IF($K173&lt;&gt;"",$K173,$M173)</f>
        <v/>
      </c>
      <c r="O173" s="24" t="str">
        <f aca="false">IF($F173="","",IFERROR(INDEX(Counterparties!$C:$C,MATCH($F173&amp;"",Counterparties!$A:$A,0))&amp;"",""))</f>
        <v/>
      </c>
      <c r="P173" s="24" t="str">
        <f aca="false">IF($O173="","",IF($O173="CY","CY",IF(ISNUMBER(MATCH($O173,Lists!$A:$A,0)),"EU","3RD")))</f>
        <v/>
      </c>
      <c r="Q173" s="24" t="str">
        <f aca="false">IF($F173="","N",IFERROR(IF(INDEX(Counterparties!$E:$E,MATCH($F173&amp;"",Counterparties!$A:$A,0))="Y","Y","N"),"N"))</f>
        <v>N</v>
      </c>
      <c r="R173" s="25" t="n">
        <f aca="false">IF(OR($H173="",$H173="EUR"),1,IFERROR(INDEX(FX_Rates!$D:$D,MATCH($H173,FX_Rates!$A:$A,0)),""))</f>
        <v>1</v>
      </c>
      <c r="S173" s="26" t="str">
        <f aca="false">IF(AND($I173="",$J173=""),"",IF($J173&lt;&gt;"",$J173,IF(OR($R173="",$R173=0),"",ROUND($I173/$R173,2))))</f>
        <v/>
      </c>
      <c r="T173" s="24" t="str">
        <f aca="false">IF($N173="","",IFERROR(INDEX(VAT_Codes!$C:$C,MATCH($N173,VAT_Codes!$A:$A,0)),"")&amp;"")</f>
        <v/>
      </c>
      <c r="U173" s="26" t="n">
        <f aca="false">IF(OR($S173="",$T173="",$T173="None"),0,IF($T173="Output",-$S173,$S173))</f>
        <v>0</v>
      </c>
      <c r="V173" s="27" t="n">
        <f aca="false">IF($N173="",0,IFERROR(INDEX(VAT_Codes!$D:$D,MATCH($N173,VAT_Codes!$A:$A,0)),0))</f>
        <v>0</v>
      </c>
      <c r="W173" s="26" t="n">
        <f aca="false">IF($U173=0,0,IF(IFERROR(INDEX(VAT_Codes!$F:$F,MATCH($N173,VAT_Codes!$A:$A,0)),"N")="Y",$U173,IF($L173&lt;&gt;"",ROUND(ABS($L173)/IF(OR($R173="",$R173=0),1,$R173),2)*SIGN($U173),ROUND($U173*$V173,2))))</f>
        <v>0</v>
      </c>
      <c r="X173" s="24" t="str">
        <f aca="false">IF($N173="","",IFERROR(INDEX(VAT_Codes!$H:$H,MATCH($N173,VAT_Codes!$A:$A,0)),"")&amp;"")</f>
        <v/>
      </c>
      <c r="Y173" s="24" t="str">
        <f aca="false">IF($A173="","",(YEAR($A173)-YEAR(Settings!$C$8))*12+MONTH($A173)-MONTH(Settings!$C$8)+1)</f>
        <v/>
      </c>
      <c r="Z173" s="24" t="str">
        <f aca="false">IF(AND($C173="",$I173="",$J173=""),"",IF($N173="","NO VAT CODE",IF($T173="","UNKNOWN VAT CODE",IF($S173="","MISSING FX RATE",IF(OR($A173&lt;Settings!$C$8,$A173&gt;Settings!$C$9),"OUTSIDE PERIOD",IF(AND(IFERROR(INDEX(VAT_Codes!$E:$E,MATCH($N173,VAT_Codes!$A:$A,0)),"ANY")&lt;&gt;"ANY",$P173=""),"MISSING COUNTERPARTY COUNTRY",IF(AND(IFERROR(INDEX(VAT_Codes!$E:$E,MATCH($N173,VAT_Codes!$A:$A,0)),"ANY")&lt;&gt;"ANY",$P173&lt;&gt;IFERROR(INDEX(VAT_Codes!$E:$E,MATCH($N173,VAT_Codes!$A:$A,0)),"ANY")),"REGION MISMATCH","OK")))))))</f>
        <v/>
      </c>
    </row>
    <row r="174" customFormat="false" ht="15" hidden="false" customHeight="false" outlineLevel="0" collapsed="false">
      <c r="M174" s="24" t="str">
        <f aca="false">IF($C174="","",IFERROR(INDEX(Account_Mapping!$C:$C,MATCH($C174&amp;"",Account_Mapping!$A:$A,0))&amp;"",""))</f>
        <v/>
      </c>
      <c r="N174" s="24" t="str">
        <f aca="false">IF($K174&lt;&gt;"",$K174,$M174)</f>
        <v/>
      </c>
      <c r="O174" s="24" t="str">
        <f aca="false">IF($F174="","",IFERROR(INDEX(Counterparties!$C:$C,MATCH($F174&amp;"",Counterparties!$A:$A,0))&amp;"",""))</f>
        <v/>
      </c>
      <c r="P174" s="24" t="str">
        <f aca="false">IF($O174="","",IF($O174="CY","CY",IF(ISNUMBER(MATCH($O174,Lists!$A:$A,0)),"EU","3RD")))</f>
        <v/>
      </c>
      <c r="Q174" s="24" t="str">
        <f aca="false">IF($F174="","N",IFERROR(IF(INDEX(Counterparties!$E:$E,MATCH($F174&amp;"",Counterparties!$A:$A,0))="Y","Y","N"),"N"))</f>
        <v>N</v>
      </c>
      <c r="R174" s="25" t="n">
        <f aca="false">IF(OR($H174="",$H174="EUR"),1,IFERROR(INDEX(FX_Rates!$D:$D,MATCH($H174,FX_Rates!$A:$A,0)),""))</f>
        <v>1</v>
      </c>
      <c r="S174" s="26" t="str">
        <f aca="false">IF(AND($I174="",$J174=""),"",IF($J174&lt;&gt;"",$J174,IF(OR($R174="",$R174=0),"",ROUND($I174/$R174,2))))</f>
        <v/>
      </c>
      <c r="T174" s="24" t="str">
        <f aca="false">IF($N174="","",IFERROR(INDEX(VAT_Codes!$C:$C,MATCH($N174,VAT_Codes!$A:$A,0)),"")&amp;"")</f>
        <v/>
      </c>
      <c r="U174" s="26" t="n">
        <f aca="false">IF(OR($S174="",$T174="",$T174="None"),0,IF($T174="Output",-$S174,$S174))</f>
        <v>0</v>
      </c>
      <c r="V174" s="27" t="n">
        <f aca="false">IF($N174="",0,IFERROR(INDEX(VAT_Codes!$D:$D,MATCH($N174,VAT_Codes!$A:$A,0)),0))</f>
        <v>0</v>
      </c>
      <c r="W174" s="26" t="n">
        <f aca="false">IF($U174=0,0,IF(IFERROR(INDEX(VAT_Codes!$F:$F,MATCH($N174,VAT_Codes!$A:$A,0)),"N")="Y",$U174,IF($L174&lt;&gt;"",ROUND(ABS($L174)/IF(OR($R174="",$R174=0),1,$R174),2)*SIGN($U174),ROUND($U174*$V174,2))))</f>
        <v>0</v>
      </c>
      <c r="X174" s="24" t="str">
        <f aca="false">IF($N174="","",IFERROR(INDEX(VAT_Codes!$H:$H,MATCH($N174,VAT_Codes!$A:$A,0)),"")&amp;"")</f>
        <v/>
      </c>
      <c r="Y174" s="24" t="str">
        <f aca="false">IF($A174="","",(YEAR($A174)-YEAR(Settings!$C$8))*12+MONTH($A174)-MONTH(Settings!$C$8)+1)</f>
        <v/>
      </c>
      <c r="Z174" s="24" t="str">
        <f aca="false">IF(AND($C174="",$I174="",$J174=""),"",IF($N174="","NO VAT CODE",IF($T174="","UNKNOWN VAT CODE",IF($S174="","MISSING FX RATE",IF(OR($A174&lt;Settings!$C$8,$A174&gt;Settings!$C$9),"OUTSIDE PERIOD",IF(AND(IFERROR(INDEX(VAT_Codes!$E:$E,MATCH($N174,VAT_Codes!$A:$A,0)),"ANY")&lt;&gt;"ANY",$P174=""),"MISSING COUNTERPARTY COUNTRY",IF(AND(IFERROR(INDEX(VAT_Codes!$E:$E,MATCH($N174,VAT_Codes!$A:$A,0)),"ANY")&lt;&gt;"ANY",$P174&lt;&gt;IFERROR(INDEX(VAT_Codes!$E:$E,MATCH($N174,VAT_Codes!$A:$A,0)),"ANY")),"REGION MISMATCH","OK")))))))</f>
        <v/>
      </c>
    </row>
    <row r="175" customFormat="false" ht="15" hidden="false" customHeight="false" outlineLevel="0" collapsed="false">
      <c r="M175" s="24" t="str">
        <f aca="false">IF($C175="","",IFERROR(INDEX(Account_Mapping!$C:$C,MATCH($C175&amp;"",Account_Mapping!$A:$A,0))&amp;"",""))</f>
        <v/>
      </c>
      <c r="N175" s="24" t="str">
        <f aca="false">IF($K175&lt;&gt;"",$K175,$M175)</f>
        <v/>
      </c>
      <c r="O175" s="24" t="str">
        <f aca="false">IF($F175="","",IFERROR(INDEX(Counterparties!$C:$C,MATCH($F175&amp;"",Counterparties!$A:$A,0))&amp;"",""))</f>
        <v/>
      </c>
      <c r="P175" s="24" t="str">
        <f aca="false">IF($O175="","",IF($O175="CY","CY",IF(ISNUMBER(MATCH($O175,Lists!$A:$A,0)),"EU","3RD")))</f>
        <v/>
      </c>
      <c r="Q175" s="24" t="str">
        <f aca="false">IF($F175="","N",IFERROR(IF(INDEX(Counterparties!$E:$E,MATCH($F175&amp;"",Counterparties!$A:$A,0))="Y","Y","N"),"N"))</f>
        <v>N</v>
      </c>
      <c r="R175" s="25" t="n">
        <f aca="false">IF(OR($H175="",$H175="EUR"),1,IFERROR(INDEX(FX_Rates!$D:$D,MATCH($H175,FX_Rates!$A:$A,0)),""))</f>
        <v>1</v>
      </c>
      <c r="S175" s="26" t="str">
        <f aca="false">IF(AND($I175="",$J175=""),"",IF($J175&lt;&gt;"",$J175,IF(OR($R175="",$R175=0),"",ROUND($I175/$R175,2))))</f>
        <v/>
      </c>
      <c r="T175" s="24" t="str">
        <f aca="false">IF($N175="","",IFERROR(INDEX(VAT_Codes!$C:$C,MATCH($N175,VAT_Codes!$A:$A,0)),"")&amp;"")</f>
        <v/>
      </c>
      <c r="U175" s="26" t="n">
        <f aca="false">IF(OR($S175="",$T175="",$T175="None"),0,IF($T175="Output",-$S175,$S175))</f>
        <v>0</v>
      </c>
      <c r="V175" s="27" t="n">
        <f aca="false">IF($N175="",0,IFERROR(INDEX(VAT_Codes!$D:$D,MATCH($N175,VAT_Codes!$A:$A,0)),0))</f>
        <v>0</v>
      </c>
      <c r="W175" s="26" t="n">
        <f aca="false">IF($U175=0,0,IF(IFERROR(INDEX(VAT_Codes!$F:$F,MATCH($N175,VAT_Codes!$A:$A,0)),"N")="Y",$U175,IF($L175&lt;&gt;"",ROUND(ABS($L175)/IF(OR($R175="",$R175=0),1,$R175),2)*SIGN($U175),ROUND($U175*$V175,2))))</f>
        <v>0</v>
      </c>
      <c r="X175" s="24" t="str">
        <f aca="false">IF($N175="","",IFERROR(INDEX(VAT_Codes!$H:$H,MATCH($N175,VAT_Codes!$A:$A,0)),"")&amp;"")</f>
        <v/>
      </c>
      <c r="Y175" s="24" t="str">
        <f aca="false">IF($A175="","",(YEAR($A175)-YEAR(Settings!$C$8))*12+MONTH($A175)-MONTH(Settings!$C$8)+1)</f>
        <v/>
      </c>
      <c r="Z175" s="24" t="str">
        <f aca="false">IF(AND($C175="",$I175="",$J175=""),"",IF($N175="","NO VAT CODE",IF($T175="","UNKNOWN VAT CODE",IF($S175="","MISSING FX RATE",IF(OR($A175&lt;Settings!$C$8,$A175&gt;Settings!$C$9),"OUTSIDE PERIOD",IF(AND(IFERROR(INDEX(VAT_Codes!$E:$E,MATCH($N175,VAT_Codes!$A:$A,0)),"ANY")&lt;&gt;"ANY",$P175=""),"MISSING COUNTERPARTY COUNTRY",IF(AND(IFERROR(INDEX(VAT_Codes!$E:$E,MATCH($N175,VAT_Codes!$A:$A,0)),"ANY")&lt;&gt;"ANY",$P175&lt;&gt;IFERROR(INDEX(VAT_Codes!$E:$E,MATCH($N175,VAT_Codes!$A:$A,0)),"ANY")),"REGION MISMATCH","OK")))))))</f>
        <v/>
      </c>
    </row>
    <row r="176" customFormat="false" ht="15" hidden="false" customHeight="false" outlineLevel="0" collapsed="false">
      <c r="M176" s="24" t="str">
        <f aca="false">IF($C176="","",IFERROR(INDEX(Account_Mapping!$C:$C,MATCH($C176&amp;"",Account_Mapping!$A:$A,0))&amp;"",""))</f>
        <v/>
      </c>
      <c r="N176" s="24" t="str">
        <f aca="false">IF($K176&lt;&gt;"",$K176,$M176)</f>
        <v/>
      </c>
      <c r="O176" s="24" t="str">
        <f aca="false">IF($F176="","",IFERROR(INDEX(Counterparties!$C:$C,MATCH($F176&amp;"",Counterparties!$A:$A,0))&amp;"",""))</f>
        <v/>
      </c>
      <c r="P176" s="24" t="str">
        <f aca="false">IF($O176="","",IF($O176="CY","CY",IF(ISNUMBER(MATCH($O176,Lists!$A:$A,0)),"EU","3RD")))</f>
        <v/>
      </c>
      <c r="Q176" s="24" t="str">
        <f aca="false">IF($F176="","N",IFERROR(IF(INDEX(Counterparties!$E:$E,MATCH($F176&amp;"",Counterparties!$A:$A,0))="Y","Y","N"),"N"))</f>
        <v>N</v>
      </c>
      <c r="R176" s="25" t="n">
        <f aca="false">IF(OR($H176="",$H176="EUR"),1,IFERROR(INDEX(FX_Rates!$D:$D,MATCH($H176,FX_Rates!$A:$A,0)),""))</f>
        <v>1</v>
      </c>
      <c r="S176" s="26" t="str">
        <f aca="false">IF(AND($I176="",$J176=""),"",IF($J176&lt;&gt;"",$J176,IF(OR($R176="",$R176=0),"",ROUND($I176/$R176,2))))</f>
        <v/>
      </c>
      <c r="T176" s="24" t="str">
        <f aca="false">IF($N176="","",IFERROR(INDEX(VAT_Codes!$C:$C,MATCH($N176,VAT_Codes!$A:$A,0)),"")&amp;"")</f>
        <v/>
      </c>
      <c r="U176" s="26" t="n">
        <f aca="false">IF(OR($S176="",$T176="",$T176="None"),0,IF($T176="Output",-$S176,$S176))</f>
        <v>0</v>
      </c>
      <c r="V176" s="27" t="n">
        <f aca="false">IF($N176="",0,IFERROR(INDEX(VAT_Codes!$D:$D,MATCH($N176,VAT_Codes!$A:$A,0)),0))</f>
        <v>0</v>
      </c>
      <c r="W176" s="26" t="n">
        <f aca="false">IF($U176=0,0,IF(IFERROR(INDEX(VAT_Codes!$F:$F,MATCH($N176,VAT_Codes!$A:$A,0)),"N")="Y",$U176,IF($L176&lt;&gt;"",ROUND(ABS($L176)/IF(OR($R176="",$R176=0),1,$R176),2)*SIGN($U176),ROUND($U176*$V176,2))))</f>
        <v>0</v>
      </c>
      <c r="X176" s="24" t="str">
        <f aca="false">IF($N176="","",IFERROR(INDEX(VAT_Codes!$H:$H,MATCH($N176,VAT_Codes!$A:$A,0)),"")&amp;"")</f>
        <v/>
      </c>
      <c r="Y176" s="24" t="str">
        <f aca="false">IF($A176="","",(YEAR($A176)-YEAR(Settings!$C$8))*12+MONTH($A176)-MONTH(Settings!$C$8)+1)</f>
        <v/>
      </c>
      <c r="Z176" s="24" t="str">
        <f aca="false">IF(AND($C176="",$I176="",$J176=""),"",IF($N176="","NO VAT CODE",IF($T176="","UNKNOWN VAT CODE",IF($S176="","MISSING FX RATE",IF(OR($A176&lt;Settings!$C$8,$A176&gt;Settings!$C$9),"OUTSIDE PERIOD",IF(AND(IFERROR(INDEX(VAT_Codes!$E:$E,MATCH($N176,VAT_Codes!$A:$A,0)),"ANY")&lt;&gt;"ANY",$P176=""),"MISSING COUNTERPARTY COUNTRY",IF(AND(IFERROR(INDEX(VAT_Codes!$E:$E,MATCH($N176,VAT_Codes!$A:$A,0)),"ANY")&lt;&gt;"ANY",$P176&lt;&gt;IFERROR(INDEX(VAT_Codes!$E:$E,MATCH($N176,VAT_Codes!$A:$A,0)),"ANY")),"REGION MISMATCH","OK")))))))</f>
        <v/>
      </c>
    </row>
    <row r="177" customFormat="false" ht="15" hidden="false" customHeight="false" outlineLevel="0" collapsed="false">
      <c r="M177" s="24" t="str">
        <f aca="false">IF($C177="","",IFERROR(INDEX(Account_Mapping!$C:$C,MATCH($C177&amp;"",Account_Mapping!$A:$A,0))&amp;"",""))</f>
        <v/>
      </c>
      <c r="N177" s="24" t="str">
        <f aca="false">IF($K177&lt;&gt;"",$K177,$M177)</f>
        <v/>
      </c>
      <c r="O177" s="24" t="str">
        <f aca="false">IF($F177="","",IFERROR(INDEX(Counterparties!$C:$C,MATCH($F177&amp;"",Counterparties!$A:$A,0))&amp;"",""))</f>
        <v/>
      </c>
      <c r="P177" s="24" t="str">
        <f aca="false">IF($O177="","",IF($O177="CY","CY",IF(ISNUMBER(MATCH($O177,Lists!$A:$A,0)),"EU","3RD")))</f>
        <v/>
      </c>
      <c r="Q177" s="24" t="str">
        <f aca="false">IF($F177="","N",IFERROR(IF(INDEX(Counterparties!$E:$E,MATCH($F177&amp;"",Counterparties!$A:$A,0))="Y","Y","N"),"N"))</f>
        <v>N</v>
      </c>
      <c r="R177" s="25" t="n">
        <f aca="false">IF(OR($H177="",$H177="EUR"),1,IFERROR(INDEX(FX_Rates!$D:$D,MATCH($H177,FX_Rates!$A:$A,0)),""))</f>
        <v>1</v>
      </c>
      <c r="S177" s="26" t="str">
        <f aca="false">IF(AND($I177="",$J177=""),"",IF($J177&lt;&gt;"",$J177,IF(OR($R177="",$R177=0),"",ROUND($I177/$R177,2))))</f>
        <v/>
      </c>
      <c r="T177" s="24" t="str">
        <f aca="false">IF($N177="","",IFERROR(INDEX(VAT_Codes!$C:$C,MATCH($N177,VAT_Codes!$A:$A,0)),"")&amp;"")</f>
        <v/>
      </c>
      <c r="U177" s="26" t="n">
        <f aca="false">IF(OR($S177="",$T177="",$T177="None"),0,IF($T177="Output",-$S177,$S177))</f>
        <v>0</v>
      </c>
      <c r="V177" s="27" t="n">
        <f aca="false">IF($N177="",0,IFERROR(INDEX(VAT_Codes!$D:$D,MATCH($N177,VAT_Codes!$A:$A,0)),0))</f>
        <v>0</v>
      </c>
      <c r="W177" s="26" t="n">
        <f aca="false">IF($U177=0,0,IF(IFERROR(INDEX(VAT_Codes!$F:$F,MATCH($N177,VAT_Codes!$A:$A,0)),"N")="Y",$U177,IF($L177&lt;&gt;"",ROUND(ABS($L177)/IF(OR($R177="",$R177=0),1,$R177),2)*SIGN($U177),ROUND($U177*$V177,2))))</f>
        <v>0</v>
      </c>
      <c r="X177" s="24" t="str">
        <f aca="false">IF($N177="","",IFERROR(INDEX(VAT_Codes!$H:$H,MATCH($N177,VAT_Codes!$A:$A,0)),"")&amp;"")</f>
        <v/>
      </c>
      <c r="Y177" s="24" t="str">
        <f aca="false">IF($A177="","",(YEAR($A177)-YEAR(Settings!$C$8))*12+MONTH($A177)-MONTH(Settings!$C$8)+1)</f>
        <v/>
      </c>
      <c r="Z177" s="24" t="str">
        <f aca="false">IF(AND($C177="",$I177="",$J177=""),"",IF($N177="","NO VAT CODE",IF($T177="","UNKNOWN VAT CODE",IF($S177="","MISSING FX RATE",IF(OR($A177&lt;Settings!$C$8,$A177&gt;Settings!$C$9),"OUTSIDE PERIOD",IF(AND(IFERROR(INDEX(VAT_Codes!$E:$E,MATCH($N177,VAT_Codes!$A:$A,0)),"ANY")&lt;&gt;"ANY",$P177=""),"MISSING COUNTERPARTY COUNTRY",IF(AND(IFERROR(INDEX(VAT_Codes!$E:$E,MATCH($N177,VAT_Codes!$A:$A,0)),"ANY")&lt;&gt;"ANY",$P177&lt;&gt;IFERROR(INDEX(VAT_Codes!$E:$E,MATCH($N177,VAT_Codes!$A:$A,0)),"ANY")),"REGION MISMATCH","OK")))))))</f>
        <v/>
      </c>
    </row>
    <row r="178" customFormat="false" ht="15" hidden="false" customHeight="false" outlineLevel="0" collapsed="false">
      <c r="M178" s="24" t="str">
        <f aca="false">IF($C178="","",IFERROR(INDEX(Account_Mapping!$C:$C,MATCH($C178&amp;"",Account_Mapping!$A:$A,0))&amp;"",""))</f>
        <v/>
      </c>
      <c r="N178" s="24" t="str">
        <f aca="false">IF($K178&lt;&gt;"",$K178,$M178)</f>
        <v/>
      </c>
      <c r="O178" s="24" t="str">
        <f aca="false">IF($F178="","",IFERROR(INDEX(Counterparties!$C:$C,MATCH($F178&amp;"",Counterparties!$A:$A,0))&amp;"",""))</f>
        <v/>
      </c>
      <c r="P178" s="24" t="str">
        <f aca="false">IF($O178="","",IF($O178="CY","CY",IF(ISNUMBER(MATCH($O178,Lists!$A:$A,0)),"EU","3RD")))</f>
        <v/>
      </c>
      <c r="Q178" s="24" t="str">
        <f aca="false">IF($F178="","N",IFERROR(IF(INDEX(Counterparties!$E:$E,MATCH($F178&amp;"",Counterparties!$A:$A,0))="Y","Y","N"),"N"))</f>
        <v>N</v>
      </c>
      <c r="R178" s="25" t="n">
        <f aca="false">IF(OR($H178="",$H178="EUR"),1,IFERROR(INDEX(FX_Rates!$D:$D,MATCH($H178,FX_Rates!$A:$A,0)),""))</f>
        <v>1</v>
      </c>
      <c r="S178" s="26" t="str">
        <f aca="false">IF(AND($I178="",$J178=""),"",IF($J178&lt;&gt;"",$J178,IF(OR($R178="",$R178=0),"",ROUND($I178/$R178,2))))</f>
        <v/>
      </c>
      <c r="T178" s="24" t="str">
        <f aca="false">IF($N178="","",IFERROR(INDEX(VAT_Codes!$C:$C,MATCH($N178,VAT_Codes!$A:$A,0)),"")&amp;"")</f>
        <v/>
      </c>
      <c r="U178" s="26" t="n">
        <f aca="false">IF(OR($S178="",$T178="",$T178="None"),0,IF($T178="Output",-$S178,$S178))</f>
        <v>0</v>
      </c>
      <c r="V178" s="27" t="n">
        <f aca="false">IF($N178="",0,IFERROR(INDEX(VAT_Codes!$D:$D,MATCH($N178,VAT_Codes!$A:$A,0)),0))</f>
        <v>0</v>
      </c>
      <c r="W178" s="26" t="n">
        <f aca="false">IF($U178=0,0,IF(IFERROR(INDEX(VAT_Codes!$F:$F,MATCH($N178,VAT_Codes!$A:$A,0)),"N")="Y",$U178,IF($L178&lt;&gt;"",ROUND(ABS($L178)/IF(OR($R178="",$R178=0),1,$R178),2)*SIGN($U178),ROUND($U178*$V178,2))))</f>
        <v>0</v>
      </c>
      <c r="X178" s="24" t="str">
        <f aca="false">IF($N178="","",IFERROR(INDEX(VAT_Codes!$H:$H,MATCH($N178,VAT_Codes!$A:$A,0)),"")&amp;"")</f>
        <v/>
      </c>
      <c r="Y178" s="24" t="str">
        <f aca="false">IF($A178="","",(YEAR($A178)-YEAR(Settings!$C$8))*12+MONTH($A178)-MONTH(Settings!$C$8)+1)</f>
        <v/>
      </c>
      <c r="Z178" s="24" t="str">
        <f aca="false">IF(AND($C178="",$I178="",$J178=""),"",IF($N178="","NO VAT CODE",IF($T178="","UNKNOWN VAT CODE",IF($S178="","MISSING FX RATE",IF(OR($A178&lt;Settings!$C$8,$A178&gt;Settings!$C$9),"OUTSIDE PERIOD",IF(AND(IFERROR(INDEX(VAT_Codes!$E:$E,MATCH($N178,VAT_Codes!$A:$A,0)),"ANY")&lt;&gt;"ANY",$P178=""),"MISSING COUNTERPARTY COUNTRY",IF(AND(IFERROR(INDEX(VAT_Codes!$E:$E,MATCH($N178,VAT_Codes!$A:$A,0)),"ANY")&lt;&gt;"ANY",$P178&lt;&gt;IFERROR(INDEX(VAT_Codes!$E:$E,MATCH($N178,VAT_Codes!$A:$A,0)),"ANY")),"REGION MISMATCH","OK")))))))</f>
        <v/>
      </c>
    </row>
    <row r="179" customFormat="false" ht="15" hidden="false" customHeight="false" outlineLevel="0" collapsed="false">
      <c r="M179" s="24" t="str">
        <f aca="false">IF($C179="","",IFERROR(INDEX(Account_Mapping!$C:$C,MATCH($C179&amp;"",Account_Mapping!$A:$A,0))&amp;"",""))</f>
        <v/>
      </c>
      <c r="N179" s="24" t="str">
        <f aca="false">IF($K179&lt;&gt;"",$K179,$M179)</f>
        <v/>
      </c>
      <c r="O179" s="24" t="str">
        <f aca="false">IF($F179="","",IFERROR(INDEX(Counterparties!$C:$C,MATCH($F179&amp;"",Counterparties!$A:$A,0))&amp;"",""))</f>
        <v/>
      </c>
      <c r="P179" s="24" t="str">
        <f aca="false">IF($O179="","",IF($O179="CY","CY",IF(ISNUMBER(MATCH($O179,Lists!$A:$A,0)),"EU","3RD")))</f>
        <v/>
      </c>
      <c r="Q179" s="24" t="str">
        <f aca="false">IF($F179="","N",IFERROR(IF(INDEX(Counterparties!$E:$E,MATCH($F179&amp;"",Counterparties!$A:$A,0))="Y","Y","N"),"N"))</f>
        <v>N</v>
      </c>
      <c r="R179" s="25" t="n">
        <f aca="false">IF(OR($H179="",$H179="EUR"),1,IFERROR(INDEX(FX_Rates!$D:$D,MATCH($H179,FX_Rates!$A:$A,0)),""))</f>
        <v>1</v>
      </c>
      <c r="S179" s="26" t="str">
        <f aca="false">IF(AND($I179="",$J179=""),"",IF($J179&lt;&gt;"",$J179,IF(OR($R179="",$R179=0),"",ROUND($I179/$R179,2))))</f>
        <v/>
      </c>
      <c r="T179" s="24" t="str">
        <f aca="false">IF($N179="","",IFERROR(INDEX(VAT_Codes!$C:$C,MATCH($N179,VAT_Codes!$A:$A,0)),"")&amp;"")</f>
        <v/>
      </c>
      <c r="U179" s="26" t="n">
        <f aca="false">IF(OR($S179="",$T179="",$T179="None"),0,IF($T179="Output",-$S179,$S179))</f>
        <v>0</v>
      </c>
      <c r="V179" s="27" t="n">
        <f aca="false">IF($N179="",0,IFERROR(INDEX(VAT_Codes!$D:$D,MATCH($N179,VAT_Codes!$A:$A,0)),0))</f>
        <v>0</v>
      </c>
      <c r="W179" s="26" t="n">
        <f aca="false">IF($U179=0,0,IF(IFERROR(INDEX(VAT_Codes!$F:$F,MATCH($N179,VAT_Codes!$A:$A,0)),"N")="Y",$U179,IF($L179&lt;&gt;"",ROUND(ABS($L179)/IF(OR($R179="",$R179=0),1,$R179),2)*SIGN($U179),ROUND($U179*$V179,2))))</f>
        <v>0</v>
      </c>
      <c r="X179" s="24" t="str">
        <f aca="false">IF($N179="","",IFERROR(INDEX(VAT_Codes!$H:$H,MATCH($N179,VAT_Codes!$A:$A,0)),"")&amp;"")</f>
        <v/>
      </c>
      <c r="Y179" s="24" t="str">
        <f aca="false">IF($A179="","",(YEAR($A179)-YEAR(Settings!$C$8))*12+MONTH($A179)-MONTH(Settings!$C$8)+1)</f>
        <v/>
      </c>
      <c r="Z179" s="24" t="str">
        <f aca="false">IF(AND($C179="",$I179="",$J179=""),"",IF($N179="","NO VAT CODE",IF($T179="","UNKNOWN VAT CODE",IF($S179="","MISSING FX RATE",IF(OR($A179&lt;Settings!$C$8,$A179&gt;Settings!$C$9),"OUTSIDE PERIOD",IF(AND(IFERROR(INDEX(VAT_Codes!$E:$E,MATCH($N179,VAT_Codes!$A:$A,0)),"ANY")&lt;&gt;"ANY",$P179=""),"MISSING COUNTERPARTY COUNTRY",IF(AND(IFERROR(INDEX(VAT_Codes!$E:$E,MATCH($N179,VAT_Codes!$A:$A,0)),"ANY")&lt;&gt;"ANY",$P179&lt;&gt;IFERROR(INDEX(VAT_Codes!$E:$E,MATCH($N179,VAT_Codes!$A:$A,0)),"ANY")),"REGION MISMATCH","OK")))))))</f>
        <v/>
      </c>
    </row>
    <row r="180" customFormat="false" ht="15" hidden="false" customHeight="false" outlineLevel="0" collapsed="false">
      <c r="M180" s="24" t="str">
        <f aca="false">IF($C180="","",IFERROR(INDEX(Account_Mapping!$C:$C,MATCH($C180&amp;"",Account_Mapping!$A:$A,0))&amp;"",""))</f>
        <v/>
      </c>
      <c r="N180" s="24" t="str">
        <f aca="false">IF($K180&lt;&gt;"",$K180,$M180)</f>
        <v/>
      </c>
      <c r="O180" s="24" t="str">
        <f aca="false">IF($F180="","",IFERROR(INDEX(Counterparties!$C:$C,MATCH($F180&amp;"",Counterparties!$A:$A,0))&amp;"",""))</f>
        <v/>
      </c>
      <c r="P180" s="24" t="str">
        <f aca="false">IF($O180="","",IF($O180="CY","CY",IF(ISNUMBER(MATCH($O180,Lists!$A:$A,0)),"EU","3RD")))</f>
        <v/>
      </c>
      <c r="Q180" s="24" t="str">
        <f aca="false">IF($F180="","N",IFERROR(IF(INDEX(Counterparties!$E:$E,MATCH($F180&amp;"",Counterparties!$A:$A,0))="Y","Y","N"),"N"))</f>
        <v>N</v>
      </c>
      <c r="R180" s="25" t="n">
        <f aca="false">IF(OR($H180="",$H180="EUR"),1,IFERROR(INDEX(FX_Rates!$D:$D,MATCH($H180,FX_Rates!$A:$A,0)),""))</f>
        <v>1</v>
      </c>
      <c r="S180" s="26" t="str">
        <f aca="false">IF(AND($I180="",$J180=""),"",IF($J180&lt;&gt;"",$J180,IF(OR($R180="",$R180=0),"",ROUND($I180/$R180,2))))</f>
        <v/>
      </c>
      <c r="T180" s="24" t="str">
        <f aca="false">IF($N180="","",IFERROR(INDEX(VAT_Codes!$C:$C,MATCH($N180,VAT_Codes!$A:$A,0)),"")&amp;"")</f>
        <v/>
      </c>
      <c r="U180" s="26" t="n">
        <f aca="false">IF(OR($S180="",$T180="",$T180="None"),0,IF($T180="Output",-$S180,$S180))</f>
        <v>0</v>
      </c>
      <c r="V180" s="27" t="n">
        <f aca="false">IF($N180="",0,IFERROR(INDEX(VAT_Codes!$D:$D,MATCH($N180,VAT_Codes!$A:$A,0)),0))</f>
        <v>0</v>
      </c>
      <c r="W180" s="26" t="n">
        <f aca="false">IF($U180=0,0,IF(IFERROR(INDEX(VAT_Codes!$F:$F,MATCH($N180,VAT_Codes!$A:$A,0)),"N")="Y",$U180,IF($L180&lt;&gt;"",ROUND(ABS($L180)/IF(OR($R180="",$R180=0),1,$R180),2)*SIGN($U180),ROUND($U180*$V180,2))))</f>
        <v>0</v>
      </c>
      <c r="X180" s="24" t="str">
        <f aca="false">IF($N180="","",IFERROR(INDEX(VAT_Codes!$H:$H,MATCH($N180,VAT_Codes!$A:$A,0)),"")&amp;"")</f>
        <v/>
      </c>
      <c r="Y180" s="24" t="str">
        <f aca="false">IF($A180="","",(YEAR($A180)-YEAR(Settings!$C$8))*12+MONTH($A180)-MONTH(Settings!$C$8)+1)</f>
        <v/>
      </c>
      <c r="Z180" s="24" t="str">
        <f aca="false">IF(AND($C180="",$I180="",$J180=""),"",IF($N180="","NO VAT CODE",IF($T180="","UNKNOWN VAT CODE",IF($S180="","MISSING FX RATE",IF(OR($A180&lt;Settings!$C$8,$A180&gt;Settings!$C$9),"OUTSIDE PERIOD",IF(AND(IFERROR(INDEX(VAT_Codes!$E:$E,MATCH($N180,VAT_Codes!$A:$A,0)),"ANY")&lt;&gt;"ANY",$P180=""),"MISSING COUNTERPARTY COUNTRY",IF(AND(IFERROR(INDEX(VAT_Codes!$E:$E,MATCH($N180,VAT_Codes!$A:$A,0)),"ANY")&lt;&gt;"ANY",$P180&lt;&gt;IFERROR(INDEX(VAT_Codes!$E:$E,MATCH($N180,VAT_Codes!$A:$A,0)),"ANY")),"REGION MISMATCH","OK")))))))</f>
        <v/>
      </c>
    </row>
    <row r="181" customFormat="false" ht="15" hidden="false" customHeight="false" outlineLevel="0" collapsed="false">
      <c r="M181" s="24" t="str">
        <f aca="false">IF($C181="","",IFERROR(INDEX(Account_Mapping!$C:$C,MATCH($C181&amp;"",Account_Mapping!$A:$A,0))&amp;"",""))</f>
        <v/>
      </c>
      <c r="N181" s="24" t="str">
        <f aca="false">IF($K181&lt;&gt;"",$K181,$M181)</f>
        <v/>
      </c>
      <c r="O181" s="24" t="str">
        <f aca="false">IF($F181="","",IFERROR(INDEX(Counterparties!$C:$C,MATCH($F181&amp;"",Counterparties!$A:$A,0))&amp;"",""))</f>
        <v/>
      </c>
      <c r="P181" s="24" t="str">
        <f aca="false">IF($O181="","",IF($O181="CY","CY",IF(ISNUMBER(MATCH($O181,Lists!$A:$A,0)),"EU","3RD")))</f>
        <v/>
      </c>
      <c r="Q181" s="24" t="str">
        <f aca="false">IF($F181="","N",IFERROR(IF(INDEX(Counterparties!$E:$E,MATCH($F181&amp;"",Counterparties!$A:$A,0))="Y","Y","N"),"N"))</f>
        <v>N</v>
      </c>
      <c r="R181" s="25" t="n">
        <f aca="false">IF(OR($H181="",$H181="EUR"),1,IFERROR(INDEX(FX_Rates!$D:$D,MATCH($H181,FX_Rates!$A:$A,0)),""))</f>
        <v>1</v>
      </c>
      <c r="S181" s="26" t="str">
        <f aca="false">IF(AND($I181="",$J181=""),"",IF($J181&lt;&gt;"",$J181,IF(OR($R181="",$R181=0),"",ROUND($I181/$R181,2))))</f>
        <v/>
      </c>
      <c r="T181" s="24" t="str">
        <f aca="false">IF($N181="","",IFERROR(INDEX(VAT_Codes!$C:$C,MATCH($N181,VAT_Codes!$A:$A,0)),"")&amp;"")</f>
        <v/>
      </c>
      <c r="U181" s="26" t="n">
        <f aca="false">IF(OR($S181="",$T181="",$T181="None"),0,IF($T181="Output",-$S181,$S181))</f>
        <v>0</v>
      </c>
      <c r="V181" s="27" t="n">
        <f aca="false">IF($N181="",0,IFERROR(INDEX(VAT_Codes!$D:$D,MATCH($N181,VAT_Codes!$A:$A,0)),0))</f>
        <v>0</v>
      </c>
      <c r="W181" s="26" t="n">
        <f aca="false">IF($U181=0,0,IF(IFERROR(INDEX(VAT_Codes!$F:$F,MATCH($N181,VAT_Codes!$A:$A,0)),"N")="Y",$U181,IF($L181&lt;&gt;"",ROUND(ABS($L181)/IF(OR($R181="",$R181=0),1,$R181),2)*SIGN($U181),ROUND($U181*$V181,2))))</f>
        <v>0</v>
      </c>
      <c r="X181" s="24" t="str">
        <f aca="false">IF($N181="","",IFERROR(INDEX(VAT_Codes!$H:$H,MATCH($N181,VAT_Codes!$A:$A,0)),"")&amp;"")</f>
        <v/>
      </c>
      <c r="Y181" s="24" t="str">
        <f aca="false">IF($A181="","",(YEAR($A181)-YEAR(Settings!$C$8))*12+MONTH($A181)-MONTH(Settings!$C$8)+1)</f>
        <v/>
      </c>
      <c r="Z181" s="24" t="str">
        <f aca="false">IF(AND($C181="",$I181="",$J181=""),"",IF($N181="","NO VAT CODE",IF($T181="","UNKNOWN VAT CODE",IF($S181="","MISSING FX RATE",IF(OR($A181&lt;Settings!$C$8,$A181&gt;Settings!$C$9),"OUTSIDE PERIOD",IF(AND(IFERROR(INDEX(VAT_Codes!$E:$E,MATCH($N181,VAT_Codes!$A:$A,0)),"ANY")&lt;&gt;"ANY",$P181=""),"MISSING COUNTERPARTY COUNTRY",IF(AND(IFERROR(INDEX(VAT_Codes!$E:$E,MATCH($N181,VAT_Codes!$A:$A,0)),"ANY")&lt;&gt;"ANY",$P181&lt;&gt;IFERROR(INDEX(VAT_Codes!$E:$E,MATCH($N181,VAT_Codes!$A:$A,0)),"ANY")),"REGION MISMATCH","OK")))))))</f>
        <v/>
      </c>
    </row>
    <row r="182" customFormat="false" ht="15" hidden="false" customHeight="false" outlineLevel="0" collapsed="false">
      <c r="M182" s="24" t="str">
        <f aca="false">IF($C182="","",IFERROR(INDEX(Account_Mapping!$C:$C,MATCH($C182&amp;"",Account_Mapping!$A:$A,0))&amp;"",""))</f>
        <v/>
      </c>
      <c r="N182" s="24" t="str">
        <f aca="false">IF($K182&lt;&gt;"",$K182,$M182)</f>
        <v/>
      </c>
      <c r="O182" s="24" t="str">
        <f aca="false">IF($F182="","",IFERROR(INDEX(Counterparties!$C:$C,MATCH($F182&amp;"",Counterparties!$A:$A,0))&amp;"",""))</f>
        <v/>
      </c>
      <c r="P182" s="24" t="str">
        <f aca="false">IF($O182="","",IF($O182="CY","CY",IF(ISNUMBER(MATCH($O182,Lists!$A:$A,0)),"EU","3RD")))</f>
        <v/>
      </c>
      <c r="Q182" s="24" t="str">
        <f aca="false">IF($F182="","N",IFERROR(IF(INDEX(Counterparties!$E:$E,MATCH($F182&amp;"",Counterparties!$A:$A,0))="Y","Y","N"),"N"))</f>
        <v>N</v>
      </c>
      <c r="R182" s="25" t="n">
        <f aca="false">IF(OR($H182="",$H182="EUR"),1,IFERROR(INDEX(FX_Rates!$D:$D,MATCH($H182,FX_Rates!$A:$A,0)),""))</f>
        <v>1</v>
      </c>
      <c r="S182" s="26" t="str">
        <f aca="false">IF(AND($I182="",$J182=""),"",IF($J182&lt;&gt;"",$J182,IF(OR($R182="",$R182=0),"",ROUND($I182/$R182,2))))</f>
        <v/>
      </c>
      <c r="T182" s="24" t="str">
        <f aca="false">IF($N182="","",IFERROR(INDEX(VAT_Codes!$C:$C,MATCH($N182,VAT_Codes!$A:$A,0)),"")&amp;"")</f>
        <v/>
      </c>
      <c r="U182" s="26" t="n">
        <f aca="false">IF(OR($S182="",$T182="",$T182="None"),0,IF($T182="Output",-$S182,$S182))</f>
        <v>0</v>
      </c>
      <c r="V182" s="27" t="n">
        <f aca="false">IF($N182="",0,IFERROR(INDEX(VAT_Codes!$D:$D,MATCH($N182,VAT_Codes!$A:$A,0)),0))</f>
        <v>0</v>
      </c>
      <c r="W182" s="26" t="n">
        <f aca="false">IF($U182=0,0,IF(IFERROR(INDEX(VAT_Codes!$F:$F,MATCH($N182,VAT_Codes!$A:$A,0)),"N")="Y",$U182,IF($L182&lt;&gt;"",ROUND(ABS($L182)/IF(OR($R182="",$R182=0),1,$R182),2)*SIGN($U182),ROUND($U182*$V182,2))))</f>
        <v>0</v>
      </c>
      <c r="X182" s="24" t="str">
        <f aca="false">IF($N182="","",IFERROR(INDEX(VAT_Codes!$H:$H,MATCH($N182,VAT_Codes!$A:$A,0)),"")&amp;"")</f>
        <v/>
      </c>
      <c r="Y182" s="24" t="str">
        <f aca="false">IF($A182="","",(YEAR($A182)-YEAR(Settings!$C$8))*12+MONTH($A182)-MONTH(Settings!$C$8)+1)</f>
        <v/>
      </c>
      <c r="Z182" s="24" t="str">
        <f aca="false">IF(AND($C182="",$I182="",$J182=""),"",IF($N182="","NO VAT CODE",IF($T182="","UNKNOWN VAT CODE",IF($S182="","MISSING FX RATE",IF(OR($A182&lt;Settings!$C$8,$A182&gt;Settings!$C$9),"OUTSIDE PERIOD",IF(AND(IFERROR(INDEX(VAT_Codes!$E:$E,MATCH($N182,VAT_Codes!$A:$A,0)),"ANY")&lt;&gt;"ANY",$P182=""),"MISSING COUNTERPARTY COUNTRY",IF(AND(IFERROR(INDEX(VAT_Codes!$E:$E,MATCH($N182,VAT_Codes!$A:$A,0)),"ANY")&lt;&gt;"ANY",$P182&lt;&gt;IFERROR(INDEX(VAT_Codes!$E:$E,MATCH($N182,VAT_Codes!$A:$A,0)),"ANY")),"REGION MISMATCH","OK")))))))</f>
        <v/>
      </c>
    </row>
    <row r="183" customFormat="false" ht="15" hidden="false" customHeight="false" outlineLevel="0" collapsed="false">
      <c r="M183" s="24" t="str">
        <f aca="false">IF($C183="","",IFERROR(INDEX(Account_Mapping!$C:$C,MATCH($C183&amp;"",Account_Mapping!$A:$A,0))&amp;"",""))</f>
        <v/>
      </c>
      <c r="N183" s="24" t="str">
        <f aca="false">IF($K183&lt;&gt;"",$K183,$M183)</f>
        <v/>
      </c>
      <c r="O183" s="24" t="str">
        <f aca="false">IF($F183="","",IFERROR(INDEX(Counterparties!$C:$C,MATCH($F183&amp;"",Counterparties!$A:$A,0))&amp;"",""))</f>
        <v/>
      </c>
      <c r="P183" s="24" t="str">
        <f aca="false">IF($O183="","",IF($O183="CY","CY",IF(ISNUMBER(MATCH($O183,Lists!$A:$A,0)),"EU","3RD")))</f>
        <v/>
      </c>
      <c r="Q183" s="24" t="str">
        <f aca="false">IF($F183="","N",IFERROR(IF(INDEX(Counterparties!$E:$E,MATCH($F183&amp;"",Counterparties!$A:$A,0))="Y","Y","N"),"N"))</f>
        <v>N</v>
      </c>
      <c r="R183" s="25" t="n">
        <f aca="false">IF(OR($H183="",$H183="EUR"),1,IFERROR(INDEX(FX_Rates!$D:$D,MATCH($H183,FX_Rates!$A:$A,0)),""))</f>
        <v>1</v>
      </c>
      <c r="S183" s="26" t="str">
        <f aca="false">IF(AND($I183="",$J183=""),"",IF($J183&lt;&gt;"",$J183,IF(OR($R183="",$R183=0),"",ROUND($I183/$R183,2))))</f>
        <v/>
      </c>
      <c r="T183" s="24" t="str">
        <f aca="false">IF($N183="","",IFERROR(INDEX(VAT_Codes!$C:$C,MATCH($N183,VAT_Codes!$A:$A,0)),"")&amp;"")</f>
        <v/>
      </c>
      <c r="U183" s="26" t="n">
        <f aca="false">IF(OR($S183="",$T183="",$T183="None"),0,IF($T183="Output",-$S183,$S183))</f>
        <v>0</v>
      </c>
      <c r="V183" s="27" t="n">
        <f aca="false">IF($N183="",0,IFERROR(INDEX(VAT_Codes!$D:$D,MATCH($N183,VAT_Codes!$A:$A,0)),0))</f>
        <v>0</v>
      </c>
      <c r="W183" s="26" t="n">
        <f aca="false">IF($U183=0,0,IF(IFERROR(INDEX(VAT_Codes!$F:$F,MATCH($N183,VAT_Codes!$A:$A,0)),"N")="Y",$U183,IF($L183&lt;&gt;"",ROUND(ABS($L183)/IF(OR($R183="",$R183=0),1,$R183),2)*SIGN($U183),ROUND($U183*$V183,2))))</f>
        <v>0</v>
      </c>
      <c r="X183" s="24" t="str">
        <f aca="false">IF($N183="","",IFERROR(INDEX(VAT_Codes!$H:$H,MATCH($N183,VAT_Codes!$A:$A,0)),"")&amp;"")</f>
        <v/>
      </c>
      <c r="Y183" s="24" t="str">
        <f aca="false">IF($A183="","",(YEAR($A183)-YEAR(Settings!$C$8))*12+MONTH($A183)-MONTH(Settings!$C$8)+1)</f>
        <v/>
      </c>
      <c r="Z183" s="24" t="str">
        <f aca="false">IF(AND($C183="",$I183="",$J183=""),"",IF($N183="","NO VAT CODE",IF($T183="","UNKNOWN VAT CODE",IF($S183="","MISSING FX RATE",IF(OR($A183&lt;Settings!$C$8,$A183&gt;Settings!$C$9),"OUTSIDE PERIOD",IF(AND(IFERROR(INDEX(VAT_Codes!$E:$E,MATCH($N183,VAT_Codes!$A:$A,0)),"ANY")&lt;&gt;"ANY",$P183=""),"MISSING COUNTERPARTY COUNTRY",IF(AND(IFERROR(INDEX(VAT_Codes!$E:$E,MATCH($N183,VAT_Codes!$A:$A,0)),"ANY")&lt;&gt;"ANY",$P183&lt;&gt;IFERROR(INDEX(VAT_Codes!$E:$E,MATCH($N183,VAT_Codes!$A:$A,0)),"ANY")),"REGION MISMATCH","OK")))))))</f>
        <v/>
      </c>
    </row>
    <row r="184" customFormat="false" ht="15" hidden="false" customHeight="false" outlineLevel="0" collapsed="false">
      <c r="M184" s="24" t="str">
        <f aca="false">IF($C184="","",IFERROR(INDEX(Account_Mapping!$C:$C,MATCH($C184&amp;"",Account_Mapping!$A:$A,0))&amp;"",""))</f>
        <v/>
      </c>
      <c r="N184" s="24" t="str">
        <f aca="false">IF($K184&lt;&gt;"",$K184,$M184)</f>
        <v/>
      </c>
      <c r="O184" s="24" t="str">
        <f aca="false">IF($F184="","",IFERROR(INDEX(Counterparties!$C:$C,MATCH($F184&amp;"",Counterparties!$A:$A,0))&amp;"",""))</f>
        <v/>
      </c>
      <c r="P184" s="24" t="str">
        <f aca="false">IF($O184="","",IF($O184="CY","CY",IF(ISNUMBER(MATCH($O184,Lists!$A:$A,0)),"EU","3RD")))</f>
        <v/>
      </c>
      <c r="Q184" s="24" t="str">
        <f aca="false">IF($F184="","N",IFERROR(IF(INDEX(Counterparties!$E:$E,MATCH($F184&amp;"",Counterparties!$A:$A,0))="Y","Y","N"),"N"))</f>
        <v>N</v>
      </c>
      <c r="R184" s="25" t="n">
        <f aca="false">IF(OR($H184="",$H184="EUR"),1,IFERROR(INDEX(FX_Rates!$D:$D,MATCH($H184,FX_Rates!$A:$A,0)),""))</f>
        <v>1</v>
      </c>
      <c r="S184" s="26" t="str">
        <f aca="false">IF(AND($I184="",$J184=""),"",IF($J184&lt;&gt;"",$J184,IF(OR($R184="",$R184=0),"",ROUND($I184/$R184,2))))</f>
        <v/>
      </c>
      <c r="T184" s="24" t="str">
        <f aca="false">IF($N184="","",IFERROR(INDEX(VAT_Codes!$C:$C,MATCH($N184,VAT_Codes!$A:$A,0)),"")&amp;"")</f>
        <v/>
      </c>
      <c r="U184" s="26" t="n">
        <f aca="false">IF(OR($S184="",$T184="",$T184="None"),0,IF($T184="Output",-$S184,$S184))</f>
        <v>0</v>
      </c>
      <c r="V184" s="27" t="n">
        <f aca="false">IF($N184="",0,IFERROR(INDEX(VAT_Codes!$D:$D,MATCH($N184,VAT_Codes!$A:$A,0)),0))</f>
        <v>0</v>
      </c>
      <c r="W184" s="26" t="n">
        <f aca="false">IF($U184=0,0,IF(IFERROR(INDEX(VAT_Codes!$F:$F,MATCH($N184,VAT_Codes!$A:$A,0)),"N")="Y",$U184,IF($L184&lt;&gt;"",ROUND(ABS($L184)/IF(OR($R184="",$R184=0),1,$R184),2)*SIGN($U184),ROUND($U184*$V184,2))))</f>
        <v>0</v>
      </c>
      <c r="X184" s="24" t="str">
        <f aca="false">IF($N184="","",IFERROR(INDEX(VAT_Codes!$H:$H,MATCH($N184,VAT_Codes!$A:$A,0)),"")&amp;"")</f>
        <v/>
      </c>
      <c r="Y184" s="24" t="str">
        <f aca="false">IF($A184="","",(YEAR($A184)-YEAR(Settings!$C$8))*12+MONTH($A184)-MONTH(Settings!$C$8)+1)</f>
        <v/>
      </c>
      <c r="Z184" s="24" t="str">
        <f aca="false">IF(AND($C184="",$I184="",$J184=""),"",IF($N184="","NO VAT CODE",IF($T184="","UNKNOWN VAT CODE",IF($S184="","MISSING FX RATE",IF(OR($A184&lt;Settings!$C$8,$A184&gt;Settings!$C$9),"OUTSIDE PERIOD",IF(AND(IFERROR(INDEX(VAT_Codes!$E:$E,MATCH($N184,VAT_Codes!$A:$A,0)),"ANY")&lt;&gt;"ANY",$P184=""),"MISSING COUNTERPARTY COUNTRY",IF(AND(IFERROR(INDEX(VAT_Codes!$E:$E,MATCH($N184,VAT_Codes!$A:$A,0)),"ANY")&lt;&gt;"ANY",$P184&lt;&gt;IFERROR(INDEX(VAT_Codes!$E:$E,MATCH($N184,VAT_Codes!$A:$A,0)),"ANY")),"REGION MISMATCH","OK")))))))</f>
        <v/>
      </c>
    </row>
    <row r="185" customFormat="false" ht="15" hidden="false" customHeight="false" outlineLevel="0" collapsed="false">
      <c r="M185" s="24" t="str">
        <f aca="false">IF($C185="","",IFERROR(INDEX(Account_Mapping!$C:$C,MATCH($C185&amp;"",Account_Mapping!$A:$A,0))&amp;"",""))</f>
        <v/>
      </c>
      <c r="N185" s="24" t="str">
        <f aca="false">IF($K185&lt;&gt;"",$K185,$M185)</f>
        <v/>
      </c>
      <c r="O185" s="24" t="str">
        <f aca="false">IF($F185="","",IFERROR(INDEX(Counterparties!$C:$C,MATCH($F185&amp;"",Counterparties!$A:$A,0))&amp;"",""))</f>
        <v/>
      </c>
      <c r="P185" s="24" t="str">
        <f aca="false">IF($O185="","",IF($O185="CY","CY",IF(ISNUMBER(MATCH($O185,Lists!$A:$A,0)),"EU","3RD")))</f>
        <v/>
      </c>
      <c r="Q185" s="24" t="str">
        <f aca="false">IF($F185="","N",IFERROR(IF(INDEX(Counterparties!$E:$E,MATCH($F185&amp;"",Counterparties!$A:$A,0))="Y","Y","N"),"N"))</f>
        <v>N</v>
      </c>
      <c r="R185" s="25" t="n">
        <f aca="false">IF(OR($H185="",$H185="EUR"),1,IFERROR(INDEX(FX_Rates!$D:$D,MATCH($H185,FX_Rates!$A:$A,0)),""))</f>
        <v>1</v>
      </c>
      <c r="S185" s="26" t="str">
        <f aca="false">IF(AND($I185="",$J185=""),"",IF($J185&lt;&gt;"",$J185,IF(OR($R185="",$R185=0),"",ROUND($I185/$R185,2))))</f>
        <v/>
      </c>
      <c r="T185" s="24" t="str">
        <f aca="false">IF($N185="","",IFERROR(INDEX(VAT_Codes!$C:$C,MATCH($N185,VAT_Codes!$A:$A,0)),"")&amp;"")</f>
        <v/>
      </c>
      <c r="U185" s="26" t="n">
        <f aca="false">IF(OR($S185="",$T185="",$T185="None"),0,IF($T185="Output",-$S185,$S185))</f>
        <v>0</v>
      </c>
      <c r="V185" s="27" t="n">
        <f aca="false">IF($N185="",0,IFERROR(INDEX(VAT_Codes!$D:$D,MATCH($N185,VAT_Codes!$A:$A,0)),0))</f>
        <v>0</v>
      </c>
      <c r="W185" s="26" t="n">
        <f aca="false">IF($U185=0,0,IF(IFERROR(INDEX(VAT_Codes!$F:$F,MATCH($N185,VAT_Codes!$A:$A,0)),"N")="Y",$U185,IF($L185&lt;&gt;"",ROUND(ABS($L185)/IF(OR($R185="",$R185=0),1,$R185),2)*SIGN($U185),ROUND($U185*$V185,2))))</f>
        <v>0</v>
      </c>
      <c r="X185" s="24" t="str">
        <f aca="false">IF($N185="","",IFERROR(INDEX(VAT_Codes!$H:$H,MATCH($N185,VAT_Codes!$A:$A,0)),"")&amp;"")</f>
        <v/>
      </c>
      <c r="Y185" s="24" t="str">
        <f aca="false">IF($A185="","",(YEAR($A185)-YEAR(Settings!$C$8))*12+MONTH($A185)-MONTH(Settings!$C$8)+1)</f>
        <v/>
      </c>
      <c r="Z185" s="24" t="str">
        <f aca="false">IF(AND($C185="",$I185="",$J185=""),"",IF($N185="","NO VAT CODE",IF($T185="","UNKNOWN VAT CODE",IF($S185="","MISSING FX RATE",IF(OR($A185&lt;Settings!$C$8,$A185&gt;Settings!$C$9),"OUTSIDE PERIOD",IF(AND(IFERROR(INDEX(VAT_Codes!$E:$E,MATCH($N185,VAT_Codes!$A:$A,0)),"ANY")&lt;&gt;"ANY",$P185=""),"MISSING COUNTERPARTY COUNTRY",IF(AND(IFERROR(INDEX(VAT_Codes!$E:$E,MATCH($N185,VAT_Codes!$A:$A,0)),"ANY")&lt;&gt;"ANY",$P185&lt;&gt;IFERROR(INDEX(VAT_Codes!$E:$E,MATCH($N185,VAT_Codes!$A:$A,0)),"ANY")),"REGION MISMATCH","OK")))))))</f>
        <v/>
      </c>
    </row>
    <row r="186" customFormat="false" ht="15" hidden="false" customHeight="false" outlineLevel="0" collapsed="false">
      <c r="M186" s="24" t="str">
        <f aca="false">IF($C186="","",IFERROR(INDEX(Account_Mapping!$C:$C,MATCH($C186&amp;"",Account_Mapping!$A:$A,0))&amp;"",""))</f>
        <v/>
      </c>
      <c r="N186" s="24" t="str">
        <f aca="false">IF($K186&lt;&gt;"",$K186,$M186)</f>
        <v/>
      </c>
      <c r="O186" s="24" t="str">
        <f aca="false">IF($F186="","",IFERROR(INDEX(Counterparties!$C:$C,MATCH($F186&amp;"",Counterparties!$A:$A,0))&amp;"",""))</f>
        <v/>
      </c>
      <c r="P186" s="24" t="str">
        <f aca="false">IF($O186="","",IF($O186="CY","CY",IF(ISNUMBER(MATCH($O186,Lists!$A:$A,0)),"EU","3RD")))</f>
        <v/>
      </c>
      <c r="Q186" s="24" t="str">
        <f aca="false">IF($F186="","N",IFERROR(IF(INDEX(Counterparties!$E:$E,MATCH($F186&amp;"",Counterparties!$A:$A,0))="Y","Y","N"),"N"))</f>
        <v>N</v>
      </c>
      <c r="R186" s="25" t="n">
        <f aca="false">IF(OR($H186="",$H186="EUR"),1,IFERROR(INDEX(FX_Rates!$D:$D,MATCH($H186,FX_Rates!$A:$A,0)),""))</f>
        <v>1</v>
      </c>
      <c r="S186" s="26" t="str">
        <f aca="false">IF(AND($I186="",$J186=""),"",IF($J186&lt;&gt;"",$J186,IF(OR($R186="",$R186=0),"",ROUND($I186/$R186,2))))</f>
        <v/>
      </c>
      <c r="T186" s="24" t="str">
        <f aca="false">IF($N186="","",IFERROR(INDEX(VAT_Codes!$C:$C,MATCH($N186,VAT_Codes!$A:$A,0)),"")&amp;"")</f>
        <v/>
      </c>
      <c r="U186" s="26" t="n">
        <f aca="false">IF(OR($S186="",$T186="",$T186="None"),0,IF($T186="Output",-$S186,$S186))</f>
        <v>0</v>
      </c>
      <c r="V186" s="27" t="n">
        <f aca="false">IF($N186="",0,IFERROR(INDEX(VAT_Codes!$D:$D,MATCH($N186,VAT_Codes!$A:$A,0)),0))</f>
        <v>0</v>
      </c>
      <c r="W186" s="26" t="n">
        <f aca="false">IF($U186=0,0,IF(IFERROR(INDEX(VAT_Codes!$F:$F,MATCH($N186,VAT_Codes!$A:$A,0)),"N")="Y",$U186,IF($L186&lt;&gt;"",ROUND(ABS($L186)/IF(OR($R186="",$R186=0),1,$R186),2)*SIGN($U186),ROUND($U186*$V186,2))))</f>
        <v>0</v>
      </c>
      <c r="X186" s="24" t="str">
        <f aca="false">IF($N186="","",IFERROR(INDEX(VAT_Codes!$H:$H,MATCH($N186,VAT_Codes!$A:$A,0)),"")&amp;"")</f>
        <v/>
      </c>
      <c r="Y186" s="24" t="str">
        <f aca="false">IF($A186="","",(YEAR($A186)-YEAR(Settings!$C$8))*12+MONTH($A186)-MONTH(Settings!$C$8)+1)</f>
        <v/>
      </c>
      <c r="Z186" s="24" t="str">
        <f aca="false">IF(AND($C186="",$I186="",$J186=""),"",IF($N186="","NO VAT CODE",IF($T186="","UNKNOWN VAT CODE",IF($S186="","MISSING FX RATE",IF(OR($A186&lt;Settings!$C$8,$A186&gt;Settings!$C$9),"OUTSIDE PERIOD",IF(AND(IFERROR(INDEX(VAT_Codes!$E:$E,MATCH($N186,VAT_Codes!$A:$A,0)),"ANY")&lt;&gt;"ANY",$P186=""),"MISSING COUNTERPARTY COUNTRY",IF(AND(IFERROR(INDEX(VAT_Codes!$E:$E,MATCH($N186,VAT_Codes!$A:$A,0)),"ANY")&lt;&gt;"ANY",$P186&lt;&gt;IFERROR(INDEX(VAT_Codes!$E:$E,MATCH($N186,VAT_Codes!$A:$A,0)),"ANY")),"REGION MISMATCH","OK")))))))</f>
        <v/>
      </c>
    </row>
    <row r="187" customFormat="false" ht="15" hidden="false" customHeight="false" outlineLevel="0" collapsed="false">
      <c r="M187" s="24" t="str">
        <f aca="false">IF($C187="","",IFERROR(INDEX(Account_Mapping!$C:$C,MATCH($C187&amp;"",Account_Mapping!$A:$A,0))&amp;"",""))</f>
        <v/>
      </c>
      <c r="N187" s="24" t="str">
        <f aca="false">IF($K187&lt;&gt;"",$K187,$M187)</f>
        <v/>
      </c>
      <c r="O187" s="24" t="str">
        <f aca="false">IF($F187="","",IFERROR(INDEX(Counterparties!$C:$C,MATCH($F187&amp;"",Counterparties!$A:$A,0))&amp;"",""))</f>
        <v/>
      </c>
      <c r="P187" s="24" t="str">
        <f aca="false">IF($O187="","",IF($O187="CY","CY",IF(ISNUMBER(MATCH($O187,Lists!$A:$A,0)),"EU","3RD")))</f>
        <v/>
      </c>
      <c r="Q187" s="24" t="str">
        <f aca="false">IF($F187="","N",IFERROR(IF(INDEX(Counterparties!$E:$E,MATCH($F187&amp;"",Counterparties!$A:$A,0))="Y","Y","N"),"N"))</f>
        <v>N</v>
      </c>
      <c r="R187" s="25" t="n">
        <f aca="false">IF(OR($H187="",$H187="EUR"),1,IFERROR(INDEX(FX_Rates!$D:$D,MATCH($H187,FX_Rates!$A:$A,0)),""))</f>
        <v>1</v>
      </c>
      <c r="S187" s="26" t="str">
        <f aca="false">IF(AND($I187="",$J187=""),"",IF($J187&lt;&gt;"",$J187,IF(OR($R187="",$R187=0),"",ROUND($I187/$R187,2))))</f>
        <v/>
      </c>
      <c r="T187" s="24" t="str">
        <f aca="false">IF($N187="","",IFERROR(INDEX(VAT_Codes!$C:$C,MATCH($N187,VAT_Codes!$A:$A,0)),"")&amp;"")</f>
        <v/>
      </c>
      <c r="U187" s="26" t="n">
        <f aca="false">IF(OR($S187="",$T187="",$T187="None"),0,IF($T187="Output",-$S187,$S187))</f>
        <v>0</v>
      </c>
      <c r="V187" s="27" t="n">
        <f aca="false">IF($N187="",0,IFERROR(INDEX(VAT_Codes!$D:$D,MATCH($N187,VAT_Codes!$A:$A,0)),0))</f>
        <v>0</v>
      </c>
      <c r="W187" s="26" t="n">
        <f aca="false">IF($U187=0,0,IF(IFERROR(INDEX(VAT_Codes!$F:$F,MATCH($N187,VAT_Codes!$A:$A,0)),"N")="Y",$U187,IF($L187&lt;&gt;"",ROUND(ABS($L187)/IF(OR($R187="",$R187=0),1,$R187),2)*SIGN($U187),ROUND($U187*$V187,2))))</f>
        <v>0</v>
      </c>
      <c r="X187" s="24" t="str">
        <f aca="false">IF($N187="","",IFERROR(INDEX(VAT_Codes!$H:$H,MATCH($N187,VAT_Codes!$A:$A,0)),"")&amp;"")</f>
        <v/>
      </c>
      <c r="Y187" s="24" t="str">
        <f aca="false">IF($A187="","",(YEAR($A187)-YEAR(Settings!$C$8))*12+MONTH($A187)-MONTH(Settings!$C$8)+1)</f>
        <v/>
      </c>
      <c r="Z187" s="24" t="str">
        <f aca="false">IF(AND($C187="",$I187="",$J187=""),"",IF($N187="","NO VAT CODE",IF($T187="","UNKNOWN VAT CODE",IF($S187="","MISSING FX RATE",IF(OR($A187&lt;Settings!$C$8,$A187&gt;Settings!$C$9),"OUTSIDE PERIOD",IF(AND(IFERROR(INDEX(VAT_Codes!$E:$E,MATCH($N187,VAT_Codes!$A:$A,0)),"ANY")&lt;&gt;"ANY",$P187=""),"MISSING COUNTERPARTY COUNTRY",IF(AND(IFERROR(INDEX(VAT_Codes!$E:$E,MATCH($N187,VAT_Codes!$A:$A,0)),"ANY")&lt;&gt;"ANY",$P187&lt;&gt;IFERROR(INDEX(VAT_Codes!$E:$E,MATCH($N187,VAT_Codes!$A:$A,0)),"ANY")),"REGION MISMATCH","OK")))))))</f>
        <v/>
      </c>
    </row>
    <row r="188" customFormat="false" ht="15" hidden="false" customHeight="false" outlineLevel="0" collapsed="false">
      <c r="M188" s="24" t="str">
        <f aca="false">IF($C188="","",IFERROR(INDEX(Account_Mapping!$C:$C,MATCH($C188&amp;"",Account_Mapping!$A:$A,0))&amp;"",""))</f>
        <v/>
      </c>
      <c r="N188" s="24" t="str">
        <f aca="false">IF($K188&lt;&gt;"",$K188,$M188)</f>
        <v/>
      </c>
      <c r="O188" s="24" t="str">
        <f aca="false">IF($F188="","",IFERROR(INDEX(Counterparties!$C:$C,MATCH($F188&amp;"",Counterparties!$A:$A,0))&amp;"",""))</f>
        <v/>
      </c>
      <c r="P188" s="24" t="str">
        <f aca="false">IF($O188="","",IF($O188="CY","CY",IF(ISNUMBER(MATCH($O188,Lists!$A:$A,0)),"EU","3RD")))</f>
        <v/>
      </c>
      <c r="Q188" s="24" t="str">
        <f aca="false">IF($F188="","N",IFERROR(IF(INDEX(Counterparties!$E:$E,MATCH($F188&amp;"",Counterparties!$A:$A,0))="Y","Y","N"),"N"))</f>
        <v>N</v>
      </c>
      <c r="R188" s="25" t="n">
        <f aca="false">IF(OR($H188="",$H188="EUR"),1,IFERROR(INDEX(FX_Rates!$D:$D,MATCH($H188,FX_Rates!$A:$A,0)),""))</f>
        <v>1</v>
      </c>
      <c r="S188" s="26" t="str">
        <f aca="false">IF(AND($I188="",$J188=""),"",IF($J188&lt;&gt;"",$J188,IF(OR($R188="",$R188=0),"",ROUND($I188/$R188,2))))</f>
        <v/>
      </c>
      <c r="T188" s="24" t="str">
        <f aca="false">IF($N188="","",IFERROR(INDEX(VAT_Codes!$C:$C,MATCH($N188,VAT_Codes!$A:$A,0)),"")&amp;"")</f>
        <v/>
      </c>
      <c r="U188" s="26" t="n">
        <f aca="false">IF(OR($S188="",$T188="",$T188="None"),0,IF($T188="Output",-$S188,$S188))</f>
        <v>0</v>
      </c>
      <c r="V188" s="27" t="n">
        <f aca="false">IF($N188="",0,IFERROR(INDEX(VAT_Codes!$D:$D,MATCH($N188,VAT_Codes!$A:$A,0)),0))</f>
        <v>0</v>
      </c>
      <c r="W188" s="26" t="n">
        <f aca="false">IF($U188=0,0,IF(IFERROR(INDEX(VAT_Codes!$F:$F,MATCH($N188,VAT_Codes!$A:$A,0)),"N")="Y",$U188,IF($L188&lt;&gt;"",ROUND(ABS($L188)/IF(OR($R188="",$R188=0),1,$R188),2)*SIGN($U188),ROUND($U188*$V188,2))))</f>
        <v>0</v>
      </c>
      <c r="X188" s="24" t="str">
        <f aca="false">IF($N188="","",IFERROR(INDEX(VAT_Codes!$H:$H,MATCH($N188,VAT_Codes!$A:$A,0)),"")&amp;"")</f>
        <v/>
      </c>
      <c r="Y188" s="24" t="str">
        <f aca="false">IF($A188="","",(YEAR($A188)-YEAR(Settings!$C$8))*12+MONTH($A188)-MONTH(Settings!$C$8)+1)</f>
        <v/>
      </c>
      <c r="Z188" s="24" t="str">
        <f aca="false">IF(AND($C188="",$I188="",$J188=""),"",IF($N188="","NO VAT CODE",IF($T188="","UNKNOWN VAT CODE",IF($S188="","MISSING FX RATE",IF(OR($A188&lt;Settings!$C$8,$A188&gt;Settings!$C$9),"OUTSIDE PERIOD",IF(AND(IFERROR(INDEX(VAT_Codes!$E:$E,MATCH($N188,VAT_Codes!$A:$A,0)),"ANY")&lt;&gt;"ANY",$P188=""),"MISSING COUNTERPARTY COUNTRY",IF(AND(IFERROR(INDEX(VAT_Codes!$E:$E,MATCH($N188,VAT_Codes!$A:$A,0)),"ANY")&lt;&gt;"ANY",$P188&lt;&gt;IFERROR(INDEX(VAT_Codes!$E:$E,MATCH($N188,VAT_Codes!$A:$A,0)),"ANY")),"REGION MISMATCH","OK")))))))</f>
        <v/>
      </c>
    </row>
    <row r="189" customFormat="false" ht="15" hidden="false" customHeight="false" outlineLevel="0" collapsed="false">
      <c r="M189" s="24" t="str">
        <f aca="false">IF($C189="","",IFERROR(INDEX(Account_Mapping!$C:$C,MATCH($C189&amp;"",Account_Mapping!$A:$A,0))&amp;"",""))</f>
        <v/>
      </c>
      <c r="N189" s="24" t="str">
        <f aca="false">IF($K189&lt;&gt;"",$K189,$M189)</f>
        <v/>
      </c>
      <c r="O189" s="24" t="str">
        <f aca="false">IF($F189="","",IFERROR(INDEX(Counterparties!$C:$C,MATCH($F189&amp;"",Counterparties!$A:$A,0))&amp;"",""))</f>
        <v/>
      </c>
      <c r="P189" s="24" t="str">
        <f aca="false">IF($O189="","",IF($O189="CY","CY",IF(ISNUMBER(MATCH($O189,Lists!$A:$A,0)),"EU","3RD")))</f>
        <v/>
      </c>
      <c r="Q189" s="24" t="str">
        <f aca="false">IF($F189="","N",IFERROR(IF(INDEX(Counterparties!$E:$E,MATCH($F189&amp;"",Counterparties!$A:$A,0))="Y","Y","N"),"N"))</f>
        <v>N</v>
      </c>
      <c r="R189" s="25" t="n">
        <f aca="false">IF(OR($H189="",$H189="EUR"),1,IFERROR(INDEX(FX_Rates!$D:$D,MATCH($H189,FX_Rates!$A:$A,0)),""))</f>
        <v>1</v>
      </c>
      <c r="S189" s="26" t="str">
        <f aca="false">IF(AND($I189="",$J189=""),"",IF($J189&lt;&gt;"",$J189,IF(OR($R189="",$R189=0),"",ROUND($I189/$R189,2))))</f>
        <v/>
      </c>
      <c r="T189" s="24" t="str">
        <f aca="false">IF($N189="","",IFERROR(INDEX(VAT_Codes!$C:$C,MATCH($N189,VAT_Codes!$A:$A,0)),"")&amp;"")</f>
        <v/>
      </c>
      <c r="U189" s="26" t="n">
        <f aca="false">IF(OR($S189="",$T189="",$T189="None"),0,IF($T189="Output",-$S189,$S189))</f>
        <v>0</v>
      </c>
      <c r="V189" s="27" t="n">
        <f aca="false">IF($N189="",0,IFERROR(INDEX(VAT_Codes!$D:$D,MATCH($N189,VAT_Codes!$A:$A,0)),0))</f>
        <v>0</v>
      </c>
      <c r="W189" s="26" t="n">
        <f aca="false">IF($U189=0,0,IF(IFERROR(INDEX(VAT_Codes!$F:$F,MATCH($N189,VAT_Codes!$A:$A,0)),"N")="Y",$U189,IF($L189&lt;&gt;"",ROUND(ABS($L189)/IF(OR($R189="",$R189=0),1,$R189),2)*SIGN($U189),ROUND($U189*$V189,2))))</f>
        <v>0</v>
      </c>
      <c r="X189" s="24" t="str">
        <f aca="false">IF($N189="","",IFERROR(INDEX(VAT_Codes!$H:$H,MATCH($N189,VAT_Codes!$A:$A,0)),"")&amp;"")</f>
        <v/>
      </c>
      <c r="Y189" s="24" t="str">
        <f aca="false">IF($A189="","",(YEAR($A189)-YEAR(Settings!$C$8))*12+MONTH($A189)-MONTH(Settings!$C$8)+1)</f>
        <v/>
      </c>
      <c r="Z189" s="24" t="str">
        <f aca="false">IF(AND($C189="",$I189="",$J189=""),"",IF($N189="","NO VAT CODE",IF($T189="","UNKNOWN VAT CODE",IF($S189="","MISSING FX RATE",IF(OR($A189&lt;Settings!$C$8,$A189&gt;Settings!$C$9),"OUTSIDE PERIOD",IF(AND(IFERROR(INDEX(VAT_Codes!$E:$E,MATCH($N189,VAT_Codes!$A:$A,0)),"ANY")&lt;&gt;"ANY",$P189=""),"MISSING COUNTERPARTY COUNTRY",IF(AND(IFERROR(INDEX(VAT_Codes!$E:$E,MATCH($N189,VAT_Codes!$A:$A,0)),"ANY")&lt;&gt;"ANY",$P189&lt;&gt;IFERROR(INDEX(VAT_Codes!$E:$E,MATCH($N189,VAT_Codes!$A:$A,0)),"ANY")),"REGION MISMATCH","OK")))))))</f>
        <v/>
      </c>
    </row>
    <row r="190" customFormat="false" ht="15" hidden="false" customHeight="false" outlineLevel="0" collapsed="false">
      <c r="M190" s="24" t="str">
        <f aca="false">IF($C190="","",IFERROR(INDEX(Account_Mapping!$C:$C,MATCH($C190&amp;"",Account_Mapping!$A:$A,0))&amp;"",""))</f>
        <v/>
      </c>
      <c r="N190" s="24" t="str">
        <f aca="false">IF($K190&lt;&gt;"",$K190,$M190)</f>
        <v/>
      </c>
      <c r="O190" s="24" t="str">
        <f aca="false">IF($F190="","",IFERROR(INDEX(Counterparties!$C:$C,MATCH($F190&amp;"",Counterparties!$A:$A,0))&amp;"",""))</f>
        <v/>
      </c>
      <c r="P190" s="24" t="str">
        <f aca="false">IF($O190="","",IF($O190="CY","CY",IF(ISNUMBER(MATCH($O190,Lists!$A:$A,0)),"EU","3RD")))</f>
        <v/>
      </c>
      <c r="Q190" s="24" t="str">
        <f aca="false">IF($F190="","N",IFERROR(IF(INDEX(Counterparties!$E:$E,MATCH($F190&amp;"",Counterparties!$A:$A,0))="Y","Y","N"),"N"))</f>
        <v>N</v>
      </c>
      <c r="R190" s="25" t="n">
        <f aca="false">IF(OR($H190="",$H190="EUR"),1,IFERROR(INDEX(FX_Rates!$D:$D,MATCH($H190,FX_Rates!$A:$A,0)),""))</f>
        <v>1</v>
      </c>
      <c r="S190" s="26" t="str">
        <f aca="false">IF(AND($I190="",$J190=""),"",IF($J190&lt;&gt;"",$J190,IF(OR($R190="",$R190=0),"",ROUND($I190/$R190,2))))</f>
        <v/>
      </c>
      <c r="T190" s="24" t="str">
        <f aca="false">IF($N190="","",IFERROR(INDEX(VAT_Codes!$C:$C,MATCH($N190,VAT_Codes!$A:$A,0)),"")&amp;"")</f>
        <v/>
      </c>
      <c r="U190" s="26" t="n">
        <f aca="false">IF(OR($S190="",$T190="",$T190="None"),0,IF($T190="Output",-$S190,$S190))</f>
        <v>0</v>
      </c>
      <c r="V190" s="27" t="n">
        <f aca="false">IF($N190="",0,IFERROR(INDEX(VAT_Codes!$D:$D,MATCH($N190,VAT_Codes!$A:$A,0)),0))</f>
        <v>0</v>
      </c>
      <c r="W190" s="26" t="n">
        <f aca="false">IF($U190=0,0,IF(IFERROR(INDEX(VAT_Codes!$F:$F,MATCH($N190,VAT_Codes!$A:$A,0)),"N")="Y",$U190,IF($L190&lt;&gt;"",ROUND(ABS($L190)/IF(OR($R190="",$R190=0),1,$R190),2)*SIGN($U190),ROUND($U190*$V190,2))))</f>
        <v>0</v>
      </c>
      <c r="X190" s="24" t="str">
        <f aca="false">IF($N190="","",IFERROR(INDEX(VAT_Codes!$H:$H,MATCH($N190,VAT_Codes!$A:$A,0)),"")&amp;"")</f>
        <v/>
      </c>
      <c r="Y190" s="24" t="str">
        <f aca="false">IF($A190="","",(YEAR($A190)-YEAR(Settings!$C$8))*12+MONTH($A190)-MONTH(Settings!$C$8)+1)</f>
        <v/>
      </c>
      <c r="Z190" s="24" t="str">
        <f aca="false">IF(AND($C190="",$I190="",$J190=""),"",IF($N190="","NO VAT CODE",IF($T190="","UNKNOWN VAT CODE",IF($S190="","MISSING FX RATE",IF(OR($A190&lt;Settings!$C$8,$A190&gt;Settings!$C$9),"OUTSIDE PERIOD",IF(AND(IFERROR(INDEX(VAT_Codes!$E:$E,MATCH($N190,VAT_Codes!$A:$A,0)),"ANY")&lt;&gt;"ANY",$P190=""),"MISSING COUNTERPARTY COUNTRY",IF(AND(IFERROR(INDEX(VAT_Codes!$E:$E,MATCH($N190,VAT_Codes!$A:$A,0)),"ANY")&lt;&gt;"ANY",$P190&lt;&gt;IFERROR(INDEX(VAT_Codes!$E:$E,MATCH($N190,VAT_Codes!$A:$A,0)),"ANY")),"REGION MISMATCH","OK")))))))</f>
        <v/>
      </c>
    </row>
    <row r="191" customFormat="false" ht="15" hidden="false" customHeight="false" outlineLevel="0" collapsed="false">
      <c r="M191" s="24" t="str">
        <f aca="false">IF($C191="","",IFERROR(INDEX(Account_Mapping!$C:$C,MATCH($C191&amp;"",Account_Mapping!$A:$A,0))&amp;"",""))</f>
        <v/>
      </c>
      <c r="N191" s="24" t="str">
        <f aca="false">IF($K191&lt;&gt;"",$K191,$M191)</f>
        <v/>
      </c>
      <c r="O191" s="24" t="str">
        <f aca="false">IF($F191="","",IFERROR(INDEX(Counterparties!$C:$C,MATCH($F191&amp;"",Counterparties!$A:$A,0))&amp;"",""))</f>
        <v/>
      </c>
      <c r="P191" s="24" t="str">
        <f aca="false">IF($O191="","",IF($O191="CY","CY",IF(ISNUMBER(MATCH($O191,Lists!$A:$A,0)),"EU","3RD")))</f>
        <v/>
      </c>
      <c r="Q191" s="24" t="str">
        <f aca="false">IF($F191="","N",IFERROR(IF(INDEX(Counterparties!$E:$E,MATCH($F191&amp;"",Counterparties!$A:$A,0))="Y","Y","N"),"N"))</f>
        <v>N</v>
      </c>
      <c r="R191" s="25" t="n">
        <f aca="false">IF(OR($H191="",$H191="EUR"),1,IFERROR(INDEX(FX_Rates!$D:$D,MATCH($H191,FX_Rates!$A:$A,0)),""))</f>
        <v>1</v>
      </c>
      <c r="S191" s="26" t="str">
        <f aca="false">IF(AND($I191="",$J191=""),"",IF($J191&lt;&gt;"",$J191,IF(OR($R191="",$R191=0),"",ROUND($I191/$R191,2))))</f>
        <v/>
      </c>
      <c r="T191" s="24" t="str">
        <f aca="false">IF($N191="","",IFERROR(INDEX(VAT_Codes!$C:$C,MATCH($N191,VAT_Codes!$A:$A,0)),"")&amp;"")</f>
        <v/>
      </c>
      <c r="U191" s="26" t="n">
        <f aca="false">IF(OR($S191="",$T191="",$T191="None"),0,IF($T191="Output",-$S191,$S191))</f>
        <v>0</v>
      </c>
      <c r="V191" s="27" t="n">
        <f aca="false">IF($N191="",0,IFERROR(INDEX(VAT_Codes!$D:$D,MATCH($N191,VAT_Codes!$A:$A,0)),0))</f>
        <v>0</v>
      </c>
      <c r="W191" s="26" t="n">
        <f aca="false">IF($U191=0,0,IF(IFERROR(INDEX(VAT_Codes!$F:$F,MATCH($N191,VAT_Codes!$A:$A,0)),"N")="Y",$U191,IF($L191&lt;&gt;"",ROUND(ABS($L191)/IF(OR($R191="",$R191=0),1,$R191),2)*SIGN($U191),ROUND($U191*$V191,2))))</f>
        <v>0</v>
      </c>
      <c r="X191" s="24" t="str">
        <f aca="false">IF($N191="","",IFERROR(INDEX(VAT_Codes!$H:$H,MATCH($N191,VAT_Codes!$A:$A,0)),"")&amp;"")</f>
        <v/>
      </c>
      <c r="Y191" s="24" t="str">
        <f aca="false">IF($A191="","",(YEAR($A191)-YEAR(Settings!$C$8))*12+MONTH($A191)-MONTH(Settings!$C$8)+1)</f>
        <v/>
      </c>
      <c r="Z191" s="24" t="str">
        <f aca="false">IF(AND($C191="",$I191="",$J191=""),"",IF($N191="","NO VAT CODE",IF($T191="","UNKNOWN VAT CODE",IF($S191="","MISSING FX RATE",IF(OR($A191&lt;Settings!$C$8,$A191&gt;Settings!$C$9),"OUTSIDE PERIOD",IF(AND(IFERROR(INDEX(VAT_Codes!$E:$E,MATCH($N191,VAT_Codes!$A:$A,0)),"ANY")&lt;&gt;"ANY",$P191=""),"MISSING COUNTERPARTY COUNTRY",IF(AND(IFERROR(INDEX(VAT_Codes!$E:$E,MATCH($N191,VAT_Codes!$A:$A,0)),"ANY")&lt;&gt;"ANY",$P191&lt;&gt;IFERROR(INDEX(VAT_Codes!$E:$E,MATCH($N191,VAT_Codes!$A:$A,0)),"ANY")),"REGION MISMATCH","OK")))))))</f>
        <v/>
      </c>
    </row>
    <row r="192" customFormat="false" ht="15" hidden="false" customHeight="false" outlineLevel="0" collapsed="false">
      <c r="M192" s="24" t="str">
        <f aca="false">IF($C192="","",IFERROR(INDEX(Account_Mapping!$C:$C,MATCH($C192&amp;"",Account_Mapping!$A:$A,0))&amp;"",""))</f>
        <v/>
      </c>
      <c r="N192" s="24" t="str">
        <f aca="false">IF($K192&lt;&gt;"",$K192,$M192)</f>
        <v/>
      </c>
      <c r="O192" s="24" t="str">
        <f aca="false">IF($F192="","",IFERROR(INDEX(Counterparties!$C:$C,MATCH($F192&amp;"",Counterparties!$A:$A,0))&amp;"",""))</f>
        <v/>
      </c>
      <c r="P192" s="24" t="str">
        <f aca="false">IF($O192="","",IF($O192="CY","CY",IF(ISNUMBER(MATCH($O192,Lists!$A:$A,0)),"EU","3RD")))</f>
        <v/>
      </c>
      <c r="Q192" s="24" t="str">
        <f aca="false">IF($F192="","N",IFERROR(IF(INDEX(Counterparties!$E:$E,MATCH($F192&amp;"",Counterparties!$A:$A,0))="Y","Y","N"),"N"))</f>
        <v>N</v>
      </c>
      <c r="R192" s="25" t="n">
        <f aca="false">IF(OR($H192="",$H192="EUR"),1,IFERROR(INDEX(FX_Rates!$D:$D,MATCH($H192,FX_Rates!$A:$A,0)),""))</f>
        <v>1</v>
      </c>
      <c r="S192" s="26" t="str">
        <f aca="false">IF(AND($I192="",$J192=""),"",IF($J192&lt;&gt;"",$J192,IF(OR($R192="",$R192=0),"",ROUND($I192/$R192,2))))</f>
        <v/>
      </c>
      <c r="T192" s="24" t="str">
        <f aca="false">IF($N192="","",IFERROR(INDEX(VAT_Codes!$C:$C,MATCH($N192,VAT_Codes!$A:$A,0)),"")&amp;"")</f>
        <v/>
      </c>
      <c r="U192" s="26" t="n">
        <f aca="false">IF(OR($S192="",$T192="",$T192="None"),0,IF($T192="Output",-$S192,$S192))</f>
        <v>0</v>
      </c>
      <c r="V192" s="27" t="n">
        <f aca="false">IF($N192="",0,IFERROR(INDEX(VAT_Codes!$D:$D,MATCH($N192,VAT_Codes!$A:$A,0)),0))</f>
        <v>0</v>
      </c>
      <c r="W192" s="26" t="n">
        <f aca="false">IF($U192=0,0,IF(IFERROR(INDEX(VAT_Codes!$F:$F,MATCH($N192,VAT_Codes!$A:$A,0)),"N")="Y",$U192,IF($L192&lt;&gt;"",ROUND(ABS($L192)/IF(OR($R192="",$R192=0),1,$R192),2)*SIGN($U192),ROUND($U192*$V192,2))))</f>
        <v>0</v>
      </c>
      <c r="X192" s="24" t="str">
        <f aca="false">IF($N192="","",IFERROR(INDEX(VAT_Codes!$H:$H,MATCH($N192,VAT_Codes!$A:$A,0)),"")&amp;"")</f>
        <v/>
      </c>
      <c r="Y192" s="24" t="str">
        <f aca="false">IF($A192="","",(YEAR($A192)-YEAR(Settings!$C$8))*12+MONTH($A192)-MONTH(Settings!$C$8)+1)</f>
        <v/>
      </c>
      <c r="Z192" s="24" t="str">
        <f aca="false">IF(AND($C192="",$I192="",$J192=""),"",IF($N192="","NO VAT CODE",IF($T192="","UNKNOWN VAT CODE",IF($S192="","MISSING FX RATE",IF(OR($A192&lt;Settings!$C$8,$A192&gt;Settings!$C$9),"OUTSIDE PERIOD",IF(AND(IFERROR(INDEX(VAT_Codes!$E:$E,MATCH($N192,VAT_Codes!$A:$A,0)),"ANY")&lt;&gt;"ANY",$P192=""),"MISSING COUNTERPARTY COUNTRY",IF(AND(IFERROR(INDEX(VAT_Codes!$E:$E,MATCH($N192,VAT_Codes!$A:$A,0)),"ANY")&lt;&gt;"ANY",$P192&lt;&gt;IFERROR(INDEX(VAT_Codes!$E:$E,MATCH($N192,VAT_Codes!$A:$A,0)),"ANY")),"REGION MISMATCH","OK")))))))</f>
        <v/>
      </c>
    </row>
    <row r="193" customFormat="false" ht="15" hidden="false" customHeight="false" outlineLevel="0" collapsed="false">
      <c r="M193" s="24" t="str">
        <f aca="false">IF($C193="","",IFERROR(INDEX(Account_Mapping!$C:$C,MATCH($C193&amp;"",Account_Mapping!$A:$A,0))&amp;"",""))</f>
        <v/>
      </c>
      <c r="N193" s="24" t="str">
        <f aca="false">IF($K193&lt;&gt;"",$K193,$M193)</f>
        <v/>
      </c>
      <c r="O193" s="24" t="str">
        <f aca="false">IF($F193="","",IFERROR(INDEX(Counterparties!$C:$C,MATCH($F193&amp;"",Counterparties!$A:$A,0))&amp;"",""))</f>
        <v/>
      </c>
      <c r="P193" s="24" t="str">
        <f aca="false">IF($O193="","",IF($O193="CY","CY",IF(ISNUMBER(MATCH($O193,Lists!$A:$A,0)),"EU","3RD")))</f>
        <v/>
      </c>
      <c r="Q193" s="24" t="str">
        <f aca="false">IF($F193="","N",IFERROR(IF(INDEX(Counterparties!$E:$E,MATCH($F193&amp;"",Counterparties!$A:$A,0))="Y","Y","N"),"N"))</f>
        <v>N</v>
      </c>
      <c r="R193" s="25" t="n">
        <f aca="false">IF(OR($H193="",$H193="EUR"),1,IFERROR(INDEX(FX_Rates!$D:$D,MATCH($H193,FX_Rates!$A:$A,0)),""))</f>
        <v>1</v>
      </c>
      <c r="S193" s="26" t="str">
        <f aca="false">IF(AND($I193="",$J193=""),"",IF($J193&lt;&gt;"",$J193,IF(OR($R193="",$R193=0),"",ROUND($I193/$R193,2))))</f>
        <v/>
      </c>
      <c r="T193" s="24" t="str">
        <f aca="false">IF($N193="","",IFERROR(INDEX(VAT_Codes!$C:$C,MATCH($N193,VAT_Codes!$A:$A,0)),"")&amp;"")</f>
        <v/>
      </c>
      <c r="U193" s="26" t="n">
        <f aca="false">IF(OR($S193="",$T193="",$T193="None"),0,IF($T193="Output",-$S193,$S193))</f>
        <v>0</v>
      </c>
      <c r="V193" s="27" t="n">
        <f aca="false">IF($N193="",0,IFERROR(INDEX(VAT_Codes!$D:$D,MATCH($N193,VAT_Codes!$A:$A,0)),0))</f>
        <v>0</v>
      </c>
      <c r="W193" s="26" t="n">
        <f aca="false">IF($U193=0,0,IF(IFERROR(INDEX(VAT_Codes!$F:$F,MATCH($N193,VAT_Codes!$A:$A,0)),"N")="Y",$U193,IF($L193&lt;&gt;"",ROUND(ABS($L193)/IF(OR($R193="",$R193=0),1,$R193),2)*SIGN($U193),ROUND($U193*$V193,2))))</f>
        <v>0</v>
      </c>
      <c r="X193" s="24" t="str">
        <f aca="false">IF($N193="","",IFERROR(INDEX(VAT_Codes!$H:$H,MATCH($N193,VAT_Codes!$A:$A,0)),"")&amp;"")</f>
        <v/>
      </c>
      <c r="Y193" s="24" t="str">
        <f aca="false">IF($A193="","",(YEAR($A193)-YEAR(Settings!$C$8))*12+MONTH($A193)-MONTH(Settings!$C$8)+1)</f>
        <v/>
      </c>
      <c r="Z193" s="24" t="str">
        <f aca="false">IF(AND($C193="",$I193="",$J193=""),"",IF($N193="","NO VAT CODE",IF($T193="","UNKNOWN VAT CODE",IF($S193="","MISSING FX RATE",IF(OR($A193&lt;Settings!$C$8,$A193&gt;Settings!$C$9),"OUTSIDE PERIOD",IF(AND(IFERROR(INDEX(VAT_Codes!$E:$E,MATCH($N193,VAT_Codes!$A:$A,0)),"ANY")&lt;&gt;"ANY",$P193=""),"MISSING COUNTERPARTY COUNTRY",IF(AND(IFERROR(INDEX(VAT_Codes!$E:$E,MATCH($N193,VAT_Codes!$A:$A,0)),"ANY")&lt;&gt;"ANY",$P193&lt;&gt;IFERROR(INDEX(VAT_Codes!$E:$E,MATCH($N193,VAT_Codes!$A:$A,0)),"ANY")),"REGION MISMATCH","OK")))))))</f>
        <v/>
      </c>
    </row>
    <row r="194" customFormat="false" ht="15" hidden="false" customHeight="false" outlineLevel="0" collapsed="false">
      <c r="M194" s="24" t="str">
        <f aca="false">IF($C194="","",IFERROR(INDEX(Account_Mapping!$C:$C,MATCH($C194&amp;"",Account_Mapping!$A:$A,0))&amp;"",""))</f>
        <v/>
      </c>
      <c r="N194" s="24" t="str">
        <f aca="false">IF($K194&lt;&gt;"",$K194,$M194)</f>
        <v/>
      </c>
      <c r="O194" s="24" t="str">
        <f aca="false">IF($F194="","",IFERROR(INDEX(Counterparties!$C:$C,MATCH($F194&amp;"",Counterparties!$A:$A,0))&amp;"",""))</f>
        <v/>
      </c>
      <c r="P194" s="24" t="str">
        <f aca="false">IF($O194="","",IF($O194="CY","CY",IF(ISNUMBER(MATCH($O194,Lists!$A:$A,0)),"EU","3RD")))</f>
        <v/>
      </c>
      <c r="Q194" s="24" t="str">
        <f aca="false">IF($F194="","N",IFERROR(IF(INDEX(Counterparties!$E:$E,MATCH($F194&amp;"",Counterparties!$A:$A,0))="Y","Y","N"),"N"))</f>
        <v>N</v>
      </c>
      <c r="R194" s="25" t="n">
        <f aca="false">IF(OR($H194="",$H194="EUR"),1,IFERROR(INDEX(FX_Rates!$D:$D,MATCH($H194,FX_Rates!$A:$A,0)),""))</f>
        <v>1</v>
      </c>
      <c r="S194" s="26" t="str">
        <f aca="false">IF(AND($I194="",$J194=""),"",IF($J194&lt;&gt;"",$J194,IF(OR($R194="",$R194=0),"",ROUND($I194/$R194,2))))</f>
        <v/>
      </c>
      <c r="T194" s="24" t="str">
        <f aca="false">IF($N194="","",IFERROR(INDEX(VAT_Codes!$C:$C,MATCH($N194,VAT_Codes!$A:$A,0)),"")&amp;"")</f>
        <v/>
      </c>
      <c r="U194" s="26" t="n">
        <f aca="false">IF(OR($S194="",$T194="",$T194="None"),0,IF($T194="Output",-$S194,$S194))</f>
        <v>0</v>
      </c>
      <c r="V194" s="27" t="n">
        <f aca="false">IF($N194="",0,IFERROR(INDEX(VAT_Codes!$D:$D,MATCH($N194,VAT_Codes!$A:$A,0)),0))</f>
        <v>0</v>
      </c>
      <c r="W194" s="26" t="n">
        <f aca="false">IF($U194=0,0,IF(IFERROR(INDEX(VAT_Codes!$F:$F,MATCH($N194,VAT_Codes!$A:$A,0)),"N")="Y",$U194,IF($L194&lt;&gt;"",ROUND(ABS($L194)/IF(OR($R194="",$R194=0),1,$R194),2)*SIGN($U194),ROUND($U194*$V194,2))))</f>
        <v>0</v>
      </c>
      <c r="X194" s="24" t="str">
        <f aca="false">IF($N194="","",IFERROR(INDEX(VAT_Codes!$H:$H,MATCH($N194,VAT_Codes!$A:$A,0)),"")&amp;"")</f>
        <v/>
      </c>
      <c r="Y194" s="24" t="str">
        <f aca="false">IF($A194="","",(YEAR($A194)-YEAR(Settings!$C$8))*12+MONTH($A194)-MONTH(Settings!$C$8)+1)</f>
        <v/>
      </c>
      <c r="Z194" s="24" t="str">
        <f aca="false">IF(AND($C194="",$I194="",$J194=""),"",IF($N194="","NO VAT CODE",IF($T194="","UNKNOWN VAT CODE",IF($S194="","MISSING FX RATE",IF(OR($A194&lt;Settings!$C$8,$A194&gt;Settings!$C$9),"OUTSIDE PERIOD",IF(AND(IFERROR(INDEX(VAT_Codes!$E:$E,MATCH($N194,VAT_Codes!$A:$A,0)),"ANY")&lt;&gt;"ANY",$P194=""),"MISSING COUNTERPARTY COUNTRY",IF(AND(IFERROR(INDEX(VAT_Codes!$E:$E,MATCH($N194,VAT_Codes!$A:$A,0)),"ANY")&lt;&gt;"ANY",$P194&lt;&gt;IFERROR(INDEX(VAT_Codes!$E:$E,MATCH($N194,VAT_Codes!$A:$A,0)),"ANY")),"REGION MISMATCH","OK")))))))</f>
        <v/>
      </c>
    </row>
    <row r="195" customFormat="false" ht="15" hidden="false" customHeight="false" outlineLevel="0" collapsed="false">
      <c r="M195" s="24" t="str">
        <f aca="false">IF($C195="","",IFERROR(INDEX(Account_Mapping!$C:$C,MATCH($C195&amp;"",Account_Mapping!$A:$A,0))&amp;"",""))</f>
        <v/>
      </c>
      <c r="N195" s="24" t="str">
        <f aca="false">IF($K195&lt;&gt;"",$K195,$M195)</f>
        <v/>
      </c>
      <c r="O195" s="24" t="str">
        <f aca="false">IF($F195="","",IFERROR(INDEX(Counterparties!$C:$C,MATCH($F195&amp;"",Counterparties!$A:$A,0))&amp;"",""))</f>
        <v/>
      </c>
      <c r="P195" s="24" t="str">
        <f aca="false">IF($O195="","",IF($O195="CY","CY",IF(ISNUMBER(MATCH($O195,Lists!$A:$A,0)),"EU","3RD")))</f>
        <v/>
      </c>
      <c r="Q195" s="24" t="str">
        <f aca="false">IF($F195="","N",IFERROR(IF(INDEX(Counterparties!$E:$E,MATCH($F195&amp;"",Counterparties!$A:$A,0))="Y","Y","N"),"N"))</f>
        <v>N</v>
      </c>
      <c r="R195" s="25" t="n">
        <f aca="false">IF(OR($H195="",$H195="EUR"),1,IFERROR(INDEX(FX_Rates!$D:$D,MATCH($H195,FX_Rates!$A:$A,0)),""))</f>
        <v>1</v>
      </c>
      <c r="S195" s="26" t="str">
        <f aca="false">IF(AND($I195="",$J195=""),"",IF($J195&lt;&gt;"",$J195,IF(OR($R195="",$R195=0),"",ROUND($I195/$R195,2))))</f>
        <v/>
      </c>
      <c r="T195" s="24" t="str">
        <f aca="false">IF($N195="","",IFERROR(INDEX(VAT_Codes!$C:$C,MATCH($N195,VAT_Codes!$A:$A,0)),"")&amp;"")</f>
        <v/>
      </c>
      <c r="U195" s="26" t="n">
        <f aca="false">IF(OR($S195="",$T195="",$T195="None"),0,IF($T195="Output",-$S195,$S195))</f>
        <v>0</v>
      </c>
      <c r="V195" s="27" t="n">
        <f aca="false">IF($N195="",0,IFERROR(INDEX(VAT_Codes!$D:$D,MATCH($N195,VAT_Codes!$A:$A,0)),0))</f>
        <v>0</v>
      </c>
      <c r="W195" s="26" t="n">
        <f aca="false">IF($U195=0,0,IF(IFERROR(INDEX(VAT_Codes!$F:$F,MATCH($N195,VAT_Codes!$A:$A,0)),"N")="Y",$U195,IF($L195&lt;&gt;"",ROUND(ABS($L195)/IF(OR($R195="",$R195=0),1,$R195),2)*SIGN($U195),ROUND($U195*$V195,2))))</f>
        <v>0</v>
      </c>
      <c r="X195" s="24" t="str">
        <f aca="false">IF($N195="","",IFERROR(INDEX(VAT_Codes!$H:$H,MATCH($N195,VAT_Codes!$A:$A,0)),"")&amp;"")</f>
        <v/>
      </c>
      <c r="Y195" s="24" t="str">
        <f aca="false">IF($A195="","",(YEAR($A195)-YEAR(Settings!$C$8))*12+MONTH($A195)-MONTH(Settings!$C$8)+1)</f>
        <v/>
      </c>
      <c r="Z195" s="24" t="str">
        <f aca="false">IF(AND($C195="",$I195="",$J195=""),"",IF($N195="","NO VAT CODE",IF($T195="","UNKNOWN VAT CODE",IF($S195="","MISSING FX RATE",IF(OR($A195&lt;Settings!$C$8,$A195&gt;Settings!$C$9),"OUTSIDE PERIOD",IF(AND(IFERROR(INDEX(VAT_Codes!$E:$E,MATCH($N195,VAT_Codes!$A:$A,0)),"ANY")&lt;&gt;"ANY",$P195=""),"MISSING COUNTERPARTY COUNTRY",IF(AND(IFERROR(INDEX(VAT_Codes!$E:$E,MATCH($N195,VAT_Codes!$A:$A,0)),"ANY")&lt;&gt;"ANY",$P195&lt;&gt;IFERROR(INDEX(VAT_Codes!$E:$E,MATCH($N195,VAT_Codes!$A:$A,0)),"ANY")),"REGION MISMATCH","OK")))))))</f>
        <v/>
      </c>
    </row>
    <row r="196" customFormat="false" ht="15" hidden="false" customHeight="false" outlineLevel="0" collapsed="false">
      <c r="M196" s="24" t="str">
        <f aca="false">IF($C196="","",IFERROR(INDEX(Account_Mapping!$C:$C,MATCH($C196&amp;"",Account_Mapping!$A:$A,0))&amp;"",""))</f>
        <v/>
      </c>
      <c r="N196" s="24" t="str">
        <f aca="false">IF($K196&lt;&gt;"",$K196,$M196)</f>
        <v/>
      </c>
      <c r="O196" s="24" t="str">
        <f aca="false">IF($F196="","",IFERROR(INDEX(Counterparties!$C:$C,MATCH($F196&amp;"",Counterparties!$A:$A,0))&amp;"",""))</f>
        <v/>
      </c>
      <c r="P196" s="24" t="str">
        <f aca="false">IF($O196="","",IF($O196="CY","CY",IF(ISNUMBER(MATCH($O196,Lists!$A:$A,0)),"EU","3RD")))</f>
        <v/>
      </c>
      <c r="Q196" s="24" t="str">
        <f aca="false">IF($F196="","N",IFERROR(IF(INDEX(Counterparties!$E:$E,MATCH($F196&amp;"",Counterparties!$A:$A,0))="Y","Y","N"),"N"))</f>
        <v>N</v>
      </c>
      <c r="R196" s="25" t="n">
        <f aca="false">IF(OR($H196="",$H196="EUR"),1,IFERROR(INDEX(FX_Rates!$D:$D,MATCH($H196,FX_Rates!$A:$A,0)),""))</f>
        <v>1</v>
      </c>
      <c r="S196" s="26" t="str">
        <f aca="false">IF(AND($I196="",$J196=""),"",IF($J196&lt;&gt;"",$J196,IF(OR($R196="",$R196=0),"",ROUND($I196/$R196,2))))</f>
        <v/>
      </c>
      <c r="T196" s="24" t="str">
        <f aca="false">IF($N196="","",IFERROR(INDEX(VAT_Codes!$C:$C,MATCH($N196,VAT_Codes!$A:$A,0)),"")&amp;"")</f>
        <v/>
      </c>
      <c r="U196" s="26" t="n">
        <f aca="false">IF(OR($S196="",$T196="",$T196="None"),0,IF($T196="Output",-$S196,$S196))</f>
        <v>0</v>
      </c>
      <c r="V196" s="27" t="n">
        <f aca="false">IF($N196="",0,IFERROR(INDEX(VAT_Codes!$D:$D,MATCH($N196,VAT_Codes!$A:$A,0)),0))</f>
        <v>0</v>
      </c>
      <c r="W196" s="26" t="n">
        <f aca="false">IF($U196=0,0,IF(IFERROR(INDEX(VAT_Codes!$F:$F,MATCH($N196,VAT_Codes!$A:$A,0)),"N")="Y",$U196,IF($L196&lt;&gt;"",ROUND(ABS($L196)/IF(OR($R196="",$R196=0),1,$R196),2)*SIGN($U196),ROUND($U196*$V196,2))))</f>
        <v>0</v>
      </c>
      <c r="X196" s="24" t="str">
        <f aca="false">IF($N196="","",IFERROR(INDEX(VAT_Codes!$H:$H,MATCH($N196,VAT_Codes!$A:$A,0)),"")&amp;"")</f>
        <v/>
      </c>
      <c r="Y196" s="24" t="str">
        <f aca="false">IF($A196="","",(YEAR($A196)-YEAR(Settings!$C$8))*12+MONTH($A196)-MONTH(Settings!$C$8)+1)</f>
        <v/>
      </c>
      <c r="Z196" s="24" t="str">
        <f aca="false">IF(AND($C196="",$I196="",$J196=""),"",IF($N196="","NO VAT CODE",IF($T196="","UNKNOWN VAT CODE",IF($S196="","MISSING FX RATE",IF(OR($A196&lt;Settings!$C$8,$A196&gt;Settings!$C$9),"OUTSIDE PERIOD",IF(AND(IFERROR(INDEX(VAT_Codes!$E:$E,MATCH($N196,VAT_Codes!$A:$A,0)),"ANY")&lt;&gt;"ANY",$P196=""),"MISSING COUNTERPARTY COUNTRY",IF(AND(IFERROR(INDEX(VAT_Codes!$E:$E,MATCH($N196,VAT_Codes!$A:$A,0)),"ANY")&lt;&gt;"ANY",$P196&lt;&gt;IFERROR(INDEX(VAT_Codes!$E:$E,MATCH($N196,VAT_Codes!$A:$A,0)),"ANY")),"REGION MISMATCH","OK")))))))</f>
        <v/>
      </c>
    </row>
    <row r="197" customFormat="false" ht="15" hidden="false" customHeight="false" outlineLevel="0" collapsed="false">
      <c r="M197" s="24" t="str">
        <f aca="false">IF($C197="","",IFERROR(INDEX(Account_Mapping!$C:$C,MATCH($C197&amp;"",Account_Mapping!$A:$A,0))&amp;"",""))</f>
        <v/>
      </c>
      <c r="N197" s="24" t="str">
        <f aca="false">IF($K197&lt;&gt;"",$K197,$M197)</f>
        <v/>
      </c>
      <c r="O197" s="24" t="str">
        <f aca="false">IF($F197="","",IFERROR(INDEX(Counterparties!$C:$C,MATCH($F197&amp;"",Counterparties!$A:$A,0))&amp;"",""))</f>
        <v/>
      </c>
      <c r="P197" s="24" t="str">
        <f aca="false">IF($O197="","",IF($O197="CY","CY",IF(ISNUMBER(MATCH($O197,Lists!$A:$A,0)),"EU","3RD")))</f>
        <v/>
      </c>
      <c r="Q197" s="24" t="str">
        <f aca="false">IF($F197="","N",IFERROR(IF(INDEX(Counterparties!$E:$E,MATCH($F197&amp;"",Counterparties!$A:$A,0))="Y","Y","N"),"N"))</f>
        <v>N</v>
      </c>
      <c r="R197" s="25" t="n">
        <f aca="false">IF(OR($H197="",$H197="EUR"),1,IFERROR(INDEX(FX_Rates!$D:$D,MATCH($H197,FX_Rates!$A:$A,0)),""))</f>
        <v>1</v>
      </c>
      <c r="S197" s="26" t="str">
        <f aca="false">IF(AND($I197="",$J197=""),"",IF($J197&lt;&gt;"",$J197,IF(OR($R197="",$R197=0),"",ROUND($I197/$R197,2))))</f>
        <v/>
      </c>
      <c r="T197" s="24" t="str">
        <f aca="false">IF($N197="","",IFERROR(INDEX(VAT_Codes!$C:$C,MATCH($N197,VAT_Codes!$A:$A,0)),"")&amp;"")</f>
        <v/>
      </c>
      <c r="U197" s="26" t="n">
        <f aca="false">IF(OR($S197="",$T197="",$T197="None"),0,IF($T197="Output",-$S197,$S197))</f>
        <v>0</v>
      </c>
      <c r="V197" s="27" t="n">
        <f aca="false">IF($N197="",0,IFERROR(INDEX(VAT_Codes!$D:$D,MATCH($N197,VAT_Codes!$A:$A,0)),0))</f>
        <v>0</v>
      </c>
      <c r="W197" s="26" t="n">
        <f aca="false">IF($U197=0,0,IF(IFERROR(INDEX(VAT_Codes!$F:$F,MATCH($N197,VAT_Codes!$A:$A,0)),"N")="Y",$U197,IF($L197&lt;&gt;"",ROUND(ABS($L197)/IF(OR($R197="",$R197=0),1,$R197),2)*SIGN($U197),ROUND($U197*$V197,2))))</f>
        <v>0</v>
      </c>
      <c r="X197" s="24" t="str">
        <f aca="false">IF($N197="","",IFERROR(INDEX(VAT_Codes!$H:$H,MATCH($N197,VAT_Codes!$A:$A,0)),"")&amp;"")</f>
        <v/>
      </c>
      <c r="Y197" s="24" t="str">
        <f aca="false">IF($A197="","",(YEAR($A197)-YEAR(Settings!$C$8))*12+MONTH($A197)-MONTH(Settings!$C$8)+1)</f>
        <v/>
      </c>
      <c r="Z197" s="24" t="str">
        <f aca="false">IF(AND($C197="",$I197="",$J197=""),"",IF($N197="","NO VAT CODE",IF($T197="","UNKNOWN VAT CODE",IF($S197="","MISSING FX RATE",IF(OR($A197&lt;Settings!$C$8,$A197&gt;Settings!$C$9),"OUTSIDE PERIOD",IF(AND(IFERROR(INDEX(VAT_Codes!$E:$E,MATCH($N197,VAT_Codes!$A:$A,0)),"ANY")&lt;&gt;"ANY",$P197=""),"MISSING COUNTERPARTY COUNTRY",IF(AND(IFERROR(INDEX(VAT_Codes!$E:$E,MATCH($N197,VAT_Codes!$A:$A,0)),"ANY")&lt;&gt;"ANY",$P197&lt;&gt;IFERROR(INDEX(VAT_Codes!$E:$E,MATCH($N197,VAT_Codes!$A:$A,0)),"ANY")),"REGION MISMATCH","OK")))))))</f>
        <v/>
      </c>
    </row>
    <row r="198" customFormat="false" ht="15" hidden="false" customHeight="false" outlineLevel="0" collapsed="false">
      <c r="M198" s="24" t="str">
        <f aca="false">IF($C198="","",IFERROR(INDEX(Account_Mapping!$C:$C,MATCH($C198&amp;"",Account_Mapping!$A:$A,0))&amp;"",""))</f>
        <v/>
      </c>
      <c r="N198" s="24" t="str">
        <f aca="false">IF($K198&lt;&gt;"",$K198,$M198)</f>
        <v/>
      </c>
      <c r="O198" s="24" t="str">
        <f aca="false">IF($F198="","",IFERROR(INDEX(Counterparties!$C:$C,MATCH($F198&amp;"",Counterparties!$A:$A,0))&amp;"",""))</f>
        <v/>
      </c>
      <c r="P198" s="24" t="str">
        <f aca="false">IF($O198="","",IF($O198="CY","CY",IF(ISNUMBER(MATCH($O198,Lists!$A:$A,0)),"EU","3RD")))</f>
        <v/>
      </c>
      <c r="Q198" s="24" t="str">
        <f aca="false">IF($F198="","N",IFERROR(IF(INDEX(Counterparties!$E:$E,MATCH($F198&amp;"",Counterparties!$A:$A,0))="Y","Y","N"),"N"))</f>
        <v>N</v>
      </c>
      <c r="R198" s="25" t="n">
        <f aca="false">IF(OR($H198="",$H198="EUR"),1,IFERROR(INDEX(FX_Rates!$D:$D,MATCH($H198,FX_Rates!$A:$A,0)),""))</f>
        <v>1</v>
      </c>
      <c r="S198" s="26" t="str">
        <f aca="false">IF(AND($I198="",$J198=""),"",IF($J198&lt;&gt;"",$J198,IF(OR($R198="",$R198=0),"",ROUND($I198/$R198,2))))</f>
        <v/>
      </c>
      <c r="T198" s="24" t="str">
        <f aca="false">IF($N198="","",IFERROR(INDEX(VAT_Codes!$C:$C,MATCH($N198,VAT_Codes!$A:$A,0)),"")&amp;"")</f>
        <v/>
      </c>
      <c r="U198" s="26" t="n">
        <f aca="false">IF(OR($S198="",$T198="",$T198="None"),0,IF($T198="Output",-$S198,$S198))</f>
        <v>0</v>
      </c>
      <c r="V198" s="27" t="n">
        <f aca="false">IF($N198="",0,IFERROR(INDEX(VAT_Codes!$D:$D,MATCH($N198,VAT_Codes!$A:$A,0)),0))</f>
        <v>0</v>
      </c>
      <c r="W198" s="26" t="n">
        <f aca="false">IF($U198=0,0,IF(IFERROR(INDEX(VAT_Codes!$F:$F,MATCH($N198,VAT_Codes!$A:$A,0)),"N")="Y",$U198,IF($L198&lt;&gt;"",ROUND(ABS($L198)/IF(OR($R198="",$R198=0),1,$R198),2)*SIGN($U198),ROUND($U198*$V198,2))))</f>
        <v>0</v>
      </c>
      <c r="X198" s="24" t="str">
        <f aca="false">IF($N198="","",IFERROR(INDEX(VAT_Codes!$H:$H,MATCH($N198,VAT_Codes!$A:$A,0)),"")&amp;"")</f>
        <v/>
      </c>
      <c r="Y198" s="24" t="str">
        <f aca="false">IF($A198="","",(YEAR($A198)-YEAR(Settings!$C$8))*12+MONTH($A198)-MONTH(Settings!$C$8)+1)</f>
        <v/>
      </c>
      <c r="Z198" s="24" t="str">
        <f aca="false">IF(AND($C198="",$I198="",$J198=""),"",IF($N198="","NO VAT CODE",IF($T198="","UNKNOWN VAT CODE",IF($S198="","MISSING FX RATE",IF(OR($A198&lt;Settings!$C$8,$A198&gt;Settings!$C$9),"OUTSIDE PERIOD",IF(AND(IFERROR(INDEX(VAT_Codes!$E:$E,MATCH($N198,VAT_Codes!$A:$A,0)),"ANY")&lt;&gt;"ANY",$P198=""),"MISSING COUNTERPARTY COUNTRY",IF(AND(IFERROR(INDEX(VAT_Codes!$E:$E,MATCH($N198,VAT_Codes!$A:$A,0)),"ANY")&lt;&gt;"ANY",$P198&lt;&gt;IFERROR(INDEX(VAT_Codes!$E:$E,MATCH($N198,VAT_Codes!$A:$A,0)),"ANY")),"REGION MISMATCH","OK")))))))</f>
        <v/>
      </c>
    </row>
    <row r="199" customFormat="false" ht="15" hidden="false" customHeight="false" outlineLevel="0" collapsed="false">
      <c r="M199" s="24" t="str">
        <f aca="false">IF($C199="","",IFERROR(INDEX(Account_Mapping!$C:$C,MATCH($C199&amp;"",Account_Mapping!$A:$A,0))&amp;"",""))</f>
        <v/>
      </c>
      <c r="N199" s="24" t="str">
        <f aca="false">IF($K199&lt;&gt;"",$K199,$M199)</f>
        <v/>
      </c>
      <c r="O199" s="24" t="str">
        <f aca="false">IF($F199="","",IFERROR(INDEX(Counterparties!$C:$C,MATCH($F199&amp;"",Counterparties!$A:$A,0))&amp;"",""))</f>
        <v/>
      </c>
      <c r="P199" s="24" t="str">
        <f aca="false">IF($O199="","",IF($O199="CY","CY",IF(ISNUMBER(MATCH($O199,Lists!$A:$A,0)),"EU","3RD")))</f>
        <v/>
      </c>
      <c r="Q199" s="24" t="str">
        <f aca="false">IF($F199="","N",IFERROR(IF(INDEX(Counterparties!$E:$E,MATCH($F199&amp;"",Counterparties!$A:$A,0))="Y","Y","N"),"N"))</f>
        <v>N</v>
      </c>
      <c r="R199" s="25" t="n">
        <f aca="false">IF(OR($H199="",$H199="EUR"),1,IFERROR(INDEX(FX_Rates!$D:$D,MATCH($H199,FX_Rates!$A:$A,0)),""))</f>
        <v>1</v>
      </c>
      <c r="S199" s="26" t="str">
        <f aca="false">IF(AND($I199="",$J199=""),"",IF($J199&lt;&gt;"",$J199,IF(OR($R199="",$R199=0),"",ROUND($I199/$R199,2))))</f>
        <v/>
      </c>
      <c r="T199" s="24" t="str">
        <f aca="false">IF($N199="","",IFERROR(INDEX(VAT_Codes!$C:$C,MATCH($N199,VAT_Codes!$A:$A,0)),"")&amp;"")</f>
        <v/>
      </c>
      <c r="U199" s="26" t="n">
        <f aca="false">IF(OR($S199="",$T199="",$T199="None"),0,IF($T199="Output",-$S199,$S199))</f>
        <v>0</v>
      </c>
      <c r="V199" s="27" t="n">
        <f aca="false">IF($N199="",0,IFERROR(INDEX(VAT_Codes!$D:$D,MATCH($N199,VAT_Codes!$A:$A,0)),0))</f>
        <v>0</v>
      </c>
      <c r="W199" s="26" t="n">
        <f aca="false">IF($U199=0,0,IF(IFERROR(INDEX(VAT_Codes!$F:$F,MATCH($N199,VAT_Codes!$A:$A,0)),"N")="Y",$U199,IF($L199&lt;&gt;"",ROUND(ABS($L199)/IF(OR($R199="",$R199=0),1,$R199),2)*SIGN($U199),ROUND($U199*$V199,2))))</f>
        <v>0</v>
      </c>
      <c r="X199" s="24" t="str">
        <f aca="false">IF($N199="","",IFERROR(INDEX(VAT_Codes!$H:$H,MATCH($N199,VAT_Codes!$A:$A,0)),"")&amp;"")</f>
        <v/>
      </c>
      <c r="Y199" s="24" t="str">
        <f aca="false">IF($A199="","",(YEAR($A199)-YEAR(Settings!$C$8))*12+MONTH($A199)-MONTH(Settings!$C$8)+1)</f>
        <v/>
      </c>
      <c r="Z199" s="24" t="str">
        <f aca="false">IF(AND($C199="",$I199="",$J199=""),"",IF($N199="","NO VAT CODE",IF($T199="","UNKNOWN VAT CODE",IF($S199="","MISSING FX RATE",IF(OR($A199&lt;Settings!$C$8,$A199&gt;Settings!$C$9),"OUTSIDE PERIOD",IF(AND(IFERROR(INDEX(VAT_Codes!$E:$E,MATCH($N199,VAT_Codes!$A:$A,0)),"ANY")&lt;&gt;"ANY",$P199=""),"MISSING COUNTERPARTY COUNTRY",IF(AND(IFERROR(INDEX(VAT_Codes!$E:$E,MATCH($N199,VAT_Codes!$A:$A,0)),"ANY")&lt;&gt;"ANY",$P199&lt;&gt;IFERROR(INDEX(VAT_Codes!$E:$E,MATCH($N199,VAT_Codes!$A:$A,0)),"ANY")),"REGION MISMATCH","OK")))))))</f>
        <v/>
      </c>
    </row>
    <row r="200" customFormat="false" ht="15" hidden="false" customHeight="false" outlineLevel="0" collapsed="false">
      <c r="M200" s="24" t="str">
        <f aca="false">IF($C200="","",IFERROR(INDEX(Account_Mapping!$C:$C,MATCH($C200&amp;"",Account_Mapping!$A:$A,0))&amp;"",""))</f>
        <v/>
      </c>
      <c r="N200" s="24" t="str">
        <f aca="false">IF($K200&lt;&gt;"",$K200,$M200)</f>
        <v/>
      </c>
      <c r="O200" s="24" t="str">
        <f aca="false">IF($F200="","",IFERROR(INDEX(Counterparties!$C:$C,MATCH($F200&amp;"",Counterparties!$A:$A,0))&amp;"",""))</f>
        <v/>
      </c>
      <c r="P200" s="24" t="str">
        <f aca="false">IF($O200="","",IF($O200="CY","CY",IF(ISNUMBER(MATCH($O200,Lists!$A:$A,0)),"EU","3RD")))</f>
        <v/>
      </c>
      <c r="Q200" s="24" t="str">
        <f aca="false">IF($F200="","N",IFERROR(IF(INDEX(Counterparties!$E:$E,MATCH($F200&amp;"",Counterparties!$A:$A,0))="Y","Y","N"),"N"))</f>
        <v>N</v>
      </c>
      <c r="R200" s="25" t="n">
        <f aca="false">IF(OR($H200="",$H200="EUR"),1,IFERROR(INDEX(FX_Rates!$D:$D,MATCH($H200,FX_Rates!$A:$A,0)),""))</f>
        <v>1</v>
      </c>
      <c r="S200" s="26" t="str">
        <f aca="false">IF(AND($I200="",$J200=""),"",IF($J200&lt;&gt;"",$J200,IF(OR($R200="",$R200=0),"",ROUND($I200/$R200,2))))</f>
        <v/>
      </c>
      <c r="T200" s="24" t="str">
        <f aca="false">IF($N200="","",IFERROR(INDEX(VAT_Codes!$C:$C,MATCH($N200,VAT_Codes!$A:$A,0)),"")&amp;"")</f>
        <v/>
      </c>
      <c r="U200" s="26" t="n">
        <f aca="false">IF(OR($S200="",$T200="",$T200="None"),0,IF($T200="Output",-$S200,$S200))</f>
        <v>0</v>
      </c>
      <c r="V200" s="27" t="n">
        <f aca="false">IF($N200="",0,IFERROR(INDEX(VAT_Codes!$D:$D,MATCH($N200,VAT_Codes!$A:$A,0)),0))</f>
        <v>0</v>
      </c>
      <c r="W200" s="26" t="n">
        <f aca="false">IF($U200=0,0,IF(IFERROR(INDEX(VAT_Codes!$F:$F,MATCH($N200,VAT_Codes!$A:$A,0)),"N")="Y",$U200,IF($L200&lt;&gt;"",ROUND(ABS($L200)/IF(OR($R200="",$R200=0),1,$R200),2)*SIGN($U200),ROUND($U200*$V200,2))))</f>
        <v>0</v>
      </c>
      <c r="X200" s="24" t="str">
        <f aca="false">IF($N200="","",IFERROR(INDEX(VAT_Codes!$H:$H,MATCH($N200,VAT_Codes!$A:$A,0)),"")&amp;"")</f>
        <v/>
      </c>
      <c r="Y200" s="24" t="str">
        <f aca="false">IF($A200="","",(YEAR($A200)-YEAR(Settings!$C$8))*12+MONTH($A200)-MONTH(Settings!$C$8)+1)</f>
        <v/>
      </c>
      <c r="Z200" s="24" t="str">
        <f aca="false">IF(AND($C200="",$I200="",$J200=""),"",IF($N200="","NO VAT CODE",IF($T200="","UNKNOWN VAT CODE",IF($S200="","MISSING FX RATE",IF(OR($A200&lt;Settings!$C$8,$A200&gt;Settings!$C$9),"OUTSIDE PERIOD",IF(AND(IFERROR(INDEX(VAT_Codes!$E:$E,MATCH($N200,VAT_Codes!$A:$A,0)),"ANY")&lt;&gt;"ANY",$P200=""),"MISSING COUNTERPARTY COUNTRY",IF(AND(IFERROR(INDEX(VAT_Codes!$E:$E,MATCH($N200,VAT_Codes!$A:$A,0)),"ANY")&lt;&gt;"ANY",$P200&lt;&gt;IFERROR(INDEX(VAT_Codes!$E:$E,MATCH($N200,VAT_Codes!$A:$A,0)),"ANY")),"REGION MISMATCH","OK")))))))</f>
        <v/>
      </c>
    </row>
    <row r="201" customFormat="false" ht="15" hidden="false" customHeight="false" outlineLevel="0" collapsed="false">
      <c r="M201" s="24" t="str">
        <f aca="false">IF($C201="","",IFERROR(INDEX(Account_Mapping!$C:$C,MATCH($C201&amp;"",Account_Mapping!$A:$A,0))&amp;"",""))</f>
        <v/>
      </c>
      <c r="N201" s="24" t="str">
        <f aca="false">IF($K201&lt;&gt;"",$K201,$M201)</f>
        <v/>
      </c>
      <c r="O201" s="24" t="str">
        <f aca="false">IF($F201="","",IFERROR(INDEX(Counterparties!$C:$C,MATCH($F201&amp;"",Counterparties!$A:$A,0))&amp;"",""))</f>
        <v/>
      </c>
      <c r="P201" s="24" t="str">
        <f aca="false">IF($O201="","",IF($O201="CY","CY",IF(ISNUMBER(MATCH($O201,Lists!$A:$A,0)),"EU","3RD")))</f>
        <v/>
      </c>
      <c r="Q201" s="24" t="str">
        <f aca="false">IF($F201="","N",IFERROR(IF(INDEX(Counterparties!$E:$E,MATCH($F201&amp;"",Counterparties!$A:$A,0))="Y","Y","N"),"N"))</f>
        <v>N</v>
      </c>
      <c r="R201" s="25" t="n">
        <f aca="false">IF(OR($H201="",$H201="EUR"),1,IFERROR(INDEX(FX_Rates!$D:$D,MATCH($H201,FX_Rates!$A:$A,0)),""))</f>
        <v>1</v>
      </c>
      <c r="S201" s="26" t="str">
        <f aca="false">IF(AND($I201="",$J201=""),"",IF($J201&lt;&gt;"",$J201,IF(OR($R201="",$R201=0),"",ROUND($I201/$R201,2))))</f>
        <v/>
      </c>
      <c r="T201" s="24" t="str">
        <f aca="false">IF($N201="","",IFERROR(INDEX(VAT_Codes!$C:$C,MATCH($N201,VAT_Codes!$A:$A,0)),"")&amp;"")</f>
        <v/>
      </c>
      <c r="U201" s="26" t="n">
        <f aca="false">IF(OR($S201="",$T201="",$T201="None"),0,IF($T201="Output",-$S201,$S201))</f>
        <v>0</v>
      </c>
      <c r="V201" s="27" t="n">
        <f aca="false">IF($N201="",0,IFERROR(INDEX(VAT_Codes!$D:$D,MATCH($N201,VAT_Codes!$A:$A,0)),0))</f>
        <v>0</v>
      </c>
      <c r="W201" s="26" t="n">
        <f aca="false">IF($U201=0,0,IF(IFERROR(INDEX(VAT_Codes!$F:$F,MATCH($N201,VAT_Codes!$A:$A,0)),"N")="Y",$U201,IF($L201&lt;&gt;"",ROUND(ABS($L201)/IF(OR($R201="",$R201=0),1,$R201),2)*SIGN($U201),ROUND($U201*$V201,2))))</f>
        <v>0</v>
      </c>
      <c r="X201" s="24" t="str">
        <f aca="false">IF($N201="","",IFERROR(INDEX(VAT_Codes!$H:$H,MATCH($N201,VAT_Codes!$A:$A,0)),"")&amp;"")</f>
        <v/>
      </c>
      <c r="Y201" s="24" t="str">
        <f aca="false">IF($A201="","",(YEAR($A201)-YEAR(Settings!$C$8))*12+MONTH($A201)-MONTH(Settings!$C$8)+1)</f>
        <v/>
      </c>
      <c r="Z201" s="24" t="str">
        <f aca="false">IF(AND($C201="",$I201="",$J201=""),"",IF($N201="","NO VAT CODE",IF($T201="","UNKNOWN VAT CODE",IF($S201="","MISSING FX RATE",IF(OR($A201&lt;Settings!$C$8,$A201&gt;Settings!$C$9),"OUTSIDE PERIOD",IF(AND(IFERROR(INDEX(VAT_Codes!$E:$E,MATCH($N201,VAT_Codes!$A:$A,0)),"ANY")&lt;&gt;"ANY",$P201=""),"MISSING COUNTERPARTY COUNTRY",IF(AND(IFERROR(INDEX(VAT_Codes!$E:$E,MATCH($N201,VAT_Codes!$A:$A,0)),"ANY")&lt;&gt;"ANY",$P201&lt;&gt;IFERROR(INDEX(VAT_Codes!$E:$E,MATCH($N201,VAT_Codes!$A:$A,0)),"ANY")),"REGION MISMATCH","OK")))))))</f>
        <v/>
      </c>
    </row>
    <row r="202" customFormat="false" ht="15" hidden="false" customHeight="false" outlineLevel="0" collapsed="false">
      <c r="M202" s="24" t="str">
        <f aca="false">IF($C202="","",IFERROR(INDEX(Account_Mapping!$C:$C,MATCH($C202&amp;"",Account_Mapping!$A:$A,0))&amp;"",""))</f>
        <v/>
      </c>
      <c r="N202" s="24" t="str">
        <f aca="false">IF($K202&lt;&gt;"",$K202,$M202)</f>
        <v/>
      </c>
      <c r="O202" s="24" t="str">
        <f aca="false">IF($F202="","",IFERROR(INDEX(Counterparties!$C:$C,MATCH($F202&amp;"",Counterparties!$A:$A,0))&amp;"",""))</f>
        <v/>
      </c>
      <c r="P202" s="24" t="str">
        <f aca="false">IF($O202="","",IF($O202="CY","CY",IF(ISNUMBER(MATCH($O202,Lists!$A:$A,0)),"EU","3RD")))</f>
        <v/>
      </c>
      <c r="Q202" s="24" t="str">
        <f aca="false">IF($F202="","N",IFERROR(IF(INDEX(Counterparties!$E:$E,MATCH($F202&amp;"",Counterparties!$A:$A,0))="Y","Y","N"),"N"))</f>
        <v>N</v>
      </c>
      <c r="R202" s="25" t="n">
        <f aca="false">IF(OR($H202="",$H202="EUR"),1,IFERROR(INDEX(FX_Rates!$D:$D,MATCH($H202,FX_Rates!$A:$A,0)),""))</f>
        <v>1</v>
      </c>
      <c r="S202" s="26" t="str">
        <f aca="false">IF(AND($I202="",$J202=""),"",IF($J202&lt;&gt;"",$J202,IF(OR($R202="",$R202=0),"",ROUND($I202/$R202,2))))</f>
        <v/>
      </c>
      <c r="T202" s="24" t="str">
        <f aca="false">IF($N202="","",IFERROR(INDEX(VAT_Codes!$C:$C,MATCH($N202,VAT_Codes!$A:$A,0)),"")&amp;"")</f>
        <v/>
      </c>
      <c r="U202" s="26" t="n">
        <f aca="false">IF(OR($S202="",$T202="",$T202="None"),0,IF($T202="Output",-$S202,$S202))</f>
        <v>0</v>
      </c>
      <c r="V202" s="27" t="n">
        <f aca="false">IF($N202="",0,IFERROR(INDEX(VAT_Codes!$D:$D,MATCH($N202,VAT_Codes!$A:$A,0)),0))</f>
        <v>0</v>
      </c>
      <c r="W202" s="26" t="n">
        <f aca="false">IF($U202=0,0,IF(IFERROR(INDEX(VAT_Codes!$F:$F,MATCH($N202,VAT_Codes!$A:$A,0)),"N")="Y",$U202,IF($L202&lt;&gt;"",ROUND(ABS($L202)/IF(OR($R202="",$R202=0),1,$R202),2)*SIGN($U202),ROUND($U202*$V202,2))))</f>
        <v>0</v>
      </c>
      <c r="X202" s="24" t="str">
        <f aca="false">IF($N202="","",IFERROR(INDEX(VAT_Codes!$H:$H,MATCH($N202,VAT_Codes!$A:$A,0)),"")&amp;"")</f>
        <v/>
      </c>
      <c r="Y202" s="24" t="str">
        <f aca="false">IF($A202="","",(YEAR($A202)-YEAR(Settings!$C$8))*12+MONTH($A202)-MONTH(Settings!$C$8)+1)</f>
        <v/>
      </c>
      <c r="Z202" s="24" t="str">
        <f aca="false">IF(AND($C202="",$I202="",$J202=""),"",IF($N202="","NO VAT CODE",IF($T202="","UNKNOWN VAT CODE",IF($S202="","MISSING FX RATE",IF(OR($A202&lt;Settings!$C$8,$A202&gt;Settings!$C$9),"OUTSIDE PERIOD",IF(AND(IFERROR(INDEX(VAT_Codes!$E:$E,MATCH($N202,VAT_Codes!$A:$A,0)),"ANY")&lt;&gt;"ANY",$P202=""),"MISSING COUNTERPARTY COUNTRY",IF(AND(IFERROR(INDEX(VAT_Codes!$E:$E,MATCH($N202,VAT_Codes!$A:$A,0)),"ANY")&lt;&gt;"ANY",$P202&lt;&gt;IFERROR(INDEX(VAT_Codes!$E:$E,MATCH($N202,VAT_Codes!$A:$A,0)),"ANY")),"REGION MISMATCH","OK")))))))</f>
        <v/>
      </c>
    </row>
    <row r="203" customFormat="false" ht="15" hidden="false" customHeight="false" outlineLevel="0" collapsed="false">
      <c r="M203" s="24" t="str">
        <f aca="false">IF($C203="","",IFERROR(INDEX(Account_Mapping!$C:$C,MATCH($C203&amp;"",Account_Mapping!$A:$A,0))&amp;"",""))</f>
        <v/>
      </c>
      <c r="N203" s="24" t="str">
        <f aca="false">IF($K203&lt;&gt;"",$K203,$M203)</f>
        <v/>
      </c>
      <c r="O203" s="24" t="str">
        <f aca="false">IF($F203="","",IFERROR(INDEX(Counterparties!$C:$C,MATCH($F203&amp;"",Counterparties!$A:$A,0))&amp;"",""))</f>
        <v/>
      </c>
      <c r="P203" s="24" t="str">
        <f aca="false">IF($O203="","",IF($O203="CY","CY",IF(ISNUMBER(MATCH($O203,Lists!$A:$A,0)),"EU","3RD")))</f>
        <v/>
      </c>
      <c r="Q203" s="24" t="str">
        <f aca="false">IF($F203="","N",IFERROR(IF(INDEX(Counterparties!$E:$E,MATCH($F203&amp;"",Counterparties!$A:$A,0))="Y","Y","N"),"N"))</f>
        <v>N</v>
      </c>
      <c r="R203" s="25" t="n">
        <f aca="false">IF(OR($H203="",$H203="EUR"),1,IFERROR(INDEX(FX_Rates!$D:$D,MATCH($H203,FX_Rates!$A:$A,0)),""))</f>
        <v>1</v>
      </c>
      <c r="S203" s="26" t="str">
        <f aca="false">IF(AND($I203="",$J203=""),"",IF($J203&lt;&gt;"",$J203,IF(OR($R203="",$R203=0),"",ROUND($I203/$R203,2))))</f>
        <v/>
      </c>
      <c r="T203" s="24" t="str">
        <f aca="false">IF($N203="","",IFERROR(INDEX(VAT_Codes!$C:$C,MATCH($N203,VAT_Codes!$A:$A,0)),"")&amp;"")</f>
        <v/>
      </c>
      <c r="U203" s="26" t="n">
        <f aca="false">IF(OR($S203="",$T203="",$T203="None"),0,IF($T203="Output",-$S203,$S203))</f>
        <v>0</v>
      </c>
      <c r="V203" s="27" t="n">
        <f aca="false">IF($N203="",0,IFERROR(INDEX(VAT_Codes!$D:$D,MATCH($N203,VAT_Codes!$A:$A,0)),0))</f>
        <v>0</v>
      </c>
      <c r="W203" s="26" t="n">
        <f aca="false">IF($U203=0,0,IF(IFERROR(INDEX(VAT_Codes!$F:$F,MATCH($N203,VAT_Codes!$A:$A,0)),"N")="Y",$U203,IF($L203&lt;&gt;"",ROUND(ABS($L203)/IF(OR($R203="",$R203=0),1,$R203),2)*SIGN($U203),ROUND($U203*$V203,2))))</f>
        <v>0</v>
      </c>
      <c r="X203" s="24" t="str">
        <f aca="false">IF($N203="","",IFERROR(INDEX(VAT_Codes!$H:$H,MATCH($N203,VAT_Codes!$A:$A,0)),"")&amp;"")</f>
        <v/>
      </c>
      <c r="Y203" s="24" t="str">
        <f aca="false">IF($A203="","",(YEAR($A203)-YEAR(Settings!$C$8))*12+MONTH($A203)-MONTH(Settings!$C$8)+1)</f>
        <v/>
      </c>
      <c r="Z203" s="24" t="str">
        <f aca="false">IF(AND($C203="",$I203="",$J203=""),"",IF($N203="","NO VAT CODE",IF($T203="","UNKNOWN VAT CODE",IF($S203="","MISSING FX RATE",IF(OR($A203&lt;Settings!$C$8,$A203&gt;Settings!$C$9),"OUTSIDE PERIOD",IF(AND(IFERROR(INDEX(VAT_Codes!$E:$E,MATCH($N203,VAT_Codes!$A:$A,0)),"ANY")&lt;&gt;"ANY",$P203=""),"MISSING COUNTERPARTY COUNTRY",IF(AND(IFERROR(INDEX(VAT_Codes!$E:$E,MATCH($N203,VAT_Codes!$A:$A,0)),"ANY")&lt;&gt;"ANY",$P203&lt;&gt;IFERROR(INDEX(VAT_Codes!$E:$E,MATCH($N203,VAT_Codes!$A:$A,0)),"ANY")),"REGION MISMATCH","OK")))))))</f>
        <v/>
      </c>
    </row>
    <row r="204" customFormat="false" ht="15" hidden="false" customHeight="false" outlineLevel="0" collapsed="false">
      <c r="M204" s="24" t="str">
        <f aca="false">IF($C204="","",IFERROR(INDEX(Account_Mapping!$C:$C,MATCH($C204&amp;"",Account_Mapping!$A:$A,0))&amp;"",""))</f>
        <v/>
      </c>
      <c r="N204" s="24" t="str">
        <f aca="false">IF($K204&lt;&gt;"",$K204,$M204)</f>
        <v/>
      </c>
      <c r="O204" s="24" t="str">
        <f aca="false">IF($F204="","",IFERROR(INDEX(Counterparties!$C:$C,MATCH($F204&amp;"",Counterparties!$A:$A,0))&amp;"",""))</f>
        <v/>
      </c>
      <c r="P204" s="24" t="str">
        <f aca="false">IF($O204="","",IF($O204="CY","CY",IF(ISNUMBER(MATCH($O204,Lists!$A:$A,0)),"EU","3RD")))</f>
        <v/>
      </c>
      <c r="Q204" s="24" t="str">
        <f aca="false">IF($F204="","N",IFERROR(IF(INDEX(Counterparties!$E:$E,MATCH($F204&amp;"",Counterparties!$A:$A,0))="Y","Y","N"),"N"))</f>
        <v>N</v>
      </c>
      <c r="R204" s="25" t="n">
        <f aca="false">IF(OR($H204="",$H204="EUR"),1,IFERROR(INDEX(FX_Rates!$D:$D,MATCH($H204,FX_Rates!$A:$A,0)),""))</f>
        <v>1</v>
      </c>
      <c r="S204" s="26" t="str">
        <f aca="false">IF(AND($I204="",$J204=""),"",IF($J204&lt;&gt;"",$J204,IF(OR($R204="",$R204=0),"",ROUND($I204/$R204,2))))</f>
        <v/>
      </c>
      <c r="T204" s="24" t="str">
        <f aca="false">IF($N204="","",IFERROR(INDEX(VAT_Codes!$C:$C,MATCH($N204,VAT_Codes!$A:$A,0)),"")&amp;"")</f>
        <v/>
      </c>
      <c r="U204" s="26" t="n">
        <f aca="false">IF(OR($S204="",$T204="",$T204="None"),0,IF($T204="Output",-$S204,$S204))</f>
        <v>0</v>
      </c>
      <c r="V204" s="27" t="n">
        <f aca="false">IF($N204="",0,IFERROR(INDEX(VAT_Codes!$D:$D,MATCH($N204,VAT_Codes!$A:$A,0)),0))</f>
        <v>0</v>
      </c>
      <c r="W204" s="26" t="n">
        <f aca="false">IF($U204=0,0,IF(IFERROR(INDEX(VAT_Codes!$F:$F,MATCH($N204,VAT_Codes!$A:$A,0)),"N")="Y",$U204,IF($L204&lt;&gt;"",ROUND(ABS($L204)/IF(OR($R204="",$R204=0),1,$R204),2)*SIGN($U204),ROUND($U204*$V204,2))))</f>
        <v>0</v>
      </c>
      <c r="X204" s="24" t="str">
        <f aca="false">IF($N204="","",IFERROR(INDEX(VAT_Codes!$H:$H,MATCH($N204,VAT_Codes!$A:$A,0)),"")&amp;"")</f>
        <v/>
      </c>
      <c r="Y204" s="24" t="str">
        <f aca="false">IF($A204="","",(YEAR($A204)-YEAR(Settings!$C$8))*12+MONTH($A204)-MONTH(Settings!$C$8)+1)</f>
        <v/>
      </c>
      <c r="Z204" s="24" t="str">
        <f aca="false">IF(AND($C204="",$I204="",$J204=""),"",IF($N204="","NO VAT CODE",IF($T204="","UNKNOWN VAT CODE",IF($S204="","MISSING FX RATE",IF(OR($A204&lt;Settings!$C$8,$A204&gt;Settings!$C$9),"OUTSIDE PERIOD",IF(AND(IFERROR(INDEX(VAT_Codes!$E:$E,MATCH($N204,VAT_Codes!$A:$A,0)),"ANY")&lt;&gt;"ANY",$P204=""),"MISSING COUNTERPARTY COUNTRY",IF(AND(IFERROR(INDEX(VAT_Codes!$E:$E,MATCH($N204,VAT_Codes!$A:$A,0)),"ANY")&lt;&gt;"ANY",$P204&lt;&gt;IFERROR(INDEX(VAT_Codes!$E:$E,MATCH($N204,VAT_Codes!$A:$A,0)),"ANY")),"REGION MISMATCH","OK")))))))</f>
        <v/>
      </c>
    </row>
    <row r="205" customFormat="false" ht="15" hidden="false" customHeight="false" outlineLevel="0" collapsed="false">
      <c r="M205" s="24" t="str">
        <f aca="false">IF($C205="","",IFERROR(INDEX(Account_Mapping!$C:$C,MATCH($C205&amp;"",Account_Mapping!$A:$A,0))&amp;"",""))</f>
        <v/>
      </c>
      <c r="N205" s="24" t="str">
        <f aca="false">IF($K205&lt;&gt;"",$K205,$M205)</f>
        <v/>
      </c>
      <c r="O205" s="24" t="str">
        <f aca="false">IF($F205="","",IFERROR(INDEX(Counterparties!$C:$C,MATCH($F205&amp;"",Counterparties!$A:$A,0))&amp;"",""))</f>
        <v/>
      </c>
      <c r="P205" s="24" t="str">
        <f aca="false">IF($O205="","",IF($O205="CY","CY",IF(ISNUMBER(MATCH($O205,Lists!$A:$A,0)),"EU","3RD")))</f>
        <v/>
      </c>
      <c r="Q205" s="24" t="str">
        <f aca="false">IF($F205="","N",IFERROR(IF(INDEX(Counterparties!$E:$E,MATCH($F205&amp;"",Counterparties!$A:$A,0))="Y","Y","N"),"N"))</f>
        <v>N</v>
      </c>
      <c r="R205" s="25" t="n">
        <f aca="false">IF(OR($H205="",$H205="EUR"),1,IFERROR(INDEX(FX_Rates!$D:$D,MATCH($H205,FX_Rates!$A:$A,0)),""))</f>
        <v>1</v>
      </c>
      <c r="S205" s="26" t="str">
        <f aca="false">IF(AND($I205="",$J205=""),"",IF($J205&lt;&gt;"",$J205,IF(OR($R205="",$R205=0),"",ROUND($I205/$R205,2))))</f>
        <v/>
      </c>
      <c r="T205" s="24" t="str">
        <f aca="false">IF($N205="","",IFERROR(INDEX(VAT_Codes!$C:$C,MATCH($N205,VAT_Codes!$A:$A,0)),"")&amp;"")</f>
        <v/>
      </c>
      <c r="U205" s="26" t="n">
        <f aca="false">IF(OR($S205="",$T205="",$T205="None"),0,IF($T205="Output",-$S205,$S205))</f>
        <v>0</v>
      </c>
      <c r="V205" s="27" t="n">
        <f aca="false">IF($N205="",0,IFERROR(INDEX(VAT_Codes!$D:$D,MATCH($N205,VAT_Codes!$A:$A,0)),0))</f>
        <v>0</v>
      </c>
      <c r="W205" s="26" t="n">
        <f aca="false">IF($U205=0,0,IF(IFERROR(INDEX(VAT_Codes!$F:$F,MATCH($N205,VAT_Codes!$A:$A,0)),"N")="Y",$U205,IF($L205&lt;&gt;"",ROUND(ABS($L205)/IF(OR($R205="",$R205=0),1,$R205),2)*SIGN($U205),ROUND($U205*$V205,2))))</f>
        <v>0</v>
      </c>
      <c r="X205" s="24" t="str">
        <f aca="false">IF($N205="","",IFERROR(INDEX(VAT_Codes!$H:$H,MATCH($N205,VAT_Codes!$A:$A,0)),"")&amp;"")</f>
        <v/>
      </c>
      <c r="Y205" s="24" t="str">
        <f aca="false">IF($A205="","",(YEAR($A205)-YEAR(Settings!$C$8))*12+MONTH($A205)-MONTH(Settings!$C$8)+1)</f>
        <v/>
      </c>
      <c r="Z205" s="24" t="str">
        <f aca="false">IF(AND($C205="",$I205="",$J205=""),"",IF($N205="","NO VAT CODE",IF($T205="","UNKNOWN VAT CODE",IF($S205="","MISSING FX RATE",IF(OR($A205&lt;Settings!$C$8,$A205&gt;Settings!$C$9),"OUTSIDE PERIOD",IF(AND(IFERROR(INDEX(VAT_Codes!$E:$E,MATCH($N205,VAT_Codes!$A:$A,0)),"ANY")&lt;&gt;"ANY",$P205=""),"MISSING COUNTERPARTY COUNTRY",IF(AND(IFERROR(INDEX(VAT_Codes!$E:$E,MATCH($N205,VAT_Codes!$A:$A,0)),"ANY")&lt;&gt;"ANY",$P205&lt;&gt;IFERROR(INDEX(VAT_Codes!$E:$E,MATCH($N205,VAT_Codes!$A:$A,0)),"ANY")),"REGION MISMATCH","OK")))))))</f>
        <v/>
      </c>
    </row>
    <row r="206" customFormat="false" ht="15" hidden="false" customHeight="false" outlineLevel="0" collapsed="false">
      <c r="M206" s="24" t="str">
        <f aca="false">IF($C206="","",IFERROR(INDEX(Account_Mapping!$C:$C,MATCH($C206&amp;"",Account_Mapping!$A:$A,0))&amp;"",""))</f>
        <v/>
      </c>
      <c r="N206" s="24" t="str">
        <f aca="false">IF($K206&lt;&gt;"",$K206,$M206)</f>
        <v/>
      </c>
      <c r="O206" s="24" t="str">
        <f aca="false">IF($F206="","",IFERROR(INDEX(Counterparties!$C:$C,MATCH($F206&amp;"",Counterparties!$A:$A,0))&amp;"",""))</f>
        <v/>
      </c>
      <c r="P206" s="24" t="str">
        <f aca="false">IF($O206="","",IF($O206="CY","CY",IF(ISNUMBER(MATCH($O206,Lists!$A:$A,0)),"EU","3RD")))</f>
        <v/>
      </c>
      <c r="Q206" s="24" t="str">
        <f aca="false">IF($F206="","N",IFERROR(IF(INDEX(Counterparties!$E:$E,MATCH($F206&amp;"",Counterparties!$A:$A,0))="Y","Y","N"),"N"))</f>
        <v>N</v>
      </c>
      <c r="R206" s="25" t="n">
        <f aca="false">IF(OR($H206="",$H206="EUR"),1,IFERROR(INDEX(FX_Rates!$D:$D,MATCH($H206,FX_Rates!$A:$A,0)),""))</f>
        <v>1</v>
      </c>
      <c r="S206" s="26" t="str">
        <f aca="false">IF(AND($I206="",$J206=""),"",IF($J206&lt;&gt;"",$J206,IF(OR($R206="",$R206=0),"",ROUND($I206/$R206,2))))</f>
        <v/>
      </c>
      <c r="T206" s="24" t="str">
        <f aca="false">IF($N206="","",IFERROR(INDEX(VAT_Codes!$C:$C,MATCH($N206,VAT_Codes!$A:$A,0)),"")&amp;"")</f>
        <v/>
      </c>
      <c r="U206" s="26" t="n">
        <f aca="false">IF(OR($S206="",$T206="",$T206="None"),0,IF($T206="Output",-$S206,$S206))</f>
        <v>0</v>
      </c>
      <c r="V206" s="27" t="n">
        <f aca="false">IF($N206="",0,IFERROR(INDEX(VAT_Codes!$D:$D,MATCH($N206,VAT_Codes!$A:$A,0)),0))</f>
        <v>0</v>
      </c>
      <c r="W206" s="26" t="n">
        <f aca="false">IF($U206=0,0,IF(IFERROR(INDEX(VAT_Codes!$F:$F,MATCH($N206,VAT_Codes!$A:$A,0)),"N")="Y",$U206,IF($L206&lt;&gt;"",ROUND(ABS($L206)/IF(OR($R206="",$R206=0),1,$R206),2)*SIGN($U206),ROUND($U206*$V206,2))))</f>
        <v>0</v>
      </c>
      <c r="X206" s="24" t="str">
        <f aca="false">IF($N206="","",IFERROR(INDEX(VAT_Codes!$H:$H,MATCH($N206,VAT_Codes!$A:$A,0)),"")&amp;"")</f>
        <v/>
      </c>
      <c r="Y206" s="24" t="str">
        <f aca="false">IF($A206="","",(YEAR($A206)-YEAR(Settings!$C$8))*12+MONTH($A206)-MONTH(Settings!$C$8)+1)</f>
        <v/>
      </c>
      <c r="Z206" s="24" t="str">
        <f aca="false">IF(AND($C206="",$I206="",$J206=""),"",IF($N206="","NO VAT CODE",IF($T206="","UNKNOWN VAT CODE",IF($S206="","MISSING FX RATE",IF(OR($A206&lt;Settings!$C$8,$A206&gt;Settings!$C$9),"OUTSIDE PERIOD",IF(AND(IFERROR(INDEX(VAT_Codes!$E:$E,MATCH($N206,VAT_Codes!$A:$A,0)),"ANY")&lt;&gt;"ANY",$P206=""),"MISSING COUNTERPARTY COUNTRY",IF(AND(IFERROR(INDEX(VAT_Codes!$E:$E,MATCH($N206,VAT_Codes!$A:$A,0)),"ANY")&lt;&gt;"ANY",$P206&lt;&gt;IFERROR(INDEX(VAT_Codes!$E:$E,MATCH($N206,VAT_Codes!$A:$A,0)),"ANY")),"REGION MISMATCH","OK")))))))</f>
        <v/>
      </c>
    </row>
    <row r="207" customFormat="false" ht="15" hidden="false" customHeight="false" outlineLevel="0" collapsed="false">
      <c r="M207" s="24" t="str">
        <f aca="false">IF($C207="","",IFERROR(INDEX(Account_Mapping!$C:$C,MATCH($C207&amp;"",Account_Mapping!$A:$A,0))&amp;"",""))</f>
        <v/>
      </c>
      <c r="N207" s="24" t="str">
        <f aca="false">IF($K207&lt;&gt;"",$K207,$M207)</f>
        <v/>
      </c>
      <c r="O207" s="24" t="str">
        <f aca="false">IF($F207="","",IFERROR(INDEX(Counterparties!$C:$C,MATCH($F207&amp;"",Counterparties!$A:$A,0))&amp;"",""))</f>
        <v/>
      </c>
      <c r="P207" s="24" t="str">
        <f aca="false">IF($O207="","",IF($O207="CY","CY",IF(ISNUMBER(MATCH($O207,Lists!$A:$A,0)),"EU","3RD")))</f>
        <v/>
      </c>
      <c r="Q207" s="24" t="str">
        <f aca="false">IF($F207="","N",IFERROR(IF(INDEX(Counterparties!$E:$E,MATCH($F207&amp;"",Counterparties!$A:$A,0))="Y","Y","N"),"N"))</f>
        <v>N</v>
      </c>
      <c r="R207" s="25" t="n">
        <f aca="false">IF(OR($H207="",$H207="EUR"),1,IFERROR(INDEX(FX_Rates!$D:$D,MATCH($H207,FX_Rates!$A:$A,0)),""))</f>
        <v>1</v>
      </c>
      <c r="S207" s="26" t="str">
        <f aca="false">IF(AND($I207="",$J207=""),"",IF($J207&lt;&gt;"",$J207,IF(OR($R207="",$R207=0),"",ROUND($I207/$R207,2))))</f>
        <v/>
      </c>
      <c r="T207" s="24" t="str">
        <f aca="false">IF($N207="","",IFERROR(INDEX(VAT_Codes!$C:$C,MATCH($N207,VAT_Codes!$A:$A,0)),"")&amp;"")</f>
        <v/>
      </c>
      <c r="U207" s="26" t="n">
        <f aca="false">IF(OR($S207="",$T207="",$T207="None"),0,IF($T207="Output",-$S207,$S207))</f>
        <v>0</v>
      </c>
      <c r="V207" s="27" t="n">
        <f aca="false">IF($N207="",0,IFERROR(INDEX(VAT_Codes!$D:$D,MATCH($N207,VAT_Codes!$A:$A,0)),0))</f>
        <v>0</v>
      </c>
      <c r="W207" s="26" t="n">
        <f aca="false">IF($U207=0,0,IF(IFERROR(INDEX(VAT_Codes!$F:$F,MATCH($N207,VAT_Codes!$A:$A,0)),"N")="Y",$U207,IF($L207&lt;&gt;"",ROUND(ABS($L207)/IF(OR($R207="",$R207=0),1,$R207),2)*SIGN($U207),ROUND($U207*$V207,2))))</f>
        <v>0</v>
      </c>
      <c r="X207" s="24" t="str">
        <f aca="false">IF($N207="","",IFERROR(INDEX(VAT_Codes!$H:$H,MATCH($N207,VAT_Codes!$A:$A,0)),"")&amp;"")</f>
        <v/>
      </c>
      <c r="Y207" s="24" t="str">
        <f aca="false">IF($A207="","",(YEAR($A207)-YEAR(Settings!$C$8))*12+MONTH($A207)-MONTH(Settings!$C$8)+1)</f>
        <v/>
      </c>
      <c r="Z207" s="24" t="str">
        <f aca="false">IF(AND($C207="",$I207="",$J207=""),"",IF($N207="","NO VAT CODE",IF($T207="","UNKNOWN VAT CODE",IF($S207="","MISSING FX RATE",IF(OR($A207&lt;Settings!$C$8,$A207&gt;Settings!$C$9),"OUTSIDE PERIOD",IF(AND(IFERROR(INDEX(VAT_Codes!$E:$E,MATCH($N207,VAT_Codes!$A:$A,0)),"ANY")&lt;&gt;"ANY",$P207=""),"MISSING COUNTERPARTY COUNTRY",IF(AND(IFERROR(INDEX(VAT_Codes!$E:$E,MATCH($N207,VAT_Codes!$A:$A,0)),"ANY")&lt;&gt;"ANY",$P207&lt;&gt;IFERROR(INDEX(VAT_Codes!$E:$E,MATCH($N207,VAT_Codes!$A:$A,0)),"ANY")),"REGION MISMATCH","OK")))))))</f>
        <v/>
      </c>
    </row>
    <row r="208" customFormat="false" ht="15" hidden="false" customHeight="false" outlineLevel="0" collapsed="false">
      <c r="M208" s="24" t="str">
        <f aca="false">IF($C208="","",IFERROR(INDEX(Account_Mapping!$C:$C,MATCH($C208&amp;"",Account_Mapping!$A:$A,0))&amp;"",""))</f>
        <v/>
      </c>
      <c r="N208" s="24" t="str">
        <f aca="false">IF($K208&lt;&gt;"",$K208,$M208)</f>
        <v/>
      </c>
      <c r="O208" s="24" t="str">
        <f aca="false">IF($F208="","",IFERROR(INDEX(Counterparties!$C:$C,MATCH($F208&amp;"",Counterparties!$A:$A,0))&amp;"",""))</f>
        <v/>
      </c>
      <c r="P208" s="24" t="str">
        <f aca="false">IF($O208="","",IF($O208="CY","CY",IF(ISNUMBER(MATCH($O208,Lists!$A:$A,0)),"EU","3RD")))</f>
        <v/>
      </c>
      <c r="Q208" s="24" t="str">
        <f aca="false">IF($F208="","N",IFERROR(IF(INDEX(Counterparties!$E:$E,MATCH($F208&amp;"",Counterparties!$A:$A,0))="Y","Y","N"),"N"))</f>
        <v>N</v>
      </c>
      <c r="R208" s="25" t="n">
        <f aca="false">IF(OR($H208="",$H208="EUR"),1,IFERROR(INDEX(FX_Rates!$D:$D,MATCH($H208,FX_Rates!$A:$A,0)),""))</f>
        <v>1</v>
      </c>
      <c r="S208" s="26" t="str">
        <f aca="false">IF(AND($I208="",$J208=""),"",IF($J208&lt;&gt;"",$J208,IF(OR($R208="",$R208=0),"",ROUND($I208/$R208,2))))</f>
        <v/>
      </c>
      <c r="T208" s="24" t="str">
        <f aca="false">IF($N208="","",IFERROR(INDEX(VAT_Codes!$C:$C,MATCH($N208,VAT_Codes!$A:$A,0)),"")&amp;"")</f>
        <v/>
      </c>
      <c r="U208" s="26" t="n">
        <f aca="false">IF(OR($S208="",$T208="",$T208="None"),0,IF($T208="Output",-$S208,$S208))</f>
        <v>0</v>
      </c>
      <c r="V208" s="27" t="n">
        <f aca="false">IF($N208="",0,IFERROR(INDEX(VAT_Codes!$D:$D,MATCH($N208,VAT_Codes!$A:$A,0)),0))</f>
        <v>0</v>
      </c>
      <c r="W208" s="26" t="n">
        <f aca="false">IF($U208=0,0,IF(IFERROR(INDEX(VAT_Codes!$F:$F,MATCH($N208,VAT_Codes!$A:$A,0)),"N")="Y",$U208,IF($L208&lt;&gt;"",ROUND(ABS($L208)/IF(OR($R208="",$R208=0),1,$R208),2)*SIGN($U208),ROUND($U208*$V208,2))))</f>
        <v>0</v>
      </c>
      <c r="X208" s="24" t="str">
        <f aca="false">IF($N208="","",IFERROR(INDEX(VAT_Codes!$H:$H,MATCH($N208,VAT_Codes!$A:$A,0)),"")&amp;"")</f>
        <v/>
      </c>
      <c r="Y208" s="24" t="str">
        <f aca="false">IF($A208="","",(YEAR($A208)-YEAR(Settings!$C$8))*12+MONTH($A208)-MONTH(Settings!$C$8)+1)</f>
        <v/>
      </c>
      <c r="Z208" s="24" t="str">
        <f aca="false">IF(AND($C208="",$I208="",$J208=""),"",IF($N208="","NO VAT CODE",IF($T208="","UNKNOWN VAT CODE",IF($S208="","MISSING FX RATE",IF(OR($A208&lt;Settings!$C$8,$A208&gt;Settings!$C$9),"OUTSIDE PERIOD",IF(AND(IFERROR(INDEX(VAT_Codes!$E:$E,MATCH($N208,VAT_Codes!$A:$A,0)),"ANY")&lt;&gt;"ANY",$P208=""),"MISSING COUNTERPARTY COUNTRY",IF(AND(IFERROR(INDEX(VAT_Codes!$E:$E,MATCH($N208,VAT_Codes!$A:$A,0)),"ANY")&lt;&gt;"ANY",$P208&lt;&gt;IFERROR(INDEX(VAT_Codes!$E:$E,MATCH($N208,VAT_Codes!$A:$A,0)),"ANY")),"REGION MISMATCH","OK")))))))</f>
        <v/>
      </c>
    </row>
    <row r="209" customFormat="false" ht="15" hidden="false" customHeight="false" outlineLevel="0" collapsed="false">
      <c r="M209" s="24" t="str">
        <f aca="false">IF($C209="","",IFERROR(INDEX(Account_Mapping!$C:$C,MATCH($C209&amp;"",Account_Mapping!$A:$A,0))&amp;"",""))</f>
        <v/>
      </c>
      <c r="N209" s="24" t="str">
        <f aca="false">IF($K209&lt;&gt;"",$K209,$M209)</f>
        <v/>
      </c>
      <c r="O209" s="24" t="str">
        <f aca="false">IF($F209="","",IFERROR(INDEX(Counterparties!$C:$C,MATCH($F209&amp;"",Counterparties!$A:$A,0))&amp;"",""))</f>
        <v/>
      </c>
      <c r="P209" s="24" t="str">
        <f aca="false">IF($O209="","",IF($O209="CY","CY",IF(ISNUMBER(MATCH($O209,Lists!$A:$A,0)),"EU","3RD")))</f>
        <v/>
      </c>
      <c r="Q209" s="24" t="str">
        <f aca="false">IF($F209="","N",IFERROR(IF(INDEX(Counterparties!$E:$E,MATCH($F209&amp;"",Counterparties!$A:$A,0))="Y","Y","N"),"N"))</f>
        <v>N</v>
      </c>
      <c r="R209" s="25" t="n">
        <f aca="false">IF(OR($H209="",$H209="EUR"),1,IFERROR(INDEX(FX_Rates!$D:$D,MATCH($H209,FX_Rates!$A:$A,0)),""))</f>
        <v>1</v>
      </c>
      <c r="S209" s="26" t="str">
        <f aca="false">IF(AND($I209="",$J209=""),"",IF($J209&lt;&gt;"",$J209,IF(OR($R209="",$R209=0),"",ROUND($I209/$R209,2))))</f>
        <v/>
      </c>
      <c r="T209" s="24" t="str">
        <f aca="false">IF($N209="","",IFERROR(INDEX(VAT_Codes!$C:$C,MATCH($N209,VAT_Codes!$A:$A,0)),"")&amp;"")</f>
        <v/>
      </c>
      <c r="U209" s="26" t="n">
        <f aca="false">IF(OR($S209="",$T209="",$T209="None"),0,IF($T209="Output",-$S209,$S209))</f>
        <v>0</v>
      </c>
      <c r="V209" s="27" t="n">
        <f aca="false">IF($N209="",0,IFERROR(INDEX(VAT_Codes!$D:$D,MATCH($N209,VAT_Codes!$A:$A,0)),0))</f>
        <v>0</v>
      </c>
      <c r="W209" s="26" t="n">
        <f aca="false">IF($U209=0,0,IF(IFERROR(INDEX(VAT_Codes!$F:$F,MATCH($N209,VAT_Codes!$A:$A,0)),"N")="Y",$U209,IF($L209&lt;&gt;"",ROUND(ABS($L209)/IF(OR($R209="",$R209=0),1,$R209),2)*SIGN($U209),ROUND($U209*$V209,2))))</f>
        <v>0</v>
      </c>
      <c r="X209" s="24" t="str">
        <f aca="false">IF($N209="","",IFERROR(INDEX(VAT_Codes!$H:$H,MATCH($N209,VAT_Codes!$A:$A,0)),"")&amp;"")</f>
        <v/>
      </c>
      <c r="Y209" s="24" t="str">
        <f aca="false">IF($A209="","",(YEAR($A209)-YEAR(Settings!$C$8))*12+MONTH($A209)-MONTH(Settings!$C$8)+1)</f>
        <v/>
      </c>
      <c r="Z209" s="24" t="str">
        <f aca="false">IF(AND($C209="",$I209="",$J209=""),"",IF($N209="","NO VAT CODE",IF($T209="","UNKNOWN VAT CODE",IF($S209="","MISSING FX RATE",IF(OR($A209&lt;Settings!$C$8,$A209&gt;Settings!$C$9),"OUTSIDE PERIOD",IF(AND(IFERROR(INDEX(VAT_Codes!$E:$E,MATCH($N209,VAT_Codes!$A:$A,0)),"ANY")&lt;&gt;"ANY",$P209=""),"MISSING COUNTERPARTY COUNTRY",IF(AND(IFERROR(INDEX(VAT_Codes!$E:$E,MATCH($N209,VAT_Codes!$A:$A,0)),"ANY")&lt;&gt;"ANY",$P209&lt;&gt;IFERROR(INDEX(VAT_Codes!$E:$E,MATCH($N209,VAT_Codes!$A:$A,0)),"ANY")),"REGION MISMATCH","OK")))))))</f>
        <v/>
      </c>
    </row>
    <row r="210" customFormat="false" ht="15" hidden="false" customHeight="false" outlineLevel="0" collapsed="false">
      <c r="M210" s="24" t="str">
        <f aca="false">IF($C210="","",IFERROR(INDEX(Account_Mapping!$C:$C,MATCH($C210&amp;"",Account_Mapping!$A:$A,0))&amp;"",""))</f>
        <v/>
      </c>
      <c r="N210" s="24" t="str">
        <f aca="false">IF($K210&lt;&gt;"",$K210,$M210)</f>
        <v/>
      </c>
      <c r="O210" s="24" t="str">
        <f aca="false">IF($F210="","",IFERROR(INDEX(Counterparties!$C:$C,MATCH($F210&amp;"",Counterparties!$A:$A,0))&amp;"",""))</f>
        <v/>
      </c>
      <c r="P210" s="24" t="str">
        <f aca="false">IF($O210="","",IF($O210="CY","CY",IF(ISNUMBER(MATCH($O210,Lists!$A:$A,0)),"EU","3RD")))</f>
        <v/>
      </c>
      <c r="Q210" s="24" t="str">
        <f aca="false">IF($F210="","N",IFERROR(IF(INDEX(Counterparties!$E:$E,MATCH($F210&amp;"",Counterparties!$A:$A,0))="Y","Y","N"),"N"))</f>
        <v>N</v>
      </c>
      <c r="R210" s="25" t="n">
        <f aca="false">IF(OR($H210="",$H210="EUR"),1,IFERROR(INDEX(FX_Rates!$D:$D,MATCH($H210,FX_Rates!$A:$A,0)),""))</f>
        <v>1</v>
      </c>
      <c r="S210" s="26" t="str">
        <f aca="false">IF(AND($I210="",$J210=""),"",IF($J210&lt;&gt;"",$J210,IF(OR($R210="",$R210=0),"",ROUND($I210/$R210,2))))</f>
        <v/>
      </c>
      <c r="T210" s="24" t="str">
        <f aca="false">IF($N210="","",IFERROR(INDEX(VAT_Codes!$C:$C,MATCH($N210,VAT_Codes!$A:$A,0)),"")&amp;"")</f>
        <v/>
      </c>
      <c r="U210" s="26" t="n">
        <f aca="false">IF(OR($S210="",$T210="",$T210="None"),0,IF($T210="Output",-$S210,$S210))</f>
        <v>0</v>
      </c>
      <c r="V210" s="27" t="n">
        <f aca="false">IF($N210="",0,IFERROR(INDEX(VAT_Codes!$D:$D,MATCH($N210,VAT_Codes!$A:$A,0)),0))</f>
        <v>0</v>
      </c>
      <c r="W210" s="26" t="n">
        <f aca="false">IF($U210=0,0,IF(IFERROR(INDEX(VAT_Codes!$F:$F,MATCH($N210,VAT_Codes!$A:$A,0)),"N")="Y",$U210,IF($L210&lt;&gt;"",ROUND(ABS($L210)/IF(OR($R210="",$R210=0),1,$R210),2)*SIGN($U210),ROUND($U210*$V210,2))))</f>
        <v>0</v>
      </c>
      <c r="X210" s="24" t="str">
        <f aca="false">IF($N210="","",IFERROR(INDEX(VAT_Codes!$H:$H,MATCH($N210,VAT_Codes!$A:$A,0)),"")&amp;"")</f>
        <v/>
      </c>
      <c r="Y210" s="24" t="str">
        <f aca="false">IF($A210="","",(YEAR($A210)-YEAR(Settings!$C$8))*12+MONTH($A210)-MONTH(Settings!$C$8)+1)</f>
        <v/>
      </c>
      <c r="Z210" s="24" t="str">
        <f aca="false">IF(AND($C210="",$I210="",$J210=""),"",IF($N210="","NO VAT CODE",IF($T210="","UNKNOWN VAT CODE",IF($S210="","MISSING FX RATE",IF(OR($A210&lt;Settings!$C$8,$A210&gt;Settings!$C$9),"OUTSIDE PERIOD",IF(AND(IFERROR(INDEX(VAT_Codes!$E:$E,MATCH($N210,VAT_Codes!$A:$A,0)),"ANY")&lt;&gt;"ANY",$P210=""),"MISSING COUNTERPARTY COUNTRY",IF(AND(IFERROR(INDEX(VAT_Codes!$E:$E,MATCH($N210,VAT_Codes!$A:$A,0)),"ANY")&lt;&gt;"ANY",$P210&lt;&gt;IFERROR(INDEX(VAT_Codes!$E:$E,MATCH($N210,VAT_Codes!$A:$A,0)),"ANY")),"REGION MISMATCH","OK")))))))</f>
        <v/>
      </c>
    </row>
    <row r="211" customFormat="false" ht="15" hidden="false" customHeight="false" outlineLevel="0" collapsed="false">
      <c r="M211" s="24" t="str">
        <f aca="false">IF($C211="","",IFERROR(INDEX(Account_Mapping!$C:$C,MATCH($C211&amp;"",Account_Mapping!$A:$A,0))&amp;"",""))</f>
        <v/>
      </c>
      <c r="N211" s="24" t="str">
        <f aca="false">IF($K211&lt;&gt;"",$K211,$M211)</f>
        <v/>
      </c>
      <c r="O211" s="24" t="str">
        <f aca="false">IF($F211="","",IFERROR(INDEX(Counterparties!$C:$C,MATCH($F211&amp;"",Counterparties!$A:$A,0))&amp;"",""))</f>
        <v/>
      </c>
      <c r="P211" s="24" t="str">
        <f aca="false">IF($O211="","",IF($O211="CY","CY",IF(ISNUMBER(MATCH($O211,Lists!$A:$A,0)),"EU","3RD")))</f>
        <v/>
      </c>
      <c r="Q211" s="24" t="str">
        <f aca="false">IF($F211="","N",IFERROR(IF(INDEX(Counterparties!$E:$E,MATCH($F211&amp;"",Counterparties!$A:$A,0))="Y","Y","N"),"N"))</f>
        <v>N</v>
      </c>
      <c r="R211" s="25" t="n">
        <f aca="false">IF(OR($H211="",$H211="EUR"),1,IFERROR(INDEX(FX_Rates!$D:$D,MATCH($H211,FX_Rates!$A:$A,0)),""))</f>
        <v>1</v>
      </c>
      <c r="S211" s="26" t="str">
        <f aca="false">IF(AND($I211="",$J211=""),"",IF($J211&lt;&gt;"",$J211,IF(OR($R211="",$R211=0),"",ROUND($I211/$R211,2))))</f>
        <v/>
      </c>
      <c r="T211" s="24" t="str">
        <f aca="false">IF($N211="","",IFERROR(INDEX(VAT_Codes!$C:$C,MATCH($N211,VAT_Codes!$A:$A,0)),"")&amp;"")</f>
        <v/>
      </c>
      <c r="U211" s="26" t="n">
        <f aca="false">IF(OR($S211="",$T211="",$T211="None"),0,IF($T211="Output",-$S211,$S211))</f>
        <v>0</v>
      </c>
      <c r="V211" s="27" t="n">
        <f aca="false">IF($N211="",0,IFERROR(INDEX(VAT_Codes!$D:$D,MATCH($N211,VAT_Codes!$A:$A,0)),0))</f>
        <v>0</v>
      </c>
      <c r="W211" s="26" t="n">
        <f aca="false">IF($U211=0,0,IF(IFERROR(INDEX(VAT_Codes!$F:$F,MATCH($N211,VAT_Codes!$A:$A,0)),"N")="Y",$U211,IF($L211&lt;&gt;"",ROUND(ABS($L211)/IF(OR($R211="",$R211=0),1,$R211),2)*SIGN($U211),ROUND($U211*$V211,2))))</f>
        <v>0</v>
      </c>
      <c r="X211" s="24" t="str">
        <f aca="false">IF($N211="","",IFERROR(INDEX(VAT_Codes!$H:$H,MATCH($N211,VAT_Codes!$A:$A,0)),"")&amp;"")</f>
        <v/>
      </c>
      <c r="Y211" s="24" t="str">
        <f aca="false">IF($A211="","",(YEAR($A211)-YEAR(Settings!$C$8))*12+MONTH($A211)-MONTH(Settings!$C$8)+1)</f>
        <v/>
      </c>
      <c r="Z211" s="24" t="str">
        <f aca="false">IF(AND($C211="",$I211="",$J211=""),"",IF($N211="","NO VAT CODE",IF($T211="","UNKNOWN VAT CODE",IF($S211="","MISSING FX RATE",IF(OR($A211&lt;Settings!$C$8,$A211&gt;Settings!$C$9),"OUTSIDE PERIOD",IF(AND(IFERROR(INDEX(VAT_Codes!$E:$E,MATCH($N211,VAT_Codes!$A:$A,0)),"ANY")&lt;&gt;"ANY",$P211=""),"MISSING COUNTERPARTY COUNTRY",IF(AND(IFERROR(INDEX(VAT_Codes!$E:$E,MATCH($N211,VAT_Codes!$A:$A,0)),"ANY")&lt;&gt;"ANY",$P211&lt;&gt;IFERROR(INDEX(VAT_Codes!$E:$E,MATCH($N211,VAT_Codes!$A:$A,0)),"ANY")),"REGION MISMATCH","OK")))))))</f>
        <v/>
      </c>
    </row>
    <row r="212" customFormat="false" ht="15" hidden="false" customHeight="false" outlineLevel="0" collapsed="false">
      <c r="M212" s="24" t="str">
        <f aca="false">IF($C212="","",IFERROR(INDEX(Account_Mapping!$C:$C,MATCH($C212&amp;"",Account_Mapping!$A:$A,0))&amp;"",""))</f>
        <v/>
      </c>
      <c r="N212" s="24" t="str">
        <f aca="false">IF($K212&lt;&gt;"",$K212,$M212)</f>
        <v/>
      </c>
      <c r="O212" s="24" t="str">
        <f aca="false">IF($F212="","",IFERROR(INDEX(Counterparties!$C:$C,MATCH($F212&amp;"",Counterparties!$A:$A,0))&amp;"",""))</f>
        <v/>
      </c>
      <c r="P212" s="24" t="str">
        <f aca="false">IF($O212="","",IF($O212="CY","CY",IF(ISNUMBER(MATCH($O212,Lists!$A:$A,0)),"EU","3RD")))</f>
        <v/>
      </c>
      <c r="Q212" s="24" t="str">
        <f aca="false">IF($F212="","N",IFERROR(IF(INDEX(Counterparties!$E:$E,MATCH($F212&amp;"",Counterparties!$A:$A,0))="Y","Y","N"),"N"))</f>
        <v>N</v>
      </c>
      <c r="R212" s="25" t="n">
        <f aca="false">IF(OR($H212="",$H212="EUR"),1,IFERROR(INDEX(FX_Rates!$D:$D,MATCH($H212,FX_Rates!$A:$A,0)),""))</f>
        <v>1</v>
      </c>
      <c r="S212" s="26" t="str">
        <f aca="false">IF(AND($I212="",$J212=""),"",IF($J212&lt;&gt;"",$J212,IF(OR($R212="",$R212=0),"",ROUND($I212/$R212,2))))</f>
        <v/>
      </c>
      <c r="T212" s="24" t="str">
        <f aca="false">IF($N212="","",IFERROR(INDEX(VAT_Codes!$C:$C,MATCH($N212,VAT_Codes!$A:$A,0)),"")&amp;"")</f>
        <v/>
      </c>
      <c r="U212" s="26" t="n">
        <f aca="false">IF(OR($S212="",$T212="",$T212="None"),0,IF($T212="Output",-$S212,$S212))</f>
        <v>0</v>
      </c>
      <c r="V212" s="27" t="n">
        <f aca="false">IF($N212="",0,IFERROR(INDEX(VAT_Codes!$D:$D,MATCH($N212,VAT_Codes!$A:$A,0)),0))</f>
        <v>0</v>
      </c>
      <c r="W212" s="26" t="n">
        <f aca="false">IF($U212=0,0,IF(IFERROR(INDEX(VAT_Codes!$F:$F,MATCH($N212,VAT_Codes!$A:$A,0)),"N")="Y",$U212,IF($L212&lt;&gt;"",ROUND(ABS($L212)/IF(OR($R212="",$R212=0),1,$R212),2)*SIGN($U212),ROUND($U212*$V212,2))))</f>
        <v>0</v>
      </c>
      <c r="X212" s="24" t="str">
        <f aca="false">IF($N212="","",IFERROR(INDEX(VAT_Codes!$H:$H,MATCH($N212,VAT_Codes!$A:$A,0)),"")&amp;"")</f>
        <v/>
      </c>
      <c r="Y212" s="24" t="str">
        <f aca="false">IF($A212="","",(YEAR($A212)-YEAR(Settings!$C$8))*12+MONTH($A212)-MONTH(Settings!$C$8)+1)</f>
        <v/>
      </c>
      <c r="Z212" s="24" t="str">
        <f aca="false">IF(AND($C212="",$I212="",$J212=""),"",IF($N212="","NO VAT CODE",IF($T212="","UNKNOWN VAT CODE",IF($S212="","MISSING FX RATE",IF(OR($A212&lt;Settings!$C$8,$A212&gt;Settings!$C$9),"OUTSIDE PERIOD",IF(AND(IFERROR(INDEX(VAT_Codes!$E:$E,MATCH($N212,VAT_Codes!$A:$A,0)),"ANY")&lt;&gt;"ANY",$P212=""),"MISSING COUNTERPARTY COUNTRY",IF(AND(IFERROR(INDEX(VAT_Codes!$E:$E,MATCH($N212,VAT_Codes!$A:$A,0)),"ANY")&lt;&gt;"ANY",$P212&lt;&gt;IFERROR(INDEX(VAT_Codes!$E:$E,MATCH($N212,VAT_Codes!$A:$A,0)),"ANY")),"REGION MISMATCH","OK")))))))</f>
        <v/>
      </c>
    </row>
    <row r="213" customFormat="false" ht="15" hidden="false" customHeight="false" outlineLevel="0" collapsed="false">
      <c r="M213" s="24" t="str">
        <f aca="false">IF($C213="","",IFERROR(INDEX(Account_Mapping!$C:$C,MATCH($C213&amp;"",Account_Mapping!$A:$A,0))&amp;"",""))</f>
        <v/>
      </c>
      <c r="N213" s="24" t="str">
        <f aca="false">IF($K213&lt;&gt;"",$K213,$M213)</f>
        <v/>
      </c>
      <c r="O213" s="24" t="str">
        <f aca="false">IF($F213="","",IFERROR(INDEX(Counterparties!$C:$C,MATCH($F213&amp;"",Counterparties!$A:$A,0))&amp;"",""))</f>
        <v/>
      </c>
      <c r="P213" s="24" t="str">
        <f aca="false">IF($O213="","",IF($O213="CY","CY",IF(ISNUMBER(MATCH($O213,Lists!$A:$A,0)),"EU","3RD")))</f>
        <v/>
      </c>
      <c r="Q213" s="24" t="str">
        <f aca="false">IF($F213="","N",IFERROR(IF(INDEX(Counterparties!$E:$E,MATCH($F213&amp;"",Counterparties!$A:$A,0))="Y","Y","N"),"N"))</f>
        <v>N</v>
      </c>
      <c r="R213" s="25" t="n">
        <f aca="false">IF(OR($H213="",$H213="EUR"),1,IFERROR(INDEX(FX_Rates!$D:$D,MATCH($H213,FX_Rates!$A:$A,0)),""))</f>
        <v>1</v>
      </c>
      <c r="S213" s="26" t="str">
        <f aca="false">IF(AND($I213="",$J213=""),"",IF($J213&lt;&gt;"",$J213,IF(OR($R213="",$R213=0),"",ROUND($I213/$R213,2))))</f>
        <v/>
      </c>
      <c r="T213" s="24" t="str">
        <f aca="false">IF($N213="","",IFERROR(INDEX(VAT_Codes!$C:$C,MATCH($N213,VAT_Codes!$A:$A,0)),"")&amp;"")</f>
        <v/>
      </c>
      <c r="U213" s="26" t="n">
        <f aca="false">IF(OR($S213="",$T213="",$T213="None"),0,IF($T213="Output",-$S213,$S213))</f>
        <v>0</v>
      </c>
      <c r="V213" s="27" t="n">
        <f aca="false">IF($N213="",0,IFERROR(INDEX(VAT_Codes!$D:$D,MATCH($N213,VAT_Codes!$A:$A,0)),0))</f>
        <v>0</v>
      </c>
      <c r="W213" s="26" t="n">
        <f aca="false">IF($U213=0,0,IF(IFERROR(INDEX(VAT_Codes!$F:$F,MATCH($N213,VAT_Codes!$A:$A,0)),"N")="Y",$U213,IF($L213&lt;&gt;"",ROUND(ABS($L213)/IF(OR($R213="",$R213=0),1,$R213),2)*SIGN($U213),ROUND($U213*$V213,2))))</f>
        <v>0</v>
      </c>
      <c r="X213" s="24" t="str">
        <f aca="false">IF($N213="","",IFERROR(INDEX(VAT_Codes!$H:$H,MATCH($N213,VAT_Codes!$A:$A,0)),"")&amp;"")</f>
        <v/>
      </c>
      <c r="Y213" s="24" t="str">
        <f aca="false">IF($A213="","",(YEAR($A213)-YEAR(Settings!$C$8))*12+MONTH($A213)-MONTH(Settings!$C$8)+1)</f>
        <v/>
      </c>
      <c r="Z213" s="24" t="str">
        <f aca="false">IF(AND($C213="",$I213="",$J213=""),"",IF($N213="","NO VAT CODE",IF($T213="","UNKNOWN VAT CODE",IF($S213="","MISSING FX RATE",IF(OR($A213&lt;Settings!$C$8,$A213&gt;Settings!$C$9),"OUTSIDE PERIOD",IF(AND(IFERROR(INDEX(VAT_Codes!$E:$E,MATCH($N213,VAT_Codes!$A:$A,0)),"ANY")&lt;&gt;"ANY",$P213=""),"MISSING COUNTERPARTY COUNTRY",IF(AND(IFERROR(INDEX(VAT_Codes!$E:$E,MATCH($N213,VAT_Codes!$A:$A,0)),"ANY")&lt;&gt;"ANY",$P213&lt;&gt;IFERROR(INDEX(VAT_Codes!$E:$E,MATCH($N213,VAT_Codes!$A:$A,0)),"ANY")),"REGION MISMATCH","OK")))))))</f>
        <v/>
      </c>
    </row>
    <row r="214" customFormat="false" ht="15" hidden="false" customHeight="false" outlineLevel="0" collapsed="false">
      <c r="M214" s="24" t="str">
        <f aca="false">IF($C214="","",IFERROR(INDEX(Account_Mapping!$C:$C,MATCH($C214&amp;"",Account_Mapping!$A:$A,0))&amp;"",""))</f>
        <v/>
      </c>
      <c r="N214" s="24" t="str">
        <f aca="false">IF($K214&lt;&gt;"",$K214,$M214)</f>
        <v/>
      </c>
      <c r="O214" s="24" t="str">
        <f aca="false">IF($F214="","",IFERROR(INDEX(Counterparties!$C:$C,MATCH($F214&amp;"",Counterparties!$A:$A,0))&amp;"",""))</f>
        <v/>
      </c>
      <c r="P214" s="24" t="str">
        <f aca="false">IF($O214="","",IF($O214="CY","CY",IF(ISNUMBER(MATCH($O214,Lists!$A:$A,0)),"EU","3RD")))</f>
        <v/>
      </c>
      <c r="Q214" s="24" t="str">
        <f aca="false">IF($F214="","N",IFERROR(IF(INDEX(Counterparties!$E:$E,MATCH($F214&amp;"",Counterparties!$A:$A,0))="Y","Y","N"),"N"))</f>
        <v>N</v>
      </c>
      <c r="R214" s="25" t="n">
        <f aca="false">IF(OR($H214="",$H214="EUR"),1,IFERROR(INDEX(FX_Rates!$D:$D,MATCH($H214,FX_Rates!$A:$A,0)),""))</f>
        <v>1</v>
      </c>
      <c r="S214" s="26" t="str">
        <f aca="false">IF(AND($I214="",$J214=""),"",IF($J214&lt;&gt;"",$J214,IF(OR($R214="",$R214=0),"",ROUND($I214/$R214,2))))</f>
        <v/>
      </c>
      <c r="T214" s="24" t="str">
        <f aca="false">IF($N214="","",IFERROR(INDEX(VAT_Codes!$C:$C,MATCH($N214,VAT_Codes!$A:$A,0)),"")&amp;"")</f>
        <v/>
      </c>
      <c r="U214" s="26" t="n">
        <f aca="false">IF(OR($S214="",$T214="",$T214="None"),0,IF($T214="Output",-$S214,$S214))</f>
        <v>0</v>
      </c>
      <c r="V214" s="27" t="n">
        <f aca="false">IF($N214="",0,IFERROR(INDEX(VAT_Codes!$D:$D,MATCH($N214,VAT_Codes!$A:$A,0)),0))</f>
        <v>0</v>
      </c>
      <c r="W214" s="26" t="n">
        <f aca="false">IF($U214=0,0,IF(IFERROR(INDEX(VAT_Codes!$F:$F,MATCH($N214,VAT_Codes!$A:$A,0)),"N")="Y",$U214,IF($L214&lt;&gt;"",ROUND(ABS($L214)/IF(OR($R214="",$R214=0),1,$R214),2)*SIGN($U214),ROUND($U214*$V214,2))))</f>
        <v>0</v>
      </c>
      <c r="X214" s="24" t="str">
        <f aca="false">IF($N214="","",IFERROR(INDEX(VAT_Codes!$H:$H,MATCH($N214,VAT_Codes!$A:$A,0)),"")&amp;"")</f>
        <v/>
      </c>
      <c r="Y214" s="24" t="str">
        <f aca="false">IF($A214="","",(YEAR($A214)-YEAR(Settings!$C$8))*12+MONTH($A214)-MONTH(Settings!$C$8)+1)</f>
        <v/>
      </c>
      <c r="Z214" s="24" t="str">
        <f aca="false">IF(AND($C214="",$I214="",$J214=""),"",IF($N214="","NO VAT CODE",IF($T214="","UNKNOWN VAT CODE",IF($S214="","MISSING FX RATE",IF(OR($A214&lt;Settings!$C$8,$A214&gt;Settings!$C$9),"OUTSIDE PERIOD",IF(AND(IFERROR(INDEX(VAT_Codes!$E:$E,MATCH($N214,VAT_Codes!$A:$A,0)),"ANY")&lt;&gt;"ANY",$P214=""),"MISSING COUNTERPARTY COUNTRY",IF(AND(IFERROR(INDEX(VAT_Codes!$E:$E,MATCH($N214,VAT_Codes!$A:$A,0)),"ANY")&lt;&gt;"ANY",$P214&lt;&gt;IFERROR(INDEX(VAT_Codes!$E:$E,MATCH($N214,VAT_Codes!$A:$A,0)),"ANY")),"REGION MISMATCH","OK")))))))</f>
        <v/>
      </c>
    </row>
    <row r="215" customFormat="false" ht="15" hidden="false" customHeight="false" outlineLevel="0" collapsed="false">
      <c r="M215" s="24" t="str">
        <f aca="false">IF($C215="","",IFERROR(INDEX(Account_Mapping!$C:$C,MATCH($C215&amp;"",Account_Mapping!$A:$A,0))&amp;"",""))</f>
        <v/>
      </c>
      <c r="N215" s="24" t="str">
        <f aca="false">IF($K215&lt;&gt;"",$K215,$M215)</f>
        <v/>
      </c>
      <c r="O215" s="24" t="str">
        <f aca="false">IF($F215="","",IFERROR(INDEX(Counterparties!$C:$C,MATCH($F215&amp;"",Counterparties!$A:$A,0))&amp;"",""))</f>
        <v/>
      </c>
      <c r="P215" s="24" t="str">
        <f aca="false">IF($O215="","",IF($O215="CY","CY",IF(ISNUMBER(MATCH($O215,Lists!$A:$A,0)),"EU","3RD")))</f>
        <v/>
      </c>
      <c r="Q215" s="24" t="str">
        <f aca="false">IF($F215="","N",IFERROR(IF(INDEX(Counterparties!$E:$E,MATCH($F215&amp;"",Counterparties!$A:$A,0))="Y","Y","N"),"N"))</f>
        <v>N</v>
      </c>
      <c r="R215" s="25" t="n">
        <f aca="false">IF(OR($H215="",$H215="EUR"),1,IFERROR(INDEX(FX_Rates!$D:$D,MATCH($H215,FX_Rates!$A:$A,0)),""))</f>
        <v>1</v>
      </c>
      <c r="S215" s="26" t="str">
        <f aca="false">IF(AND($I215="",$J215=""),"",IF($J215&lt;&gt;"",$J215,IF(OR($R215="",$R215=0),"",ROUND($I215/$R215,2))))</f>
        <v/>
      </c>
      <c r="T215" s="24" t="str">
        <f aca="false">IF($N215="","",IFERROR(INDEX(VAT_Codes!$C:$C,MATCH($N215,VAT_Codes!$A:$A,0)),"")&amp;"")</f>
        <v/>
      </c>
      <c r="U215" s="26" t="n">
        <f aca="false">IF(OR($S215="",$T215="",$T215="None"),0,IF($T215="Output",-$S215,$S215))</f>
        <v>0</v>
      </c>
      <c r="V215" s="27" t="n">
        <f aca="false">IF($N215="",0,IFERROR(INDEX(VAT_Codes!$D:$D,MATCH($N215,VAT_Codes!$A:$A,0)),0))</f>
        <v>0</v>
      </c>
      <c r="W215" s="26" t="n">
        <f aca="false">IF($U215=0,0,IF(IFERROR(INDEX(VAT_Codes!$F:$F,MATCH($N215,VAT_Codes!$A:$A,0)),"N")="Y",$U215,IF($L215&lt;&gt;"",ROUND(ABS($L215)/IF(OR($R215="",$R215=0),1,$R215),2)*SIGN($U215),ROUND($U215*$V215,2))))</f>
        <v>0</v>
      </c>
      <c r="X215" s="24" t="str">
        <f aca="false">IF($N215="","",IFERROR(INDEX(VAT_Codes!$H:$H,MATCH($N215,VAT_Codes!$A:$A,0)),"")&amp;"")</f>
        <v/>
      </c>
      <c r="Y215" s="24" t="str">
        <f aca="false">IF($A215="","",(YEAR($A215)-YEAR(Settings!$C$8))*12+MONTH($A215)-MONTH(Settings!$C$8)+1)</f>
        <v/>
      </c>
      <c r="Z215" s="24" t="str">
        <f aca="false">IF(AND($C215="",$I215="",$J215=""),"",IF($N215="","NO VAT CODE",IF($T215="","UNKNOWN VAT CODE",IF($S215="","MISSING FX RATE",IF(OR($A215&lt;Settings!$C$8,$A215&gt;Settings!$C$9),"OUTSIDE PERIOD",IF(AND(IFERROR(INDEX(VAT_Codes!$E:$E,MATCH($N215,VAT_Codes!$A:$A,0)),"ANY")&lt;&gt;"ANY",$P215=""),"MISSING COUNTERPARTY COUNTRY",IF(AND(IFERROR(INDEX(VAT_Codes!$E:$E,MATCH($N215,VAT_Codes!$A:$A,0)),"ANY")&lt;&gt;"ANY",$P215&lt;&gt;IFERROR(INDEX(VAT_Codes!$E:$E,MATCH($N215,VAT_Codes!$A:$A,0)),"ANY")),"REGION MISMATCH","OK")))))))</f>
        <v/>
      </c>
    </row>
    <row r="216" customFormat="false" ht="15" hidden="false" customHeight="false" outlineLevel="0" collapsed="false">
      <c r="M216" s="24" t="str">
        <f aca="false">IF($C216="","",IFERROR(INDEX(Account_Mapping!$C:$C,MATCH($C216&amp;"",Account_Mapping!$A:$A,0))&amp;"",""))</f>
        <v/>
      </c>
      <c r="N216" s="24" t="str">
        <f aca="false">IF($K216&lt;&gt;"",$K216,$M216)</f>
        <v/>
      </c>
      <c r="O216" s="24" t="str">
        <f aca="false">IF($F216="","",IFERROR(INDEX(Counterparties!$C:$C,MATCH($F216&amp;"",Counterparties!$A:$A,0))&amp;"",""))</f>
        <v/>
      </c>
      <c r="P216" s="24" t="str">
        <f aca="false">IF($O216="","",IF($O216="CY","CY",IF(ISNUMBER(MATCH($O216,Lists!$A:$A,0)),"EU","3RD")))</f>
        <v/>
      </c>
      <c r="Q216" s="24" t="str">
        <f aca="false">IF($F216="","N",IFERROR(IF(INDEX(Counterparties!$E:$E,MATCH($F216&amp;"",Counterparties!$A:$A,0))="Y","Y","N"),"N"))</f>
        <v>N</v>
      </c>
      <c r="R216" s="25" t="n">
        <f aca="false">IF(OR($H216="",$H216="EUR"),1,IFERROR(INDEX(FX_Rates!$D:$D,MATCH($H216,FX_Rates!$A:$A,0)),""))</f>
        <v>1</v>
      </c>
      <c r="S216" s="26" t="str">
        <f aca="false">IF(AND($I216="",$J216=""),"",IF($J216&lt;&gt;"",$J216,IF(OR($R216="",$R216=0),"",ROUND($I216/$R216,2))))</f>
        <v/>
      </c>
      <c r="T216" s="24" t="str">
        <f aca="false">IF($N216="","",IFERROR(INDEX(VAT_Codes!$C:$C,MATCH($N216,VAT_Codes!$A:$A,0)),"")&amp;"")</f>
        <v/>
      </c>
      <c r="U216" s="26" t="n">
        <f aca="false">IF(OR($S216="",$T216="",$T216="None"),0,IF($T216="Output",-$S216,$S216))</f>
        <v>0</v>
      </c>
      <c r="V216" s="27" t="n">
        <f aca="false">IF($N216="",0,IFERROR(INDEX(VAT_Codes!$D:$D,MATCH($N216,VAT_Codes!$A:$A,0)),0))</f>
        <v>0</v>
      </c>
      <c r="W216" s="26" t="n">
        <f aca="false">IF($U216=0,0,IF(IFERROR(INDEX(VAT_Codes!$F:$F,MATCH($N216,VAT_Codes!$A:$A,0)),"N")="Y",$U216,IF($L216&lt;&gt;"",ROUND(ABS($L216)/IF(OR($R216="",$R216=0),1,$R216),2)*SIGN($U216),ROUND($U216*$V216,2))))</f>
        <v>0</v>
      </c>
      <c r="X216" s="24" t="str">
        <f aca="false">IF($N216="","",IFERROR(INDEX(VAT_Codes!$H:$H,MATCH($N216,VAT_Codes!$A:$A,0)),"")&amp;"")</f>
        <v/>
      </c>
      <c r="Y216" s="24" t="str">
        <f aca="false">IF($A216="","",(YEAR($A216)-YEAR(Settings!$C$8))*12+MONTH($A216)-MONTH(Settings!$C$8)+1)</f>
        <v/>
      </c>
      <c r="Z216" s="24" t="str">
        <f aca="false">IF(AND($C216="",$I216="",$J216=""),"",IF($N216="","NO VAT CODE",IF($T216="","UNKNOWN VAT CODE",IF($S216="","MISSING FX RATE",IF(OR($A216&lt;Settings!$C$8,$A216&gt;Settings!$C$9),"OUTSIDE PERIOD",IF(AND(IFERROR(INDEX(VAT_Codes!$E:$E,MATCH($N216,VAT_Codes!$A:$A,0)),"ANY")&lt;&gt;"ANY",$P216=""),"MISSING COUNTERPARTY COUNTRY",IF(AND(IFERROR(INDEX(VAT_Codes!$E:$E,MATCH($N216,VAT_Codes!$A:$A,0)),"ANY")&lt;&gt;"ANY",$P216&lt;&gt;IFERROR(INDEX(VAT_Codes!$E:$E,MATCH($N216,VAT_Codes!$A:$A,0)),"ANY")),"REGION MISMATCH","OK")))))))</f>
        <v/>
      </c>
    </row>
    <row r="217" customFormat="false" ht="15" hidden="false" customHeight="false" outlineLevel="0" collapsed="false">
      <c r="M217" s="24" t="str">
        <f aca="false">IF($C217="","",IFERROR(INDEX(Account_Mapping!$C:$C,MATCH($C217&amp;"",Account_Mapping!$A:$A,0))&amp;"",""))</f>
        <v/>
      </c>
      <c r="N217" s="24" t="str">
        <f aca="false">IF($K217&lt;&gt;"",$K217,$M217)</f>
        <v/>
      </c>
      <c r="O217" s="24" t="str">
        <f aca="false">IF($F217="","",IFERROR(INDEX(Counterparties!$C:$C,MATCH($F217&amp;"",Counterparties!$A:$A,0))&amp;"",""))</f>
        <v/>
      </c>
      <c r="P217" s="24" t="str">
        <f aca="false">IF($O217="","",IF($O217="CY","CY",IF(ISNUMBER(MATCH($O217,Lists!$A:$A,0)),"EU","3RD")))</f>
        <v/>
      </c>
      <c r="Q217" s="24" t="str">
        <f aca="false">IF($F217="","N",IFERROR(IF(INDEX(Counterparties!$E:$E,MATCH($F217&amp;"",Counterparties!$A:$A,0))="Y","Y","N"),"N"))</f>
        <v>N</v>
      </c>
      <c r="R217" s="25" t="n">
        <f aca="false">IF(OR($H217="",$H217="EUR"),1,IFERROR(INDEX(FX_Rates!$D:$D,MATCH($H217,FX_Rates!$A:$A,0)),""))</f>
        <v>1</v>
      </c>
      <c r="S217" s="26" t="str">
        <f aca="false">IF(AND($I217="",$J217=""),"",IF($J217&lt;&gt;"",$J217,IF(OR($R217="",$R217=0),"",ROUND($I217/$R217,2))))</f>
        <v/>
      </c>
      <c r="T217" s="24" t="str">
        <f aca="false">IF($N217="","",IFERROR(INDEX(VAT_Codes!$C:$C,MATCH($N217,VAT_Codes!$A:$A,0)),"")&amp;"")</f>
        <v/>
      </c>
      <c r="U217" s="26" t="n">
        <f aca="false">IF(OR($S217="",$T217="",$T217="None"),0,IF($T217="Output",-$S217,$S217))</f>
        <v>0</v>
      </c>
      <c r="V217" s="27" t="n">
        <f aca="false">IF($N217="",0,IFERROR(INDEX(VAT_Codes!$D:$D,MATCH($N217,VAT_Codes!$A:$A,0)),0))</f>
        <v>0</v>
      </c>
      <c r="W217" s="26" t="n">
        <f aca="false">IF($U217=0,0,IF(IFERROR(INDEX(VAT_Codes!$F:$F,MATCH($N217,VAT_Codes!$A:$A,0)),"N")="Y",$U217,IF($L217&lt;&gt;"",ROUND(ABS($L217)/IF(OR($R217="",$R217=0),1,$R217),2)*SIGN($U217),ROUND($U217*$V217,2))))</f>
        <v>0</v>
      </c>
      <c r="X217" s="24" t="str">
        <f aca="false">IF($N217="","",IFERROR(INDEX(VAT_Codes!$H:$H,MATCH($N217,VAT_Codes!$A:$A,0)),"")&amp;"")</f>
        <v/>
      </c>
      <c r="Y217" s="24" t="str">
        <f aca="false">IF($A217="","",(YEAR($A217)-YEAR(Settings!$C$8))*12+MONTH($A217)-MONTH(Settings!$C$8)+1)</f>
        <v/>
      </c>
      <c r="Z217" s="24" t="str">
        <f aca="false">IF(AND($C217="",$I217="",$J217=""),"",IF($N217="","NO VAT CODE",IF($T217="","UNKNOWN VAT CODE",IF($S217="","MISSING FX RATE",IF(OR($A217&lt;Settings!$C$8,$A217&gt;Settings!$C$9),"OUTSIDE PERIOD",IF(AND(IFERROR(INDEX(VAT_Codes!$E:$E,MATCH($N217,VAT_Codes!$A:$A,0)),"ANY")&lt;&gt;"ANY",$P217=""),"MISSING COUNTERPARTY COUNTRY",IF(AND(IFERROR(INDEX(VAT_Codes!$E:$E,MATCH($N217,VAT_Codes!$A:$A,0)),"ANY")&lt;&gt;"ANY",$P217&lt;&gt;IFERROR(INDEX(VAT_Codes!$E:$E,MATCH($N217,VAT_Codes!$A:$A,0)),"ANY")),"REGION MISMATCH","OK")))))))</f>
        <v/>
      </c>
    </row>
    <row r="218" customFormat="false" ht="15" hidden="false" customHeight="false" outlineLevel="0" collapsed="false">
      <c r="M218" s="24" t="str">
        <f aca="false">IF($C218="","",IFERROR(INDEX(Account_Mapping!$C:$C,MATCH($C218&amp;"",Account_Mapping!$A:$A,0))&amp;"",""))</f>
        <v/>
      </c>
      <c r="N218" s="24" t="str">
        <f aca="false">IF($K218&lt;&gt;"",$K218,$M218)</f>
        <v/>
      </c>
      <c r="O218" s="24" t="str">
        <f aca="false">IF($F218="","",IFERROR(INDEX(Counterparties!$C:$C,MATCH($F218&amp;"",Counterparties!$A:$A,0))&amp;"",""))</f>
        <v/>
      </c>
      <c r="P218" s="24" t="str">
        <f aca="false">IF($O218="","",IF($O218="CY","CY",IF(ISNUMBER(MATCH($O218,Lists!$A:$A,0)),"EU","3RD")))</f>
        <v/>
      </c>
      <c r="Q218" s="24" t="str">
        <f aca="false">IF($F218="","N",IFERROR(IF(INDEX(Counterparties!$E:$E,MATCH($F218&amp;"",Counterparties!$A:$A,0))="Y","Y","N"),"N"))</f>
        <v>N</v>
      </c>
      <c r="R218" s="25" t="n">
        <f aca="false">IF(OR($H218="",$H218="EUR"),1,IFERROR(INDEX(FX_Rates!$D:$D,MATCH($H218,FX_Rates!$A:$A,0)),""))</f>
        <v>1</v>
      </c>
      <c r="S218" s="26" t="str">
        <f aca="false">IF(AND($I218="",$J218=""),"",IF($J218&lt;&gt;"",$J218,IF(OR($R218="",$R218=0),"",ROUND($I218/$R218,2))))</f>
        <v/>
      </c>
      <c r="T218" s="24" t="str">
        <f aca="false">IF($N218="","",IFERROR(INDEX(VAT_Codes!$C:$C,MATCH($N218,VAT_Codes!$A:$A,0)),"")&amp;"")</f>
        <v/>
      </c>
      <c r="U218" s="26" t="n">
        <f aca="false">IF(OR($S218="",$T218="",$T218="None"),0,IF($T218="Output",-$S218,$S218))</f>
        <v>0</v>
      </c>
      <c r="V218" s="27" t="n">
        <f aca="false">IF($N218="",0,IFERROR(INDEX(VAT_Codes!$D:$D,MATCH($N218,VAT_Codes!$A:$A,0)),0))</f>
        <v>0</v>
      </c>
      <c r="W218" s="26" t="n">
        <f aca="false">IF($U218=0,0,IF(IFERROR(INDEX(VAT_Codes!$F:$F,MATCH($N218,VAT_Codes!$A:$A,0)),"N")="Y",$U218,IF($L218&lt;&gt;"",ROUND(ABS($L218)/IF(OR($R218="",$R218=0),1,$R218),2)*SIGN($U218),ROUND($U218*$V218,2))))</f>
        <v>0</v>
      </c>
      <c r="X218" s="24" t="str">
        <f aca="false">IF($N218="","",IFERROR(INDEX(VAT_Codes!$H:$H,MATCH($N218,VAT_Codes!$A:$A,0)),"")&amp;"")</f>
        <v/>
      </c>
      <c r="Y218" s="24" t="str">
        <f aca="false">IF($A218="","",(YEAR($A218)-YEAR(Settings!$C$8))*12+MONTH($A218)-MONTH(Settings!$C$8)+1)</f>
        <v/>
      </c>
      <c r="Z218" s="24" t="str">
        <f aca="false">IF(AND($C218="",$I218="",$J218=""),"",IF($N218="","NO VAT CODE",IF($T218="","UNKNOWN VAT CODE",IF($S218="","MISSING FX RATE",IF(OR($A218&lt;Settings!$C$8,$A218&gt;Settings!$C$9),"OUTSIDE PERIOD",IF(AND(IFERROR(INDEX(VAT_Codes!$E:$E,MATCH($N218,VAT_Codes!$A:$A,0)),"ANY")&lt;&gt;"ANY",$P218=""),"MISSING COUNTERPARTY COUNTRY",IF(AND(IFERROR(INDEX(VAT_Codes!$E:$E,MATCH($N218,VAT_Codes!$A:$A,0)),"ANY")&lt;&gt;"ANY",$P218&lt;&gt;IFERROR(INDEX(VAT_Codes!$E:$E,MATCH($N218,VAT_Codes!$A:$A,0)),"ANY")),"REGION MISMATCH","OK")))))))</f>
        <v/>
      </c>
    </row>
    <row r="219" customFormat="false" ht="15" hidden="false" customHeight="false" outlineLevel="0" collapsed="false">
      <c r="M219" s="24" t="str">
        <f aca="false">IF($C219="","",IFERROR(INDEX(Account_Mapping!$C:$C,MATCH($C219&amp;"",Account_Mapping!$A:$A,0))&amp;"",""))</f>
        <v/>
      </c>
      <c r="N219" s="24" t="str">
        <f aca="false">IF($K219&lt;&gt;"",$K219,$M219)</f>
        <v/>
      </c>
      <c r="O219" s="24" t="str">
        <f aca="false">IF($F219="","",IFERROR(INDEX(Counterparties!$C:$C,MATCH($F219&amp;"",Counterparties!$A:$A,0))&amp;"",""))</f>
        <v/>
      </c>
      <c r="P219" s="24" t="str">
        <f aca="false">IF($O219="","",IF($O219="CY","CY",IF(ISNUMBER(MATCH($O219,Lists!$A:$A,0)),"EU","3RD")))</f>
        <v/>
      </c>
      <c r="Q219" s="24" t="str">
        <f aca="false">IF($F219="","N",IFERROR(IF(INDEX(Counterparties!$E:$E,MATCH($F219&amp;"",Counterparties!$A:$A,0))="Y","Y","N"),"N"))</f>
        <v>N</v>
      </c>
      <c r="R219" s="25" t="n">
        <f aca="false">IF(OR($H219="",$H219="EUR"),1,IFERROR(INDEX(FX_Rates!$D:$D,MATCH($H219,FX_Rates!$A:$A,0)),""))</f>
        <v>1</v>
      </c>
      <c r="S219" s="26" t="str">
        <f aca="false">IF(AND($I219="",$J219=""),"",IF($J219&lt;&gt;"",$J219,IF(OR($R219="",$R219=0),"",ROUND($I219/$R219,2))))</f>
        <v/>
      </c>
      <c r="T219" s="24" t="str">
        <f aca="false">IF($N219="","",IFERROR(INDEX(VAT_Codes!$C:$C,MATCH($N219,VAT_Codes!$A:$A,0)),"")&amp;"")</f>
        <v/>
      </c>
      <c r="U219" s="26" t="n">
        <f aca="false">IF(OR($S219="",$T219="",$T219="None"),0,IF($T219="Output",-$S219,$S219))</f>
        <v>0</v>
      </c>
      <c r="V219" s="27" t="n">
        <f aca="false">IF($N219="",0,IFERROR(INDEX(VAT_Codes!$D:$D,MATCH($N219,VAT_Codes!$A:$A,0)),0))</f>
        <v>0</v>
      </c>
      <c r="W219" s="26" t="n">
        <f aca="false">IF($U219=0,0,IF(IFERROR(INDEX(VAT_Codes!$F:$F,MATCH($N219,VAT_Codes!$A:$A,0)),"N")="Y",$U219,IF($L219&lt;&gt;"",ROUND(ABS($L219)/IF(OR($R219="",$R219=0),1,$R219),2)*SIGN($U219),ROUND($U219*$V219,2))))</f>
        <v>0</v>
      </c>
      <c r="X219" s="24" t="str">
        <f aca="false">IF($N219="","",IFERROR(INDEX(VAT_Codes!$H:$H,MATCH($N219,VAT_Codes!$A:$A,0)),"")&amp;"")</f>
        <v/>
      </c>
      <c r="Y219" s="24" t="str">
        <f aca="false">IF($A219="","",(YEAR($A219)-YEAR(Settings!$C$8))*12+MONTH($A219)-MONTH(Settings!$C$8)+1)</f>
        <v/>
      </c>
      <c r="Z219" s="24" t="str">
        <f aca="false">IF(AND($C219="",$I219="",$J219=""),"",IF($N219="","NO VAT CODE",IF($T219="","UNKNOWN VAT CODE",IF($S219="","MISSING FX RATE",IF(OR($A219&lt;Settings!$C$8,$A219&gt;Settings!$C$9),"OUTSIDE PERIOD",IF(AND(IFERROR(INDEX(VAT_Codes!$E:$E,MATCH($N219,VAT_Codes!$A:$A,0)),"ANY")&lt;&gt;"ANY",$P219=""),"MISSING COUNTERPARTY COUNTRY",IF(AND(IFERROR(INDEX(VAT_Codes!$E:$E,MATCH($N219,VAT_Codes!$A:$A,0)),"ANY")&lt;&gt;"ANY",$P219&lt;&gt;IFERROR(INDEX(VAT_Codes!$E:$E,MATCH($N219,VAT_Codes!$A:$A,0)),"ANY")),"REGION MISMATCH","OK")))))))</f>
        <v/>
      </c>
    </row>
    <row r="220" customFormat="false" ht="15" hidden="false" customHeight="false" outlineLevel="0" collapsed="false">
      <c r="M220" s="24" t="str">
        <f aca="false">IF($C220="","",IFERROR(INDEX(Account_Mapping!$C:$C,MATCH($C220&amp;"",Account_Mapping!$A:$A,0))&amp;"",""))</f>
        <v/>
      </c>
      <c r="N220" s="24" t="str">
        <f aca="false">IF($K220&lt;&gt;"",$K220,$M220)</f>
        <v/>
      </c>
      <c r="O220" s="24" t="str">
        <f aca="false">IF($F220="","",IFERROR(INDEX(Counterparties!$C:$C,MATCH($F220&amp;"",Counterparties!$A:$A,0))&amp;"",""))</f>
        <v/>
      </c>
      <c r="P220" s="24" t="str">
        <f aca="false">IF($O220="","",IF($O220="CY","CY",IF(ISNUMBER(MATCH($O220,Lists!$A:$A,0)),"EU","3RD")))</f>
        <v/>
      </c>
      <c r="Q220" s="24" t="str">
        <f aca="false">IF($F220="","N",IFERROR(IF(INDEX(Counterparties!$E:$E,MATCH($F220&amp;"",Counterparties!$A:$A,0))="Y","Y","N"),"N"))</f>
        <v>N</v>
      </c>
      <c r="R220" s="25" t="n">
        <f aca="false">IF(OR($H220="",$H220="EUR"),1,IFERROR(INDEX(FX_Rates!$D:$D,MATCH($H220,FX_Rates!$A:$A,0)),""))</f>
        <v>1</v>
      </c>
      <c r="S220" s="26" t="str">
        <f aca="false">IF(AND($I220="",$J220=""),"",IF($J220&lt;&gt;"",$J220,IF(OR($R220="",$R220=0),"",ROUND($I220/$R220,2))))</f>
        <v/>
      </c>
      <c r="T220" s="24" t="str">
        <f aca="false">IF($N220="","",IFERROR(INDEX(VAT_Codes!$C:$C,MATCH($N220,VAT_Codes!$A:$A,0)),"")&amp;"")</f>
        <v/>
      </c>
      <c r="U220" s="26" t="n">
        <f aca="false">IF(OR($S220="",$T220="",$T220="None"),0,IF($T220="Output",-$S220,$S220))</f>
        <v>0</v>
      </c>
      <c r="V220" s="27" t="n">
        <f aca="false">IF($N220="",0,IFERROR(INDEX(VAT_Codes!$D:$D,MATCH($N220,VAT_Codes!$A:$A,0)),0))</f>
        <v>0</v>
      </c>
      <c r="W220" s="26" t="n">
        <f aca="false">IF($U220=0,0,IF(IFERROR(INDEX(VAT_Codes!$F:$F,MATCH($N220,VAT_Codes!$A:$A,0)),"N")="Y",$U220,IF($L220&lt;&gt;"",ROUND(ABS($L220)/IF(OR($R220="",$R220=0),1,$R220),2)*SIGN($U220),ROUND($U220*$V220,2))))</f>
        <v>0</v>
      </c>
      <c r="X220" s="24" t="str">
        <f aca="false">IF($N220="","",IFERROR(INDEX(VAT_Codes!$H:$H,MATCH($N220,VAT_Codes!$A:$A,0)),"")&amp;"")</f>
        <v/>
      </c>
      <c r="Y220" s="24" t="str">
        <f aca="false">IF($A220="","",(YEAR($A220)-YEAR(Settings!$C$8))*12+MONTH($A220)-MONTH(Settings!$C$8)+1)</f>
        <v/>
      </c>
      <c r="Z220" s="24" t="str">
        <f aca="false">IF(AND($C220="",$I220="",$J220=""),"",IF($N220="","NO VAT CODE",IF($T220="","UNKNOWN VAT CODE",IF($S220="","MISSING FX RATE",IF(OR($A220&lt;Settings!$C$8,$A220&gt;Settings!$C$9),"OUTSIDE PERIOD",IF(AND(IFERROR(INDEX(VAT_Codes!$E:$E,MATCH($N220,VAT_Codes!$A:$A,0)),"ANY")&lt;&gt;"ANY",$P220=""),"MISSING COUNTERPARTY COUNTRY",IF(AND(IFERROR(INDEX(VAT_Codes!$E:$E,MATCH($N220,VAT_Codes!$A:$A,0)),"ANY")&lt;&gt;"ANY",$P220&lt;&gt;IFERROR(INDEX(VAT_Codes!$E:$E,MATCH($N220,VAT_Codes!$A:$A,0)),"ANY")),"REGION MISMATCH","OK")))))))</f>
        <v/>
      </c>
    </row>
    <row r="221" customFormat="false" ht="15" hidden="false" customHeight="false" outlineLevel="0" collapsed="false">
      <c r="M221" s="24" t="str">
        <f aca="false">IF($C221="","",IFERROR(INDEX(Account_Mapping!$C:$C,MATCH($C221&amp;"",Account_Mapping!$A:$A,0))&amp;"",""))</f>
        <v/>
      </c>
      <c r="N221" s="24" t="str">
        <f aca="false">IF($K221&lt;&gt;"",$K221,$M221)</f>
        <v/>
      </c>
      <c r="O221" s="24" t="str">
        <f aca="false">IF($F221="","",IFERROR(INDEX(Counterparties!$C:$C,MATCH($F221&amp;"",Counterparties!$A:$A,0))&amp;"",""))</f>
        <v/>
      </c>
      <c r="P221" s="24" t="str">
        <f aca="false">IF($O221="","",IF($O221="CY","CY",IF(ISNUMBER(MATCH($O221,Lists!$A:$A,0)),"EU","3RD")))</f>
        <v/>
      </c>
      <c r="Q221" s="24" t="str">
        <f aca="false">IF($F221="","N",IFERROR(IF(INDEX(Counterparties!$E:$E,MATCH($F221&amp;"",Counterparties!$A:$A,0))="Y","Y","N"),"N"))</f>
        <v>N</v>
      </c>
      <c r="R221" s="25" t="n">
        <f aca="false">IF(OR($H221="",$H221="EUR"),1,IFERROR(INDEX(FX_Rates!$D:$D,MATCH($H221,FX_Rates!$A:$A,0)),""))</f>
        <v>1</v>
      </c>
      <c r="S221" s="26" t="str">
        <f aca="false">IF(AND($I221="",$J221=""),"",IF($J221&lt;&gt;"",$J221,IF(OR($R221="",$R221=0),"",ROUND($I221/$R221,2))))</f>
        <v/>
      </c>
      <c r="T221" s="24" t="str">
        <f aca="false">IF($N221="","",IFERROR(INDEX(VAT_Codes!$C:$C,MATCH($N221,VAT_Codes!$A:$A,0)),"")&amp;"")</f>
        <v/>
      </c>
      <c r="U221" s="26" t="n">
        <f aca="false">IF(OR($S221="",$T221="",$T221="None"),0,IF($T221="Output",-$S221,$S221))</f>
        <v>0</v>
      </c>
      <c r="V221" s="27" t="n">
        <f aca="false">IF($N221="",0,IFERROR(INDEX(VAT_Codes!$D:$D,MATCH($N221,VAT_Codes!$A:$A,0)),0))</f>
        <v>0</v>
      </c>
      <c r="W221" s="26" t="n">
        <f aca="false">IF($U221=0,0,IF(IFERROR(INDEX(VAT_Codes!$F:$F,MATCH($N221,VAT_Codes!$A:$A,0)),"N")="Y",$U221,IF($L221&lt;&gt;"",ROUND(ABS($L221)/IF(OR($R221="",$R221=0),1,$R221),2)*SIGN($U221),ROUND($U221*$V221,2))))</f>
        <v>0</v>
      </c>
      <c r="X221" s="24" t="str">
        <f aca="false">IF($N221="","",IFERROR(INDEX(VAT_Codes!$H:$H,MATCH($N221,VAT_Codes!$A:$A,0)),"")&amp;"")</f>
        <v/>
      </c>
      <c r="Y221" s="24" t="str">
        <f aca="false">IF($A221="","",(YEAR($A221)-YEAR(Settings!$C$8))*12+MONTH($A221)-MONTH(Settings!$C$8)+1)</f>
        <v/>
      </c>
      <c r="Z221" s="24" t="str">
        <f aca="false">IF(AND($C221="",$I221="",$J221=""),"",IF($N221="","NO VAT CODE",IF($T221="","UNKNOWN VAT CODE",IF($S221="","MISSING FX RATE",IF(OR($A221&lt;Settings!$C$8,$A221&gt;Settings!$C$9),"OUTSIDE PERIOD",IF(AND(IFERROR(INDEX(VAT_Codes!$E:$E,MATCH($N221,VAT_Codes!$A:$A,0)),"ANY")&lt;&gt;"ANY",$P221=""),"MISSING COUNTERPARTY COUNTRY",IF(AND(IFERROR(INDEX(VAT_Codes!$E:$E,MATCH($N221,VAT_Codes!$A:$A,0)),"ANY")&lt;&gt;"ANY",$P221&lt;&gt;IFERROR(INDEX(VAT_Codes!$E:$E,MATCH($N221,VAT_Codes!$A:$A,0)),"ANY")),"REGION MISMATCH","OK")))))))</f>
        <v/>
      </c>
    </row>
    <row r="222" customFormat="false" ht="15" hidden="false" customHeight="false" outlineLevel="0" collapsed="false">
      <c r="M222" s="24" t="str">
        <f aca="false">IF($C222="","",IFERROR(INDEX(Account_Mapping!$C:$C,MATCH($C222&amp;"",Account_Mapping!$A:$A,0))&amp;"",""))</f>
        <v/>
      </c>
      <c r="N222" s="24" t="str">
        <f aca="false">IF($K222&lt;&gt;"",$K222,$M222)</f>
        <v/>
      </c>
      <c r="O222" s="24" t="str">
        <f aca="false">IF($F222="","",IFERROR(INDEX(Counterparties!$C:$C,MATCH($F222&amp;"",Counterparties!$A:$A,0))&amp;"",""))</f>
        <v/>
      </c>
      <c r="P222" s="24" t="str">
        <f aca="false">IF($O222="","",IF($O222="CY","CY",IF(ISNUMBER(MATCH($O222,Lists!$A:$A,0)),"EU","3RD")))</f>
        <v/>
      </c>
      <c r="Q222" s="24" t="str">
        <f aca="false">IF($F222="","N",IFERROR(IF(INDEX(Counterparties!$E:$E,MATCH($F222&amp;"",Counterparties!$A:$A,0))="Y","Y","N"),"N"))</f>
        <v>N</v>
      </c>
      <c r="R222" s="25" t="n">
        <f aca="false">IF(OR($H222="",$H222="EUR"),1,IFERROR(INDEX(FX_Rates!$D:$D,MATCH($H222,FX_Rates!$A:$A,0)),""))</f>
        <v>1</v>
      </c>
      <c r="S222" s="26" t="str">
        <f aca="false">IF(AND($I222="",$J222=""),"",IF($J222&lt;&gt;"",$J222,IF(OR($R222="",$R222=0),"",ROUND($I222/$R222,2))))</f>
        <v/>
      </c>
      <c r="T222" s="24" t="str">
        <f aca="false">IF($N222="","",IFERROR(INDEX(VAT_Codes!$C:$C,MATCH($N222,VAT_Codes!$A:$A,0)),"")&amp;"")</f>
        <v/>
      </c>
      <c r="U222" s="26" t="n">
        <f aca="false">IF(OR($S222="",$T222="",$T222="None"),0,IF($T222="Output",-$S222,$S222))</f>
        <v>0</v>
      </c>
      <c r="V222" s="27" t="n">
        <f aca="false">IF($N222="",0,IFERROR(INDEX(VAT_Codes!$D:$D,MATCH($N222,VAT_Codes!$A:$A,0)),0))</f>
        <v>0</v>
      </c>
      <c r="W222" s="26" t="n">
        <f aca="false">IF($U222=0,0,IF(IFERROR(INDEX(VAT_Codes!$F:$F,MATCH($N222,VAT_Codes!$A:$A,0)),"N")="Y",$U222,IF($L222&lt;&gt;"",ROUND(ABS($L222)/IF(OR($R222="",$R222=0),1,$R222),2)*SIGN($U222),ROUND($U222*$V222,2))))</f>
        <v>0</v>
      </c>
      <c r="X222" s="24" t="str">
        <f aca="false">IF($N222="","",IFERROR(INDEX(VAT_Codes!$H:$H,MATCH($N222,VAT_Codes!$A:$A,0)),"")&amp;"")</f>
        <v/>
      </c>
      <c r="Y222" s="24" t="str">
        <f aca="false">IF($A222="","",(YEAR($A222)-YEAR(Settings!$C$8))*12+MONTH($A222)-MONTH(Settings!$C$8)+1)</f>
        <v/>
      </c>
      <c r="Z222" s="24" t="str">
        <f aca="false">IF(AND($C222="",$I222="",$J222=""),"",IF($N222="","NO VAT CODE",IF($T222="","UNKNOWN VAT CODE",IF($S222="","MISSING FX RATE",IF(OR($A222&lt;Settings!$C$8,$A222&gt;Settings!$C$9),"OUTSIDE PERIOD",IF(AND(IFERROR(INDEX(VAT_Codes!$E:$E,MATCH($N222,VAT_Codes!$A:$A,0)),"ANY")&lt;&gt;"ANY",$P222=""),"MISSING COUNTERPARTY COUNTRY",IF(AND(IFERROR(INDEX(VAT_Codes!$E:$E,MATCH($N222,VAT_Codes!$A:$A,0)),"ANY")&lt;&gt;"ANY",$P222&lt;&gt;IFERROR(INDEX(VAT_Codes!$E:$E,MATCH($N222,VAT_Codes!$A:$A,0)),"ANY")),"REGION MISMATCH","OK")))))))</f>
        <v/>
      </c>
    </row>
    <row r="223" customFormat="false" ht="15" hidden="false" customHeight="false" outlineLevel="0" collapsed="false">
      <c r="M223" s="24" t="str">
        <f aca="false">IF($C223="","",IFERROR(INDEX(Account_Mapping!$C:$C,MATCH($C223&amp;"",Account_Mapping!$A:$A,0))&amp;"",""))</f>
        <v/>
      </c>
      <c r="N223" s="24" t="str">
        <f aca="false">IF($K223&lt;&gt;"",$K223,$M223)</f>
        <v/>
      </c>
      <c r="O223" s="24" t="str">
        <f aca="false">IF($F223="","",IFERROR(INDEX(Counterparties!$C:$C,MATCH($F223&amp;"",Counterparties!$A:$A,0))&amp;"",""))</f>
        <v/>
      </c>
      <c r="P223" s="24" t="str">
        <f aca="false">IF($O223="","",IF($O223="CY","CY",IF(ISNUMBER(MATCH($O223,Lists!$A:$A,0)),"EU","3RD")))</f>
        <v/>
      </c>
      <c r="Q223" s="24" t="str">
        <f aca="false">IF($F223="","N",IFERROR(IF(INDEX(Counterparties!$E:$E,MATCH($F223&amp;"",Counterparties!$A:$A,0))="Y","Y","N"),"N"))</f>
        <v>N</v>
      </c>
      <c r="R223" s="25" t="n">
        <f aca="false">IF(OR($H223="",$H223="EUR"),1,IFERROR(INDEX(FX_Rates!$D:$D,MATCH($H223,FX_Rates!$A:$A,0)),""))</f>
        <v>1</v>
      </c>
      <c r="S223" s="26" t="str">
        <f aca="false">IF(AND($I223="",$J223=""),"",IF($J223&lt;&gt;"",$J223,IF(OR($R223="",$R223=0),"",ROUND($I223/$R223,2))))</f>
        <v/>
      </c>
      <c r="T223" s="24" t="str">
        <f aca="false">IF($N223="","",IFERROR(INDEX(VAT_Codes!$C:$C,MATCH($N223,VAT_Codes!$A:$A,0)),"")&amp;"")</f>
        <v/>
      </c>
      <c r="U223" s="26" t="n">
        <f aca="false">IF(OR($S223="",$T223="",$T223="None"),0,IF($T223="Output",-$S223,$S223))</f>
        <v>0</v>
      </c>
      <c r="V223" s="27" t="n">
        <f aca="false">IF($N223="",0,IFERROR(INDEX(VAT_Codes!$D:$D,MATCH($N223,VAT_Codes!$A:$A,0)),0))</f>
        <v>0</v>
      </c>
      <c r="W223" s="26" t="n">
        <f aca="false">IF($U223=0,0,IF(IFERROR(INDEX(VAT_Codes!$F:$F,MATCH($N223,VAT_Codes!$A:$A,0)),"N")="Y",$U223,IF($L223&lt;&gt;"",ROUND(ABS($L223)/IF(OR($R223="",$R223=0),1,$R223),2)*SIGN($U223),ROUND($U223*$V223,2))))</f>
        <v>0</v>
      </c>
      <c r="X223" s="24" t="str">
        <f aca="false">IF($N223="","",IFERROR(INDEX(VAT_Codes!$H:$H,MATCH($N223,VAT_Codes!$A:$A,0)),"")&amp;"")</f>
        <v/>
      </c>
      <c r="Y223" s="24" t="str">
        <f aca="false">IF($A223="","",(YEAR($A223)-YEAR(Settings!$C$8))*12+MONTH($A223)-MONTH(Settings!$C$8)+1)</f>
        <v/>
      </c>
      <c r="Z223" s="24" t="str">
        <f aca="false">IF(AND($C223="",$I223="",$J223=""),"",IF($N223="","NO VAT CODE",IF($T223="","UNKNOWN VAT CODE",IF($S223="","MISSING FX RATE",IF(OR($A223&lt;Settings!$C$8,$A223&gt;Settings!$C$9),"OUTSIDE PERIOD",IF(AND(IFERROR(INDEX(VAT_Codes!$E:$E,MATCH($N223,VAT_Codes!$A:$A,0)),"ANY")&lt;&gt;"ANY",$P223=""),"MISSING COUNTERPARTY COUNTRY",IF(AND(IFERROR(INDEX(VAT_Codes!$E:$E,MATCH($N223,VAT_Codes!$A:$A,0)),"ANY")&lt;&gt;"ANY",$P223&lt;&gt;IFERROR(INDEX(VAT_Codes!$E:$E,MATCH($N223,VAT_Codes!$A:$A,0)),"ANY")),"REGION MISMATCH","OK")))))))</f>
        <v/>
      </c>
    </row>
    <row r="224" customFormat="false" ht="15" hidden="false" customHeight="false" outlineLevel="0" collapsed="false">
      <c r="M224" s="24" t="str">
        <f aca="false">IF($C224="","",IFERROR(INDEX(Account_Mapping!$C:$C,MATCH($C224&amp;"",Account_Mapping!$A:$A,0))&amp;"",""))</f>
        <v/>
      </c>
      <c r="N224" s="24" t="str">
        <f aca="false">IF($K224&lt;&gt;"",$K224,$M224)</f>
        <v/>
      </c>
      <c r="O224" s="24" t="str">
        <f aca="false">IF($F224="","",IFERROR(INDEX(Counterparties!$C:$C,MATCH($F224&amp;"",Counterparties!$A:$A,0))&amp;"",""))</f>
        <v/>
      </c>
      <c r="P224" s="24" t="str">
        <f aca="false">IF($O224="","",IF($O224="CY","CY",IF(ISNUMBER(MATCH($O224,Lists!$A:$A,0)),"EU","3RD")))</f>
        <v/>
      </c>
      <c r="Q224" s="24" t="str">
        <f aca="false">IF($F224="","N",IFERROR(IF(INDEX(Counterparties!$E:$E,MATCH($F224&amp;"",Counterparties!$A:$A,0))="Y","Y","N"),"N"))</f>
        <v>N</v>
      </c>
      <c r="R224" s="25" t="n">
        <f aca="false">IF(OR($H224="",$H224="EUR"),1,IFERROR(INDEX(FX_Rates!$D:$D,MATCH($H224,FX_Rates!$A:$A,0)),""))</f>
        <v>1</v>
      </c>
      <c r="S224" s="26" t="str">
        <f aca="false">IF(AND($I224="",$J224=""),"",IF($J224&lt;&gt;"",$J224,IF(OR($R224="",$R224=0),"",ROUND($I224/$R224,2))))</f>
        <v/>
      </c>
      <c r="T224" s="24" t="str">
        <f aca="false">IF($N224="","",IFERROR(INDEX(VAT_Codes!$C:$C,MATCH($N224,VAT_Codes!$A:$A,0)),"")&amp;"")</f>
        <v/>
      </c>
      <c r="U224" s="26" t="n">
        <f aca="false">IF(OR($S224="",$T224="",$T224="None"),0,IF($T224="Output",-$S224,$S224))</f>
        <v>0</v>
      </c>
      <c r="V224" s="27" t="n">
        <f aca="false">IF($N224="",0,IFERROR(INDEX(VAT_Codes!$D:$D,MATCH($N224,VAT_Codes!$A:$A,0)),0))</f>
        <v>0</v>
      </c>
      <c r="W224" s="26" t="n">
        <f aca="false">IF($U224=0,0,IF(IFERROR(INDEX(VAT_Codes!$F:$F,MATCH($N224,VAT_Codes!$A:$A,0)),"N")="Y",$U224,IF($L224&lt;&gt;"",ROUND(ABS($L224)/IF(OR($R224="",$R224=0),1,$R224),2)*SIGN($U224),ROUND($U224*$V224,2))))</f>
        <v>0</v>
      </c>
      <c r="X224" s="24" t="str">
        <f aca="false">IF($N224="","",IFERROR(INDEX(VAT_Codes!$H:$H,MATCH($N224,VAT_Codes!$A:$A,0)),"")&amp;"")</f>
        <v/>
      </c>
      <c r="Y224" s="24" t="str">
        <f aca="false">IF($A224="","",(YEAR($A224)-YEAR(Settings!$C$8))*12+MONTH($A224)-MONTH(Settings!$C$8)+1)</f>
        <v/>
      </c>
      <c r="Z224" s="24" t="str">
        <f aca="false">IF(AND($C224="",$I224="",$J224=""),"",IF($N224="","NO VAT CODE",IF($T224="","UNKNOWN VAT CODE",IF($S224="","MISSING FX RATE",IF(OR($A224&lt;Settings!$C$8,$A224&gt;Settings!$C$9),"OUTSIDE PERIOD",IF(AND(IFERROR(INDEX(VAT_Codes!$E:$E,MATCH($N224,VAT_Codes!$A:$A,0)),"ANY")&lt;&gt;"ANY",$P224=""),"MISSING COUNTERPARTY COUNTRY",IF(AND(IFERROR(INDEX(VAT_Codes!$E:$E,MATCH($N224,VAT_Codes!$A:$A,0)),"ANY")&lt;&gt;"ANY",$P224&lt;&gt;IFERROR(INDEX(VAT_Codes!$E:$E,MATCH($N224,VAT_Codes!$A:$A,0)),"ANY")),"REGION MISMATCH","OK")))))))</f>
        <v/>
      </c>
    </row>
    <row r="225" customFormat="false" ht="15" hidden="false" customHeight="false" outlineLevel="0" collapsed="false">
      <c r="M225" s="24" t="str">
        <f aca="false">IF($C225="","",IFERROR(INDEX(Account_Mapping!$C:$C,MATCH($C225&amp;"",Account_Mapping!$A:$A,0))&amp;"",""))</f>
        <v/>
      </c>
      <c r="N225" s="24" t="str">
        <f aca="false">IF($K225&lt;&gt;"",$K225,$M225)</f>
        <v/>
      </c>
      <c r="O225" s="24" t="str">
        <f aca="false">IF($F225="","",IFERROR(INDEX(Counterparties!$C:$C,MATCH($F225&amp;"",Counterparties!$A:$A,0))&amp;"",""))</f>
        <v/>
      </c>
      <c r="P225" s="24" t="str">
        <f aca="false">IF($O225="","",IF($O225="CY","CY",IF(ISNUMBER(MATCH($O225,Lists!$A:$A,0)),"EU","3RD")))</f>
        <v/>
      </c>
      <c r="Q225" s="24" t="str">
        <f aca="false">IF($F225="","N",IFERROR(IF(INDEX(Counterparties!$E:$E,MATCH($F225&amp;"",Counterparties!$A:$A,0))="Y","Y","N"),"N"))</f>
        <v>N</v>
      </c>
      <c r="R225" s="25" t="n">
        <f aca="false">IF(OR($H225="",$H225="EUR"),1,IFERROR(INDEX(FX_Rates!$D:$D,MATCH($H225,FX_Rates!$A:$A,0)),""))</f>
        <v>1</v>
      </c>
      <c r="S225" s="26" t="str">
        <f aca="false">IF(AND($I225="",$J225=""),"",IF($J225&lt;&gt;"",$J225,IF(OR($R225="",$R225=0),"",ROUND($I225/$R225,2))))</f>
        <v/>
      </c>
      <c r="T225" s="24" t="str">
        <f aca="false">IF($N225="","",IFERROR(INDEX(VAT_Codes!$C:$C,MATCH($N225,VAT_Codes!$A:$A,0)),"")&amp;"")</f>
        <v/>
      </c>
      <c r="U225" s="26" t="n">
        <f aca="false">IF(OR($S225="",$T225="",$T225="None"),0,IF($T225="Output",-$S225,$S225))</f>
        <v>0</v>
      </c>
      <c r="V225" s="27" t="n">
        <f aca="false">IF($N225="",0,IFERROR(INDEX(VAT_Codes!$D:$D,MATCH($N225,VAT_Codes!$A:$A,0)),0))</f>
        <v>0</v>
      </c>
      <c r="W225" s="26" t="n">
        <f aca="false">IF($U225=0,0,IF(IFERROR(INDEX(VAT_Codes!$F:$F,MATCH($N225,VAT_Codes!$A:$A,0)),"N")="Y",$U225,IF($L225&lt;&gt;"",ROUND(ABS($L225)/IF(OR($R225="",$R225=0),1,$R225),2)*SIGN($U225),ROUND($U225*$V225,2))))</f>
        <v>0</v>
      </c>
      <c r="X225" s="24" t="str">
        <f aca="false">IF($N225="","",IFERROR(INDEX(VAT_Codes!$H:$H,MATCH($N225,VAT_Codes!$A:$A,0)),"")&amp;"")</f>
        <v/>
      </c>
      <c r="Y225" s="24" t="str">
        <f aca="false">IF($A225="","",(YEAR($A225)-YEAR(Settings!$C$8))*12+MONTH($A225)-MONTH(Settings!$C$8)+1)</f>
        <v/>
      </c>
      <c r="Z225" s="24" t="str">
        <f aca="false">IF(AND($C225="",$I225="",$J225=""),"",IF($N225="","NO VAT CODE",IF($T225="","UNKNOWN VAT CODE",IF($S225="","MISSING FX RATE",IF(OR($A225&lt;Settings!$C$8,$A225&gt;Settings!$C$9),"OUTSIDE PERIOD",IF(AND(IFERROR(INDEX(VAT_Codes!$E:$E,MATCH($N225,VAT_Codes!$A:$A,0)),"ANY")&lt;&gt;"ANY",$P225=""),"MISSING COUNTERPARTY COUNTRY",IF(AND(IFERROR(INDEX(VAT_Codes!$E:$E,MATCH($N225,VAT_Codes!$A:$A,0)),"ANY")&lt;&gt;"ANY",$P225&lt;&gt;IFERROR(INDEX(VAT_Codes!$E:$E,MATCH($N225,VAT_Codes!$A:$A,0)),"ANY")),"REGION MISMATCH","OK")))))))</f>
        <v/>
      </c>
    </row>
    <row r="226" customFormat="false" ht="15" hidden="false" customHeight="false" outlineLevel="0" collapsed="false">
      <c r="M226" s="24" t="str">
        <f aca="false">IF($C226="","",IFERROR(INDEX(Account_Mapping!$C:$C,MATCH($C226&amp;"",Account_Mapping!$A:$A,0))&amp;"",""))</f>
        <v/>
      </c>
      <c r="N226" s="24" t="str">
        <f aca="false">IF($K226&lt;&gt;"",$K226,$M226)</f>
        <v/>
      </c>
      <c r="O226" s="24" t="str">
        <f aca="false">IF($F226="","",IFERROR(INDEX(Counterparties!$C:$C,MATCH($F226&amp;"",Counterparties!$A:$A,0))&amp;"",""))</f>
        <v/>
      </c>
      <c r="P226" s="24" t="str">
        <f aca="false">IF($O226="","",IF($O226="CY","CY",IF(ISNUMBER(MATCH($O226,Lists!$A:$A,0)),"EU","3RD")))</f>
        <v/>
      </c>
      <c r="Q226" s="24" t="str">
        <f aca="false">IF($F226="","N",IFERROR(IF(INDEX(Counterparties!$E:$E,MATCH($F226&amp;"",Counterparties!$A:$A,0))="Y","Y","N"),"N"))</f>
        <v>N</v>
      </c>
      <c r="R226" s="25" t="n">
        <f aca="false">IF(OR($H226="",$H226="EUR"),1,IFERROR(INDEX(FX_Rates!$D:$D,MATCH($H226,FX_Rates!$A:$A,0)),""))</f>
        <v>1</v>
      </c>
      <c r="S226" s="26" t="str">
        <f aca="false">IF(AND($I226="",$J226=""),"",IF($J226&lt;&gt;"",$J226,IF(OR($R226="",$R226=0),"",ROUND($I226/$R226,2))))</f>
        <v/>
      </c>
      <c r="T226" s="24" t="str">
        <f aca="false">IF($N226="","",IFERROR(INDEX(VAT_Codes!$C:$C,MATCH($N226,VAT_Codes!$A:$A,0)),"")&amp;"")</f>
        <v/>
      </c>
      <c r="U226" s="26" t="n">
        <f aca="false">IF(OR($S226="",$T226="",$T226="None"),0,IF($T226="Output",-$S226,$S226))</f>
        <v>0</v>
      </c>
      <c r="V226" s="27" t="n">
        <f aca="false">IF($N226="",0,IFERROR(INDEX(VAT_Codes!$D:$D,MATCH($N226,VAT_Codes!$A:$A,0)),0))</f>
        <v>0</v>
      </c>
      <c r="W226" s="26" t="n">
        <f aca="false">IF($U226=0,0,IF(IFERROR(INDEX(VAT_Codes!$F:$F,MATCH($N226,VAT_Codes!$A:$A,0)),"N")="Y",$U226,IF($L226&lt;&gt;"",ROUND(ABS($L226)/IF(OR($R226="",$R226=0),1,$R226),2)*SIGN($U226),ROUND($U226*$V226,2))))</f>
        <v>0</v>
      </c>
      <c r="X226" s="24" t="str">
        <f aca="false">IF($N226="","",IFERROR(INDEX(VAT_Codes!$H:$H,MATCH($N226,VAT_Codes!$A:$A,0)),"")&amp;"")</f>
        <v/>
      </c>
      <c r="Y226" s="24" t="str">
        <f aca="false">IF($A226="","",(YEAR($A226)-YEAR(Settings!$C$8))*12+MONTH($A226)-MONTH(Settings!$C$8)+1)</f>
        <v/>
      </c>
      <c r="Z226" s="24" t="str">
        <f aca="false">IF(AND($C226="",$I226="",$J226=""),"",IF($N226="","NO VAT CODE",IF($T226="","UNKNOWN VAT CODE",IF($S226="","MISSING FX RATE",IF(OR($A226&lt;Settings!$C$8,$A226&gt;Settings!$C$9),"OUTSIDE PERIOD",IF(AND(IFERROR(INDEX(VAT_Codes!$E:$E,MATCH($N226,VAT_Codes!$A:$A,0)),"ANY")&lt;&gt;"ANY",$P226=""),"MISSING COUNTERPARTY COUNTRY",IF(AND(IFERROR(INDEX(VAT_Codes!$E:$E,MATCH($N226,VAT_Codes!$A:$A,0)),"ANY")&lt;&gt;"ANY",$P226&lt;&gt;IFERROR(INDEX(VAT_Codes!$E:$E,MATCH($N226,VAT_Codes!$A:$A,0)),"ANY")),"REGION MISMATCH","OK")))))))</f>
        <v/>
      </c>
    </row>
    <row r="227" customFormat="false" ht="15" hidden="false" customHeight="false" outlineLevel="0" collapsed="false">
      <c r="M227" s="24" t="str">
        <f aca="false">IF($C227="","",IFERROR(INDEX(Account_Mapping!$C:$C,MATCH($C227&amp;"",Account_Mapping!$A:$A,0))&amp;"",""))</f>
        <v/>
      </c>
      <c r="N227" s="24" t="str">
        <f aca="false">IF($K227&lt;&gt;"",$K227,$M227)</f>
        <v/>
      </c>
      <c r="O227" s="24" t="str">
        <f aca="false">IF($F227="","",IFERROR(INDEX(Counterparties!$C:$C,MATCH($F227&amp;"",Counterparties!$A:$A,0))&amp;"",""))</f>
        <v/>
      </c>
      <c r="P227" s="24" t="str">
        <f aca="false">IF($O227="","",IF($O227="CY","CY",IF(ISNUMBER(MATCH($O227,Lists!$A:$A,0)),"EU","3RD")))</f>
        <v/>
      </c>
      <c r="Q227" s="24" t="str">
        <f aca="false">IF($F227="","N",IFERROR(IF(INDEX(Counterparties!$E:$E,MATCH($F227&amp;"",Counterparties!$A:$A,0))="Y","Y","N"),"N"))</f>
        <v>N</v>
      </c>
      <c r="R227" s="25" t="n">
        <f aca="false">IF(OR($H227="",$H227="EUR"),1,IFERROR(INDEX(FX_Rates!$D:$D,MATCH($H227,FX_Rates!$A:$A,0)),""))</f>
        <v>1</v>
      </c>
      <c r="S227" s="26" t="str">
        <f aca="false">IF(AND($I227="",$J227=""),"",IF($J227&lt;&gt;"",$J227,IF(OR($R227="",$R227=0),"",ROUND($I227/$R227,2))))</f>
        <v/>
      </c>
      <c r="T227" s="24" t="str">
        <f aca="false">IF($N227="","",IFERROR(INDEX(VAT_Codes!$C:$C,MATCH($N227,VAT_Codes!$A:$A,0)),"")&amp;"")</f>
        <v/>
      </c>
      <c r="U227" s="26" t="n">
        <f aca="false">IF(OR($S227="",$T227="",$T227="None"),0,IF($T227="Output",-$S227,$S227))</f>
        <v>0</v>
      </c>
      <c r="V227" s="27" t="n">
        <f aca="false">IF($N227="",0,IFERROR(INDEX(VAT_Codes!$D:$D,MATCH($N227,VAT_Codes!$A:$A,0)),0))</f>
        <v>0</v>
      </c>
      <c r="W227" s="26" t="n">
        <f aca="false">IF($U227=0,0,IF(IFERROR(INDEX(VAT_Codes!$F:$F,MATCH($N227,VAT_Codes!$A:$A,0)),"N")="Y",$U227,IF($L227&lt;&gt;"",ROUND(ABS($L227)/IF(OR($R227="",$R227=0),1,$R227),2)*SIGN($U227),ROUND($U227*$V227,2))))</f>
        <v>0</v>
      </c>
      <c r="X227" s="24" t="str">
        <f aca="false">IF($N227="","",IFERROR(INDEX(VAT_Codes!$H:$H,MATCH($N227,VAT_Codes!$A:$A,0)),"")&amp;"")</f>
        <v/>
      </c>
      <c r="Y227" s="24" t="str">
        <f aca="false">IF($A227="","",(YEAR($A227)-YEAR(Settings!$C$8))*12+MONTH($A227)-MONTH(Settings!$C$8)+1)</f>
        <v/>
      </c>
      <c r="Z227" s="24" t="str">
        <f aca="false">IF(AND($C227="",$I227="",$J227=""),"",IF($N227="","NO VAT CODE",IF($T227="","UNKNOWN VAT CODE",IF($S227="","MISSING FX RATE",IF(OR($A227&lt;Settings!$C$8,$A227&gt;Settings!$C$9),"OUTSIDE PERIOD",IF(AND(IFERROR(INDEX(VAT_Codes!$E:$E,MATCH($N227,VAT_Codes!$A:$A,0)),"ANY")&lt;&gt;"ANY",$P227=""),"MISSING COUNTERPARTY COUNTRY",IF(AND(IFERROR(INDEX(VAT_Codes!$E:$E,MATCH($N227,VAT_Codes!$A:$A,0)),"ANY")&lt;&gt;"ANY",$P227&lt;&gt;IFERROR(INDEX(VAT_Codes!$E:$E,MATCH($N227,VAT_Codes!$A:$A,0)),"ANY")),"REGION MISMATCH","OK")))))))</f>
        <v/>
      </c>
    </row>
    <row r="228" customFormat="false" ht="15" hidden="false" customHeight="false" outlineLevel="0" collapsed="false">
      <c r="M228" s="24" t="str">
        <f aca="false">IF($C228="","",IFERROR(INDEX(Account_Mapping!$C:$C,MATCH($C228&amp;"",Account_Mapping!$A:$A,0))&amp;"",""))</f>
        <v/>
      </c>
      <c r="N228" s="24" t="str">
        <f aca="false">IF($K228&lt;&gt;"",$K228,$M228)</f>
        <v/>
      </c>
      <c r="O228" s="24" t="str">
        <f aca="false">IF($F228="","",IFERROR(INDEX(Counterparties!$C:$C,MATCH($F228&amp;"",Counterparties!$A:$A,0))&amp;"",""))</f>
        <v/>
      </c>
      <c r="P228" s="24" t="str">
        <f aca="false">IF($O228="","",IF($O228="CY","CY",IF(ISNUMBER(MATCH($O228,Lists!$A:$A,0)),"EU","3RD")))</f>
        <v/>
      </c>
      <c r="Q228" s="24" t="str">
        <f aca="false">IF($F228="","N",IFERROR(IF(INDEX(Counterparties!$E:$E,MATCH($F228&amp;"",Counterparties!$A:$A,0))="Y","Y","N"),"N"))</f>
        <v>N</v>
      </c>
      <c r="R228" s="25" t="n">
        <f aca="false">IF(OR($H228="",$H228="EUR"),1,IFERROR(INDEX(FX_Rates!$D:$D,MATCH($H228,FX_Rates!$A:$A,0)),""))</f>
        <v>1</v>
      </c>
      <c r="S228" s="26" t="str">
        <f aca="false">IF(AND($I228="",$J228=""),"",IF($J228&lt;&gt;"",$J228,IF(OR($R228="",$R228=0),"",ROUND($I228/$R228,2))))</f>
        <v/>
      </c>
      <c r="T228" s="24" t="str">
        <f aca="false">IF($N228="","",IFERROR(INDEX(VAT_Codes!$C:$C,MATCH($N228,VAT_Codes!$A:$A,0)),"")&amp;"")</f>
        <v/>
      </c>
      <c r="U228" s="26" t="n">
        <f aca="false">IF(OR($S228="",$T228="",$T228="None"),0,IF($T228="Output",-$S228,$S228))</f>
        <v>0</v>
      </c>
      <c r="V228" s="27" t="n">
        <f aca="false">IF($N228="",0,IFERROR(INDEX(VAT_Codes!$D:$D,MATCH($N228,VAT_Codes!$A:$A,0)),0))</f>
        <v>0</v>
      </c>
      <c r="W228" s="26" t="n">
        <f aca="false">IF($U228=0,0,IF(IFERROR(INDEX(VAT_Codes!$F:$F,MATCH($N228,VAT_Codes!$A:$A,0)),"N")="Y",$U228,IF($L228&lt;&gt;"",ROUND(ABS($L228)/IF(OR($R228="",$R228=0),1,$R228),2)*SIGN($U228),ROUND($U228*$V228,2))))</f>
        <v>0</v>
      </c>
      <c r="X228" s="24" t="str">
        <f aca="false">IF($N228="","",IFERROR(INDEX(VAT_Codes!$H:$H,MATCH($N228,VAT_Codes!$A:$A,0)),"")&amp;"")</f>
        <v/>
      </c>
      <c r="Y228" s="24" t="str">
        <f aca="false">IF($A228="","",(YEAR($A228)-YEAR(Settings!$C$8))*12+MONTH($A228)-MONTH(Settings!$C$8)+1)</f>
        <v/>
      </c>
      <c r="Z228" s="24" t="str">
        <f aca="false">IF(AND($C228="",$I228="",$J228=""),"",IF($N228="","NO VAT CODE",IF($T228="","UNKNOWN VAT CODE",IF($S228="","MISSING FX RATE",IF(OR($A228&lt;Settings!$C$8,$A228&gt;Settings!$C$9),"OUTSIDE PERIOD",IF(AND(IFERROR(INDEX(VAT_Codes!$E:$E,MATCH($N228,VAT_Codes!$A:$A,0)),"ANY")&lt;&gt;"ANY",$P228=""),"MISSING COUNTERPARTY COUNTRY",IF(AND(IFERROR(INDEX(VAT_Codes!$E:$E,MATCH($N228,VAT_Codes!$A:$A,0)),"ANY")&lt;&gt;"ANY",$P228&lt;&gt;IFERROR(INDEX(VAT_Codes!$E:$E,MATCH($N228,VAT_Codes!$A:$A,0)),"ANY")),"REGION MISMATCH","OK")))))))</f>
        <v/>
      </c>
    </row>
    <row r="229" customFormat="false" ht="15" hidden="false" customHeight="false" outlineLevel="0" collapsed="false">
      <c r="M229" s="24" t="str">
        <f aca="false">IF($C229="","",IFERROR(INDEX(Account_Mapping!$C:$C,MATCH($C229&amp;"",Account_Mapping!$A:$A,0))&amp;"",""))</f>
        <v/>
      </c>
      <c r="N229" s="24" t="str">
        <f aca="false">IF($K229&lt;&gt;"",$K229,$M229)</f>
        <v/>
      </c>
      <c r="O229" s="24" t="str">
        <f aca="false">IF($F229="","",IFERROR(INDEX(Counterparties!$C:$C,MATCH($F229&amp;"",Counterparties!$A:$A,0))&amp;"",""))</f>
        <v/>
      </c>
      <c r="P229" s="24" t="str">
        <f aca="false">IF($O229="","",IF($O229="CY","CY",IF(ISNUMBER(MATCH($O229,Lists!$A:$A,0)),"EU","3RD")))</f>
        <v/>
      </c>
      <c r="Q229" s="24" t="str">
        <f aca="false">IF($F229="","N",IFERROR(IF(INDEX(Counterparties!$E:$E,MATCH($F229&amp;"",Counterparties!$A:$A,0))="Y","Y","N"),"N"))</f>
        <v>N</v>
      </c>
      <c r="R229" s="25" t="n">
        <f aca="false">IF(OR($H229="",$H229="EUR"),1,IFERROR(INDEX(FX_Rates!$D:$D,MATCH($H229,FX_Rates!$A:$A,0)),""))</f>
        <v>1</v>
      </c>
      <c r="S229" s="26" t="str">
        <f aca="false">IF(AND($I229="",$J229=""),"",IF($J229&lt;&gt;"",$J229,IF(OR($R229="",$R229=0),"",ROUND($I229/$R229,2))))</f>
        <v/>
      </c>
      <c r="T229" s="24" t="str">
        <f aca="false">IF($N229="","",IFERROR(INDEX(VAT_Codes!$C:$C,MATCH($N229,VAT_Codes!$A:$A,0)),"")&amp;"")</f>
        <v/>
      </c>
      <c r="U229" s="26" t="n">
        <f aca="false">IF(OR($S229="",$T229="",$T229="None"),0,IF($T229="Output",-$S229,$S229))</f>
        <v>0</v>
      </c>
      <c r="V229" s="27" t="n">
        <f aca="false">IF($N229="",0,IFERROR(INDEX(VAT_Codes!$D:$D,MATCH($N229,VAT_Codes!$A:$A,0)),0))</f>
        <v>0</v>
      </c>
      <c r="W229" s="26" t="n">
        <f aca="false">IF($U229=0,0,IF(IFERROR(INDEX(VAT_Codes!$F:$F,MATCH($N229,VAT_Codes!$A:$A,0)),"N")="Y",$U229,IF($L229&lt;&gt;"",ROUND(ABS($L229)/IF(OR($R229="",$R229=0),1,$R229),2)*SIGN($U229),ROUND($U229*$V229,2))))</f>
        <v>0</v>
      </c>
      <c r="X229" s="24" t="str">
        <f aca="false">IF($N229="","",IFERROR(INDEX(VAT_Codes!$H:$H,MATCH($N229,VAT_Codes!$A:$A,0)),"")&amp;"")</f>
        <v/>
      </c>
      <c r="Y229" s="24" t="str">
        <f aca="false">IF($A229="","",(YEAR($A229)-YEAR(Settings!$C$8))*12+MONTH($A229)-MONTH(Settings!$C$8)+1)</f>
        <v/>
      </c>
      <c r="Z229" s="24" t="str">
        <f aca="false">IF(AND($C229="",$I229="",$J229=""),"",IF($N229="","NO VAT CODE",IF($T229="","UNKNOWN VAT CODE",IF($S229="","MISSING FX RATE",IF(OR($A229&lt;Settings!$C$8,$A229&gt;Settings!$C$9),"OUTSIDE PERIOD",IF(AND(IFERROR(INDEX(VAT_Codes!$E:$E,MATCH($N229,VAT_Codes!$A:$A,0)),"ANY")&lt;&gt;"ANY",$P229=""),"MISSING COUNTERPARTY COUNTRY",IF(AND(IFERROR(INDEX(VAT_Codes!$E:$E,MATCH($N229,VAT_Codes!$A:$A,0)),"ANY")&lt;&gt;"ANY",$P229&lt;&gt;IFERROR(INDEX(VAT_Codes!$E:$E,MATCH($N229,VAT_Codes!$A:$A,0)),"ANY")),"REGION MISMATCH","OK")))))))</f>
        <v/>
      </c>
    </row>
    <row r="230" customFormat="false" ht="15" hidden="false" customHeight="false" outlineLevel="0" collapsed="false">
      <c r="M230" s="24" t="str">
        <f aca="false">IF($C230="","",IFERROR(INDEX(Account_Mapping!$C:$C,MATCH($C230&amp;"",Account_Mapping!$A:$A,0))&amp;"",""))</f>
        <v/>
      </c>
      <c r="N230" s="24" t="str">
        <f aca="false">IF($K230&lt;&gt;"",$K230,$M230)</f>
        <v/>
      </c>
      <c r="O230" s="24" t="str">
        <f aca="false">IF($F230="","",IFERROR(INDEX(Counterparties!$C:$C,MATCH($F230&amp;"",Counterparties!$A:$A,0))&amp;"",""))</f>
        <v/>
      </c>
      <c r="P230" s="24" t="str">
        <f aca="false">IF($O230="","",IF($O230="CY","CY",IF(ISNUMBER(MATCH($O230,Lists!$A:$A,0)),"EU","3RD")))</f>
        <v/>
      </c>
      <c r="Q230" s="24" t="str">
        <f aca="false">IF($F230="","N",IFERROR(IF(INDEX(Counterparties!$E:$E,MATCH($F230&amp;"",Counterparties!$A:$A,0))="Y","Y","N"),"N"))</f>
        <v>N</v>
      </c>
      <c r="R230" s="25" t="n">
        <f aca="false">IF(OR($H230="",$H230="EUR"),1,IFERROR(INDEX(FX_Rates!$D:$D,MATCH($H230,FX_Rates!$A:$A,0)),""))</f>
        <v>1</v>
      </c>
      <c r="S230" s="26" t="str">
        <f aca="false">IF(AND($I230="",$J230=""),"",IF($J230&lt;&gt;"",$J230,IF(OR($R230="",$R230=0),"",ROUND($I230/$R230,2))))</f>
        <v/>
      </c>
      <c r="T230" s="24" t="str">
        <f aca="false">IF($N230="","",IFERROR(INDEX(VAT_Codes!$C:$C,MATCH($N230,VAT_Codes!$A:$A,0)),"")&amp;"")</f>
        <v/>
      </c>
      <c r="U230" s="26" t="n">
        <f aca="false">IF(OR($S230="",$T230="",$T230="None"),0,IF($T230="Output",-$S230,$S230))</f>
        <v>0</v>
      </c>
      <c r="V230" s="27" t="n">
        <f aca="false">IF($N230="",0,IFERROR(INDEX(VAT_Codes!$D:$D,MATCH($N230,VAT_Codes!$A:$A,0)),0))</f>
        <v>0</v>
      </c>
      <c r="W230" s="26" t="n">
        <f aca="false">IF($U230=0,0,IF(IFERROR(INDEX(VAT_Codes!$F:$F,MATCH($N230,VAT_Codes!$A:$A,0)),"N")="Y",$U230,IF($L230&lt;&gt;"",ROUND(ABS($L230)/IF(OR($R230="",$R230=0),1,$R230),2)*SIGN($U230),ROUND($U230*$V230,2))))</f>
        <v>0</v>
      </c>
      <c r="X230" s="24" t="str">
        <f aca="false">IF($N230="","",IFERROR(INDEX(VAT_Codes!$H:$H,MATCH($N230,VAT_Codes!$A:$A,0)),"")&amp;"")</f>
        <v/>
      </c>
      <c r="Y230" s="24" t="str">
        <f aca="false">IF($A230="","",(YEAR($A230)-YEAR(Settings!$C$8))*12+MONTH($A230)-MONTH(Settings!$C$8)+1)</f>
        <v/>
      </c>
      <c r="Z230" s="24" t="str">
        <f aca="false">IF(AND($C230="",$I230="",$J230=""),"",IF($N230="","NO VAT CODE",IF($T230="","UNKNOWN VAT CODE",IF($S230="","MISSING FX RATE",IF(OR($A230&lt;Settings!$C$8,$A230&gt;Settings!$C$9),"OUTSIDE PERIOD",IF(AND(IFERROR(INDEX(VAT_Codes!$E:$E,MATCH($N230,VAT_Codes!$A:$A,0)),"ANY")&lt;&gt;"ANY",$P230=""),"MISSING COUNTERPARTY COUNTRY",IF(AND(IFERROR(INDEX(VAT_Codes!$E:$E,MATCH($N230,VAT_Codes!$A:$A,0)),"ANY")&lt;&gt;"ANY",$P230&lt;&gt;IFERROR(INDEX(VAT_Codes!$E:$E,MATCH($N230,VAT_Codes!$A:$A,0)),"ANY")),"REGION MISMATCH","OK")))))))</f>
        <v/>
      </c>
    </row>
    <row r="231" customFormat="false" ht="15" hidden="false" customHeight="false" outlineLevel="0" collapsed="false">
      <c r="M231" s="24" t="str">
        <f aca="false">IF($C231="","",IFERROR(INDEX(Account_Mapping!$C:$C,MATCH($C231&amp;"",Account_Mapping!$A:$A,0))&amp;"",""))</f>
        <v/>
      </c>
      <c r="N231" s="24" t="str">
        <f aca="false">IF($K231&lt;&gt;"",$K231,$M231)</f>
        <v/>
      </c>
      <c r="O231" s="24" t="str">
        <f aca="false">IF($F231="","",IFERROR(INDEX(Counterparties!$C:$C,MATCH($F231&amp;"",Counterparties!$A:$A,0))&amp;"",""))</f>
        <v/>
      </c>
      <c r="P231" s="24" t="str">
        <f aca="false">IF($O231="","",IF($O231="CY","CY",IF(ISNUMBER(MATCH($O231,Lists!$A:$A,0)),"EU","3RD")))</f>
        <v/>
      </c>
      <c r="Q231" s="24" t="str">
        <f aca="false">IF($F231="","N",IFERROR(IF(INDEX(Counterparties!$E:$E,MATCH($F231&amp;"",Counterparties!$A:$A,0))="Y","Y","N"),"N"))</f>
        <v>N</v>
      </c>
      <c r="R231" s="25" t="n">
        <f aca="false">IF(OR($H231="",$H231="EUR"),1,IFERROR(INDEX(FX_Rates!$D:$D,MATCH($H231,FX_Rates!$A:$A,0)),""))</f>
        <v>1</v>
      </c>
      <c r="S231" s="26" t="str">
        <f aca="false">IF(AND($I231="",$J231=""),"",IF($J231&lt;&gt;"",$J231,IF(OR($R231="",$R231=0),"",ROUND($I231/$R231,2))))</f>
        <v/>
      </c>
      <c r="T231" s="24" t="str">
        <f aca="false">IF($N231="","",IFERROR(INDEX(VAT_Codes!$C:$C,MATCH($N231,VAT_Codes!$A:$A,0)),"")&amp;"")</f>
        <v/>
      </c>
      <c r="U231" s="26" t="n">
        <f aca="false">IF(OR($S231="",$T231="",$T231="None"),0,IF($T231="Output",-$S231,$S231))</f>
        <v>0</v>
      </c>
      <c r="V231" s="27" t="n">
        <f aca="false">IF($N231="",0,IFERROR(INDEX(VAT_Codes!$D:$D,MATCH($N231,VAT_Codes!$A:$A,0)),0))</f>
        <v>0</v>
      </c>
      <c r="W231" s="26" t="n">
        <f aca="false">IF($U231=0,0,IF(IFERROR(INDEX(VAT_Codes!$F:$F,MATCH($N231,VAT_Codes!$A:$A,0)),"N")="Y",$U231,IF($L231&lt;&gt;"",ROUND(ABS($L231)/IF(OR($R231="",$R231=0),1,$R231),2)*SIGN($U231),ROUND($U231*$V231,2))))</f>
        <v>0</v>
      </c>
      <c r="X231" s="24" t="str">
        <f aca="false">IF($N231="","",IFERROR(INDEX(VAT_Codes!$H:$H,MATCH($N231,VAT_Codes!$A:$A,0)),"")&amp;"")</f>
        <v/>
      </c>
      <c r="Y231" s="24" t="str">
        <f aca="false">IF($A231="","",(YEAR($A231)-YEAR(Settings!$C$8))*12+MONTH($A231)-MONTH(Settings!$C$8)+1)</f>
        <v/>
      </c>
      <c r="Z231" s="24" t="str">
        <f aca="false">IF(AND($C231="",$I231="",$J231=""),"",IF($N231="","NO VAT CODE",IF($T231="","UNKNOWN VAT CODE",IF($S231="","MISSING FX RATE",IF(OR($A231&lt;Settings!$C$8,$A231&gt;Settings!$C$9),"OUTSIDE PERIOD",IF(AND(IFERROR(INDEX(VAT_Codes!$E:$E,MATCH($N231,VAT_Codes!$A:$A,0)),"ANY")&lt;&gt;"ANY",$P231=""),"MISSING COUNTERPARTY COUNTRY",IF(AND(IFERROR(INDEX(VAT_Codes!$E:$E,MATCH($N231,VAT_Codes!$A:$A,0)),"ANY")&lt;&gt;"ANY",$P231&lt;&gt;IFERROR(INDEX(VAT_Codes!$E:$E,MATCH($N231,VAT_Codes!$A:$A,0)),"ANY")),"REGION MISMATCH","OK")))))))</f>
        <v/>
      </c>
    </row>
    <row r="232" customFormat="false" ht="15" hidden="false" customHeight="false" outlineLevel="0" collapsed="false">
      <c r="M232" s="24" t="str">
        <f aca="false">IF($C232="","",IFERROR(INDEX(Account_Mapping!$C:$C,MATCH($C232&amp;"",Account_Mapping!$A:$A,0))&amp;"",""))</f>
        <v/>
      </c>
      <c r="N232" s="24" t="str">
        <f aca="false">IF($K232&lt;&gt;"",$K232,$M232)</f>
        <v/>
      </c>
      <c r="O232" s="24" t="str">
        <f aca="false">IF($F232="","",IFERROR(INDEX(Counterparties!$C:$C,MATCH($F232&amp;"",Counterparties!$A:$A,0))&amp;"",""))</f>
        <v/>
      </c>
      <c r="P232" s="24" t="str">
        <f aca="false">IF($O232="","",IF($O232="CY","CY",IF(ISNUMBER(MATCH($O232,Lists!$A:$A,0)),"EU","3RD")))</f>
        <v/>
      </c>
      <c r="Q232" s="24" t="str">
        <f aca="false">IF($F232="","N",IFERROR(IF(INDEX(Counterparties!$E:$E,MATCH($F232&amp;"",Counterparties!$A:$A,0))="Y","Y","N"),"N"))</f>
        <v>N</v>
      </c>
      <c r="R232" s="25" t="n">
        <f aca="false">IF(OR($H232="",$H232="EUR"),1,IFERROR(INDEX(FX_Rates!$D:$D,MATCH($H232,FX_Rates!$A:$A,0)),""))</f>
        <v>1</v>
      </c>
      <c r="S232" s="26" t="str">
        <f aca="false">IF(AND($I232="",$J232=""),"",IF($J232&lt;&gt;"",$J232,IF(OR($R232="",$R232=0),"",ROUND($I232/$R232,2))))</f>
        <v/>
      </c>
      <c r="T232" s="24" t="str">
        <f aca="false">IF($N232="","",IFERROR(INDEX(VAT_Codes!$C:$C,MATCH($N232,VAT_Codes!$A:$A,0)),"")&amp;"")</f>
        <v/>
      </c>
      <c r="U232" s="26" t="n">
        <f aca="false">IF(OR($S232="",$T232="",$T232="None"),0,IF($T232="Output",-$S232,$S232))</f>
        <v>0</v>
      </c>
      <c r="V232" s="27" t="n">
        <f aca="false">IF($N232="",0,IFERROR(INDEX(VAT_Codes!$D:$D,MATCH($N232,VAT_Codes!$A:$A,0)),0))</f>
        <v>0</v>
      </c>
      <c r="W232" s="26" t="n">
        <f aca="false">IF($U232=0,0,IF(IFERROR(INDEX(VAT_Codes!$F:$F,MATCH($N232,VAT_Codes!$A:$A,0)),"N")="Y",$U232,IF($L232&lt;&gt;"",ROUND(ABS($L232)/IF(OR($R232="",$R232=0),1,$R232),2)*SIGN($U232),ROUND($U232*$V232,2))))</f>
        <v>0</v>
      </c>
      <c r="X232" s="24" t="str">
        <f aca="false">IF($N232="","",IFERROR(INDEX(VAT_Codes!$H:$H,MATCH($N232,VAT_Codes!$A:$A,0)),"")&amp;"")</f>
        <v/>
      </c>
      <c r="Y232" s="24" t="str">
        <f aca="false">IF($A232="","",(YEAR($A232)-YEAR(Settings!$C$8))*12+MONTH($A232)-MONTH(Settings!$C$8)+1)</f>
        <v/>
      </c>
      <c r="Z232" s="24" t="str">
        <f aca="false">IF(AND($C232="",$I232="",$J232=""),"",IF($N232="","NO VAT CODE",IF($T232="","UNKNOWN VAT CODE",IF($S232="","MISSING FX RATE",IF(OR($A232&lt;Settings!$C$8,$A232&gt;Settings!$C$9),"OUTSIDE PERIOD",IF(AND(IFERROR(INDEX(VAT_Codes!$E:$E,MATCH($N232,VAT_Codes!$A:$A,0)),"ANY")&lt;&gt;"ANY",$P232=""),"MISSING COUNTERPARTY COUNTRY",IF(AND(IFERROR(INDEX(VAT_Codes!$E:$E,MATCH($N232,VAT_Codes!$A:$A,0)),"ANY")&lt;&gt;"ANY",$P232&lt;&gt;IFERROR(INDEX(VAT_Codes!$E:$E,MATCH($N232,VAT_Codes!$A:$A,0)),"ANY")),"REGION MISMATCH","OK")))))))</f>
        <v/>
      </c>
    </row>
    <row r="233" customFormat="false" ht="15" hidden="false" customHeight="false" outlineLevel="0" collapsed="false">
      <c r="M233" s="24" t="str">
        <f aca="false">IF($C233="","",IFERROR(INDEX(Account_Mapping!$C:$C,MATCH($C233&amp;"",Account_Mapping!$A:$A,0))&amp;"",""))</f>
        <v/>
      </c>
      <c r="N233" s="24" t="str">
        <f aca="false">IF($K233&lt;&gt;"",$K233,$M233)</f>
        <v/>
      </c>
      <c r="O233" s="24" t="str">
        <f aca="false">IF($F233="","",IFERROR(INDEX(Counterparties!$C:$C,MATCH($F233&amp;"",Counterparties!$A:$A,0))&amp;"",""))</f>
        <v/>
      </c>
      <c r="P233" s="24" t="str">
        <f aca="false">IF($O233="","",IF($O233="CY","CY",IF(ISNUMBER(MATCH($O233,Lists!$A:$A,0)),"EU","3RD")))</f>
        <v/>
      </c>
      <c r="Q233" s="24" t="str">
        <f aca="false">IF($F233="","N",IFERROR(IF(INDEX(Counterparties!$E:$E,MATCH($F233&amp;"",Counterparties!$A:$A,0))="Y","Y","N"),"N"))</f>
        <v>N</v>
      </c>
      <c r="R233" s="25" t="n">
        <f aca="false">IF(OR($H233="",$H233="EUR"),1,IFERROR(INDEX(FX_Rates!$D:$D,MATCH($H233,FX_Rates!$A:$A,0)),""))</f>
        <v>1</v>
      </c>
      <c r="S233" s="26" t="str">
        <f aca="false">IF(AND($I233="",$J233=""),"",IF($J233&lt;&gt;"",$J233,IF(OR($R233="",$R233=0),"",ROUND($I233/$R233,2))))</f>
        <v/>
      </c>
      <c r="T233" s="24" t="str">
        <f aca="false">IF($N233="","",IFERROR(INDEX(VAT_Codes!$C:$C,MATCH($N233,VAT_Codes!$A:$A,0)),"")&amp;"")</f>
        <v/>
      </c>
      <c r="U233" s="26" t="n">
        <f aca="false">IF(OR($S233="",$T233="",$T233="None"),0,IF($T233="Output",-$S233,$S233))</f>
        <v>0</v>
      </c>
      <c r="V233" s="27" t="n">
        <f aca="false">IF($N233="",0,IFERROR(INDEX(VAT_Codes!$D:$D,MATCH($N233,VAT_Codes!$A:$A,0)),0))</f>
        <v>0</v>
      </c>
      <c r="W233" s="26" t="n">
        <f aca="false">IF($U233=0,0,IF(IFERROR(INDEX(VAT_Codes!$F:$F,MATCH($N233,VAT_Codes!$A:$A,0)),"N")="Y",$U233,IF($L233&lt;&gt;"",ROUND(ABS($L233)/IF(OR($R233="",$R233=0),1,$R233),2)*SIGN($U233),ROUND($U233*$V233,2))))</f>
        <v>0</v>
      </c>
      <c r="X233" s="24" t="str">
        <f aca="false">IF($N233="","",IFERROR(INDEX(VAT_Codes!$H:$H,MATCH($N233,VAT_Codes!$A:$A,0)),"")&amp;"")</f>
        <v/>
      </c>
      <c r="Y233" s="24" t="str">
        <f aca="false">IF($A233="","",(YEAR($A233)-YEAR(Settings!$C$8))*12+MONTH($A233)-MONTH(Settings!$C$8)+1)</f>
        <v/>
      </c>
      <c r="Z233" s="24" t="str">
        <f aca="false">IF(AND($C233="",$I233="",$J233=""),"",IF($N233="","NO VAT CODE",IF($T233="","UNKNOWN VAT CODE",IF($S233="","MISSING FX RATE",IF(OR($A233&lt;Settings!$C$8,$A233&gt;Settings!$C$9),"OUTSIDE PERIOD",IF(AND(IFERROR(INDEX(VAT_Codes!$E:$E,MATCH($N233,VAT_Codes!$A:$A,0)),"ANY")&lt;&gt;"ANY",$P233=""),"MISSING COUNTERPARTY COUNTRY",IF(AND(IFERROR(INDEX(VAT_Codes!$E:$E,MATCH($N233,VAT_Codes!$A:$A,0)),"ANY")&lt;&gt;"ANY",$P233&lt;&gt;IFERROR(INDEX(VAT_Codes!$E:$E,MATCH($N233,VAT_Codes!$A:$A,0)),"ANY")),"REGION MISMATCH","OK")))))))</f>
        <v/>
      </c>
    </row>
    <row r="234" customFormat="false" ht="15" hidden="false" customHeight="false" outlineLevel="0" collapsed="false">
      <c r="M234" s="24" t="str">
        <f aca="false">IF($C234="","",IFERROR(INDEX(Account_Mapping!$C:$C,MATCH($C234&amp;"",Account_Mapping!$A:$A,0))&amp;"",""))</f>
        <v/>
      </c>
      <c r="N234" s="24" t="str">
        <f aca="false">IF($K234&lt;&gt;"",$K234,$M234)</f>
        <v/>
      </c>
      <c r="O234" s="24" t="str">
        <f aca="false">IF($F234="","",IFERROR(INDEX(Counterparties!$C:$C,MATCH($F234&amp;"",Counterparties!$A:$A,0))&amp;"",""))</f>
        <v/>
      </c>
      <c r="P234" s="24" t="str">
        <f aca="false">IF($O234="","",IF($O234="CY","CY",IF(ISNUMBER(MATCH($O234,Lists!$A:$A,0)),"EU","3RD")))</f>
        <v/>
      </c>
      <c r="Q234" s="24" t="str">
        <f aca="false">IF($F234="","N",IFERROR(IF(INDEX(Counterparties!$E:$E,MATCH($F234&amp;"",Counterparties!$A:$A,0))="Y","Y","N"),"N"))</f>
        <v>N</v>
      </c>
      <c r="R234" s="25" t="n">
        <f aca="false">IF(OR($H234="",$H234="EUR"),1,IFERROR(INDEX(FX_Rates!$D:$D,MATCH($H234,FX_Rates!$A:$A,0)),""))</f>
        <v>1</v>
      </c>
      <c r="S234" s="26" t="str">
        <f aca="false">IF(AND($I234="",$J234=""),"",IF($J234&lt;&gt;"",$J234,IF(OR($R234="",$R234=0),"",ROUND($I234/$R234,2))))</f>
        <v/>
      </c>
      <c r="T234" s="24" t="str">
        <f aca="false">IF($N234="","",IFERROR(INDEX(VAT_Codes!$C:$C,MATCH($N234,VAT_Codes!$A:$A,0)),"")&amp;"")</f>
        <v/>
      </c>
      <c r="U234" s="26" t="n">
        <f aca="false">IF(OR($S234="",$T234="",$T234="None"),0,IF($T234="Output",-$S234,$S234))</f>
        <v>0</v>
      </c>
      <c r="V234" s="27" t="n">
        <f aca="false">IF($N234="",0,IFERROR(INDEX(VAT_Codes!$D:$D,MATCH($N234,VAT_Codes!$A:$A,0)),0))</f>
        <v>0</v>
      </c>
      <c r="W234" s="26" t="n">
        <f aca="false">IF($U234=0,0,IF(IFERROR(INDEX(VAT_Codes!$F:$F,MATCH($N234,VAT_Codes!$A:$A,0)),"N")="Y",$U234,IF($L234&lt;&gt;"",ROUND(ABS($L234)/IF(OR($R234="",$R234=0),1,$R234),2)*SIGN($U234),ROUND($U234*$V234,2))))</f>
        <v>0</v>
      </c>
      <c r="X234" s="24" t="str">
        <f aca="false">IF($N234="","",IFERROR(INDEX(VAT_Codes!$H:$H,MATCH($N234,VAT_Codes!$A:$A,0)),"")&amp;"")</f>
        <v/>
      </c>
      <c r="Y234" s="24" t="str">
        <f aca="false">IF($A234="","",(YEAR($A234)-YEAR(Settings!$C$8))*12+MONTH($A234)-MONTH(Settings!$C$8)+1)</f>
        <v/>
      </c>
      <c r="Z234" s="24" t="str">
        <f aca="false">IF(AND($C234="",$I234="",$J234=""),"",IF($N234="","NO VAT CODE",IF($T234="","UNKNOWN VAT CODE",IF($S234="","MISSING FX RATE",IF(OR($A234&lt;Settings!$C$8,$A234&gt;Settings!$C$9),"OUTSIDE PERIOD",IF(AND(IFERROR(INDEX(VAT_Codes!$E:$E,MATCH($N234,VAT_Codes!$A:$A,0)),"ANY")&lt;&gt;"ANY",$P234=""),"MISSING COUNTERPARTY COUNTRY",IF(AND(IFERROR(INDEX(VAT_Codes!$E:$E,MATCH($N234,VAT_Codes!$A:$A,0)),"ANY")&lt;&gt;"ANY",$P234&lt;&gt;IFERROR(INDEX(VAT_Codes!$E:$E,MATCH($N234,VAT_Codes!$A:$A,0)),"ANY")),"REGION MISMATCH","OK")))))))</f>
        <v/>
      </c>
    </row>
    <row r="235" customFormat="false" ht="15" hidden="false" customHeight="false" outlineLevel="0" collapsed="false">
      <c r="M235" s="24" t="str">
        <f aca="false">IF($C235="","",IFERROR(INDEX(Account_Mapping!$C:$C,MATCH($C235&amp;"",Account_Mapping!$A:$A,0))&amp;"",""))</f>
        <v/>
      </c>
      <c r="N235" s="24" t="str">
        <f aca="false">IF($K235&lt;&gt;"",$K235,$M235)</f>
        <v/>
      </c>
      <c r="O235" s="24" t="str">
        <f aca="false">IF($F235="","",IFERROR(INDEX(Counterparties!$C:$C,MATCH($F235&amp;"",Counterparties!$A:$A,0))&amp;"",""))</f>
        <v/>
      </c>
      <c r="P235" s="24" t="str">
        <f aca="false">IF($O235="","",IF($O235="CY","CY",IF(ISNUMBER(MATCH($O235,Lists!$A:$A,0)),"EU","3RD")))</f>
        <v/>
      </c>
      <c r="Q235" s="24" t="str">
        <f aca="false">IF($F235="","N",IFERROR(IF(INDEX(Counterparties!$E:$E,MATCH($F235&amp;"",Counterparties!$A:$A,0))="Y","Y","N"),"N"))</f>
        <v>N</v>
      </c>
      <c r="R235" s="25" t="n">
        <f aca="false">IF(OR($H235="",$H235="EUR"),1,IFERROR(INDEX(FX_Rates!$D:$D,MATCH($H235,FX_Rates!$A:$A,0)),""))</f>
        <v>1</v>
      </c>
      <c r="S235" s="26" t="str">
        <f aca="false">IF(AND($I235="",$J235=""),"",IF($J235&lt;&gt;"",$J235,IF(OR($R235="",$R235=0),"",ROUND($I235/$R235,2))))</f>
        <v/>
      </c>
      <c r="T235" s="24" t="str">
        <f aca="false">IF($N235="","",IFERROR(INDEX(VAT_Codes!$C:$C,MATCH($N235,VAT_Codes!$A:$A,0)),"")&amp;"")</f>
        <v/>
      </c>
      <c r="U235" s="26" t="n">
        <f aca="false">IF(OR($S235="",$T235="",$T235="None"),0,IF($T235="Output",-$S235,$S235))</f>
        <v>0</v>
      </c>
      <c r="V235" s="27" t="n">
        <f aca="false">IF($N235="",0,IFERROR(INDEX(VAT_Codes!$D:$D,MATCH($N235,VAT_Codes!$A:$A,0)),0))</f>
        <v>0</v>
      </c>
      <c r="W235" s="26" t="n">
        <f aca="false">IF($U235=0,0,IF(IFERROR(INDEX(VAT_Codes!$F:$F,MATCH($N235,VAT_Codes!$A:$A,0)),"N")="Y",$U235,IF($L235&lt;&gt;"",ROUND(ABS($L235)/IF(OR($R235="",$R235=0),1,$R235),2)*SIGN($U235),ROUND($U235*$V235,2))))</f>
        <v>0</v>
      </c>
      <c r="X235" s="24" t="str">
        <f aca="false">IF($N235="","",IFERROR(INDEX(VAT_Codes!$H:$H,MATCH($N235,VAT_Codes!$A:$A,0)),"")&amp;"")</f>
        <v/>
      </c>
      <c r="Y235" s="24" t="str">
        <f aca="false">IF($A235="","",(YEAR($A235)-YEAR(Settings!$C$8))*12+MONTH($A235)-MONTH(Settings!$C$8)+1)</f>
        <v/>
      </c>
      <c r="Z235" s="24" t="str">
        <f aca="false">IF(AND($C235="",$I235="",$J235=""),"",IF($N235="","NO VAT CODE",IF($T235="","UNKNOWN VAT CODE",IF($S235="","MISSING FX RATE",IF(OR($A235&lt;Settings!$C$8,$A235&gt;Settings!$C$9),"OUTSIDE PERIOD",IF(AND(IFERROR(INDEX(VAT_Codes!$E:$E,MATCH($N235,VAT_Codes!$A:$A,0)),"ANY")&lt;&gt;"ANY",$P235=""),"MISSING COUNTERPARTY COUNTRY",IF(AND(IFERROR(INDEX(VAT_Codes!$E:$E,MATCH($N235,VAT_Codes!$A:$A,0)),"ANY")&lt;&gt;"ANY",$P235&lt;&gt;IFERROR(INDEX(VAT_Codes!$E:$E,MATCH($N235,VAT_Codes!$A:$A,0)),"ANY")),"REGION MISMATCH","OK")))))))</f>
        <v/>
      </c>
    </row>
    <row r="236" customFormat="false" ht="15" hidden="false" customHeight="false" outlineLevel="0" collapsed="false">
      <c r="M236" s="24" t="str">
        <f aca="false">IF($C236="","",IFERROR(INDEX(Account_Mapping!$C:$C,MATCH($C236&amp;"",Account_Mapping!$A:$A,0))&amp;"",""))</f>
        <v/>
      </c>
      <c r="N236" s="24" t="str">
        <f aca="false">IF($K236&lt;&gt;"",$K236,$M236)</f>
        <v/>
      </c>
      <c r="O236" s="24" t="str">
        <f aca="false">IF($F236="","",IFERROR(INDEX(Counterparties!$C:$C,MATCH($F236&amp;"",Counterparties!$A:$A,0))&amp;"",""))</f>
        <v/>
      </c>
      <c r="P236" s="24" t="str">
        <f aca="false">IF($O236="","",IF($O236="CY","CY",IF(ISNUMBER(MATCH($O236,Lists!$A:$A,0)),"EU","3RD")))</f>
        <v/>
      </c>
      <c r="Q236" s="24" t="str">
        <f aca="false">IF($F236="","N",IFERROR(IF(INDEX(Counterparties!$E:$E,MATCH($F236&amp;"",Counterparties!$A:$A,0))="Y","Y","N"),"N"))</f>
        <v>N</v>
      </c>
      <c r="R236" s="25" t="n">
        <f aca="false">IF(OR($H236="",$H236="EUR"),1,IFERROR(INDEX(FX_Rates!$D:$D,MATCH($H236,FX_Rates!$A:$A,0)),""))</f>
        <v>1</v>
      </c>
      <c r="S236" s="26" t="str">
        <f aca="false">IF(AND($I236="",$J236=""),"",IF($J236&lt;&gt;"",$J236,IF(OR($R236="",$R236=0),"",ROUND($I236/$R236,2))))</f>
        <v/>
      </c>
      <c r="T236" s="24" t="str">
        <f aca="false">IF($N236="","",IFERROR(INDEX(VAT_Codes!$C:$C,MATCH($N236,VAT_Codes!$A:$A,0)),"")&amp;"")</f>
        <v/>
      </c>
      <c r="U236" s="26" t="n">
        <f aca="false">IF(OR($S236="",$T236="",$T236="None"),0,IF($T236="Output",-$S236,$S236))</f>
        <v>0</v>
      </c>
      <c r="V236" s="27" t="n">
        <f aca="false">IF($N236="",0,IFERROR(INDEX(VAT_Codes!$D:$D,MATCH($N236,VAT_Codes!$A:$A,0)),0))</f>
        <v>0</v>
      </c>
      <c r="W236" s="26" t="n">
        <f aca="false">IF($U236=0,0,IF(IFERROR(INDEX(VAT_Codes!$F:$F,MATCH($N236,VAT_Codes!$A:$A,0)),"N")="Y",$U236,IF($L236&lt;&gt;"",ROUND(ABS($L236)/IF(OR($R236="",$R236=0),1,$R236),2)*SIGN($U236),ROUND($U236*$V236,2))))</f>
        <v>0</v>
      </c>
      <c r="X236" s="24" t="str">
        <f aca="false">IF($N236="","",IFERROR(INDEX(VAT_Codes!$H:$H,MATCH($N236,VAT_Codes!$A:$A,0)),"")&amp;"")</f>
        <v/>
      </c>
      <c r="Y236" s="24" t="str">
        <f aca="false">IF($A236="","",(YEAR($A236)-YEAR(Settings!$C$8))*12+MONTH($A236)-MONTH(Settings!$C$8)+1)</f>
        <v/>
      </c>
      <c r="Z236" s="24" t="str">
        <f aca="false">IF(AND($C236="",$I236="",$J236=""),"",IF($N236="","NO VAT CODE",IF($T236="","UNKNOWN VAT CODE",IF($S236="","MISSING FX RATE",IF(OR($A236&lt;Settings!$C$8,$A236&gt;Settings!$C$9),"OUTSIDE PERIOD",IF(AND(IFERROR(INDEX(VAT_Codes!$E:$E,MATCH($N236,VAT_Codes!$A:$A,0)),"ANY")&lt;&gt;"ANY",$P236=""),"MISSING COUNTERPARTY COUNTRY",IF(AND(IFERROR(INDEX(VAT_Codes!$E:$E,MATCH($N236,VAT_Codes!$A:$A,0)),"ANY")&lt;&gt;"ANY",$P236&lt;&gt;IFERROR(INDEX(VAT_Codes!$E:$E,MATCH($N236,VAT_Codes!$A:$A,0)),"ANY")),"REGION MISMATCH","OK")))))))</f>
        <v/>
      </c>
    </row>
    <row r="237" customFormat="false" ht="15" hidden="false" customHeight="false" outlineLevel="0" collapsed="false">
      <c r="M237" s="24" t="str">
        <f aca="false">IF($C237="","",IFERROR(INDEX(Account_Mapping!$C:$C,MATCH($C237&amp;"",Account_Mapping!$A:$A,0))&amp;"",""))</f>
        <v/>
      </c>
      <c r="N237" s="24" t="str">
        <f aca="false">IF($K237&lt;&gt;"",$K237,$M237)</f>
        <v/>
      </c>
      <c r="O237" s="24" t="str">
        <f aca="false">IF($F237="","",IFERROR(INDEX(Counterparties!$C:$C,MATCH($F237&amp;"",Counterparties!$A:$A,0))&amp;"",""))</f>
        <v/>
      </c>
      <c r="P237" s="24" t="str">
        <f aca="false">IF($O237="","",IF($O237="CY","CY",IF(ISNUMBER(MATCH($O237,Lists!$A:$A,0)),"EU","3RD")))</f>
        <v/>
      </c>
      <c r="Q237" s="24" t="str">
        <f aca="false">IF($F237="","N",IFERROR(IF(INDEX(Counterparties!$E:$E,MATCH($F237&amp;"",Counterparties!$A:$A,0))="Y","Y","N"),"N"))</f>
        <v>N</v>
      </c>
      <c r="R237" s="25" t="n">
        <f aca="false">IF(OR($H237="",$H237="EUR"),1,IFERROR(INDEX(FX_Rates!$D:$D,MATCH($H237,FX_Rates!$A:$A,0)),""))</f>
        <v>1</v>
      </c>
      <c r="S237" s="26" t="str">
        <f aca="false">IF(AND($I237="",$J237=""),"",IF($J237&lt;&gt;"",$J237,IF(OR($R237="",$R237=0),"",ROUND($I237/$R237,2))))</f>
        <v/>
      </c>
      <c r="T237" s="24" t="str">
        <f aca="false">IF($N237="","",IFERROR(INDEX(VAT_Codes!$C:$C,MATCH($N237,VAT_Codes!$A:$A,0)),"")&amp;"")</f>
        <v/>
      </c>
      <c r="U237" s="26" t="n">
        <f aca="false">IF(OR($S237="",$T237="",$T237="None"),0,IF($T237="Output",-$S237,$S237))</f>
        <v>0</v>
      </c>
      <c r="V237" s="27" t="n">
        <f aca="false">IF($N237="",0,IFERROR(INDEX(VAT_Codes!$D:$D,MATCH($N237,VAT_Codes!$A:$A,0)),0))</f>
        <v>0</v>
      </c>
      <c r="W237" s="26" t="n">
        <f aca="false">IF($U237=0,0,IF(IFERROR(INDEX(VAT_Codes!$F:$F,MATCH($N237,VAT_Codes!$A:$A,0)),"N")="Y",$U237,IF($L237&lt;&gt;"",ROUND(ABS($L237)/IF(OR($R237="",$R237=0),1,$R237),2)*SIGN($U237),ROUND($U237*$V237,2))))</f>
        <v>0</v>
      </c>
      <c r="X237" s="24" t="str">
        <f aca="false">IF($N237="","",IFERROR(INDEX(VAT_Codes!$H:$H,MATCH($N237,VAT_Codes!$A:$A,0)),"")&amp;"")</f>
        <v/>
      </c>
      <c r="Y237" s="24" t="str">
        <f aca="false">IF($A237="","",(YEAR($A237)-YEAR(Settings!$C$8))*12+MONTH($A237)-MONTH(Settings!$C$8)+1)</f>
        <v/>
      </c>
      <c r="Z237" s="24" t="str">
        <f aca="false">IF(AND($C237="",$I237="",$J237=""),"",IF($N237="","NO VAT CODE",IF($T237="","UNKNOWN VAT CODE",IF($S237="","MISSING FX RATE",IF(OR($A237&lt;Settings!$C$8,$A237&gt;Settings!$C$9),"OUTSIDE PERIOD",IF(AND(IFERROR(INDEX(VAT_Codes!$E:$E,MATCH($N237,VAT_Codes!$A:$A,0)),"ANY")&lt;&gt;"ANY",$P237=""),"MISSING COUNTERPARTY COUNTRY",IF(AND(IFERROR(INDEX(VAT_Codes!$E:$E,MATCH($N237,VAT_Codes!$A:$A,0)),"ANY")&lt;&gt;"ANY",$P237&lt;&gt;IFERROR(INDEX(VAT_Codes!$E:$E,MATCH($N237,VAT_Codes!$A:$A,0)),"ANY")),"REGION MISMATCH","OK")))))))</f>
        <v/>
      </c>
    </row>
    <row r="238" customFormat="false" ht="15" hidden="false" customHeight="false" outlineLevel="0" collapsed="false">
      <c r="M238" s="24" t="str">
        <f aca="false">IF($C238="","",IFERROR(INDEX(Account_Mapping!$C:$C,MATCH($C238&amp;"",Account_Mapping!$A:$A,0))&amp;"",""))</f>
        <v/>
      </c>
      <c r="N238" s="24" t="str">
        <f aca="false">IF($K238&lt;&gt;"",$K238,$M238)</f>
        <v/>
      </c>
      <c r="O238" s="24" t="str">
        <f aca="false">IF($F238="","",IFERROR(INDEX(Counterparties!$C:$C,MATCH($F238&amp;"",Counterparties!$A:$A,0))&amp;"",""))</f>
        <v/>
      </c>
      <c r="P238" s="24" t="str">
        <f aca="false">IF($O238="","",IF($O238="CY","CY",IF(ISNUMBER(MATCH($O238,Lists!$A:$A,0)),"EU","3RD")))</f>
        <v/>
      </c>
      <c r="Q238" s="24" t="str">
        <f aca="false">IF($F238="","N",IFERROR(IF(INDEX(Counterparties!$E:$E,MATCH($F238&amp;"",Counterparties!$A:$A,0))="Y","Y","N"),"N"))</f>
        <v>N</v>
      </c>
      <c r="R238" s="25" t="n">
        <f aca="false">IF(OR($H238="",$H238="EUR"),1,IFERROR(INDEX(FX_Rates!$D:$D,MATCH($H238,FX_Rates!$A:$A,0)),""))</f>
        <v>1</v>
      </c>
      <c r="S238" s="26" t="str">
        <f aca="false">IF(AND($I238="",$J238=""),"",IF($J238&lt;&gt;"",$J238,IF(OR($R238="",$R238=0),"",ROUND($I238/$R238,2))))</f>
        <v/>
      </c>
      <c r="T238" s="24" t="str">
        <f aca="false">IF($N238="","",IFERROR(INDEX(VAT_Codes!$C:$C,MATCH($N238,VAT_Codes!$A:$A,0)),"")&amp;"")</f>
        <v/>
      </c>
      <c r="U238" s="26" t="n">
        <f aca="false">IF(OR($S238="",$T238="",$T238="None"),0,IF($T238="Output",-$S238,$S238))</f>
        <v>0</v>
      </c>
      <c r="V238" s="27" t="n">
        <f aca="false">IF($N238="",0,IFERROR(INDEX(VAT_Codes!$D:$D,MATCH($N238,VAT_Codes!$A:$A,0)),0))</f>
        <v>0</v>
      </c>
      <c r="W238" s="26" t="n">
        <f aca="false">IF($U238=0,0,IF(IFERROR(INDEX(VAT_Codes!$F:$F,MATCH($N238,VAT_Codes!$A:$A,0)),"N")="Y",$U238,IF($L238&lt;&gt;"",ROUND(ABS($L238)/IF(OR($R238="",$R238=0),1,$R238),2)*SIGN($U238),ROUND($U238*$V238,2))))</f>
        <v>0</v>
      </c>
      <c r="X238" s="24" t="str">
        <f aca="false">IF($N238="","",IFERROR(INDEX(VAT_Codes!$H:$H,MATCH($N238,VAT_Codes!$A:$A,0)),"")&amp;"")</f>
        <v/>
      </c>
      <c r="Y238" s="24" t="str">
        <f aca="false">IF($A238="","",(YEAR($A238)-YEAR(Settings!$C$8))*12+MONTH($A238)-MONTH(Settings!$C$8)+1)</f>
        <v/>
      </c>
      <c r="Z238" s="24" t="str">
        <f aca="false">IF(AND($C238="",$I238="",$J238=""),"",IF($N238="","NO VAT CODE",IF($T238="","UNKNOWN VAT CODE",IF($S238="","MISSING FX RATE",IF(OR($A238&lt;Settings!$C$8,$A238&gt;Settings!$C$9),"OUTSIDE PERIOD",IF(AND(IFERROR(INDEX(VAT_Codes!$E:$E,MATCH($N238,VAT_Codes!$A:$A,0)),"ANY")&lt;&gt;"ANY",$P238=""),"MISSING COUNTERPARTY COUNTRY",IF(AND(IFERROR(INDEX(VAT_Codes!$E:$E,MATCH($N238,VAT_Codes!$A:$A,0)),"ANY")&lt;&gt;"ANY",$P238&lt;&gt;IFERROR(INDEX(VAT_Codes!$E:$E,MATCH($N238,VAT_Codes!$A:$A,0)),"ANY")),"REGION MISMATCH","OK")))))))</f>
        <v/>
      </c>
    </row>
    <row r="239" customFormat="false" ht="15" hidden="false" customHeight="false" outlineLevel="0" collapsed="false">
      <c r="M239" s="24" t="str">
        <f aca="false">IF($C239="","",IFERROR(INDEX(Account_Mapping!$C:$C,MATCH($C239&amp;"",Account_Mapping!$A:$A,0))&amp;"",""))</f>
        <v/>
      </c>
      <c r="N239" s="24" t="str">
        <f aca="false">IF($K239&lt;&gt;"",$K239,$M239)</f>
        <v/>
      </c>
      <c r="O239" s="24" t="str">
        <f aca="false">IF($F239="","",IFERROR(INDEX(Counterparties!$C:$C,MATCH($F239&amp;"",Counterparties!$A:$A,0))&amp;"",""))</f>
        <v/>
      </c>
      <c r="P239" s="24" t="str">
        <f aca="false">IF($O239="","",IF($O239="CY","CY",IF(ISNUMBER(MATCH($O239,Lists!$A:$A,0)),"EU","3RD")))</f>
        <v/>
      </c>
      <c r="Q239" s="24" t="str">
        <f aca="false">IF($F239="","N",IFERROR(IF(INDEX(Counterparties!$E:$E,MATCH($F239&amp;"",Counterparties!$A:$A,0))="Y","Y","N"),"N"))</f>
        <v>N</v>
      </c>
      <c r="R239" s="25" t="n">
        <f aca="false">IF(OR($H239="",$H239="EUR"),1,IFERROR(INDEX(FX_Rates!$D:$D,MATCH($H239,FX_Rates!$A:$A,0)),""))</f>
        <v>1</v>
      </c>
      <c r="S239" s="26" t="str">
        <f aca="false">IF(AND($I239="",$J239=""),"",IF($J239&lt;&gt;"",$J239,IF(OR($R239="",$R239=0),"",ROUND($I239/$R239,2))))</f>
        <v/>
      </c>
      <c r="T239" s="24" t="str">
        <f aca="false">IF($N239="","",IFERROR(INDEX(VAT_Codes!$C:$C,MATCH($N239,VAT_Codes!$A:$A,0)),"")&amp;"")</f>
        <v/>
      </c>
      <c r="U239" s="26" t="n">
        <f aca="false">IF(OR($S239="",$T239="",$T239="None"),0,IF($T239="Output",-$S239,$S239))</f>
        <v>0</v>
      </c>
      <c r="V239" s="27" t="n">
        <f aca="false">IF($N239="",0,IFERROR(INDEX(VAT_Codes!$D:$D,MATCH($N239,VAT_Codes!$A:$A,0)),0))</f>
        <v>0</v>
      </c>
      <c r="W239" s="26" t="n">
        <f aca="false">IF($U239=0,0,IF(IFERROR(INDEX(VAT_Codes!$F:$F,MATCH($N239,VAT_Codes!$A:$A,0)),"N")="Y",$U239,IF($L239&lt;&gt;"",ROUND(ABS($L239)/IF(OR($R239="",$R239=0),1,$R239),2)*SIGN($U239),ROUND($U239*$V239,2))))</f>
        <v>0</v>
      </c>
      <c r="X239" s="24" t="str">
        <f aca="false">IF($N239="","",IFERROR(INDEX(VAT_Codes!$H:$H,MATCH($N239,VAT_Codes!$A:$A,0)),"")&amp;"")</f>
        <v/>
      </c>
      <c r="Y239" s="24" t="str">
        <f aca="false">IF($A239="","",(YEAR($A239)-YEAR(Settings!$C$8))*12+MONTH($A239)-MONTH(Settings!$C$8)+1)</f>
        <v/>
      </c>
      <c r="Z239" s="24" t="str">
        <f aca="false">IF(AND($C239="",$I239="",$J239=""),"",IF($N239="","NO VAT CODE",IF($T239="","UNKNOWN VAT CODE",IF($S239="","MISSING FX RATE",IF(OR($A239&lt;Settings!$C$8,$A239&gt;Settings!$C$9),"OUTSIDE PERIOD",IF(AND(IFERROR(INDEX(VAT_Codes!$E:$E,MATCH($N239,VAT_Codes!$A:$A,0)),"ANY")&lt;&gt;"ANY",$P239=""),"MISSING COUNTERPARTY COUNTRY",IF(AND(IFERROR(INDEX(VAT_Codes!$E:$E,MATCH($N239,VAT_Codes!$A:$A,0)),"ANY")&lt;&gt;"ANY",$P239&lt;&gt;IFERROR(INDEX(VAT_Codes!$E:$E,MATCH($N239,VAT_Codes!$A:$A,0)),"ANY")),"REGION MISMATCH","OK")))))))</f>
        <v/>
      </c>
    </row>
    <row r="240" customFormat="false" ht="15" hidden="false" customHeight="false" outlineLevel="0" collapsed="false">
      <c r="M240" s="24" t="str">
        <f aca="false">IF($C240="","",IFERROR(INDEX(Account_Mapping!$C:$C,MATCH($C240&amp;"",Account_Mapping!$A:$A,0))&amp;"",""))</f>
        <v/>
      </c>
      <c r="N240" s="24" t="str">
        <f aca="false">IF($K240&lt;&gt;"",$K240,$M240)</f>
        <v/>
      </c>
      <c r="O240" s="24" t="str">
        <f aca="false">IF($F240="","",IFERROR(INDEX(Counterparties!$C:$C,MATCH($F240&amp;"",Counterparties!$A:$A,0))&amp;"",""))</f>
        <v/>
      </c>
      <c r="P240" s="24" t="str">
        <f aca="false">IF($O240="","",IF($O240="CY","CY",IF(ISNUMBER(MATCH($O240,Lists!$A:$A,0)),"EU","3RD")))</f>
        <v/>
      </c>
      <c r="Q240" s="24" t="str">
        <f aca="false">IF($F240="","N",IFERROR(IF(INDEX(Counterparties!$E:$E,MATCH($F240&amp;"",Counterparties!$A:$A,0))="Y","Y","N"),"N"))</f>
        <v>N</v>
      </c>
      <c r="R240" s="25" t="n">
        <f aca="false">IF(OR($H240="",$H240="EUR"),1,IFERROR(INDEX(FX_Rates!$D:$D,MATCH($H240,FX_Rates!$A:$A,0)),""))</f>
        <v>1</v>
      </c>
      <c r="S240" s="26" t="str">
        <f aca="false">IF(AND($I240="",$J240=""),"",IF($J240&lt;&gt;"",$J240,IF(OR($R240="",$R240=0),"",ROUND($I240/$R240,2))))</f>
        <v/>
      </c>
      <c r="T240" s="24" t="str">
        <f aca="false">IF($N240="","",IFERROR(INDEX(VAT_Codes!$C:$C,MATCH($N240,VAT_Codes!$A:$A,0)),"")&amp;"")</f>
        <v/>
      </c>
      <c r="U240" s="26" t="n">
        <f aca="false">IF(OR($S240="",$T240="",$T240="None"),0,IF($T240="Output",-$S240,$S240))</f>
        <v>0</v>
      </c>
      <c r="V240" s="27" t="n">
        <f aca="false">IF($N240="",0,IFERROR(INDEX(VAT_Codes!$D:$D,MATCH($N240,VAT_Codes!$A:$A,0)),0))</f>
        <v>0</v>
      </c>
      <c r="W240" s="26" t="n">
        <f aca="false">IF($U240=0,0,IF(IFERROR(INDEX(VAT_Codes!$F:$F,MATCH($N240,VAT_Codes!$A:$A,0)),"N")="Y",$U240,IF($L240&lt;&gt;"",ROUND(ABS($L240)/IF(OR($R240="",$R240=0),1,$R240),2)*SIGN($U240),ROUND($U240*$V240,2))))</f>
        <v>0</v>
      </c>
      <c r="X240" s="24" t="str">
        <f aca="false">IF($N240="","",IFERROR(INDEX(VAT_Codes!$H:$H,MATCH($N240,VAT_Codes!$A:$A,0)),"")&amp;"")</f>
        <v/>
      </c>
      <c r="Y240" s="24" t="str">
        <f aca="false">IF($A240="","",(YEAR($A240)-YEAR(Settings!$C$8))*12+MONTH($A240)-MONTH(Settings!$C$8)+1)</f>
        <v/>
      </c>
      <c r="Z240" s="24" t="str">
        <f aca="false">IF(AND($C240="",$I240="",$J240=""),"",IF($N240="","NO VAT CODE",IF($T240="","UNKNOWN VAT CODE",IF($S240="","MISSING FX RATE",IF(OR($A240&lt;Settings!$C$8,$A240&gt;Settings!$C$9),"OUTSIDE PERIOD",IF(AND(IFERROR(INDEX(VAT_Codes!$E:$E,MATCH($N240,VAT_Codes!$A:$A,0)),"ANY")&lt;&gt;"ANY",$P240=""),"MISSING COUNTERPARTY COUNTRY",IF(AND(IFERROR(INDEX(VAT_Codes!$E:$E,MATCH($N240,VAT_Codes!$A:$A,0)),"ANY")&lt;&gt;"ANY",$P240&lt;&gt;IFERROR(INDEX(VAT_Codes!$E:$E,MATCH($N240,VAT_Codes!$A:$A,0)),"ANY")),"REGION MISMATCH","OK")))))))</f>
        <v/>
      </c>
    </row>
    <row r="241" customFormat="false" ht="15" hidden="false" customHeight="false" outlineLevel="0" collapsed="false">
      <c r="M241" s="24" t="str">
        <f aca="false">IF($C241="","",IFERROR(INDEX(Account_Mapping!$C:$C,MATCH($C241&amp;"",Account_Mapping!$A:$A,0))&amp;"",""))</f>
        <v/>
      </c>
      <c r="N241" s="24" t="str">
        <f aca="false">IF($K241&lt;&gt;"",$K241,$M241)</f>
        <v/>
      </c>
      <c r="O241" s="24" t="str">
        <f aca="false">IF($F241="","",IFERROR(INDEX(Counterparties!$C:$C,MATCH($F241&amp;"",Counterparties!$A:$A,0))&amp;"",""))</f>
        <v/>
      </c>
      <c r="P241" s="24" t="str">
        <f aca="false">IF($O241="","",IF($O241="CY","CY",IF(ISNUMBER(MATCH($O241,Lists!$A:$A,0)),"EU","3RD")))</f>
        <v/>
      </c>
      <c r="Q241" s="24" t="str">
        <f aca="false">IF($F241="","N",IFERROR(IF(INDEX(Counterparties!$E:$E,MATCH($F241&amp;"",Counterparties!$A:$A,0))="Y","Y","N"),"N"))</f>
        <v>N</v>
      </c>
      <c r="R241" s="25" t="n">
        <f aca="false">IF(OR($H241="",$H241="EUR"),1,IFERROR(INDEX(FX_Rates!$D:$D,MATCH($H241,FX_Rates!$A:$A,0)),""))</f>
        <v>1</v>
      </c>
      <c r="S241" s="26" t="str">
        <f aca="false">IF(AND($I241="",$J241=""),"",IF($J241&lt;&gt;"",$J241,IF(OR($R241="",$R241=0),"",ROUND($I241/$R241,2))))</f>
        <v/>
      </c>
      <c r="T241" s="24" t="str">
        <f aca="false">IF($N241="","",IFERROR(INDEX(VAT_Codes!$C:$C,MATCH($N241,VAT_Codes!$A:$A,0)),"")&amp;"")</f>
        <v/>
      </c>
      <c r="U241" s="26" t="n">
        <f aca="false">IF(OR($S241="",$T241="",$T241="None"),0,IF($T241="Output",-$S241,$S241))</f>
        <v>0</v>
      </c>
      <c r="V241" s="27" t="n">
        <f aca="false">IF($N241="",0,IFERROR(INDEX(VAT_Codes!$D:$D,MATCH($N241,VAT_Codes!$A:$A,0)),0))</f>
        <v>0</v>
      </c>
      <c r="W241" s="26" t="n">
        <f aca="false">IF($U241=0,0,IF(IFERROR(INDEX(VAT_Codes!$F:$F,MATCH($N241,VAT_Codes!$A:$A,0)),"N")="Y",$U241,IF($L241&lt;&gt;"",ROUND(ABS($L241)/IF(OR($R241="",$R241=0),1,$R241),2)*SIGN($U241),ROUND($U241*$V241,2))))</f>
        <v>0</v>
      </c>
      <c r="X241" s="24" t="str">
        <f aca="false">IF($N241="","",IFERROR(INDEX(VAT_Codes!$H:$H,MATCH($N241,VAT_Codes!$A:$A,0)),"")&amp;"")</f>
        <v/>
      </c>
      <c r="Y241" s="24" t="str">
        <f aca="false">IF($A241="","",(YEAR($A241)-YEAR(Settings!$C$8))*12+MONTH($A241)-MONTH(Settings!$C$8)+1)</f>
        <v/>
      </c>
      <c r="Z241" s="24" t="str">
        <f aca="false">IF(AND($C241="",$I241="",$J241=""),"",IF($N241="","NO VAT CODE",IF($T241="","UNKNOWN VAT CODE",IF($S241="","MISSING FX RATE",IF(OR($A241&lt;Settings!$C$8,$A241&gt;Settings!$C$9),"OUTSIDE PERIOD",IF(AND(IFERROR(INDEX(VAT_Codes!$E:$E,MATCH($N241,VAT_Codes!$A:$A,0)),"ANY")&lt;&gt;"ANY",$P241=""),"MISSING COUNTERPARTY COUNTRY",IF(AND(IFERROR(INDEX(VAT_Codes!$E:$E,MATCH($N241,VAT_Codes!$A:$A,0)),"ANY")&lt;&gt;"ANY",$P241&lt;&gt;IFERROR(INDEX(VAT_Codes!$E:$E,MATCH($N241,VAT_Codes!$A:$A,0)),"ANY")),"REGION MISMATCH","OK")))))))</f>
        <v/>
      </c>
    </row>
    <row r="242" customFormat="false" ht="15" hidden="false" customHeight="false" outlineLevel="0" collapsed="false">
      <c r="M242" s="24" t="str">
        <f aca="false">IF($C242="","",IFERROR(INDEX(Account_Mapping!$C:$C,MATCH($C242&amp;"",Account_Mapping!$A:$A,0))&amp;"",""))</f>
        <v/>
      </c>
      <c r="N242" s="24" t="str">
        <f aca="false">IF($K242&lt;&gt;"",$K242,$M242)</f>
        <v/>
      </c>
      <c r="O242" s="24" t="str">
        <f aca="false">IF($F242="","",IFERROR(INDEX(Counterparties!$C:$C,MATCH($F242&amp;"",Counterparties!$A:$A,0))&amp;"",""))</f>
        <v/>
      </c>
      <c r="P242" s="24" t="str">
        <f aca="false">IF($O242="","",IF($O242="CY","CY",IF(ISNUMBER(MATCH($O242,Lists!$A:$A,0)),"EU","3RD")))</f>
        <v/>
      </c>
      <c r="Q242" s="24" t="str">
        <f aca="false">IF($F242="","N",IFERROR(IF(INDEX(Counterparties!$E:$E,MATCH($F242&amp;"",Counterparties!$A:$A,0))="Y","Y","N"),"N"))</f>
        <v>N</v>
      </c>
      <c r="R242" s="25" t="n">
        <f aca="false">IF(OR($H242="",$H242="EUR"),1,IFERROR(INDEX(FX_Rates!$D:$D,MATCH($H242,FX_Rates!$A:$A,0)),""))</f>
        <v>1</v>
      </c>
      <c r="S242" s="26" t="str">
        <f aca="false">IF(AND($I242="",$J242=""),"",IF($J242&lt;&gt;"",$J242,IF(OR($R242="",$R242=0),"",ROUND($I242/$R242,2))))</f>
        <v/>
      </c>
      <c r="T242" s="24" t="str">
        <f aca="false">IF($N242="","",IFERROR(INDEX(VAT_Codes!$C:$C,MATCH($N242,VAT_Codes!$A:$A,0)),"")&amp;"")</f>
        <v/>
      </c>
      <c r="U242" s="26" t="n">
        <f aca="false">IF(OR($S242="",$T242="",$T242="None"),0,IF($T242="Output",-$S242,$S242))</f>
        <v>0</v>
      </c>
      <c r="V242" s="27" t="n">
        <f aca="false">IF($N242="",0,IFERROR(INDEX(VAT_Codes!$D:$D,MATCH($N242,VAT_Codes!$A:$A,0)),0))</f>
        <v>0</v>
      </c>
      <c r="W242" s="26" t="n">
        <f aca="false">IF($U242=0,0,IF(IFERROR(INDEX(VAT_Codes!$F:$F,MATCH($N242,VAT_Codes!$A:$A,0)),"N")="Y",$U242,IF($L242&lt;&gt;"",ROUND(ABS($L242)/IF(OR($R242="",$R242=0),1,$R242),2)*SIGN($U242),ROUND($U242*$V242,2))))</f>
        <v>0</v>
      </c>
      <c r="X242" s="24" t="str">
        <f aca="false">IF($N242="","",IFERROR(INDEX(VAT_Codes!$H:$H,MATCH($N242,VAT_Codes!$A:$A,0)),"")&amp;"")</f>
        <v/>
      </c>
      <c r="Y242" s="24" t="str">
        <f aca="false">IF($A242="","",(YEAR($A242)-YEAR(Settings!$C$8))*12+MONTH($A242)-MONTH(Settings!$C$8)+1)</f>
        <v/>
      </c>
      <c r="Z242" s="24" t="str">
        <f aca="false">IF(AND($C242="",$I242="",$J242=""),"",IF($N242="","NO VAT CODE",IF($T242="","UNKNOWN VAT CODE",IF($S242="","MISSING FX RATE",IF(OR($A242&lt;Settings!$C$8,$A242&gt;Settings!$C$9),"OUTSIDE PERIOD",IF(AND(IFERROR(INDEX(VAT_Codes!$E:$E,MATCH($N242,VAT_Codes!$A:$A,0)),"ANY")&lt;&gt;"ANY",$P242=""),"MISSING COUNTERPARTY COUNTRY",IF(AND(IFERROR(INDEX(VAT_Codes!$E:$E,MATCH($N242,VAT_Codes!$A:$A,0)),"ANY")&lt;&gt;"ANY",$P242&lt;&gt;IFERROR(INDEX(VAT_Codes!$E:$E,MATCH($N242,VAT_Codes!$A:$A,0)),"ANY")),"REGION MISMATCH","OK")))))))</f>
        <v/>
      </c>
    </row>
    <row r="243" customFormat="false" ht="15" hidden="false" customHeight="false" outlineLevel="0" collapsed="false">
      <c r="M243" s="24" t="str">
        <f aca="false">IF($C243="","",IFERROR(INDEX(Account_Mapping!$C:$C,MATCH($C243&amp;"",Account_Mapping!$A:$A,0))&amp;"",""))</f>
        <v/>
      </c>
      <c r="N243" s="24" t="str">
        <f aca="false">IF($K243&lt;&gt;"",$K243,$M243)</f>
        <v/>
      </c>
      <c r="O243" s="24" t="str">
        <f aca="false">IF($F243="","",IFERROR(INDEX(Counterparties!$C:$C,MATCH($F243&amp;"",Counterparties!$A:$A,0))&amp;"",""))</f>
        <v/>
      </c>
      <c r="P243" s="24" t="str">
        <f aca="false">IF($O243="","",IF($O243="CY","CY",IF(ISNUMBER(MATCH($O243,Lists!$A:$A,0)),"EU","3RD")))</f>
        <v/>
      </c>
      <c r="Q243" s="24" t="str">
        <f aca="false">IF($F243="","N",IFERROR(IF(INDEX(Counterparties!$E:$E,MATCH($F243&amp;"",Counterparties!$A:$A,0))="Y","Y","N"),"N"))</f>
        <v>N</v>
      </c>
      <c r="R243" s="25" t="n">
        <f aca="false">IF(OR($H243="",$H243="EUR"),1,IFERROR(INDEX(FX_Rates!$D:$D,MATCH($H243,FX_Rates!$A:$A,0)),""))</f>
        <v>1</v>
      </c>
      <c r="S243" s="26" t="str">
        <f aca="false">IF(AND($I243="",$J243=""),"",IF($J243&lt;&gt;"",$J243,IF(OR($R243="",$R243=0),"",ROUND($I243/$R243,2))))</f>
        <v/>
      </c>
      <c r="T243" s="24" t="str">
        <f aca="false">IF($N243="","",IFERROR(INDEX(VAT_Codes!$C:$C,MATCH($N243,VAT_Codes!$A:$A,0)),"")&amp;"")</f>
        <v/>
      </c>
      <c r="U243" s="26" t="n">
        <f aca="false">IF(OR($S243="",$T243="",$T243="None"),0,IF($T243="Output",-$S243,$S243))</f>
        <v>0</v>
      </c>
      <c r="V243" s="27" t="n">
        <f aca="false">IF($N243="",0,IFERROR(INDEX(VAT_Codes!$D:$D,MATCH($N243,VAT_Codes!$A:$A,0)),0))</f>
        <v>0</v>
      </c>
      <c r="W243" s="26" t="n">
        <f aca="false">IF($U243=0,0,IF(IFERROR(INDEX(VAT_Codes!$F:$F,MATCH($N243,VAT_Codes!$A:$A,0)),"N")="Y",$U243,IF($L243&lt;&gt;"",ROUND(ABS($L243)/IF(OR($R243="",$R243=0),1,$R243),2)*SIGN($U243),ROUND($U243*$V243,2))))</f>
        <v>0</v>
      </c>
      <c r="X243" s="24" t="str">
        <f aca="false">IF($N243="","",IFERROR(INDEX(VAT_Codes!$H:$H,MATCH($N243,VAT_Codes!$A:$A,0)),"")&amp;"")</f>
        <v/>
      </c>
      <c r="Y243" s="24" t="str">
        <f aca="false">IF($A243="","",(YEAR($A243)-YEAR(Settings!$C$8))*12+MONTH($A243)-MONTH(Settings!$C$8)+1)</f>
        <v/>
      </c>
      <c r="Z243" s="24" t="str">
        <f aca="false">IF(AND($C243="",$I243="",$J243=""),"",IF($N243="","NO VAT CODE",IF($T243="","UNKNOWN VAT CODE",IF($S243="","MISSING FX RATE",IF(OR($A243&lt;Settings!$C$8,$A243&gt;Settings!$C$9),"OUTSIDE PERIOD",IF(AND(IFERROR(INDEX(VAT_Codes!$E:$E,MATCH($N243,VAT_Codes!$A:$A,0)),"ANY")&lt;&gt;"ANY",$P243=""),"MISSING COUNTERPARTY COUNTRY",IF(AND(IFERROR(INDEX(VAT_Codes!$E:$E,MATCH($N243,VAT_Codes!$A:$A,0)),"ANY")&lt;&gt;"ANY",$P243&lt;&gt;IFERROR(INDEX(VAT_Codes!$E:$E,MATCH($N243,VAT_Codes!$A:$A,0)),"ANY")),"REGION MISMATCH","OK")))))))</f>
        <v/>
      </c>
    </row>
    <row r="244" customFormat="false" ht="15" hidden="false" customHeight="false" outlineLevel="0" collapsed="false">
      <c r="M244" s="24" t="str">
        <f aca="false">IF($C244="","",IFERROR(INDEX(Account_Mapping!$C:$C,MATCH($C244&amp;"",Account_Mapping!$A:$A,0))&amp;"",""))</f>
        <v/>
      </c>
      <c r="N244" s="24" t="str">
        <f aca="false">IF($K244&lt;&gt;"",$K244,$M244)</f>
        <v/>
      </c>
      <c r="O244" s="24" t="str">
        <f aca="false">IF($F244="","",IFERROR(INDEX(Counterparties!$C:$C,MATCH($F244&amp;"",Counterparties!$A:$A,0))&amp;"",""))</f>
        <v/>
      </c>
      <c r="P244" s="24" t="str">
        <f aca="false">IF($O244="","",IF($O244="CY","CY",IF(ISNUMBER(MATCH($O244,Lists!$A:$A,0)),"EU","3RD")))</f>
        <v/>
      </c>
      <c r="Q244" s="24" t="str">
        <f aca="false">IF($F244="","N",IFERROR(IF(INDEX(Counterparties!$E:$E,MATCH($F244&amp;"",Counterparties!$A:$A,0))="Y","Y","N"),"N"))</f>
        <v>N</v>
      </c>
      <c r="R244" s="25" t="n">
        <f aca="false">IF(OR($H244="",$H244="EUR"),1,IFERROR(INDEX(FX_Rates!$D:$D,MATCH($H244,FX_Rates!$A:$A,0)),""))</f>
        <v>1</v>
      </c>
      <c r="S244" s="26" t="str">
        <f aca="false">IF(AND($I244="",$J244=""),"",IF($J244&lt;&gt;"",$J244,IF(OR($R244="",$R244=0),"",ROUND($I244/$R244,2))))</f>
        <v/>
      </c>
      <c r="T244" s="24" t="str">
        <f aca="false">IF($N244="","",IFERROR(INDEX(VAT_Codes!$C:$C,MATCH($N244,VAT_Codes!$A:$A,0)),"")&amp;"")</f>
        <v/>
      </c>
      <c r="U244" s="26" t="n">
        <f aca="false">IF(OR($S244="",$T244="",$T244="None"),0,IF($T244="Output",-$S244,$S244))</f>
        <v>0</v>
      </c>
      <c r="V244" s="27" t="n">
        <f aca="false">IF($N244="",0,IFERROR(INDEX(VAT_Codes!$D:$D,MATCH($N244,VAT_Codes!$A:$A,0)),0))</f>
        <v>0</v>
      </c>
      <c r="W244" s="26" t="n">
        <f aca="false">IF($U244=0,0,IF(IFERROR(INDEX(VAT_Codes!$F:$F,MATCH($N244,VAT_Codes!$A:$A,0)),"N")="Y",$U244,IF($L244&lt;&gt;"",ROUND(ABS($L244)/IF(OR($R244="",$R244=0),1,$R244),2)*SIGN($U244),ROUND($U244*$V244,2))))</f>
        <v>0</v>
      </c>
      <c r="X244" s="24" t="str">
        <f aca="false">IF($N244="","",IFERROR(INDEX(VAT_Codes!$H:$H,MATCH($N244,VAT_Codes!$A:$A,0)),"")&amp;"")</f>
        <v/>
      </c>
      <c r="Y244" s="24" t="str">
        <f aca="false">IF($A244="","",(YEAR($A244)-YEAR(Settings!$C$8))*12+MONTH($A244)-MONTH(Settings!$C$8)+1)</f>
        <v/>
      </c>
      <c r="Z244" s="24" t="str">
        <f aca="false">IF(AND($C244="",$I244="",$J244=""),"",IF($N244="","NO VAT CODE",IF($T244="","UNKNOWN VAT CODE",IF($S244="","MISSING FX RATE",IF(OR($A244&lt;Settings!$C$8,$A244&gt;Settings!$C$9),"OUTSIDE PERIOD",IF(AND(IFERROR(INDEX(VAT_Codes!$E:$E,MATCH($N244,VAT_Codes!$A:$A,0)),"ANY")&lt;&gt;"ANY",$P244=""),"MISSING COUNTERPARTY COUNTRY",IF(AND(IFERROR(INDEX(VAT_Codes!$E:$E,MATCH($N244,VAT_Codes!$A:$A,0)),"ANY")&lt;&gt;"ANY",$P244&lt;&gt;IFERROR(INDEX(VAT_Codes!$E:$E,MATCH($N244,VAT_Codes!$A:$A,0)),"ANY")),"REGION MISMATCH","OK")))))))</f>
        <v/>
      </c>
    </row>
    <row r="245" customFormat="false" ht="15" hidden="false" customHeight="false" outlineLevel="0" collapsed="false">
      <c r="M245" s="24" t="str">
        <f aca="false">IF($C245="","",IFERROR(INDEX(Account_Mapping!$C:$C,MATCH($C245&amp;"",Account_Mapping!$A:$A,0))&amp;"",""))</f>
        <v/>
      </c>
      <c r="N245" s="24" t="str">
        <f aca="false">IF($K245&lt;&gt;"",$K245,$M245)</f>
        <v/>
      </c>
      <c r="O245" s="24" t="str">
        <f aca="false">IF($F245="","",IFERROR(INDEX(Counterparties!$C:$C,MATCH($F245&amp;"",Counterparties!$A:$A,0))&amp;"",""))</f>
        <v/>
      </c>
      <c r="P245" s="24" t="str">
        <f aca="false">IF($O245="","",IF($O245="CY","CY",IF(ISNUMBER(MATCH($O245,Lists!$A:$A,0)),"EU","3RD")))</f>
        <v/>
      </c>
      <c r="Q245" s="24" t="str">
        <f aca="false">IF($F245="","N",IFERROR(IF(INDEX(Counterparties!$E:$E,MATCH($F245&amp;"",Counterparties!$A:$A,0))="Y","Y","N"),"N"))</f>
        <v>N</v>
      </c>
      <c r="R245" s="25" t="n">
        <f aca="false">IF(OR($H245="",$H245="EUR"),1,IFERROR(INDEX(FX_Rates!$D:$D,MATCH($H245,FX_Rates!$A:$A,0)),""))</f>
        <v>1</v>
      </c>
      <c r="S245" s="26" t="str">
        <f aca="false">IF(AND($I245="",$J245=""),"",IF($J245&lt;&gt;"",$J245,IF(OR($R245="",$R245=0),"",ROUND($I245/$R245,2))))</f>
        <v/>
      </c>
      <c r="T245" s="24" t="str">
        <f aca="false">IF($N245="","",IFERROR(INDEX(VAT_Codes!$C:$C,MATCH($N245,VAT_Codes!$A:$A,0)),"")&amp;"")</f>
        <v/>
      </c>
      <c r="U245" s="26" t="n">
        <f aca="false">IF(OR($S245="",$T245="",$T245="None"),0,IF($T245="Output",-$S245,$S245))</f>
        <v>0</v>
      </c>
      <c r="V245" s="27" t="n">
        <f aca="false">IF($N245="",0,IFERROR(INDEX(VAT_Codes!$D:$D,MATCH($N245,VAT_Codes!$A:$A,0)),0))</f>
        <v>0</v>
      </c>
      <c r="W245" s="26" t="n">
        <f aca="false">IF($U245=0,0,IF(IFERROR(INDEX(VAT_Codes!$F:$F,MATCH($N245,VAT_Codes!$A:$A,0)),"N")="Y",$U245,IF($L245&lt;&gt;"",ROUND(ABS($L245)/IF(OR($R245="",$R245=0),1,$R245),2)*SIGN($U245),ROUND($U245*$V245,2))))</f>
        <v>0</v>
      </c>
      <c r="X245" s="24" t="str">
        <f aca="false">IF($N245="","",IFERROR(INDEX(VAT_Codes!$H:$H,MATCH($N245,VAT_Codes!$A:$A,0)),"")&amp;"")</f>
        <v/>
      </c>
      <c r="Y245" s="24" t="str">
        <f aca="false">IF($A245="","",(YEAR($A245)-YEAR(Settings!$C$8))*12+MONTH($A245)-MONTH(Settings!$C$8)+1)</f>
        <v/>
      </c>
      <c r="Z245" s="24" t="str">
        <f aca="false">IF(AND($C245="",$I245="",$J245=""),"",IF($N245="","NO VAT CODE",IF($T245="","UNKNOWN VAT CODE",IF($S245="","MISSING FX RATE",IF(OR($A245&lt;Settings!$C$8,$A245&gt;Settings!$C$9),"OUTSIDE PERIOD",IF(AND(IFERROR(INDEX(VAT_Codes!$E:$E,MATCH($N245,VAT_Codes!$A:$A,0)),"ANY")&lt;&gt;"ANY",$P245=""),"MISSING COUNTERPARTY COUNTRY",IF(AND(IFERROR(INDEX(VAT_Codes!$E:$E,MATCH($N245,VAT_Codes!$A:$A,0)),"ANY")&lt;&gt;"ANY",$P245&lt;&gt;IFERROR(INDEX(VAT_Codes!$E:$E,MATCH($N245,VAT_Codes!$A:$A,0)),"ANY")),"REGION MISMATCH","OK")))))))</f>
        <v/>
      </c>
    </row>
    <row r="246" customFormat="false" ht="15" hidden="false" customHeight="false" outlineLevel="0" collapsed="false">
      <c r="M246" s="24" t="str">
        <f aca="false">IF($C246="","",IFERROR(INDEX(Account_Mapping!$C:$C,MATCH($C246&amp;"",Account_Mapping!$A:$A,0))&amp;"",""))</f>
        <v/>
      </c>
      <c r="N246" s="24" t="str">
        <f aca="false">IF($K246&lt;&gt;"",$K246,$M246)</f>
        <v/>
      </c>
      <c r="O246" s="24" t="str">
        <f aca="false">IF($F246="","",IFERROR(INDEX(Counterparties!$C:$C,MATCH($F246&amp;"",Counterparties!$A:$A,0))&amp;"",""))</f>
        <v/>
      </c>
      <c r="P246" s="24" t="str">
        <f aca="false">IF($O246="","",IF($O246="CY","CY",IF(ISNUMBER(MATCH($O246,Lists!$A:$A,0)),"EU","3RD")))</f>
        <v/>
      </c>
      <c r="Q246" s="24" t="str">
        <f aca="false">IF($F246="","N",IFERROR(IF(INDEX(Counterparties!$E:$E,MATCH($F246&amp;"",Counterparties!$A:$A,0))="Y","Y","N"),"N"))</f>
        <v>N</v>
      </c>
      <c r="R246" s="25" t="n">
        <f aca="false">IF(OR($H246="",$H246="EUR"),1,IFERROR(INDEX(FX_Rates!$D:$D,MATCH($H246,FX_Rates!$A:$A,0)),""))</f>
        <v>1</v>
      </c>
      <c r="S246" s="26" t="str">
        <f aca="false">IF(AND($I246="",$J246=""),"",IF($J246&lt;&gt;"",$J246,IF(OR($R246="",$R246=0),"",ROUND($I246/$R246,2))))</f>
        <v/>
      </c>
      <c r="T246" s="24" t="str">
        <f aca="false">IF($N246="","",IFERROR(INDEX(VAT_Codes!$C:$C,MATCH($N246,VAT_Codes!$A:$A,0)),"")&amp;"")</f>
        <v/>
      </c>
      <c r="U246" s="26" t="n">
        <f aca="false">IF(OR($S246="",$T246="",$T246="None"),0,IF($T246="Output",-$S246,$S246))</f>
        <v>0</v>
      </c>
      <c r="V246" s="27" t="n">
        <f aca="false">IF($N246="",0,IFERROR(INDEX(VAT_Codes!$D:$D,MATCH($N246,VAT_Codes!$A:$A,0)),0))</f>
        <v>0</v>
      </c>
      <c r="W246" s="26" t="n">
        <f aca="false">IF($U246=0,0,IF(IFERROR(INDEX(VAT_Codes!$F:$F,MATCH($N246,VAT_Codes!$A:$A,0)),"N")="Y",$U246,IF($L246&lt;&gt;"",ROUND(ABS($L246)/IF(OR($R246="",$R246=0),1,$R246),2)*SIGN($U246),ROUND($U246*$V246,2))))</f>
        <v>0</v>
      </c>
      <c r="X246" s="24" t="str">
        <f aca="false">IF($N246="","",IFERROR(INDEX(VAT_Codes!$H:$H,MATCH($N246,VAT_Codes!$A:$A,0)),"")&amp;"")</f>
        <v/>
      </c>
      <c r="Y246" s="24" t="str">
        <f aca="false">IF($A246="","",(YEAR($A246)-YEAR(Settings!$C$8))*12+MONTH($A246)-MONTH(Settings!$C$8)+1)</f>
        <v/>
      </c>
      <c r="Z246" s="24" t="str">
        <f aca="false">IF(AND($C246="",$I246="",$J246=""),"",IF($N246="","NO VAT CODE",IF($T246="","UNKNOWN VAT CODE",IF($S246="","MISSING FX RATE",IF(OR($A246&lt;Settings!$C$8,$A246&gt;Settings!$C$9),"OUTSIDE PERIOD",IF(AND(IFERROR(INDEX(VAT_Codes!$E:$E,MATCH($N246,VAT_Codes!$A:$A,0)),"ANY")&lt;&gt;"ANY",$P246=""),"MISSING COUNTERPARTY COUNTRY",IF(AND(IFERROR(INDEX(VAT_Codes!$E:$E,MATCH($N246,VAT_Codes!$A:$A,0)),"ANY")&lt;&gt;"ANY",$P246&lt;&gt;IFERROR(INDEX(VAT_Codes!$E:$E,MATCH($N246,VAT_Codes!$A:$A,0)),"ANY")),"REGION MISMATCH","OK")))))))</f>
        <v/>
      </c>
    </row>
    <row r="247" customFormat="false" ht="15" hidden="false" customHeight="false" outlineLevel="0" collapsed="false">
      <c r="M247" s="24" t="str">
        <f aca="false">IF($C247="","",IFERROR(INDEX(Account_Mapping!$C:$C,MATCH($C247&amp;"",Account_Mapping!$A:$A,0))&amp;"",""))</f>
        <v/>
      </c>
      <c r="N247" s="24" t="str">
        <f aca="false">IF($K247&lt;&gt;"",$K247,$M247)</f>
        <v/>
      </c>
      <c r="O247" s="24" t="str">
        <f aca="false">IF($F247="","",IFERROR(INDEX(Counterparties!$C:$C,MATCH($F247&amp;"",Counterparties!$A:$A,0))&amp;"",""))</f>
        <v/>
      </c>
      <c r="P247" s="24" t="str">
        <f aca="false">IF($O247="","",IF($O247="CY","CY",IF(ISNUMBER(MATCH($O247,Lists!$A:$A,0)),"EU","3RD")))</f>
        <v/>
      </c>
      <c r="Q247" s="24" t="str">
        <f aca="false">IF($F247="","N",IFERROR(IF(INDEX(Counterparties!$E:$E,MATCH($F247&amp;"",Counterparties!$A:$A,0))="Y","Y","N"),"N"))</f>
        <v>N</v>
      </c>
      <c r="R247" s="25" t="n">
        <f aca="false">IF(OR($H247="",$H247="EUR"),1,IFERROR(INDEX(FX_Rates!$D:$D,MATCH($H247,FX_Rates!$A:$A,0)),""))</f>
        <v>1</v>
      </c>
      <c r="S247" s="26" t="str">
        <f aca="false">IF(AND($I247="",$J247=""),"",IF($J247&lt;&gt;"",$J247,IF(OR($R247="",$R247=0),"",ROUND($I247/$R247,2))))</f>
        <v/>
      </c>
      <c r="T247" s="24" t="str">
        <f aca="false">IF($N247="","",IFERROR(INDEX(VAT_Codes!$C:$C,MATCH($N247,VAT_Codes!$A:$A,0)),"")&amp;"")</f>
        <v/>
      </c>
      <c r="U247" s="26" t="n">
        <f aca="false">IF(OR($S247="",$T247="",$T247="None"),0,IF($T247="Output",-$S247,$S247))</f>
        <v>0</v>
      </c>
      <c r="V247" s="27" t="n">
        <f aca="false">IF($N247="",0,IFERROR(INDEX(VAT_Codes!$D:$D,MATCH($N247,VAT_Codes!$A:$A,0)),0))</f>
        <v>0</v>
      </c>
      <c r="W247" s="26" t="n">
        <f aca="false">IF($U247=0,0,IF(IFERROR(INDEX(VAT_Codes!$F:$F,MATCH($N247,VAT_Codes!$A:$A,0)),"N")="Y",$U247,IF($L247&lt;&gt;"",ROUND(ABS($L247)/IF(OR($R247="",$R247=0),1,$R247),2)*SIGN($U247),ROUND($U247*$V247,2))))</f>
        <v>0</v>
      </c>
      <c r="X247" s="24" t="str">
        <f aca="false">IF($N247="","",IFERROR(INDEX(VAT_Codes!$H:$H,MATCH($N247,VAT_Codes!$A:$A,0)),"")&amp;"")</f>
        <v/>
      </c>
      <c r="Y247" s="24" t="str">
        <f aca="false">IF($A247="","",(YEAR($A247)-YEAR(Settings!$C$8))*12+MONTH($A247)-MONTH(Settings!$C$8)+1)</f>
        <v/>
      </c>
      <c r="Z247" s="24" t="str">
        <f aca="false">IF(AND($C247="",$I247="",$J247=""),"",IF($N247="","NO VAT CODE",IF($T247="","UNKNOWN VAT CODE",IF($S247="","MISSING FX RATE",IF(OR($A247&lt;Settings!$C$8,$A247&gt;Settings!$C$9),"OUTSIDE PERIOD",IF(AND(IFERROR(INDEX(VAT_Codes!$E:$E,MATCH($N247,VAT_Codes!$A:$A,0)),"ANY")&lt;&gt;"ANY",$P247=""),"MISSING COUNTERPARTY COUNTRY",IF(AND(IFERROR(INDEX(VAT_Codes!$E:$E,MATCH($N247,VAT_Codes!$A:$A,0)),"ANY")&lt;&gt;"ANY",$P247&lt;&gt;IFERROR(INDEX(VAT_Codes!$E:$E,MATCH($N247,VAT_Codes!$A:$A,0)),"ANY")),"REGION MISMATCH","OK")))))))</f>
        <v/>
      </c>
    </row>
    <row r="248" customFormat="false" ht="15" hidden="false" customHeight="false" outlineLevel="0" collapsed="false">
      <c r="M248" s="24" t="str">
        <f aca="false">IF($C248="","",IFERROR(INDEX(Account_Mapping!$C:$C,MATCH($C248&amp;"",Account_Mapping!$A:$A,0))&amp;"",""))</f>
        <v/>
      </c>
      <c r="N248" s="24" t="str">
        <f aca="false">IF($K248&lt;&gt;"",$K248,$M248)</f>
        <v/>
      </c>
      <c r="O248" s="24" t="str">
        <f aca="false">IF($F248="","",IFERROR(INDEX(Counterparties!$C:$C,MATCH($F248&amp;"",Counterparties!$A:$A,0))&amp;"",""))</f>
        <v/>
      </c>
      <c r="P248" s="24" t="str">
        <f aca="false">IF($O248="","",IF($O248="CY","CY",IF(ISNUMBER(MATCH($O248,Lists!$A:$A,0)),"EU","3RD")))</f>
        <v/>
      </c>
      <c r="Q248" s="24" t="str">
        <f aca="false">IF($F248="","N",IFERROR(IF(INDEX(Counterparties!$E:$E,MATCH($F248&amp;"",Counterparties!$A:$A,0))="Y","Y","N"),"N"))</f>
        <v>N</v>
      </c>
      <c r="R248" s="25" t="n">
        <f aca="false">IF(OR($H248="",$H248="EUR"),1,IFERROR(INDEX(FX_Rates!$D:$D,MATCH($H248,FX_Rates!$A:$A,0)),""))</f>
        <v>1</v>
      </c>
      <c r="S248" s="26" t="str">
        <f aca="false">IF(AND($I248="",$J248=""),"",IF($J248&lt;&gt;"",$J248,IF(OR($R248="",$R248=0),"",ROUND($I248/$R248,2))))</f>
        <v/>
      </c>
      <c r="T248" s="24" t="str">
        <f aca="false">IF($N248="","",IFERROR(INDEX(VAT_Codes!$C:$C,MATCH($N248,VAT_Codes!$A:$A,0)),"")&amp;"")</f>
        <v/>
      </c>
      <c r="U248" s="26" t="n">
        <f aca="false">IF(OR($S248="",$T248="",$T248="None"),0,IF($T248="Output",-$S248,$S248))</f>
        <v>0</v>
      </c>
      <c r="V248" s="27" t="n">
        <f aca="false">IF($N248="",0,IFERROR(INDEX(VAT_Codes!$D:$D,MATCH($N248,VAT_Codes!$A:$A,0)),0))</f>
        <v>0</v>
      </c>
      <c r="W248" s="26" t="n">
        <f aca="false">IF($U248=0,0,IF(IFERROR(INDEX(VAT_Codes!$F:$F,MATCH($N248,VAT_Codes!$A:$A,0)),"N")="Y",$U248,IF($L248&lt;&gt;"",ROUND(ABS($L248)/IF(OR($R248="",$R248=0),1,$R248),2)*SIGN($U248),ROUND($U248*$V248,2))))</f>
        <v>0</v>
      </c>
      <c r="X248" s="24" t="str">
        <f aca="false">IF($N248="","",IFERROR(INDEX(VAT_Codes!$H:$H,MATCH($N248,VAT_Codes!$A:$A,0)),"")&amp;"")</f>
        <v/>
      </c>
      <c r="Y248" s="24" t="str">
        <f aca="false">IF($A248="","",(YEAR($A248)-YEAR(Settings!$C$8))*12+MONTH($A248)-MONTH(Settings!$C$8)+1)</f>
        <v/>
      </c>
      <c r="Z248" s="24" t="str">
        <f aca="false">IF(AND($C248="",$I248="",$J248=""),"",IF($N248="","NO VAT CODE",IF($T248="","UNKNOWN VAT CODE",IF($S248="","MISSING FX RATE",IF(OR($A248&lt;Settings!$C$8,$A248&gt;Settings!$C$9),"OUTSIDE PERIOD",IF(AND(IFERROR(INDEX(VAT_Codes!$E:$E,MATCH($N248,VAT_Codes!$A:$A,0)),"ANY")&lt;&gt;"ANY",$P248=""),"MISSING COUNTERPARTY COUNTRY",IF(AND(IFERROR(INDEX(VAT_Codes!$E:$E,MATCH($N248,VAT_Codes!$A:$A,0)),"ANY")&lt;&gt;"ANY",$P248&lt;&gt;IFERROR(INDEX(VAT_Codes!$E:$E,MATCH($N248,VAT_Codes!$A:$A,0)),"ANY")),"REGION MISMATCH","OK")))))))</f>
        <v/>
      </c>
    </row>
    <row r="249" customFormat="false" ht="15" hidden="false" customHeight="false" outlineLevel="0" collapsed="false">
      <c r="M249" s="24" t="str">
        <f aca="false">IF($C249="","",IFERROR(INDEX(Account_Mapping!$C:$C,MATCH($C249&amp;"",Account_Mapping!$A:$A,0))&amp;"",""))</f>
        <v/>
      </c>
      <c r="N249" s="24" t="str">
        <f aca="false">IF($K249&lt;&gt;"",$K249,$M249)</f>
        <v/>
      </c>
      <c r="O249" s="24" t="str">
        <f aca="false">IF($F249="","",IFERROR(INDEX(Counterparties!$C:$C,MATCH($F249&amp;"",Counterparties!$A:$A,0))&amp;"",""))</f>
        <v/>
      </c>
      <c r="P249" s="24" t="str">
        <f aca="false">IF($O249="","",IF($O249="CY","CY",IF(ISNUMBER(MATCH($O249,Lists!$A:$A,0)),"EU","3RD")))</f>
        <v/>
      </c>
      <c r="Q249" s="24" t="str">
        <f aca="false">IF($F249="","N",IFERROR(IF(INDEX(Counterparties!$E:$E,MATCH($F249&amp;"",Counterparties!$A:$A,0))="Y","Y","N"),"N"))</f>
        <v>N</v>
      </c>
      <c r="R249" s="25" t="n">
        <f aca="false">IF(OR($H249="",$H249="EUR"),1,IFERROR(INDEX(FX_Rates!$D:$D,MATCH($H249,FX_Rates!$A:$A,0)),""))</f>
        <v>1</v>
      </c>
      <c r="S249" s="26" t="str">
        <f aca="false">IF(AND($I249="",$J249=""),"",IF($J249&lt;&gt;"",$J249,IF(OR($R249="",$R249=0),"",ROUND($I249/$R249,2))))</f>
        <v/>
      </c>
      <c r="T249" s="24" t="str">
        <f aca="false">IF($N249="","",IFERROR(INDEX(VAT_Codes!$C:$C,MATCH($N249,VAT_Codes!$A:$A,0)),"")&amp;"")</f>
        <v/>
      </c>
      <c r="U249" s="26" t="n">
        <f aca="false">IF(OR($S249="",$T249="",$T249="None"),0,IF($T249="Output",-$S249,$S249))</f>
        <v>0</v>
      </c>
      <c r="V249" s="27" t="n">
        <f aca="false">IF($N249="",0,IFERROR(INDEX(VAT_Codes!$D:$D,MATCH($N249,VAT_Codes!$A:$A,0)),0))</f>
        <v>0</v>
      </c>
      <c r="W249" s="26" t="n">
        <f aca="false">IF($U249=0,0,IF(IFERROR(INDEX(VAT_Codes!$F:$F,MATCH($N249,VAT_Codes!$A:$A,0)),"N")="Y",$U249,IF($L249&lt;&gt;"",ROUND(ABS($L249)/IF(OR($R249="",$R249=0),1,$R249),2)*SIGN($U249),ROUND($U249*$V249,2))))</f>
        <v>0</v>
      </c>
      <c r="X249" s="24" t="str">
        <f aca="false">IF($N249="","",IFERROR(INDEX(VAT_Codes!$H:$H,MATCH($N249,VAT_Codes!$A:$A,0)),"")&amp;"")</f>
        <v/>
      </c>
      <c r="Y249" s="24" t="str">
        <f aca="false">IF($A249="","",(YEAR($A249)-YEAR(Settings!$C$8))*12+MONTH($A249)-MONTH(Settings!$C$8)+1)</f>
        <v/>
      </c>
      <c r="Z249" s="24" t="str">
        <f aca="false">IF(AND($C249="",$I249="",$J249=""),"",IF($N249="","NO VAT CODE",IF($T249="","UNKNOWN VAT CODE",IF($S249="","MISSING FX RATE",IF(OR($A249&lt;Settings!$C$8,$A249&gt;Settings!$C$9),"OUTSIDE PERIOD",IF(AND(IFERROR(INDEX(VAT_Codes!$E:$E,MATCH($N249,VAT_Codes!$A:$A,0)),"ANY")&lt;&gt;"ANY",$P249=""),"MISSING COUNTERPARTY COUNTRY",IF(AND(IFERROR(INDEX(VAT_Codes!$E:$E,MATCH($N249,VAT_Codes!$A:$A,0)),"ANY")&lt;&gt;"ANY",$P249&lt;&gt;IFERROR(INDEX(VAT_Codes!$E:$E,MATCH($N249,VAT_Codes!$A:$A,0)),"ANY")),"REGION MISMATCH","OK")))))))</f>
        <v/>
      </c>
    </row>
    <row r="250" customFormat="false" ht="15" hidden="false" customHeight="false" outlineLevel="0" collapsed="false">
      <c r="M250" s="24" t="str">
        <f aca="false">IF($C250="","",IFERROR(INDEX(Account_Mapping!$C:$C,MATCH($C250&amp;"",Account_Mapping!$A:$A,0))&amp;"",""))</f>
        <v/>
      </c>
      <c r="N250" s="24" t="str">
        <f aca="false">IF($K250&lt;&gt;"",$K250,$M250)</f>
        <v/>
      </c>
      <c r="O250" s="24" t="str">
        <f aca="false">IF($F250="","",IFERROR(INDEX(Counterparties!$C:$C,MATCH($F250&amp;"",Counterparties!$A:$A,0))&amp;"",""))</f>
        <v/>
      </c>
      <c r="P250" s="24" t="str">
        <f aca="false">IF($O250="","",IF($O250="CY","CY",IF(ISNUMBER(MATCH($O250,Lists!$A:$A,0)),"EU","3RD")))</f>
        <v/>
      </c>
      <c r="Q250" s="24" t="str">
        <f aca="false">IF($F250="","N",IFERROR(IF(INDEX(Counterparties!$E:$E,MATCH($F250&amp;"",Counterparties!$A:$A,0))="Y","Y","N"),"N"))</f>
        <v>N</v>
      </c>
      <c r="R250" s="25" t="n">
        <f aca="false">IF(OR($H250="",$H250="EUR"),1,IFERROR(INDEX(FX_Rates!$D:$D,MATCH($H250,FX_Rates!$A:$A,0)),""))</f>
        <v>1</v>
      </c>
      <c r="S250" s="26" t="str">
        <f aca="false">IF(AND($I250="",$J250=""),"",IF($J250&lt;&gt;"",$J250,IF(OR($R250="",$R250=0),"",ROUND($I250/$R250,2))))</f>
        <v/>
      </c>
      <c r="T250" s="24" t="str">
        <f aca="false">IF($N250="","",IFERROR(INDEX(VAT_Codes!$C:$C,MATCH($N250,VAT_Codes!$A:$A,0)),"")&amp;"")</f>
        <v/>
      </c>
      <c r="U250" s="26" t="n">
        <f aca="false">IF(OR($S250="",$T250="",$T250="None"),0,IF($T250="Output",-$S250,$S250))</f>
        <v>0</v>
      </c>
      <c r="V250" s="27" t="n">
        <f aca="false">IF($N250="",0,IFERROR(INDEX(VAT_Codes!$D:$D,MATCH($N250,VAT_Codes!$A:$A,0)),0))</f>
        <v>0</v>
      </c>
      <c r="W250" s="26" t="n">
        <f aca="false">IF($U250=0,0,IF(IFERROR(INDEX(VAT_Codes!$F:$F,MATCH($N250,VAT_Codes!$A:$A,0)),"N")="Y",$U250,IF($L250&lt;&gt;"",ROUND(ABS($L250)/IF(OR($R250="",$R250=0),1,$R250),2)*SIGN($U250),ROUND($U250*$V250,2))))</f>
        <v>0</v>
      </c>
      <c r="X250" s="24" t="str">
        <f aca="false">IF($N250="","",IFERROR(INDEX(VAT_Codes!$H:$H,MATCH($N250,VAT_Codes!$A:$A,0)),"")&amp;"")</f>
        <v/>
      </c>
      <c r="Y250" s="24" t="str">
        <f aca="false">IF($A250="","",(YEAR($A250)-YEAR(Settings!$C$8))*12+MONTH($A250)-MONTH(Settings!$C$8)+1)</f>
        <v/>
      </c>
      <c r="Z250" s="24" t="str">
        <f aca="false">IF(AND($C250="",$I250="",$J250=""),"",IF($N250="","NO VAT CODE",IF($T250="","UNKNOWN VAT CODE",IF($S250="","MISSING FX RATE",IF(OR($A250&lt;Settings!$C$8,$A250&gt;Settings!$C$9),"OUTSIDE PERIOD",IF(AND(IFERROR(INDEX(VAT_Codes!$E:$E,MATCH($N250,VAT_Codes!$A:$A,0)),"ANY")&lt;&gt;"ANY",$P250=""),"MISSING COUNTERPARTY COUNTRY",IF(AND(IFERROR(INDEX(VAT_Codes!$E:$E,MATCH($N250,VAT_Codes!$A:$A,0)),"ANY")&lt;&gt;"ANY",$P250&lt;&gt;IFERROR(INDEX(VAT_Codes!$E:$E,MATCH($N250,VAT_Codes!$A:$A,0)),"ANY")),"REGION MISMATCH","OK")))))))</f>
        <v/>
      </c>
    </row>
    <row r="251" customFormat="false" ht="15" hidden="false" customHeight="false" outlineLevel="0" collapsed="false">
      <c r="M251" s="24" t="str">
        <f aca="false">IF($C251="","",IFERROR(INDEX(Account_Mapping!$C:$C,MATCH($C251&amp;"",Account_Mapping!$A:$A,0))&amp;"",""))</f>
        <v/>
      </c>
      <c r="N251" s="24" t="str">
        <f aca="false">IF($K251&lt;&gt;"",$K251,$M251)</f>
        <v/>
      </c>
      <c r="O251" s="24" t="str">
        <f aca="false">IF($F251="","",IFERROR(INDEX(Counterparties!$C:$C,MATCH($F251&amp;"",Counterparties!$A:$A,0))&amp;"",""))</f>
        <v/>
      </c>
      <c r="P251" s="24" t="str">
        <f aca="false">IF($O251="","",IF($O251="CY","CY",IF(ISNUMBER(MATCH($O251,Lists!$A:$A,0)),"EU","3RD")))</f>
        <v/>
      </c>
      <c r="Q251" s="24" t="str">
        <f aca="false">IF($F251="","N",IFERROR(IF(INDEX(Counterparties!$E:$E,MATCH($F251&amp;"",Counterparties!$A:$A,0))="Y","Y","N"),"N"))</f>
        <v>N</v>
      </c>
      <c r="R251" s="25" t="n">
        <f aca="false">IF(OR($H251="",$H251="EUR"),1,IFERROR(INDEX(FX_Rates!$D:$D,MATCH($H251,FX_Rates!$A:$A,0)),""))</f>
        <v>1</v>
      </c>
      <c r="S251" s="26" t="str">
        <f aca="false">IF(AND($I251="",$J251=""),"",IF($J251&lt;&gt;"",$J251,IF(OR($R251="",$R251=0),"",ROUND($I251/$R251,2))))</f>
        <v/>
      </c>
      <c r="T251" s="24" t="str">
        <f aca="false">IF($N251="","",IFERROR(INDEX(VAT_Codes!$C:$C,MATCH($N251,VAT_Codes!$A:$A,0)),"")&amp;"")</f>
        <v/>
      </c>
      <c r="U251" s="26" t="n">
        <f aca="false">IF(OR($S251="",$T251="",$T251="None"),0,IF($T251="Output",-$S251,$S251))</f>
        <v>0</v>
      </c>
      <c r="V251" s="27" t="n">
        <f aca="false">IF($N251="",0,IFERROR(INDEX(VAT_Codes!$D:$D,MATCH($N251,VAT_Codes!$A:$A,0)),0))</f>
        <v>0</v>
      </c>
      <c r="W251" s="26" t="n">
        <f aca="false">IF($U251=0,0,IF(IFERROR(INDEX(VAT_Codes!$F:$F,MATCH($N251,VAT_Codes!$A:$A,0)),"N")="Y",$U251,IF($L251&lt;&gt;"",ROUND(ABS($L251)/IF(OR($R251="",$R251=0),1,$R251),2)*SIGN($U251),ROUND($U251*$V251,2))))</f>
        <v>0</v>
      </c>
      <c r="X251" s="24" t="str">
        <f aca="false">IF($N251="","",IFERROR(INDEX(VAT_Codes!$H:$H,MATCH($N251,VAT_Codes!$A:$A,0)),"")&amp;"")</f>
        <v/>
      </c>
      <c r="Y251" s="24" t="str">
        <f aca="false">IF($A251="","",(YEAR($A251)-YEAR(Settings!$C$8))*12+MONTH($A251)-MONTH(Settings!$C$8)+1)</f>
        <v/>
      </c>
      <c r="Z251" s="24" t="str">
        <f aca="false">IF(AND($C251="",$I251="",$J251=""),"",IF($N251="","NO VAT CODE",IF($T251="","UNKNOWN VAT CODE",IF($S251="","MISSING FX RATE",IF(OR($A251&lt;Settings!$C$8,$A251&gt;Settings!$C$9),"OUTSIDE PERIOD",IF(AND(IFERROR(INDEX(VAT_Codes!$E:$E,MATCH($N251,VAT_Codes!$A:$A,0)),"ANY")&lt;&gt;"ANY",$P251=""),"MISSING COUNTERPARTY COUNTRY",IF(AND(IFERROR(INDEX(VAT_Codes!$E:$E,MATCH($N251,VAT_Codes!$A:$A,0)),"ANY")&lt;&gt;"ANY",$P251&lt;&gt;IFERROR(INDEX(VAT_Codes!$E:$E,MATCH($N251,VAT_Codes!$A:$A,0)),"ANY")),"REGION MISMATCH","OK")))))))</f>
        <v/>
      </c>
    </row>
    <row r="252" customFormat="false" ht="15" hidden="false" customHeight="false" outlineLevel="0" collapsed="false">
      <c r="M252" s="24" t="str">
        <f aca="false">IF($C252="","",IFERROR(INDEX(Account_Mapping!$C:$C,MATCH($C252&amp;"",Account_Mapping!$A:$A,0))&amp;"",""))</f>
        <v/>
      </c>
      <c r="N252" s="24" t="str">
        <f aca="false">IF($K252&lt;&gt;"",$K252,$M252)</f>
        <v/>
      </c>
      <c r="O252" s="24" t="str">
        <f aca="false">IF($F252="","",IFERROR(INDEX(Counterparties!$C:$C,MATCH($F252&amp;"",Counterparties!$A:$A,0))&amp;"",""))</f>
        <v/>
      </c>
      <c r="P252" s="24" t="str">
        <f aca="false">IF($O252="","",IF($O252="CY","CY",IF(ISNUMBER(MATCH($O252,Lists!$A:$A,0)),"EU","3RD")))</f>
        <v/>
      </c>
      <c r="Q252" s="24" t="str">
        <f aca="false">IF($F252="","N",IFERROR(IF(INDEX(Counterparties!$E:$E,MATCH($F252&amp;"",Counterparties!$A:$A,0))="Y","Y","N"),"N"))</f>
        <v>N</v>
      </c>
      <c r="R252" s="25" t="n">
        <f aca="false">IF(OR($H252="",$H252="EUR"),1,IFERROR(INDEX(FX_Rates!$D:$D,MATCH($H252,FX_Rates!$A:$A,0)),""))</f>
        <v>1</v>
      </c>
      <c r="S252" s="26" t="str">
        <f aca="false">IF(AND($I252="",$J252=""),"",IF($J252&lt;&gt;"",$J252,IF(OR($R252="",$R252=0),"",ROUND($I252/$R252,2))))</f>
        <v/>
      </c>
      <c r="T252" s="24" t="str">
        <f aca="false">IF($N252="","",IFERROR(INDEX(VAT_Codes!$C:$C,MATCH($N252,VAT_Codes!$A:$A,0)),"")&amp;"")</f>
        <v/>
      </c>
      <c r="U252" s="26" t="n">
        <f aca="false">IF(OR($S252="",$T252="",$T252="None"),0,IF($T252="Output",-$S252,$S252))</f>
        <v>0</v>
      </c>
      <c r="V252" s="27" t="n">
        <f aca="false">IF($N252="",0,IFERROR(INDEX(VAT_Codes!$D:$D,MATCH($N252,VAT_Codes!$A:$A,0)),0))</f>
        <v>0</v>
      </c>
      <c r="W252" s="26" t="n">
        <f aca="false">IF($U252=0,0,IF(IFERROR(INDEX(VAT_Codes!$F:$F,MATCH($N252,VAT_Codes!$A:$A,0)),"N")="Y",$U252,IF($L252&lt;&gt;"",ROUND(ABS($L252)/IF(OR($R252="",$R252=0),1,$R252),2)*SIGN($U252),ROUND($U252*$V252,2))))</f>
        <v>0</v>
      </c>
      <c r="X252" s="24" t="str">
        <f aca="false">IF($N252="","",IFERROR(INDEX(VAT_Codes!$H:$H,MATCH($N252,VAT_Codes!$A:$A,0)),"")&amp;"")</f>
        <v/>
      </c>
      <c r="Y252" s="24" t="str">
        <f aca="false">IF($A252="","",(YEAR($A252)-YEAR(Settings!$C$8))*12+MONTH($A252)-MONTH(Settings!$C$8)+1)</f>
        <v/>
      </c>
      <c r="Z252" s="24" t="str">
        <f aca="false">IF(AND($C252="",$I252="",$J252=""),"",IF($N252="","NO VAT CODE",IF($T252="","UNKNOWN VAT CODE",IF($S252="","MISSING FX RATE",IF(OR($A252&lt;Settings!$C$8,$A252&gt;Settings!$C$9),"OUTSIDE PERIOD",IF(AND(IFERROR(INDEX(VAT_Codes!$E:$E,MATCH($N252,VAT_Codes!$A:$A,0)),"ANY")&lt;&gt;"ANY",$P252=""),"MISSING COUNTERPARTY COUNTRY",IF(AND(IFERROR(INDEX(VAT_Codes!$E:$E,MATCH($N252,VAT_Codes!$A:$A,0)),"ANY")&lt;&gt;"ANY",$P252&lt;&gt;IFERROR(INDEX(VAT_Codes!$E:$E,MATCH($N252,VAT_Codes!$A:$A,0)),"ANY")),"REGION MISMATCH","OK")))))))</f>
        <v/>
      </c>
    </row>
    <row r="253" customFormat="false" ht="15" hidden="false" customHeight="false" outlineLevel="0" collapsed="false">
      <c r="M253" s="24" t="str">
        <f aca="false">IF($C253="","",IFERROR(INDEX(Account_Mapping!$C:$C,MATCH($C253&amp;"",Account_Mapping!$A:$A,0))&amp;"",""))</f>
        <v/>
      </c>
      <c r="N253" s="24" t="str">
        <f aca="false">IF($K253&lt;&gt;"",$K253,$M253)</f>
        <v/>
      </c>
      <c r="O253" s="24" t="str">
        <f aca="false">IF($F253="","",IFERROR(INDEX(Counterparties!$C:$C,MATCH($F253&amp;"",Counterparties!$A:$A,0))&amp;"",""))</f>
        <v/>
      </c>
      <c r="P253" s="24" t="str">
        <f aca="false">IF($O253="","",IF($O253="CY","CY",IF(ISNUMBER(MATCH($O253,Lists!$A:$A,0)),"EU","3RD")))</f>
        <v/>
      </c>
      <c r="Q253" s="24" t="str">
        <f aca="false">IF($F253="","N",IFERROR(IF(INDEX(Counterparties!$E:$E,MATCH($F253&amp;"",Counterparties!$A:$A,0))="Y","Y","N"),"N"))</f>
        <v>N</v>
      </c>
      <c r="R253" s="25" t="n">
        <f aca="false">IF(OR($H253="",$H253="EUR"),1,IFERROR(INDEX(FX_Rates!$D:$D,MATCH($H253,FX_Rates!$A:$A,0)),""))</f>
        <v>1</v>
      </c>
      <c r="S253" s="26" t="str">
        <f aca="false">IF(AND($I253="",$J253=""),"",IF($J253&lt;&gt;"",$J253,IF(OR($R253="",$R253=0),"",ROUND($I253/$R253,2))))</f>
        <v/>
      </c>
      <c r="T253" s="24" t="str">
        <f aca="false">IF($N253="","",IFERROR(INDEX(VAT_Codes!$C:$C,MATCH($N253,VAT_Codes!$A:$A,0)),"")&amp;"")</f>
        <v/>
      </c>
      <c r="U253" s="26" t="n">
        <f aca="false">IF(OR($S253="",$T253="",$T253="None"),0,IF($T253="Output",-$S253,$S253))</f>
        <v>0</v>
      </c>
      <c r="V253" s="27" t="n">
        <f aca="false">IF($N253="",0,IFERROR(INDEX(VAT_Codes!$D:$D,MATCH($N253,VAT_Codes!$A:$A,0)),0))</f>
        <v>0</v>
      </c>
      <c r="W253" s="26" t="n">
        <f aca="false">IF($U253=0,0,IF(IFERROR(INDEX(VAT_Codes!$F:$F,MATCH($N253,VAT_Codes!$A:$A,0)),"N")="Y",$U253,IF($L253&lt;&gt;"",ROUND(ABS($L253)/IF(OR($R253="",$R253=0),1,$R253),2)*SIGN($U253),ROUND($U253*$V253,2))))</f>
        <v>0</v>
      </c>
      <c r="X253" s="24" t="str">
        <f aca="false">IF($N253="","",IFERROR(INDEX(VAT_Codes!$H:$H,MATCH($N253,VAT_Codes!$A:$A,0)),"")&amp;"")</f>
        <v/>
      </c>
      <c r="Y253" s="24" t="str">
        <f aca="false">IF($A253="","",(YEAR($A253)-YEAR(Settings!$C$8))*12+MONTH($A253)-MONTH(Settings!$C$8)+1)</f>
        <v/>
      </c>
      <c r="Z253" s="24" t="str">
        <f aca="false">IF(AND($C253="",$I253="",$J253=""),"",IF($N253="","NO VAT CODE",IF($T253="","UNKNOWN VAT CODE",IF($S253="","MISSING FX RATE",IF(OR($A253&lt;Settings!$C$8,$A253&gt;Settings!$C$9),"OUTSIDE PERIOD",IF(AND(IFERROR(INDEX(VAT_Codes!$E:$E,MATCH($N253,VAT_Codes!$A:$A,0)),"ANY")&lt;&gt;"ANY",$P253=""),"MISSING COUNTERPARTY COUNTRY",IF(AND(IFERROR(INDEX(VAT_Codes!$E:$E,MATCH($N253,VAT_Codes!$A:$A,0)),"ANY")&lt;&gt;"ANY",$P253&lt;&gt;IFERROR(INDEX(VAT_Codes!$E:$E,MATCH($N253,VAT_Codes!$A:$A,0)),"ANY")),"REGION MISMATCH","OK")))))))</f>
        <v/>
      </c>
    </row>
    <row r="254" customFormat="false" ht="15" hidden="false" customHeight="false" outlineLevel="0" collapsed="false">
      <c r="M254" s="24" t="str">
        <f aca="false">IF($C254="","",IFERROR(INDEX(Account_Mapping!$C:$C,MATCH($C254&amp;"",Account_Mapping!$A:$A,0))&amp;"",""))</f>
        <v/>
      </c>
      <c r="N254" s="24" t="str">
        <f aca="false">IF($K254&lt;&gt;"",$K254,$M254)</f>
        <v/>
      </c>
      <c r="O254" s="24" t="str">
        <f aca="false">IF($F254="","",IFERROR(INDEX(Counterparties!$C:$C,MATCH($F254&amp;"",Counterparties!$A:$A,0))&amp;"",""))</f>
        <v/>
      </c>
      <c r="P254" s="24" t="str">
        <f aca="false">IF($O254="","",IF($O254="CY","CY",IF(ISNUMBER(MATCH($O254,Lists!$A:$A,0)),"EU","3RD")))</f>
        <v/>
      </c>
      <c r="Q254" s="24" t="str">
        <f aca="false">IF($F254="","N",IFERROR(IF(INDEX(Counterparties!$E:$E,MATCH($F254&amp;"",Counterparties!$A:$A,0))="Y","Y","N"),"N"))</f>
        <v>N</v>
      </c>
      <c r="R254" s="25" t="n">
        <f aca="false">IF(OR($H254="",$H254="EUR"),1,IFERROR(INDEX(FX_Rates!$D:$D,MATCH($H254,FX_Rates!$A:$A,0)),""))</f>
        <v>1</v>
      </c>
      <c r="S254" s="26" t="str">
        <f aca="false">IF(AND($I254="",$J254=""),"",IF($J254&lt;&gt;"",$J254,IF(OR($R254="",$R254=0),"",ROUND($I254/$R254,2))))</f>
        <v/>
      </c>
      <c r="T254" s="24" t="str">
        <f aca="false">IF($N254="","",IFERROR(INDEX(VAT_Codes!$C:$C,MATCH($N254,VAT_Codes!$A:$A,0)),"")&amp;"")</f>
        <v/>
      </c>
      <c r="U254" s="26" t="n">
        <f aca="false">IF(OR($S254="",$T254="",$T254="None"),0,IF($T254="Output",-$S254,$S254))</f>
        <v>0</v>
      </c>
      <c r="V254" s="27" t="n">
        <f aca="false">IF($N254="",0,IFERROR(INDEX(VAT_Codes!$D:$D,MATCH($N254,VAT_Codes!$A:$A,0)),0))</f>
        <v>0</v>
      </c>
      <c r="W254" s="26" t="n">
        <f aca="false">IF($U254=0,0,IF(IFERROR(INDEX(VAT_Codes!$F:$F,MATCH($N254,VAT_Codes!$A:$A,0)),"N")="Y",$U254,IF($L254&lt;&gt;"",ROUND(ABS($L254)/IF(OR($R254="",$R254=0),1,$R254),2)*SIGN($U254),ROUND($U254*$V254,2))))</f>
        <v>0</v>
      </c>
      <c r="X254" s="24" t="str">
        <f aca="false">IF($N254="","",IFERROR(INDEX(VAT_Codes!$H:$H,MATCH($N254,VAT_Codes!$A:$A,0)),"")&amp;"")</f>
        <v/>
      </c>
      <c r="Y254" s="24" t="str">
        <f aca="false">IF($A254="","",(YEAR($A254)-YEAR(Settings!$C$8))*12+MONTH($A254)-MONTH(Settings!$C$8)+1)</f>
        <v/>
      </c>
      <c r="Z254" s="24" t="str">
        <f aca="false">IF(AND($C254="",$I254="",$J254=""),"",IF($N254="","NO VAT CODE",IF($T254="","UNKNOWN VAT CODE",IF($S254="","MISSING FX RATE",IF(OR($A254&lt;Settings!$C$8,$A254&gt;Settings!$C$9),"OUTSIDE PERIOD",IF(AND(IFERROR(INDEX(VAT_Codes!$E:$E,MATCH($N254,VAT_Codes!$A:$A,0)),"ANY")&lt;&gt;"ANY",$P254=""),"MISSING COUNTERPARTY COUNTRY",IF(AND(IFERROR(INDEX(VAT_Codes!$E:$E,MATCH($N254,VAT_Codes!$A:$A,0)),"ANY")&lt;&gt;"ANY",$P254&lt;&gt;IFERROR(INDEX(VAT_Codes!$E:$E,MATCH($N254,VAT_Codes!$A:$A,0)),"ANY")),"REGION MISMATCH","OK")))))))</f>
        <v/>
      </c>
    </row>
    <row r="255" customFormat="false" ht="15" hidden="false" customHeight="false" outlineLevel="0" collapsed="false">
      <c r="M255" s="24" t="str">
        <f aca="false">IF($C255="","",IFERROR(INDEX(Account_Mapping!$C:$C,MATCH($C255&amp;"",Account_Mapping!$A:$A,0))&amp;"",""))</f>
        <v/>
      </c>
      <c r="N255" s="24" t="str">
        <f aca="false">IF($K255&lt;&gt;"",$K255,$M255)</f>
        <v/>
      </c>
      <c r="O255" s="24" t="str">
        <f aca="false">IF($F255="","",IFERROR(INDEX(Counterparties!$C:$C,MATCH($F255&amp;"",Counterparties!$A:$A,0))&amp;"",""))</f>
        <v/>
      </c>
      <c r="P255" s="24" t="str">
        <f aca="false">IF($O255="","",IF($O255="CY","CY",IF(ISNUMBER(MATCH($O255,Lists!$A:$A,0)),"EU","3RD")))</f>
        <v/>
      </c>
      <c r="Q255" s="24" t="str">
        <f aca="false">IF($F255="","N",IFERROR(IF(INDEX(Counterparties!$E:$E,MATCH($F255&amp;"",Counterparties!$A:$A,0))="Y","Y","N"),"N"))</f>
        <v>N</v>
      </c>
      <c r="R255" s="25" t="n">
        <f aca="false">IF(OR($H255="",$H255="EUR"),1,IFERROR(INDEX(FX_Rates!$D:$D,MATCH($H255,FX_Rates!$A:$A,0)),""))</f>
        <v>1</v>
      </c>
      <c r="S255" s="26" t="str">
        <f aca="false">IF(AND($I255="",$J255=""),"",IF($J255&lt;&gt;"",$J255,IF(OR($R255="",$R255=0),"",ROUND($I255/$R255,2))))</f>
        <v/>
      </c>
      <c r="T255" s="24" t="str">
        <f aca="false">IF($N255="","",IFERROR(INDEX(VAT_Codes!$C:$C,MATCH($N255,VAT_Codes!$A:$A,0)),"")&amp;"")</f>
        <v/>
      </c>
      <c r="U255" s="26" t="n">
        <f aca="false">IF(OR($S255="",$T255="",$T255="None"),0,IF($T255="Output",-$S255,$S255))</f>
        <v>0</v>
      </c>
      <c r="V255" s="27" t="n">
        <f aca="false">IF($N255="",0,IFERROR(INDEX(VAT_Codes!$D:$D,MATCH($N255,VAT_Codes!$A:$A,0)),0))</f>
        <v>0</v>
      </c>
      <c r="W255" s="26" t="n">
        <f aca="false">IF($U255=0,0,IF(IFERROR(INDEX(VAT_Codes!$F:$F,MATCH($N255,VAT_Codes!$A:$A,0)),"N")="Y",$U255,IF($L255&lt;&gt;"",ROUND(ABS($L255)/IF(OR($R255="",$R255=0),1,$R255),2)*SIGN($U255),ROUND($U255*$V255,2))))</f>
        <v>0</v>
      </c>
      <c r="X255" s="24" t="str">
        <f aca="false">IF($N255="","",IFERROR(INDEX(VAT_Codes!$H:$H,MATCH($N255,VAT_Codes!$A:$A,0)),"")&amp;"")</f>
        <v/>
      </c>
      <c r="Y255" s="24" t="str">
        <f aca="false">IF($A255="","",(YEAR($A255)-YEAR(Settings!$C$8))*12+MONTH($A255)-MONTH(Settings!$C$8)+1)</f>
        <v/>
      </c>
      <c r="Z255" s="24" t="str">
        <f aca="false">IF(AND($C255="",$I255="",$J255=""),"",IF($N255="","NO VAT CODE",IF($T255="","UNKNOWN VAT CODE",IF($S255="","MISSING FX RATE",IF(OR($A255&lt;Settings!$C$8,$A255&gt;Settings!$C$9),"OUTSIDE PERIOD",IF(AND(IFERROR(INDEX(VAT_Codes!$E:$E,MATCH($N255,VAT_Codes!$A:$A,0)),"ANY")&lt;&gt;"ANY",$P255=""),"MISSING COUNTERPARTY COUNTRY",IF(AND(IFERROR(INDEX(VAT_Codes!$E:$E,MATCH($N255,VAT_Codes!$A:$A,0)),"ANY")&lt;&gt;"ANY",$P255&lt;&gt;IFERROR(INDEX(VAT_Codes!$E:$E,MATCH($N255,VAT_Codes!$A:$A,0)),"ANY")),"REGION MISMATCH","OK")))))))</f>
        <v/>
      </c>
    </row>
    <row r="256" customFormat="false" ht="15" hidden="false" customHeight="false" outlineLevel="0" collapsed="false">
      <c r="M256" s="24" t="str">
        <f aca="false">IF($C256="","",IFERROR(INDEX(Account_Mapping!$C:$C,MATCH($C256&amp;"",Account_Mapping!$A:$A,0))&amp;"",""))</f>
        <v/>
      </c>
      <c r="N256" s="24" t="str">
        <f aca="false">IF($K256&lt;&gt;"",$K256,$M256)</f>
        <v/>
      </c>
      <c r="O256" s="24" t="str">
        <f aca="false">IF($F256="","",IFERROR(INDEX(Counterparties!$C:$C,MATCH($F256&amp;"",Counterparties!$A:$A,0))&amp;"",""))</f>
        <v/>
      </c>
      <c r="P256" s="24" t="str">
        <f aca="false">IF($O256="","",IF($O256="CY","CY",IF(ISNUMBER(MATCH($O256,Lists!$A:$A,0)),"EU","3RD")))</f>
        <v/>
      </c>
      <c r="Q256" s="24" t="str">
        <f aca="false">IF($F256="","N",IFERROR(IF(INDEX(Counterparties!$E:$E,MATCH($F256&amp;"",Counterparties!$A:$A,0))="Y","Y","N"),"N"))</f>
        <v>N</v>
      </c>
      <c r="R256" s="25" t="n">
        <f aca="false">IF(OR($H256="",$H256="EUR"),1,IFERROR(INDEX(FX_Rates!$D:$D,MATCH($H256,FX_Rates!$A:$A,0)),""))</f>
        <v>1</v>
      </c>
      <c r="S256" s="26" t="str">
        <f aca="false">IF(AND($I256="",$J256=""),"",IF($J256&lt;&gt;"",$J256,IF(OR($R256="",$R256=0),"",ROUND($I256/$R256,2))))</f>
        <v/>
      </c>
      <c r="T256" s="24" t="str">
        <f aca="false">IF($N256="","",IFERROR(INDEX(VAT_Codes!$C:$C,MATCH($N256,VAT_Codes!$A:$A,0)),"")&amp;"")</f>
        <v/>
      </c>
      <c r="U256" s="26" t="n">
        <f aca="false">IF(OR($S256="",$T256="",$T256="None"),0,IF($T256="Output",-$S256,$S256))</f>
        <v>0</v>
      </c>
      <c r="V256" s="27" t="n">
        <f aca="false">IF($N256="",0,IFERROR(INDEX(VAT_Codes!$D:$D,MATCH($N256,VAT_Codes!$A:$A,0)),0))</f>
        <v>0</v>
      </c>
      <c r="W256" s="26" t="n">
        <f aca="false">IF($U256=0,0,IF(IFERROR(INDEX(VAT_Codes!$F:$F,MATCH($N256,VAT_Codes!$A:$A,0)),"N")="Y",$U256,IF($L256&lt;&gt;"",ROUND(ABS($L256)/IF(OR($R256="",$R256=0),1,$R256),2)*SIGN($U256),ROUND($U256*$V256,2))))</f>
        <v>0</v>
      </c>
      <c r="X256" s="24" t="str">
        <f aca="false">IF($N256="","",IFERROR(INDEX(VAT_Codes!$H:$H,MATCH($N256,VAT_Codes!$A:$A,0)),"")&amp;"")</f>
        <v/>
      </c>
      <c r="Y256" s="24" t="str">
        <f aca="false">IF($A256="","",(YEAR($A256)-YEAR(Settings!$C$8))*12+MONTH($A256)-MONTH(Settings!$C$8)+1)</f>
        <v/>
      </c>
      <c r="Z256" s="24" t="str">
        <f aca="false">IF(AND($C256="",$I256="",$J256=""),"",IF($N256="","NO VAT CODE",IF($T256="","UNKNOWN VAT CODE",IF($S256="","MISSING FX RATE",IF(OR($A256&lt;Settings!$C$8,$A256&gt;Settings!$C$9),"OUTSIDE PERIOD",IF(AND(IFERROR(INDEX(VAT_Codes!$E:$E,MATCH($N256,VAT_Codes!$A:$A,0)),"ANY")&lt;&gt;"ANY",$P256=""),"MISSING COUNTERPARTY COUNTRY",IF(AND(IFERROR(INDEX(VAT_Codes!$E:$E,MATCH($N256,VAT_Codes!$A:$A,0)),"ANY")&lt;&gt;"ANY",$P256&lt;&gt;IFERROR(INDEX(VAT_Codes!$E:$E,MATCH($N256,VAT_Codes!$A:$A,0)),"ANY")),"REGION MISMATCH","OK")))))))</f>
        <v/>
      </c>
    </row>
    <row r="257" customFormat="false" ht="15" hidden="false" customHeight="false" outlineLevel="0" collapsed="false">
      <c r="M257" s="24" t="str">
        <f aca="false">IF($C257="","",IFERROR(INDEX(Account_Mapping!$C:$C,MATCH($C257&amp;"",Account_Mapping!$A:$A,0))&amp;"",""))</f>
        <v/>
      </c>
      <c r="N257" s="24" t="str">
        <f aca="false">IF($K257&lt;&gt;"",$K257,$M257)</f>
        <v/>
      </c>
      <c r="O257" s="24" t="str">
        <f aca="false">IF($F257="","",IFERROR(INDEX(Counterparties!$C:$C,MATCH($F257&amp;"",Counterparties!$A:$A,0))&amp;"",""))</f>
        <v/>
      </c>
      <c r="P257" s="24" t="str">
        <f aca="false">IF($O257="","",IF($O257="CY","CY",IF(ISNUMBER(MATCH($O257,Lists!$A:$A,0)),"EU","3RD")))</f>
        <v/>
      </c>
      <c r="Q257" s="24" t="str">
        <f aca="false">IF($F257="","N",IFERROR(IF(INDEX(Counterparties!$E:$E,MATCH($F257&amp;"",Counterparties!$A:$A,0))="Y","Y","N"),"N"))</f>
        <v>N</v>
      </c>
      <c r="R257" s="25" t="n">
        <f aca="false">IF(OR($H257="",$H257="EUR"),1,IFERROR(INDEX(FX_Rates!$D:$D,MATCH($H257,FX_Rates!$A:$A,0)),""))</f>
        <v>1</v>
      </c>
      <c r="S257" s="26" t="str">
        <f aca="false">IF(AND($I257="",$J257=""),"",IF($J257&lt;&gt;"",$J257,IF(OR($R257="",$R257=0),"",ROUND($I257/$R257,2))))</f>
        <v/>
      </c>
      <c r="T257" s="24" t="str">
        <f aca="false">IF($N257="","",IFERROR(INDEX(VAT_Codes!$C:$C,MATCH($N257,VAT_Codes!$A:$A,0)),"")&amp;"")</f>
        <v/>
      </c>
      <c r="U257" s="26" t="n">
        <f aca="false">IF(OR($S257="",$T257="",$T257="None"),0,IF($T257="Output",-$S257,$S257))</f>
        <v>0</v>
      </c>
      <c r="V257" s="27" t="n">
        <f aca="false">IF($N257="",0,IFERROR(INDEX(VAT_Codes!$D:$D,MATCH($N257,VAT_Codes!$A:$A,0)),0))</f>
        <v>0</v>
      </c>
      <c r="W257" s="26" t="n">
        <f aca="false">IF($U257=0,0,IF(IFERROR(INDEX(VAT_Codes!$F:$F,MATCH($N257,VAT_Codes!$A:$A,0)),"N")="Y",$U257,IF($L257&lt;&gt;"",ROUND(ABS($L257)/IF(OR($R257="",$R257=0),1,$R257),2)*SIGN($U257),ROUND($U257*$V257,2))))</f>
        <v>0</v>
      </c>
      <c r="X257" s="24" t="str">
        <f aca="false">IF($N257="","",IFERROR(INDEX(VAT_Codes!$H:$H,MATCH($N257,VAT_Codes!$A:$A,0)),"")&amp;"")</f>
        <v/>
      </c>
      <c r="Y257" s="24" t="str">
        <f aca="false">IF($A257="","",(YEAR($A257)-YEAR(Settings!$C$8))*12+MONTH($A257)-MONTH(Settings!$C$8)+1)</f>
        <v/>
      </c>
      <c r="Z257" s="24" t="str">
        <f aca="false">IF(AND($C257="",$I257="",$J257=""),"",IF($N257="","NO VAT CODE",IF($T257="","UNKNOWN VAT CODE",IF($S257="","MISSING FX RATE",IF(OR($A257&lt;Settings!$C$8,$A257&gt;Settings!$C$9),"OUTSIDE PERIOD",IF(AND(IFERROR(INDEX(VAT_Codes!$E:$E,MATCH($N257,VAT_Codes!$A:$A,0)),"ANY")&lt;&gt;"ANY",$P257=""),"MISSING COUNTERPARTY COUNTRY",IF(AND(IFERROR(INDEX(VAT_Codes!$E:$E,MATCH($N257,VAT_Codes!$A:$A,0)),"ANY")&lt;&gt;"ANY",$P257&lt;&gt;IFERROR(INDEX(VAT_Codes!$E:$E,MATCH($N257,VAT_Codes!$A:$A,0)),"ANY")),"REGION MISMATCH","OK")))))))</f>
        <v/>
      </c>
    </row>
    <row r="258" customFormat="false" ht="15" hidden="false" customHeight="false" outlineLevel="0" collapsed="false">
      <c r="M258" s="24" t="str">
        <f aca="false">IF($C258="","",IFERROR(INDEX(Account_Mapping!$C:$C,MATCH($C258&amp;"",Account_Mapping!$A:$A,0))&amp;"",""))</f>
        <v/>
      </c>
      <c r="N258" s="24" t="str">
        <f aca="false">IF($K258&lt;&gt;"",$K258,$M258)</f>
        <v/>
      </c>
      <c r="O258" s="24" t="str">
        <f aca="false">IF($F258="","",IFERROR(INDEX(Counterparties!$C:$C,MATCH($F258&amp;"",Counterparties!$A:$A,0))&amp;"",""))</f>
        <v/>
      </c>
      <c r="P258" s="24" t="str">
        <f aca="false">IF($O258="","",IF($O258="CY","CY",IF(ISNUMBER(MATCH($O258,Lists!$A:$A,0)),"EU","3RD")))</f>
        <v/>
      </c>
      <c r="Q258" s="24" t="str">
        <f aca="false">IF($F258="","N",IFERROR(IF(INDEX(Counterparties!$E:$E,MATCH($F258&amp;"",Counterparties!$A:$A,0))="Y","Y","N"),"N"))</f>
        <v>N</v>
      </c>
      <c r="R258" s="25" t="n">
        <f aca="false">IF(OR($H258="",$H258="EUR"),1,IFERROR(INDEX(FX_Rates!$D:$D,MATCH($H258,FX_Rates!$A:$A,0)),""))</f>
        <v>1</v>
      </c>
      <c r="S258" s="26" t="str">
        <f aca="false">IF(AND($I258="",$J258=""),"",IF($J258&lt;&gt;"",$J258,IF(OR($R258="",$R258=0),"",ROUND($I258/$R258,2))))</f>
        <v/>
      </c>
      <c r="T258" s="24" t="str">
        <f aca="false">IF($N258="","",IFERROR(INDEX(VAT_Codes!$C:$C,MATCH($N258,VAT_Codes!$A:$A,0)),"")&amp;"")</f>
        <v/>
      </c>
      <c r="U258" s="26" t="n">
        <f aca="false">IF(OR($S258="",$T258="",$T258="None"),0,IF($T258="Output",-$S258,$S258))</f>
        <v>0</v>
      </c>
      <c r="V258" s="27" t="n">
        <f aca="false">IF($N258="",0,IFERROR(INDEX(VAT_Codes!$D:$D,MATCH($N258,VAT_Codes!$A:$A,0)),0))</f>
        <v>0</v>
      </c>
      <c r="W258" s="26" t="n">
        <f aca="false">IF($U258=0,0,IF(IFERROR(INDEX(VAT_Codes!$F:$F,MATCH($N258,VAT_Codes!$A:$A,0)),"N")="Y",$U258,IF($L258&lt;&gt;"",ROUND(ABS($L258)/IF(OR($R258="",$R258=0),1,$R258),2)*SIGN($U258),ROUND($U258*$V258,2))))</f>
        <v>0</v>
      </c>
      <c r="X258" s="24" t="str">
        <f aca="false">IF($N258="","",IFERROR(INDEX(VAT_Codes!$H:$H,MATCH($N258,VAT_Codes!$A:$A,0)),"")&amp;"")</f>
        <v/>
      </c>
      <c r="Y258" s="24" t="str">
        <f aca="false">IF($A258="","",(YEAR($A258)-YEAR(Settings!$C$8))*12+MONTH($A258)-MONTH(Settings!$C$8)+1)</f>
        <v/>
      </c>
      <c r="Z258" s="24" t="str">
        <f aca="false">IF(AND($C258="",$I258="",$J258=""),"",IF($N258="","NO VAT CODE",IF($T258="","UNKNOWN VAT CODE",IF($S258="","MISSING FX RATE",IF(OR($A258&lt;Settings!$C$8,$A258&gt;Settings!$C$9),"OUTSIDE PERIOD",IF(AND(IFERROR(INDEX(VAT_Codes!$E:$E,MATCH($N258,VAT_Codes!$A:$A,0)),"ANY")&lt;&gt;"ANY",$P258=""),"MISSING COUNTERPARTY COUNTRY",IF(AND(IFERROR(INDEX(VAT_Codes!$E:$E,MATCH($N258,VAT_Codes!$A:$A,0)),"ANY")&lt;&gt;"ANY",$P258&lt;&gt;IFERROR(INDEX(VAT_Codes!$E:$E,MATCH($N258,VAT_Codes!$A:$A,0)),"ANY")),"REGION MISMATCH","OK")))))))</f>
        <v/>
      </c>
    </row>
    <row r="259" customFormat="false" ht="15" hidden="false" customHeight="false" outlineLevel="0" collapsed="false">
      <c r="M259" s="24" t="str">
        <f aca="false">IF($C259="","",IFERROR(INDEX(Account_Mapping!$C:$C,MATCH($C259&amp;"",Account_Mapping!$A:$A,0))&amp;"",""))</f>
        <v/>
      </c>
      <c r="N259" s="24" t="str">
        <f aca="false">IF($K259&lt;&gt;"",$K259,$M259)</f>
        <v/>
      </c>
      <c r="O259" s="24" t="str">
        <f aca="false">IF($F259="","",IFERROR(INDEX(Counterparties!$C:$C,MATCH($F259&amp;"",Counterparties!$A:$A,0))&amp;"",""))</f>
        <v/>
      </c>
      <c r="P259" s="24" t="str">
        <f aca="false">IF($O259="","",IF($O259="CY","CY",IF(ISNUMBER(MATCH($O259,Lists!$A:$A,0)),"EU","3RD")))</f>
        <v/>
      </c>
      <c r="Q259" s="24" t="str">
        <f aca="false">IF($F259="","N",IFERROR(IF(INDEX(Counterparties!$E:$E,MATCH($F259&amp;"",Counterparties!$A:$A,0))="Y","Y","N"),"N"))</f>
        <v>N</v>
      </c>
      <c r="R259" s="25" t="n">
        <f aca="false">IF(OR($H259="",$H259="EUR"),1,IFERROR(INDEX(FX_Rates!$D:$D,MATCH($H259,FX_Rates!$A:$A,0)),""))</f>
        <v>1</v>
      </c>
      <c r="S259" s="26" t="str">
        <f aca="false">IF(AND($I259="",$J259=""),"",IF($J259&lt;&gt;"",$J259,IF(OR($R259="",$R259=0),"",ROUND($I259/$R259,2))))</f>
        <v/>
      </c>
      <c r="T259" s="24" t="str">
        <f aca="false">IF($N259="","",IFERROR(INDEX(VAT_Codes!$C:$C,MATCH($N259,VAT_Codes!$A:$A,0)),"")&amp;"")</f>
        <v/>
      </c>
      <c r="U259" s="26" t="n">
        <f aca="false">IF(OR($S259="",$T259="",$T259="None"),0,IF($T259="Output",-$S259,$S259))</f>
        <v>0</v>
      </c>
      <c r="V259" s="27" t="n">
        <f aca="false">IF($N259="",0,IFERROR(INDEX(VAT_Codes!$D:$D,MATCH($N259,VAT_Codes!$A:$A,0)),0))</f>
        <v>0</v>
      </c>
      <c r="W259" s="26" t="n">
        <f aca="false">IF($U259=0,0,IF(IFERROR(INDEX(VAT_Codes!$F:$F,MATCH($N259,VAT_Codes!$A:$A,0)),"N")="Y",$U259,IF($L259&lt;&gt;"",ROUND(ABS($L259)/IF(OR($R259="",$R259=0),1,$R259),2)*SIGN($U259),ROUND($U259*$V259,2))))</f>
        <v>0</v>
      </c>
      <c r="X259" s="24" t="str">
        <f aca="false">IF($N259="","",IFERROR(INDEX(VAT_Codes!$H:$H,MATCH($N259,VAT_Codes!$A:$A,0)),"")&amp;"")</f>
        <v/>
      </c>
      <c r="Y259" s="24" t="str">
        <f aca="false">IF($A259="","",(YEAR($A259)-YEAR(Settings!$C$8))*12+MONTH($A259)-MONTH(Settings!$C$8)+1)</f>
        <v/>
      </c>
      <c r="Z259" s="24" t="str">
        <f aca="false">IF(AND($C259="",$I259="",$J259=""),"",IF($N259="","NO VAT CODE",IF($T259="","UNKNOWN VAT CODE",IF($S259="","MISSING FX RATE",IF(OR($A259&lt;Settings!$C$8,$A259&gt;Settings!$C$9),"OUTSIDE PERIOD",IF(AND(IFERROR(INDEX(VAT_Codes!$E:$E,MATCH($N259,VAT_Codes!$A:$A,0)),"ANY")&lt;&gt;"ANY",$P259=""),"MISSING COUNTERPARTY COUNTRY",IF(AND(IFERROR(INDEX(VAT_Codes!$E:$E,MATCH($N259,VAT_Codes!$A:$A,0)),"ANY")&lt;&gt;"ANY",$P259&lt;&gt;IFERROR(INDEX(VAT_Codes!$E:$E,MATCH($N259,VAT_Codes!$A:$A,0)),"ANY")),"REGION MISMATCH","OK")))))))</f>
        <v/>
      </c>
    </row>
    <row r="260" customFormat="false" ht="15" hidden="false" customHeight="false" outlineLevel="0" collapsed="false">
      <c r="M260" s="24" t="str">
        <f aca="false">IF($C260="","",IFERROR(INDEX(Account_Mapping!$C:$C,MATCH($C260&amp;"",Account_Mapping!$A:$A,0))&amp;"",""))</f>
        <v/>
      </c>
      <c r="N260" s="24" t="str">
        <f aca="false">IF($K260&lt;&gt;"",$K260,$M260)</f>
        <v/>
      </c>
      <c r="O260" s="24" t="str">
        <f aca="false">IF($F260="","",IFERROR(INDEX(Counterparties!$C:$C,MATCH($F260&amp;"",Counterparties!$A:$A,0))&amp;"",""))</f>
        <v/>
      </c>
      <c r="P260" s="24" t="str">
        <f aca="false">IF($O260="","",IF($O260="CY","CY",IF(ISNUMBER(MATCH($O260,Lists!$A:$A,0)),"EU","3RD")))</f>
        <v/>
      </c>
      <c r="Q260" s="24" t="str">
        <f aca="false">IF($F260="","N",IFERROR(IF(INDEX(Counterparties!$E:$E,MATCH($F260&amp;"",Counterparties!$A:$A,0))="Y","Y","N"),"N"))</f>
        <v>N</v>
      </c>
      <c r="R260" s="25" t="n">
        <f aca="false">IF(OR($H260="",$H260="EUR"),1,IFERROR(INDEX(FX_Rates!$D:$D,MATCH($H260,FX_Rates!$A:$A,0)),""))</f>
        <v>1</v>
      </c>
      <c r="S260" s="26" t="str">
        <f aca="false">IF(AND($I260="",$J260=""),"",IF($J260&lt;&gt;"",$J260,IF(OR($R260="",$R260=0),"",ROUND($I260/$R260,2))))</f>
        <v/>
      </c>
      <c r="T260" s="24" t="str">
        <f aca="false">IF($N260="","",IFERROR(INDEX(VAT_Codes!$C:$C,MATCH($N260,VAT_Codes!$A:$A,0)),"")&amp;"")</f>
        <v/>
      </c>
      <c r="U260" s="26" t="n">
        <f aca="false">IF(OR($S260="",$T260="",$T260="None"),0,IF($T260="Output",-$S260,$S260))</f>
        <v>0</v>
      </c>
      <c r="V260" s="27" t="n">
        <f aca="false">IF($N260="",0,IFERROR(INDEX(VAT_Codes!$D:$D,MATCH($N260,VAT_Codes!$A:$A,0)),0))</f>
        <v>0</v>
      </c>
      <c r="W260" s="26" t="n">
        <f aca="false">IF($U260=0,0,IF(IFERROR(INDEX(VAT_Codes!$F:$F,MATCH($N260,VAT_Codes!$A:$A,0)),"N")="Y",$U260,IF($L260&lt;&gt;"",ROUND(ABS($L260)/IF(OR($R260="",$R260=0),1,$R260),2)*SIGN($U260),ROUND($U260*$V260,2))))</f>
        <v>0</v>
      </c>
      <c r="X260" s="24" t="str">
        <f aca="false">IF($N260="","",IFERROR(INDEX(VAT_Codes!$H:$H,MATCH($N260,VAT_Codes!$A:$A,0)),"")&amp;"")</f>
        <v/>
      </c>
      <c r="Y260" s="24" t="str">
        <f aca="false">IF($A260="","",(YEAR($A260)-YEAR(Settings!$C$8))*12+MONTH($A260)-MONTH(Settings!$C$8)+1)</f>
        <v/>
      </c>
      <c r="Z260" s="24" t="str">
        <f aca="false">IF(AND($C260="",$I260="",$J260=""),"",IF($N260="","NO VAT CODE",IF($T260="","UNKNOWN VAT CODE",IF($S260="","MISSING FX RATE",IF(OR($A260&lt;Settings!$C$8,$A260&gt;Settings!$C$9),"OUTSIDE PERIOD",IF(AND(IFERROR(INDEX(VAT_Codes!$E:$E,MATCH($N260,VAT_Codes!$A:$A,0)),"ANY")&lt;&gt;"ANY",$P260=""),"MISSING COUNTERPARTY COUNTRY",IF(AND(IFERROR(INDEX(VAT_Codes!$E:$E,MATCH($N260,VAT_Codes!$A:$A,0)),"ANY")&lt;&gt;"ANY",$P260&lt;&gt;IFERROR(INDEX(VAT_Codes!$E:$E,MATCH($N260,VAT_Codes!$A:$A,0)),"ANY")),"REGION MISMATCH","OK")))))))</f>
        <v/>
      </c>
    </row>
    <row r="261" customFormat="false" ht="15" hidden="false" customHeight="false" outlineLevel="0" collapsed="false">
      <c r="M261" s="24" t="str">
        <f aca="false">IF($C261="","",IFERROR(INDEX(Account_Mapping!$C:$C,MATCH($C261&amp;"",Account_Mapping!$A:$A,0))&amp;"",""))</f>
        <v/>
      </c>
      <c r="N261" s="24" t="str">
        <f aca="false">IF($K261&lt;&gt;"",$K261,$M261)</f>
        <v/>
      </c>
      <c r="O261" s="24" t="str">
        <f aca="false">IF($F261="","",IFERROR(INDEX(Counterparties!$C:$C,MATCH($F261&amp;"",Counterparties!$A:$A,0))&amp;"",""))</f>
        <v/>
      </c>
      <c r="P261" s="24" t="str">
        <f aca="false">IF($O261="","",IF($O261="CY","CY",IF(ISNUMBER(MATCH($O261,Lists!$A:$A,0)),"EU","3RD")))</f>
        <v/>
      </c>
      <c r="Q261" s="24" t="str">
        <f aca="false">IF($F261="","N",IFERROR(IF(INDEX(Counterparties!$E:$E,MATCH($F261&amp;"",Counterparties!$A:$A,0))="Y","Y","N"),"N"))</f>
        <v>N</v>
      </c>
      <c r="R261" s="25" t="n">
        <f aca="false">IF(OR($H261="",$H261="EUR"),1,IFERROR(INDEX(FX_Rates!$D:$D,MATCH($H261,FX_Rates!$A:$A,0)),""))</f>
        <v>1</v>
      </c>
      <c r="S261" s="26" t="str">
        <f aca="false">IF(AND($I261="",$J261=""),"",IF($J261&lt;&gt;"",$J261,IF(OR($R261="",$R261=0),"",ROUND($I261/$R261,2))))</f>
        <v/>
      </c>
      <c r="T261" s="24" t="str">
        <f aca="false">IF($N261="","",IFERROR(INDEX(VAT_Codes!$C:$C,MATCH($N261,VAT_Codes!$A:$A,0)),"")&amp;"")</f>
        <v/>
      </c>
      <c r="U261" s="26" t="n">
        <f aca="false">IF(OR($S261="",$T261="",$T261="None"),0,IF($T261="Output",-$S261,$S261))</f>
        <v>0</v>
      </c>
      <c r="V261" s="27" t="n">
        <f aca="false">IF($N261="",0,IFERROR(INDEX(VAT_Codes!$D:$D,MATCH($N261,VAT_Codes!$A:$A,0)),0))</f>
        <v>0</v>
      </c>
      <c r="W261" s="26" t="n">
        <f aca="false">IF($U261=0,0,IF(IFERROR(INDEX(VAT_Codes!$F:$F,MATCH($N261,VAT_Codes!$A:$A,0)),"N")="Y",$U261,IF($L261&lt;&gt;"",ROUND(ABS($L261)/IF(OR($R261="",$R261=0),1,$R261),2)*SIGN($U261),ROUND($U261*$V261,2))))</f>
        <v>0</v>
      </c>
      <c r="X261" s="24" t="str">
        <f aca="false">IF($N261="","",IFERROR(INDEX(VAT_Codes!$H:$H,MATCH($N261,VAT_Codes!$A:$A,0)),"")&amp;"")</f>
        <v/>
      </c>
      <c r="Y261" s="24" t="str">
        <f aca="false">IF($A261="","",(YEAR($A261)-YEAR(Settings!$C$8))*12+MONTH($A261)-MONTH(Settings!$C$8)+1)</f>
        <v/>
      </c>
      <c r="Z261" s="24" t="str">
        <f aca="false">IF(AND($C261="",$I261="",$J261=""),"",IF($N261="","NO VAT CODE",IF($T261="","UNKNOWN VAT CODE",IF($S261="","MISSING FX RATE",IF(OR($A261&lt;Settings!$C$8,$A261&gt;Settings!$C$9),"OUTSIDE PERIOD",IF(AND(IFERROR(INDEX(VAT_Codes!$E:$E,MATCH($N261,VAT_Codes!$A:$A,0)),"ANY")&lt;&gt;"ANY",$P261=""),"MISSING COUNTERPARTY COUNTRY",IF(AND(IFERROR(INDEX(VAT_Codes!$E:$E,MATCH($N261,VAT_Codes!$A:$A,0)),"ANY")&lt;&gt;"ANY",$P261&lt;&gt;IFERROR(INDEX(VAT_Codes!$E:$E,MATCH($N261,VAT_Codes!$A:$A,0)),"ANY")),"REGION MISMATCH","OK")))))))</f>
        <v/>
      </c>
    </row>
    <row r="262" customFormat="false" ht="15" hidden="false" customHeight="false" outlineLevel="0" collapsed="false">
      <c r="M262" s="24" t="str">
        <f aca="false">IF($C262="","",IFERROR(INDEX(Account_Mapping!$C:$C,MATCH($C262&amp;"",Account_Mapping!$A:$A,0))&amp;"",""))</f>
        <v/>
      </c>
      <c r="N262" s="24" t="str">
        <f aca="false">IF($K262&lt;&gt;"",$K262,$M262)</f>
        <v/>
      </c>
      <c r="O262" s="24" t="str">
        <f aca="false">IF($F262="","",IFERROR(INDEX(Counterparties!$C:$C,MATCH($F262&amp;"",Counterparties!$A:$A,0))&amp;"",""))</f>
        <v/>
      </c>
      <c r="P262" s="24" t="str">
        <f aca="false">IF($O262="","",IF($O262="CY","CY",IF(ISNUMBER(MATCH($O262,Lists!$A:$A,0)),"EU","3RD")))</f>
        <v/>
      </c>
      <c r="Q262" s="24" t="str">
        <f aca="false">IF($F262="","N",IFERROR(IF(INDEX(Counterparties!$E:$E,MATCH($F262&amp;"",Counterparties!$A:$A,0))="Y","Y","N"),"N"))</f>
        <v>N</v>
      </c>
      <c r="R262" s="25" t="n">
        <f aca="false">IF(OR($H262="",$H262="EUR"),1,IFERROR(INDEX(FX_Rates!$D:$D,MATCH($H262,FX_Rates!$A:$A,0)),""))</f>
        <v>1</v>
      </c>
      <c r="S262" s="26" t="str">
        <f aca="false">IF(AND($I262="",$J262=""),"",IF($J262&lt;&gt;"",$J262,IF(OR($R262="",$R262=0),"",ROUND($I262/$R262,2))))</f>
        <v/>
      </c>
      <c r="T262" s="24" t="str">
        <f aca="false">IF($N262="","",IFERROR(INDEX(VAT_Codes!$C:$C,MATCH($N262,VAT_Codes!$A:$A,0)),"")&amp;"")</f>
        <v/>
      </c>
      <c r="U262" s="26" t="n">
        <f aca="false">IF(OR($S262="",$T262="",$T262="None"),0,IF($T262="Output",-$S262,$S262))</f>
        <v>0</v>
      </c>
      <c r="V262" s="27" t="n">
        <f aca="false">IF($N262="",0,IFERROR(INDEX(VAT_Codes!$D:$D,MATCH($N262,VAT_Codes!$A:$A,0)),0))</f>
        <v>0</v>
      </c>
      <c r="W262" s="26" t="n">
        <f aca="false">IF($U262=0,0,IF(IFERROR(INDEX(VAT_Codes!$F:$F,MATCH($N262,VAT_Codes!$A:$A,0)),"N")="Y",$U262,IF($L262&lt;&gt;"",ROUND(ABS($L262)/IF(OR($R262="",$R262=0),1,$R262),2)*SIGN($U262),ROUND($U262*$V262,2))))</f>
        <v>0</v>
      </c>
      <c r="X262" s="24" t="str">
        <f aca="false">IF($N262="","",IFERROR(INDEX(VAT_Codes!$H:$H,MATCH($N262,VAT_Codes!$A:$A,0)),"")&amp;"")</f>
        <v/>
      </c>
      <c r="Y262" s="24" t="str">
        <f aca="false">IF($A262="","",(YEAR($A262)-YEAR(Settings!$C$8))*12+MONTH($A262)-MONTH(Settings!$C$8)+1)</f>
        <v/>
      </c>
      <c r="Z262" s="24" t="str">
        <f aca="false">IF(AND($C262="",$I262="",$J262=""),"",IF($N262="","NO VAT CODE",IF($T262="","UNKNOWN VAT CODE",IF($S262="","MISSING FX RATE",IF(OR($A262&lt;Settings!$C$8,$A262&gt;Settings!$C$9),"OUTSIDE PERIOD",IF(AND(IFERROR(INDEX(VAT_Codes!$E:$E,MATCH($N262,VAT_Codes!$A:$A,0)),"ANY")&lt;&gt;"ANY",$P262=""),"MISSING COUNTERPARTY COUNTRY",IF(AND(IFERROR(INDEX(VAT_Codes!$E:$E,MATCH($N262,VAT_Codes!$A:$A,0)),"ANY")&lt;&gt;"ANY",$P262&lt;&gt;IFERROR(INDEX(VAT_Codes!$E:$E,MATCH($N262,VAT_Codes!$A:$A,0)),"ANY")),"REGION MISMATCH","OK")))))))</f>
        <v/>
      </c>
    </row>
    <row r="263" customFormat="false" ht="15" hidden="false" customHeight="false" outlineLevel="0" collapsed="false">
      <c r="M263" s="24" t="str">
        <f aca="false">IF($C263="","",IFERROR(INDEX(Account_Mapping!$C:$C,MATCH($C263&amp;"",Account_Mapping!$A:$A,0))&amp;"",""))</f>
        <v/>
      </c>
      <c r="N263" s="24" t="str">
        <f aca="false">IF($K263&lt;&gt;"",$K263,$M263)</f>
        <v/>
      </c>
      <c r="O263" s="24" t="str">
        <f aca="false">IF($F263="","",IFERROR(INDEX(Counterparties!$C:$C,MATCH($F263&amp;"",Counterparties!$A:$A,0))&amp;"",""))</f>
        <v/>
      </c>
      <c r="P263" s="24" t="str">
        <f aca="false">IF($O263="","",IF($O263="CY","CY",IF(ISNUMBER(MATCH($O263,Lists!$A:$A,0)),"EU","3RD")))</f>
        <v/>
      </c>
      <c r="Q263" s="24" t="str">
        <f aca="false">IF($F263="","N",IFERROR(IF(INDEX(Counterparties!$E:$E,MATCH($F263&amp;"",Counterparties!$A:$A,0))="Y","Y","N"),"N"))</f>
        <v>N</v>
      </c>
      <c r="R263" s="25" t="n">
        <f aca="false">IF(OR($H263="",$H263="EUR"),1,IFERROR(INDEX(FX_Rates!$D:$D,MATCH($H263,FX_Rates!$A:$A,0)),""))</f>
        <v>1</v>
      </c>
      <c r="S263" s="26" t="str">
        <f aca="false">IF(AND($I263="",$J263=""),"",IF($J263&lt;&gt;"",$J263,IF(OR($R263="",$R263=0),"",ROUND($I263/$R263,2))))</f>
        <v/>
      </c>
      <c r="T263" s="24" t="str">
        <f aca="false">IF($N263="","",IFERROR(INDEX(VAT_Codes!$C:$C,MATCH($N263,VAT_Codes!$A:$A,0)),"")&amp;"")</f>
        <v/>
      </c>
      <c r="U263" s="26" t="n">
        <f aca="false">IF(OR($S263="",$T263="",$T263="None"),0,IF($T263="Output",-$S263,$S263))</f>
        <v>0</v>
      </c>
      <c r="V263" s="27" t="n">
        <f aca="false">IF($N263="",0,IFERROR(INDEX(VAT_Codes!$D:$D,MATCH($N263,VAT_Codes!$A:$A,0)),0))</f>
        <v>0</v>
      </c>
      <c r="W263" s="26" t="n">
        <f aca="false">IF($U263=0,0,IF(IFERROR(INDEX(VAT_Codes!$F:$F,MATCH($N263,VAT_Codes!$A:$A,0)),"N")="Y",$U263,IF($L263&lt;&gt;"",ROUND(ABS($L263)/IF(OR($R263="",$R263=0),1,$R263),2)*SIGN($U263),ROUND($U263*$V263,2))))</f>
        <v>0</v>
      </c>
      <c r="X263" s="24" t="str">
        <f aca="false">IF($N263="","",IFERROR(INDEX(VAT_Codes!$H:$H,MATCH($N263,VAT_Codes!$A:$A,0)),"")&amp;"")</f>
        <v/>
      </c>
      <c r="Y263" s="24" t="str">
        <f aca="false">IF($A263="","",(YEAR($A263)-YEAR(Settings!$C$8))*12+MONTH($A263)-MONTH(Settings!$C$8)+1)</f>
        <v/>
      </c>
      <c r="Z263" s="24" t="str">
        <f aca="false">IF(AND($C263="",$I263="",$J263=""),"",IF($N263="","NO VAT CODE",IF($T263="","UNKNOWN VAT CODE",IF($S263="","MISSING FX RATE",IF(OR($A263&lt;Settings!$C$8,$A263&gt;Settings!$C$9),"OUTSIDE PERIOD",IF(AND(IFERROR(INDEX(VAT_Codes!$E:$E,MATCH($N263,VAT_Codes!$A:$A,0)),"ANY")&lt;&gt;"ANY",$P263=""),"MISSING COUNTERPARTY COUNTRY",IF(AND(IFERROR(INDEX(VAT_Codes!$E:$E,MATCH($N263,VAT_Codes!$A:$A,0)),"ANY")&lt;&gt;"ANY",$P263&lt;&gt;IFERROR(INDEX(VAT_Codes!$E:$E,MATCH($N263,VAT_Codes!$A:$A,0)),"ANY")),"REGION MISMATCH","OK")))))))</f>
        <v/>
      </c>
    </row>
    <row r="264" customFormat="false" ht="15" hidden="false" customHeight="false" outlineLevel="0" collapsed="false">
      <c r="M264" s="24" t="str">
        <f aca="false">IF($C264="","",IFERROR(INDEX(Account_Mapping!$C:$C,MATCH($C264&amp;"",Account_Mapping!$A:$A,0))&amp;"",""))</f>
        <v/>
      </c>
      <c r="N264" s="24" t="str">
        <f aca="false">IF($K264&lt;&gt;"",$K264,$M264)</f>
        <v/>
      </c>
      <c r="O264" s="24" t="str">
        <f aca="false">IF($F264="","",IFERROR(INDEX(Counterparties!$C:$C,MATCH($F264&amp;"",Counterparties!$A:$A,0))&amp;"",""))</f>
        <v/>
      </c>
      <c r="P264" s="24" t="str">
        <f aca="false">IF($O264="","",IF($O264="CY","CY",IF(ISNUMBER(MATCH($O264,Lists!$A:$A,0)),"EU","3RD")))</f>
        <v/>
      </c>
      <c r="Q264" s="24" t="str">
        <f aca="false">IF($F264="","N",IFERROR(IF(INDEX(Counterparties!$E:$E,MATCH($F264&amp;"",Counterparties!$A:$A,0))="Y","Y","N"),"N"))</f>
        <v>N</v>
      </c>
      <c r="R264" s="25" t="n">
        <f aca="false">IF(OR($H264="",$H264="EUR"),1,IFERROR(INDEX(FX_Rates!$D:$D,MATCH($H264,FX_Rates!$A:$A,0)),""))</f>
        <v>1</v>
      </c>
      <c r="S264" s="26" t="str">
        <f aca="false">IF(AND($I264="",$J264=""),"",IF($J264&lt;&gt;"",$J264,IF(OR($R264="",$R264=0),"",ROUND($I264/$R264,2))))</f>
        <v/>
      </c>
      <c r="T264" s="24" t="str">
        <f aca="false">IF($N264="","",IFERROR(INDEX(VAT_Codes!$C:$C,MATCH($N264,VAT_Codes!$A:$A,0)),"")&amp;"")</f>
        <v/>
      </c>
      <c r="U264" s="26" t="n">
        <f aca="false">IF(OR($S264="",$T264="",$T264="None"),0,IF($T264="Output",-$S264,$S264))</f>
        <v>0</v>
      </c>
      <c r="V264" s="27" t="n">
        <f aca="false">IF($N264="",0,IFERROR(INDEX(VAT_Codes!$D:$D,MATCH($N264,VAT_Codes!$A:$A,0)),0))</f>
        <v>0</v>
      </c>
      <c r="W264" s="26" t="n">
        <f aca="false">IF($U264=0,0,IF(IFERROR(INDEX(VAT_Codes!$F:$F,MATCH($N264,VAT_Codes!$A:$A,0)),"N")="Y",$U264,IF($L264&lt;&gt;"",ROUND(ABS($L264)/IF(OR($R264="",$R264=0),1,$R264),2)*SIGN($U264),ROUND($U264*$V264,2))))</f>
        <v>0</v>
      </c>
      <c r="X264" s="24" t="str">
        <f aca="false">IF($N264="","",IFERROR(INDEX(VAT_Codes!$H:$H,MATCH($N264,VAT_Codes!$A:$A,0)),"")&amp;"")</f>
        <v/>
      </c>
      <c r="Y264" s="24" t="str">
        <f aca="false">IF($A264="","",(YEAR($A264)-YEAR(Settings!$C$8))*12+MONTH($A264)-MONTH(Settings!$C$8)+1)</f>
        <v/>
      </c>
      <c r="Z264" s="24" t="str">
        <f aca="false">IF(AND($C264="",$I264="",$J264=""),"",IF($N264="","NO VAT CODE",IF($T264="","UNKNOWN VAT CODE",IF($S264="","MISSING FX RATE",IF(OR($A264&lt;Settings!$C$8,$A264&gt;Settings!$C$9),"OUTSIDE PERIOD",IF(AND(IFERROR(INDEX(VAT_Codes!$E:$E,MATCH($N264,VAT_Codes!$A:$A,0)),"ANY")&lt;&gt;"ANY",$P264=""),"MISSING COUNTERPARTY COUNTRY",IF(AND(IFERROR(INDEX(VAT_Codes!$E:$E,MATCH($N264,VAT_Codes!$A:$A,0)),"ANY")&lt;&gt;"ANY",$P264&lt;&gt;IFERROR(INDEX(VAT_Codes!$E:$E,MATCH($N264,VAT_Codes!$A:$A,0)),"ANY")),"REGION MISMATCH","OK")))))))</f>
        <v/>
      </c>
    </row>
    <row r="265" customFormat="false" ht="15" hidden="false" customHeight="false" outlineLevel="0" collapsed="false">
      <c r="M265" s="24" t="str">
        <f aca="false">IF($C265="","",IFERROR(INDEX(Account_Mapping!$C:$C,MATCH($C265&amp;"",Account_Mapping!$A:$A,0))&amp;"",""))</f>
        <v/>
      </c>
      <c r="N265" s="24" t="str">
        <f aca="false">IF($K265&lt;&gt;"",$K265,$M265)</f>
        <v/>
      </c>
      <c r="O265" s="24" t="str">
        <f aca="false">IF($F265="","",IFERROR(INDEX(Counterparties!$C:$C,MATCH($F265&amp;"",Counterparties!$A:$A,0))&amp;"",""))</f>
        <v/>
      </c>
      <c r="P265" s="24" t="str">
        <f aca="false">IF($O265="","",IF($O265="CY","CY",IF(ISNUMBER(MATCH($O265,Lists!$A:$A,0)),"EU","3RD")))</f>
        <v/>
      </c>
      <c r="Q265" s="24" t="str">
        <f aca="false">IF($F265="","N",IFERROR(IF(INDEX(Counterparties!$E:$E,MATCH($F265&amp;"",Counterparties!$A:$A,0))="Y","Y","N"),"N"))</f>
        <v>N</v>
      </c>
      <c r="R265" s="25" t="n">
        <f aca="false">IF(OR($H265="",$H265="EUR"),1,IFERROR(INDEX(FX_Rates!$D:$D,MATCH($H265,FX_Rates!$A:$A,0)),""))</f>
        <v>1</v>
      </c>
      <c r="S265" s="26" t="str">
        <f aca="false">IF(AND($I265="",$J265=""),"",IF($J265&lt;&gt;"",$J265,IF(OR($R265="",$R265=0),"",ROUND($I265/$R265,2))))</f>
        <v/>
      </c>
      <c r="T265" s="24" t="str">
        <f aca="false">IF($N265="","",IFERROR(INDEX(VAT_Codes!$C:$C,MATCH($N265,VAT_Codes!$A:$A,0)),"")&amp;"")</f>
        <v/>
      </c>
      <c r="U265" s="26" t="n">
        <f aca="false">IF(OR($S265="",$T265="",$T265="None"),0,IF($T265="Output",-$S265,$S265))</f>
        <v>0</v>
      </c>
      <c r="V265" s="27" t="n">
        <f aca="false">IF($N265="",0,IFERROR(INDEX(VAT_Codes!$D:$D,MATCH($N265,VAT_Codes!$A:$A,0)),0))</f>
        <v>0</v>
      </c>
      <c r="W265" s="26" t="n">
        <f aca="false">IF($U265=0,0,IF(IFERROR(INDEX(VAT_Codes!$F:$F,MATCH($N265,VAT_Codes!$A:$A,0)),"N")="Y",$U265,IF($L265&lt;&gt;"",ROUND(ABS($L265)/IF(OR($R265="",$R265=0),1,$R265),2)*SIGN($U265),ROUND($U265*$V265,2))))</f>
        <v>0</v>
      </c>
      <c r="X265" s="24" t="str">
        <f aca="false">IF($N265="","",IFERROR(INDEX(VAT_Codes!$H:$H,MATCH($N265,VAT_Codes!$A:$A,0)),"")&amp;"")</f>
        <v/>
      </c>
      <c r="Y265" s="24" t="str">
        <f aca="false">IF($A265="","",(YEAR($A265)-YEAR(Settings!$C$8))*12+MONTH($A265)-MONTH(Settings!$C$8)+1)</f>
        <v/>
      </c>
      <c r="Z265" s="24" t="str">
        <f aca="false">IF(AND($C265="",$I265="",$J265=""),"",IF($N265="","NO VAT CODE",IF($T265="","UNKNOWN VAT CODE",IF($S265="","MISSING FX RATE",IF(OR($A265&lt;Settings!$C$8,$A265&gt;Settings!$C$9),"OUTSIDE PERIOD",IF(AND(IFERROR(INDEX(VAT_Codes!$E:$E,MATCH($N265,VAT_Codes!$A:$A,0)),"ANY")&lt;&gt;"ANY",$P265=""),"MISSING COUNTERPARTY COUNTRY",IF(AND(IFERROR(INDEX(VAT_Codes!$E:$E,MATCH($N265,VAT_Codes!$A:$A,0)),"ANY")&lt;&gt;"ANY",$P265&lt;&gt;IFERROR(INDEX(VAT_Codes!$E:$E,MATCH($N265,VAT_Codes!$A:$A,0)),"ANY")),"REGION MISMATCH","OK")))))))</f>
        <v/>
      </c>
    </row>
    <row r="266" customFormat="false" ht="15" hidden="false" customHeight="false" outlineLevel="0" collapsed="false">
      <c r="M266" s="24" t="str">
        <f aca="false">IF($C266="","",IFERROR(INDEX(Account_Mapping!$C:$C,MATCH($C266&amp;"",Account_Mapping!$A:$A,0))&amp;"",""))</f>
        <v/>
      </c>
      <c r="N266" s="24" t="str">
        <f aca="false">IF($K266&lt;&gt;"",$K266,$M266)</f>
        <v/>
      </c>
      <c r="O266" s="24" t="str">
        <f aca="false">IF($F266="","",IFERROR(INDEX(Counterparties!$C:$C,MATCH($F266&amp;"",Counterparties!$A:$A,0))&amp;"",""))</f>
        <v/>
      </c>
      <c r="P266" s="24" t="str">
        <f aca="false">IF($O266="","",IF($O266="CY","CY",IF(ISNUMBER(MATCH($O266,Lists!$A:$A,0)),"EU","3RD")))</f>
        <v/>
      </c>
      <c r="Q266" s="24" t="str">
        <f aca="false">IF($F266="","N",IFERROR(IF(INDEX(Counterparties!$E:$E,MATCH($F266&amp;"",Counterparties!$A:$A,0))="Y","Y","N"),"N"))</f>
        <v>N</v>
      </c>
      <c r="R266" s="25" t="n">
        <f aca="false">IF(OR($H266="",$H266="EUR"),1,IFERROR(INDEX(FX_Rates!$D:$D,MATCH($H266,FX_Rates!$A:$A,0)),""))</f>
        <v>1</v>
      </c>
      <c r="S266" s="26" t="str">
        <f aca="false">IF(AND($I266="",$J266=""),"",IF($J266&lt;&gt;"",$J266,IF(OR($R266="",$R266=0),"",ROUND($I266/$R266,2))))</f>
        <v/>
      </c>
      <c r="T266" s="24" t="str">
        <f aca="false">IF($N266="","",IFERROR(INDEX(VAT_Codes!$C:$C,MATCH($N266,VAT_Codes!$A:$A,0)),"")&amp;"")</f>
        <v/>
      </c>
      <c r="U266" s="26" t="n">
        <f aca="false">IF(OR($S266="",$T266="",$T266="None"),0,IF($T266="Output",-$S266,$S266))</f>
        <v>0</v>
      </c>
      <c r="V266" s="27" t="n">
        <f aca="false">IF($N266="",0,IFERROR(INDEX(VAT_Codes!$D:$D,MATCH($N266,VAT_Codes!$A:$A,0)),0))</f>
        <v>0</v>
      </c>
      <c r="W266" s="26" t="n">
        <f aca="false">IF($U266=0,0,IF(IFERROR(INDEX(VAT_Codes!$F:$F,MATCH($N266,VAT_Codes!$A:$A,0)),"N")="Y",$U266,IF($L266&lt;&gt;"",ROUND(ABS($L266)/IF(OR($R266="",$R266=0),1,$R266),2)*SIGN($U266),ROUND($U266*$V266,2))))</f>
        <v>0</v>
      </c>
      <c r="X266" s="24" t="str">
        <f aca="false">IF($N266="","",IFERROR(INDEX(VAT_Codes!$H:$H,MATCH($N266,VAT_Codes!$A:$A,0)),"")&amp;"")</f>
        <v/>
      </c>
      <c r="Y266" s="24" t="str">
        <f aca="false">IF($A266="","",(YEAR($A266)-YEAR(Settings!$C$8))*12+MONTH($A266)-MONTH(Settings!$C$8)+1)</f>
        <v/>
      </c>
      <c r="Z266" s="24" t="str">
        <f aca="false">IF(AND($C266="",$I266="",$J266=""),"",IF($N266="","NO VAT CODE",IF($T266="","UNKNOWN VAT CODE",IF($S266="","MISSING FX RATE",IF(OR($A266&lt;Settings!$C$8,$A266&gt;Settings!$C$9),"OUTSIDE PERIOD",IF(AND(IFERROR(INDEX(VAT_Codes!$E:$E,MATCH($N266,VAT_Codes!$A:$A,0)),"ANY")&lt;&gt;"ANY",$P266=""),"MISSING COUNTERPARTY COUNTRY",IF(AND(IFERROR(INDEX(VAT_Codes!$E:$E,MATCH($N266,VAT_Codes!$A:$A,0)),"ANY")&lt;&gt;"ANY",$P266&lt;&gt;IFERROR(INDEX(VAT_Codes!$E:$E,MATCH($N266,VAT_Codes!$A:$A,0)),"ANY")),"REGION MISMATCH","OK")))))))</f>
        <v/>
      </c>
    </row>
    <row r="267" customFormat="false" ht="15" hidden="false" customHeight="false" outlineLevel="0" collapsed="false">
      <c r="M267" s="24" t="str">
        <f aca="false">IF($C267="","",IFERROR(INDEX(Account_Mapping!$C:$C,MATCH($C267&amp;"",Account_Mapping!$A:$A,0))&amp;"",""))</f>
        <v/>
      </c>
      <c r="N267" s="24" t="str">
        <f aca="false">IF($K267&lt;&gt;"",$K267,$M267)</f>
        <v/>
      </c>
      <c r="O267" s="24" t="str">
        <f aca="false">IF($F267="","",IFERROR(INDEX(Counterparties!$C:$C,MATCH($F267&amp;"",Counterparties!$A:$A,0))&amp;"",""))</f>
        <v/>
      </c>
      <c r="P267" s="24" t="str">
        <f aca="false">IF($O267="","",IF($O267="CY","CY",IF(ISNUMBER(MATCH($O267,Lists!$A:$A,0)),"EU","3RD")))</f>
        <v/>
      </c>
      <c r="Q267" s="24" t="str">
        <f aca="false">IF($F267="","N",IFERROR(IF(INDEX(Counterparties!$E:$E,MATCH($F267&amp;"",Counterparties!$A:$A,0))="Y","Y","N"),"N"))</f>
        <v>N</v>
      </c>
      <c r="R267" s="25" t="n">
        <f aca="false">IF(OR($H267="",$H267="EUR"),1,IFERROR(INDEX(FX_Rates!$D:$D,MATCH($H267,FX_Rates!$A:$A,0)),""))</f>
        <v>1</v>
      </c>
      <c r="S267" s="26" t="str">
        <f aca="false">IF(AND($I267="",$J267=""),"",IF($J267&lt;&gt;"",$J267,IF(OR($R267="",$R267=0),"",ROUND($I267/$R267,2))))</f>
        <v/>
      </c>
      <c r="T267" s="24" t="str">
        <f aca="false">IF($N267="","",IFERROR(INDEX(VAT_Codes!$C:$C,MATCH($N267,VAT_Codes!$A:$A,0)),"")&amp;"")</f>
        <v/>
      </c>
      <c r="U267" s="26" t="n">
        <f aca="false">IF(OR($S267="",$T267="",$T267="None"),0,IF($T267="Output",-$S267,$S267))</f>
        <v>0</v>
      </c>
      <c r="V267" s="27" t="n">
        <f aca="false">IF($N267="",0,IFERROR(INDEX(VAT_Codes!$D:$D,MATCH($N267,VAT_Codes!$A:$A,0)),0))</f>
        <v>0</v>
      </c>
      <c r="W267" s="26" t="n">
        <f aca="false">IF($U267=0,0,IF(IFERROR(INDEX(VAT_Codes!$F:$F,MATCH($N267,VAT_Codes!$A:$A,0)),"N")="Y",$U267,IF($L267&lt;&gt;"",ROUND(ABS($L267)/IF(OR($R267="",$R267=0),1,$R267),2)*SIGN($U267),ROUND($U267*$V267,2))))</f>
        <v>0</v>
      </c>
      <c r="X267" s="24" t="str">
        <f aca="false">IF($N267="","",IFERROR(INDEX(VAT_Codes!$H:$H,MATCH($N267,VAT_Codes!$A:$A,0)),"")&amp;"")</f>
        <v/>
      </c>
      <c r="Y267" s="24" t="str">
        <f aca="false">IF($A267="","",(YEAR($A267)-YEAR(Settings!$C$8))*12+MONTH($A267)-MONTH(Settings!$C$8)+1)</f>
        <v/>
      </c>
      <c r="Z267" s="24" t="str">
        <f aca="false">IF(AND($C267="",$I267="",$J267=""),"",IF($N267="","NO VAT CODE",IF($T267="","UNKNOWN VAT CODE",IF($S267="","MISSING FX RATE",IF(OR($A267&lt;Settings!$C$8,$A267&gt;Settings!$C$9),"OUTSIDE PERIOD",IF(AND(IFERROR(INDEX(VAT_Codes!$E:$E,MATCH($N267,VAT_Codes!$A:$A,0)),"ANY")&lt;&gt;"ANY",$P267=""),"MISSING COUNTERPARTY COUNTRY",IF(AND(IFERROR(INDEX(VAT_Codes!$E:$E,MATCH($N267,VAT_Codes!$A:$A,0)),"ANY")&lt;&gt;"ANY",$P267&lt;&gt;IFERROR(INDEX(VAT_Codes!$E:$E,MATCH($N267,VAT_Codes!$A:$A,0)),"ANY")),"REGION MISMATCH","OK")))))))</f>
        <v/>
      </c>
    </row>
    <row r="268" customFormat="false" ht="15" hidden="false" customHeight="false" outlineLevel="0" collapsed="false">
      <c r="M268" s="24" t="str">
        <f aca="false">IF($C268="","",IFERROR(INDEX(Account_Mapping!$C:$C,MATCH($C268&amp;"",Account_Mapping!$A:$A,0))&amp;"",""))</f>
        <v/>
      </c>
      <c r="N268" s="24" t="str">
        <f aca="false">IF($K268&lt;&gt;"",$K268,$M268)</f>
        <v/>
      </c>
      <c r="O268" s="24" t="str">
        <f aca="false">IF($F268="","",IFERROR(INDEX(Counterparties!$C:$C,MATCH($F268&amp;"",Counterparties!$A:$A,0))&amp;"",""))</f>
        <v/>
      </c>
      <c r="P268" s="24" t="str">
        <f aca="false">IF($O268="","",IF($O268="CY","CY",IF(ISNUMBER(MATCH($O268,Lists!$A:$A,0)),"EU","3RD")))</f>
        <v/>
      </c>
      <c r="Q268" s="24" t="str">
        <f aca="false">IF($F268="","N",IFERROR(IF(INDEX(Counterparties!$E:$E,MATCH($F268&amp;"",Counterparties!$A:$A,0))="Y","Y","N"),"N"))</f>
        <v>N</v>
      </c>
      <c r="R268" s="25" t="n">
        <f aca="false">IF(OR($H268="",$H268="EUR"),1,IFERROR(INDEX(FX_Rates!$D:$D,MATCH($H268,FX_Rates!$A:$A,0)),""))</f>
        <v>1</v>
      </c>
      <c r="S268" s="26" t="str">
        <f aca="false">IF(AND($I268="",$J268=""),"",IF($J268&lt;&gt;"",$J268,IF(OR($R268="",$R268=0),"",ROUND($I268/$R268,2))))</f>
        <v/>
      </c>
      <c r="T268" s="24" t="str">
        <f aca="false">IF($N268="","",IFERROR(INDEX(VAT_Codes!$C:$C,MATCH($N268,VAT_Codes!$A:$A,0)),"")&amp;"")</f>
        <v/>
      </c>
      <c r="U268" s="26" t="n">
        <f aca="false">IF(OR($S268="",$T268="",$T268="None"),0,IF($T268="Output",-$S268,$S268))</f>
        <v>0</v>
      </c>
      <c r="V268" s="27" t="n">
        <f aca="false">IF($N268="",0,IFERROR(INDEX(VAT_Codes!$D:$D,MATCH($N268,VAT_Codes!$A:$A,0)),0))</f>
        <v>0</v>
      </c>
      <c r="W268" s="26" t="n">
        <f aca="false">IF($U268=0,0,IF(IFERROR(INDEX(VAT_Codes!$F:$F,MATCH($N268,VAT_Codes!$A:$A,0)),"N")="Y",$U268,IF($L268&lt;&gt;"",ROUND(ABS($L268)/IF(OR($R268="",$R268=0),1,$R268),2)*SIGN($U268),ROUND($U268*$V268,2))))</f>
        <v>0</v>
      </c>
      <c r="X268" s="24" t="str">
        <f aca="false">IF($N268="","",IFERROR(INDEX(VAT_Codes!$H:$H,MATCH($N268,VAT_Codes!$A:$A,0)),"")&amp;"")</f>
        <v/>
      </c>
      <c r="Y268" s="24" t="str">
        <f aca="false">IF($A268="","",(YEAR($A268)-YEAR(Settings!$C$8))*12+MONTH($A268)-MONTH(Settings!$C$8)+1)</f>
        <v/>
      </c>
      <c r="Z268" s="24" t="str">
        <f aca="false">IF(AND($C268="",$I268="",$J268=""),"",IF($N268="","NO VAT CODE",IF($T268="","UNKNOWN VAT CODE",IF($S268="","MISSING FX RATE",IF(OR($A268&lt;Settings!$C$8,$A268&gt;Settings!$C$9),"OUTSIDE PERIOD",IF(AND(IFERROR(INDEX(VAT_Codes!$E:$E,MATCH($N268,VAT_Codes!$A:$A,0)),"ANY")&lt;&gt;"ANY",$P268=""),"MISSING COUNTERPARTY COUNTRY",IF(AND(IFERROR(INDEX(VAT_Codes!$E:$E,MATCH($N268,VAT_Codes!$A:$A,0)),"ANY")&lt;&gt;"ANY",$P268&lt;&gt;IFERROR(INDEX(VAT_Codes!$E:$E,MATCH($N268,VAT_Codes!$A:$A,0)),"ANY")),"REGION MISMATCH","OK")))))))</f>
        <v/>
      </c>
    </row>
    <row r="269" customFormat="false" ht="15" hidden="false" customHeight="false" outlineLevel="0" collapsed="false">
      <c r="M269" s="24" t="str">
        <f aca="false">IF($C269="","",IFERROR(INDEX(Account_Mapping!$C:$C,MATCH($C269&amp;"",Account_Mapping!$A:$A,0))&amp;"",""))</f>
        <v/>
      </c>
      <c r="N269" s="24" t="str">
        <f aca="false">IF($K269&lt;&gt;"",$K269,$M269)</f>
        <v/>
      </c>
      <c r="O269" s="24" t="str">
        <f aca="false">IF($F269="","",IFERROR(INDEX(Counterparties!$C:$C,MATCH($F269&amp;"",Counterparties!$A:$A,0))&amp;"",""))</f>
        <v/>
      </c>
      <c r="P269" s="24" t="str">
        <f aca="false">IF($O269="","",IF($O269="CY","CY",IF(ISNUMBER(MATCH($O269,Lists!$A:$A,0)),"EU","3RD")))</f>
        <v/>
      </c>
      <c r="Q269" s="24" t="str">
        <f aca="false">IF($F269="","N",IFERROR(IF(INDEX(Counterparties!$E:$E,MATCH($F269&amp;"",Counterparties!$A:$A,0))="Y","Y","N"),"N"))</f>
        <v>N</v>
      </c>
      <c r="R269" s="25" t="n">
        <f aca="false">IF(OR($H269="",$H269="EUR"),1,IFERROR(INDEX(FX_Rates!$D:$D,MATCH($H269,FX_Rates!$A:$A,0)),""))</f>
        <v>1</v>
      </c>
      <c r="S269" s="26" t="str">
        <f aca="false">IF(AND($I269="",$J269=""),"",IF($J269&lt;&gt;"",$J269,IF(OR($R269="",$R269=0),"",ROUND($I269/$R269,2))))</f>
        <v/>
      </c>
      <c r="T269" s="24" t="str">
        <f aca="false">IF($N269="","",IFERROR(INDEX(VAT_Codes!$C:$C,MATCH($N269,VAT_Codes!$A:$A,0)),"")&amp;"")</f>
        <v/>
      </c>
      <c r="U269" s="26" t="n">
        <f aca="false">IF(OR($S269="",$T269="",$T269="None"),0,IF($T269="Output",-$S269,$S269))</f>
        <v>0</v>
      </c>
      <c r="V269" s="27" t="n">
        <f aca="false">IF($N269="",0,IFERROR(INDEX(VAT_Codes!$D:$D,MATCH($N269,VAT_Codes!$A:$A,0)),0))</f>
        <v>0</v>
      </c>
      <c r="W269" s="26" t="n">
        <f aca="false">IF($U269=0,0,IF(IFERROR(INDEX(VAT_Codes!$F:$F,MATCH($N269,VAT_Codes!$A:$A,0)),"N")="Y",$U269,IF($L269&lt;&gt;"",ROUND(ABS($L269)/IF(OR($R269="",$R269=0),1,$R269),2)*SIGN($U269),ROUND($U269*$V269,2))))</f>
        <v>0</v>
      </c>
      <c r="X269" s="24" t="str">
        <f aca="false">IF($N269="","",IFERROR(INDEX(VAT_Codes!$H:$H,MATCH($N269,VAT_Codes!$A:$A,0)),"")&amp;"")</f>
        <v/>
      </c>
      <c r="Y269" s="24" t="str">
        <f aca="false">IF($A269="","",(YEAR($A269)-YEAR(Settings!$C$8))*12+MONTH($A269)-MONTH(Settings!$C$8)+1)</f>
        <v/>
      </c>
      <c r="Z269" s="24" t="str">
        <f aca="false">IF(AND($C269="",$I269="",$J269=""),"",IF($N269="","NO VAT CODE",IF($T269="","UNKNOWN VAT CODE",IF($S269="","MISSING FX RATE",IF(OR($A269&lt;Settings!$C$8,$A269&gt;Settings!$C$9),"OUTSIDE PERIOD",IF(AND(IFERROR(INDEX(VAT_Codes!$E:$E,MATCH($N269,VAT_Codes!$A:$A,0)),"ANY")&lt;&gt;"ANY",$P269=""),"MISSING COUNTERPARTY COUNTRY",IF(AND(IFERROR(INDEX(VAT_Codes!$E:$E,MATCH($N269,VAT_Codes!$A:$A,0)),"ANY")&lt;&gt;"ANY",$P269&lt;&gt;IFERROR(INDEX(VAT_Codes!$E:$E,MATCH($N269,VAT_Codes!$A:$A,0)),"ANY")),"REGION MISMATCH","OK")))))))</f>
        <v/>
      </c>
    </row>
    <row r="270" customFormat="false" ht="15" hidden="false" customHeight="false" outlineLevel="0" collapsed="false">
      <c r="M270" s="24" t="str">
        <f aca="false">IF($C270="","",IFERROR(INDEX(Account_Mapping!$C:$C,MATCH($C270&amp;"",Account_Mapping!$A:$A,0))&amp;"",""))</f>
        <v/>
      </c>
      <c r="N270" s="24" t="str">
        <f aca="false">IF($K270&lt;&gt;"",$K270,$M270)</f>
        <v/>
      </c>
      <c r="O270" s="24" t="str">
        <f aca="false">IF($F270="","",IFERROR(INDEX(Counterparties!$C:$C,MATCH($F270&amp;"",Counterparties!$A:$A,0))&amp;"",""))</f>
        <v/>
      </c>
      <c r="P270" s="24" t="str">
        <f aca="false">IF($O270="","",IF($O270="CY","CY",IF(ISNUMBER(MATCH($O270,Lists!$A:$A,0)),"EU","3RD")))</f>
        <v/>
      </c>
      <c r="Q270" s="24" t="str">
        <f aca="false">IF($F270="","N",IFERROR(IF(INDEX(Counterparties!$E:$E,MATCH($F270&amp;"",Counterparties!$A:$A,0))="Y","Y","N"),"N"))</f>
        <v>N</v>
      </c>
      <c r="R270" s="25" t="n">
        <f aca="false">IF(OR($H270="",$H270="EUR"),1,IFERROR(INDEX(FX_Rates!$D:$D,MATCH($H270,FX_Rates!$A:$A,0)),""))</f>
        <v>1</v>
      </c>
      <c r="S270" s="26" t="str">
        <f aca="false">IF(AND($I270="",$J270=""),"",IF($J270&lt;&gt;"",$J270,IF(OR($R270="",$R270=0),"",ROUND($I270/$R270,2))))</f>
        <v/>
      </c>
      <c r="T270" s="24" t="str">
        <f aca="false">IF($N270="","",IFERROR(INDEX(VAT_Codes!$C:$C,MATCH($N270,VAT_Codes!$A:$A,0)),"")&amp;"")</f>
        <v/>
      </c>
      <c r="U270" s="26" t="n">
        <f aca="false">IF(OR($S270="",$T270="",$T270="None"),0,IF($T270="Output",-$S270,$S270))</f>
        <v>0</v>
      </c>
      <c r="V270" s="27" t="n">
        <f aca="false">IF($N270="",0,IFERROR(INDEX(VAT_Codes!$D:$D,MATCH($N270,VAT_Codes!$A:$A,0)),0))</f>
        <v>0</v>
      </c>
      <c r="W270" s="26" t="n">
        <f aca="false">IF($U270=0,0,IF(IFERROR(INDEX(VAT_Codes!$F:$F,MATCH($N270,VAT_Codes!$A:$A,0)),"N")="Y",$U270,IF($L270&lt;&gt;"",ROUND(ABS($L270)/IF(OR($R270="",$R270=0),1,$R270),2)*SIGN($U270),ROUND($U270*$V270,2))))</f>
        <v>0</v>
      </c>
      <c r="X270" s="24" t="str">
        <f aca="false">IF($N270="","",IFERROR(INDEX(VAT_Codes!$H:$H,MATCH($N270,VAT_Codes!$A:$A,0)),"")&amp;"")</f>
        <v/>
      </c>
      <c r="Y270" s="24" t="str">
        <f aca="false">IF($A270="","",(YEAR($A270)-YEAR(Settings!$C$8))*12+MONTH($A270)-MONTH(Settings!$C$8)+1)</f>
        <v/>
      </c>
      <c r="Z270" s="24" t="str">
        <f aca="false">IF(AND($C270="",$I270="",$J270=""),"",IF($N270="","NO VAT CODE",IF($T270="","UNKNOWN VAT CODE",IF($S270="","MISSING FX RATE",IF(OR($A270&lt;Settings!$C$8,$A270&gt;Settings!$C$9),"OUTSIDE PERIOD",IF(AND(IFERROR(INDEX(VAT_Codes!$E:$E,MATCH($N270,VAT_Codes!$A:$A,0)),"ANY")&lt;&gt;"ANY",$P270=""),"MISSING COUNTERPARTY COUNTRY",IF(AND(IFERROR(INDEX(VAT_Codes!$E:$E,MATCH($N270,VAT_Codes!$A:$A,0)),"ANY")&lt;&gt;"ANY",$P270&lt;&gt;IFERROR(INDEX(VAT_Codes!$E:$E,MATCH($N270,VAT_Codes!$A:$A,0)),"ANY")),"REGION MISMATCH","OK")))))))</f>
        <v/>
      </c>
    </row>
    <row r="271" customFormat="false" ht="15" hidden="false" customHeight="false" outlineLevel="0" collapsed="false">
      <c r="M271" s="24" t="str">
        <f aca="false">IF($C271="","",IFERROR(INDEX(Account_Mapping!$C:$C,MATCH($C271&amp;"",Account_Mapping!$A:$A,0))&amp;"",""))</f>
        <v/>
      </c>
      <c r="N271" s="24" t="str">
        <f aca="false">IF($K271&lt;&gt;"",$K271,$M271)</f>
        <v/>
      </c>
      <c r="O271" s="24" t="str">
        <f aca="false">IF($F271="","",IFERROR(INDEX(Counterparties!$C:$C,MATCH($F271&amp;"",Counterparties!$A:$A,0))&amp;"",""))</f>
        <v/>
      </c>
      <c r="P271" s="24" t="str">
        <f aca="false">IF($O271="","",IF($O271="CY","CY",IF(ISNUMBER(MATCH($O271,Lists!$A:$A,0)),"EU","3RD")))</f>
        <v/>
      </c>
      <c r="Q271" s="24" t="str">
        <f aca="false">IF($F271="","N",IFERROR(IF(INDEX(Counterparties!$E:$E,MATCH($F271&amp;"",Counterparties!$A:$A,0))="Y","Y","N"),"N"))</f>
        <v>N</v>
      </c>
      <c r="R271" s="25" t="n">
        <f aca="false">IF(OR($H271="",$H271="EUR"),1,IFERROR(INDEX(FX_Rates!$D:$D,MATCH($H271,FX_Rates!$A:$A,0)),""))</f>
        <v>1</v>
      </c>
      <c r="S271" s="26" t="str">
        <f aca="false">IF(AND($I271="",$J271=""),"",IF($J271&lt;&gt;"",$J271,IF(OR($R271="",$R271=0),"",ROUND($I271/$R271,2))))</f>
        <v/>
      </c>
      <c r="T271" s="24" t="str">
        <f aca="false">IF($N271="","",IFERROR(INDEX(VAT_Codes!$C:$C,MATCH($N271,VAT_Codes!$A:$A,0)),"")&amp;"")</f>
        <v/>
      </c>
      <c r="U271" s="26" t="n">
        <f aca="false">IF(OR($S271="",$T271="",$T271="None"),0,IF($T271="Output",-$S271,$S271))</f>
        <v>0</v>
      </c>
      <c r="V271" s="27" t="n">
        <f aca="false">IF($N271="",0,IFERROR(INDEX(VAT_Codes!$D:$D,MATCH($N271,VAT_Codes!$A:$A,0)),0))</f>
        <v>0</v>
      </c>
      <c r="W271" s="26" t="n">
        <f aca="false">IF($U271=0,0,IF(IFERROR(INDEX(VAT_Codes!$F:$F,MATCH($N271,VAT_Codes!$A:$A,0)),"N")="Y",$U271,IF($L271&lt;&gt;"",ROUND(ABS($L271)/IF(OR($R271="",$R271=0),1,$R271),2)*SIGN($U271),ROUND($U271*$V271,2))))</f>
        <v>0</v>
      </c>
      <c r="X271" s="24" t="str">
        <f aca="false">IF($N271="","",IFERROR(INDEX(VAT_Codes!$H:$H,MATCH($N271,VAT_Codes!$A:$A,0)),"")&amp;"")</f>
        <v/>
      </c>
      <c r="Y271" s="24" t="str">
        <f aca="false">IF($A271="","",(YEAR($A271)-YEAR(Settings!$C$8))*12+MONTH($A271)-MONTH(Settings!$C$8)+1)</f>
        <v/>
      </c>
      <c r="Z271" s="24" t="str">
        <f aca="false">IF(AND($C271="",$I271="",$J271=""),"",IF($N271="","NO VAT CODE",IF($T271="","UNKNOWN VAT CODE",IF($S271="","MISSING FX RATE",IF(OR($A271&lt;Settings!$C$8,$A271&gt;Settings!$C$9),"OUTSIDE PERIOD",IF(AND(IFERROR(INDEX(VAT_Codes!$E:$E,MATCH($N271,VAT_Codes!$A:$A,0)),"ANY")&lt;&gt;"ANY",$P271=""),"MISSING COUNTERPARTY COUNTRY",IF(AND(IFERROR(INDEX(VAT_Codes!$E:$E,MATCH($N271,VAT_Codes!$A:$A,0)),"ANY")&lt;&gt;"ANY",$P271&lt;&gt;IFERROR(INDEX(VAT_Codes!$E:$E,MATCH($N271,VAT_Codes!$A:$A,0)),"ANY")),"REGION MISMATCH","OK")))))))</f>
        <v/>
      </c>
    </row>
    <row r="272" customFormat="false" ht="15" hidden="false" customHeight="false" outlineLevel="0" collapsed="false">
      <c r="M272" s="24" t="str">
        <f aca="false">IF($C272="","",IFERROR(INDEX(Account_Mapping!$C:$C,MATCH($C272&amp;"",Account_Mapping!$A:$A,0))&amp;"",""))</f>
        <v/>
      </c>
      <c r="N272" s="24" t="str">
        <f aca="false">IF($K272&lt;&gt;"",$K272,$M272)</f>
        <v/>
      </c>
      <c r="O272" s="24" t="str">
        <f aca="false">IF($F272="","",IFERROR(INDEX(Counterparties!$C:$C,MATCH($F272&amp;"",Counterparties!$A:$A,0))&amp;"",""))</f>
        <v/>
      </c>
      <c r="P272" s="24" t="str">
        <f aca="false">IF($O272="","",IF($O272="CY","CY",IF(ISNUMBER(MATCH($O272,Lists!$A:$A,0)),"EU","3RD")))</f>
        <v/>
      </c>
      <c r="Q272" s="24" t="str">
        <f aca="false">IF($F272="","N",IFERROR(IF(INDEX(Counterparties!$E:$E,MATCH($F272&amp;"",Counterparties!$A:$A,0))="Y","Y","N"),"N"))</f>
        <v>N</v>
      </c>
      <c r="R272" s="25" t="n">
        <f aca="false">IF(OR($H272="",$H272="EUR"),1,IFERROR(INDEX(FX_Rates!$D:$D,MATCH($H272,FX_Rates!$A:$A,0)),""))</f>
        <v>1</v>
      </c>
      <c r="S272" s="26" t="str">
        <f aca="false">IF(AND($I272="",$J272=""),"",IF($J272&lt;&gt;"",$J272,IF(OR($R272="",$R272=0),"",ROUND($I272/$R272,2))))</f>
        <v/>
      </c>
      <c r="T272" s="24" t="str">
        <f aca="false">IF($N272="","",IFERROR(INDEX(VAT_Codes!$C:$C,MATCH($N272,VAT_Codes!$A:$A,0)),"")&amp;"")</f>
        <v/>
      </c>
      <c r="U272" s="26" t="n">
        <f aca="false">IF(OR($S272="",$T272="",$T272="None"),0,IF($T272="Output",-$S272,$S272))</f>
        <v>0</v>
      </c>
      <c r="V272" s="27" t="n">
        <f aca="false">IF($N272="",0,IFERROR(INDEX(VAT_Codes!$D:$D,MATCH($N272,VAT_Codes!$A:$A,0)),0))</f>
        <v>0</v>
      </c>
      <c r="W272" s="26" t="n">
        <f aca="false">IF($U272=0,0,IF(IFERROR(INDEX(VAT_Codes!$F:$F,MATCH($N272,VAT_Codes!$A:$A,0)),"N")="Y",$U272,IF($L272&lt;&gt;"",ROUND(ABS($L272)/IF(OR($R272="",$R272=0),1,$R272),2)*SIGN($U272),ROUND($U272*$V272,2))))</f>
        <v>0</v>
      </c>
      <c r="X272" s="24" t="str">
        <f aca="false">IF($N272="","",IFERROR(INDEX(VAT_Codes!$H:$H,MATCH($N272,VAT_Codes!$A:$A,0)),"")&amp;"")</f>
        <v/>
      </c>
      <c r="Y272" s="24" t="str">
        <f aca="false">IF($A272="","",(YEAR($A272)-YEAR(Settings!$C$8))*12+MONTH($A272)-MONTH(Settings!$C$8)+1)</f>
        <v/>
      </c>
      <c r="Z272" s="24" t="str">
        <f aca="false">IF(AND($C272="",$I272="",$J272=""),"",IF($N272="","NO VAT CODE",IF($T272="","UNKNOWN VAT CODE",IF($S272="","MISSING FX RATE",IF(OR($A272&lt;Settings!$C$8,$A272&gt;Settings!$C$9),"OUTSIDE PERIOD",IF(AND(IFERROR(INDEX(VAT_Codes!$E:$E,MATCH($N272,VAT_Codes!$A:$A,0)),"ANY")&lt;&gt;"ANY",$P272=""),"MISSING COUNTERPARTY COUNTRY",IF(AND(IFERROR(INDEX(VAT_Codes!$E:$E,MATCH($N272,VAT_Codes!$A:$A,0)),"ANY")&lt;&gt;"ANY",$P272&lt;&gt;IFERROR(INDEX(VAT_Codes!$E:$E,MATCH($N272,VAT_Codes!$A:$A,0)),"ANY")),"REGION MISMATCH","OK")))))))</f>
        <v/>
      </c>
    </row>
    <row r="273" customFormat="false" ht="15" hidden="false" customHeight="false" outlineLevel="0" collapsed="false">
      <c r="M273" s="24" t="str">
        <f aca="false">IF($C273="","",IFERROR(INDEX(Account_Mapping!$C:$C,MATCH($C273&amp;"",Account_Mapping!$A:$A,0))&amp;"",""))</f>
        <v/>
      </c>
      <c r="N273" s="24" t="str">
        <f aca="false">IF($K273&lt;&gt;"",$K273,$M273)</f>
        <v/>
      </c>
      <c r="O273" s="24" t="str">
        <f aca="false">IF($F273="","",IFERROR(INDEX(Counterparties!$C:$C,MATCH($F273&amp;"",Counterparties!$A:$A,0))&amp;"",""))</f>
        <v/>
      </c>
      <c r="P273" s="24" t="str">
        <f aca="false">IF($O273="","",IF($O273="CY","CY",IF(ISNUMBER(MATCH($O273,Lists!$A:$A,0)),"EU","3RD")))</f>
        <v/>
      </c>
      <c r="Q273" s="24" t="str">
        <f aca="false">IF($F273="","N",IFERROR(IF(INDEX(Counterparties!$E:$E,MATCH($F273&amp;"",Counterparties!$A:$A,0))="Y","Y","N"),"N"))</f>
        <v>N</v>
      </c>
      <c r="R273" s="25" t="n">
        <f aca="false">IF(OR($H273="",$H273="EUR"),1,IFERROR(INDEX(FX_Rates!$D:$D,MATCH($H273,FX_Rates!$A:$A,0)),""))</f>
        <v>1</v>
      </c>
      <c r="S273" s="26" t="str">
        <f aca="false">IF(AND($I273="",$J273=""),"",IF($J273&lt;&gt;"",$J273,IF(OR($R273="",$R273=0),"",ROUND($I273/$R273,2))))</f>
        <v/>
      </c>
      <c r="T273" s="24" t="str">
        <f aca="false">IF($N273="","",IFERROR(INDEX(VAT_Codes!$C:$C,MATCH($N273,VAT_Codes!$A:$A,0)),"")&amp;"")</f>
        <v/>
      </c>
      <c r="U273" s="26" t="n">
        <f aca="false">IF(OR($S273="",$T273="",$T273="None"),0,IF($T273="Output",-$S273,$S273))</f>
        <v>0</v>
      </c>
      <c r="V273" s="27" t="n">
        <f aca="false">IF($N273="",0,IFERROR(INDEX(VAT_Codes!$D:$D,MATCH($N273,VAT_Codes!$A:$A,0)),0))</f>
        <v>0</v>
      </c>
      <c r="W273" s="26" t="n">
        <f aca="false">IF($U273=0,0,IF(IFERROR(INDEX(VAT_Codes!$F:$F,MATCH($N273,VAT_Codes!$A:$A,0)),"N")="Y",$U273,IF($L273&lt;&gt;"",ROUND(ABS($L273)/IF(OR($R273="",$R273=0),1,$R273),2)*SIGN($U273),ROUND($U273*$V273,2))))</f>
        <v>0</v>
      </c>
      <c r="X273" s="24" t="str">
        <f aca="false">IF($N273="","",IFERROR(INDEX(VAT_Codes!$H:$H,MATCH($N273,VAT_Codes!$A:$A,0)),"")&amp;"")</f>
        <v/>
      </c>
      <c r="Y273" s="24" t="str">
        <f aca="false">IF($A273="","",(YEAR($A273)-YEAR(Settings!$C$8))*12+MONTH($A273)-MONTH(Settings!$C$8)+1)</f>
        <v/>
      </c>
      <c r="Z273" s="24" t="str">
        <f aca="false">IF(AND($C273="",$I273="",$J273=""),"",IF($N273="","NO VAT CODE",IF($T273="","UNKNOWN VAT CODE",IF($S273="","MISSING FX RATE",IF(OR($A273&lt;Settings!$C$8,$A273&gt;Settings!$C$9),"OUTSIDE PERIOD",IF(AND(IFERROR(INDEX(VAT_Codes!$E:$E,MATCH($N273,VAT_Codes!$A:$A,0)),"ANY")&lt;&gt;"ANY",$P273=""),"MISSING COUNTERPARTY COUNTRY",IF(AND(IFERROR(INDEX(VAT_Codes!$E:$E,MATCH($N273,VAT_Codes!$A:$A,0)),"ANY")&lt;&gt;"ANY",$P273&lt;&gt;IFERROR(INDEX(VAT_Codes!$E:$E,MATCH($N273,VAT_Codes!$A:$A,0)),"ANY")),"REGION MISMATCH","OK")))))))</f>
        <v/>
      </c>
    </row>
    <row r="274" customFormat="false" ht="15" hidden="false" customHeight="false" outlineLevel="0" collapsed="false">
      <c r="M274" s="24" t="str">
        <f aca="false">IF($C274="","",IFERROR(INDEX(Account_Mapping!$C:$C,MATCH($C274&amp;"",Account_Mapping!$A:$A,0))&amp;"",""))</f>
        <v/>
      </c>
      <c r="N274" s="24" t="str">
        <f aca="false">IF($K274&lt;&gt;"",$K274,$M274)</f>
        <v/>
      </c>
      <c r="O274" s="24" t="str">
        <f aca="false">IF($F274="","",IFERROR(INDEX(Counterparties!$C:$C,MATCH($F274&amp;"",Counterparties!$A:$A,0))&amp;"",""))</f>
        <v/>
      </c>
      <c r="P274" s="24" t="str">
        <f aca="false">IF($O274="","",IF($O274="CY","CY",IF(ISNUMBER(MATCH($O274,Lists!$A:$A,0)),"EU","3RD")))</f>
        <v/>
      </c>
      <c r="Q274" s="24" t="str">
        <f aca="false">IF($F274="","N",IFERROR(IF(INDEX(Counterparties!$E:$E,MATCH($F274&amp;"",Counterparties!$A:$A,0))="Y","Y","N"),"N"))</f>
        <v>N</v>
      </c>
      <c r="R274" s="25" t="n">
        <f aca="false">IF(OR($H274="",$H274="EUR"),1,IFERROR(INDEX(FX_Rates!$D:$D,MATCH($H274,FX_Rates!$A:$A,0)),""))</f>
        <v>1</v>
      </c>
      <c r="S274" s="26" t="str">
        <f aca="false">IF(AND($I274="",$J274=""),"",IF($J274&lt;&gt;"",$J274,IF(OR($R274="",$R274=0),"",ROUND($I274/$R274,2))))</f>
        <v/>
      </c>
      <c r="T274" s="24" t="str">
        <f aca="false">IF($N274="","",IFERROR(INDEX(VAT_Codes!$C:$C,MATCH($N274,VAT_Codes!$A:$A,0)),"")&amp;"")</f>
        <v/>
      </c>
      <c r="U274" s="26" t="n">
        <f aca="false">IF(OR($S274="",$T274="",$T274="None"),0,IF($T274="Output",-$S274,$S274))</f>
        <v>0</v>
      </c>
      <c r="V274" s="27" t="n">
        <f aca="false">IF($N274="",0,IFERROR(INDEX(VAT_Codes!$D:$D,MATCH($N274,VAT_Codes!$A:$A,0)),0))</f>
        <v>0</v>
      </c>
      <c r="W274" s="26" t="n">
        <f aca="false">IF($U274=0,0,IF(IFERROR(INDEX(VAT_Codes!$F:$F,MATCH($N274,VAT_Codes!$A:$A,0)),"N")="Y",$U274,IF($L274&lt;&gt;"",ROUND(ABS($L274)/IF(OR($R274="",$R274=0),1,$R274),2)*SIGN($U274),ROUND($U274*$V274,2))))</f>
        <v>0</v>
      </c>
      <c r="X274" s="24" t="str">
        <f aca="false">IF($N274="","",IFERROR(INDEX(VAT_Codes!$H:$H,MATCH($N274,VAT_Codes!$A:$A,0)),"")&amp;"")</f>
        <v/>
      </c>
      <c r="Y274" s="24" t="str">
        <f aca="false">IF($A274="","",(YEAR($A274)-YEAR(Settings!$C$8))*12+MONTH($A274)-MONTH(Settings!$C$8)+1)</f>
        <v/>
      </c>
      <c r="Z274" s="24" t="str">
        <f aca="false">IF(AND($C274="",$I274="",$J274=""),"",IF($N274="","NO VAT CODE",IF($T274="","UNKNOWN VAT CODE",IF($S274="","MISSING FX RATE",IF(OR($A274&lt;Settings!$C$8,$A274&gt;Settings!$C$9),"OUTSIDE PERIOD",IF(AND(IFERROR(INDEX(VAT_Codes!$E:$E,MATCH($N274,VAT_Codes!$A:$A,0)),"ANY")&lt;&gt;"ANY",$P274=""),"MISSING COUNTERPARTY COUNTRY",IF(AND(IFERROR(INDEX(VAT_Codes!$E:$E,MATCH($N274,VAT_Codes!$A:$A,0)),"ANY")&lt;&gt;"ANY",$P274&lt;&gt;IFERROR(INDEX(VAT_Codes!$E:$E,MATCH($N274,VAT_Codes!$A:$A,0)),"ANY")),"REGION MISMATCH","OK")))))))</f>
        <v/>
      </c>
    </row>
    <row r="275" customFormat="false" ht="15" hidden="false" customHeight="false" outlineLevel="0" collapsed="false">
      <c r="M275" s="24" t="str">
        <f aca="false">IF($C275="","",IFERROR(INDEX(Account_Mapping!$C:$C,MATCH($C275&amp;"",Account_Mapping!$A:$A,0))&amp;"",""))</f>
        <v/>
      </c>
      <c r="N275" s="24" t="str">
        <f aca="false">IF($K275&lt;&gt;"",$K275,$M275)</f>
        <v/>
      </c>
      <c r="O275" s="24" t="str">
        <f aca="false">IF($F275="","",IFERROR(INDEX(Counterparties!$C:$C,MATCH($F275&amp;"",Counterparties!$A:$A,0))&amp;"",""))</f>
        <v/>
      </c>
      <c r="P275" s="24" t="str">
        <f aca="false">IF($O275="","",IF($O275="CY","CY",IF(ISNUMBER(MATCH($O275,Lists!$A:$A,0)),"EU","3RD")))</f>
        <v/>
      </c>
      <c r="Q275" s="24" t="str">
        <f aca="false">IF($F275="","N",IFERROR(IF(INDEX(Counterparties!$E:$E,MATCH($F275&amp;"",Counterparties!$A:$A,0))="Y","Y","N"),"N"))</f>
        <v>N</v>
      </c>
      <c r="R275" s="25" t="n">
        <f aca="false">IF(OR($H275="",$H275="EUR"),1,IFERROR(INDEX(FX_Rates!$D:$D,MATCH($H275,FX_Rates!$A:$A,0)),""))</f>
        <v>1</v>
      </c>
      <c r="S275" s="26" t="str">
        <f aca="false">IF(AND($I275="",$J275=""),"",IF($J275&lt;&gt;"",$J275,IF(OR($R275="",$R275=0),"",ROUND($I275/$R275,2))))</f>
        <v/>
      </c>
      <c r="T275" s="24" t="str">
        <f aca="false">IF($N275="","",IFERROR(INDEX(VAT_Codes!$C:$C,MATCH($N275,VAT_Codes!$A:$A,0)),"")&amp;"")</f>
        <v/>
      </c>
      <c r="U275" s="26" t="n">
        <f aca="false">IF(OR($S275="",$T275="",$T275="None"),0,IF($T275="Output",-$S275,$S275))</f>
        <v>0</v>
      </c>
      <c r="V275" s="27" t="n">
        <f aca="false">IF($N275="",0,IFERROR(INDEX(VAT_Codes!$D:$D,MATCH($N275,VAT_Codes!$A:$A,0)),0))</f>
        <v>0</v>
      </c>
      <c r="W275" s="26" t="n">
        <f aca="false">IF($U275=0,0,IF(IFERROR(INDEX(VAT_Codes!$F:$F,MATCH($N275,VAT_Codes!$A:$A,0)),"N")="Y",$U275,IF($L275&lt;&gt;"",ROUND(ABS($L275)/IF(OR($R275="",$R275=0),1,$R275),2)*SIGN($U275),ROUND($U275*$V275,2))))</f>
        <v>0</v>
      </c>
      <c r="X275" s="24" t="str">
        <f aca="false">IF($N275="","",IFERROR(INDEX(VAT_Codes!$H:$H,MATCH($N275,VAT_Codes!$A:$A,0)),"")&amp;"")</f>
        <v/>
      </c>
      <c r="Y275" s="24" t="str">
        <f aca="false">IF($A275="","",(YEAR($A275)-YEAR(Settings!$C$8))*12+MONTH($A275)-MONTH(Settings!$C$8)+1)</f>
        <v/>
      </c>
      <c r="Z275" s="24" t="str">
        <f aca="false">IF(AND($C275="",$I275="",$J275=""),"",IF($N275="","NO VAT CODE",IF($T275="","UNKNOWN VAT CODE",IF($S275="","MISSING FX RATE",IF(OR($A275&lt;Settings!$C$8,$A275&gt;Settings!$C$9),"OUTSIDE PERIOD",IF(AND(IFERROR(INDEX(VAT_Codes!$E:$E,MATCH($N275,VAT_Codes!$A:$A,0)),"ANY")&lt;&gt;"ANY",$P275=""),"MISSING COUNTERPARTY COUNTRY",IF(AND(IFERROR(INDEX(VAT_Codes!$E:$E,MATCH($N275,VAT_Codes!$A:$A,0)),"ANY")&lt;&gt;"ANY",$P275&lt;&gt;IFERROR(INDEX(VAT_Codes!$E:$E,MATCH($N275,VAT_Codes!$A:$A,0)),"ANY")),"REGION MISMATCH","OK")))))))</f>
        <v/>
      </c>
    </row>
    <row r="276" customFormat="false" ht="15" hidden="false" customHeight="false" outlineLevel="0" collapsed="false">
      <c r="M276" s="24" t="str">
        <f aca="false">IF($C276="","",IFERROR(INDEX(Account_Mapping!$C:$C,MATCH($C276&amp;"",Account_Mapping!$A:$A,0))&amp;"",""))</f>
        <v/>
      </c>
      <c r="N276" s="24" t="str">
        <f aca="false">IF($K276&lt;&gt;"",$K276,$M276)</f>
        <v/>
      </c>
      <c r="O276" s="24" t="str">
        <f aca="false">IF($F276="","",IFERROR(INDEX(Counterparties!$C:$C,MATCH($F276&amp;"",Counterparties!$A:$A,0))&amp;"",""))</f>
        <v/>
      </c>
      <c r="P276" s="24" t="str">
        <f aca="false">IF($O276="","",IF($O276="CY","CY",IF(ISNUMBER(MATCH($O276,Lists!$A:$A,0)),"EU","3RD")))</f>
        <v/>
      </c>
      <c r="Q276" s="24" t="str">
        <f aca="false">IF($F276="","N",IFERROR(IF(INDEX(Counterparties!$E:$E,MATCH($F276&amp;"",Counterparties!$A:$A,0))="Y","Y","N"),"N"))</f>
        <v>N</v>
      </c>
      <c r="R276" s="25" t="n">
        <f aca="false">IF(OR($H276="",$H276="EUR"),1,IFERROR(INDEX(FX_Rates!$D:$D,MATCH($H276,FX_Rates!$A:$A,0)),""))</f>
        <v>1</v>
      </c>
      <c r="S276" s="26" t="str">
        <f aca="false">IF(AND($I276="",$J276=""),"",IF($J276&lt;&gt;"",$J276,IF(OR($R276="",$R276=0),"",ROUND($I276/$R276,2))))</f>
        <v/>
      </c>
      <c r="T276" s="24" t="str">
        <f aca="false">IF($N276="","",IFERROR(INDEX(VAT_Codes!$C:$C,MATCH($N276,VAT_Codes!$A:$A,0)),"")&amp;"")</f>
        <v/>
      </c>
      <c r="U276" s="26" t="n">
        <f aca="false">IF(OR($S276="",$T276="",$T276="None"),0,IF($T276="Output",-$S276,$S276))</f>
        <v>0</v>
      </c>
      <c r="V276" s="27" t="n">
        <f aca="false">IF($N276="",0,IFERROR(INDEX(VAT_Codes!$D:$D,MATCH($N276,VAT_Codes!$A:$A,0)),0))</f>
        <v>0</v>
      </c>
      <c r="W276" s="26" t="n">
        <f aca="false">IF($U276=0,0,IF(IFERROR(INDEX(VAT_Codes!$F:$F,MATCH($N276,VAT_Codes!$A:$A,0)),"N")="Y",$U276,IF($L276&lt;&gt;"",ROUND(ABS($L276)/IF(OR($R276="",$R276=0),1,$R276),2)*SIGN($U276),ROUND($U276*$V276,2))))</f>
        <v>0</v>
      </c>
      <c r="X276" s="24" t="str">
        <f aca="false">IF($N276="","",IFERROR(INDEX(VAT_Codes!$H:$H,MATCH($N276,VAT_Codes!$A:$A,0)),"")&amp;"")</f>
        <v/>
      </c>
      <c r="Y276" s="24" t="str">
        <f aca="false">IF($A276="","",(YEAR($A276)-YEAR(Settings!$C$8))*12+MONTH($A276)-MONTH(Settings!$C$8)+1)</f>
        <v/>
      </c>
      <c r="Z276" s="24" t="str">
        <f aca="false">IF(AND($C276="",$I276="",$J276=""),"",IF($N276="","NO VAT CODE",IF($T276="","UNKNOWN VAT CODE",IF($S276="","MISSING FX RATE",IF(OR($A276&lt;Settings!$C$8,$A276&gt;Settings!$C$9),"OUTSIDE PERIOD",IF(AND(IFERROR(INDEX(VAT_Codes!$E:$E,MATCH($N276,VAT_Codes!$A:$A,0)),"ANY")&lt;&gt;"ANY",$P276=""),"MISSING COUNTERPARTY COUNTRY",IF(AND(IFERROR(INDEX(VAT_Codes!$E:$E,MATCH($N276,VAT_Codes!$A:$A,0)),"ANY")&lt;&gt;"ANY",$P276&lt;&gt;IFERROR(INDEX(VAT_Codes!$E:$E,MATCH($N276,VAT_Codes!$A:$A,0)),"ANY")),"REGION MISMATCH","OK")))))))</f>
        <v/>
      </c>
    </row>
    <row r="277" customFormat="false" ht="15" hidden="false" customHeight="false" outlineLevel="0" collapsed="false">
      <c r="M277" s="24" t="str">
        <f aca="false">IF($C277="","",IFERROR(INDEX(Account_Mapping!$C:$C,MATCH($C277&amp;"",Account_Mapping!$A:$A,0))&amp;"",""))</f>
        <v/>
      </c>
      <c r="N277" s="24" t="str">
        <f aca="false">IF($K277&lt;&gt;"",$K277,$M277)</f>
        <v/>
      </c>
      <c r="O277" s="24" t="str">
        <f aca="false">IF($F277="","",IFERROR(INDEX(Counterparties!$C:$C,MATCH($F277&amp;"",Counterparties!$A:$A,0))&amp;"",""))</f>
        <v/>
      </c>
      <c r="P277" s="24" t="str">
        <f aca="false">IF($O277="","",IF($O277="CY","CY",IF(ISNUMBER(MATCH($O277,Lists!$A:$A,0)),"EU","3RD")))</f>
        <v/>
      </c>
      <c r="Q277" s="24" t="str">
        <f aca="false">IF($F277="","N",IFERROR(IF(INDEX(Counterparties!$E:$E,MATCH($F277&amp;"",Counterparties!$A:$A,0))="Y","Y","N"),"N"))</f>
        <v>N</v>
      </c>
      <c r="R277" s="25" t="n">
        <f aca="false">IF(OR($H277="",$H277="EUR"),1,IFERROR(INDEX(FX_Rates!$D:$D,MATCH($H277,FX_Rates!$A:$A,0)),""))</f>
        <v>1</v>
      </c>
      <c r="S277" s="26" t="str">
        <f aca="false">IF(AND($I277="",$J277=""),"",IF($J277&lt;&gt;"",$J277,IF(OR($R277="",$R277=0),"",ROUND($I277/$R277,2))))</f>
        <v/>
      </c>
      <c r="T277" s="24" t="str">
        <f aca="false">IF($N277="","",IFERROR(INDEX(VAT_Codes!$C:$C,MATCH($N277,VAT_Codes!$A:$A,0)),"")&amp;"")</f>
        <v/>
      </c>
      <c r="U277" s="26" t="n">
        <f aca="false">IF(OR($S277="",$T277="",$T277="None"),0,IF($T277="Output",-$S277,$S277))</f>
        <v>0</v>
      </c>
      <c r="V277" s="27" t="n">
        <f aca="false">IF($N277="",0,IFERROR(INDEX(VAT_Codes!$D:$D,MATCH($N277,VAT_Codes!$A:$A,0)),0))</f>
        <v>0</v>
      </c>
      <c r="W277" s="26" t="n">
        <f aca="false">IF($U277=0,0,IF(IFERROR(INDEX(VAT_Codes!$F:$F,MATCH($N277,VAT_Codes!$A:$A,0)),"N")="Y",$U277,IF($L277&lt;&gt;"",ROUND(ABS($L277)/IF(OR($R277="",$R277=0),1,$R277),2)*SIGN($U277),ROUND($U277*$V277,2))))</f>
        <v>0</v>
      </c>
      <c r="X277" s="24" t="str">
        <f aca="false">IF($N277="","",IFERROR(INDEX(VAT_Codes!$H:$H,MATCH($N277,VAT_Codes!$A:$A,0)),"")&amp;"")</f>
        <v/>
      </c>
      <c r="Y277" s="24" t="str">
        <f aca="false">IF($A277="","",(YEAR($A277)-YEAR(Settings!$C$8))*12+MONTH($A277)-MONTH(Settings!$C$8)+1)</f>
        <v/>
      </c>
      <c r="Z277" s="24" t="str">
        <f aca="false">IF(AND($C277="",$I277="",$J277=""),"",IF($N277="","NO VAT CODE",IF($T277="","UNKNOWN VAT CODE",IF($S277="","MISSING FX RATE",IF(OR($A277&lt;Settings!$C$8,$A277&gt;Settings!$C$9),"OUTSIDE PERIOD",IF(AND(IFERROR(INDEX(VAT_Codes!$E:$E,MATCH($N277,VAT_Codes!$A:$A,0)),"ANY")&lt;&gt;"ANY",$P277=""),"MISSING COUNTERPARTY COUNTRY",IF(AND(IFERROR(INDEX(VAT_Codes!$E:$E,MATCH($N277,VAT_Codes!$A:$A,0)),"ANY")&lt;&gt;"ANY",$P277&lt;&gt;IFERROR(INDEX(VAT_Codes!$E:$E,MATCH($N277,VAT_Codes!$A:$A,0)),"ANY")),"REGION MISMATCH","OK")))))))</f>
        <v/>
      </c>
    </row>
    <row r="278" customFormat="false" ht="15" hidden="false" customHeight="false" outlineLevel="0" collapsed="false">
      <c r="M278" s="24" t="str">
        <f aca="false">IF($C278="","",IFERROR(INDEX(Account_Mapping!$C:$C,MATCH($C278&amp;"",Account_Mapping!$A:$A,0))&amp;"",""))</f>
        <v/>
      </c>
      <c r="N278" s="24" t="str">
        <f aca="false">IF($K278&lt;&gt;"",$K278,$M278)</f>
        <v/>
      </c>
      <c r="O278" s="24" t="str">
        <f aca="false">IF($F278="","",IFERROR(INDEX(Counterparties!$C:$C,MATCH($F278&amp;"",Counterparties!$A:$A,0))&amp;"",""))</f>
        <v/>
      </c>
      <c r="P278" s="24" t="str">
        <f aca="false">IF($O278="","",IF($O278="CY","CY",IF(ISNUMBER(MATCH($O278,Lists!$A:$A,0)),"EU","3RD")))</f>
        <v/>
      </c>
      <c r="Q278" s="24" t="str">
        <f aca="false">IF($F278="","N",IFERROR(IF(INDEX(Counterparties!$E:$E,MATCH($F278&amp;"",Counterparties!$A:$A,0))="Y","Y","N"),"N"))</f>
        <v>N</v>
      </c>
      <c r="R278" s="25" t="n">
        <f aca="false">IF(OR($H278="",$H278="EUR"),1,IFERROR(INDEX(FX_Rates!$D:$D,MATCH($H278,FX_Rates!$A:$A,0)),""))</f>
        <v>1</v>
      </c>
      <c r="S278" s="26" t="str">
        <f aca="false">IF(AND($I278="",$J278=""),"",IF($J278&lt;&gt;"",$J278,IF(OR($R278="",$R278=0),"",ROUND($I278/$R278,2))))</f>
        <v/>
      </c>
      <c r="T278" s="24" t="str">
        <f aca="false">IF($N278="","",IFERROR(INDEX(VAT_Codes!$C:$C,MATCH($N278,VAT_Codes!$A:$A,0)),"")&amp;"")</f>
        <v/>
      </c>
      <c r="U278" s="26" t="n">
        <f aca="false">IF(OR($S278="",$T278="",$T278="None"),0,IF($T278="Output",-$S278,$S278))</f>
        <v>0</v>
      </c>
      <c r="V278" s="27" t="n">
        <f aca="false">IF($N278="",0,IFERROR(INDEX(VAT_Codes!$D:$D,MATCH($N278,VAT_Codes!$A:$A,0)),0))</f>
        <v>0</v>
      </c>
      <c r="W278" s="26" t="n">
        <f aca="false">IF($U278=0,0,IF(IFERROR(INDEX(VAT_Codes!$F:$F,MATCH($N278,VAT_Codes!$A:$A,0)),"N")="Y",$U278,IF($L278&lt;&gt;"",ROUND(ABS($L278)/IF(OR($R278="",$R278=0),1,$R278),2)*SIGN($U278),ROUND($U278*$V278,2))))</f>
        <v>0</v>
      </c>
      <c r="X278" s="24" t="str">
        <f aca="false">IF($N278="","",IFERROR(INDEX(VAT_Codes!$H:$H,MATCH($N278,VAT_Codes!$A:$A,0)),"")&amp;"")</f>
        <v/>
      </c>
      <c r="Y278" s="24" t="str">
        <f aca="false">IF($A278="","",(YEAR($A278)-YEAR(Settings!$C$8))*12+MONTH($A278)-MONTH(Settings!$C$8)+1)</f>
        <v/>
      </c>
      <c r="Z278" s="24" t="str">
        <f aca="false">IF(AND($C278="",$I278="",$J278=""),"",IF($N278="","NO VAT CODE",IF($T278="","UNKNOWN VAT CODE",IF($S278="","MISSING FX RATE",IF(OR($A278&lt;Settings!$C$8,$A278&gt;Settings!$C$9),"OUTSIDE PERIOD",IF(AND(IFERROR(INDEX(VAT_Codes!$E:$E,MATCH($N278,VAT_Codes!$A:$A,0)),"ANY")&lt;&gt;"ANY",$P278=""),"MISSING COUNTERPARTY COUNTRY",IF(AND(IFERROR(INDEX(VAT_Codes!$E:$E,MATCH($N278,VAT_Codes!$A:$A,0)),"ANY")&lt;&gt;"ANY",$P278&lt;&gt;IFERROR(INDEX(VAT_Codes!$E:$E,MATCH($N278,VAT_Codes!$A:$A,0)),"ANY")),"REGION MISMATCH","OK")))))))</f>
        <v/>
      </c>
    </row>
    <row r="279" customFormat="false" ht="15" hidden="false" customHeight="false" outlineLevel="0" collapsed="false">
      <c r="M279" s="24" t="str">
        <f aca="false">IF($C279="","",IFERROR(INDEX(Account_Mapping!$C:$C,MATCH($C279&amp;"",Account_Mapping!$A:$A,0))&amp;"",""))</f>
        <v/>
      </c>
      <c r="N279" s="24" t="str">
        <f aca="false">IF($K279&lt;&gt;"",$K279,$M279)</f>
        <v/>
      </c>
      <c r="O279" s="24" t="str">
        <f aca="false">IF($F279="","",IFERROR(INDEX(Counterparties!$C:$C,MATCH($F279&amp;"",Counterparties!$A:$A,0))&amp;"",""))</f>
        <v/>
      </c>
      <c r="P279" s="24" t="str">
        <f aca="false">IF($O279="","",IF($O279="CY","CY",IF(ISNUMBER(MATCH($O279,Lists!$A:$A,0)),"EU","3RD")))</f>
        <v/>
      </c>
      <c r="Q279" s="24" t="str">
        <f aca="false">IF($F279="","N",IFERROR(IF(INDEX(Counterparties!$E:$E,MATCH($F279&amp;"",Counterparties!$A:$A,0))="Y","Y","N"),"N"))</f>
        <v>N</v>
      </c>
      <c r="R279" s="25" t="n">
        <f aca="false">IF(OR($H279="",$H279="EUR"),1,IFERROR(INDEX(FX_Rates!$D:$D,MATCH($H279,FX_Rates!$A:$A,0)),""))</f>
        <v>1</v>
      </c>
      <c r="S279" s="26" t="str">
        <f aca="false">IF(AND($I279="",$J279=""),"",IF($J279&lt;&gt;"",$J279,IF(OR($R279="",$R279=0),"",ROUND($I279/$R279,2))))</f>
        <v/>
      </c>
      <c r="T279" s="24" t="str">
        <f aca="false">IF($N279="","",IFERROR(INDEX(VAT_Codes!$C:$C,MATCH($N279,VAT_Codes!$A:$A,0)),"")&amp;"")</f>
        <v/>
      </c>
      <c r="U279" s="26" t="n">
        <f aca="false">IF(OR($S279="",$T279="",$T279="None"),0,IF($T279="Output",-$S279,$S279))</f>
        <v>0</v>
      </c>
      <c r="V279" s="27" t="n">
        <f aca="false">IF($N279="",0,IFERROR(INDEX(VAT_Codes!$D:$D,MATCH($N279,VAT_Codes!$A:$A,0)),0))</f>
        <v>0</v>
      </c>
      <c r="W279" s="26" t="n">
        <f aca="false">IF($U279=0,0,IF(IFERROR(INDEX(VAT_Codes!$F:$F,MATCH($N279,VAT_Codes!$A:$A,0)),"N")="Y",$U279,IF($L279&lt;&gt;"",ROUND(ABS($L279)/IF(OR($R279="",$R279=0),1,$R279),2)*SIGN($U279),ROUND($U279*$V279,2))))</f>
        <v>0</v>
      </c>
      <c r="X279" s="24" t="str">
        <f aca="false">IF($N279="","",IFERROR(INDEX(VAT_Codes!$H:$H,MATCH($N279,VAT_Codes!$A:$A,0)),"")&amp;"")</f>
        <v/>
      </c>
      <c r="Y279" s="24" t="str">
        <f aca="false">IF($A279="","",(YEAR($A279)-YEAR(Settings!$C$8))*12+MONTH($A279)-MONTH(Settings!$C$8)+1)</f>
        <v/>
      </c>
      <c r="Z279" s="24" t="str">
        <f aca="false">IF(AND($C279="",$I279="",$J279=""),"",IF($N279="","NO VAT CODE",IF($T279="","UNKNOWN VAT CODE",IF($S279="","MISSING FX RATE",IF(OR($A279&lt;Settings!$C$8,$A279&gt;Settings!$C$9),"OUTSIDE PERIOD",IF(AND(IFERROR(INDEX(VAT_Codes!$E:$E,MATCH($N279,VAT_Codes!$A:$A,0)),"ANY")&lt;&gt;"ANY",$P279=""),"MISSING COUNTERPARTY COUNTRY",IF(AND(IFERROR(INDEX(VAT_Codes!$E:$E,MATCH($N279,VAT_Codes!$A:$A,0)),"ANY")&lt;&gt;"ANY",$P279&lt;&gt;IFERROR(INDEX(VAT_Codes!$E:$E,MATCH($N279,VAT_Codes!$A:$A,0)),"ANY")),"REGION MISMATCH","OK")))))))</f>
        <v/>
      </c>
    </row>
    <row r="280" customFormat="false" ht="15" hidden="false" customHeight="false" outlineLevel="0" collapsed="false">
      <c r="M280" s="24" t="str">
        <f aca="false">IF($C280="","",IFERROR(INDEX(Account_Mapping!$C:$C,MATCH($C280&amp;"",Account_Mapping!$A:$A,0))&amp;"",""))</f>
        <v/>
      </c>
      <c r="N280" s="24" t="str">
        <f aca="false">IF($K280&lt;&gt;"",$K280,$M280)</f>
        <v/>
      </c>
      <c r="O280" s="24" t="str">
        <f aca="false">IF($F280="","",IFERROR(INDEX(Counterparties!$C:$C,MATCH($F280&amp;"",Counterparties!$A:$A,0))&amp;"",""))</f>
        <v/>
      </c>
      <c r="P280" s="24" t="str">
        <f aca="false">IF($O280="","",IF($O280="CY","CY",IF(ISNUMBER(MATCH($O280,Lists!$A:$A,0)),"EU","3RD")))</f>
        <v/>
      </c>
      <c r="Q280" s="24" t="str">
        <f aca="false">IF($F280="","N",IFERROR(IF(INDEX(Counterparties!$E:$E,MATCH($F280&amp;"",Counterparties!$A:$A,0))="Y","Y","N"),"N"))</f>
        <v>N</v>
      </c>
      <c r="R280" s="25" t="n">
        <f aca="false">IF(OR($H280="",$H280="EUR"),1,IFERROR(INDEX(FX_Rates!$D:$D,MATCH($H280,FX_Rates!$A:$A,0)),""))</f>
        <v>1</v>
      </c>
      <c r="S280" s="26" t="str">
        <f aca="false">IF(AND($I280="",$J280=""),"",IF($J280&lt;&gt;"",$J280,IF(OR($R280="",$R280=0),"",ROUND($I280/$R280,2))))</f>
        <v/>
      </c>
      <c r="T280" s="24" t="str">
        <f aca="false">IF($N280="","",IFERROR(INDEX(VAT_Codes!$C:$C,MATCH($N280,VAT_Codes!$A:$A,0)),"")&amp;"")</f>
        <v/>
      </c>
      <c r="U280" s="26" t="n">
        <f aca="false">IF(OR($S280="",$T280="",$T280="None"),0,IF($T280="Output",-$S280,$S280))</f>
        <v>0</v>
      </c>
      <c r="V280" s="27" t="n">
        <f aca="false">IF($N280="",0,IFERROR(INDEX(VAT_Codes!$D:$D,MATCH($N280,VAT_Codes!$A:$A,0)),0))</f>
        <v>0</v>
      </c>
      <c r="W280" s="26" t="n">
        <f aca="false">IF($U280=0,0,IF(IFERROR(INDEX(VAT_Codes!$F:$F,MATCH($N280,VAT_Codes!$A:$A,0)),"N")="Y",$U280,IF($L280&lt;&gt;"",ROUND(ABS($L280)/IF(OR($R280="",$R280=0),1,$R280),2)*SIGN($U280),ROUND($U280*$V280,2))))</f>
        <v>0</v>
      </c>
      <c r="X280" s="24" t="str">
        <f aca="false">IF($N280="","",IFERROR(INDEX(VAT_Codes!$H:$H,MATCH($N280,VAT_Codes!$A:$A,0)),"")&amp;"")</f>
        <v/>
      </c>
      <c r="Y280" s="24" t="str">
        <f aca="false">IF($A280="","",(YEAR($A280)-YEAR(Settings!$C$8))*12+MONTH($A280)-MONTH(Settings!$C$8)+1)</f>
        <v/>
      </c>
      <c r="Z280" s="24" t="str">
        <f aca="false">IF(AND($C280="",$I280="",$J280=""),"",IF($N280="","NO VAT CODE",IF($T280="","UNKNOWN VAT CODE",IF($S280="","MISSING FX RATE",IF(OR($A280&lt;Settings!$C$8,$A280&gt;Settings!$C$9),"OUTSIDE PERIOD",IF(AND(IFERROR(INDEX(VAT_Codes!$E:$E,MATCH($N280,VAT_Codes!$A:$A,0)),"ANY")&lt;&gt;"ANY",$P280=""),"MISSING COUNTERPARTY COUNTRY",IF(AND(IFERROR(INDEX(VAT_Codes!$E:$E,MATCH($N280,VAT_Codes!$A:$A,0)),"ANY")&lt;&gt;"ANY",$P280&lt;&gt;IFERROR(INDEX(VAT_Codes!$E:$E,MATCH($N280,VAT_Codes!$A:$A,0)),"ANY")),"REGION MISMATCH","OK")))))))</f>
        <v/>
      </c>
    </row>
    <row r="281" customFormat="false" ht="15" hidden="false" customHeight="false" outlineLevel="0" collapsed="false">
      <c r="M281" s="24" t="str">
        <f aca="false">IF($C281="","",IFERROR(INDEX(Account_Mapping!$C:$C,MATCH($C281&amp;"",Account_Mapping!$A:$A,0))&amp;"",""))</f>
        <v/>
      </c>
      <c r="N281" s="24" t="str">
        <f aca="false">IF($K281&lt;&gt;"",$K281,$M281)</f>
        <v/>
      </c>
      <c r="O281" s="24" t="str">
        <f aca="false">IF($F281="","",IFERROR(INDEX(Counterparties!$C:$C,MATCH($F281&amp;"",Counterparties!$A:$A,0))&amp;"",""))</f>
        <v/>
      </c>
      <c r="P281" s="24" t="str">
        <f aca="false">IF($O281="","",IF($O281="CY","CY",IF(ISNUMBER(MATCH($O281,Lists!$A:$A,0)),"EU","3RD")))</f>
        <v/>
      </c>
      <c r="Q281" s="24" t="str">
        <f aca="false">IF($F281="","N",IFERROR(IF(INDEX(Counterparties!$E:$E,MATCH($F281&amp;"",Counterparties!$A:$A,0))="Y","Y","N"),"N"))</f>
        <v>N</v>
      </c>
      <c r="R281" s="25" t="n">
        <f aca="false">IF(OR($H281="",$H281="EUR"),1,IFERROR(INDEX(FX_Rates!$D:$D,MATCH($H281,FX_Rates!$A:$A,0)),""))</f>
        <v>1</v>
      </c>
      <c r="S281" s="26" t="str">
        <f aca="false">IF(AND($I281="",$J281=""),"",IF($J281&lt;&gt;"",$J281,IF(OR($R281="",$R281=0),"",ROUND($I281/$R281,2))))</f>
        <v/>
      </c>
      <c r="T281" s="24" t="str">
        <f aca="false">IF($N281="","",IFERROR(INDEX(VAT_Codes!$C:$C,MATCH($N281,VAT_Codes!$A:$A,0)),"")&amp;"")</f>
        <v/>
      </c>
      <c r="U281" s="26" t="n">
        <f aca="false">IF(OR($S281="",$T281="",$T281="None"),0,IF($T281="Output",-$S281,$S281))</f>
        <v>0</v>
      </c>
      <c r="V281" s="27" t="n">
        <f aca="false">IF($N281="",0,IFERROR(INDEX(VAT_Codes!$D:$D,MATCH($N281,VAT_Codes!$A:$A,0)),0))</f>
        <v>0</v>
      </c>
      <c r="W281" s="26" t="n">
        <f aca="false">IF($U281=0,0,IF(IFERROR(INDEX(VAT_Codes!$F:$F,MATCH($N281,VAT_Codes!$A:$A,0)),"N")="Y",$U281,IF($L281&lt;&gt;"",ROUND(ABS($L281)/IF(OR($R281="",$R281=0),1,$R281),2)*SIGN($U281),ROUND($U281*$V281,2))))</f>
        <v>0</v>
      </c>
      <c r="X281" s="24" t="str">
        <f aca="false">IF($N281="","",IFERROR(INDEX(VAT_Codes!$H:$H,MATCH($N281,VAT_Codes!$A:$A,0)),"")&amp;"")</f>
        <v/>
      </c>
      <c r="Y281" s="24" t="str">
        <f aca="false">IF($A281="","",(YEAR($A281)-YEAR(Settings!$C$8))*12+MONTH($A281)-MONTH(Settings!$C$8)+1)</f>
        <v/>
      </c>
      <c r="Z281" s="24" t="str">
        <f aca="false">IF(AND($C281="",$I281="",$J281=""),"",IF($N281="","NO VAT CODE",IF($T281="","UNKNOWN VAT CODE",IF($S281="","MISSING FX RATE",IF(OR($A281&lt;Settings!$C$8,$A281&gt;Settings!$C$9),"OUTSIDE PERIOD",IF(AND(IFERROR(INDEX(VAT_Codes!$E:$E,MATCH($N281,VAT_Codes!$A:$A,0)),"ANY")&lt;&gt;"ANY",$P281=""),"MISSING COUNTERPARTY COUNTRY",IF(AND(IFERROR(INDEX(VAT_Codes!$E:$E,MATCH($N281,VAT_Codes!$A:$A,0)),"ANY")&lt;&gt;"ANY",$P281&lt;&gt;IFERROR(INDEX(VAT_Codes!$E:$E,MATCH($N281,VAT_Codes!$A:$A,0)),"ANY")),"REGION MISMATCH","OK")))))))</f>
        <v/>
      </c>
    </row>
    <row r="282" customFormat="false" ht="15" hidden="false" customHeight="false" outlineLevel="0" collapsed="false">
      <c r="M282" s="24" t="str">
        <f aca="false">IF($C282="","",IFERROR(INDEX(Account_Mapping!$C:$C,MATCH($C282&amp;"",Account_Mapping!$A:$A,0))&amp;"",""))</f>
        <v/>
      </c>
      <c r="N282" s="24" t="str">
        <f aca="false">IF($K282&lt;&gt;"",$K282,$M282)</f>
        <v/>
      </c>
      <c r="O282" s="24" t="str">
        <f aca="false">IF($F282="","",IFERROR(INDEX(Counterparties!$C:$C,MATCH($F282&amp;"",Counterparties!$A:$A,0))&amp;"",""))</f>
        <v/>
      </c>
      <c r="P282" s="24" t="str">
        <f aca="false">IF($O282="","",IF($O282="CY","CY",IF(ISNUMBER(MATCH($O282,Lists!$A:$A,0)),"EU","3RD")))</f>
        <v/>
      </c>
      <c r="Q282" s="24" t="str">
        <f aca="false">IF($F282="","N",IFERROR(IF(INDEX(Counterparties!$E:$E,MATCH($F282&amp;"",Counterparties!$A:$A,0))="Y","Y","N"),"N"))</f>
        <v>N</v>
      </c>
      <c r="R282" s="25" t="n">
        <f aca="false">IF(OR($H282="",$H282="EUR"),1,IFERROR(INDEX(FX_Rates!$D:$D,MATCH($H282,FX_Rates!$A:$A,0)),""))</f>
        <v>1</v>
      </c>
      <c r="S282" s="26" t="str">
        <f aca="false">IF(AND($I282="",$J282=""),"",IF($J282&lt;&gt;"",$J282,IF(OR($R282="",$R282=0),"",ROUND($I282/$R282,2))))</f>
        <v/>
      </c>
      <c r="T282" s="24" t="str">
        <f aca="false">IF($N282="","",IFERROR(INDEX(VAT_Codes!$C:$C,MATCH($N282,VAT_Codes!$A:$A,0)),"")&amp;"")</f>
        <v/>
      </c>
      <c r="U282" s="26" t="n">
        <f aca="false">IF(OR($S282="",$T282="",$T282="None"),0,IF($T282="Output",-$S282,$S282))</f>
        <v>0</v>
      </c>
      <c r="V282" s="27" t="n">
        <f aca="false">IF($N282="",0,IFERROR(INDEX(VAT_Codes!$D:$D,MATCH($N282,VAT_Codes!$A:$A,0)),0))</f>
        <v>0</v>
      </c>
      <c r="W282" s="26" t="n">
        <f aca="false">IF($U282=0,0,IF(IFERROR(INDEX(VAT_Codes!$F:$F,MATCH($N282,VAT_Codes!$A:$A,0)),"N")="Y",$U282,IF($L282&lt;&gt;"",ROUND(ABS($L282)/IF(OR($R282="",$R282=0),1,$R282),2)*SIGN($U282),ROUND($U282*$V282,2))))</f>
        <v>0</v>
      </c>
      <c r="X282" s="24" t="str">
        <f aca="false">IF($N282="","",IFERROR(INDEX(VAT_Codes!$H:$H,MATCH($N282,VAT_Codes!$A:$A,0)),"")&amp;"")</f>
        <v/>
      </c>
      <c r="Y282" s="24" t="str">
        <f aca="false">IF($A282="","",(YEAR($A282)-YEAR(Settings!$C$8))*12+MONTH($A282)-MONTH(Settings!$C$8)+1)</f>
        <v/>
      </c>
      <c r="Z282" s="24" t="str">
        <f aca="false">IF(AND($C282="",$I282="",$J282=""),"",IF($N282="","NO VAT CODE",IF($T282="","UNKNOWN VAT CODE",IF($S282="","MISSING FX RATE",IF(OR($A282&lt;Settings!$C$8,$A282&gt;Settings!$C$9),"OUTSIDE PERIOD",IF(AND(IFERROR(INDEX(VAT_Codes!$E:$E,MATCH($N282,VAT_Codes!$A:$A,0)),"ANY")&lt;&gt;"ANY",$P282=""),"MISSING COUNTERPARTY COUNTRY",IF(AND(IFERROR(INDEX(VAT_Codes!$E:$E,MATCH($N282,VAT_Codes!$A:$A,0)),"ANY")&lt;&gt;"ANY",$P282&lt;&gt;IFERROR(INDEX(VAT_Codes!$E:$E,MATCH($N282,VAT_Codes!$A:$A,0)),"ANY")),"REGION MISMATCH","OK")))))))</f>
        <v/>
      </c>
    </row>
    <row r="283" customFormat="false" ht="15" hidden="false" customHeight="false" outlineLevel="0" collapsed="false">
      <c r="M283" s="24" t="str">
        <f aca="false">IF($C283="","",IFERROR(INDEX(Account_Mapping!$C:$C,MATCH($C283&amp;"",Account_Mapping!$A:$A,0))&amp;"",""))</f>
        <v/>
      </c>
      <c r="N283" s="24" t="str">
        <f aca="false">IF($K283&lt;&gt;"",$K283,$M283)</f>
        <v/>
      </c>
      <c r="O283" s="24" t="str">
        <f aca="false">IF($F283="","",IFERROR(INDEX(Counterparties!$C:$C,MATCH($F283&amp;"",Counterparties!$A:$A,0))&amp;"",""))</f>
        <v/>
      </c>
      <c r="P283" s="24" t="str">
        <f aca="false">IF($O283="","",IF($O283="CY","CY",IF(ISNUMBER(MATCH($O283,Lists!$A:$A,0)),"EU","3RD")))</f>
        <v/>
      </c>
      <c r="Q283" s="24" t="str">
        <f aca="false">IF($F283="","N",IFERROR(IF(INDEX(Counterparties!$E:$E,MATCH($F283&amp;"",Counterparties!$A:$A,0))="Y","Y","N"),"N"))</f>
        <v>N</v>
      </c>
      <c r="R283" s="25" t="n">
        <f aca="false">IF(OR($H283="",$H283="EUR"),1,IFERROR(INDEX(FX_Rates!$D:$D,MATCH($H283,FX_Rates!$A:$A,0)),""))</f>
        <v>1</v>
      </c>
      <c r="S283" s="26" t="str">
        <f aca="false">IF(AND($I283="",$J283=""),"",IF($J283&lt;&gt;"",$J283,IF(OR($R283="",$R283=0),"",ROUND($I283/$R283,2))))</f>
        <v/>
      </c>
      <c r="T283" s="24" t="str">
        <f aca="false">IF($N283="","",IFERROR(INDEX(VAT_Codes!$C:$C,MATCH($N283,VAT_Codes!$A:$A,0)),"")&amp;"")</f>
        <v/>
      </c>
      <c r="U283" s="26" t="n">
        <f aca="false">IF(OR($S283="",$T283="",$T283="None"),0,IF($T283="Output",-$S283,$S283))</f>
        <v>0</v>
      </c>
      <c r="V283" s="27" t="n">
        <f aca="false">IF($N283="",0,IFERROR(INDEX(VAT_Codes!$D:$D,MATCH($N283,VAT_Codes!$A:$A,0)),0))</f>
        <v>0</v>
      </c>
      <c r="W283" s="26" t="n">
        <f aca="false">IF($U283=0,0,IF(IFERROR(INDEX(VAT_Codes!$F:$F,MATCH($N283,VAT_Codes!$A:$A,0)),"N")="Y",$U283,IF($L283&lt;&gt;"",ROUND(ABS($L283)/IF(OR($R283="",$R283=0),1,$R283),2)*SIGN($U283),ROUND($U283*$V283,2))))</f>
        <v>0</v>
      </c>
      <c r="X283" s="24" t="str">
        <f aca="false">IF($N283="","",IFERROR(INDEX(VAT_Codes!$H:$H,MATCH($N283,VAT_Codes!$A:$A,0)),"")&amp;"")</f>
        <v/>
      </c>
      <c r="Y283" s="24" t="str">
        <f aca="false">IF($A283="","",(YEAR($A283)-YEAR(Settings!$C$8))*12+MONTH($A283)-MONTH(Settings!$C$8)+1)</f>
        <v/>
      </c>
      <c r="Z283" s="24" t="str">
        <f aca="false">IF(AND($C283="",$I283="",$J283=""),"",IF($N283="","NO VAT CODE",IF($T283="","UNKNOWN VAT CODE",IF($S283="","MISSING FX RATE",IF(OR($A283&lt;Settings!$C$8,$A283&gt;Settings!$C$9),"OUTSIDE PERIOD",IF(AND(IFERROR(INDEX(VAT_Codes!$E:$E,MATCH($N283,VAT_Codes!$A:$A,0)),"ANY")&lt;&gt;"ANY",$P283=""),"MISSING COUNTERPARTY COUNTRY",IF(AND(IFERROR(INDEX(VAT_Codes!$E:$E,MATCH($N283,VAT_Codes!$A:$A,0)),"ANY")&lt;&gt;"ANY",$P283&lt;&gt;IFERROR(INDEX(VAT_Codes!$E:$E,MATCH($N283,VAT_Codes!$A:$A,0)),"ANY")),"REGION MISMATCH","OK")))))))</f>
        <v/>
      </c>
    </row>
    <row r="284" customFormat="false" ht="15" hidden="false" customHeight="false" outlineLevel="0" collapsed="false">
      <c r="M284" s="24" t="str">
        <f aca="false">IF($C284="","",IFERROR(INDEX(Account_Mapping!$C:$C,MATCH($C284&amp;"",Account_Mapping!$A:$A,0))&amp;"",""))</f>
        <v/>
      </c>
      <c r="N284" s="24" t="str">
        <f aca="false">IF($K284&lt;&gt;"",$K284,$M284)</f>
        <v/>
      </c>
      <c r="O284" s="24" t="str">
        <f aca="false">IF($F284="","",IFERROR(INDEX(Counterparties!$C:$C,MATCH($F284&amp;"",Counterparties!$A:$A,0))&amp;"",""))</f>
        <v/>
      </c>
      <c r="P284" s="24" t="str">
        <f aca="false">IF($O284="","",IF($O284="CY","CY",IF(ISNUMBER(MATCH($O284,Lists!$A:$A,0)),"EU","3RD")))</f>
        <v/>
      </c>
      <c r="Q284" s="24" t="str">
        <f aca="false">IF($F284="","N",IFERROR(IF(INDEX(Counterparties!$E:$E,MATCH($F284&amp;"",Counterparties!$A:$A,0))="Y","Y","N"),"N"))</f>
        <v>N</v>
      </c>
      <c r="R284" s="25" t="n">
        <f aca="false">IF(OR($H284="",$H284="EUR"),1,IFERROR(INDEX(FX_Rates!$D:$D,MATCH($H284,FX_Rates!$A:$A,0)),""))</f>
        <v>1</v>
      </c>
      <c r="S284" s="26" t="str">
        <f aca="false">IF(AND($I284="",$J284=""),"",IF($J284&lt;&gt;"",$J284,IF(OR($R284="",$R284=0),"",ROUND($I284/$R284,2))))</f>
        <v/>
      </c>
      <c r="T284" s="24" t="str">
        <f aca="false">IF($N284="","",IFERROR(INDEX(VAT_Codes!$C:$C,MATCH($N284,VAT_Codes!$A:$A,0)),"")&amp;"")</f>
        <v/>
      </c>
      <c r="U284" s="26" t="n">
        <f aca="false">IF(OR($S284="",$T284="",$T284="None"),0,IF($T284="Output",-$S284,$S284))</f>
        <v>0</v>
      </c>
      <c r="V284" s="27" t="n">
        <f aca="false">IF($N284="",0,IFERROR(INDEX(VAT_Codes!$D:$D,MATCH($N284,VAT_Codes!$A:$A,0)),0))</f>
        <v>0</v>
      </c>
      <c r="W284" s="26" t="n">
        <f aca="false">IF($U284=0,0,IF(IFERROR(INDEX(VAT_Codes!$F:$F,MATCH($N284,VAT_Codes!$A:$A,0)),"N")="Y",$U284,IF($L284&lt;&gt;"",ROUND(ABS($L284)/IF(OR($R284="",$R284=0),1,$R284),2)*SIGN($U284),ROUND($U284*$V284,2))))</f>
        <v>0</v>
      </c>
      <c r="X284" s="24" t="str">
        <f aca="false">IF($N284="","",IFERROR(INDEX(VAT_Codes!$H:$H,MATCH($N284,VAT_Codes!$A:$A,0)),"")&amp;"")</f>
        <v/>
      </c>
      <c r="Y284" s="24" t="str">
        <f aca="false">IF($A284="","",(YEAR($A284)-YEAR(Settings!$C$8))*12+MONTH($A284)-MONTH(Settings!$C$8)+1)</f>
        <v/>
      </c>
      <c r="Z284" s="24" t="str">
        <f aca="false">IF(AND($C284="",$I284="",$J284=""),"",IF($N284="","NO VAT CODE",IF($T284="","UNKNOWN VAT CODE",IF($S284="","MISSING FX RATE",IF(OR($A284&lt;Settings!$C$8,$A284&gt;Settings!$C$9),"OUTSIDE PERIOD",IF(AND(IFERROR(INDEX(VAT_Codes!$E:$E,MATCH($N284,VAT_Codes!$A:$A,0)),"ANY")&lt;&gt;"ANY",$P284=""),"MISSING COUNTERPARTY COUNTRY",IF(AND(IFERROR(INDEX(VAT_Codes!$E:$E,MATCH($N284,VAT_Codes!$A:$A,0)),"ANY")&lt;&gt;"ANY",$P284&lt;&gt;IFERROR(INDEX(VAT_Codes!$E:$E,MATCH($N284,VAT_Codes!$A:$A,0)),"ANY")),"REGION MISMATCH","OK")))))))</f>
        <v/>
      </c>
    </row>
    <row r="285" customFormat="false" ht="15" hidden="false" customHeight="false" outlineLevel="0" collapsed="false">
      <c r="M285" s="24" t="str">
        <f aca="false">IF($C285="","",IFERROR(INDEX(Account_Mapping!$C:$C,MATCH($C285&amp;"",Account_Mapping!$A:$A,0))&amp;"",""))</f>
        <v/>
      </c>
      <c r="N285" s="24" t="str">
        <f aca="false">IF($K285&lt;&gt;"",$K285,$M285)</f>
        <v/>
      </c>
      <c r="O285" s="24" t="str">
        <f aca="false">IF($F285="","",IFERROR(INDEX(Counterparties!$C:$C,MATCH($F285&amp;"",Counterparties!$A:$A,0))&amp;"",""))</f>
        <v/>
      </c>
      <c r="P285" s="24" t="str">
        <f aca="false">IF($O285="","",IF($O285="CY","CY",IF(ISNUMBER(MATCH($O285,Lists!$A:$A,0)),"EU","3RD")))</f>
        <v/>
      </c>
      <c r="Q285" s="24" t="str">
        <f aca="false">IF($F285="","N",IFERROR(IF(INDEX(Counterparties!$E:$E,MATCH($F285&amp;"",Counterparties!$A:$A,0))="Y","Y","N"),"N"))</f>
        <v>N</v>
      </c>
      <c r="R285" s="25" t="n">
        <f aca="false">IF(OR($H285="",$H285="EUR"),1,IFERROR(INDEX(FX_Rates!$D:$D,MATCH($H285,FX_Rates!$A:$A,0)),""))</f>
        <v>1</v>
      </c>
      <c r="S285" s="26" t="str">
        <f aca="false">IF(AND($I285="",$J285=""),"",IF($J285&lt;&gt;"",$J285,IF(OR($R285="",$R285=0),"",ROUND($I285/$R285,2))))</f>
        <v/>
      </c>
      <c r="T285" s="24" t="str">
        <f aca="false">IF($N285="","",IFERROR(INDEX(VAT_Codes!$C:$C,MATCH($N285,VAT_Codes!$A:$A,0)),"")&amp;"")</f>
        <v/>
      </c>
      <c r="U285" s="26" t="n">
        <f aca="false">IF(OR($S285="",$T285="",$T285="None"),0,IF($T285="Output",-$S285,$S285))</f>
        <v>0</v>
      </c>
      <c r="V285" s="27" t="n">
        <f aca="false">IF($N285="",0,IFERROR(INDEX(VAT_Codes!$D:$D,MATCH($N285,VAT_Codes!$A:$A,0)),0))</f>
        <v>0</v>
      </c>
      <c r="W285" s="26" t="n">
        <f aca="false">IF($U285=0,0,IF(IFERROR(INDEX(VAT_Codes!$F:$F,MATCH($N285,VAT_Codes!$A:$A,0)),"N")="Y",$U285,IF($L285&lt;&gt;"",ROUND(ABS($L285)/IF(OR($R285="",$R285=0),1,$R285),2)*SIGN($U285),ROUND($U285*$V285,2))))</f>
        <v>0</v>
      </c>
      <c r="X285" s="24" t="str">
        <f aca="false">IF($N285="","",IFERROR(INDEX(VAT_Codes!$H:$H,MATCH($N285,VAT_Codes!$A:$A,0)),"")&amp;"")</f>
        <v/>
      </c>
      <c r="Y285" s="24" t="str">
        <f aca="false">IF($A285="","",(YEAR($A285)-YEAR(Settings!$C$8))*12+MONTH($A285)-MONTH(Settings!$C$8)+1)</f>
        <v/>
      </c>
      <c r="Z285" s="24" t="str">
        <f aca="false">IF(AND($C285="",$I285="",$J285=""),"",IF($N285="","NO VAT CODE",IF($T285="","UNKNOWN VAT CODE",IF($S285="","MISSING FX RATE",IF(OR($A285&lt;Settings!$C$8,$A285&gt;Settings!$C$9),"OUTSIDE PERIOD",IF(AND(IFERROR(INDEX(VAT_Codes!$E:$E,MATCH($N285,VAT_Codes!$A:$A,0)),"ANY")&lt;&gt;"ANY",$P285=""),"MISSING COUNTERPARTY COUNTRY",IF(AND(IFERROR(INDEX(VAT_Codes!$E:$E,MATCH($N285,VAT_Codes!$A:$A,0)),"ANY")&lt;&gt;"ANY",$P285&lt;&gt;IFERROR(INDEX(VAT_Codes!$E:$E,MATCH($N285,VAT_Codes!$A:$A,0)),"ANY")),"REGION MISMATCH","OK")))))))</f>
        <v/>
      </c>
    </row>
    <row r="286" customFormat="false" ht="15" hidden="false" customHeight="false" outlineLevel="0" collapsed="false">
      <c r="M286" s="24" t="str">
        <f aca="false">IF($C286="","",IFERROR(INDEX(Account_Mapping!$C:$C,MATCH($C286&amp;"",Account_Mapping!$A:$A,0))&amp;"",""))</f>
        <v/>
      </c>
      <c r="N286" s="24" t="str">
        <f aca="false">IF($K286&lt;&gt;"",$K286,$M286)</f>
        <v/>
      </c>
      <c r="O286" s="24" t="str">
        <f aca="false">IF($F286="","",IFERROR(INDEX(Counterparties!$C:$C,MATCH($F286&amp;"",Counterparties!$A:$A,0))&amp;"",""))</f>
        <v/>
      </c>
      <c r="P286" s="24" t="str">
        <f aca="false">IF($O286="","",IF($O286="CY","CY",IF(ISNUMBER(MATCH($O286,Lists!$A:$A,0)),"EU","3RD")))</f>
        <v/>
      </c>
      <c r="Q286" s="24" t="str">
        <f aca="false">IF($F286="","N",IFERROR(IF(INDEX(Counterparties!$E:$E,MATCH($F286&amp;"",Counterparties!$A:$A,0))="Y","Y","N"),"N"))</f>
        <v>N</v>
      </c>
      <c r="R286" s="25" t="n">
        <f aca="false">IF(OR($H286="",$H286="EUR"),1,IFERROR(INDEX(FX_Rates!$D:$D,MATCH($H286,FX_Rates!$A:$A,0)),""))</f>
        <v>1</v>
      </c>
      <c r="S286" s="26" t="str">
        <f aca="false">IF(AND($I286="",$J286=""),"",IF($J286&lt;&gt;"",$J286,IF(OR($R286="",$R286=0),"",ROUND($I286/$R286,2))))</f>
        <v/>
      </c>
      <c r="T286" s="24" t="str">
        <f aca="false">IF($N286="","",IFERROR(INDEX(VAT_Codes!$C:$C,MATCH($N286,VAT_Codes!$A:$A,0)),"")&amp;"")</f>
        <v/>
      </c>
      <c r="U286" s="26" t="n">
        <f aca="false">IF(OR($S286="",$T286="",$T286="None"),0,IF($T286="Output",-$S286,$S286))</f>
        <v>0</v>
      </c>
      <c r="V286" s="27" t="n">
        <f aca="false">IF($N286="",0,IFERROR(INDEX(VAT_Codes!$D:$D,MATCH($N286,VAT_Codes!$A:$A,0)),0))</f>
        <v>0</v>
      </c>
      <c r="W286" s="26" t="n">
        <f aca="false">IF($U286=0,0,IF(IFERROR(INDEX(VAT_Codes!$F:$F,MATCH($N286,VAT_Codes!$A:$A,0)),"N")="Y",$U286,IF($L286&lt;&gt;"",ROUND(ABS($L286)/IF(OR($R286="",$R286=0),1,$R286),2)*SIGN($U286),ROUND($U286*$V286,2))))</f>
        <v>0</v>
      </c>
      <c r="X286" s="24" t="str">
        <f aca="false">IF($N286="","",IFERROR(INDEX(VAT_Codes!$H:$H,MATCH($N286,VAT_Codes!$A:$A,0)),"")&amp;"")</f>
        <v/>
      </c>
      <c r="Y286" s="24" t="str">
        <f aca="false">IF($A286="","",(YEAR($A286)-YEAR(Settings!$C$8))*12+MONTH($A286)-MONTH(Settings!$C$8)+1)</f>
        <v/>
      </c>
      <c r="Z286" s="24" t="str">
        <f aca="false">IF(AND($C286="",$I286="",$J286=""),"",IF($N286="","NO VAT CODE",IF($T286="","UNKNOWN VAT CODE",IF($S286="","MISSING FX RATE",IF(OR($A286&lt;Settings!$C$8,$A286&gt;Settings!$C$9),"OUTSIDE PERIOD",IF(AND(IFERROR(INDEX(VAT_Codes!$E:$E,MATCH($N286,VAT_Codes!$A:$A,0)),"ANY")&lt;&gt;"ANY",$P286=""),"MISSING COUNTERPARTY COUNTRY",IF(AND(IFERROR(INDEX(VAT_Codes!$E:$E,MATCH($N286,VAT_Codes!$A:$A,0)),"ANY")&lt;&gt;"ANY",$P286&lt;&gt;IFERROR(INDEX(VAT_Codes!$E:$E,MATCH($N286,VAT_Codes!$A:$A,0)),"ANY")),"REGION MISMATCH","OK")))))))</f>
        <v/>
      </c>
    </row>
    <row r="287" customFormat="false" ht="15" hidden="false" customHeight="false" outlineLevel="0" collapsed="false">
      <c r="M287" s="24" t="str">
        <f aca="false">IF($C287="","",IFERROR(INDEX(Account_Mapping!$C:$C,MATCH($C287&amp;"",Account_Mapping!$A:$A,0))&amp;"",""))</f>
        <v/>
      </c>
      <c r="N287" s="24" t="str">
        <f aca="false">IF($K287&lt;&gt;"",$K287,$M287)</f>
        <v/>
      </c>
      <c r="O287" s="24" t="str">
        <f aca="false">IF($F287="","",IFERROR(INDEX(Counterparties!$C:$C,MATCH($F287&amp;"",Counterparties!$A:$A,0))&amp;"",""))</f>
        <v/>
      </c>
      <c r="P287" s="24" t="str">
        <f aca="false">IF($O287="","",IF($O287="CY","CY",IF(ISNUMBER(MATCH($O287,Lists!$A:$A,0)),"EU","3RD")))</f>
        <v/>
      </c>
      <c r="Q287" s="24" t="str">
        <f aca="false">IF($F287="","N",IFERROR(IF(INDEX(Counterparties!$E:$E,MATCH($F287&amp;"",Counterparties!$A:$A,0))="Y","Y","N"),"N"))</f>
        <v>N</v>
      </c>
      <c r="R287" s="25" t="n">
        <f aca="false">IF(OR($H287="",$H287="EUR"),1,IFERROR(INDEX(FX_Rates!$D:$D,MATCH($H287,FX_Rates!$A:$A,0)),""))</f>
        <v>1</v>
      </c>
      <c r="S287" s="26" t="str">
        <f aca="false">IF(AND($I287="",$J287=""),"",IF($J287&lt;&gt;"",$J287,IF(OR($R287="",$R287=0),"",ROUND($I287/$R287,2))))</f>
        <v/>
      </c>
      <c r="T287" s="24" t="str">
        <f aca="false">IF($N287="","",IFERROR(INDEX(VAT_Codes!$C:$C,MATCH($N287,VAT_Codes!$A:$A,0)),"")&amp;"")</f>
        <v/>
      </c>
      <c r="U287" s="26" t="n">
        <f aca="false">IF(OR($S287="",$T287="",$T287="None"),0,IF($T287="Output",-$S287,$S287))</f>
        <v>0</v>
      </c>
      <c r="V287" s="27" t="n">
        <f aca="false">IF($N287="",0,IFERROR(INDEX(VAT_Codes!$D:$D,MATCH($N287,VAT_Codes!$A:$A,0)),0))</f>
        <v>0</v>
      </c>
      <c r="W287" s="26" t="n">
        <f aca="false">IF($U287=0,0,IF(IFERROR(INDEX(VAT_Codes!$F:$F,MATCH($N287,VAT_Codes!$A:$A,0)),"N")="Y",$U287,IF($L287&lt;&gt;"",ROUND(ABS($L287)/IF(OR($R287="",$R287=0),1,$R287),2)*SIGN($U287),ROUND($U287*$V287,2))))</f>
        <v>0</v>
      </c>
      <c r="X287" s="24" t="str">
        <f aca="false">IF($N287="","",IFERROR(INDEX(VAT_Codes!$H:$H,MATCH($N287,VAT_Codes!$A:$A,0)),"")&amp;"")</f>
        <v/>
      </c>
      <c r="Y287" s="24" t="str">
        <f aca="false">IF($A287="","",(YEAR($A287)-YEAR(Settings!$C$8))*12+MONTH($A287)-MONTH(Settings!$C$8)+1)</f>
        <v/>
      </c>
      <c r="Z287" s="24" t="str">
        <f aca="false">IF(AND($C287="",$I287="",$J287=""),"",IF($N287="","NO VAT CODE",IF($T287="","UNKNOWN VAT CODE",IF($S287="","MISSING FX RATE",IF(OR($A287&lt;Settings!$C$8,$A287&gt;Settings!$C$9),"OUTSIDE PERIOD",IF(AND(IFERROR(INDEX(VAT_Codes!$E:$E,MATCH($N287,VAT_Codes!$A:$A,0)),"ANY")&lt;&gt;"ANY",$P287=""),"MISSING COUNTERPARTY COUNTRY",IF(AND(IFERROR(INDEX(VAT_Codes!$E:$E,MATCH($N287,VAT_Codes!$A:$A,0)),"ANY")&lt;&gt;"ANY",$P287&lt;&gt;IFERROR(INDEX(VAT_Codes!$E:$E,MATCH($N287,VAT_Codes!$A:$A,0)),"ANY")),"REGION MISMATCH","OK")))))))</f>
        <v/>
      </c>
    </row>
    <row r="288" customFormat="false" ht="15" hidden="false" customHeight="false" outlineLevel="0" collapsed="false">
      <c r="M288" s="24" t="str">
        <f aca="false">IF($C288="","",IFERROR(INDEX(Account_Mapping!$C:$C,MATCH($C288&amp;"",Account_Mapping!$A:$A,0))&amp;"",""))</f>
        <v/>
      </c>
      <c r="N288" s="24" t="str">
        <f aca="false">IF($K288&lt;&gt;"",$K288,$M288)</f>
        <v/>
      </c>
      <c r="O288" s="24" t="str">
        <f aca="false">IF($F288="","",IFERROR(INDEX(Counterparties!$C:$C,MATCH($F288&amp;"",Counterparties!$A:$A,0))&amp;"",""))</f>
        <v/>
      </c>
      <c r="P288" s="24" t="str">
        <f aca="false">IF($O288="","",IF($O288="CY","CY",IF(ISNUMBER(MATCH($O288,Lists!$A:$A,0)),"EU","3RD")))</f>
        <v/>
      </c>
      <c r="Q288" s="24" t="str">
        <f aca="false">IF($F288="","N",IFERROR(IF(INDEX(Counterparties!$E:$E,MATCH($F288&amp;"",Counterparties!$A:$A,0))="Y","Y","N"),"N"))</f>
        <v>N</v>
      </c>
      <c r="R288" s="25" t="n">
        <f aca="false">IF(OR($H288="",$H288="EUR"),1,IFERROR(INDEX(FX_Rates!$D:$D,MATCH($H288,FX_Rates!$A:$A,0)),""))</f>
        <v>1</v>
      </c>
      <c r="S288" s="26" t="str">
        <f aca="false">IF(AND($I288="",$J288=""),"",IF($J288&lt;&gt;"",$J288,IF(OR($R288="",$R288=0),"",ROUND($I288/$R288,2))))</f>
        <v/>
      </c>
      <c r="T288" s="24" t="str">
        <f aca="false">IF($N288="","",IFERROR(INDEX(VAT_Codes!$C:$C,MATCH($N288,VAT_Codes!$A:$A,0)),"")&amp;"")</f>
        <v/>
      </c>
      <c r="U288" s="26" t="n">
        <f aca="false">IF(OR($S288="",$T288="",$T288="None"),0,IF($T288="Output",-$S288,$S288))</f>
        <v>0</v>
      </c>
      <c r="V288" s="27" t="n">
        <f aca="false">IF($N288="",0,IFERROR(INDEX(VAT_Codes!$D:$D,MATCH($N288,VAT_Codes!$A:$A,0)),0))</f>
        <v>0</v>
      </c>
      <c r="W288" s="26" t="n">
        <f aca="false">IF($U288=0,0,IF(IFERROR(INDEX(VAT_Codes!$F:$F,MATCH($N288,VAT_Codes!$A:$A,0)),"N")="Y",$U288,IF($L288&lt;&gt;"",ROUND(ABS($L288)/IF(OR($R288="",$R288=0),1,$R288),2)*SIGN($U288),ROUND($U288*$V288,2))))</f>
        <v>0</v>
      </c>
      <c r="X288" s="24" t="str">
        <f aca="false">IF($N288="","",IFERROR(INDEX(VAT_Codes!$H:$H,MATCH($N288,VAT_Codes!$A:$A,0)),"")&amp;"")</f>
        <v/>
      </c>
      <c r="Y288" s="24" t="str">
        <f aca="false">IF($A288="","",(YEAR($A288)-YEAR(Settings!$C$8))*12+MONTH($A288)-MONTH(Settings!$C$8)+1)</f>
        <v/>
      </c>
      <c r="Z288" s="24" t="str">
        <f aca="false">IF(AND($C288="",$I288="",$J288=""),"",IF($N288="","NO VAT CODE",IF($T288="","UNKNOWN VAT CODE",IF($S288="","MISSING FX RATE",IF(OR($A288&lt;Settings!$C$8,$A288&gt;Settings!$C$9),"OUTSIDE PERIOD",IF(AND(IFERROR(INDEX(VAT_Codes!$E:$E,MATCH($N288,VAT_Codes!$A:$A,0)),"ANY")&lt;&gt;"ANY",$P288=""),"MISSING COUNTERPARTY COUNTRY",IF(AND(IFERROR(INDEX(VAT_Codes!$E:$E,MATCH($N288,VAT_Codes!$A:$A,0)),"ANY")&lt;&gt;"ANY",$P288&lt;&gt;IFERROR(INDEX(VAT_Codes!$E:$E,MATCH($N288,VAT_Codes!$A:$A,0)),"ANY")),"REGION MISMATCH","OK")))))))</f>
        <v/>
      </c>
    </row>
    <row r="289" customFormat="false" ht="15" hidden="false" customHeight="false" outlineLevel="0" collapsed="false">
      <c r="M289" s="24" t="str">
        <f aca="false">IF($C289="","",IFERROR(INDEX(Account_Mapping!$C:$C,MATCH($C289&amp;"",Account_Mapping!$A:$A,0))&amp;"",""))</f>
        <v/>
      </c>
      <c r="N289" s="24" t="str">
        <f aca="false">IF($K289&lt;&gt;"",$K289,$M289)</f>
        <v/>
      </c>
      <c r="O289" s="24" t="str">
        <f aca="false">IF($F289="","",IFERROR(INDEX(Counterparties!$C:$C,MATCH($F289&amp;"",Counterparties!$A:$A,0))&amp;"",""))</f>
        <v/>
      </c>
      <c r="P289" s="24" t="str">
        <f aca="false">IF($O289="","",IF($O289="CY","CY",IF(ISNUMBER(MATCH($O289,Lists!$A:$A,0)),"EU","3RD")))</f>
        <v/>
      </c>
      <c r="Q289" s="24" t="str">
        <f aca="false">IF($F289="","N",IFERROR(IF(INDEX(Counterparties!$E:$E,MATCH($F289&amp;"",Counterparties!$A:$A,0))="Y","Y","N"),"N"))</f>
        <v>N</v>
      </c>
      <c r="R289" s="25" t="n">
        <f aca="false">IF(OR($H289="",$H289="EUR"),1,IFERROR(INDEX(FX_Rates!$D:$D,MATCH($H289,FX_Rates!$A:$A,0)),""))</f>
        <v>1</v>
      </c>
      <c r="S289" s="26" t="str">
        <f aca="false">IF(AND($I289="",$J289=""),"",IF($J289&lt;&gt;"",$J289,IF(OR($R289="",$R289=0),"",ROUND($I289/$R289,2))))</f>
        <v/>
      </c>
      <c r="T289" s="24" t="str">
        <f aca="false">IF($N289="","",IFERROR(INDEX(VAT_Codes!$C:$C,MATCH($N289,VAT_Codes!$A:$A,0)),"")&amp;"")</f>
        <v/>
      </c>
      <c r="U289" s="26" t="n">
        <f aca="false">IF(OR($S289="",$T289="",$T289="None"),0,IF($T289="Output",-$S289,$S289))</f>
        <v>0</v>
      </c>
      <c r="V289" s="27" t="n">
        <f aca="false">IF($N289="",0,IFERROR(INDEX(VAT_Codes!$D:$D,MATCH($N289,VAT_Codes!$A:$A,0)),0))</f>
        <v>0</v>
      </c>
      <c r="W289" s="26" t="n">
        <f aca="false">IF($U289=0,0,IF(IFERROR(INDEX(VAT_Codes!$F:$F,MATCH($N289,VAT_Codes!$A:$A,0)),"N")="Y",$U289,IF($L289&lt;&gt;"",ROUND(ABS($L289)/IF(OR($R289="",$R289=0),1,$R289),2)*SIGN($U289),ROUND($U289*$V289,2))))</f>
        <v>0</v>
      </c>
      <c r="X289" s="24" t="str">
        <f aca="false">IF($N289="","",IFERROR(INDEX(VAT_Codes!$H:$H,MATCH($N289,VAT_Codes!$A:$A,0)),"")&amp;"")</f>
        <v/>
      </c>
      <c r="Y289" s="24" t="str">
        <f aca="false">IF($A289="","",(YEAR($A289)-YEAR(Settings!$C$8))*12+MONTH($A289)-MONTH(Settings!$C$8)+1)</f>
        <v/>
      </c>
      <c r="Z289" s="24" t="str">
        <f aca="false">IF(AND($C289="",$I289="",$J289=""),"",IF($N289="","NO VAT CODE",IF($T289="","UNKNOWN VAT CODE",IF($S289="","MISSING FX RATE",IF(OR($A289&lt;Settings!$C$8,$A289&gt;Settings!$C$9),"OUTSIDE PERIOD",IF(AND(IFERROR(INDEX(VAT_Codes!$E:$E,MATCH($N289,VAT_Codes!$A:$A,0)),"ANY")&lt;&gt;"ANY",$P289=""),"MISSING COUNTERPARTY COUNTRY",IF(AND(IFERROR(INDEX(VAT_Codes!$E:$E,MATCH($N289,VAT_Codes!$A:$A,0)),"ANY")&lt;&gt;"ANY",$P289&lt;&gt;IFERROR(INDEX(VAT_Codes!$E:$E,MATCH($N289,VAT_Codes!$A:$A,0)),"ANY")),"REGION MISMATCH","OK")))))))</f>
        <v/>
      </c>
    </row>
    <row r="290" customFormat="false" ht="15" hidden="false" customHeight="false" outlineLevel="0" collapsed="false">
      <c r="M290" s="24" t="str">
        <f aca="false">IF($C290="","",IFERROR(INDEX(Account_Mapping!$C:$C,MATCH($C290&amp;"",Account_Mapping!$A:$A,0))&amp;"",""))</f>
        <v/>
      </c>
      <c r="N290" s="24" t="str">
        <f aca="false">IF($K290&lt;&gt;"",$K290,$M290)</f>
        <v/>
      </c>
      <c r="O290" s="24" t="str">
        <f aca="false">IF($F290="","",IFERROR(INDEX(Counterparties!$C:$C,MATCH($F290&amp;"",Counterparties!$A:$A,0))&amp;"",""))</f>
        <v/>
      </c>
      <c r="P290" s="24" t="str">
        <f aca="false">IF($O290="","",IF($O290="CY","CY",IF(ISNUMBER(MATCH($O290,Lists!$A:$A,0)),"EU","3RD")))</f>
        <v/>
      </c>
      <c r="Q290" s="24" t="str">
        <f aca="false">IF($F290="","N",IFERROR(IF(INDEX(Counterparties!$E:$E,MATCH($F290&amp;"",Counterparties!$A:$A,0))="Y","Y","N"),"N"))</f>
        <v>N</v>
      </c>
      <c r="R290" s="25" t="n">
        <f aca="false">IF(OR($H290="",$H290="EUR"),1,IFERROR(INDEX(FX_Rates!$D:$D,MATCH($H290,FX_Rates!$A:$A,0)),""))</f>
        <v>1</v>
      </c>
      <c r="S290" s="26" t="str">
        <f aca="false">IF(AND($I290="",$J290=""),"",IF($J290&lt;&gt;"",$J290,IF(OR($R290="",$R290=0),"",ROUND($I290/$R290,2))))</f>
        <v/>
      </c>
      <c r="T290" s="24" t="str">
        <f aca="false">IF($N290="","",IFERROR(INDEX(VAT_Codes!$C:$C,MATCH($N290,VAT_Codes!$A:$A,0)),"")&amp;"")</f>
        <v/>
      </c>
      <c r="U290" s="26" t="n">
        <f aca="false">IF(OR($S290="",$T290="",$T290="None"),0,IF($T290="Output",-$S290,$S290))</f>
        <v>0</v>
      </c>
      <c r="V290" s="27" t="n">
        <f aca="false">IF($N290="",0,IFERROR(INDEX(VAT_Codes!$D:$D,MATCH($N290,VAT_Codes!$A:$A,0)),0))</f>
        <v>0</v>
      </c>
      <c r="W290" s="26" t="n">
        <f aca="false">IF($U290=0,0,IF(IFERROR(INDEX(VAT_Codes!$F:$F,MATCH($N290,VAT_Codes!$A:$A,0)),"N")="Y",$U290,IF($L290&lt;&gt;"",ROUND(ABS($L290)/IF(OR($R290="",$R290=0),1,$R290),2)*SIGN($U290),ROUND($U290*$V290,2))))</f>
        <v>0</v>
      </c>
      <c r="X290" s="24" t="str">
        <f aca="false">IF($N290="","",IFERROR(INDEX(VAT_Codes!$H:$H,MATCH($N290,VAT_Codes!$A:$A,0)),"")&amp;"")</f>
        <v/>
      </c>
      <c r="Y290" s="24" t="str">
        <f aca="false">IF($A290="","",(YEAR($A290)-YEAR(Settings!$C$8))*12+MONTH($A290)-MONTH(Settings!$C$8)+1)</f>
        <v/>
      </c>
      <c r="Z290" s="24" t="str">
        <f aca="false">IF(AND($C290="",$I290="",$J290=""),"",IF($N290="","NO VAT CODE",IF($T290="","UNKNOWN VAT CODE",IF($S290="","MISSING FX RATE",IF(OR($A290&lt;Settings!$C$8,$A290&gt;Settings!$C$9),"OUTSIDE PERIOD",IF(AND(IFERROR(INDEX(VAT_Codes!$E:$E,MATCH($N290,VAT_Codes!$A:$A,0)),"ANY")&lt;&gt;"ANY",$P290=""),"MISSING COUNTERPARTY COUNTRY",IF(AND(IFERROR(INDEX(VAT_Codes!$E:$E,MATCH($N290,VAT_Codes!$A:$A,0)),"ANY")&lt;&gt;"ANY",$P290&lt;&gt;IFERROR(INDEX(VAT_Codes!$E:$E,MATCH($N290,VAT_Codes!$A:$A,0)),"ANY")),"REGION MISMATCH","OK")))))))</f>
        <v/>
      </c>
    </row>
    <row r="291" customFormat="false" ht="15" hidden="false" customHeight="false" outlineLevel="0" collapsed="false">
      <c r="M291" s="24" t="str">
        <f aca="false">IF($C291="","",IFERROR(INDEX(Account_Mapping!$C:$C,MATCH($C291&amp;"",Account_Mapping!$A:$A,0))&amp;"",""))</f>
        <v/>
      </c>
      <c r="N291" s="24" t="str">
        <f aca="false">IF($K291&lt;&gt;"",$K291,$M291)</f>
        <v/>
      </c>
      <c r="O291" s="24" t="str">
        <f aca="false">IF($F291="","",IFERROR(INDEX(Counterparties!$C:$C,MATCH($F291&amp;"",Counterparties!$A:$A,0))&amp;"",""))</f>
        <v/>
      </c>
      <c r="P291" s="24" t="str">
        <f aca="false">IF($O291="","",IF($O291="CY","CY",IF(ISNUMBER(MATCH($O291,Lists!$A:$A,0)),"EU","3RD")))</f>
        <v/>
      </c>
      <c r="Q291" s="24" t="str">
        <f aca="false">IF($F291="","N",IFERROR(IF(INDEX(Counterparties!$E:$E,MATCH($F291&amp;"",Counterparties!$A:$A,0))="Y","Y","N"),"N"))</f>
        <v>N</v>
      </c>
      <c r="R291" s="25" t="n">
        <f aca="false">IF(OR($H291="",$H291="EUR"),1,IFERROR(INDEX(FX_Rates!$D:$D,MATCH($H291,FX_Rates!$A:$A,0)),""))</f>
        <v>1</v>
      </c>
      <c r="S291" s="26" t="str">
        <f aca="false">IF(AND($I291="",$J291=""),"",IF($J291&lt;&gt;"",$J291,IF(OR($R291="",$R291=0),"",ROUND($I291/$R291,2))))</f>
        <v/>
      </c>
      <c r="T291" s="24" t="str">
        <f aca="false">IF($N291="","",IFERROR(INDEX(VAT_Codes!$C:$C,MATCH($N291,VAT_Codes!$A:$A,0)),"")&amp;"")</f>
        <v/>
      </c>
      <c r="U291" s="26" t="n">
        <f aca="false">IF(OR($S291="",$T291="",$T291="None"),0,IF($T291="Output",-$S291,$S291))</f>
        <v>0</v>
      </c>
      <c r="V291" s="27" t="n">
        <f aca="false">IF($N291="",0,IFERROR(INDEX(VAT_Codes!$D:$D,MATCH($N291,VAT_Codes!$A:$A,0)),0))</f>
        <v>0</v>
      </c>
      <c r="W291" s="26" t="n">
        <f aca="false">IF($U291=0,0,IF(IFERROR(INDEX(VAT_Codes!$F:$F,MATCH($N291,VAT_Codes!$A:$A,0)),"N")="Y",$U291,IF($L291&lt;&gt;"",ROUND(ABS($L291)/IF(OR($R291="",$R291=0),1,$R291),2)*SIGN($U291),ROUND($U291*$V291,2))))</f>
        <v>0</v>
      </c>
      <c r="X291" s="24" t="str">
        <f aca="false">IF($N291="","",IFERROR(INDEX(VAT_Codes!$H:$H,MATCH($N291,VAT_Codes!$A:$A,0)),"")&amp;"")</f>
        <v/>
      </c>
      <c r="Y291" s="24" t="str">
        <f aca="false">IF($A291="","",(YEAR($A291)-YEAR(Settings!$C$8))*12+MONTH($A291)-MONTH(Settings!$C$8)+1)</f>
        <v/>
      </c>
      <c r="Z291" s="24" t="str">
        <f aca="false">IF(AND($C291="",$I291="",$J291=""),"",IF($N291="","NO VAT CODE",IF($T291="","UNKNOWN VAT CODE",IF($S291="","MISSING FX RATE",IF(OR($A291&lt;Settings!$C$8,$A291&gt;Settings!$C$9),"OUTSIDE PERIOD",IF(AND(IFERROR(INDEX(VAT_Codes!$E:$E,MATCH($N291,VAT_Codes!$A:$A,0)),"ANY")&lt;&gt;"ANY",$P291=""),"MISSING COUNTERPARTY COUNTRY",IF(AND(IFERROR(INDEX(VAT_Codes!$E:$E,MATCH($N291,VAT_Codes!$A:$A,0)),"ANY")&lt;&gt;"ANY",$P291&lt;&gt;IFERROR(INDEX(VAT_Codes!$E:$E,MATCH($N291,VAT_Codes!$A:$A,0)),"ANY")),"REGION MISMATCH","OK")))))))</f>
        <v/>
      </c>
    </row>
    <row r="292" customFormat="false" ht="15" hidden="false" customHeight="false" outlineLevel="0" collapsed="false">
      <c r="M292" s="24" t="str">
        <f aca="false">IF($C292="","",IFERROR(INDEX(Account_Mapping!$C:$C,MATCH($C292&amp;"",Account_Mapping!$A:$A,0))&amp;"",""))</f>
        <v/>
      </c>
      <c r="N292" s="24" t="str">
        <f aca="false">IF($K292&lt;&gt;"",$K292,$M292)</f>
        <v/>
      </c>
      <c r="O292" s="24" t="str">
        <f aca="false">IF($F292="","",IFERROR(INDEX(Counterparties!$C:$C,MATCH($F292&amp;"",Counterparties!$A:$A,0))&amp;"",""))</f>
        <v/>
      </c>
      <c r="P292" s="24" t="str">
        <f aca="false">IF($O292="","",IF($O292="CY","CY",IF(ISNUMBER(MATCH($O292,Lists!$A:$A,0)),"EU","3RD")))</f>
        <v/>
      </c>
      <c r="Q292" s="24" t="str">
        <f aca="false">IF($F292="","N",IFERROR(IF(INDEX(Counterparties!$E:$E,MATCH($F292&amp;"",Counterparties!$A:$A,0))="Y","Y","N"),"N"))</f>
        <v>N</v>
      </c>
      <c r="R292" s="25" t="n">
        <f aca="false">IF(OR($H292="",$H292="EUR"),1,IFERROR(INDEX(FX_Rates!$D:$D,MATCH($H292,FX_Rates!$A:$A,0)),""))</f>
        <v>1</v>
      </c>
      <c r="S292" s="26" t="str">
        <f aca="false">IF(AND($I292="",$J292=""),"",IF($J292&lt;&gt;"",$J292,IF(OR($R292="",$R292=0),"",ROUND($I292/$R292,2))))</f>
        <v/>
      </c>
      <c r="T292" s="24" t="str">
        <f aca="false">IF($N292="","",IFERROR(INDEX(VAT_Codes!$C:$C,MATCH($N292,VAT_Codes!$A:$A,0)),"")&amp;"")</f>
        <v/>
      </c>
      <c r="U292" s="26" t="n">
        <f aca="false">IF(OR($S292="",$T292="",$T292="None"),0,IF($T292="Output",-$S292,$S292))</f>
        <v>0</v>
      </c>
      <c r="V292" s="27" t="n">
        <f aca="false">IF($N292="",0,IFERROR(INDEX(VAT_Codes!$D:$D,MATCH($N292,VAT_Codes!$A:$A,0)),0))</f>
        <v>0</v>
      </c>
      <c r="W292" s="26" t="n">
        <f aca="false">IF($U292=0,0,IF(IFERROR(INDEX(VAT_Codes!$F:$F,MATCH($N292,VAT_Codes!$A:$A,0)),"N")="Y",$U292,IF($L292&lt;&gt;"",ROUND(ABS($L292)/IF(OR($R292="",$R292=0),1,$R292),2)*SIGN($U292),ROUND($U292*$V292,2))))</f>
        <v>0</v>
      </c>
      <c r="X292" s="24" t="str">
        <f aca="false">IF($N292="","",IFERROR(INDEX(VAT_Codes!$H:$H,MATCH($N292,VAT_Codes!$A:$A,0)),"")&amp;"")</f>
        <v/>
      </c>
      <c r="Y292" s="24" t="str">
        <f aca="false">IF($A292="","",(YEAR($A292)-YEAR(Settings!$C$8))*12+MONTH($A292)-MONTH(Settings!$C$8)+1)</f>
        <v/>
      </c>
      <c r="Z292" s="24" t="str">
        <f aca="false">IF(AND($C292="",$I292="",$J292=""),"",IF($N292="","NO VAT CODE",IF($T292="","UNKNOWN VAT CODE",IF($S292="","MISSING FX RATE",IF(OR($A292&lt;Settings!$C$8,$A292&gt;Settings!$C$9),"OUTSIDE PERIOD",IF(AND(IFERROR(INDEX(VAT_Codes!$E:$E,MATCH($N292,VAT_Codes!$A:$A,0)),"ANY")&lt;&gt;"ANY",$P292=""),"MISSING COUNTERPARTY COUNTRY",IF(AND(IFERROR(INDEX(VAT_Codes!$E:$E,MATCH($N292,VAT_Codes!$A:$A,0)),"ANY")&lt;&gt;"ANY",$P292&lt;&gt;IFERROR(INDEX(VAT_Codes!$E:$E,MATCH($N292,VAT_Codes!$A:$A,0)),"ANY")),"REGION MISMATCH","OK")))))))</f>
        <v/>
      </c>
    </row>
    <row r="293" customFormat="false" ht="15" hidden="false" customHeight="false" outlineLevel="0" collapsed="false">
      <c r="M293" s="24" t="str">
        <f aca="false">IF($C293="","",IFERROR(INDEX(Account_Mapping!$C:$C,MATCH($C293&amp;"",Account_Mapping!$A:$A,0))&amp;"",""))</f>
        <v/>
      </c>
      <c r="N293" s="24" t="str">
        <f aca="false">IF($K293&lt;&gt;"",$K293,$M293)</f>
        <v/>
      </c>
      <c r="O293" s="24" t="str">
        <f aca="false">IF($F293="","",IFERROR(INDEX(Counterparties!$C:$C,MATCH($F293&amp;"",Counterparties!$A:$A,0))&amp;"",""))</f>
        <v/>
      </c>
      <c r="P293" s="24" t="str">
        <f aca="false">IF($O293="","",IF($O293="CY","CY",IF(ISNUMBER(MATCH($O293,Lists!$A:$A,0)),"EU","3RD")))</f>
        <v/>
      </c>
      <c r="Q293" s="24" t="str">
        <f aca="false">IF($F293="","N",IFERROR(IF(INDEX(Counterparties!$E:$E,MATCH($F293&amp;"",Counterparties!$A:$A,0))="Y","Y","N"),"N"))</f>
        <v>N</v>
      </c>
      <c r="R293" s="25" t="n">
        <f aca="false">IF(OR($H293="",$H293="EUR"),1,IFERROR(INDEX(FX_Rates!$D:$D,MATCH($H293,FX_Rates!$A:$A,0)),""))</f>
        <v>1</v>
      </c>
      <c r="S293" s="26" t="str">
        <f aca="false">IF(AND($I293="",$J293=""),"",IF($J293&lt;&gt;"",$J293,IF(OR($R293="",$R293=0),"",ROUND($I293/$R293,2))))</f>
        <v/>
      </c>
      <c r="T293" s="24" t="str">
        <f aca="false">IF($N293="","",IFERROR(INDEX(VAT_Codes!$C:$C,MATCH($N293,VAT_Codes!$A:$A,0)),"")&amp;"")</f>
        <v/>
      </c>
      <c r="U293" s="26" t="n">
        <f aca="false">IF(OR($S293="",$T293="",$T293="None"),0,IF($T293="Output",-$S293,$S293))</f>
        <v>0</v>
      </c>
      <c r="V293" s="27" t="n">
        <f aca="false">IF($N293="",0,IFERROR(INDEX(VAT_Codes!$D:$D,MATCH($N293,VAT_Codes!$A:$A,0)),0))</f>
        <v>0</v>
      </c>
      <c r="W293" s="26" t="n">
        <f aca="false">IF($U293=0,0,IF(IFERROR(INDEX(VAT_Codes!$F:$F,MATCH($N293,VAT_Codes!$A:$A,0)),"N")="Y",$U293,IF($L293&lt;&gt;"",ROUND(ABS($L293)/IF(OR($R293="",$R293=0),1,$R293),2)*SIGN($U293),ROUND($U293*$V293,2))))</f>
        <v>0</v>
      </c>
      <c r="X293" s="24" t="str">
        <f aca="false">IF($N293="","",IFERROR(INDEX(VAT_Codes!$H:$H,MATCH($N293,VAT_Codes!$A:$A,0)),"")&amp;"")</f>
        <v/>
      </c>
      <c r="Y293" s="24" t="str">
        <f aca="false">IF($A293="","",(YEAR($A293)-YEAR(Settings!$C$8))*12+MONTH($A293)-MONTH(Settings!$C$8)+1)</f>
        <v/>
      </c>
      <c r="Z293" s="24" t="str">
        <f aca="false">IF(AND($C293="",$I293="",$J293=""),"",IF($N293="","NO VAT CODE",IF($T293="","UNKNOWN VAT CODE",IF($S293="","MISSING FX RATE",IF(OR($A293&lt;Settings!$C$8,$A293&gt;Settings!$C$9),"OUTSIDE PERIOD",IF(AND(IFERROR(INDEX(VAT_Codes!$E:$E,MATCH($N293,VAT_Codes!$A:$A,0)),"ANY")&lt;&gt;"ANY",$P293=""),"MISSING COUNTERPARTY COUNTRY",IF(AND(IFERROR(INDEX(VAT_Codes!$E:$E,MATCH($N293,VAT_Codes!$A:$A,0)),"ANY")&lt;&gt;"ANY",$P293&lt;&gt;IFERROR(INDEX(VAT_Codes!$E:$E,MATCH($N293,VAT_Codes!$A:$A,0)),"ANY")),"REGION MISMATCH","OK")))))))</f>
        <v/>
      </c>
    </row>
    <row r="294" customFormat="false" ht="15" hidden="false" customHeight="false" outlineLevel="0" collapsed="false">
      <c r="M294" s="24" t="str">
        <f aca="false">IF($C294="","",IFERROR(INDEX(Account_Mapping!$C:$C,MATCH($C294&amp;"",Account_Mapping!$A:$A,0))&amp;"",""))</f>
        <v/>
      </c>
      <c r="N294" s="24" t="str">
        <f aca="false">IF($K294&lt;&gt;"",$K294,$M294)</f>
        <v/>
      </c>
      <c r="O294" s="24" t="str">
        <f aca="false">IF($F294="","",IFERROR(INDEX(Counterparties!$C:$C,MATCH($F294&amp;"",Counterparties!$A:$A,0))&amp;"",""))</f>
        <v/>
      </c>
      <c r="P294" s="24" t="str">
        <f aca="false">IF($O294="","",IF($O294="CY","CY",IF(ISNUMBER(MATCH($O294,Lists!$A:$A,0)),"EU","3RD")))</f>
        <v/>
      </c>
      <c r="Q294" s="24" t="str">
        <f aca="false">IF($F294="","N",IFERROR(IF(INDEX(Counterparties!$E:$E,MATCH($F294&amp;"",Counterparties!$A:$A,0))="Y","Y","N"),"N"))</f>
        <v>N</v>
      </c>
      <c r="R294" s="25" t="n">
        <f aca="false">IF(OR($H294="",$H294="EUR"),1,IFERROR(INDEX(FX_Rates!$D:$D,MATCH($H294,FX_Rates!$A:$A,0)),""))</f>
        <v>1</v>
      </c>
      <c r="S294" s="26" t="str">
        <f aca="false">IF(AND($I294="",$J294=""),"",IF($J294&lt;&gt;"",$J294,IF(OR($R294="",$R294=0),"",ROUND($I294/$R294,2))))</f>
        <v/>
      </c>
      <c r="T294" s="24" t="str">
        <f aca="false">IF($N294="","",IFERROR(INDEX(VAT_Codes!$C:$C,MATCH($N294,VAT_Codes!$A:$A,0)),"")&amp;"")</f>
        <v/>
      </c>
      <c r="U294" s="26" t="n">
        <f aca="false">IF(OR($S294="",$T294="",$T294="None"),0,IF($T294="Output",-$S294,$S294))</f>
        <v>0</v>
      </c>
      <c r="V294" s="27" t="n">
        <f aca="false">IF($N294="",0,IFERROR(INDEX(VAT_Codes!$D:$D,MATCH($N294,VAT_Codes!$A:$A,0)),0))</f>
        <v>0</v>
      </c>
      <c r="W294" s="26" t="n">
        <f aca="false">IF($U294=0,0,IF(IFERROR(INDEX(VAT_Codes!$F:$F,MATCH($N294,VAT_Codes!$A:$A,0)),"N")="Y",$U294,IF($L294&lt;&gt;"",ROUND(ABS($L294)/IF(OR($R294="",$R294=0),1,$R294),2)*SIGN($U294),ROUND($U294*$V294,2))))</f>
        <v>0</v>
      </c>
      <c r="X294" s="24" t="str">
        <f aca="false">IF($N294="","",IFERROR(INDEX(VAT_Codes!$H:$H,MATCH($N294,VAT_Codes!$A:$A,0)),"")&amp;"")</f>
        <v/>
      </c>
      <c r="Y294" s="24" t="str">
        <f aca="false">IF($A294="","",(YEAR($A294)-YEAR(Settings!$C$8))*12+MONTH($A294)-MONTH(Settings!$C$8)+1)</f>
        <v/>
      </c>
      <c r="Z294" s="24" t="str">
        <f aca="false">IF(AND($C294="",$I294="",$J294=""),"",IF($N294="","NO VAT CODE",IF($T294="","UNKNOWN VAT CODE",IF($S294="","MISSING FX RATE",IF(OR($A294&lt;Settings!$C$8,$A294&gt;Settings!$C$9),"OUTSIDE PERIOD",IF(AND(IFERROR(INDEX(VAT_Codes!$E:$E,MATCH($N294,VAT_Codes!$A:$A,0)),"ANY")&lt;&gt;"ANY",$P294=""),"MISSING COUNTERPARTY COUNTRY",IF(AND(IFERROR(INDEX(VAT_Codes!$E:$E,MATCH($N294,VAT_Codes!$A:$A,0)),"ANY")&lt;&gt;"ANY",$P294&lt;&gt;IFERROR(INDEX(VAT_Codes!$E:$E,MATCH($N294,VAT_Codes!$A:$A,0)),"ANY")),"REGION MISMATCH","OK")))))))</f>
        <v/>
      </c>
    </row>
    <row r="295" customFormat="false" ht="15" hidden="false" customHeight="false" outlineLevel="0" collapsed="false">
      <c r="M295" s="24" t="str">
        <f aca="false">IF($C295="","",IFERROR(INDEX(Account_Mapping!$C:$C,MATCH($C295&amp;"",Account_Mapping!$A:$A,0))&amp;"",""))</f>
        <v/>
      </c>
      <c r="N295" s="24" t="str">
        <f aca="false">IF($K295&lt;&gt;"",$K295,$M295)</f>
        <v/>
      </c>
      <c r="O295" s="24" t="str">
        <f aca="false">IF($F295="","",IFERROR(INDEX(Counterparties!$C:$C,MATCH($F295&amp;"",Counterparties!$A:$A,0))&amp;"",""))</f>
        <v/>
      </c>
      <c r="P295" s="24" t="str">
        <f aca="false">IF($O295="","",IF($O295="CY","CY",IF(ISNUMBER(MATCH($O295,Lists!$A:$A,0)),"EU","3RD")))</f>
        <v/>
      </c>
      <c r="Q295" s="24" t="str">
        <f aca="false">IF($F295="","N",IFERROR(IF(INDEX(Counterparties!$E:$E,MATCH($F295&amp;"",Counterparties!$A:$A,0))="Y","Y","N"),"N"))</f>
        <v>N</v>
      </c>
      <c r="R295" s="25" t="n">
        <f aca="false">IF(OR($H295="",$H295="EUR"),1,IFERROR(INDEX(FX_Rates!$D:$D,MATCH($H295,FX_Rates!$A:$A,0)),""))</f>
        <v>1</v>
      </c>
      <c r="S295" s="26" t="str">
        <f aca="false">IF(AND($I295="",$J295=""),"",IF($J295&lt;&gt;"",$J295,IF(OR($R295="",$R295=0),"",ROUND($I295/$R295,2))))</f>
        <v/>
      </c>
      <c r="T295" s="24" t="str">
        <f aca="false">IF($N295="","",IFERROR(INDEX(VAT_Codes!$C:$C,MATCH($N295,VAT_Codes!$A:$A,0)),"")&amp;"")</f>
        <v/>
      </c>
      <c r="U295" s="26" t="n">
        <f aca="false">IF(OR($S295="",$T295="",$T295="None"),0,IF($T295="Output",-$S295,$S295))</f>
        <v>0</v>
      </c>
      <c r="V295" s="27" t="n">
        <f aca="false">IF($N295="",0,IFERROR(INDEX(VAT_Codes!$D:$D,MATCH($N295,VAT_Codes!$A:$A,0)),0))</f>
        <v>0</v>
      </c>
      <c r="W295" s="26" t="n">
        <f aca="false">IF($U295=0,0,IF(IFERROR(INDEX(VAT_Codes!$F:$F,MATCH($N295,VAT_Codes!$A:$A,0)),"N")="Y",$U295,IF($L295&lt;&gt;"",ROUND(ABS($L295)/IF(OR($R295="",$R295=0),1,$R295),2)*SIGN($U295),ROUND($U295*$V295,2))))</f>
        <v>0</v>
      </c>
      <c r="X295" s="24" t="str">
        <f aca="false">IF($N295="","",IFERROR(INDEX(VAT_Codes!$H:$H,MATCH($N295,VAT_Codes!$A:$A,0)),"")&amp;"")</f>
        <v/>
      </c>
      <c r="Y295" s="24" t="str">
        <f aca="false">IF($A295="","",(YEAR($A295)-YEAR(Settings!$C$8))*12+MONTH($A295)-MONTH(Settings!$C$8)+1)</f>
        <v/>
      </c>
      <c r="Z295" s="24" t="str">
        <f aca="false">IF(AND($C295="",$I295="",$J295=""),"",IF($N295="","NO VAT CODE",IF($T295="","UNKNOWN VAT CODE",IF($S295="","MISSING FX RATE",IF(OR($A295&lt;Settings!$C$8,$A295&gt;Settings!$C$9),"OUTSIDE PERIOD",IF(AND(IFERROR(INDEX(VAT_Codes!$E:$E,MATCH($N295,VAT_Codes!$A:$A,0)),"ANY")&lt;&gt;"ANY",$P295=""),"MISSING COUNTERPARTY COUNTRY",IF(AND(IFERROR(INDEX(VAT_Codes!$E:$E,MATCH($N295,VAT_Codes!$A:$A,0)),"ANY")&lt;&gt;"ANY",$P295&lt;&gt;IFERROR(INDEX(VAT_Codes!$E:$E,MATCH($N295,VAT_Codes!$A:$A,0)),"ANY")),"REGION MISMATCH","OK")))))))</f>
        <v/>
      </c>
    </row>
    <row r="296" customFormat="false" ht="15" hidden="false" customHeight="false" outlineLevel="0" collapsed="false">
      <c r="M296" s="24" t="str">
        <f aca="false">IF($C296="","",IFERROR(INDEX(Account_Mapping!$C:$C,MATCH($C296&amp;"",Account_Mapping!$A:$A,0))&amp;"",""))</f>
        <v/>
      </c>
      <c r="N296" s="24" t="str">
        <f aca="false">IF($K296&lt;&gt;"",$K296,$M296)</f>
        <v/>
      </c>
      <c r="O296" s="24" t="str">
        <f aca="false">IF($F296="","",IFERROR(INDEX(Counterparties!$C:$C,MATCH($F296&amp;"",Counterparties!$A:$A,0))&amp;"",""))</f>
        <v/>
      </c>
      <c r="P296" s="24" t="str">
        <f aca="false">IF($O296="","",IF($O296="CY","CY",IF(ISNUMBER(MATCH($O296,Lists!$A:$A,0)),"EU","3RD")))</f>
        <v/>
      </c>
      <c r="Q296" s="24" t="str">
        <f aca="false">IF($F296="","N",IFERROR(IF(INDEX(Counterparties!$E:$E,MATCH($F296&amp;"",Counterparties!$A:$A,0))="Y","Y","N"),"N"))</f>
        <v>N</v>
      </c>
      <c r="R296" s="25" t="n">
        <f aca="false">IF(OR($H296="",$H296="EUR"),1,IFERROR(INDEX(FX_Rates!$D:$D,MATCH($H296,FX_Rates!$A:$A,0)),""))</f>
        <v>1</v>
      </c>
      <c r="S296" s="26" t="str">
        <f aca="false">IF(AND($I296="",$J296=""),"",IF($J296&lt;&gt;"",$J296,IF(OR($R296="",$R296=0),"",ROUND($I296/$R296,2))))</f>
        <v/>
      </c>
      <c r="T296" s="24" t="str">
        <f aca="false">IF($N296="","",IFERROR(INDEX(VAT_Codes!$C:$C,MATCH($N296,VAT_Codes!$A:$A,0)),"")&amp;"")</f>
        <v/>
      </c>
      <c r="U296" s="26" t="n">
        <f aca="false">IF(OR($S296="",$T296="",$T296="None"),0,IF($T296="Output",-$S296,$S296))</f>
        <v>0</v>
      </c>
      <c r="V296" s="27" t="n">
        <f aca="false">IF($N296="",0,IFERROR(INDEX(VAT_Codes!$D:$D,MATCH($N296,VAT_Codes!$A:$A,0)),0))</f>
        <v>0</v>
      </c>
      <c r="W296" s="26" t="n">
        <f aca="false">IF($U296=0,0,IF(IFERROR(INDEX(VAT_Codes!$F:$F,MATCH($N296,VAT_Codes!$A:$A,0)),"N")="Y",$U296,IF($L296&lt;&gt;"",ROUND(ABS($L296)/IF(OR($R296="",$R296=0),1,$R296),2)*SIGN($U296),ROUND($U296*$V296,2))))</f>
        <v>0</v>
      </c>
      <c r="X296" s="24" t="str">
        <f aca="false">IF($N296="","",IFERROR(INDEX(VAT_Codes!$H:$H,MATCH($N296,VAT_Codes!$A:$A,0)),"")&amp;"")</f>
        <v/>
      </c>
      <c r="Y296" s="24" t="str">
        <f aca="false">IF($A296="","",(YEAR($A296)-YEAR(Settings!$C$8))*12+MONTH($A296)-MONTH(Settings!$C$8)+1)</f>
        <v/>
      </c>
      <c r="Z296" s="24" t="str">
        <f aca="false">IF(AND($C296="",$I296="",$J296=""),"",IF($N296="","NO VAT CODE",IF($T296="","UNKNOWN VAT CODE",IF($S296="","MISSING FX RATE",IF(OR($A296&lt;Settings!$C$8,$A296&gt;Settings!$C$9),"OUTSIDE PERIOD",IF(AND(IFERROR(INDEX(VAT_Codes!$E:$E,MATCH($N296,VAT_Codes!$A:$A,0)),"ANY")&lt;&gt;"ANY",$P296=""),"MISSING COUNTERPARTY COUNTRY",IF(AND(IFERROR(INDEX(VAT_Codes!$E:$E,MATCH($N296,VAT_Codes!$A:$A,0)),"ANY")&lt;&gt;"ANY",$P296&lt;&gt;IFERROR(INDEX(VAT_Codes!$E:$E,MATCH($N296,VAT_Codes!$A:$A,0)),"ANY")),"REGION MISMATCH","OK")))))))</f>
        <v/>
      </c>
    </row>
    <row r="297" customFormat="false" ht="15" hidden="false" customHeight="false" outlineLevel="0" collapsed="false">
      <c r="M297" s="24" t="str">
        <f aca="false">IF($C297="","",IFERROR(INDEX(Account_Mapping!$C:$C,MATCH($C297&amp;"",Account_Mapping!$A:$A,0))&amp;"",""))</f>
        <v/>
      </c>
      <c r="N297" s="24" t="str">
        <f aca="false">IF($K297&lt;&gt;"",$K297,$M297)</f>
        <v/>
      </c>
      <c r="O297" s="24" t="str">
        <f aca="false">IF($F297="","",IFERROR(INDEX(Counterparties!$C:$C,MATCH($F297&amp;"",Counterparties!$A:$A,0))&amp;"",""))</f>
        <v/>
      </c>
      <c r="P297" s="24" t="str">
        <f aca="false">IF($O297="","",IF($O297="CY","CY",IF(ISNUMBER(MATCH($O297,Lists!$A:$A,0)),"EU","3RD")))</f>
        <v/>
      </c>
      <c r="Q297" s="24" t="str">
        <f aca="false">IF($F297="","N",IFERROR(IF(INDEX(Counterparties!$E:$E,MATCH($F297&amp;"",Counterparties!$A:$A,0))="Y","Y","N"),"N"))</f>
        <v>N</v>
      </c>
      <c r="R297" s="25" t="n">
        <f aca="false">IF(OR($H297="",$H297="EUR"),1,IFERROR(INDEX(FX_Rates!$D:$D,MATCH($H297,FX_Rates!$A:$A,0)),""))</f>
        <v>1</v>
      </c>
      <c r="S297" s="26" t="str">
        <f aca="false">IF(AND($I297="",$J297=""),"",IF($J297&lt;&gt;"",$J297,IF(OR($R297="",$R297=0),"",ROUND($I297/$R297,2))))</f>
        <v/>
      </c>
      <c r="T297" s="24" t="str">
        <f aca="false">IF($N297="","",IFERROR(INDEX(VAT_Codes!$C:$C,MATCH($N297,VAT_Codes!$A:$A,0)),"")&amp;"")</f>
        <v/>
      </c>
      <c r="U297" s="26" t="n">
        <f aca="false">IF(OR($S297="",$T297="",$T297="None"),0,IF($T297="Output",-$S297,$S297))</f>
        <v>0</v>
      </c>
      <c r="V297" s="27" t="n">
        <f aca="false">IF($N297="",0,IFERROR(INDEX(VAT_Codes!$D:$D,MATCH($N297,VAT_Codes!$A:$A,0)),0))</f>
        <v>0</v>
      </c>
      <c r="W297" s="26" t="n">
        <f aca="false">IF($U297=0,0,IF(IFERROR(INDEX(VAT_Codes!$F:$F,MATCH($N297,VAT_Codes!$A:$A,0)),"N")="Y",$U297,IF($L297&lt;&gt;"",ROUND(ABS($L297)/IF(OR($R297="",$R297=0),1,$R297),2)*SIGN($U297),ROUND($U297*$V297,2))))</f>
        <v>0</v>
      </c>
      <c r="X297" s="24" t="str">
        <f aca="false">IF($N297="","",IFERROR(INDEX(VAT_Codes!$H:$H,MATCH($N297,VAT_Codes!$A:$A,0)),"")&amp;"")</f>
        <v/>
      </c>
      <c r="Y297" s="24" t="str">
        <f aca="false">IF($A297="","",(YEAR($A297)-YEAR(Settings!$C$8))*12+MONTH($A297)-MONTH(Settings!$C$8)+1)</f>
        <v/>
      </c>
      <c r="Z297" s="24" t="str">
        <f aca="false">IF(AND($C297="",$I297="",$J297=""),"",IF($N297="","NO VAT CODE",IF($T297="","UNKNOWN VAT CODE",IF($S297="","MISSING FX RATE",IF(OR($A297&lt;Settings!$C$8,$A297&gt;Settings!$C$9),"OUTSIDE PERIOD",IF(AND(IFERROR(INDEX(VAT_Codes!$E:$E,MATCH($N297,VAT_Codes!$A:$A,0)),"ANY")&lt;&gt;"ANY",$P297=""),"MISSING COUNTERPARTY COUNTRY",IF(AND(IFERROR(INDEX(VAT_Codes!$E:$E,MATCH($N297,VAT_Codes!$A:$A,0)),"ANY")&lt;&gt;"ANY",$P297&lt;&gt;IFERROR(INDEX(VAT_Codes!$E:$E,MATCH($N297,VAT_Codes!$A:$A,0)),"ANY")),"REGION MISMATCH","OK")))))))</f>
        <v/>
      </c>
    </row>
    <row r="298" customFormat="false" ht="15" hidden="false" customHeight="false" outlineLevel="0" collapsed="false">
      <c r="M298" s="24" t="str">
        <f aca="false">IF($C298="","",IFERROR(INDEX(Account_Mapping!$C:$C,MATCH($C298&amp;"",Account_Mapping!$A:$A,0))&amp;"",""))</f>
        <v/>
      </c>
      <c r="N298" s="24" t="str">
        <f aca="false">IF($K298&lt;&gt;"",$K298,$M298)</f>
        <v/>
      </c>
      <c r="O298" s="24" t="str">
        <f aca="false">IF($F298="","",IFERROR(INDEX(Counterparties!$C:$C,MATCH($F298&amp;"",Counterparties!$A:$A,0))&amp;"",""))</f>
        <v/>
      </c>
      <c r="P298" s="24" t="str">
        <f aca="false">IF($O298="","",IF($O298="CY","CY",IF(ISNUMBER(MATCH($O298,Lists!$A:$A,0)),"EU","3RD")))</f>
        <v/>
      </c>
      <c r="Q298" s="24" t="str">
        <f aca="false">IF($F298="","N",IFERROR(IF(INDEX(Counterparties!$E:$E,MATCH($F298&amp;"",Counterparties!$A:$A,0))="Y","Y","N"),"N"))</f>
        <v>N</v>
      </c>
      <c r="R298" s="25" t="n">
        <f aca="false">IF(OR($H298="",$H298="EUR"),1,IFERROR(INDEX(FX_Rates!$D:$D,MATCH($H298,FX_Rates!$A:$A,0)),""))</f>
        <v>1</v>
      </c>
      <c r="S298" s="26" t="str">
        <f aca="false">IF(AND($I298="",$J298=""),"",IF($J298&lt;&gt;"",$J298,IF(OR($R298="",$R298=0),"",ROUND($I298/$R298,2))))</f>
        <v/>
      </c>
      <c r="T298" s="24" t="str">
        <f aca="false">IF($N298="","",IFERROR(INDEX(VAT_Codes!$C:$C,MATCH($N298,VAT_Codes!$A:$A,0)),"")&amp;"")</f>
        <v/>
      </c>
      <c r="U298" s="26" t="n">
        <f aca="false">IF(OR($S298="",$T298="",$T298="None"),0,IF($T298="Output",-$S298,$S298))</f>
        <v>0</v>
      </c>
      <c r="V298" s="27" t="n">
        <f aca="false">IF($N298="",0,IFERROR(INDEX(VAT_Codes!$D:$D,MATCH($N298,VAT_Codes!$A:$A,0)),0))</f>
        <v>0</v>
      </c>
      <c r="W298" s="26" t="n">
        <f aca="false">IF($U298=0,0,IF(IFERROR(INDEX(VAT_Codes!$F:$F,MATCH($N298,VAT_Codes!$A:$A,0)),"N")="Y",$U298,IF($L298&lt;&gt;"",ROUND(ABS($L298)/IF(OR($R298="",$R298=0),1,$R298),2)*SIGN($U298),ROUND($U298*$V298,2))))</f>
        <v>0</v>
      </c>
      <c r="X298" s="24" t="str">
        <f aca="false">IF($N298="","",IFERROR(INDEX(VAT_Codes!$H:$H,MATCH($N298,VAT_Codes!$A:$A,0)),"")&amp;"")</f>
        <v/>
      </c>
      <c r="Y298" s="24" t="str">
        <f aca="false">IF($A298="","",(YEAR($A298)-YEAR(Settings!$C$8))*12+MONTH($A298)-MONTH(Settings!$C$8)+1)</f>
        <v/>
      </c>
      <c r="Z298" s="24" t="str">
        <f aca="false">IF(AND($C298="",$I298="",$J298=""),"",IF($N298="","NO VAT CODE",IF($T298="","UNKNOWN VAT CODE",IF($S298="","MISSING FX RATE",IF(OR($A298&lt;Settings!$C$8,$A298&gt;Settings!$C$9),"OUTSIDE PERIOD",IF(AND(IFERROR(INDEX(VAT_Codes!$E:$E,MATCH($N298,VAT_Codes!$A:$A,0)),"ANY")&lt;&gt;"ANY",$P298=""),"MISSING COUNTERPARTY COUNTRY",IF(AND(IFERROR(INDEX(VAT_Codes!$E:$E,MATCH($N298,VAT_Codes!$A:$A,0)),"ANY")&lt;&gt;"ANY",$P298&lt;&gt;IFERROR(INDEX(VAT_Codes!$E:$E,MATCH($N298,VAT_Codes!$A:$A,0)),"ANY")),"REGION MISMATCH","OK")))))))</f>
        <v/>
      </c>
    </row>
    <row r="299" customFormat="false" ht="15" hidden="false" customHeight="false" outlineLevel="0" collapsed="false">
      <c r="M299" s="24" t="str">
        <f aca="false">IF($C299="","",IFERROR(INDEX(Account_Mapping!$C:$C,MATCH($C299&amp;"",Account_Mapping!$A:$A,0))&amp;"",""))</f>
        <v/>
      </c>
      <c r="N299" s="24" t="str">
        <f aca="false">IF($K299&lt;&gt;"",$K299,$M299)</f>
        <v/>
      </c>
      <c r="O299" s="24" t="str">
        <f aca="false">IF($F299="","",IFERROR(INDEX(Counterparties!$C:$C,MATCH($F299&amp;"",Counterparties!$A:$A,0))&amp;"",""))</f>
        <v/>
      </c>
      <c r="P299" s="24" t="str">
        <f aca="false">IF($O299="","",IF($O299="CY","CY",IF(ISNUMBER(MATCH($O299,Lists!$A:$A,0)),"EU","3RD")))</f>
        <v/>
      </c>
      <c r="Q299" s="24" t="str">
        <f aca="false">IF($F299="","N",IFERROR(IF(INDEX(Counterparties!$E:$E,MATCH($F299&amp;"",Counterparties!$A:$A,0))="Y","Y","N"),"N"))</f>
        <v>N</v>
      </c>
      <c r="R299" s="25" t="n">
        <f aca="false">IF(OR($H299="",$H299="EUR"),1,IFERROR(INDEX(FX_Rates!$D:$D,MATCH($H299,FX_Rates!$A:$A,0)),""))</f>
        <v>1</v>
      </c>
      <c r="S299" s="26" t="str">
        <f aca="false">IF(AND($I299="",$J299=""),"",IF($J299&lt;&gt;"",$J299,IF(OR($R299="",$R299=0),"",ROUND($I299/$R299,2))))</f>
        <v/>
      </c>
      <c r="T299" s="24" t="str">
        <f aca="false">IF($N299="","",IFERROR(INDEX(VAT_Codes!$C:$C,MATCH($N299,VAT_Codes!$A:$A,0)),"")&amp;"")</f>
        <v/>
      </c>
      <c r="U299" s="26" t="n">
        <f aca="false">IF(OR($S299="",$T299="",$T299="None"),0,IF($T299="Output",-$S299,$S299))</f>
        <v>0</v>
      </c>
      <c r="V299" s="27" t="n">
        <f aca="false">IF($N299="",0,IFERROR(INDEX(VAT_Codes!$D:$D,MATCH($N299,VAT_Codes!$A:$A,0)),0))</f>
        <v>0</v>
      </c>
      <c r="W299" s="26" t="n">
        <f aca="false">IF($U299=0,0,IF(IFERROR(INDEX(VAT_Codes!$F:$F,MATCH($N299,VAT_Codes!$A:$A,0)),"N")="Y",$U299,IF($L299&lt;&gt;"",ROUND(ABS($L299)/IF(OR($R299="",$R299=0),1,$R299),2)*SIGN($U299),ROUND($U299*$V299,2))))</f>
        <v>0</v>
      </c>
      <c r="X299" s="24" t="str">
        <f aca="false">IF($N299="","",IFERROR(INDEX(VAT_Codes!$H:$H,MATCH($N299,VAT_Codes!$A:$A,0)),"")&amp;"")</f>
        <v/>
      </c>
      <c r="Y299" s="24" t="str">
        <f aca="false">IF($A299="","",(YEAR($A299)-YEAR(Settings!$C$8))*12+MONTH($A299)-MONTH(Settings!$C$8)+1)</f>
        <v/>
      </c>
      <c r="Z299" s="24" t="str">
        <f aca="false">IF(AND($C299="",$I299="",$J299=""),"",IF($N299="","NO VAT CODE",IF($T299="","UNKNOWN VAT CODE",IF($S299="","MISSING FX RATE",IF(OR($A299&lt;Settings!$C$8,$A299&gt;Settings!$C$9),"OUTSIDE PERIOD",IF(AND(IFERROR(INDEX(VAT_Codes!$E:$E,MATCH($N299,VAT_Codes!$A:$A,0)),"ANY")&lt;&gt;"ANY",$P299=""),"MISSING COUNTERPARTY COUNTRY",IF(AND(IFERROR(INDEX(VAT_Codes!$E:$E,MATCH($N299,VAT_Codes!$A:$A,0)),"ANY")&lt;&gt;"ANY",$P299&lt;&gt;IFERROR(INDEX(VAT_Codes!$E:$E,MATCH($N299,VAT_Codes!$A:$A,0)),"ANY")),"REGION MISMATCH","OK")))))))</f>
        <v/>
      </c>
    </row>
    <row r="300" customFormat="false" ht="15" hidden="false" customHeight="false" outlineLevel="0" collapsed="false">
      <c r="M300" s="24" t="str">
        <f aca="false">IF($C300="","",IFERROR(INDEX(Account_Mapping!$C:$C,MATCH($C300&amp;"",Account_Mapping!$A:$A,0))&amp;"",""))</f>
        <v/>
      </c>
      <c r="N300" s="24" t="str">
        <f aca="false">IF($K300&lt;&gt;"",$K300,$M300)</f>
        <v/>
      </c>
      <c r="O300" s="24" t="str">
        <f aca="false">IF($F300="","",IFERROR(INDEX(Counterparties!$C:$C,MATCH($F300&amp;"",Counterparties!$A:$A,0))&amp;"",""))</f>
        <v/>
      </c>
      <c r="P300" s="24" t="str">
        <f aca="false">IF($O300="","",IF($O300="CY","CY",IF(ISNUMBER(MATCH($O300,Lists!$A:$A,0)),"EU","3RD")))</f>
        <v/>
      </c>
      <c r="Q300" s="24" t="str">
        <f aca="false">IF($F300="","N",IFERROR(IF(INDEX(Counterparties!$E:$E,MATCH($F300&amp;"",Counterparties!$A:$A,0))="Y","Y","N"),"N"))</f>
        <v>N</v>
      </c>
      <c r="R300" s="25" t="n">
        <f aca="false">IF(OR($H300="",$H300="EUR"),1,IFERROR(INDEX(FX_Rates!$D:$D,MATCH($H300,FX_Rates!$A:$A,0)),""))</f>
        <v>1</v>
      </c>
      <c r="S300" s="26" t="str">
        <f aca="false">IF(AND($I300="",$J300=""),"",IF($J300&lt;&gt;"",$J300,IF(OR($R300="",$R300=0),"",ROUND($I300/$R300,2))))</f>
        <v/>
      </c>
      <c r="T300" s="24" t="str">
        <f aca="false">IF($N300="","",IFERROR(INDEX(VAT_Codes!$C:$C,MATCH($N300,VAT_Codes!$A:$A,0)),"")&amp;"")</f>
        <v/>
      </c>
      <c r="U300" s="26" t="n">
        <f aca="false">IF(OR($S300="",$T300="",$T300="None"),0,IF($T300="Output",-$S300,$S300))</f>
        <v>0</v>
      </c>
      <c r="V300" s="27" t="n">
        <f aca="false">IF($N300="",0,IFERROR(INDEX(VAT_Codes!$D:$D,MATCH($N300,VAT_Codes!$A:$A,0)),0))</f>
        <v>0</v>
      </c>
      <c r="W300" s="26" t="n">
        <f aca="false">IF($U300=0,0,IF(IFERROR(INDEX(VAT_Codes!$F:$F,MATCH($N300,VAT_Codes!$A:$A,0)),"N")="Y",$U300,IF($L300&lt;&gt;"",ROUND(ABS($L300)/IF(OR($R300="",$R300=0),1,$R300),2)*SIGN($U300),ROUND($U300*$V300,2))))</f>
        <v>0</v>
      </c>
      <c r="X300" s="24" t="str">
        <f aca="false">IF($N300="","",IFERROR(INDEX(VAT_Codes!$H:$H,MATCH($N300,VAT_Codes!$A:$A,0)),"")&amp;"")</f>
        <v/>
      </c>
      <c r="Y300" s="24" t="str">
        <f aca="false">IF($A300="","",(YEAR($A300)-YEAR(Settings!$C$8))*12+MONTH($A300)-MONTH(Settings!$C$8)+1)</f>
        <v/>
      </c>
      <c r="Z300" s="24" t="str">
        <f aca="false">IF(AND($C300="",$I300="",$J300=""),"",IF($N300="","NO VAT CODE",IF($T300="","UNKNOWN VAT CODE",IF($S300="","MISSING FX RATE",IF(OR($A300&lt;Settings!$C$8,$A300&gt;Settings!$C$9),"OUTSIDE PERIOD",IF(AND(IFERROR(INDEX(VAT_Codes!$E:$E,MATCH($N300,VAT_Codes!$A:$A,0)),"ANY")&lt;&gt;"ANY",$P300=""),"MISSING COUNTERPARTY COUNTRY",IF(AND(IFERROR(INDEX(VAT_Codes!$E:$E,MATCH($N300,VAT_Codes!$A:$A,0)),"ANY")&lt;&gt;"ANY",$P300&lt;&gt;IFERROR(INDEX(VAT_Codes!$E:$E,MATCH($N300,VAT_Codes!$A:$A,0)),"ANY")),"REGION MISMATCH","OK")))))))</f>
        <v/>
      </c>
    </row>
    <row r="301" customFormat="false" ht="15" hidden="false" customHeight="false" outlineLevel="0" collapsed="false">
      <c r="M301" s="24" t="str">
        <f aca="false">IF($C301="","",IFERROR(INDEX(Account_Mapping!$C:$C,MATCH($C301&amp;"",Account_Mapping!$A:$A,0))&amp;"",""))</f>
        <v/>
      </c>
      <c r="N301" s="24" t="str">
        <f aca="false">IF($K301&lt;&gt;"",$K301,$M301)</f>
        <v/>
      </c>
      <c r="O301" s="24" t="str">
        <f aca="false">IF($F301="","",IFERROR(INDEX(Counterparties!$C:$C,MATCH($F301&amp;"",Counterparties!$A:$A,0))&amp;"",""))</f>
        <v/>
      </c>
      <c r="P301" s="24" t="str">
        <f aca="false">IF($O301="","",IF($O301="CY","CY",IF(ISNUMBER(MATCH($O301,Lists!$A:$A,0)),"EU","3RD")))</f>
        <v/>
      </c>
      <c r="Q301" s="24" t="str">
        <f aca="false">IF($F301="","N",IFERROR(IF(INDEX(Counterparties!$E:$E,MATCH($F301&amp;"",Counterparties!$A:$A,0))="Y","Y","N"),"N"))</f>
        <v>N</v>
      </c>
      <c r="R301" s="25" t="n">
        <f aca="false">IF(OR($H301="",$H301="EUR"),1,IFERROR(INDEX(FX_Rates!$D:$D,MATCH($H301,FX_Rates!$A:$A,0)),""))</f>
        <v>1</v>
      </c>
      <c r="S301" s="26" t="str">
        <f aca="false">IF(AND($I301="",$J301=""),"",IF($J301&lt;&gt;"",$J301,IF(OR($R301="",$R301=0),"",ROUND($I301/$R301,2))))</f>
        <v/>
      </c>
      <c r="T301" s="24" t="str">
        <f aca="false">IF($N301="","",IFERROR(INDEX(VAT_Codes!$C:$C,MATCH($N301,VAT_Codes!$A:$A,0)),"")&amp;"")</f>
        <v/>
      </c>
      <c r="U301" s="26" t="n">
        <f aca="false">IF(OR($S301="",$T301="",$T301="None"),0,IF($T301="Output",-$S301,$S301))</f>
        <v>0</v>
      </c>
      <c r="V301" s="27" t="n">
        <f aca="false">IF($N301="",0,IFERROR(INDEX(VAT_Codes!$D:$D,MATCH($N301,VAT_Codes!$A:$A,0)),0))</f>
        <v>0</v>
      </c>
      <c r="W301" s="26" t="n">
        <f aca="false">IF($U301=0,0,IF(IFERROR(INDEX(VAT_Codes!$F:$F,MATCH($N301,VAT_Codes!$A:$A,0)),"N")="Y",$U301,IF($L301&lt;&gt;"",ROUND(ABS($L301)/IF(OR($R301="",$R301=0),1,$R301),2)*SIGN($U301),ROUND($U301*$V301,2))))</f>
        <v>0</v>
      </c>
      <c r="X301" s="24" t="str">
        <f aca="false">IF($N301="","",IFERROR(INDEX(VAT_Codes!$H:$H,MATCH($N301,VAT_Codes!$A:$A,0)),"")&amp;"")</f>
        <v/>
      </c>
      <c r="Y301" s="24" t="str">
        <f aca="false">IF($A301="","",(YEAR($A301)-YEAR(Settings!$C$8))*12+MONTH($A301)-MONTH(Settings!$C$8)+1)</f>
        <v/>
      </c>
      <c r="Z301" s="24" t="str">
        <f aca="false">IF(AND($C301="",$I301="",$J301=""),"",IF($N301="","NO VAT CODE",IF($T301="","UNKNOWN VAT CODE",IF($S301="","MISSING FX RATE",IF(OR($A301&lt;Settings!$C$8,$A301&gt;Settings!$C$9),"OUTSIDE PERIOD",IF(AND(IFERROR(INDEX(VAT_Codes!$E:$E,MATCH($N301,VAT_Codes!$A:$A,0)),"ANY")&lt;&gt;"ANY",$P301=""),"MISSING COUNTERPARTY COUNTRY",IF(AND(IFERROR(INDEX(VAT_Codes!$E:$E,MATCH($N301,VAT_Codes!$A:$A,0)),"ANY")&lt;&gt;"ANY",$P301&lt;&gt;IFERROR(INDEX(VAT_Codes!$E:$E,MATCH($N301,VAT_Codes!$A:$A,0)),"ANY")),"REGION MISMATCH","OK")))))))</f>
        <v/>
      </c>
    </row>
    <row r="302" customFormat="false" ht="15" hidden="false" customHeight="false" outlineLevel="0" collapsed="false">
      <c r="M302" s="24" t="str">
        <f aca="false">IF($C302="","",IFERROR(INDEX(Account_Mapping!$C:$C,MATCH($C302&amp;"",Account_Mapping!$A:$A,0))&amp;"",""))</f>
        <v/>
      </c>
      <c r="N302" s="24" t="str">
        <f aca="false">IF($K302&lt;&gt;"",$K302,$M302)</f>
        <v/>
      </c>
      <c r="O302" s="24" t="str">
        <f aca="false">IF($F302="","",IFERROR(INDEX(Counterparties!$C:$C,MATCH($F302&amp;"",Counterparties!$A:$A,0))&amp;"",""))</f>
        <v/>
      </c>
      <c r="P302" s="24" t="str">
        <f aca="false">IF($O302="","",IF($O302="CY","CY",IF(ISNUMBER(MATCH($O302,Lists!$A:$A,0)),"EU","3RD")))</f>
        <v/>
      </c>
      <c r="Q302" s="24" t="str">
        <f aca="false">IF($F302="","N",IFERROR(IF(INDEX(Counterparties!$E:$E,MATCH($F302&amp;"",Counterparties!$A:$A,0))="Y","Y","N"),"N"))</f>
        <v>N</v>
      </c>
      <c r="R302" s="25" t="n">
        <f aca="false">IF(OR($H302="",$H302="EUR"),1,IFERROR(INDEX(FX_Rates!$D:$D,MATCH($H302,FX_Rates!$A:$A,0)),""))</f>
        <v>1</v>
      </c>
      <c r="S302" s="26" t="str">
        <f aca="false">IF(AND($I302="",$J302=""),"",IF($J302&lt;&gt;"",$J302,IF(OR($R302="",$R302=0),"",ROUND($I302/$R302,2))))</f>
        <v/>
      </c>
      <c r="T302" s="24" t="str">
        <f aca="false">IF($N302="","",IFERROR(INDEX(VAT_Codes!$C:$C,MATCH($N302,VAT_Codes!$A:$A,0)),"")&amp;"")</f>
        <v/>
      </c>
      <c r="U302" s="26" t="n">
        <f aca="false">IF(OR($S302="",$T302="",$T302="None"),0,IF($T302="Output",-$S302,$S302))</f>
        <v>0</v>
      </c>
      <c r="V302" s="27" t="n">
        <f aca="false">IF($N302="",0,IFERROR(INDEX(VAT_Codes!$D:$D,MATCH($N302,VAT_Codes!$A:$A,0)),0))</f>
        <v>0</v>
      </c>
      <c r="W302" s="26" t="n">
        <f aca="false">IF($U302=0,0,IF(IFERROR(INDEX(VAT_Codes!$F:$F,MATCH($N302,VAT_Codes!$A:$A,0)),"N")="Y",$U302,IF($L302&lt;&gt;"",ROUND(ABS($L302)/IF(OR($R302="",$R302=0),1,$R302),2)*SIGN($U302),ROUND($U302*$V302,2))))</f>
        <v>0</v>
      </c>
      <c r="X302" s="24" t="str">
        <f aca="false">IF($N302="","",IFERROR(INDEX(VAT_Codes!$H:$H,MATCH($N302,VAT_Codes!$A:$A,0)),"")&amp;"")</f>
        <v/>
      </c>
      <c r="Y302" s="24" t="str">
        <f aca="false">IF($A302="","",(YEAR($A302)-YEAR(Settings!$C$8))*12+MONTH($A302)-MONTH(Settings!$C$8)+1)</f>
        <v/>
      </c>
      <c r="Z302" s="24" t="str">
        <f aca="false">IF(AND($C302="",$I302="",$J302=""),"",IF($N302="","NO VAT CODE",IF($T302="","UNKNOWN VAT CODE",IF($S302="","MISSING FX RATE",IF(OR($A302&lt;Settings!$C$8,$A302&gt;Settings!$C$9),"OUTSIDE PERIOD",IF(AND(IFERROR(INDEX(VAT_Codes!$E:$E,MATCH($N302,VAT_Codes!$A:$A,0)),"ANY")&lt;&gt;"ANY",$P302=""),"MISSING COUNTERPARTY COUNTRY",IF(AND(IFERROR(INDEX(VAT_Codes!$E:$E,MATCH($N302,VAT_Codes!$A:$A,0)),"ANY")&lt;&gt;"ANY",$P302&lt;&gt;IFERROR(INDEX(VAT_Codes!$E:$E,MATCH($N302,VAT_Codes!$A:$A,0)),"ANY")),"REGION MISMATCH","OK")))))))</f>
        <v/>
      </c>
    </row>
    <row r="303" customFormat="false" ht="15" hidden="false" customHeight="false" outlineLevel="0" collapsed="false">
      <c r="M303" s="24" t="str">
        <f aca="false">IF($C303="","",IFERROR(INDEX(Account_Mapping!$C:$C,MATCH($C303&amp;"",Account_Mapping!$A:$A,0))&amp;"",""))</f>
        <v/>
      </c>
      <c r="N303" s="24" t="str">
        <f aca="false">IF($K303&lt;&gt;"",$K303,$M303)</f>
        <v/>
      </c>
      <c r="O303" s="24" t="str">
        <f aca="false">IF($F303="","",IFERROR(INDEX(Counterparties!$C:$C,MATCH($F303&amp;"",Counterparties!$A:$A,0))&amp;"",""))</f>
        <v/>
      </c>
      <c r="P303" s="24" t="str">
        <f aca="false">IF($O303="","",IF($O303="CY","CY",IF(ISNUMBER(MATCH($O303,Lists!$A:$A,0)),"EU","3RD")))</f>
        <v/>
      </c>
      <c r="Q303" s="24" t="str">
        <f aca="false">IF($F303="","N",IFERROR(IF(INDEX(Counterparties!$E:$E,MATCH($F303&amp;"",Counterparties!$A:$A,0))="Y","Y","N"),"N"))</f>
        <v>N</v>
      </c>
      <c r="R303" s="25" t="n">
        <f aca="false">IF(OR($H303="",$H303="EUR"),1,IFERROR(INDEX(FX_Rates!$D:$D,MATCH($H303,FX_Rates!$A:$A,0)),""))</f>
        <v>1</v>
      </c>
      <c r="S303" s="26" t="str">
        <f aca="false">IF(AND($I303="",$J303=""),"",IF($J303&lt;&gt;"",$J303,IF(OR($R303="",$R303=0),"",ROUND($I303/$R303,2))))</f>
        <v/>
      </c>
      <c r="T303" s="24" t="str">
        <f aca="false">IF($N303="","",IFERROR(INDEX(VAT_Codes!$C:$C,MATCH($N303,VAT_Codes!$A:$A,0)),"")&amp;"")</f>
        <v/>
      </c>
      <c r="U303" s="26" t="n">
        <f aca="false">IF(OR($S303="",$T303="",$T303="None"),0,IF($T303="Output",-$S303,$S303))</f>
        <v>0</v>
      </c>
      <c r="V303" s="27" t="n">
        <f aca="false">IF($N303="",0,IFERROR(INDEX(VAT_Codes!$D:$D,MATCH($N303,VAT_Codes!$A:$A,0)),0))</f>
        <v>0</v>
      </c>
      <c r="W303" s="26" t="n">
        <f aca="false">IF($U303=0,0,IF(IFERROR(INDEX(VAT_Codes!$F:$F,MATCH($N303,VAT_Codes!$A:$A,0)),"N")="Y",$U303,IF($L303&lt;&gt;"",ROUND(ABS($L303)/IF(OR($R303="",$R303=0),1,$R303),2)*SIGN($U303),ROUND($U303*$V303,2))))</f>
        <v>0</v>
      </c>
      <c r="X303" s="24" t="str">
        <f aca="false">IF($N303="","",IFERROR(INDEX(VAT_Codes!$H:$H,MATCH($N303,VAT_Codes!$A:$A,0)),"")&amp;"")</f>
        <v/>
      </c>
      <c r="Y303" s="24" t="str">
        <f aca="false">IF($A303="","",(YEAR($A303)-YEAR(Settings!$C$8))*12+MONTH($A303)-MONTH(Settings!$C$8)+1)</f>
        <v/>
      </c>
      <c r="Z303" s="24" t="str">
        <f aca="false">IF(AND($C303="",$I303="",$J303=""),"",IF($N303="","NO VAT CODE",IF($T303="","UNKNOWN VAT CODE",IF($S303="","MISSING FX RATE",IF(OR($A303&lt;Settings!$C$8,$A303&gt;Settings!$C$9),"OUTSIDE PERIOD",IF(AND(IFERROR(INDEX(VAT_Codes!$E:$E,MATCH($N303,VAT_Codes!$A:$A,0)),"ANY")&lt;&gt;"ANY",$P303=""),"MISSING COUNTERPARTY COUNTRY",IF(AND(IFERROR(INDEX(VAT_Codes!$E:$E,MATCH($N303,VAT_Codes!$A:$A,0)),"ANY")&lt;&gt;"ANY",$P303&lt;&gt;IFERROR(INDEX(VAT_Codes!$E:$E,MATCH($N303,VAT_Codes!$A:$A,0)),"ANY")),"REGION MISMATCH","OK")))))))</f>
        <v/>
      </c>
    </row>
    <row r="304" customFormat="false" ht="15" hidden="false" customHeight="false" outlineLevel="0" collapsed="false">
      <c r="M304" s="24" t="str">
        <f aca="false">IF($C304="","",IFERROR(INDEX(Account_Mapping!$C:$C,MATCH($C304&amp;"",Account_Mapping!$A:$A,0))&amp;"",""))</f>
        <v/>
      </c>
      <c r="N304" s="24" t="str">
        <f aca="false">IF($K304&lt;&gt;"",$K304,$M304)</f>
        <v/>
      </c>
      <c r="O304" s="24" t="str">
        <f aca="false">IF($F304="","",IFERROR(INDEX(Counterparties!$C:$C,MATCH($F304&amp;"",Counterparties!$A:$A,0))&amp;"",""))</f>
        <v/>
      </c>
      <c r="P304" s="24" t="str">
        <f aca="false">IF($O304="","",IF($O304="CY","CY",IF(ISNUMBER(MATCH($O304,Lists!$A:$A,0)),"EU","3RD")))</f>
        <v/>
      </c>
      <c r="Q304" s="24" t="str">
        <f aca="false">IF($F304="","N",IFERROR(IF(INDEX(Counterparties!$E:$E,MATCH($F304&amp;"",Counterparties!$A:$A,0))="Y","Y","N"),"N"))</f>
        <v>N</v>
      </c>
      <c r="R304" s="25" t="n">
        <f aca="false">IF(OR($H304="",$H304="EUR"),1,IFERROR(INDEX(FX_Rates!$D:$D,MATCH($H304,FX_Rates!$A:$A,0)),""))</f>
        <v>1</v>
      </c>
      <c r="S304" s="26" t="str">
        <f aca="false">IF(AND($I304="",$J304=""),"",IF($J304&lt;&gt;"",$J304,IF(OR($R304="",$R304=0),"",ROUND($I304/$R304,2))))</f>
        <v/>
      </c>
      <c r="T304" s="24" t="str">
        <f aca="false">IF($N304="","",IFERROR(INDEX(VAT_Codes!$C:$C,MATCH($N304,VAT_Codes!$A:$A,0)),"")&amp;"")</f>
        <v/>
      </c>
      <c r="U304" s="26" t="n">
        <f aca="false">IF(OR($S304="",$T304="",$T304="None"),0,IF($T304="Output",-$S304,$S304))</f>
        <v>0</v>
      </c>
      <c r="V304" s="27" t="n">
        <f aca="false">IF($N304="",0,IFERROR(INDEX(VAT_Codes!$D:$D,MATCH($N304,VAT_Codes!$A:$A,0)),0))</f>
        <v>0</v>
      </c>
      <c r="W304" s="26" t="n">
        <f aca="false">IF($U304=0,0,IF(IFERROR(INDEX(VAT_Codes!$F:$F,MATCH($N304,VAT_Codes!$A:$A,0)),"N")="Y",$U304,IF($L304&lt;&gt;"",ROUND(ABS($L304)/IF(OR($R304="",$R304=0),1,$R304),2)*SIGN($U304),ROUND($U304*$V304,2))))</f>
        <v>0</v>
      </c>
      <c r="X304" s="24" t="str">
        <f aca="false">IF($N304="","",IFERROR(INDEX(VAT_Codes!$H:$H,MATCH($N304,VAT_Codes!$A:$A,0)),"")&amp;"")</f>
        <v/>
      </c>
      <c r="Y304" s="24" t="str">
        <f aca="false">IF($A304="","",(YEAR($A304)-YEAR(Settings!$C$8))*12+MONTH($A304)-MONTH(Settings!$C$8)+1)</f>
        <v/>
      </c>
      <c r="Z304" s="24" t="str">
        <f aca="false">IF(AND($C304="",$I304="",$J304=""),"",IF($N304="","NO VAT CODE",IF($T304="","UNKNOWN VAT CODE",IF($S304="","MISSING FX RATE",IF(OR($A304&lt;Settings!$C$8,$A304&gt;Settings!$C$9),"OUTSIDE PERIOD",IF(AND(IFERROR(INDEX(VAT_Codes!$E:$E,MATCH($N304,VAT_Codes!$A:$A,0)),"ANY")&lt;&gt;"ANY",$P304=""),"MISSING COUNTERPARTY COUNTRY",IF(AND(IFERROR(INDEX(VAT_Codes!$E:$E,MATCH($N304,VAT_Codes!$A:$A,0)),"ANY")&lt;&gt;"ANY",$P304&lt;&gt;IFERROR(INDEX(VAT_Codes!$E:$E,MATCH($N304,VAT_Codes!$A:$A,0)),"ANY")),"REGION MISMATCH","OK")))))))</f>
        <v/>
      </c>
    </row>
    <row r="305" customFormat="false" ht="15" hidden="false" customHeight="false" outlineLevel="0" collapsed="false">
      <c r="M305" s="24" t="str">
        <f aca="false">IF($C305="","",IFERROR(INDEX(Account_Mapping!$C:$C,MATCH($C305&amp;"",Account_Mapping!$A:$A,0))&amp;"",""))</f>
        <v/>
      </c>
      <c r="N305" s="24" t="str">
        <f aca="false">IF($K305&lt;&gt;"",$K305,$M305)</f>
        <v/>
      </c>
      <c r="O305" s="24" t="str">
        <f aca="false">IF($F305="","",IFERROR(INDEX(Counterparties!$C:$C,MATCH($F305&amp;"",Counterparties!$A:$A,0))&amp;"",""))</f>
        <v/>
      </c>
      <c r="P305" s="24" t="str">
        <f aca="false">IF($O305="","",IF($O305="CY","CY",IF(ISNUMBER(MATCH($O305,Lists!$A:$A,0)),"EU","3RD")))</f>
        <v/>
      </c>
      <c r="Q305" s="24" t="str">
        <f aca="false">IF($F305="","N",IFERROR(IF(INDEX(Counterparties!$E:$E,MATCH($F305&amp;"",Counterparties!$A:$A,0))="Y","Y","N"),"N"))</f>
        <v>N</v>
      </c>
      <c r="R305" s="25" t="n">
        <f aca="false">IF(OR($H305="",$H305="EUR"),1,IFERROR(INDEX(FX_Rates!$D:$D,MATCH($H305,FX_Rates!$A:$A,0)),""))</f>
        <v>1</v>
      </c>
      <c r="S305" s="26" t="str">
        <f aca="false">IF(AND($I305="",$J305=""),"",IF($J305&lt;&gt;"",$J305,IF(OR($R305="",$R305=0),"",ROUND($I305/$R305,2))))</f>
        <v/>
      </c>
      <c r="T305" s="24" t="str">
        <f aca="false">IF($N305="","",IFERROR(INDEX(VAT_Codes!$C:$C,MATCH($N305,VAT_Codes!$A:$A,0)),"")&amp;"")</f>
        <v/>
      </c>
      <c r="U305" s="26" t="n">
        <f aca="false">IF(OR($S305="",$T305="",$T305="None"),0,IF($T305="Output",-$S305,$S305))</f>
        <v>0</v>
      </c>
      <c r="V305" s="27" t="n">
        <f aca="false">IF($N305="",0,IFERROR(INDEX(VAT_Codes!$D:$D,MATCH($N305,VAT_Codes!$A:$A,0)),0))</f>
        <v>0</v>
      </c>
      <c r="W305" s="26" t="n">
        <f aca="false">IF($U305=0,0,IF(IFERROR(INDEX(VAT_Codes!$F:$F,MATCH($N305,VAT_Codes!$A:$A,0)),"N")="Y",$U305,IF($L305&lt;&gt;"",ROUND(ABS($L305)/IF(OR($R305="",$R305=0),1,$R305),2)*SIGN($U305),ROUND($U305*$V305,2))))</f>
        <v>0</v>
      </c>
      <c r="X305" s="24" t="str">
        <f aca="false">IF($N305="","",IFERROR(INDEX(VAT_Codes!$H:$H,MATCH($N305,VAT_Codes!$A:$A,0)),"")&amp;"")</f>
        <v/>
      </c>
      <c r="Y305" s="24" t="str">
        <f aca="false">IF($A305="","",(YEAR($A305)-YEAR(Settings!$C$8))*12+MONTH($A305)-MONTH(Settings!$C$8)+1)</f>
        <v/>
      </c>
      <c r="Z305" s="24" t="str">
        <f aca="false">IF(AND($C305="",$I305="",$J305=""),"",IF($N305="","NO VAT CODE",IF($T305="","UNKNOWN VAT CODE",IF($S305="","MISSING FX RATE",IF(OR($A305&lt;Settings!$C$8,$A305&gt;Settings!$C$9),"OUTSIDE PERIOD",IF(AND(IFERROR(INDEX(VAT_Codes!$E:$E,MATCH($N305,VAT_Codes!$A:$A,0)),"ANY")&lt;&gt;"ANY",$P305=""),"MISSING COUNTERPARTY COUNTRY",IF(AND(IFERROR(INDEX(VAT_Codes!$E:$E,MATCH($N305,VAT_Codes!$A:$A,0)),"ANY")&lt;&gt;"ANY",$P305&lt;&gt;IFERROR(INDEX(VAT_Codes!$E:$E,MATCH($N305,VAT_Codes!$A:$A,0)),"ANY")),"REGION MISMATCH","OK")))))))</f>
        <v/>
      </c>
    </row>
    <row r="306" customFormat="false" ht="15" hidden="false" customHeight="false" outlineLevel="0" collapsed="false">
      <c r="M306" s="24" t="str">
        <f aca="false">IF($C306="","",IFERROR(INDEX(Account_Mapping!$C:$C,MATCH($C306&amp;"",Account_Mapping!$A:$A,0))&amp;"",""))</f>
        <v/>
      </c>
      <c r="N306" s="24" t="str">
        <f aca="false">IF($K306&lt;&gt;"",$K306,$M306)</f>
        <v/>
      </c>
      <c r="O306" s="24" t="str">
        <f aca="false">IF($F306="","",IFERROR(INDEX(Counterparties!$C:$C,MATCH($F306&amp;"",Counterparties!$A:$A,0))&amp;"",""))</f>
        <v/>
      </c>
      <c r="P306" s="24" t="str">
        <f aca="false">IF($O306="","",IF($O306="CY","CY",IF(ISNUMBER(MATCH($O306,Lists!$A:$A,0)),"EU","3RD")))</f>
        <v/>
      </c>
      <c r="Q306" s="24" t="str">
        <f aca="false">IF($F306="","N",IFERROR(IF(INDEX(Counterparties!$E:$E,MATCH($F306&amp;"",Counterparties!$A:$A,0))="Y","Y","N"),"N"))</f>
        <v>N</v>
      </c>
      <c r="R306" s="25" t="n">
        <f aca="false">IF(OR($H306="",$H306="EUR"),1,IFERROR(INDEX(FX_Rates!$D:$D,MATCH($H306,FX_Rates!$A:$A,0)),""))</f>
        <v>1</v>
      </c>
      <c r="S306" s="26" t="str">
        <f aca="false">IF(AND($I306="",$J306=""),"",IF($J306&lt;&gt;"",$J306,IF(OR($R306="",$R306=0),"",ROUND($I306/$R306,2))))</f>
        <v/>
      </c>
      <c r="T306" s="24" t="str">
        <f aca="false">IF($N306="","",IFERROR(INDEX(VAT_Codes!$C:$C,MATCH($N306,VAT_Codes!$A:$A,0)),"")&amp;"")</f>
        <v/>
      </c>
      <c r="U306" s="26" t="n">
        <f aca="false">IF(OR($S306="",$T306="",$T306="None"),0,IF($T306="Output",-$S306,$S306))</f>
        <v>0</v>
      </c>
      <c r="V306" s="27" t="n">
        <f aca="false">IF($N306="",0,IFERROR(INDEX(VAT_Codes!$D:$D,MATCH($N306,VAT_Codes!$A:$A,0)),0))</f>
        <v>0</v>
      </c>
      <c r="W306" s="26" t="n">
        <f aca="false">IF($U306=0,0,IF(IFERROR(INDEX(VAT_Codes!$F:$F,MATCH($N306,VAT_Codes!$A:$A,0)),"N")="Y",$U306,IF($L306&lt;&gt;"",ROUND(ABS($L306)/IF(OR($R306="",$R306=0),1,$R306),2)*SIGN($U306),ROUND($U306*$V306,2))))</f>
        <v>0</v>
      </c>
      <c r="X306" s="24" t="str">
        <f aca="false">IF($N306="","",IFERROR(INDEX(VAT_Codes!$H:$H,MATCH($N306,VAT_Codes!$A:$A,0)),"")&amp;"")</f>
        <v/>
      </c>
      <c r="Y306" s="24" t="str">
        <f aca="false">IF($A306="","",(YEAR($A306)-YEAR(Settings!$C$8))*12+MONTH($A306)-MONTH(Settings!$C$8)+1)</f>
        <v/>
      </c>
      <c r="Z306" s="24" t="str">
        <f aca="false">IF(AND($C306="",$I306="",$J306=""),"",IF($N306="","NO VAT CODE",IF($T306="","UNKNOWN VAT CODE",IF($S306="","MISSING FX RATE",IF(OR($A306&lt;Settings!$C$8,$A306&gt;Settings!$C$9),"OUTSIDE PERIOD",IF(AND(IFERROR(INDEX(VAT_Codes!$E:$E,MATCH($N306,VAT_Codes!$A:$A,0)),"ANY")&lt;&gt;"ANY",$P306=""),"MISSING COUNTERPARTY COUNTRY",IF(AND(IFERROR(INDEX(VAT_Codes!$E:$E,MATCH($N306,VAT_Codes!$A:$A,0)),"ANY")&lt;&gt;"ANY",$P306&lt;&gt;IFERROR(INDEX(VAT_Codes!$E:$E,MATCH($N306,VAT_Codes!$A:$A,0)),"ANY")),"REGION MISMATCH","OK")))))))</f>
        <v/>
      </c>
    </row>
    <row r="307" customFormat="false" ht="15" hidden="false" customHeight="false" outlineLevel="0" collapsed="false">
      <c r="M307" s="24" t="str">
        <f aca="false">IF($C307="","",IFERROR(INDEX(Account_Mapping!$C:$C,MATCH($C307&amp;"",Account_Mapping!$A:$A,0))&amp;"",""))</f>
        <v/>
      </c>
      <c r="N307" s="24" t="str">
        <f aca="false">IF($K307&lt;&gt;"",$K307,$M307)</f>
        <v/>
      </c>
      <c r="O307" s="24" t="str">
        <f aca="false">IF($F307="","",IFERROR(INDEX(Counterparties!$C:$C,MATCH($F307&amp;"",Counterparties!$A:$A,0))&amp;"",""))</f>
        <v/>
      </c>
      <c r="P307" s="24" t="str">
        <f aca="false">IF($O307="","",IF($O307="CY","CY",IF(ISNUMBER(MATCH($O307,Lists!$A:$A,0)),"EU","3RD")))</f>
        <v/>
      </c>
      <c r="Q307" s="24" t="str">
        <f aca="false">IF($F307="","N",IFERROR(IF(INDEX(Counterparties!$E:$E,MATCH($F307&amp;"",Counterparties!$A:$A,0))="Y","Y","N"),"N"))</f>
        <v>N</v>
      </c>
      <c r="R307" s="25" t="n">
        <f aca="false">IF(OR($H307="",$H307="EUR"),1,IFERROR(INDEX(FX_Rates!$D:$D,MATCH($H307,FX_Rates!$A:$A,0)),""))</f>
        <v>1</v>
      </c>
      <c r="S307" s="26" t="str">
        <f aca="false">IF(AND($I307="",$J307=""),"",IF($J307&lt;&gt;"",$J307,IF(OR($R307="",$R307=0),"",ROUND($I307/$R307,2))))</f>
        <v/>
      </c>
      <c r="T307" s="24" t="str">
        <f aca="false">IF($N307="","",IFERROR(INDEX(VAT_Codes!$C:$C,MATCH($N307,VAT_Codes!$A:$A,0)),"")&amp;"")</f>
        <v/>
      </c>
      <c r="U307" s="26" t="n">
        <f aca="false">IF(OR($S307="",$T307="",$T307="None"),0,IF($T307="Output",-$S307,$S307))</f>
        <v>0</v>
      </c>
      <c r="V307" s="27" t="n">
        <f aca="false">IF($N307="",0,IFERROR(INDEX(VAT_Codes!$D:$D,MATCH($N307,VAT_Codes!$A:$A,0)),0))</f>
        <v>0</v>
      </c>
      <c r="W307" s="26" t="n">
        <f aca="false">IF($U307=0,0,IF(IFERROR(INDEX(VAT_Codes!$F:$F,MATCH($N307,VAT_Codes!$A:$A,0)),"N")="Y",$U307,IF($L307&lt;&gt;"",ROUND(ABS($L307)/IF(OR($R307="",$R307=0),1,$R307),2)*SIGN($U307),ROUND($U307*$V307,2))))</f>
        <v>0</v>
      </c>
      <c r="X307" s="24" t="str">
        <f aca="false">IF($N307="","",IFERROR(INDEX(VAT_Codes!$H:$H,MATCH($N307,VAT_Codes!$A:$A,0)),"")&amp;"")</f>
        <v/>
      </c>
      <c r="Y307" s="24" t="str">
        <f aca="false">IF($A307="","",(YEAR($A307)-YEAR(Settings!$C$8))*12+MONTH($A307)-MONTH(Settings!$C$8)+1)</f>
        <v/>
      </c>
      <c r="Z307" s="24" t="str">
        <f aca="false">IF(AND($C307="",$I307="",$J307=""),"",IF($N307="","NO VAT CODE",IF($T307="","UNKNOWN VAT CODE",IF($S307="","MISSING FX RATE",IF(OR($A307&lt;Settings!$C$8,$A307&gt;Settings!$C$9),"OUTSIDE PERIOD",IF(AND(IFERROR(INDEX(VAT_Codes!$E:$E,MATCH($N307,VAT_Codes!$A:$A,0)),"ANY")&lt;&gt;"ANY",$P307=""),"MISSING COUNTERPARTY COUNTRY",IF(AND(IFERROR(INDEX(VAT_Codes!$E:$E,MATCH($N307,VAT_Codes!$A:$A,0)),"ANY")&lt;&gt;"ANY",$P307&lt;&gt;IFERROR(INDEX(VAT_Codes!$E:$E,MATCH($N307,VAT_Codes!$A:$A,0)),"ANY")),"REGION MISMATCH","OK")))))))</f>
        <v/>
      </c>
    </row>
    <row r="308" customFormat="false" ht="15" hidden="false" customHeight="false" outlineLevel="0" collapsed="false">
      <c r="M308" s="24" t="str">
        <f aca="false">IF($C308="","",IFERROR(INDEX(Account_Mapping!$C:$C,MATCH($C308&amp;"",Account_Mapping!$A:$A,0))&amp;"",""))</f>
        <v/>
      </c>
      <c r="N308" s="24" t="str">
        <f aca="false">IF($K308&lt;&gt;"",$K308,$M308)</f>
        <v/>
      </c>
      <c r="O308" s="24" t="str">
        <f aca="false">IF($F308="","",IFERROR(INDEX(Counterparties!$C:$C,MATCH($F308&amp;"",Counterparties!$A:$A,0))&amp;"",""))</f>
        <v/>
      </c>
      <c r="P308" s="24" t="str">
        <f aca="false">IF($O308="","",IF($O308="CY","CY",IF(ISNUMBER(MATCH($O308,Lists!$A:$A,0)),"EU","3RD")))</f>
        <v/>
      </c>
      <c r="Q308" s="24" t="str">
        <f aca="false">IF($F308="","N",IFERROR(IF(INDEX(Counterparties!$E:$E,MATCH($F308&amp;"",Counterparties!$A:$A,0))="Y","Y","N"),"N"))</f>
        <v>N</v>
      </c>
      <c r="R308" s="25" t="n">
        <f aca="false">IF(OR($H308="",$H308="EUR"),1,IFERROR(INDEX(FX_Rates!$D:$D,MATCH($H308,FX_Rates!$A:$A,0)),""))</f>
        <v>1</v>
      </c>
      <c r="S308" s="26" t="str">
        <f aca="false">IF(AND($I308="",$J308=""),"",IF($J308&lt;&gt;"",$J308,IF(OR($R308="",$R308=0),"",ROUND($I308/$R308,2))))</f>
        <v/>
      </c>
      <c r="T308" s="24" t="str">
        <f aca="false">IF($N308="","",IFERROR(INDEX(VAT_Codes!$C:$C,MATCH($N308,VAT_Codes!$A:$A,0)),"")&amp;"")</f>
        <v/>
      </c>
      <c r="U308" s="26" t="n">
        <f aca="false">IF(OR($S308="",$T308="",$T308="None"),0,IF($T308="Output",-$S308,$S308))</f>
        <v>0</v>
      </c>
      <c r="V308" s="27" t="n">
        <f aca="false">IF($N308="",0,IFERROR(INDEX(VAT_Codes!$D:$D,MATCH($N308,VAT_Codes!$A:$A,0)),0))</f>
        <v>0</v>
      </c>
      <c r="W308" s="26" t="n">
        <f aca="false">IF($U308=0,0,IF(IFERROR(INDEX(VAT_Codes!$F:$F,MATCH($N308,VAT_Codes!$A:$A,0)),"N")="Y",$U308,IF($L308&lt;&gt;"",ROUND(ABS($L308)/IF(OR($R308="",$R308=0),1,$R308),2)*SIGN($U308),ROUND($U308*$V308,2))))</f>
        <v>0</v>
      </c>
      <c r="X308" s="24" t="str">
        <f aca="false">IF($N308="","",IFERROR(INDEX(VAT_Codes!$H:$H,MATCH($N308,VAT_Codes!$A:$A,0)),"")&amp;"")</f>
        <v/>
      </c>
      <c r="Y308" s="24" t="str">
        <f aca="false">IF($A308="","",(YEAR($A308)-YEAR(Settings!$C$8))*12+MONTH($A308)-MONTH(Settings!$C$8)+1)</f>
        <v/>
      </c>
      <c r="Z308" s="24" t="str">
        <f aca="false">IF(AND($C308="",$I308="",$J308=""),"",IF($N308="","NO VAT CODE",IF($T308="","UNKNOWN VAT CODE",IF($S308="","MISSING FX RATE",IF(OR($A308&lt;Settings!$C$8,$A308&gt;Settings!$C$9),"OUTSIDE PERIOD",IF(AND(IFERROR(INDEX(VAT_Codes!$E:$E,MATCH($N308,VAT_Codes!$A:$A,0)),"ANY")&lt;&gt;"ANY",$P308=""),"MISSING COUNTERPARTY COUNTRY",IF(AND(IFERROR(INDEX(VAT_Codes!$E:$E,MATCH($N308,VAT_Codes!$A:$A,0)),"ANY")&lt;&gt;"ANY",$P308&lt;&gt;IFERROR(INDEX(VAT_Codes!$E:$E,MATCH($N308,VAT_Codes!$A:$A,0)),"ANY")),"REGION MISMATCH","OK")))))))</f>
        <v/>
      </c>
    </row>
    <row r="309" customFormat="false" ht="15" hidden="false" customHeight="false" outlineLevel="0" collapsed="false">
      <c r="M309" s="24" t="str">
        <f aca="false">IF($C309="","",IFERROR(INDEX(Account_Mapping!$C:$C,MATCH($C309&amp;"",Account_Mapping!$A:$A,0))&amp;"",""))</f>
        <v/>
      </c>
      <c r="N309" s="24" t="str">
        <f aca="false">IF($K309&lt;&gt;"",$K309,$M309)</f>
        <v/>
      </c>
      <c r="O309" s="24" t="str">
        <f aca="false">IF($F309="","",IFERROR(INDEX(Counterparties!$C:$C,MATCH($F309&amp;"",Counterparties!$A:$A,0))&amp;"",""))</f>
        <v/>
      </c>
      <c r="P309" s="24" t="str">
        <f aca="false">IF($O309="","",IF($O309="CY","CY",IF(ISNUMBER(MATCH($O309,Lists!$A:$A,0)),"EU","3RD")))</f>
        <v/>
      </c>
      <c r="Q309" s="24" t="str">
        <f aca="false">IF($F309="","N",IFERROR(IF(INDEX(Counterparties!$E:$E,MATCH($F309&amp;"",Counterparties!$A:$A,0))="Y","Y","N"),"N"))</f>
        <v>N</v>
      </c>
      <c r="R309" s="25" t="n">
        <f aca="false">IF(OR($H309="",$H309="EUR"),1,IFERROR(INDEX(FX_Rates!$D:$D,MATCH($H309,FX_Rates!$A:$A,0)),""))</f>
        <v>1</v>
      </c>
      <c r="S309" s="26" t="str">
        <f aca="false">IF(AND($I309="",$J309=""),"",IF($J309&lt;&gt;"",$J309,IF(OR($R309="",$R309=0),"",ROUND($I309/$R309,2))))</f>
        <v/>
      </c>
      <c r="T309" s="24" t="str">
        <f aca="false">IF($N309="","",IFERROR(INDEX(VAT_Codes!$C:$C,MATCH($N309,VAT_Codes!$A:$A,0)),"")&amp;"")</f>
        <v/>
      </c>
      <c r="U309" s="26" t="n">
        <f aca="false">IF(OR($S309="",$T309="",$T309="None"),0,IF($T309="Output",-$S309,$S309))</f>
        <v>0</v>
      </c>
      <c r="V309" s="27" t="n">
        <f aca="false">IF($N309="",0,IFERROR(INDEX(VAT_Codes!$D:$D,MATCH($N309,VAT_Codes!$A:$A,0)),0))</f>
        <v>0</v>
      </c>
      <c r="W309" s="26" t="n">
        <f aca="false">IF($U309=0,0,IF(IFERROR(INDEX(VAT_Codes!$F:$F,MATCH($N309,VAT_Codes!$A:$A,0)),"N")="Y",$U309,IF($L309&lt;&gt;"",ROUND(ABS($L309)/IF(OR($R309="",$R309=0),1,$R309),2)*SIGN($U309),ROUND($U309*$V309,2))))</f>
        <v>0</v>
      </c>
      <c r="X309" s="24" t="str">
        <f aca="false">IF($N309="","",IFERROR(INDEX(VAT_Codes!$H:$H,MATCH($N309,VAT_Codes!$A:$A,0)),"")&amp;"")</f>
        <v/>
      </c>
      <c r="Y309" s="24" t="str">
        <f aca="false">IF($A309="","",(YEAR($A309)-YEAR(Settings!$C$8))*12+MONTH($A309)-MONTH(Settings!$C$8)+1)</f>
        <v/>
      </c>
      <c r="Z309" s="24" t="str">
        <f aca="false">IF(AND($C309="",$I309="",$J309=""),"",IF($N309="","NO VAT CODE",IF($T309="","UNKNOWN VAT CODE",IF($S309="","MISSING FX RATE",IF(OR($A309&lt;Settings!$C$8,$A309&gt;Settings!$C$9),"OUTSIDE PERIOD",IF(AND(IFERROR(INDEX(VAT_Codes!$E:$E,MATCH($N309,VAT_Codes!$A:$A,0)),"ANY")&lt;&gt;"ANY",$P309=""),"MISSING COUNTERPARTY COUNTRY",IF(AND(IFERROR(INDEX(VAT_Codes!$E:$E,MATCH($N309,VAT_Codes!$A:$A,0)),"ANY")&lt;&gt;"ANY",$P309&lt;&gt;IFERROR(INDEX(VAT_Codes!$E:$E,MATCH($N309,VAT_Codes!$A:$A,0)),"ANY")),"REGION MISMATCH","OK")))))))</f>
        <v/>
      </c>
    </row>
    <row r="310" customFormat="false" ht="15" hidden="false" customHeight="false" outlineLevel="0" collapsed="false">
      <c r="M310" s="24" t="str">
        <f aca="false">IF($C310="","",IFERROR(INDEX(Account_Mapping!$C:$C,MATCH($C310&amp;"",Account_Mapping!$A:$A,0))&amp;"",""))</f>
        <v/>
      </c>
      <c r="N310" s="24" t="str">
        <f aca="false">IF($K310&lt;&gt;"",$K310,$M310)</f>
        <v/>
      </c>
      <c r="O310" s="24" t="str">
        <f aca="false">IF($F310="","",IFERROR(INDEX(Counterparties!$C:$C,MATCH($F310&amp;"",Counterparties!$A:$A,0))&amp;"",""))</f>
        <v/>
      </c>
      <c r="P310" s="24" t="str">
        <f aca="false">IF($O310="","",IF($O310="CY","CY",IF(ISNUMBER(MATCH($O310,Lists!$A:$A,0)),"EU","3RD")))</f>
        <v/>
      </c>
      <c r="Q310" s="24" t="str">
        <f aca="false">IF($F310="","N",IFERROR(IF(INDEX(Counterparties!$E:$E,MATCH($F310&amp;"",Counterparties!$A:$A,0))="Y","Y","N"),"N"))</f>
        <v>N</v>
      </c>
      <c r="R310" s="25" t="n">
        <f aca="false">IF(OR($H310="",$H310="EUR"),1,IFERROR(INDEX(FX_Rates!$D:$D,MATCH($H310,FX_Rates!$A:$A,0)),""))</f>
        <v>1</v>
      </c>
      <c r="S310" s="26" t="str">
        <f aca="false">IF(AND($I310="",$J310=""),"",IF($J310&lt;&gt;"",$J310,IF(OR($R310="",$R310=0),"",ROUND($I310/$R310,2))))</f>
        <v/>
      </c>
      <c r="T310" s="24" t="str">
        <f aca="false">IF($N310="","",IFERROR(INDEX(VAT_Codes!$C:$C,MATCH($N310,VAT_Codes!$A:$A,0)),"")&amp;"")</f>
        <v/>
      </c>
      <c r="U310" s="26" t="n">
        <f aca="false">IF(OR($S310="",$T310="",$T310="None"),0,IF($T310="Output",-$S310,$S310))</f>
        <v>0</v>
      </c>
      <c r="V310" s="27" t="n">
        <f aca="false">IF($N310="",0,IFERROR(INDEX(VAT_Codes!$D:$D,MATCH($N310,VAT_Codes!$A:$A,0)),0))</f>
        <v>0</v>
      </c>
      <c r="W310" s="26" t="n">
        <f aca="false">IF($U310=0,0,IF(IFERROR(INDEX(VAT_Codes!$F:$F,MATCH($N310,VAT_Codes!$A:$A,0)),"N")="Y",$U310,IF($L310&lt;&gt;"",ROUND(ABS($L310)/IF(OR($R310="",$R310=0),1,$R310),2)*SIGN($U310),ROUND($U310*$V310,2))))</f>
        <v>0</v>
      </c>
      <c r="X310" s="24" t="str">
        <f aca="false">IF($N310="","",IFERROR(INDEX(VAT_Codes!$H:$H,MATCH($N310,VAT_Codes!$A:$A,0)),"")&amp;"")</f>
        <v/>
      </c>
      <c r="Y310" s="24" t="str">
        <f aca="false">IF($A310="","",(YEAR($A310)-YEAR(Settings!$C$8))*12+MONTH($A310)-MONTH(Settings!$C$8)+1)</f>
        <v/>
      </c>
      <c r="Z310" s="24" t="str">
        <f aca="false">IF(AND($C310="",$I310="",$J310=""),"",IF($N310="","NO VAT CODE",IF($T310="","UNKNOWN VAT CODE",IF($S310="","MISSING FX RATE",IF(OR($A310&lt;Settings!$C$8,$A310&gt;Settings!$C$9),"OUTSIDE PERIOD",IF(AND(IFERROR(INDEX(VAT_Codes!$E:$E,MATCH($N310,VAT_Codes!$A:$A,0)),"ANY")&lt;&gt;"ANY",$P310=""),"MISSING COUNTERPARTY COUNTRY",IF(AND(IFERROR(INDEX(VAT_Codes!$E:$E,MATCH($N310,VAT_Codes!$A:$A,0)),"ANY")&lt;&gt;"ANY",$P310&lt;&gt;IFERROR(INDEX(VAT_Codes!$E:$E,MATCH($N310,VAT_Codes!$A:$A,0)),"ANY")),"REGION MISMATCH","OK")))))))</f>
        <v/>
      </c>
    </row>
    <row r="311" customFormat="false" ht="15" hidden="false" customHeight="false" outlineLevel="0" collapsed="false">
      <c r="M311" s="24" t="str">
        <f aca="false">IF($C311="","",IFERROR(INDEX(Account_Mapping!$C:$C,MATCH($C311&amp;"",Account_Mapping!$A:$A,0))&amp;"",""))</f>
        <v/>
      </c>
      <c r="N311" s="24" t="str">
        <f aca="false">IF($K311&lt;&gt;"",$K311,$M311)</f>
        <v/>
      </c>
      <c r="O311" s="24" t="str">
        <f aca="false">IF($F311="","",IFERROR(INDEX(Counterparties!$C:$C,MATCH($F311&amp;"",Counterparties!$A:$A,0))&amp;"",""))</f>
        <v/>
      </c>
      <c r="P311" s="24" t="str">
        <f aca="false">IF($O311="","",IF($O311="CY","CY",IF(ISNUMBER(MATCH($O311,Lists!$A:$A,0)),"EU","3RD")))</f>
        <v/>
      </c>
      <c r="Q311" s="24" t="str">
        <f aca="false">IF($F311="","N",IFERROR(IF(INDEX(Counterparties!$E:$E,MATCH($F311&amp;"",Counterparties!$A:$A,0))="Y","Y","N"),"N"))</f>
        <v>N</v>
      </c>
      <c r="R311" s="25" t="n">
        <f aca="false">IF(OR($H311="",$H311="EUR"),1,IFERROR(INDEX(FX_Rates!$D:$D,MATCH($H311,FX_Rates!$A:$A,0)),""))</f>
        <v>1</v>
      </c>
      <c r="S311" s="26" t="str">
        <f aca="false">IF(AND($I311="",$J311=""),"",IF($J311&lt;&gt;"",$J311,IF(OR($R311="",$R311=0),"",ROUND($I311/$R311,2))))</f>
        <v/>
      </c>
      <c r="T311" s="24" t="str">
        <f aca="false">IF($N311="","",IFERROR(INDEX(VAT_Codes!$C:$C,MATCH($N311,VAT_Codes!$A:$A,0)),"")&amp;"")</f>
        <v/>
      </c>
      <c r="U311" s="26" t="n">
        <f aca="false">IF(OR($S311="",$T311="",$T311="None"),0,IF($T311="Output",-$S311,$S311))</f>
        <v>0</v>
      </c>
      <c r="V311" s="27" t="n">
        <f aca="false">IF($N311="",0,IFERROR(INDEX(VAT_Codes!$D:$D,MATCH($N311,VAT_Codes!$A:$A,0)),0))</f>
        <v>0</v>
      </c>
      <c r="W311" s="26" t="n">
        <f aca="false">IF($U311=0,0,IF(IFERROR(INDEX(VAT_Codes!$F:$F,MATCH($N311,VAT_Codes!$A:$A,0)),"N")="Y",$U311,IF($L311&lt;&gt;"",ROUND(ABS($L311)/IF(OR($R311="",$R311=0),1,$R311),2)*SIGN($U311),ROUND($U311*$V311,2))))</f>
        <v>0</v>
      </c>
      <c r="X311" s="24" t="str">
        <f aca="false">IF($N311="","",IFERROR(INDEX(VAT_Codes!$H:$H,MATCH($N311,VAT_Codes!$A:$A,0)),"")&amp;"")</f>
        <v/>
      </c>
      <c r="Y311" s="24" t="str">
        <f aca="false">IF($A311="","",(YEAR($A311)-YEAR(Settings!$C$8))*12+MONTH($A311)-MONTH(Settings!$C$8)+1)</f>
        <v/>
      </c>
      <c r="Z311" s="24" t="str">
        <f aca="false">IF(AND($C311="",$I311="",$J311=""),"",IF($N311="","NO VAT CODE",IF($T311="","UNKNOWN VAT CODE",IF($S311="","MISSING FX RATE",IF(OR($A311&lt;Settings!$C$8,$A311&gt;Settings!$C$9),"OUTSIDE PERIOD",IF(AND(IFERROR(INDEX(VAT_Codes!$E:$E,MATCH($N311,VAT_Codes!$A:$A,0)),"ANY")&lt;&gt;"ANY",$P311=""),"MISSING COUNTERPARTY COUNTRY",IF(AND(IFERROR(INDEX(VAT_Codes!$E:$E,MATCH($N311,VAT_Codes!$A:$A,0)),"ANY")&lt;&gt;"ANY",$P311&lt;&gt;IFERROR(INDEX(VAT_Codes!$E:$E,MATCH($N311,VAT_Codes!$A:$A,0)),"ANY")),"REGION MISMATCH","OK")))))))</f>
        <v/>
      </c>
    </row>
    <row r="312" customFormat="false" ht="15" hidden="false" customHeight="false" outlineLevel="0" collapsed="false">
      <c r="M312" s="24" t="str">
        <f aca="false">IF($C312="","",IFERROR(INDEX(Account_Mapping!$C:$C,MATCH($C312&amp;"",Account_Mapping!$A:$A,0))&amp;"",""))</f>
        <v/>
      </c>
      <c r="N312" s="24" t="str">
        <f aca="false">IF($K312&lt;&gt;"",$K312,$M312)</f>
        <v/>
      </c>
      <c r="O312" s="24" t="str">
        <f aca="false">IF($F312="","",IFERROR(INDEX(Counterparties!$C:$C,MATCH($F312&amp;"",Counterparties!$A:$A,0))&amp;"",""))</f>
        <v/>
      </c>
      <c r="P312" s="24" t="str">
        <f aca="false">IF($O312="","",IF($O312="CY","CY",IF(ISNUMBER(MATCH($O312,Lists!$A:$A,0)),"EU","3RD")))</f>
        <v/>
      </c>
      <c r="Q312" s="24" t="str">
        <f aca="false">IF($F312="","N",IFERROR(IF(INDEX(Counterparties!$E:$E,MATCH($F312&amp;"",Counterparties!$A:$A,0))="Y","Y","N"),"N"))</f>
        <v>N</v>
      </c>
      <c r="R312" s="25" t="n">
        <f aca="false">IF(OR($H312="",$H312="EUR"),1,IFERROR(INDEX(FX_Rates!$D:$D,MATCH($H312,FX_Rates!$A:$A,0)),""))</f>
        <v>1</v>
      </c>
      <c r="S312" s="26" t="str">
        <f aca="false">IF(AND($I312="",$J312=""),"",IF($J312&lt;&gt;"",$J312,IF(OR($R312="",$R312=0),"",ROUND($I312/$R312,2))))</f>
        <v/>
      </c>
      <c r="T312" s="24" t="str">
        <f aca="false">IF($N312="","",IFERROR(INDEX(VAT_Codes!$C:$C,MATCH($N312,VAT_Codes!$A:$A,0)),"")&amp;"")</f>
        <v/>
      </c>
      <c r="U312" s="26" t="n">
        <f aca="false">IF(OR($S312="",$T312="",$T312="None"),0,IF($T312="Output",-$S312,$S312))</f>
        <v>0</v>
      </c>
      <c r="V312" s="27" t="n">
        <f aca="false">IF($N312="",0,IFERROR(INDEX(VAT_Codes!$D:$D,MATCH($N312,VAT_Codes!$A:$A,0)),0))</f>
        <v>0</v>
      </c>
      <c r="W312" s="26" t="n">
        <f aca="false">IF($U312=0,0,IF(IFERROR(INDEX(VAT_Codes!$F:$F,MATCH($N312,VAT_Codes!$A:$A,0)),"N")="Y",$U312,IF($L312&lt;&gt;"",ROUND(ABS($L312)/IF(OR($R312="",$R312=0),1,$R312),2)*SIGN($U312),ROUND($U312*$V312,2))))</f>
        <v>0</v>
      </c>
      <c r="X312" s="24" t="str">
        <f aca="false">IF($N312="","",IFERROR(INDEX(VAT_Codes!$H:$H,MATCH($N312,VAT_Codes!$A:$A,0)),"")&amp;"")</f>
        <v/>
      </c>
      <c r="Y312" s="24" t="str">
        <f aca="false">IF($A312="","",(YEAR($A312)-YEAR(Settings!$C$8))*12+MONTH($A312)-MONTH(Settings!$C$8)+1)</f>
        <v/>
      </c>
      <c r="Z312" s="24" t="str">
        <f aca="false">IF(AND($C312="",$I312="",$J312=""),"",IF($N312="","NO VAT CODE",IF($T312="","UNKNOWN VAT CODE",IF($S312="","MISSING FX RATE",IF(OR($A312&lt;Settings!$C$8,$A312&gt;Settings!$C$9),"OUTSIDE PERIOD",IF(AND(IFERROR(INDEX(VAT_Codes!$E:$E,MATCH($N312,VAT_Codes!$A:$A,0)),"ANY")&lt;&gt;"ANY",$P312=""),"MISSING COUNTERPARTY COUNTRY",IF(AND(IFERROR(INDEX(VAT_Codes!$E:$E,MATCH($N312,VAT_Codes!$A:$A,0)),"ANY")&lt;&gt;"ANY",$P312&lt;&gt;IFERROR(INDEX(VAT_Codes!$E:$E,MATCH($N312,VAT_Codes!$A:$A,0)),"ANY")),"REGION MISMATCH","OK")))))))</f>
        <v/>
      </c>
    </row>
    <row r="313" customFormat="false" ht="15" hidden="false" customHeight="false" outlineLevel="0" collapsed="false">
      <c r="M313" s="24" t="str">
        <f aca="false">IF($C313="","",IFERROR(INDEX(Account_Mapping!$C:$C,MATCH($C313&amp;"",Account_Mapping!$A:$A,0))&amp;"",""))</f>
        <v/>
      </c>
      <c r="N313" s="24" t="str">
        <f aca="false">IF($K313&lt;&gt;"",$K313,$M313)</f>
        <v/>
      </c>
      <c r="O313" s="24" t="str">
        <f aca="false">IF($F313="","",IFERROR(INDEX(Counterparties!$C:$C,MATCH($F313&amp;"",Counterparties!$A:$A,0))&amp;"",""))</f>
        <v/>
      </c>
      <c r="P313" s="24" t="str">
        <f aca="false">IF($O313="","",IF($O313="CY","CY",IF(ISNUMBER(MATCH($O313,Lists!$A:$A,0)),"EU","3RD")))</f>
        <v/>
      </c>
      <c r="Q313" s="24" t="str">
        <f aca="false">IF($F313="","N",IFERROR(IF(INDEX(Counterparties!$E:$E,MATCH($F313&amp;"",Counterparties!$A:$A,0))="Y","Y","N"),"N"))</f>
        <v>N</v>
      </c>
      <c r="R313" s="25" t="n">
        <f aca="false">IF(OR($H313="",$H313="EUR"),1,IFERROR(INDEX(FX_Rates!$D:$D,MATCH($H313,FX_Rates!$A:$A,0)),""))</f>
        <v>1</v>
      </c>
      <c r="S313" s="26" t="str">
        <f aca="false">IF(AND($I313="",$J313=""),"",IF($J313&lt;&gt;"",$J313,IF(OR($R313="",$R313=0),"",ROUND($I313/$R313,2))))</f>
        <v/>
      </c>
      <c r="T313" s="24" t="str">
        <f aca="false">IF($N313="","",IFERROR(INDEX(VAT_Codes!$C:$C,MATCH($N313,VAT_Codes!$A:$A,0)),"")&amp;"")</f>
        <v/>
      </c>
      <c r="U313" s="26" t="n">
        <f aca="false">IF(OR($S313="",$T313="",$T313="None"),0,IF($T313="Output",-$S313,$S313))</f>
        <v>0</v>
      </c>
      <c r="V313" s="27" t="n">
        <f aca="false">IF($N313="",0,IFERROR(INDEX(VAT_Codes!$D:$D,MATCH($N313,VAT_Codes!$A:$A,0)),0))</f>
        <v>0</v>
      </c>
      <c r="W313" s="26" t="n">
        <f aca="false">IF($U313=0,0,IF(IFERROR(INDEX(VAT_Codes!$F:$F,MATCH($N313,VAT_Codes!$A:$A,0)),"N")="Y",$U313,IF($L313&lt;&gt;"",ROUND(ABS($L313)/IF(OR($R313="",$R313=0),1,$R313),2)*SIGN($U313),ROUND($U313*$V313,2))))</f>
        <v>0</v>
      </c>
      <c r="X313" s="24" t="str">
        <f aca="false">IF($N313="","",IFERROR(INDEX(VAT_Codes!$H:$H,MATCH($N313,VAT_Codes!$A:$A,0)),"")&amp;"")</f>
        <v/>
      </c>
      <c r="Y313" s="24" t="str">
        <f aca="false">IF($A313="","",(YEAR($A313)-YEAR(Settings!$C$8))*12+MONTH($A313)-MONTH(Settings!$C$8)+1)</f>
        <v/>
      </c>
      <c r="Z313" s="24" t="str">
        <f aca="false">IF(AND($C313="",$I313="",$J313=""),"",IF($N313="","NO VAT CODE",IF($T313="","UNKNOWN VAT CODE",IF($S313="","MISSING FX RATE",IF(OR($A313&lt;Settings!$C$8,$A313&gt;Settings!$C$9),"OUTSIDE PERIOD",IF(AND(IFERROR(INDEX(VAT_Codes!$E:$E,MATCH($N313,VAT_Codes!$A:$A,0)),"ANY")&lt;&gt;"ANY",$P313=""),"MISSING COUNTERPARTY COUNTRY",IF(AND(IFERROR(INDEX(VAT_Codes!$E:$E,MATCH($N313,VAT_Codes!$A:$A,0)),"ANY")&lt;&gt;"ANY",$P313&lt;&gt;IFERROR(INDEX(VAT_Codes!$E:$E,MATCH($N313,VAT_Codes!$A:$A,0)),"ANY")),"REGION MISMATCH","OK")))))))</f>
        <v/>
      </c>
    </row>
    <row r="314" customFormat="false" ht="15" hidden="false" customHeight="false" outlineLevel="0" collapsed="false">
      <c r="M314" s="24" t="str">
        <f aca="false">IF($C314="","",IFERROR(INDEX(Account_Mapping!$C:$C,MATCH($C314&amp;"",Account_Mapping!$A:$A,0))&amp;"",""))</f>
        <v/>
      </c>
      <c r="N314" s="24" t="str">
        <f aca="false">IF($K314&lt;&gt;"",$K314,$M314)</f>
        <v/>
      </c>
      <c r="O314" s="24" t="str">
        <f aca="false">IF($F314="","",IFERROR(INDEX(Counterparties!$C:$C,MATCH($F314&amp;"",Counterparties!$A:$A,0))&amp;"",""))</f>
        <v/>
      </c>
      <c r="P314" s="24" t="str">
        <f aca="false">IF($O314="","",IF($O314="CY","CY",IF(ISNUMBER(MATCH($O314,Lists!$A:$A,0)),"EU","3RD")))</f>
        <v/>
      </c>
      <c r="Q314" s="24" t="str">
        <f aca="false">IF($F314="","N",IFERROR(IF(INDEX(Counterparties!$E:$E,MATCH($F314&amp;"",Counterparties!$A:$A,0))="Y","Y","N"),"N"))</f>
        <v>N</v>
      </c>
      <c r="R314" s="25" t="n">
        <f aca="false">IF(OR($H314="",$H314="EUR"),1,IFERROR(INDEX(FX_Rates!$D:$D,MATCH($H314,FX_Rates!$A:$A,0)),""))</f>
        <v>1</v>
      </c>
      <c r="S314" s="26" t="str">
        <f aca="false">IF(AND($I314="",$J314=""),"",IF($J314&lt;&gt;"",$J314,IF(OR($R314="",$R314=0),"",ROUND($I314/$R314,2))))</f>
        <v/>
      </c>
      <c r="T314" s="24" t="str">
        <f aca="false">IF($N314="","",IFERROR(INDEX(VAT_Codes!$C:$C,MATCH($N314,VAT_Codes!$A:$A,0)),"")&amp;"")</f>
        <v/>
      </c>
      <c r="U314" s="26" t="n">
        <f aca="false">IF(OR($S314="",$T314="",$T314="None"),0,IF($T314="Output",-$S314,$S314))</f>
        <v>0</v>
      </c>
      <c r="V314" s="27" t="n">
        <f aca="false">IF($N314="",0,IFERROR(INDEX(VAT_Codes!$D:$D,MATCH($N314,VAT_Codes!$A:$A,0)),0))</f>
        <v>0</v>
      </c>
      <c r="W314" s="26" t="n">
        <f aca="false">IF($U314=0,0,IF(IFERROR(INDEX(VAT_Codes!$F:$F,MATCH($N314,VAT_Codes!$A:$A,0)),"N")="Y",$U314,IF($L314&lt;&gt;"",ROUND(ABS($L314)/IF(OR($R314="",$R314=0),1,$R314),2)*SIGN($U314),ROUND($U314*$V314,2))))</f>
        <v>0</v>
      </c>
      <c r="X314" s="24" t="str">
        <f aca="false">IF($N314="","",IFERROR(INDEX(VAT_Codes!$H:$H,MATCH($N314,VAT_Codes!$A:$A,0)),"")&amp;"")</f>
        <v/>
      </c>
      <c r="Y314" s="24" t="str">
        <f aca="false">IF($A314="","",(YEAR($A314)-YEAR(Settings!$C$8))*12+MONTH($A314)-MONTH(Settings!$C$8)+1)</f>
        <v/>
      </c>
      <c r="Z314" s="24" t="str">
        <f aca="false">IF(AND($C314="",$I314="",$J314=""),"",IF($N314="","NO VAT CODE",IF($T314="","UNKNOWN VAT CODE",IF($S314="","MISSING FX RATE",IF(OR($A314&lt;Settings!$C$8,$A314&gt;Settings!$C$9),"OUTSIDE PERIOD",IF(AND(IFERROR(INDEX(VAT_Codes!$E:$E,MATCH($N314,VAT_Codes!$A:$A,0)),"ANY")&lt;&gt;"ANY",$P314=""),"MISSING COUNTERPARTY COUNTRY",IF(AND(IFERROR(INDEX(VAT_Codes!$E:$E,MATCH($N314,VAT_Codes!$A:$A,0)),"ANY")&lt;&gt;"ANY",$P314&lt;&gt;IFERROR(INDEX(VAT_Codes!$E:$E,MATCH($N314,VAT_Codes!$A:$A,0)),"ANY")),"REGION MISMATCH","OK")))))))</f>
        <v/>
      </c>
    </row>
    <row r="315" customFormat="false" ht="15" hidden="false" customHeight="false" outlineLevel="0" collapsed="false">
      <c r="M315" s="24" t="str">
        <f aca="false">IF($C315="","",IFERROR(INDEX(Account_Mapping!$C:$C,MATCH($C315&amp;"",Account_Mapping!$A:$A,0))&amp;"",""))</f>
        <v/>
      </c>
      <c r="N315" s="24" t="str">
        <f aca="false">IF($K315&lt;&gt;"",$K315,$M315)</f>
        <v/>
      </c>
      <c r="O315" s="24" t="str">
        <f aca="false">IF($F315="","",IFERROR(INDEX(Counterparties!$C:$C,MATCH($F315&amp;"",Counterparties!$A:$A,0))&amp;"",""))</f>
        <v/>
      </c>
      <c r="P315" s="24" t="str">
        <f aca="false">IF($O315="","",IF($O315="CY","CY",IF(ISNUMBER(MATCH($O315,Lists!$A:$A,0)),"EU","3RD")))</f>
        <v/>
      </c>
      <c r="Q315" s="24" t="str">
        <f aca="false">IF($F315="","N",IFERROR(IF(INDEX(Counterparties!$E:$E,MATCH($F315&amp;"",Counterparties!$A:$A,0))="Y","Y","N"),"N"))</f>
        <v>N</v>
      </c>
      <c r="R315" s="25" t="n">
        <f aca="false">IF(OR($H315="",$H315="EUR"),1,IFERROR(INDEX(FX_Rates!$D:$D,MATCH($H315,FX_Rates!$A:$A,0)),""))</f>
        <v>1</v>
      </c>
      <c r="S315" s="26" t="str">
        <f aca="false">IF(AND($I315="",$J315=""),"",IF($J315&lt;&gt;"",$J315,IF(OR($R315="",$R315=0),"",ROUND($I315/$R315,2))))</f>
        <v/>
      </c>
      <c r="T315" s="24" t="str">
        <f aca="false">IF($N315="","",IFERROR(INDEX(VAT_Codes!$C:$C,MATCH($N315,VAT_Codes!$A:$A,0)),"")&amp;"")</f>
        <v/>
      </c>
      <c r="U315" s="26" t="n">
        <f aca="false">IF(OR($S315="",$T315="",$T315="None"),0,IF($T315="Output",-$S315,$S315))</f>
        <v>0</v>
      </c>
      <c r="V315" s="27" t="n">
        <f aca="false">IF($N315="",0,IFERROR(INDEX(VAT_Codes!$D:$D,MATCH($N315,VAT_Codes!$A:$A,0)),0))</f>
        <v>0</v>
      </c>
      <c r="W315" s="26" t="n">
        <f aca="false">IF($U315=0,0,IF(IFERROR(INDEX(VAT_Codes!$F:$F,MATCH($N315,VAT_Codes!$A:$A,0)),"N")="Y",$U315,IF($L315&lt;&gt;"",ROUND(ABS($L315)/IF(OR($R315="",$R315=0),1,$R315),2)*SIGN($U315),ROUND($U315*$V315,2))))</f>
        <v>0</v>
      </c>
      <c r="X315" s="24" t="str">
        <f aca="false">IF($N315="","",IFERROR(INDEX(VAT_Codes!$H:$H,MATCH($N315,VAT_Codes!$A:$A,0)),"")&amp;"")</f>
        <v/>
      </c>
      <c r="Y315" s="24" t="str">
        <f aca="false">IF($A315="","",(YEAR($A315)-YEAR(Settings!$C$8))*12+MONTH($A315)-MONTH(Settings!$C$8)+1)</f>
        <v/>
      </c>
      <c r="Z315" s="24" t="str">
        <f aca="false">IF(AND($C315="",$I315="",$J315=""),"",IF($N315="","NO VAT CODE",IF($T315="","UNKNOWN VAT CODE",IF($S315="","MISSING FX RATE",IF(OR($A315&lt;Settings!$C$8,$A315&gt;Settings!$C$9),"OUTSIDE PERIOD",IF(AND(IFERROR(INDEX(VAT_Codes!$E:$E,MATCH($N315,VAT_Codes!$A:$A,0)),"ANY")&lt;&gt;"ANY",$P315=""),"MISSING COUNTERPARTY COUNTRY",IF(AND(IFERROR(INDEX(VAT_Codes!$E:$E,MATCH($N315,VAT_Codes!$A:$A,0)),"ANY")&lt;&gt;"ANY",$P315&lt;&gt;IFERROR(INDEX(VAT_Codes!$E:$E,MATCH($N315,VAT_Codes!$A:$A,0)),"ANY")),"REGION MISMATCH","OK")))))))</f>
        <v/>
      </c>
    </row>
    <row r="316" customFormat="false" ht="15" hidden="false" customHeight="false" outlineLevel="0" collapsed="false">
      <c r="M316" s="24" t="str">
        <f aca="false">IF($C316="","",IFERROR(INDEX(Account_Mapping!$C:$C,MATCH($C316&amp;"",Account_Mapping!$A:$A,0))&amp;"",""))</f>
        <v/>
      </c>
      <c r="N316" s="24" t="str">
        <f aca="false">IF($K316&lt;&gt;"",$K316,$M316)</f>
        <v/>
      </c>
      <c r="O316" s="24" t="str">
        <f aca="false">IF($F316="","",IFERROR(INDEX(Counterparties!$C:$C,MATCH($F316&amp;"",Counterparties!$A:$A,0))&amp;"",""))</f>
        <v/>
      </c>
      <c r="P316" s="24" t="str">
        <f aca="false">IF($O316="","",IF($O316="CY","CY",IF(ISNUMBER(MATCH($O316,Lists!$A:$A,0)),"EU","3RD")))</f>
        <v/>
      </c>
      <c r="Q316" s="24" t="str">
        <f aca="false">IF($F316="","N",IFERROR(IF(INDEX(Counterparties!$E:$E,MATCH($F316&amp;"",Counterparties!$A:$A,0))="Y","Y","N"),"N"))</f>
        <v>N</v>
      </c>
      <c r="R316" s="25" t="n">
        <f aca="false">IF(OR($H316="",$H316="EUR"),1,IFERROR(INDEX(FX_Rates!$D:$D,MATCH($H316,FX_Rates!$A:$A,0)),""))</f>
        <v>1</v>
      </c>
      <c r="S316" s="26" t="str">
        <f aca="false">IF(AND($I316="",$J316=""),"",IF($J316&lt;&gt;"",$J316,IF(OR($R316="",$R316=0),"",ROUND($I316/$R316,2))))</f>
        <v/>
      </c>
      <c r="T316" s="24" t="str">
        <f aca="false">IF($N316="","",IFERROR(INDEX(VAT_Codes!$C:$C,MATCH($N316,VAT_Codes!$A:$A,0)),"")&amp;"")</f>
        <v/>
      </c>
      <c r="U316" s="26" t="n">
        <f aca="false">IF(OR($S316="",$T316="",$T316="None"),0,IF($T316="Output",-$S316,$S316))</f>
        <v>0</v>
      </c>
      <c r="V316" s="27" t="n">
        <f aca="false">IF($N316="",0,IFERROR(INDEX(VAT_Codes!$D:$D,MATCH($N316,VAT_Codes!$A:$A,0)),0))</f>
        <v>0</v>
      </c>
      <c r="W316" s="26" t="n">
        <f aca="false">IF($U316=0,0,IF(IFERROR(INDEX(VAT_Codes!$F:$F,MATCH($N316,VAT_Codes!$A:$A,0)),"N")="Y",$U316,IF($L316&lt;&gt;"",ROUND(ABS($L316)/IF(OR($R316="",$R316=0),1,$R316),2)*SIGN($U316),ROUND($U316*$V316,2))))</f>
        <v>0</v>
      </c>
      <c r="X316" s="24" t="str">
        <f aca="false">IF($N316="","",IFERROR(INDEX(VAT_Codes!$H:$H,MATCH($N316,VAT_Codes!$A:$A,0)),"")&amp;"")</f>
        <v/>
      </c>
      <c r="Y316" s="24" t="str">
        <f aca="false">IF($A316="","",(YEAR($A316)-YEAR(Settings!$C$8))*12+MONTH($A316)-MONTH(Settings!$C$8)+1)</f>
        <v/>
      </c>
      <c r="Z316" s="24" t="str">
        <f aca="false">IF(AND($C316="",$I316="",$J316=""),"",IF($N316="","NO VAT CODE",IF($T316="","UNKNOWN VAT CODE",IF($S316="","MISSING FX RATE",IF(OR($A316&lt;Settings!$C$8,$A316&gt;Settings!$C$9),"OUTSIDE PERIOD",IF(AND(IFERROR(INDEX(VAT_Codes!$E:$E,MATCH($N316,VAT_Codes!$A:$A,0)),"ANY")&lt;&gt;"ANY",$P316=""),"MISSING COUNTERPARTY COUNTRY",IF(AND(IFERROR(INDEX(VAT_Codes!$E:$E,MATCH($N316,VAT_Codes!$A:$A,0)),"ANY")&lt;&gt;"ANY",$P316&lt;&gt;IFERROR(INDEX(VAT_Codes!$E:$E,MATCH($N316,VAT_Codes!$A:$A,0)),"ANY")),"REGION MISMATCH","OK")))))))</f>
        <v/>
      </c>
    </row>
    <row r="317" customFormat="false" ht="15" hidden="false" customHeight="false" outlineLevel="0" collapsed="false">
      <c r="M317" s="24" t="str">
        <f aca="false">IF($C317="","",IFERROR(INDEX(Account_Mapping!$C:$C,MATCH($C317&amp;"",Account_Mapping!$A:$A,0))&amp;"",""))</f>
        <v/>
      </c>
      <c r="N317" s="24" t="str">
        <f aca="false">IF($K317&lt;&gt;"",$K317,$M317)</f>
        <v/>
      </c>
      <c r="O317" s="24" t="str">
        <f aca="false">IF($F317="","",IFERROR(INDEX(Counterparties!$C:$C,MATCH($F317&amp;"",Counterparties!$A:$A,0))&amp;"",""))</f>
        <v/>
      </c>
      <c r="P317" s="24" t="str">
        <f aca="false">IF($O317="","",IF($O317="CY","CY",IF(ISNUMBER(MATCH($O317,Lists!$A:$A,0)),"EU","3RD")))</f>
        <v/>
      </c>
      <c r="Q317" s="24" t="str">
        <f aca="false">IF($F317="","N",IFERROR(IF(INDEX(Counterparties!$E:$E,MATCH($F317&amp;"",Counterparties!$A:$A,0))="Y","Y","N"),"N"))</f>
        <v>N</v>
      </c>
      <c r="R317" s="25" t="n">
        <f aca="false">IF(OR($H317="",$H317="EUR"),1,IFERROR(INDEX(FX_Rates!$D:$D,MATCH($H317,FX_Rates!$A:$A,0)),""))</f>
        <v>1</v>
      </c>
      <c r="S317" s="26" t="str">
        <f aca="false">IF(AND($I317="",$J317=""),"",IF($J317&lt;&gt;"",$J317,IF(OR($R317="",$R317=0),"",ROUND($I317/$R317,2))))</f>
        <v/>
      </c>
      <c r="T317" s="24" t="str">
        <f aca="false">IF($N317="","",IFERROR(INDEX(VAT_Codes!$C:$C,MATCH($N317,VAT_Codes!$A:$A,0)),"")&amp;"")</f>
        <v/>
      </c>
      <c r="U317" s="26" t="n">
        <f aca="false">IF(OR($S317="",$T317="",$T317="None"),0,IF($T317="Output",-$S317,$S317))</f>
        <v>0</v>
      </c>
      <c r="V317" s="27" t="n">
        <f aca="false">IF($N317="",0,IFERROR(INDEX(VAT_Codes!$D:$D,MATCH($N317,VAT_Codes!$A:$A,0)),0))</f>
        <v>0</v>
      </c>
      <c r="W317" s="26" t="n">
        <f aca="false">IF($U317=0,0,IF(IFERROR(INDEX(VAT_Codes!$F:$F,MATCH($N317,VAT_Codes!$A:$A,0)),"N")="Y",$U317,IF($L317&lt;&gt;"",ROUND(ABS($L317)/IF(OR($R317="",$R317=0),1,$R317),2)*SIGN($U317),ROUND($U317*$V317,2))))</f>
        <v>0</v>
      </c>
      <c r="X317" s="24" t="str">
        <f aca="false">IF($N317="","",IFERROR(INDEX(VAT_Codes!$H:$H,MATCH($N317,VAT_Codes!$A:$A,0)),"")&amp;"")</f>
        <v/>
      </c>
      <c r="Y317" s="24" t="str">
        <f aca="false">IF($A317="","",(YEAR($A317)-YEAR(Settings!$C$8))*12+MONTH($A317)-MONTH(Settings!$C$8)+1)</f>
        <v/>
      </c>
      <c r="Z317" s="24" t="str">
        <f aca="false">IF(AND($C317="",$I317="",$J317=""),"",IF($N317="","NO VAT CODE",IF($T317="","UNKNOWN VAT CODE",IF($S317="","MISSING FX RATE",IF(OR($A317&lt;Settings!$C$8,$A317&gt;Settings!$C$9),"OUTSIDE PERIOD",IF(AND(IFERROR(INDEX(VAT_Codes!$E:$E,MATCH($N317,VAT_Codes!$A:$A,0)),"ANY")&lt;&gt;"ANY",$P317=""),"MISSING COUNTERPARTY COUNTRY",IF(AND(IFERROR(INDEX(VAT_Codes!$E:$E,MATCH($N317,VAT_Codes!$A:$A,0)),"ANY")&lt;&gt;"ANY",$P317&lt;&gt;IFERROR(INDEX(VAT_Codes!$E:$E,MATCH($N317,VAT_Codes!$A:$A,0)),"ANY")),"REGION MISMATCH","OK")))))))</f>
        <v/>
      </c>
    </row>
    <row r="318" customFormat="false" ht="15" hidden="false" customHeight="false" outlineLevel="0" collapsed="false">
      <c r="M318" s="24" t="str">
        <f aca="false">IF($C318="","",IFERROR(INDEX(Account_Mapping!$C:$C,MATCH($C318&amp;"",Account_Mapping!$A:$A,0))&amp;"",""))</f>
        <v/>
      </c>
      <c r="N318" s="24" t="str">
        <f aca="false">IF($K318&lt;&gt;"",$K318,$M318)</f>
        <v/>
      </c>
      <c r="O318" s="24" t="str">
        <f aca="false">IF($F318="","",IFERROR(INDEX(Counterparties!$C:$C,MATCH($F318&amp;"",Counterparties!$A:$A,0))&amp;"",""))</f>
        <v/>
      </c>
      <c r="P318" s="24" t="str">
        <f aca="false">IF($O318="","",IF($O318="CY","CY",IF(ISNUMBER(MATCH($O318,Lists!$A:$A,0)),"EU","3RD")))</f>
        <v/>
      </c>
      <c r="Q318" s="24" t="str">
        <f aca="false">IF($F318="","N",IFERROR(IF(INDEX(Counterparties!$E:$E,MATCH($F318&amp;"",Counterparties!$A:$A,0))="Y","Y","N"),"N"))</f>
        <v>N</v>
      </c>
      <c r="R318" s="25" t="n">
        <f aca="false">IF(OR($H318="",$H318="EUR"),1,IFERROR(INDEX(FX_Rates!$D:$D,MATCH($H318,FX_Rates!$A:$A,0)),""))</f>
        <v>1</v>
      </c>
      <c r="S318" s="26" t="str">
        <f aca="false">IF(AND($I318="",$J318=""),"",IF($J318&lt;&gt;"",$J318,IF(OR($R318="",$R318=0),"",ROUND($I318/$R318,2))))</f>
        <v/>
      </c>
      <c r="T318" s="24" t="str">
        <f aca="false">IF($N318="","",IFERROR(INDEX(VAT_Codes!$C:$C,MATCH($N318,VAT_Codes!$A:$A,0)),"")&amp;"")</f>
        <v/>
      </c>
      <c r="U318" s="26" t="n">
        <f aca="false">IF(OR($S318="",$T318="",$T318="None"),0,IF($T318="Output",-$S318,$S318))</f>
        <v>0</v>
      </c>
      <c r="V318" s="27" t="n">
        <f aca="false">IF($N318="",0,IFERROR(INDEX(VAT_Codes!$D:$D,MATCH($N318,VAT_Codes!$A:$A,0)),0))</f>
        <v>0</v>
      </c>
      <c r="W318" s="26" t="n">
        <f aca="false">IF($U318=0,0,IF(IFERROR(INDEX(VAT_Codes!$F:$F,MATCH($N318,VAT_Codes!$A:$A,0)),"N")="Y",$U318,IF($L318&lt;&gt;"",ROUND(ABS($L318)/IF(OR($R318="",$R318=0),1,$R318),2)*SIGN($U318),ROUND($U318*$V318,2))))</f>
        <v>0</v>
      </c>
      <c r="X318" s="24" t="str">
        <f aca="false">IF($N318="","",IFERROR(INDEX(VAT_Codes!$H:$H,MATCH($N318,VAT_Codes!$A:$A,0)),"")&amp;"")</f>
        <v/>
      </c>
      <c r="Y318" s="24" t="str">
        <f aca="false">IF($A318="","",(YEAR($A318)-YEAR(Settings!$C$8))*12+MONTH($A318)-MONTH(Settings!$C$8)+1)</f>
        <v/>
      </c>
      <c r="Z318" s="24" t="str">
        <f aca="false">IF(AND($C318="",$I318="",$J318=""),"",IF($N318="","NO VAT CODE",IF($T318="","UNKNOWN VAT CODE",IF($S318="","MISSING FX RATE",IF(OR($A318&lt;Settings!$C$8,$A318&gt;Settings!$C$9),"OUTSIDE PERIOD",IF(AND(IFERROR(INDEX(VAT_Codes!$E:$E,MATCH($N318,VAT_Codes!$A:$A,0)),"ANY")&lt;&gt;"ANY",$P318=""),"MISSING COUNTERPARTY COUNTRY",IF(AND(IFERROR(INDEX(VAT_Codes!$E:$E,MATCH($N318,VAT_Codes!$A:$A,0)),"ANY")&lt;&gt;"ANY",$P318&lt;&gt;IFERROR(INDEX(VAT_Codes!$E:$E,MATCH($N318,VAT_Codes!$A:$A,0)),"ANY")),"REGION MISMATCH","OK")))))))</f>
        <v/>
      </c>
    </row>
    <row r="319" customFormat="false" ht="15" hidden="false" customHeight="false" outlineLevel="0" collapsed="false">
      <c r="M319" s="24" t="str">
        <f aca="false">IF($C319="","",IFERROR(INDEX(Account_Mapping!$C:$C,MATCH($C319&amp;"",Account_Mapping!$A:$A,0))&amp;"",""))</f>
        <v/>
      </c>
      <c r="N319" s="24" t="str">
        <f aca="false">IF($K319&lt;&gt;"",$K319,$M319)</f>
        <v/>
      </c>
      <c r="O319" s="24" t="str">
        <f aca="false">IF($F319="","",IFERROR(INDEX(Counterparties!$C:$C,MATCH($F319&amp;"",Counterparties!$A:$A,0))&amp;"",""))</f>
        <v/>
      </c>
      <c r="P319" s="24" t="str">
        <f aca="false">IF($O319="","",IF($O319="CY","CY",IF(ISNUMBER(MATCH($O319,Lists!$A:$A,0)),"EU","3RD")))</f>
        <v/>
      </c>
      <c r="Q319" s="24" t="str">
        <f aca="false">IF($F319="","N",IFERROR(IF(INDEX(Counterparties!$E:$E,MATCH($F319&amp;"",Counterparties!$A:$A,0))="Y","Y","N"),"N"))</f>
        <v>N</v>
      </c>
      <c r="R319" s="25" t="n">
        <f aca="false">IF(OR($H319="",$H319="EUR"),1,IFERROR(INDEX(FX_Rates!$D:$D,MATCH($H319,FX_Rates!$A:$A,0)),""))</f>
        <v>1</v>
      </c>
      <c r="S319" s="26" t="str">
        <f aca="false">IF(AND($I319="",$J319=""),"",IF($J319&lt;&gt;"",$J319,IF(OR($R319="",$R319=0),"",ROUND($I319/$R319,2))))</f>
        <v/>
      </c>
      <c r="T319" s="24" t="str">
        <f aca="false">IF($N319="","",IFERROR(INDEX(VAT_Codes!$C:$C,MATCH($N319,VAT_Codes!$A:$A,0)),"")&amp;"")</f>
        <v/>
      </c>
      <c r="U319" s="26" t="n">
        <f aca="false">IF(OR($S319="",$T319="",$T319="None"),0,IF($T319="Output",-$S319,$S319))</f>
        <v>0</v>
      </c>
      <c r="V319" s="27" t="n">
        <f aca="false">IF($N319="",0,IFERROR(INDEX(VAT_Codes!$D:$D,MATCH($N319,VAT_Codes!$A:$A,0)),0))</f>
        <v>0</v>
      </c>
      <c r="W319" s="26" t="n">
        <f aca="false">IF($U319=0,0,IF(IFERROR(INDEX(VAT_Codes!$F:$F,MATCH($N319,VAT_Codes!$A:$A,0)),"N")="Y",$U319,IF($L319&lt;&gt;"",ROUND(ABS($L319)/IF(OR($R319="",$R319=0),1,$R319),2)*SIGN($U319),ROUND($U319*$V319,2))))</f>
        <v>0</v>
      </c>
      <c r="X319" s="24" t="str">
        <f aca="false">IF($N319="","",IFERROR(INDEX(VAT_Codes!$H:$H,MATCH($N319,VAT_Codes!$A:$A,0)),"")&amp;"")</f>
        <v/>
      </c>
      <c r="Y319" s="24" t="str">
        <f aca="false">IF($A319="","",(YEAR($A319)-YEAR(Settings!$C$8))*12+MONTH($A319)-MONTH(Settings!$C$8)+1)</f>
        <v/>
      </c>
      <c r="Z319" s="24" t="str">
        <f aca="false">IF(AND($C319="",$I319="",$J319=""),"",IF($N319="","NO VAT CODE",IF($T319="","UNKNOWN VAT CODE",IF($S319="","MISSING FX RATE",IF(OR($A319&lt;Settings!$C$8,$A319&gt;Settings!$C$9),"OUTSIDE PERIOD",IF(AND(IFERROR(INDEX(VAT_Codes!$E:$E,MATCH($N319,VAT_Codes!$A:$A,0)),"ANY")&lt;&gt;"ANY",$P319=""),"MISSING COUNTERPARTY COUNTRY",IF(AND(IFERROR(INDEX(VAT_Codes!$E:$E,MATCH($N319,VAT_Codes!$A:$A,0)),"ANY")&lt;&gt;"ANY",$P319&lt;&gt;IFERROR(INDEX(VAT_Codes!$E:$E,MATCH($N319,VAT_Codes!$A:$A,0)),"ANY")),"REGION MISMATCH","OK")))))))</f>
        <v/>
      </c>
    </row>
    <row r="320" customFormat="false" ht="15" hidden="false" customHeight="false" outlineLevel="0" collapsed="false">
      <c r="M320" s="24" t="str">
        <f aca="false">IF($C320="","",IFERROR(INDEX(Account_Mapping!$C:$C,MATCH($C320&amp;"",Account_Mapping!$A:$A,0))&amp;"",""))</f>
        <v/>
      </c>
      <c r="N320" s="24" t="str">
        <f aca="false">IF($K320&lt;&gt;"",$K320,$M320)</f>
        <v/>
      </c>
      <c r="O320" s="24" t="str">
        <f aca="false">IF($F320="","",IFERROR(INDEX(Counterparties!$C:$C,MATCH($F320&amp;"",Counterparties!$A:$A,0))&amp;"",""))</f>
        <v/>
      </c>
      <c r="P320" s="24" t="str">
        <f aca="false">IF($O320="","",IF($O320="CY","CY",IF(ISNUMBER(MATCH($O320,Lists!$A:$A,0)),"EU","3RD")))</f>
        <v/>
      </c>
      <c r="Q320" s="24" t="str">
        <f aca="false">IF($F320="","N",IFERROR(IF(INDEX(Counterparties!$E:$E,MATCH($F320&amp;"",Counterparties!$A:$A,0))="Y","Y","N"),"N"))</f>
        <v>N</v>
      </c>
      <c r="R320" s="25" t="n">
        <f aca="false">IF(OR($H320="",$H320="EUR"),1,IFERROR(INDEX(FX_Rates!$D:$D,MATCH($H320,FX_Rates!$A:$A,0)),""))</f>
        <v>1</v>
      </c>
      <c r="S320" s="26" t="str">
        <f aca="false">IF(AND($I320="",$J320=""),"",IF($J320&lt;&gt;"",$J320,IF(OR($R320="",$R320=0),"",ROUND($I320/$R320,2))))</f>
        <v/>
      </c>
      <c r="T320" s="24" t="str">
        <f aca="false">IF($N320="","",IFERROR(INDEX(VAT_Codes!$C:$C,MATCH($N320,VAT_Codes!$A:$A,0)),"")&amp;"")</f>
        <v/>
      </c>
      <c r="U320" s="26" t="n">
        <f aca="false">IF(OR($S320="",$T320="",$T320="None"),0,IF($T320="Output",-$S320,$S320))</f>
        <v>0</v>
      </c>
      <c r="V320" s="27" t="n">
        <f aca="false">IF($N320="",0,IFERROR(INDEX(VAT_Codes!$D:$D,MATCH($N320,VAT_Codes!$A:$A,0)),0))</f>
        <v>0</v>
      </c>
      <c r="W320" s="26" t="n">
        <f aca="false">IF($U320=0,0,IF(IFERROR(INDEX(VAT_Codes!$F:$F,MATCH($N320,VAT_Codes!$A:$A,0)),"N")="Y",$U320,IF($L320&lt;&gt;"",ROUND(ABS($L320)/IF(OR($R320="",$R320=0),1,$R320),2)*SIGN($U320),ROUND($U320*$V320,2))))</f>
        <v>0</v>
      </c>
      <c r="X320" s="24" t="str">
        <f aca="false">IF($N320="","",IFERROR(INDEX(VAT_Codes!$H:$H,MATCH($N320,VAT_Codes!$A:$A,0)),"")&amp;"")</f>
        <v/>
      </c>
      <c r="Y320" s="24" t="str">
        <f aca="false">IF($A320="","",(YEAR($A320)-YEAR(Settings!$C$8))*12+MONTH($A320)-MONTH(Settings!$C$8)+1)</f>
        <v/>
      </c>
      <c r="Z320" s="24" t="str">
        <f aca="false">IF(AND($C320="",$I320="",$J320=""),"",IF($N320="","NO VAT CODE",IF($T320="","UNKNOWN VAT CODE",IF($S320="","MISSING FX RATE",IF(OR($A320&lt;Settings!$C$8,$A320&gt;Settings!$C$9),"OUTSIDE PERIOD",IF(AND(IFERROR(INDEX(VAT_Codes!$E:$E,MATCH($N320,VAT_Codes!$A:$A,0)),"ANY")&lt;&gt;"ANY",$P320=""),"MISSING COUNTERPARTY COUNTRY",IF(AND(IFERROR(INDEX(VAT_Codes!$E:$E,MATCH($N320,VAT_Codes!$A:$A,0)),"ANY")&lt;&gt;"ANY",$P320&lt;&gt;IFERROR(INDEX(VAT_Codes!$E:$E,MATCH($N320,VAT_Codes!$A:$A,0)),"ANY")),"REGION MISMATCH","OK")))))))</f>
        <v/>
      </c>
    </row>
    <row r="321" customFormat="false" ht="15" hidden="false" customHeight="false" outlineLevel="0" collapsed="false">
      <c r="M321" s="24" t="str">
        <f aca="false">IF($C321="","",IFERROR(INDEX(Account_Mapping!$C:$C,MATCH($C321&amp;"",Account_Mapping!$A:$A,0))&amp;"",""))</f>
        <v/>
      </c>
      <c r="N321" s="24" t="str">
        <f aca="false">IF($K321&lt;&gt;"",$K321,$M321)</f>
        <v/>
      </c>
      <c r="O321" s="24" t="str">
        <f aca="false">IF($F321="","",IFERROR(INDEX(Counterparties!$C:$C,MATCH($F321&amp;"",Counterparties!$A:$A,0))&amp;"",""))</f>
        <v/>
      </c>
      <c r="P321" s="24" t="str">
        <f aca="false">IF($O321="","",IF($O321="CY","CY",IF(ISNUMBER(MATCH($O321,Lists!$A:$A,0)),"EU","3RD")))</f>
        <v/>
      </c>
      <c r="Q321" s="24" t="str">
        <f aca="false">IF($F321="","N",IFERROR(IF(INDEX(Counterparties!$E:$E,MATCH($F321&amp;"",Counterparties!$A:$A,0))="Y","Y","N"),"N"))</f>
        <v>N</v>
      </c>
      <c r="R321" s="25" t="n">
        <f aca="false">IF(OR($H321="",$H321="EUR"),1,IFERROR(INDEX(FX_Rates!$D:$D,MATCH($H321,FX_Rates!$A:$A,0)),""))</f>
        <v>1</v>
      </c>
      <c r="S321" s="26" t="str">
        <f aca="false">IF(AND($I321="",$J321=""),"",IF($J321&lt;&gt;"",$J321,IF(OR($R321="",$R321=0),"",ROUND($I321/$R321,2))))</f>
        <v/>
      </c>
      <c r="T321" s="24" t="str">
        <f aca="false">IF($N321="","",IFERROR(INDEX(VAT_Codes!$C:$C,MATCH($N321,VAT_Codes!$A:$A,0)),"")&amp;"")</f>
        <v/>
      </c>
      <c r="U321" s="26" t="n">
        <f aca="false">IF(OR($S321="",$T321="",$T321="None"),0,IF($T321="Output",-$S321,$S321))</f>
        <v>0</v>
      </c>
      <c r="V321" s="27" t="n">
        <f aca="false">IF($N321="",0,IFERROR(INDEX(VAT_Codes!$D:$D,MATCH($N321,VAT_Codes!$A:$A,0)),0))</f>
        <v>0</v>
      </c>
      <c r="W321" s="26" t="n">
        <f aca="false">IF($U321=0,0,IF(IFERROR(INDEX(VAT_Codes!$F:$F,MATCH($N321,VAT_Codes!$A:$A,0)),"N")="Y",$U321,IF($L321&lt;&gt;"",ROUND(ABS($L321)/IF(OR($R321="",$R321=0),1,$R321),2)*SIGN($U321),ROUND($U321*$V321,2))))</f>
        <v>0</v>
      </c>
      <c r="X321" s="24" t="str">
        <f aca="false">IF($N321="","",IFERROR(INDEX(VAT_Codes!$H:$H,MATCH($N321,VAT_Codes!$A:$A,0)),"")&amp;"")</f>
        <v/>
      </c>
      <c r="Y321" s="24" t="str">
        <f aca="false">IF($A321="","",(YEAR($A321)-YEAR(Settings!$C$8))*12+MONTH($A321)-MONTH(Settings!$C$8)+1)</f>
        <v/>
      </c>
      <c r="Z321" s="24" t="str">
        <f aca="false">IF(AND($C321="",$I321="",$J321=""),"",IF($N321="","NO VAT CODE",IF($T321="","UNKNOWN VAT CODE",IF($S321="","MISSING FX RATE",IF(OR($A321&lt;Settings!$C$8,$A321&gt;Settings!$C$9),"OUTSIDE PERIOD",IF(AND(IFERROR(INDEX(VAT_Codes!$E:$E,MATCH($N321,VAT_Codes!$A:$A,0)),"ANY")&lt;&gt;"ANY",$P321=""),"MISSING COUNTERPARTY COUNTRY",IF(AND(IFERROR(INDEX(VAT_Codes!$E:$E,MATCH($N321,VAT_Codes!$A:$A,0)),"ANY")&lt;&gt;"ANY",$P321&lt;&gt;IFERROR(INDEX(VAT_Codes!$E:$E,MATCH($N321,VAT_Codes!$A:$A,0)),"ANY")),"REGION MISMATCH","OK")))))))</f>
        <v/>
      </c>
    </row>
    <row r="322" customFormat="false" ht="15" hidden="false" customHeight="false" outlineLevel="0" collapsed="false">
      <c r="M322" s="24" t="str">
        <f aca="false">IF($C322="","",IFERROR(INDEX(Account_Mapping!$C:$C,MATCH($C322&amp;"",Account_Mapping!$A:$A,0))&amp;"",""))</f>
        <v/>
      </c>
      <c r="N322" s="24" t="str">
        <f aca="false">IF($K322&lt;&gt;"",$K322,$M322)</f>
        <v/>
      </c>
      <c r="O322" s="24" t="str">
        <f aca="false">IF($F322="","",IFERROR(INDEX(Counterparties!$C:$C,MATCH($F322&amp;"",Counterparties!$A:$A,0))&amp;"",""))</f>
        <v/>
      </c>
      <c r="P322" s="24" t="str">
        <f aca="false">IF($O322="","",IF($O322="CY","CY",IF(ISNUMBER(MATCH($O322,Lists!$A:$A,0)),"EU","3RD")))</f>
        <v/>
      </c>
      <c r="Q322" s="24" t="str">
        <f aca="false">IF($F322="","N",IFERROR(IF(INDEX(Counterparties!$E:$E,MATCH($F322&amp;"",Counterparties!$A:$A,0))="Y","Y","N"),"N"))</f>
        <v>N</v>
      </c>
      <c r="R322" s="25" t="n">
        <f aca="false">IF(OR($H322="",$H322="EUR"),1,IFERROR(INDEX(FX_Rates!$D:$D,MATCH($H322,FX_Rates!$A:$A,0)),""))</f>
        <v>1</v>
      </c>
      <c r="S322" s="26" t="str">
        <f aca="false">IF(AND($I322="",$J322=""),"",IF($J322&lt;&gt;"",$J322,IF(OR($R322="",$R322=0),"",ROUND($I322/$R322,2))))</f>
        <v/>
      </c>
      <c r="T322" s="24" t="str">
        <f aca="false">IF($N322="","",IFERROR(INDEX(VAT_Codes!$C:$C,MATCH($N322,VAT_Codes!$A:$A,0)),"")&amp;"")</f>
        <v/>
      </c>
      <c r="U322" s="26" t="n">
        <f aca="false">IF(OR($S322="",$T322="",$T322="None"),0,IF($T322="Output",-$S322,$S322))</f>
        <v>0</v>
      </c>
      <c r="V322" s="27" t="n">
        <f aca="false">IF($N322="",0,IFERROR(INDEX(VAT_Codes!$D:$D,MATCH($N322,VAT_Codes!$A:$A,0)),0))</f>
        <v>0</v>
      </c>
      <c r="W322" s="26" t="n">
        <f aca="false">IF($U322=0,0,IF(IFERROR(INDEX(VAT_Codes!$F:$F,MATCH($N322,VAT_Codes!$A:$A,0)),"N")="Y",$U322,IF($L322&lt;&gt;"",ROUND(ABS($L322)/IF(OR($R322="",$R322=0),1,$R322),2)*SIGN($U322),ROUND($U322*$V322,2))))</f>
        <v>0</v>
      </c>
      <c r="X322" s="24" t="str">
        <f aca="false">IF($N322="","",IFERROR(INDEX(VAT_Codes!$H:$H,MATCH($N322,VAT_Codes!$A:$A,0)),"")&amp;"")</f>
        <v/>
      </c>
      <c r="Y322" s="24" t="str">
        <f aca="false">IF($A322="","",(YEAR($A322)-YEAR(Settings!$C$8))*12+MONTH($A322)-MONTH(Settings!$C$8)+1)</f>
        <v/>
      </c>
      <c r="Z322" s="24" t="str">
        <f aca="false">IF(AND($C322="",$I322="",$J322=""),"",IF($N322="","NO VAT CODE",IF($T322="","UNKNOWN VAT CODE",IF($S322="","MISSING FX RATE",IF(OR($A322&lt;Settings!$C$8,$A322&gt;Settings!$C$9),"OUTSIDE PERIOD",IF(AND(IFERROR(INDEX(VAT_Codes!$E:$E,MATCH($N322,VAT_Codes!$A:$A,0)),"ANY")&lt;&gt;"ANY",$P322=""),"MISSING COUNTERPARTY COUNTRY",IF(AND(IFERROR(INDEX(VAT_Codes!$E:$E,MATCH($N322,VAT_Codes!$A:$A,0)),"ANY")&lt;&gt;"ANY",$P322&lt;&gt;IFERROR(INDEX(VAT_Codes!$E:$E,MATCH($N322,VAT_Codes!$A:$A,0)),"ANY")),"REGION MISMATCH","OK")))))))</f>
        <v/>
      </c>
    </row>
    <row r="323" customFormat="false" ht="15" hidden="false" customHeight="false" outlineLevel="0" collapsed="false">
      <c r="M323" s="24" t="str">
        <f aca="false">IF($C323="","",IFERROR(INDEX(Account_Mapping!$C:$C,MATCH($C323&amp;"",Account_Mapping!$A:$A,0))&amp;"",""))</f>
        <v/>
      </c>
      <c r="N323" s="24" t="str">
        <f aca="false">IF($K323&lt;&gt;"",$K323,$M323)</f>
        <v/>
      </c>
      <c r="O323" s="24" t="str">
        <f aca="false">IF($F323="","",IFERROR(INDEX(Counterparties!$C:$C,MATCH($F323&amp;"",Counterparties!$A:$A,0))&amp;"",""))</f>
        <v/>
      </c>
      <c r="P323" s="24" t="str">
        <f aca="false">IF($O323="","",IF($O323="CY","CY",IF(ISNUMBER(MATCH($O323,Lists!$A:$A,0)),"EU","3RD")))</f>
        <v/>
      </c>
      <c r="Q323" s="24" t="str">
        <f aca="false">IF($F323="","N",IFERROR(IF(INDEX(Counterparties!$E:$E,MATCH($F323&amp;"",Counterparties!$A:$A,0))="Y","Y","N"),"N"))</f>
        <v>N</v>
      </c>
      <c r="R323" s="25" t="n">
        <f aca="false">IF(OR($H323="",$H323="EUR"),1,IFERROR(INDEX(FX_Rates!$D:$D,MATCH($H323,FX_Rates!$A:$A,0)),""))</f>
        <v>1</v>
      </c>
      <c r="S323" s="26" t="str">
        <f aca="false">IF(AND($I323="",$J323=""),"",IF($J323&lt;&gt;"",$J323,IF(OR($R323="",$R323=0),"",ROUND($I323/$R323,2))))</f>
        <v/>
      </c>
      <c r="T323" s="24" t="str">
        <f aca="false">IF($N323="","",IFERROR(INDEX(VAT_Codes!$C:$C,MATCH($N323,VAT_Codes!$A:$A,0)),"")&amp;"")</f>
        <v/>
      </c>
      <c r="U323" s="26" t="n">
        <f aca="false">IF(OR($S323="",$T323="",$T323="None"),0,IF($T323="Output",-$S323,$S323))</f>
        <v>0</v>
      </c>
      <c r="V323" s="27" t="n">
        <f aca="false">IF($N323="",0,IFERROR(INDEX(VAT_Codes!$D:$D,MATCH($N323,VAT_Codes!$A:$A,0)),0))</f>
        <v>0</v>
      </c>
      <c r="W323" s="26" t="n">
        <f aca="false">IF($U323=0,0,IF(IFERROR(INDEX(VAT_Codes!$F:$F,MATCH($N323,VAT_Codes!$A:$A,0)),"N")="Y",$U323,IF($L323&lt;&gt;"",ROUND(ABS($L323)/IF(OR($R323="",$R323=0),1,$R323),2)*SIGN($U323),ROUND($U323*$V323,2))))</f>
        <v>0</v>
      </c>
      <c r="X323" s="24" t="str">
        <f aca="false">IF($N323="","",IFERROR(INDEX(VAT_Codes!$H:$H,MATCH($N323,VAT_Codes!$A:$A,0)),"")&amp;"")</f>
        <v/>
      </c>
      <c r="Y323" s="24" t="str">
        <f aca="false">IF($A323="","",(YEAR($A323)-YEAR(Settings!$C$8))*12+MONTH($A323)-MONTH(Settings!$C$8)+1)</f>
        <v/>
      </c>
      <c r="Z323" s="24" t="str">
        <f aca="false">IF(AND($C323="",$I323="",$J323=""),"",IF($N323="","NO VAT CODE",IF($T323="","UNKNOWN VAT CODE",IF($S323="","MISSING FX RATE",IF(OR($A323&lt;Settings!$C$8,$A323&gt;Settings!$C$9),"OUTSIDE PERIOD",IF(AND(IFERROR(INDEX(VAT_Codes!$E:$E,MATCH($N323,VAT_Codes!$A:$A,0)),"ANY")&lt;&gt;"ANY",$P323=""),"MISSING COUNTERPARTY COUNTRY",IF(AND(IFERROR(INDEX(VAT_Codes!$E:$E,MATCH($N323,VAT_Codes!$A:$A,0)),"ANY")&lt;&gt;"ANY",$P323&lt;&gt;IFERROR(INDEX(VAT_Codes!$E:$E,MATCH($N323,VAT_Codes!$A:$A,0)),"ANY")),"REGION MISMATCH","OK")))))))</f>
        <v/>
      </c>
    </row>
    <row r="324" customFormat="false" ht="15" hidden="false" customHeight="false" outlineLevel="0" collapsed="false">
      <c r="M324" s="24" t="str">
        <f aca="false">IF($C324="","",IFERROR(INDEX(Account_Mapping!$C:$C,MATCH($C324&amp;"",Account_Mapping!$A:$A,0))&amp;"",""))</f>
        <v/>
      </c>
      <c r="N324" s="24" t="str">
        <f aca="false">IF($K324&lt;&gt;"",$K324,$M324)</f>
        <v/>
      </c>
      <c r="O324" s="24" t="str">
        <f aca="false">IF($F324="","",IFERROR(INDEX(Counterparties!$C:$C,MATCH($F324&amp;"",Counterparties!$A:$A,0))&amp;"",""))</f>
        <v/>
      </c>
      <c r="P324" s="24" t="str">
        <f aca="false">IF($O324="","",IF($O324="CY","CY",IF(ISNUMBER(MATCH($O324,Lists!$A:$A,0)),"EU","3RD")))</f>
        <v/>
      </c>
      <c r="Q324" s="24" t="str">
        <f aca="false">IF($F324="","N",IFERROR(IF(INDEX(Counterparties!$E:$E,MATCH($F324&amp;"",Counterparties!$A:$A,0))="Y","Y","N"),"N"))</f>
        <v>N</v>
      </c>
      <c r="R324" s="25" t="n">
        <f aca="false">IF(OR($H324="",$H324="EUR"),1,IFERROR(INDEX(FX_Rates!$D:$D,MATCH($H324,FX_Rates!$A:$A,0)),""))</f>
        <v>1</v>
      </c>
      <c r="S324" s="26" t="str">
        <f aca="false">IF(AND($I324="",$J324=""),"",IF($J324&lt;&gt;"",$J324,IF(OR($R324="",$R324=0),"",ROUND($I324/$R324,2))))</f>
        <v/>
      </c>
      <c r="T324" s="24" t="str">
        <f aca="false">IF($N324="","",IFERROR(INDEX(VAT_Codes!$C:$C,MATCH($N324,VAT_Codes!$A:$A,0)),"")&amp;"")</f>
        <v/>
      </c>
      <c r="U324" s="26" t="n">
        <f aca="false">IF(OR($S324="",$T324="",$T324="None"),0,IF($T324="Output",-$S324,$S324))</f>
        <v>0</v>
      </c>
      <c r="V324" s="27" t="n">
        <f aca="false">IF($N324="",0,IFERROR(INDEX(VAT_Codes!$D:$D,MATCH($N324,VAT_Codes!$A:$A,0)),0))</f>
        <v>0</v>
      </c>
      <c r="W324" s="26" t="n">
        <f aca="false">IF($U324=0,0,IF(IFERROR(INDEX(VAT_Codes!$F:$F,MATCH($N324,VAT_Codes!$A:$A,0)),"N")="Y",$U324,IF($L324&lt;&gt;"",ROUND(ABS($L324)/IF(OR($R324="",$R324=0),1,$R324),2)*SIGN($U324),ROUND($U324*$V324,2))))</f>
        <v>0</v>
      </c>
      <c r="X324" s="24" t="str">
        <f aca="false">IF($N324="","",IFERROR(INDEX(VAT_Codes!$H:$H,MATCH($N324,VAT_Codes!$A:$A,0)),"")&amp;"")</f>
        <v/>
      </c>
      <c r="Y324" s="24" t="str">
        <f aca="false">IF($A324="","",(YEAR($A324)-YEAR(Settings!$C$8))*12+MONTH($A324)-MONTH(Settings!$C$8)+1)</f>
        <v/>
      </c>
      <c r="Z324" s="24" t="str">
        <f aca="false">IF(AND($C324="",$I324="",$J324=""),"",IF($N324="","NO VAT CODE",IF($T324="","UNKNOWN VAT CODE",IF($S324="","MISSING FX RATE",IF(OR($A324&lt;Settings!$C$8,$A324&gt;Settings!$C$9),"OUTSIDE PERIOD",IF(AND(IFERROR(INDEX(VAT_Codes!$E:$E,MATCH($N324,VAT_Codes!$A:$A,0)),"ANY")&lt;&gt;"ANY",$P324=""),"MISSING COUNTERPARTY COUNTRY",IF(AND(IFERROR(INDEX(VAT_Codes!$E:$E,MATCH($N324,VAT_Codes!$A:$A,0)),"ANY")&lt;&gt;"ANY",$P324&lt;&gt;IFERROR(INDEX(VAT_Codes!$E:$E,MATCH($N324,VAT_Codes!$A:$A,0)),"ANY")),"REGION MISMATCH","OK")))))))</f>
        <v/>
      </c>
    </row>
    <row r="325" customFormat="false" ht="15" hidden="false" customHeight="false" outlineLevel="0" collapsed="false">
      <c r="M325" s="24" t="str">
        <f aca="false">IF($C325="","",IFERROR(INDEX(Account_Mapping!$C:$C,MATCH($C325&amp;"",Account_Mapping!$A:$A,0))&amp;"",""))</f>
        <v/>
      </c>
      <c r="N325" s="24" t="str">
        <f aca="false">IF($K325&lt;&gt;"",$K325,$M325)</f>
        <v/>
      </c>
      <c r="O325" s="24" t="str">
        <f aca="false">IF($F325="","",IFERROR(INDEX(Counterparties!$C:$C,MATCH($F325&amp;"",Counterparties!$A:$A,0))&amp;"",""))</f>
        <v/>
      </c>
      <c r="P325" s="24" t="str">
        <f aca="false">IF($O325="","",IF($O325="CY","CY",IF(ISNUMBER(MATCH($O325,Lists!$A:$A,0)),"EU","3RD")))</f>
        <v/>
      </c>
      <c r="Q325" s="24" t="str">
        <f aca="false">IF($F325="","N",IFERROR(IF(INDEX(Counterparties!$E:$E,MATCH($F325&amp;"",Counterparties!$A:$A,0))="Y","Y","N"),"N"))</f>
        <v>N</v>
      </c>
      <c r="R325" s="25" t="n">
        <f aca="false">IF(OR($H325="",$H325="EUR"),1,IFERROR(INDEX(FX_Rates!$D:$D,MATCH($H325,FX_Rates!$A:$A,0)),""))</f>
        <v>1</v>
      </c>
      <c r="S325" s="26" t="str">
        <f aca="false">IF(AND($I325="",$J325=""),"",IF($J325&lt;&gt;"",$J325,IF(OR($R325="",$R325=0),"",ROUND($I325/$R325,2))))</f>
        <v/>
      </c>
      <c r="T325" s="24" t="str">
        <f aca="false">IF($N325="","",IFERROR(INDEX(VAT_Codes!$C:$C,MATCH($N325,VAT_Codes!$A:$A,0)),"")&amp;"")</f>
        <v/>
      </c>
      <c r="U325" s="26" t="n">
        <f aca="false">IF(OR($S325="",$T325="",$T325="None"),0,IF($T325="Output",-$S325,$S325))</f>
        <v>0</v>
      </c>
      <c r="V325" s="27" t="n">
        <f aca="false">IF($N325="",0,IFERROR(INDEX(VAT_Codes!$D:$D,MATCH($N325,VAT_Codes!$A:$A,0)),0))</f>
        <v>0</v>
      </c>
      <c r="W325" s="26" t="n">
        <f aca="false">IF($U325=0,0,IF(IFERROR(INDEX(VAT_Codes!$F:$F,MATCH($N325,VAT_Codes!$A:$A,0)),"N")="Y",$U325,IF($L325&lt;&gt;"",ROUND(ABS($L325)/IF(OR($R325="",$R325=0),1,$R325),2)*SIGN($U325),ROUND($U325*$V325,2))))</f>
        <v>0</v>
      </c>
      <c r="X325" s="24" t="str">
        <f aca="false">IF($N325="","",IFERROR(INDEX(VAT_Codes!$H:$H,MATCH($N325,VAT_Codes!$A:$A,0)),"")&amp;"")</f>
        <v/>
      </c>
      <c r="Y325" s="24" t="str">
        <f aca="false">IF($A325="","",(YEAR($A325)-YEAR(Settings!$C$8))*12+MONTH($A325)-MONTH(Settings!$C$8)+1)</f>
        <v/>
      </c>
      <c r="Z325" s="24" t="str">
        <f aca="false">IF(AND($C325="",$I325="",$J325=""),"",IF($N325="","NO VAT CODE",IF($T325="","UNKNOWN VAT CODE",IF($S325="","MISSING FX RATE",IF(OR($A325&lt;Settings!$C$8,$A325&gt;Settings!$C$9),"OUTSIDE PERIOD",IF(AND(IFERROR(INDEX(VAT_Codes!$E:$E,MATCH($N325,VAT_Codes!$A:$A,0)),"ANY")&lt;&gt;"ANY",$P325=""),"MISSING COUNTERPARTY COUNTRY",IF(AND(IFERROR(INDEX(VAT_Codes!$E:$E,MATCH($N325,VAT_Codes!$A:$A,0)),"ANY")&lt;&gt;"ANY",$P325&lt;&gt;IFERROR(INDEX(VAT_Codes!$E:$E,MATCH($N325,VAT_Codes!$A:$A,0)),"ANY")),"REGION MISMATCH","OK")))))))</f>
        <v/>
      </c>
    </row>
    <row r="326" customFormat="false" ht="15" hidden="false" customHeight="false" outlineLevel="0" collapsed="false">
      <c r="M326" s="24" t="str">
        <f aca="false">IF($C326="","",IFERROR(INDEX(Account_Mapping!$C:$C,MATCH($C326&amp;"",Account_Mapping!$A:$A,0))&amp;"",""))</f>
        <v/>
      </c>
      <c r="N326" s="24" t="str">
        <f aca="false">IF($K326&lt;&gt;"",$K326,$M326)</f>
        <v/>
      </c>
      <c r="O326" s="24" t="str">
        <f aca="false">IF($F326="","",IFERROR(INDEX(Counterparties!$C:$C,MATCH($F326&amp;"",Counterparties!$A:$A,0))&amp;"",""))</f>
        <v/>
      </c>
      <c r="P326" s="24" t="str">
        <f aca="false">IF($O326="","",IF($O326="CY","CY",IF(ISNUMBER(MATCH($O326,Lists!$A:$A,0)),"EU","3RD")))</f>
        <v/>
      </c>
      <c r="Q326" s="24" t="str">
        <f aca="false">IF($F326="","N",IFERROR(IF(INDEX(Counterparties!$E:$E,MATCH($F326&amp;"",Counterparties!$A:$A,0))="Y","Y","N"),"N"))</f>
        <v>N</v>
      </c>
      <c r="R326" s="25" t="n">
        <f aca="false">IF(OR($H326="",$H326="EUR"),1,IFERROR(INDEX(FX_Rates!$D:$D,MATCH($H326,FX_Rates!$A:$A,0)),""))</f>
        <v>1</v>
      </c>
      <c r="S326" s="26" t="str">
        <f aca="false">IF(AND($I326="",$J326=""),"",IF($J326&lt;&gt;"",$J326,IF(OR($R326="",$R326=0),"",ROUND($I326/$R326,2))))</f>
        <v/>
      </c>
      <c r="T326" s="24" t="str">
        <f aca="false">IF($N326="","",IFERROR(INDEX(VAT_Codes!$C:$C,MATCH($N326,VAT_Codes!$A:$A,0)),"")&amp;"")</f>
        <v/>
      </c>
      <c r="U326" s="26" t="n">
        <f aca="false">IF(OR($S326="",$T326="",$T326="None"),0,IF($T326="Output",-$S326,$S326))</f>
        <v>0</v>
      </c>
      <c r="V326" s="27" t="n">
        <f aca="false">IF($N326="",0,IFERROR(INDEX(VAT_Codes!$D:$D,MATCH($N326,VAT_Codes!$A:$A,0)),0))</f>
        <v>0</v>
      </c>
      <c r="W326" s="26" t="n">
        <f aca="false">IF($U326=0,0,IF(IFERROR(INDEX(VAT_Codes!$F:$F,MATCH($N326,VAT_Codes!$A:$A,0)),"N")="Y",$U326,IF($L326&lt;&gt;"",ROUND(ABS($L326)/IF(OR($R326="",$R326=0),1,$R326),2)*SIGN($U326),ROUND($U326*$V326,2))))</f>
        <v>0</v>
      </c>
      <c r="X326" s="24" t="str">
        <f aca="false">IF($N326="","",IFERROR(INDEX(VAT_Codes!$H:$H,MATCH($N326,VAT_Codes!$A:$A,0)),"")&amp;"")</f>
        <v/>
      </c>
      <c r="Y326" s="24" t="str">
        <f aca="false">IF($A326="","",(YEAR($A326)-YEAR(Settings!$C$8))*12+MONTH($A326)-MONTH(Settings!$C$8)+1)</f>
        <v/>
      </c>
      <c r="Z326" s="24" t="str">
        <f aca="false">IF(AND($C326="",$I326="",$J326=""),"",IF($N326="","NO VAT CODE",IF($T326="","UNKNOWN VAT CODE",IF($S326="","MISSING FX RATE",IF(OR($A326&lt;Settings!$C$8,$A326&gt;Settings!$C$9),"OUTSIDE PERIOD",IF(AND(IFERROR(INDEX(VAT_Codes!$E:$E,MATCH($N326,VAT_Codes!$A:$A,0)),"ANY")&lt;&gt;"ANY",$P326=""),"MISSING COUNTERPARTY COUNTRY",IF(AND(IFERROR(INDEX(VAT_Codes!$E:$E,MATCH($N326,VAT_Codes!$A:$A,0)),"ANY")&lt;&gt;"ANY",$P326&lt;&gt;IFERROR(INDEX(VAT_Codes!$E:$E,MATCH($N326,VAT_Codes!$A:$A,0)),"ANY")),"REGION MISMATCH","OK")))))))</f>
        <v/>
      </c>
    </row>
    <row r="327" customFormat="false" ht="15" hidden="false" customHeight="false" outlineLevel="0" collapsed="false">
      <c r="M327" s="24" t="str">
        <f aca="false">IF($C327="","",IFERROR(INDEX(Account_Mapping!$C:$C,MATCH($C327&amp;"",Account_Mapping!$A:$A,0))&amp;"",""))</f>
        <v/>
      </c>
      <c r="N327" s="24" t="str">
        <f aca="false">IF($K327&lt;&gt;"",$K327,$M327)</f>
        <v/>
      </c>
      <c r="O327" s="24" t="str">
        <f aca="false">IF($F327="","",IFERROR(INDEX(Counterparties!$C:$C,MATCH($F327&amp;"",Counterparties!$A:$A,0))&amp;"",""))</f>
        <v/>
      </c>
      <c r="P327" s="24" t="str">
        <f aca="false">IF($O327="","",IF($O327="CY","CY",IF(ISNUMBER(MATCH($O327,Lists!$A:$A,0)),"EU","3RD")))</f>
        <v/>
      </c>
      <c r="Q327" s="24" t="str">
        <f aca="false">IF($F327="","N",IFERROR(IF(INDEX(Counterparties!$E:$E,MATCH($F327&amp;"",Counterparties!$A:$A,0))="Y","Y","N"),"N"))</f>
        <v>N</v>
      </c>
      <c r="R327" s="25" t="n">
        <f aca="false">IF(OR($H327="",$H327="EUR"),1,IFERROR(INDEX(FX_Rates!$D:$D,MATCH($H327,FX_Rates!$A:$A,0)),""))</f>
        <v>1</v>
      </c>
      <c r="S327" s="26" t="str">
        <f aca="false">IF(AND($I327="",$J327=""),"",IF($J327&lt;&gt;"",$J327,IF(OR($R327="",$R327=0),"",ROUND($I327/$R327,2))))</f>
        <v/>
      </c>
      <c r="T327" s="24" t="str">
        <f aca="false">IF($N327="","",IFERROR(INDEX(VAT_Codes!$C:$C,MATCH($N327,VAT_Codes!$A:$A,0)),"")&amp;"")</f>
        <v/>
      </c>
      <c r="U327" s="26" t="n">
        <f aca="false">IF(OR($S327="",$T327="",$T327="None"),0,IF($T327="Output",-$S327,$S327))</f>
        <v>0</v>
      </c>
      <c r="V327" s="27" t="n">
        <f aca="false">IF($N327="",0,IFERROR(INDEX(VAT_Codes!$D:$D,MATCH($N327,VAT_Codes!$A:$A,0)),0))</f>
        <v>0</v>
      </c>
      <c r="W327" s="26" t="n">
        <f aca="false">IF($U327=0,0,IF(IFERROR(INDEX(VAT_Codes!$F:$F,MATCH($N327,VAT_Codes!$A:$A,0)),"N")="Y",$U327,IF($L327&lt;&gt;"",ROUND(ABS($L327)/IF(OR($R327="",$R327=0),1,$R327),2)*SIGN($U327),ROUND($U327*$V327,2))))</f>
        <v>0</v>
      </c>
      <c r="X327" s="24" t="str">
        <f aca="false">IF($N327="","",IFERROR(INDEX(VAT_Codes!$H:$H,MATCH($N327,VAT_Codes!$A:$A,0)),"")&amp;"")</f>
        <v/>
      </c>
      <c r="Y327" s="24" t="str">
        <f aca="false">IF($A327="","",(YEAR($A327)-YEAR(Settings!$C$8))*12+MONTH($A327)-MONTH(Settings!$C$8)+1)</f>
        <v/>
      </c>
      <c r="Z327" s="24" t="str">
        <f aca="false">IF(AND($C327="",$I327="",$J327=""),"",IF($N327="","NO VAT CODE",IF($T327="","UNKNOWN VAT CODE",IF($S327="","MISSING FX RATE",IF(OR($A327&lt;Settings!$C$8,$A327&gt;Settings!$C$9),"OUTSIDE PERIOD",IF(AND(IFERROR(INDEX(VAT_Codes!$E:$E,MATCH($N327,VAT_Codes!$A:$A,0)),"ANY")&lt;&gt;"ANY",$P327=""),"MISSING COUNTERPARTY COUNTRY",IF(AND(IFERROR(INDEX(VAT_Codes!$E:$E,MATCH($N327,VAT_Codes!$A:$A,0)),"ANY")&lt;&gt;"ANY",$P327&lt;&gt;IFERROR(INDEX(VAT_Codes!$E:$E,MATCH($N327,VAT_Codes!$A:$A,0)),"ANY")),"REGION MISMATCH","OK")))))))</f>
        <v/>
      </c>
    </row>
    <row r="328" customFormat="false" ht="15" hidden="false" customHeight="false" outlineLevel="0" collapsed="false">
      <c r="M328" s="24" t="str">
        <f aca="false">IF($C328="","",IFERROR(INDEX(Account_Mapping!$C:$C,MATCH($C328&amp;"",Account_Mapping!$A:$A,0))&amp;"",""))</f>
        <v/>
      </c>
      <c r="N328" s="24" t="str">
        <f aca="false">IF($K328&lt;&gt;"",$K328,$M328)</f>
        <v/>
      </c>
      <c r="O328" s="24" t="str">
        <f aca="false">IF($F328="","",IFERROR(INDEX(Counterparties!$C:$C,MATCH($F328&amp;"",Counterparties!$A:$A,0))&amp;"",""))</f>
        <v/>
      </c>
      <c r="P328" s="24" t="str">
        <f aca="false">IF($O328="","",IF($O328="CY","CY",IF(ISNUMBER(MATCH($O328,Lists!$A:$A,0)),"EU","3RD")))</f>
        <v/>
      </c>
      <c r="Q328" s="24" t="str">
        <f aca="false">IF($F328="","N",IFERROR(IF(INDEX(Counterparties!$E:$E,MATCH($F328&amp;"",Counterparties!$A:$A,0))="Y","Y","N"),"N"))</f>
        <v>N</v>
      </c>
      <c r="R328" s="25" t="n">
        <f aca="false">IF(OR($H328="",$H328="EUR"),1,IFERROR(INDEX(FX_Rates!$D:$D,MATCH($H328,FX_Rates!$A:$A,0)),""))</f>
        <v>1</v>
      </c>
      <c r="S328" s="26" t="str">
        <f aca="false">IF(AND($I328="",$J328=""),"",IF($J328&lt;&gt;"",$J328,IF(OR($R328="",$R328=0),"",ROUND($I328/$R328,2))))</f>
        <v/>
      </c>
      <c r="T328" s="24" t="str">
        <f aca="false">IF($N328="","",IFERROR(INDEX(VAT_Codes!$C:$C,MATCH($N328,VAT_Codes!$A:$A,0)),"")&amp;"")</f>
        <v/>
      </c>
      <c r="U328" s="26" t="n">
        <f aca="false">IF(OR($S328="",$T328="",$T328="None"),0,IF($T328="Output",-$S328,$S328))</f>
        <v>0</v>
      </c>
      <c r="V328" s="27" t="n">
        <f aca="false">IF($N328="",0,IFERROR(INDEX(VAT_Codes!$D:$D,MATCH($N328,VAT_Codes!$A:$A,0)),0))</f>
        <v>0</v>
      </c>
      <c r="W328" s="26" t="n">
        <f aca="false">IF($U328=0,0,IF(IFERROR(INDEX(VAT_Codes!$F:$F,MATCH($N328,VAT_Codes!$A:$A,0)),"N")="Y",$U328,IF($L328&lt;&gt;"",ROUND(ABS($L328)/IF(OR($R328="",$R328=0),1,$R328),2)*SIGN($U328),ROUND($U328*$V328,2))))</f>
        <v>0</v>
      </c>
      <c r="X328" s="24" t="str">
        <f aca="false">IF($N328="","",IFERROR(INDEX(VAT_Codes!$H:$H,MATCH($N328,VAT_Codes!$A:$A,0)),"")&amp;"")</f>
        <v/>
      </c>
      <c r="Y328" s="24" t="str">
        <f aca="false">IF($A328="","",(YEAR($A328)-YEAR(Settings!$C$8))*12+MONTH($A328)-MONTH(Settings!$C$8)+1)</f>
        <v/>
      </c>
      <c r="Z328" s="24" t="str">
        <f aca="false">IF(AND($C328="",$I328="",$J328=""),"",IF($N328="","NO VAT CODE",IF($T328="","UNKNOWN VAT CODE",IF($S328="","MISSING FX RATE",IF(OR($A328&lt;Settings!$C$8,$A328&gt;Settings!$C$9),"OUTSIDE PERIOD",IF(AND(IFERROR(INDEX(VAT_Codes!$E:$E,MATCH($N328,VAT_Codes!$A:$A,0)),"ANY")&lt;&gt;"ANY",$P328=""),"MISSING COUNTERPARTY COUNTRY",IF(AND(IFERROR(INDEX(VAT_Codes!$E:$E,MATCH($N328,VAT_Codes!$A:$A,0)),"ANY")&lt;&gt;"ANY",$P328&lt;&gt;IFERROR(INDEX(VAT_Codes!$E:$E,MATCH($N328,VAT_Codes!$A:$A,0)),"ANY")),"REGION MISMATCH","OK")))))))</f>
        <v/>
      </c>
    </row>
    <row r="329" customFormat="false" ht="15" hidden="false" customHeight="false" outlineLevel="0" collapsed="false">
      <c r="M329" s="24" t="str">
        <f aca="false">IF($C329="","",IFERROR(INDEX(Account_Mapping!$C:$C,MATCH($C329&amp;"",Account_Mapping!$A:$A,0))&amp;"",""))</f>
        <v/>
      </c>
      <c r="N329" s="24" t="str">
        <f aca="false">IF($K329&lt;&gt;"",$K329,$M329)</f>
        <v/>
      </c>
      <c r="O329" s="24" t="str">
        <f aca="false">IF($F329="","",IFERROR(INDEX(Counterparties!$C:$C,MATCH($F329&amp;"",Counterparties!$A:$A,0))&amp;"",""))</f>
        <v/>
      </c>
      <c r="P329" s="24" t="str">
        <f aca="false">IF($O329="","",IF($O329="CY","CY",IF(ISNUMBER(MATCH($O329,Lists!$A:$A,0)),"EU","3RD")))</f>
        <v/>
      </c>
      <c r="Q329" s="24" t="str">
        <f aca="false">IF($F329="","N",IFERROR(IF(INDEX(Counterparties!$E:$E,MATCH($F329&amp;"",Counterparties!$A:$A,0))="Y","Y","N"),"N"))</f>
        <v>N</v>
      </c>
      <c r="R329" s="25" t="n">
        <f aca="false">IF(OR($H329="",$H329="EUR"),1,IFERROR(INDEX(FX_Rates!$D:$D,MATCH($H329,FX_Rates!$A:$A,0)),""))</f>
        <v>1</v>
      </c>
      <c r="S329" s="26" t="str">
        <f aca="false">IF(AND($I329="",$J329=""),"",IF($J329&lt;&gt;"",$J329,IF(OR($R329="",$R329=0),"",ROUND($I329/$R329,2))))</f>
        <v/>
      </c>
      <c r="T329" s="24" t="str">
        <f aca="false">IF($N329="","",IFERROR(INDEX(VAT_Codes!$C:$C,MATCH($N329,VAT_Codes!$A:$A,0)),"")&amp;"")</f>
        <v/>
      </c>
      <c r="U329" s="26" t="n">
        <f aca="false">IF(OR($S329="",$T329="",$T329="None"),0,IF($T329="Output",-$S329,$S329))</f>
        <v>0</v>
      </c>
      <c r="V329" s="27" t="n">
        <f aca="false">IF($N329="",0,IFERROR(INDEX(VAT_Codes!$D:$D,MATCH($N329,VAT_Codes!$A:$A,0)),0))</f>
        <v>0</v>
      </c>
      <c r="W329" s="26" t="n">
        <f aca="false">IF($U329=0,0,IF(IFERROR(INDEX(VAT_Codes!$F:$F,MATCH($N329,VAT_Codes!$A:$A,0)),"N")="Y",$U329,IF($L329&lt;&gt;"",ROUND(ABS($L329)/IF(OR($R329="",$R329=0),1,$R329),2)*SIGN($U329),ROUND($U329*$V329,2))))</f>
        <v>0</v>
      </c>
      <c r="X329" s="24" t="str">
        <f aca="false">IF($N329="","",IFERROR(INDEX(VAT_Codes!$H:$H,MATCH($N329,VAT_Codes!$A:$A,0)),"")&amp;"")</f>
        <v/>
      </c>
      <c r="Y329" s="24" t="str">
        <f aca="false">IF($A329="","",(YEAR($A329)-YEAR(Settings!$C$8))*12+MONTH($A329)-MONTH(Settings!$C$8)+1)</f>
        <v/>
      </c>
      <c r="Z329" s="24" t="str">
        <f aca="false">IF(AND($C329="",$I329="",$J329=""),"",IF($N329="","NO VAT CODE",IF($T329="","UNKNOWN VAT CODE",IF($S329="","MISSING FX RATE",IF(OR($A329&lt;Settings!$C$8,$A329&gt;Settings!$C$9),"OUTSIDE PERIOD",IF(AND(IFERROR(INDEX(VAT_Codes!$E:$E,MATCH($N329,VAT_Codes!$A:$A,0)),"ANY")&lt;&gt;"ANY",$P329=""),"MISSING COUNTERPARTY COUNTRY",IF(AND(IFERROR(INDEX(VAT_Codes!$E:$E,MATCH($N329,VAT_Codes!$A:$A,0)),"ANY")&lt;&gt;"ANY",$P329&lt;&gt;IFERROR(INDEX(VAT_Codes!$E:$E,MATCH($N329,VAT_Codes!$A:$A,0)),"ANY")),"REGION MISMATCH","OK")))))))</f>
        <v/>
      </c>
    </row>
    <row r="330" customFormat="false" ht="15" hidden="false" customHeight="false" outlineLevel="0" collapsed="false">
      <c r="M330" s="24" t="str">
        <f aca="false">IF($C330="","",IFERROR(INDEX(Account_Mapping!$C:$C,MATCH($C330&amp;"",Account_Mapping!$A:$A,0))&amp;"",""))</f>
        <v/>
      </c>
      <c r="N330" s="24" t="str">
        <f aca="false">IF($K330&lt;&gt;"",$K330,$M330)</f>
        <v/>
      </c>
      <c r="O330" s="24" t="str">
        <f aca="false">IF($F330="","",IFERROR(INDEX(Counterparties!$C:$C,MATCH($F330&amp;"",Counterparties!$A:$A,0))&amp;"",""))</f>
        <v/>
      </c>
      <c r="P330" s="24" t="str">
        <f aca="false">IF($O330="","",IF($O330="CY","CY",IF(ISNUMBER(MATCH($O330,Lists!$A:$A,0)),"EU","3RD")))</f>
        <v/>
      </c>
      <c r="Q330" s="24" t="str">
        <f aca="false">IF($F330="","N",IFERROR(IF(INDEX(Counterparties!$E:$E,MATCH($F330&amp;"",Counterparties!$A:$A,0))="Y","Y","N"),"N"))</f>
        <v>N</v>
      </c>
      <c r="R330" s="25" t="n">
        <f aca="false">IF(OR($H330="",$H330="EUR"),1,IFERROR(INDEX(FX_Rates!$D:$D,MATCH($H330,FX_Rates!$A:$A,0)),""))</f>
        <v>1</v>
      </c>
      <c r="S330" s="26" t="str">
        <f aca="false">IF(AND($I330="",$J330=""),"",IF($J330&lt;&gt;"",$J330,IF(OR($R330="",$R330=0),"",ROUND($I330/$R330,2))))</f>
        <v/>
      </c>
      <c r="T330" s="24" t="str">
        <f aca="false">IF($N330="","",IFERROR(INDEX(VAT_Codes!$C:$C,MATCH($N330,VAT_Codes!$A:$A,0)),"")&amp;"")</f>
        <v/>
      </c>
      <c r="U330" s="26" t="n">
        <f aca="false">IF(OR($S330="",$T330="",$T330="None"),0,IF($T330="Output",-$S330,$S330))</f>
        <v>0</v>
      </c>
      <c r="V330" s="27" t="n">
        <f aca="false">IF($N330="",0,IFERROR(INDEX(VAT_Codes!$D:$D,MATCH($N330,VAT_Codes!$A:$A,0)),0))</f>
        <v>0</v>
      </c>
      <c r="W330" s="26" t="n">
        <f aca="false">IF($U330=0,0,IF(IFERROR(INDEX(VAT_Codes!$F:$F,MATCH($N330,VAT_Codes!$A:$A,0)),"N")="Y",$U330,IF($L330&lt;&gt;"",ROUND(ABS($L330)/IF(OR($R330="",$R330=0),1,$R330),2)*SIGN($U330),ROUND($U330*$V330,2))))</f>
        <v>0</v>
      </c>
      <c r="X330" s="24" t="str">
        <f aca="false">IF($N330="","",IFERROR(INDEX(VAT_Codes!$H:$H,MATCH($N330,VAT_Codes!$A:$A,0)),"")&amp;"")</f>
        <v/>
      </c>
      <c r="Y330" s="24" t="str">
        <f aca="false">IF($A330="","",(YEAR($A330)-YEAR(Settings!$C$8))*12+MONTH($A330)-MONTH(Settings!$C$8)+1)</f>
        <v/>
      </c>
      <c r="Z330" s="24" t="str">
        <f aca="false">IF(AND($C330="",$I330="",$J330=""),"",IF($N330="","NO VAT CODE",IF($T330="","UNKNOWN VAT CODE",IF($S330="","MISSING FX RATE",IF(OR($A330&lt;Settings!$C$8,$A330&gt;Settings!$C$9),"OUTSIDE PERIOD",IF(AND(IFERROR(INDEX(VAT_Codes!$E:$E,MATCH($N330,VAT_Codes!$A:$A,0)),"ANY")&lt;&gt;"ANY",$P330=""),"MISSING COUNTERPARTY COUNTRY",IF(AND(IFERROR(INDEX(VAT_Codes!$E:$E,MATCH($N330,VAT_Codes!$A:$A,0)),"ANY")&lt;&gt;"ANY",$P330&lt;&gt;IFERROR(INDEX(VAT_Codes!$E:$E,MATCH($N330,VAT_Codes!$A:$A,0)),"ANY")),"REGION MISMATCH","OK")))))))</f>
        <v/>
      </c>
    </row>
    <row r="331" customFormat="false" ht="15" hidden="false" customHeight="false" outlineLevel="0" collapsed="false">
      <c r="M331" s="24" t="str">
        <f aca="false">IF($C331="","",IFERROR(INDEX(Account_Mapping!$C:$C,MATCH($C331&amp;"",Account_Mapping!$A:$A,0))&amp;"",""))</f>
        <v/>
      </c>
      <c r="N331" s="24" t="str">
        <f aca="false">IF($K331&lt;&gt;"",$K331,$M331)</f>
        <v/>
      </c>
      <c r="O331" s="24" t="str">
        <f aca="false">IF($F331="","",IFERROR(INDEX(Counterparties!$C:$C,MATCH($F331&amp;"",Counterparties!$A:$A,0))&amp;"",""))</f>
        <v/>
      </c>
      <c r="P331" s="24" t="str">
        <f aca="false">IF($O331="","",IF($O331="CY","CY",IF(ISNUMBER(MATCH($O331,Lists!$A:$A,0)),"EU","3RD")))</f>
        <v/>
      </c>
      <c r="Q331" s="24" t="str">
        <f aca="false">IF($F331="","N",IFERROR(IF(INDEX(Counterparties!$E:$E,MATCH($F331&amp;"",Counterparties!$A:$A,0))="Y","Y","N"),"N"))</f>
        <v>N</v>
      </c>
      <c r="R331" s="25" t="n">
        <f aca="false">IF(OR($H331="",$H331="EUR"),1,IFERROR(INDEX(FX_Rates!$D:$D,MATCH($H331,FX_Rates!$A:$A,0)),""))</f>
        <v>1</v>
      </c>
      <c r="S331" s="26" t="str">
        <f aca="false">IF(AND($I331="",$J331=""),"",IF($J331&lt;&gt;"",$J331,IF(OR($R331="",$R331=0),"",ROUND($I331/$R331,2))))</f>
        <v/>
      </c>
      <c r="T331" s="24" t="str">
        <f aca="false">IF($N331="","",IFERROR(INDEX(VAT_Codes!$C:$C,MATCH($N331,VAT_Codes!$A:$A,0)),"")&amp;"")</f>
        <v/>
      </c>
      <c r="U331" s="26" t="n">
        <f aca="false">IF(OR($S331="",$T331="",$T331="None"),0,IF($T331="Output",-$S331,$S331))</f>
        <v>0</v>
      </c>
      <c r="V331" s="27" t="n">
        <f aca="false">IF($N331="",0,IFERROR(INDEX(VAT_Codes!$D:$D,MATCH($N331,VAT_Codes!$A:$A,0)),0))</f>
        <v>0</v>
      </c>
      <c r="W331" s="26" t="n">
        <f aca="false">IF($U331=0,0,IF(IFERROR(INDEX(VAT_Codes!$F:$F,MATCH($N331,VAT_Codes!$A:$A,0)),"N")="Y",$U331,IF($L331&lt;&gt;"",ROUND(ABS($L331)/IF(OR($R331="",$R331=0),1,$R331),2)*SIGN($U331),ROUND($U331*$V331,2))))</f>
        <v>0</v>
      </c>
      <c r="X331" s="24" t="str">
        <f aca="false">IF($N331="","",IFERROR(INDEX(VAT_Codes!$H:$H,MATCH($N331,VAT_Codes!$A:$A,0)),"")&amp;"")</f>
        <v/>
      </c>
      <c r="Y331" s="24" t="str">
        <f aca="false">IF($A331="","",(YEAR($A331)-YEAR(Settings!$C$8))*12+MONTH($A331)-MONTH(Settings!$C$8)+1)</f>
        <v/>
      </c>
      <c r="Z331" s="24" t="str">
        <f aca="false">IF(AND($C331="",$I331="",$J331=""),"",IF($N331="","NO VAT CODE",IF($T331="","UNKNOWN VAT CODE",IF($S331="","MISSING FX RATE",IF(OR($A331&lt;Settings!$C$8,$A331&gt;Settings!$C$9),"OUTSIDE PERIOD",IF(AND(IFERROR(INDEX(VAT_Codes!$E:$E,MATCH($N331,VAT_Codes!$A:$A,0)),"ANY")&lt;&gt;"ANY",$P331=""),"MISSING COUNTERPARTY COUNTRY",IF(AND(IFERROR(INDEX(VAT_Codes!$E:$E,MATCH($N331,VAT_Codes!$A:$A,0)),"ANY")&lt;&gt;"ANY",$P331&lt;&gt;IFERROR(INDEX(VAT_Codes!$E:$E,MATCH($N331,VAT_Codes!$A:$A,0)),"ANY")),"REGION MISMATCH","OK")))))))</f>
        <v/>
      </c>
    </row>
    <row r="332" customFormat="false" ht="15" hidden="false" customHeight="false" outlineLevel="0" collapsed="false">
      <c r="M332" s="24" t="str">
        <f aca="false">IF($C332="","",IFERROR(INDEX(Account_Mapping!$C:$C,MATCH($C332&amp;"",Account_Mapping!$A:$A,0))&amp;"",""))</f>
        <v/>
      </c>
      <c r="N332" s="24" t="str">
        <f aca="false">IF($K332&lt;&gt;"",$K332,$M332)</f>
        <v/>
      </c>
      <c r="O332" s="24" t="str">
        <f aca="false">IF($F332="","",IFERROR(INDEX(Counterparties!$C:$C,MATCH($F332&amp;"",Counterparties!$A:$A,0))&amp;"",""))</f>
        <v/>
      </c>
      <c r="P332" s="24" t="str">
        <f aca="false">IF($O332="","",IF($O332="CY","CY",IF(ISNUMBER(MATCH($O332,Lists!$A:$A,0)),"EU","3RD")))</f>
        <v/>
      </c>
      <c r="Q332" s="24" t="str">
        <f aca="false">IF($F332="","N",IFERROR(IF(INDEX(Counterparties!$E:$E,MATCH($F332&amp;"",Counterparties!$A:$A,0))="Y","Y","N"),"N"))</f>
        <v>N</v>
      </c>
      <c r="R332" s="25" t="n">
        <f aca="false">IF(OR($H332="",$H332="EUR"),1,IFERROR(INDEX(FX_Rates!$D:$D,MATCH($H332,FX_Rates!$A:$A,0)),""))</f>
        <v>1</v>
      </c>
      <c r="S332" s="26" t="str">
        <f aca="false">IF(AND($I332="",$J332=""),"",IF($J332&lt;&gt;"",$J332,IF(OR($R332="",$R332=0),"",ROUND($I332/$R332,2))))</f>
        <v/>
      </c>
      <c r="T332" s="24" t="str">
        <f aca="false">IF($N332="","",IFERROR(INDEX(VAT_Codes!$C:$C,MATCH($N332,VAT_Codes!$A:$A,0)),"")&amp;"")</f>
        <v/>
      </c>
      <c r="U332" s="26" t="n">
        <f aca="false">IF(OR($S332="",$T332="",$T332="None"),0,IF($T332="Output",-$S332,$S332))</f>
        <v>0</v>
      </c>
      <c r="V332" s="27" t="n">
        <f aca="false">IF($N332="",0,IFERROR(INDEX(VAT_Codes!$D:$D,MATCH($N332,VAT_Codes!$A:$A,0)),0))</f>
        <v>0</v>
      </c>
      <c r="W332" s="26" t="n">
        <f aca="false">IF($U332=0,0,IF(IFERROR(INDEX(VAT_Codes!$F:$F,MATCH($N332,VAT_Codes!$A:$A,0)),"N")="Y",$U332,IF($L332&lt;&gt;"",ROUND(ABS($L332)/IF(OR($R332="",$R332=0),1,$R332),2)*SIGN($U332),ROUND($U332*$V332,2))))</f>
        <v>0</v>
      </c>
      <c r="X332" s="24" t="str">
        <f aca="false">IF($N332="","",IFERROR(INDEX(VAT_Codes!$H:$H,MATCH($N332,VAT_Codes!$A:$A,0)),"")&amp;"")</f>
        <v/>
      </c>
      <c r="Y332" s="24" t="str">
        <f aca="false">IF($A332="","",(YEAR($A332)-YEAR(Settings!$C$8))*12+MONTH($A332)-MONTH(Settings!$C$8)+1)</f>
        <v/>
      </c>
      <c r="Z332" s="24" t="str">
        <f aca="false">IF(AND($C332="",$I332="",$J332=""),"",IF($N332="","NO VAT CODE",IF($T332="","UNKNOWN VAT CODE",IF($S332="","MISSING FX RATE",IF(OR($A332&lt;Settings!$C$8,$A332&gt;Settings!$C$9),"OUTSIDE PERIOD",IF(AND(IFERROR(INDEX(VAT_Codes!$E:$E,MATCH($N332,VAT_Codes!$A:$A,0)),"ANY")&lt;&gt;"ANY",$P332=""),"MISSING COUNTERPARTY COUNTRY",IF(AND(IFERROR(INDEX(VAT_Codes!$E:$E,MATCH($N332,VAT_Codes!$A:$A,0)),"ANY")&lt;&gt;"ANY",$P332&lt;&gt;IFERROR(INDEX(VAT_Codes!$E:$E,MATCH($N332,VAT_Codes!$A:$A,0)),"ANY")),"REGION MISMATCH","OK")))))))</f>
        <v/>
      </c>
    </row>
    <row r="333" customFormat="false" ht="15" hidden="false" customHeight="false" outlineLevel="0" collapsed="false">
      <c r="M333" s="24" t="str">
        <f aca="false">IF($C333="","",IFERROR(INDEX(Account_Mapping!$C:$C,MATCH($C333&amp;"",Account_Mapping!$A:$A,0))&amp;"",""))</f>
        <v/>
      </c>
      <c r="N333" s="24" t="str">
        <f aca="false">IF($K333&lt;&gt;"",$K333,$M333)</f>
        <v/>
      </c>
      <c r="O333" s="24" t="str">
        <f aca="false">IF($F333="","",IFERROR(INDEX(Counterparties!$C:$C,MATCH($F333&amp;"",Counterparties!$A:$A,0))&amp;"",""))</f>
        <v/>
      </c>
      <c r="P333" s="24" t="str">
        <f aca="false">IF($O333="","",IF($O333="CY","CY",IF(ISNUMBER(MATCH($O333,Lists!$A:$A,0)),"EU","3RD")))</f>
        <v/>
      </c>
      <c r="Q333" s="24" t="str">
        <f aca="false">IF($F333="","N",IFERROR(IF(INDEX(Counterparties!$E:$E,MATCH($F333&amp;"",Counterparties!$A:$A,0))="Y","Y","N"),"N"))</f>
        <v>N</v>
      </c>
      <c r="R333" s="25" t="n">
        <f aca="false">IF(OR($H333="",$H333="EUR"),1,IFERROR(INDEX(FX_Rates!$D:$D,MATCH($H333,FX_Rates!$A:$A,0)),""))</f>
        <v>1</v>
      </c>
      <c r="S333" s="26" t="str">
        <f aca="false">IF(AND($I333="",$J333=""),"",IF($J333&lt;&gt;"",$J333,IF(OR($R333="",$R333=0),"",ROUND($I333/$R333,2))))</f>
        <v/>
      </c>
      <c r="T333" s="24" t="str">
        <f aca="false">IF($N333="","",IFERROR(INDEX(VAT_Codes!$C:$C,MATCH($N333,VAT_Codes!$A:$A,0)),"")&amp;"")</f>
        <v/>
      </c>
      <c r="U333" s="26" t="n">
        <f aca="false">IF(OR($S333="",$T333="",$T333="None"),0,IF($T333="Output",-$S333,$S333))</f>
        <v>0</v>
      </c>
      <c r="V333" s="27" t="n">
        <f aca="false">IF($N333="",0,IFERROR(INDEX(VAT_Codes!$D:$D,MATCH($N333,VAT_Codes!$A:$A,0)),0))</f>
        <v>0</v>
      </c>
      <c r="W333" s="26" t="n">
        <f aca="false">IF($U333=0,0,IF(IFERROR(INDEX(VAT_Codes!$F:$F,MATCH($N333,VAT_Codes!$A:$A,0)),"N")="Y",$U333,IF($L333&lt;&gt;"",ROUND(ABS($L333)/IF(OR($R333="",$R333=0),1,$R333),2)*SIGN($U333),ROUND($U333*$V333,2))))</f>
        <v>0</v>
      </c>
      <c r="X333" s="24" t="str">
        <f aca="false">IF($N333="","",IFERROR(INDEX(VAT_Codes!$H:$H,MATCH($N333,VAT_Codes!$A:$A,0)),"")&amp;"")</f>
        <v/>
      </c>
      <c r="Y333" s="24" t="str">
        <f aca="false">IF($A333="","",(YEAR($A333)-YEAR(Settings!$C$8))*12+MONTH($A333)-MONTH(Settings!$C$8)+1)</f>
        <v/>
      </c>
      <c r="Z333" s="24" t="str">
        <f aca="false">IF(AND($C333="",$I333="",$J333=""),"",IF($N333="","NO VAT CODE",IF($T333="","UNKNOWN VAT CODE",IF($S333="","MISSING FX RATE",IF(OR($A333&lt;Settings!$C$8,$A333&gt;Settings!$C$9),"OUTSIDE PERIOD",IF(AND(IFERROR(INDEX(VAT_Codes!$E:$E,MATCH($N333,VAT_Codes!$A:$A,0)),"ANY")&lt;&gt;"ANY",$P333=""),"MISSING COUNTERPARTY COUNTRY",IF(AND(IFERROR(INDEX(VAT_Codes!$E:$E,MATCH($N333,VAT_Codes!$A:$A,0)),"ANY")&lt;&gt;"ANY",$P333&lt;&gt;IFERROR(INDEX(VAT_Codes!$E:$E,MATCH($N333,VAT_Codes!$A:$A,0)),"ANY")),"REGION MISMATCH","OK")))))))</f>
        <v/>
      </c>
    </row>
    <row r="334" customFormat="false" ht="15" hidden="false" customHeight="false" outlineLevel="0" collapsed="false">
      <c r="M334" s="24" t="str">
        <f aca="false">IF($C334="","",IFERROR(INDEX(Account_Mapping!$C:$C,MATCH($C334&amp;"",Account_Mapping!$A:$A,0))&amp;"",""))</f>
        <v/>
      </c>
      <c r="N334" s="24" t="str">
        <f aca="false">IF($K334&lt;&gt;"",$K334,$M334)</f>
        <v/>
      </c>
      <c r="O334" s="24" t="str">
        <f aca="false">IF($F334="","",IFERROR(INDEX(Counterparties!$C:$C,MATCH($F334&amp;"",Counterparties!$A:$A,0))&amp;"",""))</f>
        <v/>
      </c>
      <c r="P334" s="24" t="str">
        <f aca="false">IF($O334="","",IF($O334="CY","CY",IF(ISNUMBER(MATCH($O334,Lists!$A:$A,0)),"EU","3RD")))</f>
        <v/>
      </c>
      <c r="Q334" s="24" t="str">
        <f aca="false">IF($F334="","N",IFERROR(IF(INDEX(Counterparties!$E:$E,MATCH($F334&amp;"",Counterparties!$A:$A,0))="Y","Y","N"),"N"))</f>
        <v>N</v>
      </c>
      <c r="R334" s="25" t="n">
        <f aca="false">IF(OR($H334="",$H334="EUR"),1,IFERROR(INDEX(FX_Rates!$D:$D,MATCH($H334,FX_Rates!$A:$A,0)),""))</f>
        <v>1</v>
      </c>
      <c r="S334" s="26" t="str">
        <f aca="false">IF(AND($I334="",$J334=""),"",IF($J334&lt;&gt;"",$J334,IF(OR($R334="",$R334=0),"",ROUND($I334/$R334,2))))</f>
        <v/>
      </c>
      <c r="T334" s="24" t="str">
        <f aca="false">IF($N334="","",IFERROR(INDEX(VAT_Codes!$C:$C,MATCH($N334,VAT_Codes!$A:$A,0)),"")&amp;"")</f>
        <v/>
      </c>
      <c r="U334" s="26" t="n">
        <f aca="false">IF(OR($S334="",$T334="",$T334="None"),0,IF($T334="Output",-$S334,$S334))</f>
        <v>0</v>
      </c>
      <c r="V334" s="27" t="n">
        <f aca="false">IF($N334="",0,IFERROR(INDEX(VAT_Codes!$D:$D,MATCH($N334,VAT_Codes!$A:$A,0)),0))</f>
        <v>0</v>
      </c>
      <c r="W334" s="26" t="n">
        <f aca="false">IF($U334=0,0,IF(IFERROR(INDEX(VAT_Codes!$F:$F,MATCH($N334,VAT_Codes!$A:$A,0)),"N")="Y",$U334,IF($L334&lt;&gt;"",ROUND(ABS($L334)/IF(OR($R334="",$R334=0),1,$R334),2)*SIGN($U334),ROUND($U334*$V334,2))))</f>
        <v>0</v>
      </c>
      <c r="X334" s="24" t="str">
        <f aca="false">IF($N334="","",IFERROR(INDEX(VAT_Codes!$H:$H,MATCH($N334,VAT_Codes!$A:$A,0)),"")&amp;"")</f>
        <v/>
      </c>
      <c r="Y334" s="24" t="str">
        <f aca="false">IF($A334="","",(YEAR($A334)-YEAR(Settings!$C$8))*12+MONTH($A334)-MONTH(Settings!$C$8)+1)</f>
        <v/>
      </c>
      <c r="Z334" s="24" t="str">
        <f aca="false">IF(AND($C334="",$I334="",$J334=""),"",IF($N334="","NO VAT CODE",IF($T334="","UNKNOWN VAT CODE",IF($S334="","MISSING FX RATE",IF(OR($A334&lt;Settings!$C$8,$A334&gt;Settings!$C$9),"OUTSIDE PERIOD",IF(AND(IFERROR(INDEX(VAT_Codes!$E:$E,MATCH($N334,VAT_Codes!$A:$A,0)),"ANY")&lt;&gt;"ANY",$P334=""),"MISSING COUNTERPARTY COUNTRY",IF(AND(IFERROR(INDEX(VAT_Codes!$E:$E,MATCH($N334,VAT_Codes!$A:$A,0)),"ANY")&lt;&gt;"ANY",$P334&lt;&gt;IFERROR(INDEX(VAT_Codes!$E:$E,MATCH($N334,VAT_Codes!$A:$A,0)),"ANY")),"REGION MISMATCH","OK")))))))</f>
        <v/>
      </c>
    </row>
    <row r="335" customFormat="false" ht="15" hidden="false" customHeight="false" outlineLevel="0" collapsed="false">
      <c r="M335" s="24" t="str">
        <f aca="false">IF($C335="","",IFERROR(INDEX(Account_Mapping!$C:$C,MATCH($C335&amp;"",Account_Mapping!$A:$A,0))&amp;"",""))</f>
        <v/>
      </c>
      <c r="N335" s="24" t="str">
        <f aca="false">IF($K335&lt;&gt;"",$K335,$M335)</f>
        <v/>
      </c>
      <c r="O335" s="24" t="str">
        <f aca="false">IF($F335="","",IFERROR(INDEX(Counterparties!$C:$C,MATCH($F335&amp;"",Counterparties!$A:$A,0))&amp;"",""))</f>
        <v/>
      </c>
      <c r="P335" s="24" t="str">
        <f aca="false">IF($O335="","",IF($O335="CY","CY",IF(ISNUMBER(MATCH($O335,Lists!$A:$A,0)),"EU","3RD")))</f>
        <v/>
      </c>
      <c r="Q335" s="24" t="str">
        <f aca="false">IF($F335="","N",IFERROR(IF(INDEX(Counterparties!$E:$E,MATCH($F335&amp;"",Counterparties!$A:$A,0))="Y","Y","N"),"N"))</f>
        <v>N</v>
      </c>
      <c r="R335" s="25" t="n">
        <f aca="false">IF(OR($H335="",$H335="EUR"),1,IFERROR(INDEX(FX_Rates!$D:$D,MATCH($H335,FX_Rates!$A:$A,0)),""))</f>
        <v>1</v>
      </c>
      <c r="S335" s="26" t="str">
        <f aca="false">IF(AND($I335="",$J335=""),"",IF($J335&lt;&gt;"",$J335,IF(OR($R335="",$R335=0),"",ROUND($I335/$R335,2))))</f>
        <v/>
      </c>
      <c r="T335" s="24" t="str">
        <f aca="false">IF($N335="","",IFERROR(INDEX(VAT_Codes!$C:$C,MATCH($N335,VAT_Codes!$A:$A,0)),"")&amp;"")</f>
        <v/>
      </c>
      <c r="U335" s="26" t="n">
        <f aca="false">IF(OR($S335="",$T335="",$T335="None"),0,IF($T335="Output",-$S335,$S335))</f>
        <v>0</v>
      </c>
      <c r="V335" s="27" t="n">
        <f aca="false">IF($N335="",0,IFERROR(INDEX(VAT_Codes!$D:$D,MATCH($N335,VAT_Codes!$A:$A,0)),0))</f>
        <v>0</v>
      </c>
      <c r="W335" s="26" t="n">
        <f aca="false">IF($U335=0,0,IF(IFERROR(INDEX(VAT_Codes!$F:$F,MATCH($N335,VAT_Codes!$A:$A,0)),"N")="Y",$U335,IF($L335&lt;&gt;"",ROUND(ABS($L335)/IF(OR($R335="",$R335=0),1,$R335),2)*SIGN($U335),ROUND($U335*$V335,2))))</f>
        <v>0</v>
      </c>
      <c r="X335" s="24" t="str">
        <f aca="false">IF($N335="","",IFERROR(INDEX(VAT_Codes!$H:$H,MATCH($N335,VAT_Codes!$A:$A,0)),"")&amp;"")</f>
        <v/>
      </c>
      <c r="Y335" s="24" t="str">
        <f aca="false">IF($A335="","",(YEAR($A335)-YEAR(Settings!$C$8))*12+MONTH($A335)-MONTH(Settings!$C$8)+1)</f>
        <v/>
      </c>
      <c r="Z335" s="24" t="str">
        <f aca="false">IF(AND($C335="",$I335="",$J335=""),"",IF($N335="","NO VAT CODE",IF($T335="","UNKNOWN VAT CODE",IF($S335="","MISSING FX RATE",IF(OR($A335&lt;Settings!$C$8,$A335&gt;Settings!$C$9),"OUTSIDE PERIOD",IF(AND(IFERROR(INDEX(VAT_Codes!$E:$E,MATCH($N335,VAT_Codes!$A:$A,0)),"ANY")&lt;&gt;"ANY",$P335=""),"MISSING COUNTERPARTY COUNTRY",IF(AND(IFERROR(INDEX(VAT_Codes!$E:$E,MATCH($N335,VAT_Codes!$A:$A,0)),"ANY")&lt;&gt;"ANY",$P335&lt;&gt;IFERROR(INDEX(VAT_Codes!$E:$E,MATCH($N335,VAT_Codes!$A:$A,0)),"ANY")),"REGION MISMATCH","OK")))))))</f>
        <v/>
      </c>
    </row>
    <row r="336" customFormat="false" ht="15" hidden="false" customHeight="false" outlineLevel="0" collapsed="false">
      <c r="M336" s="24" t="str">
        <f aca="false">IF($C336="","",IFERROR(INDEX(Account_Mapping!$C:$C,MATCH($C336&amp;"",Account_Mapping!$A:$A,0))&amp;"",""))</f>
        <v/>
      </c>
      <c r="N336" s="24" t="str">
        <f aca="false">IF($K336&lt;&gt;"",$K336,$M336)</f>
        <v/>
      </c>
      <c r="O336" s="24" t="str">
        <f aca="false">IF($F336="","",IFERROR(INDEX(Counterparties!$C:$C,MATCH($F336&amp;"",Counterparties!$A:$A,0))&amp;"",""))</f>
        <v/>
      </c>
      <c r="P336" s="24" t="str">
        <f aca="false">IF($O336="","",IF($O336="CY","CY",IF(ISNUMBER(MATCH($O336,Lists!$A:$A,0)),"EU","3RD")))</f>
        <v/>
      </c>
      <c r="Q336" s="24" t="str">
        <f aca="false">IF($F336="","N",IFERROR(IF(INDEX(Counterparties!$E:$E,MATCH($F336&amp;"",Counterparties!$A:$A,0))="Y","Y","N"),"N"))</f>
        <v>N</v>
      </c>
      <c r="R336" s="25" t="n">
        <f aca="false">IF(OR($H336="",$H336="EUR"),1,IFERROR(INDEX(FX_Rates!$D:$D,MATCH($H336,FX_Rates!$A:$A,0)),""))</f>
        <v>1</v>
      </c>
      <c r="S336" s="26" t="str">
        <f aca="false">IF(AND($I336="",$J336=""),"",IF($J336&lt;&gt;"",$J336,IF(OR($R336="",$R336=0),"",ROUND($I336/$R336,2))))</f>
        <v/>
      </c>
      <c r="T336" s="24" t="str">
        <f aca="false">IF($N336="","",IFERROR(INDEX(VAT_Codes!$C:$C,MATCH($N336,VAT_Codes!$A:$A,0)),"")&amp;"")</f>
        <v/>
      </c>
      <c r="U336" s="26" t="n">
        <f aca="false">IF(OR($S336="",$T336="",$T336="None"),0,IF($T336="Output",-$S336,$S336))</f>
        <v>0</v>
      </c>
      <c r="V336" s="27" t="n">
        <f aca="false">IF($N336="",0,IFERROR(INDEX(VAT_Codes!$D:$D,MATCH($N336,VAT_Codes!$A:$A,0)),0))</f>
        <v>0</v>
      </c>
      <c r="W336" s="26" t="n">
        <f aca="false">IF($U336=0,0,IF(IFERROR(INDEX(VAT_Codes!$F:$F,MATCH($N336,VAT_Codes!$A:$A,0)),"N")="Y",$U336,IF($L336&lt;&gt;"",ROUND(ABS($L336)/IF(OR($R336="",$R336=0),1,$R336),2)*SIGN($U336),ROUND($U336*$V336,2))))</f>
        <v>0</v>
      </c>
      <c r="X336" s="24" t="str">
        <f aca="false">IF($N336="","",IFERROR(INDEX(VAT_Codes!$H:$H,MATCH($N336,VAT_Codes!$A:$A,0)),"")&amp;"")</f>
        <v/>
      </c>
      <c r="Y336" s="24" t="str">
        <f aca="false">IF($A336="","",(YEAR($A336)-YEAR(Settings!$C$8))*12+MONTH($A336)-MONTH(Settings!$C$8)+1)</f>
        <v/>
      </c>
      <c r="Z336" s="24" t="str">
        <f aca="false">IF(AND($C336="",$I336="",$J336=""),"",IF($N336="","NO VAT CODE",IF($T336="","UNKNOWN VAT CODE",IF($S336="","MISSING FX RATE",IF(OR($A336&lt;Settings!$C$8,$A336&gt;Settings!$C$9),"OUTSIDE PERIOD",IF(AND(IFERROR(INDEX(VAT_Codes!$E:$E,MATCH($N336,VAT_Codes!$A:$A,0)),"ANY")&lt;&gt;"ANY",$P336=""),"MISSING COUNTERPARTY COUNTRY",IF(AND(IFERROR(INDEX(VAT_Codes!$E:$E,MATCH($N336,VAT_Codes!$A:$A,0)),"ANY")&lt;&gt;"ANY",$P336&lt;&gt;IFERROR(INDEX(VAT_Codes!$E:$E,MATCH($N336,VAT_Codes!$A:$A,0)),"ANY")),"REGION MISMATCH","OK")))))))</f>
        <v/>
      </c>
    </row>
    <row r="337" customFormat="false" ht="15" hidden="false" customHeight="false" outlineLevel="0" collapsed="false">
      <c r="M337" s="24" t="str">
        <f aca="false">IF($C337="","",IFERROR(INDEX(Account_Mapping!$C:$C,MATCH($C337&amp;"",Account_Mapping!$A:$A,0))&amp;"",""))</f>
        <v/>
      </c>
      <c r="N337" s="24" t="str">
        <f aca="false">IF($K337&lt;&gt;"",$K337,$M337)</f>
        <v/>
      </c>
      <c r="O337" s="24" t="str">
        <f aca="false">IF($F337="","",IFERROR(INDEX(Counterparties!$C:$C,MATCH($F337&amp;"",Counterparties!$A:$A,0))&amp;"",""))</f>
        <v/>
      </c>
      <c r="P337" s="24" t="str">
        <f aca="false">IF($O337="","",IF($O337="CY","CY",IF(ISNUMBER(MATCH($O337,Lists!$A:$A,0)),"EU","3RD")))</f>
        <v/>
      </c>
      <c r="Q337" s="24" t="str">
        <f aca="false">IF($F337="","N",IFERROR(IF(INDEX(Counterparties!$E:$E,MATCH($F337&amp;"",Counterparties!$A:$A,0))="Y","Y","N"),"N"))</f>
        <v>N</v>
      </c>
      <c r="R337" s="25" t="n">
        <f aca="false">IF(OR($H337="",$H337="EUR"),1,IFERROR(INDEX(FX_Rates!$D:$D,MATCH($H337,FX_Rates!$A:$A,0)),""))</f>
        <v>1</v>
      </c>
      <c r="S337" s="26" t="str">
        <f aca="false">IF(AND($I337="",$J337=""),"",IF($J337&lt;&gt;"",$J337,IF(OR($R337="",$R337=0),"",ROUND($I337/$R337,2))))</f>
        <v/>
      </c>
      <c r="T337" s="24" t="str">
        <f aca="false">IF($N337="","",IFERROR(INDEX(VAT_Codes!$C:$C,MATCH($N337,VAT_Codes!$A:$A,0)),"")&amp;"")</f>
        <v/>
      </c>
      <c r="U337" s="26" t="n">
        <f aca="false">IF(OR($S337="",$T337="",$T337="None"),0,IF($T337="Output",-$S337,$S337))</f>
        <v>0</v>
      </c>
      <c r="V337" s="27" t="n">
        <f aca="false">IF($N337="",0,IFERROR(INDEX(VAT_Codes!$D:$D,MATCH($N337,VAT_Codes!$A:$A,0)),0))</f>
        <v>0</v>
      </c>
      <c r="W337" s="26" t="n">
        <f aca="false">IF($U337=0,0,IF(IFERROR(INDEX(VAT_Codes!$F:$F,MATCH($N337,VAT_Codes!$A:$A,0)),"N")="Y",$U337,IF($L337&lt;&gt;"",ROUND(ABS($L337)/IF(OR($R337="",$R337=0),1,$R337),2)*SIGN($U337),ROUND($U337*$V337,2))))</f>
        <v>0</v>
      </c>
      <c r="X337" s="24" t="str">
        <f aca="false">IF($N337="","",IFERROR(INDEX(VAT_Codes!$H:$H,MATCH($N337,VAT_Codes!$A:$A,0)),"")&amp;"")</f>
        <v/>
      </c>
      <c r="Y337" s="24" t="str">
        <f aca="false">IF($A337="","",(YEAR($A337)-YEAR(Settings!$C$8))*12+MONTH($A337)-MONTH(Settings!$C$8)+1)</f>
        <v/>
      </c>
      <c r="Z337" s="24" t="str">
        <f aca="false">IF(AND($C337="",$I337="",$J337=""),"",IF($N337="","NO VAT CODE",IF($T337="","UNKNOWN VAT CODE",IF($S337="","MISSING FX RATE",IF(OR($A337&lt;Settings!$C$8,$A337&gt;Settings!$C$9),"OUTSIDE PERIOD",IF(AND(IFERROR(INDEX(VAT_Codes!$E:$E,MATCH($N337,VAT_Codes!$A:$A,0)),"ANY")&lt;&gt;"ANY",$P337=""),"MISSING COUNTERPARTY COUNTRY",IF(AND(IFERROR(INDEX(VAT_Codes!$E:$E,MATCH($N337,VAT_Codes!$A:$A,0)),"ANY")&lt;&gt;"ANY",$P337&lt;&gt;IFERROR(INDEX(VAT_Codes!$E:$E,MATCH($N337,VAT_Codes!$A:$A,0)),"ANY")),"REGION MISMATCH","OK")))))))</f>
        <v/>
      </c>
    </row>
    <row r="338" customFormat="false" ht="15" hidden="false" customHeight="false" outlineLevel="0" collapsed="false">
      <c r="M338" s="24" t="str">
        <f aca="false">IF($C338="","",IFERROR(INDEX(Account_Mapping!$C:$C,MATCH($C338&amp;"",Account_Mapping!$A:$A,0))&amp;"",""))</f>
        <v/>
      </c>
      <c r="N338" s="24" t="str">
        <f aca="false">IF($K338&lt;&gt;"",$K338,$M338)</f>
        <v/>
      </c>
      <c r="O338" s="24" t="str">
        <f aca="false">IF($F338="","",IFERROR(INDEX(Counterparties!$C:$C,MATCH($F338&amp;"",Counterparties!$A:$A,0))&amp;"",""))</f>
        <v/>
      </c>
      <c r="P338" s="24" t="str">
        <f aca="false">IF($O338="","",IF($O338="CY","CY",IF(ISNUMBER(MATCH($O338,Lists!$A:$A,0)),"EU","3RD")))</f>
        <v/>
      </c>
      <c r="Q338" s="24" t="str">
        <f aca="false">IF($F338="","N",IFERROR(IF(INDEX(Counterparties!$E:$E,MATCH($F338&amp;"",Counterparties!$A:$A,0))="Y","Y","N"),"N"))</f>
        <v>N</v>
      </c>
      <c r="R338" s="25" t="n">
        <f aca="false">IF(OR($H338="",$H338="EUR"),1,IFERROR(INDEX(FX_Rates!$D:$D,MATCH($H338,FX_Rates!$A:$A,0)),""))</f>
        <v>1</v>
      </c>
      <c r="S338" s="26" t="str">
        <f aca="false">IF(AND($I338="",$J338=""),"",IF($J338&lt;&gt;"",$J338,IF(OR($R338="",$R338=0),"",ROUND($I338/$R338,2))))</f>
        <v/>
      </c>
      <c r="T338" s="24" t="str">
        <f aca="false">IF($N338="","",IFERROR(INDEX(VAT_Codes!$C:$C,MATCH($N338,VAT_Codes!$A:$A,0)),"")&amp;"")</f>
        <v/>
      </c>
      <c r="U338" s="26" t="n">
        <f aca="false">IF(OR($S338="",$T338="",$T338="None"),0,IF($T338="Output",-$S338,$S338))</f>
        <v>0</v>
      </c>
      <c r="V338" s="27" t="n">
        <f aca="false">IF($N338="",0,IFERROR(INDEX(VAT_Codes!$D:$D,MATCH($N338,VAT_Codes!$A:$A,0)),0))</f>
        <v>0</v>
      </c>
      <c r="W338" s="26" t="n">
        <f aca="false">IF($U338=0,0,IF(IFERROR(INDEX(VAT_Codes!$F:$F,MATCH($N338,VAT_Codes!$A:$A,0)),"N")="Y",$U338,IF($L338&lt;&gt;"",ROUND(ABS($L338)/IF(OR($R338="",$R338=0),1,$R338),2)*SIGN($U338),ROUND($U338*$V338,2))))</f>
        <v>0</v>
      </c>
      <c r="X338" s="24" t="str">
        <f aca="false">IF($N338="","",IFERROR(INDEX(VAT_Codes!$H:$H,MATCH($N338,VAT_Codes!$A:$A,0)),"")&amp;"")</f>
        <v/>
      </c>
      <c r="Y338" s="24" t="str">
        <f aca="false">IF($A338="","",(YEAR($A338)-YEAR(Settings!$C$8))*12+MONTH($A338)-MONTH(Settings!$C$8)+1)</f>
        <v/>
      </c>
      <c r="Z338" s="24" t="str">
        <f aca="false">IF(AND($C338="",$I338="",$J338=""),"",IF($N338="","NO VAT CODE",IF($T338="","UNKNOWN VAT CODE",IF($S338="","MISSING FX RATE",IF(OR($A338&lt;Settings!$C$8,$A338&gt;Settings!$C$9),"OUTSIDE PERIOD",IF(AND(IFERROR(INDEX(VAT_Codes!$E:$E,MATCH($N338,VAT_Codes!$A:$A,0)),"ANY")&lt;&gt;"ANY",$P338=""),"MISSING COUNTERPARTY COUNTRY",IF(AND(IFERROR(INDEX(VAT_Codes!$E:$E,MATCH($N338,VAT_Codes!$A:$A,0)),"ANY")&lt;&gt;"ANY",$P338&lt;&gt;IFERROR(INDEX(VAT_Codes!$E:$E,MATCH($N338,VAT_Codes!$A:$A,0)),"ANY")),"REGION MISMATCH","OK")))))))</f>
        <v/>
      </c>
    </row>
    <row r="339" customFormat="false" ht="15" hidden="false" customHeight="false" outlineLevel="0" collapsed="false">
      <c r="M339" s="24" t="str">
        <f aca="false">IF($C339="","",IFERROR(INDEX(Account_Mapping!$C:$C,MATCH($C339&amp;"",Account_Mapping!$A:$A,0))&amp;"",""))</f>
        <v/>
      </c>
      <c r="N339" s="24" t="str">
        <f aca="false">IF($K339&lt;&gt;"",$K339,$M339)</f>
        <v/>
      </c>
      <c r="O339" s="24" t="str">
        <f aca="false">IF($F339="","",IFERROR(INDEX(Counterparties!$C:$C,MATCH($F339&amp;"",Counterparties!$A:$A,0))&amp;"",""))</f>
        <v/>
      </c>
      <c r="P339" s="24" t="str">
        <f aca="false">IF($O339="","",IF($O339="CY","CY",IF(ISNUMBER(MATCH($O339,Lists!$A:$A,0)),"EU","3RD")))</f>
        <v/>
      </c>
      <c r="Q339" s="24" t="str">
        <f aca="false">IF($F339="","N",IFERROR(IF(INDEX(Counterparties!$E:$E,MATCH($F339&amp;"",Counterparties!$A:$A,0))="Y","Y","N"),"N"))</f>
        <v>N</v>
      </c>
      <c r="R339" s="25" t="n">
        <f aca="false">IF(OR($H339="",$H339="EUR"),1,IFERROR(INDEX(FX_Rates!$D:$D,MATCH($H339,FX_Rates!$A:$A,0)),""))</f>
        <v>1</v>
      </c>
      <c r="S339" s="26" t="str">
        <f aca="false">IF(AND($I339="",$J339=""),"",IF($J339&lt;&gt;"",$J339,IF(OR($R339="",$R339=0),"",ROUND($I339/$R339,2))))</f>
        <v/>
      </c>
      <c r="T339" s="24" t="str">
        <f aca="false">IF($N339="","",IFERROR(INDEX(VAT_Codes!$C:$C,MATCH($N339,VAT_Codes!$A:$A,0)),"")&amp;"")</f>
        <v/>
      </c>
      <c r="U339" s="26" t="n">
        <f aca="false">IF(OR($S339="",$T339="",$T339="None"),0,IF($T339="Output",-$S339,$S339))</f>
        <v>0</v>
      </c>
      <c r="V339" s="27" t="n">
        <f aca="false">IF($N339="",0,IFERROR(INDEX(VAT_Codes!$D:$D,MATCH($N339,VAT_Codes!$A:$A,0)),0))</f>
        <v>0</v>
      </c>
      <c r="W339" s="26" t="n">
        <f aca="false">IF($U339=0,0,IF(IFERROR(INDEX(VAT_Codes!$F:$F,MATCH($N339,VAT_Codes!$A:$A,0)),"N")="Y",$U339,IF($L339&lt;&gt;"",ROUND(ABS($L339)/IF(OR($R339="",$R339=0),1,$R339),2)*SIGN($U339),ROUND($U339*$V339,2))))</f>
        <v>0</v>
      </c>
      <c r="X339" s="24" t="str">
        <f aca="false">IF($N339="","",IFERROR(INDEX(VAT_Codes!$H:$H,MATCH($N339,VAT_Codes!$A:$A,0)),"")&amp;"")</f>
        <v/>
      </c>
      <c r="Y339" s="24" t="str">
        <f aca="false">IF($A339="","",(YEAR($A339)-YEAR(Settings!$C$8))*12+MONTH($A339)-MONTH(Settings!$C$8)+1)</f>
        <v/>
      </c>
      <c r="Z339" s="24" t="str">
        <f aca="false">IF(AND($C339="",$I339="",$J339=""),"",IF($N339="","NO VAT CODE",IF($T339="","UNKNOWN VAT CODE",IF($S339="","MISSING FX RATE",IF(OR($A339&lt;Settings!$C$8,$A339&gt;Settings!$C$9),"OUTSIDE PERIOD",IF(AND(IFERROR(INDEX(VAT_Codes!$E:$E,MATCH($N339,VAT_Codes!$A:$A,0)),"ANY")&lt;&gt;"ANY",$P339=""),"MISSING COUNTERPARTY COUNTRY",IF(AND(IFERROR(INDEX(VAT_Codes!$E:$E,MATCH($N339,VAT_Codes!$A:$A,0)),"ANY")&lt;&gt;"ANY",$P339&lt;&gt;IFERROR(INDEX(VAT_Codes!$E:$E,MATCH($N339,VAT_Codes!$A:$A,0)),"ANY")),"REGION MISMATCH","OK")))))))</f>
        <v/>
      </c>
    </row>
    <row r="340" customFormat="false" ht="15" hidden="false" customHeight="false" outlineLevel="0" collapsed="false">
      <c r="M340" s="24" t="str">
        <f aca="false">IF($C340="","",IFERROR(INDEX(Account_Mapping!$C:$C,MATCH($C340&amp;"",Account_Mapping!$A:$A,0))&amp;"",""))</f>
        <v/>
      </c>
      <c r="N340" s="24" t="str">
        <f aca="false">IF($K340&lt;&gt;"",$K340,$M340)</f>
        <v/>
      </c>
      <c r="O340" s="24" t="str">
        <f aca="false">IF($F340="","",IFERROR(INDEX(Counterparties!$C:$C,MATCH($F340&amp;"",Counterparties!$A:$A,0))&amp;"",""))</f>
        <v/>
      </c>
      <c r="P340" s="24" t="str">
        <f aca="false">IF($O340="","",IF($O340="CY","CY",IF(ISNUMBER(MATCH($O340,Lists!$A:$A,0)),"EU","3RD")))</f>
        <v/>
      </c>
      <c r="Q340" s="24" t="str">
        <f aca="false">IF($F340="","N",IFERROR(IF(INDEX(Counterparties!$E:$E,MATCH($F340&amp;"",Counterparties!$A:$A,0))="Y","Y","N"),"N"))</f>
        <v>N</v>
      </c>
      <c r="R340" s="25" t="n">
        <f aca="false">IF(OR($H340="",$H340="EUR"),1,IFERROR(INDEX(FX_Rates!$D:$D,MATCH($H340,FX_Rates!$A:$A,0)),""))</f>
        <v>1</v>
      </c>
      <c r="S340" s="26" t="str">
        <f aca="false">IF(AND($I340="",$J340=""),"",IF($J340&lt;&gt;"",$J340,IF(OR($R340="",$R340=0),"",ROUND($I340/$R340,2))))</f>
        <v/>
      </c>
      <c r="T340" s="24" t="str">
        <f aca="false">IF($N340="","",IFERROR(INDEX(VAT_Codes!$C:$C,MATCH($N340,VAT_Codes!$A:$A,0)),"")&amp;"")</f>
        <v/>
      </c>
      <c r="U340" s="26" t="n">
        <f aca="false">IF(OR($S340="",$T340="",$T340="None"),0,IF($T340="Output",-$S340,$S340))</f>
        <v>0</v>
      </c>
      <c r="V340" s="27" t="n">
        <f aca="false">IF($N340="",0,IFERROR(INDEX(VAT_Codes!$D:$D,MATCH($N340,VAT_Codes!$A:$A,0)),0))</f>
        <v>0</v>
      </c>
      <c r="W340" s="26" t="n">
        <f aca="false">IF($U340=0,0,IF(IFERROR(INDEX(VAT_Codes!$F:$F,MATCH($N340,VAT_Codes!$A:$A,0)),"N")="Y",$U340,IF($L340&lt;&gt;"",ROUND(ABS($L340)/IF(OR($R340="",$R340=0),1,$R340),2)*SIGN($U340),ROUND($U340*$V340,2))))</f>
        <v>0</v>
      </c>
      <c r="X340" s="24" t="str">
        <f aca="false">IF($N340="","",IFERROR(INDEX(VAT_Codes!$H:$H,MATCH($N340,VAT_Codes!$A:$A,0)),"")&amp;"")</f>
        <v/>
      </c>
      <c r="Y340" s="24" t="str">
        <f aca="false">IF($A340="","",(YEAR($A340)-YEAR(Settings!$C$8))*12+MONTH($A340)-MONTH(Settings!$C$8)+1)</f>
        <v/>
      </c>
      <c r="Z340" s="24" t="str">
        <f aca="false">IF(AND($C340="",$I340="",$J340=""),"",IF($N340="","NO VAT CODE",IF($T340="","UNKNOWN VAT CODE",IF($S340="","MISSING FX RATE",IF(OR($A340&lt;Settings!$C$8,$A340&gt;Settings!$C$9),"OUTSIDE PERIOD",IF(AND(IFERROR(INDEX(VAT_Codes!$E:$E,MATCH($N340,VAT_Codes!$A:$A,0)),"ANY")&lt;&gt;"ANY",$P340=""),"MISSING COUNTERPARTY COUNTRY",IF(AND(IFERROR(INDEX(VAT_Codes!$E:$E,MATCH($N340,VAT_Codes!$A:$A,0)),"ANY")&lt;&gt;"ANY",$P340&lt;&gt;IFERROR(INDEX(VAT_Codes!$E:$E,MATCH($N340,VAT_Codes!$A:$A,0)),"ANY")),"REGION MISMATCH","OK")))))))</f>
        <v/>
      </c>
    </row>
    <row r="341" customFormat="false" ht="15" hidden="false" customHeight="false" outlineLevel="0" collapsed="false">
      <c r="M341" s="24" t="str">
        <f aca="false">IF($C341="","",IFERROR(INDEX(Account_Mapping!$C:$C,MATCH($C341&amp;"",Account_Mapping!$A:$A,0))&amp;"",""))</f>
        <v/>
      </c>
      <c r="N341" s="24" t="str">
        <f aca="false">IF($K341&lt;&gt;"",$K341,$M341)</f>
        <v/>
      </c>
      <c r="O341" s="24" t="str">
        <f aca="false">IF($F341="","",IFERROR(INDEX(Counterparties!$C:$C,MATCH($F341&amp;"",Counterparties!$A:$A,0))&amp;"",""))</f>
        <v/>
      </c>
      <c r="P341" s="24" t="str">
        <f aca="false">IF($O341="","",IF($O341="CY","CY",IF(ISNUMBER(MATCH($O341,Lists!$A:$A,0)),"EU","3RD")))</f>
        <v/>
      </c>
      <c r="Q341" s="24" t="str">
        <f aca="false">IF($F341="","N",IFERROR(IF(INDEX(Counterparties!$E:$E,MATCH($F341&amp;"",Counterparties!$A:$A,0))="Y","Y","N"),"N"))</f>
        <v>N</v>
      </c>
      <c r="R341" s="25" t="n">
        <f aca="false">IF(OR($H341="",$H341="EUR"),1,IFERROR(INDEX(FX_Rates!$D:$D,MATCH($H341,FX_Rates!$A:$A,0)),""))</f>
        <v>1</v>
      </c>
      <c r="S341" s="26" t="str">
        <f aca="false">IF(AND($I341="",$J341=""),"",IF($J341&lt;&gt;"",$J341,IF(OR($R341="",$R341=0),"",ROUND($I341/$R341,2))))</f>
        <v/>
      </c>
      <c r="T341" s="24" t="str">
        <f aca="false">IF($N341="","",IFERROR(INDEX(VAT_Codes!$C:$C,MATCH($N341,VAT_Codes!$A:$A,0)),"")&amp;"")</f>
        <v/>
      </c>
      <c r="U341" s="26" t="n">
        <f aca="false">IF(OR($S341="",$T341="",$T341="None"),0,IF($T341="Output",-$S341,$S341))</f>
        <v>0</v>
      </c>
      <c r="V341" s="27" t="n">
        <f aca="false">IF($N341="",0,IFERROR(INDEX(VAT_Codes!$D:$D,MATCH($N341,VAT_Codes!$A:$A,0)),0))</f>
        <v>0</v>
      </c>
      <c r="W341" s="26" t="n">
        <f aca="false">IF($U341=0,0,IF(IFERROR(INDEX(VAT_Codes!$F:$F,MATCH($N341,VAT_Codes!$A:$A,0)),"N")="Y",$U341,IF($L341&lt;&gt;"",ROUND(ABS($L341)/IF(OR($R341="",$R341=0),1,$R341),2)*SIGN($U341),ROUND($U341*$V341,2))))</f>
        <v>0</v>
      </c>
      <c r="X341" s="24" t="str">
        <f aca="false">IF($N341="","",IFERROR(INDEX(VAT_Codes!$H:$H,MATCH($N341,VAT_Codes!$A:$A,0)),"")&amp;"")</f>
        <v/>
      </c>
      <c r="Y341" s="24" t="str">
        <f aca="false">IF($A341="","",(YEAR($A341)-YEAR(Settings!$C$8))*12+MONTH($A341)-MONTH(Settings!$C$8)+1)</f>
        <v/>
      </c>
      <c r="Z341" s="24" t="str">
        <f aca="false">IF(AND($C341="",$I341="",$J341=""),"",IF($N341="","NO VAT CODE",IF($T341="","UNKNOWN VAT CODE",IF($S341="","MISSING FX RATE",IF(OR($A341&lt;Settings!$C$8,$A341&gt;Settings!$C$9),"OUTSIDE PERIOD",IF(AND(IFERROR(INDEX(VAT_Codes!$E:$E,MATCH($N341,VAT_Codes!$A:$A,0)),"ANY")&lt;&gt;"ANY",$P341=""),"MISSING COUNTERPARTY COUNTRY",IF(AND(IFERROR(INDEX(VAT_Codes!$E:$E,MATCH($N341,VAT_Codes!$A:$A,0)),"ANY")&lt;&gt;"ANY",$P341&lt;&gt;IFERROR(INDEX(VAT_Codes!$E:$E,MATCH($N341,VAT_Codes!$A:$A,0)),"ANY")),"REGION MISMATCH","OK")))))))</f>
        <v/>
      </c>
    </row>
    <row r="342" customFormat="false" ht="15" hidden="false" customHeight="false" outlineLevel="0" collapsed="false">
      <c r="M342" s="24" t="str">
        <f aca="false">IF($C342="","",IFERROR(INDEX(Account_Mapping!$C:$C,MATCH($C342&amp;"",Account_Mapping!$A:$A,0))&amp;"",""))</f>
        <v/>
      </c>
      <c r="N342" s="24" t="str">
        <f aca="false">IF($K342&lt;&gt;"",$K342,$M342)</f>
        <v/>
      </c>
      <c r="O342" s="24" t="str">
        <f aca="false">IF($F342="","",IFERROR(INDEX(Counterparties!$C:$C,MATCH($F342&amp;"",Counterparties!$A:$A,0))&amp;"",""))</f>
        <v/>
      </c>
      <c r="P342" s="24" t="str">
        <f aca="false">IF($O342="","",IF($O342="CY","CY",IF(ISNUMBER(MATCH($O342,Lists!$A:$A,0)),"EU","3RD")))</f>
        <v/>
      </c>
      <c r="Q342" s="24" t="str">
        <f aca="false">IF($F342="","N",IFERROR(IF(INDEX(Counterparties!$E:$E,MATCH($F342&amp;"",Counterparties!$A:$A,0))="Y","Y","N"),"N"))</f>
        <v>N</v>
      </c>
      <c r="R342" s="25" t="n">
        <f aca="false">IF(OR($H342="",$H342="EUR"),1,IFERROR(INDEX(FX_Rates!$D:$D,MATCH($H342,FX_Rates!$A:$A,0)),""))</f>
        <v>1</v>
      </c>
      <c r="S342" s="26" t="str">
        <f aca="false">IF(AND($I342="",$J342=""),"",IF($J342&lt;&gt;"",$J342,IF(OR($R342="",$R342=0),"",ROUND($I342/$R342,2))))</f>
        <v/>
      </c>
      <c r="T342" s="24" t="str">
        <f aca="false">IF($N342="","",IFERROR(INDEX(VAT_Codes!$C:$C,MATCH($N342,VAT_Codes!$A:$A,0)),"")&amp;"")</f>
        <v/>
      </c>
      <c r="U342" s="26" t="n">
        <f aca="false">IF(OR($S342="",$T342="",$T342="None"),0,IF($T342="Output",-$S342,$S342))</f>
        <v>0</v>
      </c>
      <c r="V342" s="27" t="n">
        <f aca="false">IF($N342="",0,IFERROR(INDEX(VAT_Codes!$D:$D,MATCH($N342,VAT_Codes!$A:$A,0)),0))</f>
        <v>0</v>
      </c>
      <c r="W342" s="26" t="n">
        <f aca="false">IF($U342=0,0,IF(IFERROR(INDEX(VAT_Codes!$F:$F,MATCH($N342,VAT_Codes!$A:$A,0)),"N")="Y",$U342,IF($L342&lt;&gt;"",ROUND(ABS($L342)/IF(OR($R342="",$R342=0),1,$R342),2)*SIGN($U342),ROUND($U342*$V342,2))))</f>
        <v>0</v>
      </c>
      <c r="X342" s="24" t="str">
        <f aca="false">IF($N342="","",IFERROR(INDEX(VAT_Codes!$H:$H,MATCH($N342,VAT_Codes!$A:$A,0)),"")&amp;"")</f>
        <v/>
      </c>
      <c r="Y342" s="24" t="str">
        <f aca="false">IF($A342="","",(YEAR($A342)-YEAR(Settings!$C$8))*12+MONTH($A342)-MONTH(Settings!$C$8)+1)</f>
        <v/>
      </c>
      <c r="Z342" s="24" t="str">
        <f aca="false">IF(AND($C342="",$I342="",$J342=""),"",IF($N342="","NO VAT CODE",IF($T342="","UNKNOWN VAT CODE",IF($S342="","MISSING FX RATE",IF(OR($A342&lt;Settings!$C$8,$A342&gt;Settings!$C$9),"OUTSIDE PERIOD",IF(AND(IFERROR(INDEX(VAT_Codes!$E:$E,MATCH($N342,VAT_Codes!$A:$A,0)),"ANY")&lt;&gt;"ANY",$P342=""),"MISSING COUNTERPARTY COUNTRY",IF(AND(IFERROR(INDEX(VAT_Codes!$E:$E,MATCH($N342,VAT_Codes!$A:$A,0)),"ANY")&lt;&gt;"ANY",$P342&lt;&gt;IFERROR(INDEX(VAT_Codes!$E:$E,MATCH($N342,VAT_Codes!$A:$A,0)),"ANY")),"REGION MISMATCH","OK")))))))</f>
        <v/>
      </c>
    </row>
    <row r="343" customFormat="false" ht="15" hidden="false" customHeight="false" outlineLevel="0" collapsed="false">
      <c r="M343" s="24" t="str">
        <f aca="false">IF($C343="","",IFERROR(INDEX(Account_Mapping!$C:$C,MATCH($C343&amp;"",Account_Mapping!$A:$A,0))&amp;"",""))</f>
        <v/>
      </c>
      <c r="N343" s="24" t="str">
        <f aca="false">IF($K343&lt;&gt;"",$K343,$M343)</f>
        <v/>
      </c>
      <c r="O343" s="24" t="str">
        <f aca="false">IF($F343="","",IFERROR(INDEX(Counterparties!$C:$C,MATCH($F343&amp;"",Counterparties!$A:$A,0))&amp;"",""))</f>
        <v/>
      </c>
      <c r="P343" s="24" t="str">
        <f aca="false">IF($O343="","",IF($O343="CY","CY",IF(ISNUMBER(MATCH($O343,Lists!$A:$A,0)),"EU","3RD")))</f>
        <v/>
      </c>
      <c r="Q343" s="24" t="str">
        <f aca="false">IF($F343="","N",IFERROR(IF(INDEX(Counterparties!$E:$E,MATCH($F343&amp;"",Counterparties!$A:$A,0))="Y","Y","N"),"N"))</f>
        <v>N</v>
      </c>
      <c r="R343" s="25" t="n">
        <f aca="false">IF(OR($H343="",$H343="EUR"),1,IFERROR(INDEX(FX_Rates!$D:$D,MATCH($H343,FX_Rates!$A:$A,0)),""))</f>
        <v>1</v>
      </c>
      <c r="S343" s="26" t="str">
        <f aca="false">IF(AND($I343="",$J343=""),"",IF($J343&lt;&gt;"",$J343,IF(OR($R343="",$R343=0),"",ROUND($I343/$R343,2))))</f>
        <v/>
      </c>
      <c r="T343" s="24" t="str">
        <f aca="false">IF($N343="","",IFERROR(INDEX(VAT_Codes!$C:$C,MATCH($N343,VAT_Codes!$A:$A,0)),"")&amp;"")</f>
        <v/>
      </c>
      <c r="U343" s="26" t="n">
        <f aca="false">IF(OR($S343="",$T343="",$T343="None"),0,IF($T343="Output",-$S343,$S343))</f>
        <v>0</v>
      </c>
      <c r="V343" s="27" t="n">
        <f aca="false">IF($N343="",0,IFERROR(INDEX(VAT_Codes!$D:$D,MATCH($N343,VAT_Codes!$A:$A,0)),0))</f>
        <v>0</v>
      </c>
      <c r="W343" s="26" t="n">
        <f aca="false">IF($U343=0,0,IF(IFERROR(INDEX(VAT_Codes!$F:$F,MATCH($N343,VAT_Codes!$A:$A,0)),"N")="Y",$U343,IF($L343&lt;&gt;"",ROUND(ABS($L343)/IF(OR($R343="",$R343=0),1,$R343),2)*SIGN($U343),ROUND($U343*$V343,2))))</f>
        <v>0</v>
      </c>
      <c r="X343" s="24" t="str">
        <f aca="false">IF($N343="","",IFERROR(INDEX(VAT_Codes!$H:$H,MATCH($N343,VAT_Codes!$A:$A,0)),"")&amp;"")</f>
        <v/>
      </c>
      <c r="Y343" s="24" t="str">
        <f aca="false">IF($A343="","",(YEAR($A343)-YEAR(Settings!$C$8))*12+MONTH($A343)-MONTH(Settings!$C$8)+1)</f>
        <v/>
      </c>
      <c r="Z343" s="24" t="str">
        <f aca="false">IF(AND($C343="",$I343="",$J343=""),"",IF($N343="","NO VAT CODE",IF($T343="","UNKNOWN VAT CODE",IF($S343="","MISSING FX RATE",IF(OR($A343&lt;Settings!$C$8,$A343&gt;Settings!$C$9),"OUTSIDE PERIOD",IF(AND(IFERROR(INDEX(VAT_Codes!$E:$E,MATCH($N343,VAT_Codes!$A:$A,0)),"ANY")&lt;&gt;"ANY",$P343=""),"MISSING COUNTERPARTY COUNTRY",IF(AND(IFERROR(INDEX(VAT_Codes!$E:$E,MATCH($N343,VAT_Codes!$A:$A,0)),"ANY")&lt;&gt;"ANY",$P343&lt;&gt;IFERROR(INDEX(VAT_Codes!$E:$E,MATCH($N343,VAT_Codes!$A:$A,0)),"ANY")),"REGION MISMATCH","OK")))))))</f>
        <v/>
      </c>
    </row>
    <row r="344" customFormat="false" ht="15" hidden="false" customHeight="false" outlineLevel="0" collapsed="false">
      <c r="M344" s="24" t="str">
        <f aca="false">IF($C344="","",IFERROR(INDEX(Account_Mapping!$C:$C,MATCH($C344&amp;"",Account_Mapping!$A:$A,0))&amp;"",""))</f>
        <v/>
      </c>
      <c r="N344" s="24" t="str">
        <f aca="false">IF($K344&lt;&gt;"",$K344,$M344)</f>
        <v/>
      </c>
      <c r="O344" s="24" t="str">
        <f aca="false">IF($F344="","",IFERROR(INDEX(Counterparties!$C:$C,MATCH($F344&amp;"",Counterparties!$A:$A,0))&amp;"",""))</f>
        <v/>
      </c>
      <c r="P344" s="24" t="str">
        <f aca="false">IF($O344="","",IF($O344="CY","CY",IF(ISNUMBER(MATCH($O344,Lists!$A:$A,0)),"EU","3RD")))</f>
        <v/>
      </c>
      <c r="Q344" s="24" t="str">
        <f aca="false">IF($F344="","N",IFERROR(IF(INDEX(Counterparties!$E:$E,MATCH($F344&amp;"",Counterparties!$A:$A,0))="Y","Y","N"),"N"))</f>
        <v>N</v>
      </c>
      <c r="R344" s="25" t="n">
        <f aca="false">IF(OR($H344="",$H344="EUR"),1,IFERROR(INDEX(FX_Rates!$D:$D,MATCH($H344,FX_Rates!$A:$A,0)),""))</f>
        <v>1</v>
      </c>
      <c r="S344" s="26" t="str">
        <f aca="false">IF(AND($I344="",$J344=""),"",IF($J344&lt;&gt;"",$J344,IF(OR($R344="",$R344=0),"",ROUND($I344/$R344,2))))</f>
        <v/>
      </c>
      <c r="T344" s="24" t="str">
        <f aca="false">IF($N344="","",IFERROR(INDEX(VAT_Codes!$C:$C,MATCH($N344,VAT_Codes!$A:$A,0)),"")&amp;"")</f>
        <v/>
      </c>
      <c r="U344" s="26" t="n">
        <f aca="false">IF(OR($S344="",$T344="",$T344="None"),0,IF($T344="Output",-$S344,$S344))</f>
        <v>0</v>
      </c>
      <c r="V344" s="27" t="n">
        <f aca="false">IF($N344="",0,IFERROR(INDEX(VAT_Codes!$D:$D,MATCH($N344,VAT_Codes!$A:$A,0)),0))</f>
        <v>0</v>
      </c>
      <c r="W344" s="26" t="n">
        <f aca="false">IF($U344=0,0,IF(IFERROR(INDEX(VAT_Codes!$F:$F,MATCH($N344,VAT_Codes!$A:$A,0)),"N")="Y",$U344,IF($L344&lt;&gt;"",ROUND(ABS($L344)/IF(OR($R344="",$R344=0),1,$R344),2)*SIGN($U344),ROUND($U344*$V344,2))))</f>
        <v>0</v>
      </c>
      <c r="X344" s="24" t="str">
        <f aca="false">IF($N344="","",IFERROR(INDEX(VAT_Codes!$H:$H,MATCH($N344,VAT_Codes!$A:$A,0)),"")&amp;"")</f>
        <v/>
      </c>
      <c r="Y344" s="24" t="str">
        <f aca="false">IF($A344="","",(YEAR($A344)-YEAR(Settings!$C$8))*12+MONTH($A344)-MONTH(Settings!$C$8)+1)</f>
        <v/>
      </c>
      <c r="Z344" s="24" t="str">
        <f aca="false">IF(AND($C344="",$I344="",$J344=""),"",IF($N344="","NO VAT CODE",IF($T344="","UNKNOWN VAT CODE",IF($S344="","MISSING FX RATE",IF(OR($A344&lt;Settings!$C$8,$A344&gt;Settings!$C$9),"OUTSIDE PERIOD",IF(AND(IFERROR(INDEX(VAT_Codes!$E:$E,MATCH($N344,VAT_Codes!$A:$A,0)),"ANY")&lt;&gt;"ANY",$P344=""),"MISSING COUNTERPARTY COUNTRY",IF(AND(IFERROR(INDEX(VAT_Codes!$E:$E,MATCH($N344,VAT_Codes!$A:$A,0)),"ANY")&lt;&gt;"ANY",$P344&lt;&gt;IFERROR(INDEX(VAT_Codes!$E:$E,MATCH($N344,VAT_Codes!$A:$A,0)),"ANY")),"REGION MISMATCH","OK")))))))</f>
        <v/>
      </c>
    </row>
    <row r="345" customFormat="false" ht="15" hidden="false" customHeight="false" outlineLevel="0" collapsed="false">
      <c r="M345" s="24" t="str">
        <f aca="false">IF($C345="","",IFERROR(INDEX(Account_Mapping!$C:$C,MATCH($C345&amp;"",Account_Mapping!$A:$A,0))&amp;"",""))</f>
        <v/>
      </c>
      <c r="N345" s="24" t="str">
        <f aca="false">IF($K345&lt;&gt;"",$K345,$M345)</f>
        <v/>
      </c>
      <c r="O345" s="24" t="str">
        <f aca="false">IF($F345="","",IFERROR(INDEX(Counterparties!$C:$C,MATCH($F345&amp;"",Counterparties!$A:$A,0))&amp;"",""))</f>
        <v/>
      </c>
      <c r="P345" s="24" t="str">
        <f aca="false">IF($O345="","",IF($O345="CY","CY",IF(ISNUMBER(MATCH($O345,Lists!$A:$A,0)),"EU","3RD")))</f>
        <v/>
      </c>
      <c r="Q345" s="24" t="str">
        <f aca="false">IF($F345="","N",IFERROR(IF(INDEX(Counterparties!$E:$E,MATCH($F345&amp;"",Counterparties!$A:$A,0))="Y","Y","N"),"N"))</f>
        <v>N</v>
      </c>
      <c r="R345" s="25" t="n">
        <f aca="false">IF(OR($H345="",$H345="EUR"),1,IFERROR(INDEX(FX_Rates!$D:$D,MATCH($H345,FX_Rates!$A:$A,0)),""))</f>
        <v>1</v>
      </c>
      <c r="S345" s="26" t="str">
        <f aca="false">IF(AND($I345="",$J345=""),"",IF($J345&lt;&gt;"",$J345,IF(OR($R345="",$R345=0),"",ROUND($I345/$R345,2))))</f>
        <v/>
      </c>
      <c r="T345" s="24" t="str">
        <f aca="false">IF($N345="","",IFERROR(INDEX(VAT_Codes!$C:$C,MATCH($N345,VAT_Codes!$A:$A,0)),"")&amp;"")</f>
        <v/>
      </c>
      <c r="U345" s="26" t="n">
        <f aca="false">IF(OR($S345="",$T345="",$T345="None"),0,IF($T345="Output",-$S345,$S345))</f>
        <v>0</v>
      </c>
      <c r="V345" s="27" t="n">
        <f aca="false">IF($N345="",0,IFERROR(INDEX(VAT_Codes!$D:$D,MATCH($N345,VAT_Codes!$A:$A,0)),0))</f>
        <v>0</v>
      </c>
      <c r="W345" s="26" t="n">
        <f aca="false">IF($U345=0,0,IF(IFERROR(INDEX(VAT_Codes!$F:$F,MATCH($N345,VAT_Codes!$A:$A,0)),"N")="Y",$U345,IF($L345&lt;&gt;"",ROUND(ABS($L345)/IF(OR($R345="",$R345=0),1,$R345),2)*SIGN($U345),ROUND($U345*$V345,2))))</f>
        <v>0</v>
      </c>
      <c r="X345" s="24" t="str">
        <f aca="false">IF($N345="","",IFERROR(INDEX(VAT_Codes!$H:$H,MATCH($N345,VAT_Codes!$A:$A,0)),"")&amp;"")</f>
        <v/>
      </c>
      <c r="Y345" s="24" t="str">
        <f aca="false">IF($A345="","",(YEAR($A345)-YEAR(Settings!$C$8))*12+MONTH($A345)-MONTH(Settings!$C$8)+1)</f>
        <v/>
      </c>
      <c r="Z345" s="24" t="str">
        <f aca="false">IF(AND($C345="",$I345="",$J345=""),"",IF($N345="","NO VAT CODE",IF($T345="","UNKNOWN VAT CODE",IF($S345="","MISSING FX RATE",IF(OR($A345&lt;Settings!$C$8,$A345&gt;Settings!$C$9),"OUTSIDE PERIOD",IF(AND(IFERROR(INDEX(VAT_Codes!$E:$E,MATCH($N345,VAT_Codes!$A:$A,0)),"ANY")&lt;&gt;"ANY",$P345=""),"MISSING COUNTERPARTY COUNTRY",IF(AND(IFERROR(INDEX(VAT_Codes!$E:$E,MATCH($N345,VAT_Codes!$A:$A,0)),"ANY")&lt;&gt;"ANY",$P345&lt;&gt;IFERROR(INDEX(VAT_Codes!$E:$E,MATCH($N345,VAT_Codes!$A:$A,0)),"ANY")),"REGION MISMATCH","OK")))))))</f>
        <v/>
      </c>
    </row>
    <row r="346" customFormat="false" ht="15" hidden="false" customHeight="false" outlineLevel="0" collapsed="false">
      <c r="M346" s="24" t="str">
        <f aca="false">IF($C346="","",IFERROR(INDEX(Account_Mapping!$C:$C,MATCH($C346&amp;"",Account_Mapping!$A:$A,0))&amp;"",""))</f>
        <v/>
      </c>
      <c r="N346" s="24" t="str">
        <f aca="false">IF($K346&lt;&gt;"",$K346,$M346)</f>
        <v/>
      </c>
      <c r="O346" s="24" t="str">
        <f aca="false">IF($F346="","",IFERROR(INDEX(Counterparties!$C:$C,MATCH($F346&amp;"",Counterparties!$A:$A,0))&amp;"",""))</f>
        <v/>
      </c>
      <c r="P346" s="24" t="str">
        <f aca="false">IF($O346="","",IF($O346="CY","CY",IF(ISNUMBER(MATCH($O346,Lists!$A:$A,0)),"EU","3RD")))</f>
        <v/>
      </c>
      <c r="Q346" s="24" t="str">
        <f aca="false">IF($F346="","N",IFERROR(IF(INDEX(Counterparties!$E:$E,MATCH($F346&amp;"",Counterparties!$A:$A,0))="Y","Y","N"),"N"))</f>
        <v>N</v>
      </c>
      <c r="R346" s="25" t="n">
        <f aca="false">IF(OR($H346="",$H346="EUR"),1,IFERROR(INDEX(FX_Rates!$D:$D,MATCH($H346,FX_Rates!$A:$A,0)),""))</f>
        <v>1</v>
      </c>
      <c r="S346" s="26" t="str">
        <f aca="false">IF(AND($I346="",$J346=""),"",IF($J346&lt;&gt;"",$J346,IF(OR($R346="",$R346=0),"",ROUND($I346/$R346,2))))</f>
        <v/>
      </c>
      <c r="T346" s="24" t="str">
        <f aca="false">IF($N346="","",IFERROR(INDEX(VAT_Codes!$C:$C,MATCH($N346,VAT_Codes!$A:$A,0)),"")&amp;"")</f>
        <v/>
      </c>
      <c r="U346" s="26" t="n">
        <f aca="false">IF(OR($S346="",$T346="",$T346="None"),0,IF($T346="Output",-$S346,$S346))</f>
        <v>0</v>
      </c>
      <c r="V346" s="27" t="n">
        <f aca="false">IF($N346="",0,IFERROR(INDEX(VAT_Codes!$D:$D,MATCH($N346,VAT_Codes!$A:$A,0)),0))</f>
        <v>0</v>
      </c>
      <c r="W346" s="26" t="n">
        <f aca="false">IF($U346=0,0,IF(IFERROR(INDEX(VAT_Codes!$F:$F,MATCH($N346,VAT_Codes!$A:$A,0)),"N")="Y",$U346,IF($L346&lt;&gt;"",ROUND(ABS($L346)/IF(OR($R346="",$R346=0),1,$R346),2)*SIGN($U346),ROUND($U346*$V346,2))))</f>
        <v>0</v>
      </c>
      <c r="X346" s="24" t="str">
        <f aca="false">IF($N346="","",IFERROR(INDEX(VAT_Codes!$H:$H,MATCH($N346,VAT_Codes!$A:$A,0)),"")&amp;"")</f>
        <v/>
      </c>
      <c r="Y346" s="24" t="str">
        <f aca="false">IF($A346="","",(YEAR($A346)-YEAR(Settings!$C$8))*12+MONTH($A346)-MONTH(Settings!$C$8)+1)</f>
        <v/>
      </c>
      <c r="Z346" s="24" t="str">
        <f aca="false">IF(AND($C346="",$I346="",$J346=""),"",IF($N346="","NO VAT CODE",IF($T346="","UNKNOWN VAT CODE",IF($S346="","MISSING FX RATE",IF(OR($A346&lt;Settings!$C$8,$A346&gt;Settings!$C$9),"OUTSIDE PERIOD",IF(AND(IFERROR(INDEX(VAT_Codes!$E:$E,MATCH($N346,VAT_Codes!$A:$A,0)),"ANY")&lt;&gt;"ANY",$P346=""),"MISSING COUNTERPARTY COUNTRY",IF(AND(IFERROR(INDEX(VAT_Codes!$E:$E,MATCH($N346,VAT_Codes!$A:$A,0)),"ANY")&lt;&gt;"ANY",$P346&lt;&gt;IFERROR(INDEX(VAT_Codes!$E:$E,MATCH($N346,VAT_Codes!$A:$A,0)),"ANY")),"REGION MISMATCH","OK")))))))</f>
        <v/>
      </c>
    </row>
    <row r="347" customFormat="false" ht="15" hidden="false" customHeight="false" outlineLevel="0" collapsed="false">
      <c r="M347" s="24" t="str">
        <f aca="false">IF($C347="","",IFERROR(INDEX(Account_Mapping!$C:$C,MATCH($C347&amp;"",Account_Mapping!$A:$A,0))&amp;"",""))</f>
        <v/>
      </c>
      <c r="N347" s="24" t="str">
        <f aca="false">IF($K347&lt;&gt;"",$K347,$M347)</f>
        <v/>
      </c>
      <c r="O347" s="24" t="str">
        <f aca="false">IF($F347="","",IFERROR(INDEX(Counterparties!$C:$C,MATCH($F347&amp;"",Counterparties!$A:$A,0))&amp;"",""))</f>
        <v/>
      </c>
      <c r="P347" s="24" t="str">
        <f aca="false">IF($O347="","",IF($O347="CY","CY",IF(ISNUMBER(MATCH($O347,Lists!$A:$A,0)),"EU","3RD")))</f>
        <v/>
      </c>
      <c r="Q347" s="24" t="str">
        <f aca="false">IF($F347="","N",IFERROR(IF(INDEX(Counterparties!$E:$E,MATCH($F347&amp;"",Counterparties!$A:$A,0))="Y","Y","N"),"N"))</f>
        <v>N</v>
      </c>
      <c r="R347" s="25" t="n">
        <f aca="false">IF(OR($H347="",$H347="EUR"),1,IFERROR(INDEX(FX_Rates!$D:$D,MATCH($H347,FX_Rates!$A:$A,0)),""))</f>
        <v>1</v>
      </c>
      <c r="S347" s="26" t="str">
        <f aca="false">IF(AND($I347="",$J347=""),"",IF($J347&lt;&gt;"",$J347,IF(OR($R347="",$R347=0),"",ROUND($I347/$R347,2))))</f>
        <v/>
      </c>
      <c r="T347" s="24" t="str">
        <f aca="false">IF($N347="","",IFERROR(INDEX(VAT_Codes!$C:$C,MATCH($N347,VAT_Codes!$A:$A,0)),"")&amp;"")</f>
        <v/>
      </c>
      <c r="U347" s="26" t="n">
        <f aca="false">IF(OR($S347="",$T347="",$T347="None"),0,IF($T347="Output",-$S347,$S347))</f>
        <v>0</v>
      </c>
      <c r="V347" s="27" t="n">
        <f aca="false">IF($N347="",0,IFERROR(INDEX(VAT_Codes!$D:$D,MATCH($N347,VAT_Codes!$A:$A,0)),0))</f>
        <v>0</v>
      </c>
      <c r="W347" s="26" t="n">
        <f aca="false">IF($U347=0,0,IF(IFERROR(INDEX(VAT_Codes!$F:$F,MATCH($N347,VAT_Codes!$A:$A,0)),"N")="Y",$U347,IF($L347&lt;&gt;"",ROUND(ABS($L347)/IF(OR($R347="",$R347=0),1,$R347),2)*SIGN($U347),ROUND($U347*$V347,2))))</f>
        <v>0</v>
      </c>
      <c r="X347" s="24" t="str">
        <f aca="false">IF($N347="","",IFERROR(INDEX(VAT_Codes!$H:$H,MATCH($N347,VAT_Codes!$A:$A,0)),"")&amp;"")</f>
        <v/>
      </c>
      <c r="Y347" s="24" t="str">
        <f aca="false">IF($A347="","",(YEAR($A347)-YEAR(Settings!$C$8))*12+MONTH($A347)-MONTH(Settings!$C$8)+1)</f>
        <v/>
      </c>
      <c r="Z347" s="24" t="str">
        <f aca="false">IF(AND($C347="",$I347="",$J347=""),"",IF($N347="","NO VAT CODE",IF($T347="","UNKNOWN VAT CODE",IF($S347="","MISSING FX RATE",IF(OR($A347&lt;Settings!$C$8,$A347&gt;Settings!$C$9),"OUTSIDE PERIOD",IF(AND(IFERROR(INDEX(VAT_Codes!$E:$E,MATCH($N347,VAT_Codes!$A:$A,0)),"ANY")&lt;&gt;"ANY",$P347=""),"MISSING COUNTERPARTY COUNTRY",IF(AND(IFERROR(INDEX(VAT_Codes!$E:$E,MATCH($N347,VAT_Codes!$A:$A,0)),"ANY")&lt;&gt;"ANY",$P347&lt;&gt;IFERROR(INDEX(VAT_Codes!$E:$E,MATCH($N347,VAT_Codes!$A:$A,0)),"ANY")),"REGION MISMATCH","OK")))))))</f>
        <v/>
      </c>
    </row>
    <row r="348" customFormat="false" ht="15" hidden="false" customHeight="false" outlineLevel="0" collapsed="false">
      <c r="M348" s="24" t="str">
        <f aca="false">IF($C348="","",IFERROR(INDEX(Account_Mapping!$C:$C,MATCH($C348&amp;"",Account_Mapping!$A:$A,0))&amp;"",""))</f>
        <v/>
      </c>
      <c r="N348" s="24" t="str">
        <f aca="false">IF($K348&lt;&gt;"",$K348,$M348)</f>
        <v/>
      </c>
      <c r="O348" s="24" t="str">
        <f aca="false">IF($F348="","",IFERROR(INDEX(Counterparties!$C:$C,MATCH($F348&amp;"",Counterparties!$A:$A,0))&amp;"",""))</f>
        <v/>
      </c>
      <c r="P348" s="24" t="str">
        <f aca="false">IF($O348="","",IF($O348="CY","CY",IF(ISNUMBER(MATCH($O348,Lists!$A:$A,0)),"EU","3RD")))</f>
        <v/>
      </c>
      <c r="Q348" s="24" t="str">
        <f aca="false">IF($F348="","N",IFERROR(IF(INDEX(Counterparties!$E:$E,MATCH($F348&amp;"",Counterparties!$A:$A,0))="Y","Y","N"),"N"))</f>
        <v>N</v>
      </c>
      <c r="R348" s="25" t="n">
        <f aca="false">IF(OR($H348="",$H348="EUR"),1,IFERROR(INDEX(FX_Rates!$D:$D,MATCH($H348,FX_Rates!$A:$A,0)),""))</f>
        <v>1</v>
      </c>
      <c r="S348" s="26" t="str">
        <f aca="false">IF(AND($I348="",$J348=""),"",IF($J348&lt;&gt;"",$J348,IF(OR($R348="",$R348=0),"",ROUND($I348/$R348,2))))</f>
        <v/>
      </c>
      <c r="T348" s="24" t="str">
        <f aca="false">IF($N348="","",IFERROR(INDEX(VAT_Codes!$C:$C,MATCH($N348,VAT_Codes!$A:$A,0)),"")&amp;"")</f>
        <v/>
      </c>
      <c r="U348" s="26" t="n">
        <f aca="false">IF(OR($S348="",$T348="",$T348="None"),0,IF($T348="Output",-$S348,$S348))</f>
        <v>0</v>
      </c>
      <c r="V348" s="27" t="n">
        <f aca="false">IF($N348="",0,IFERROR(INDEX(VAT_Codes!$D:$D,MATCH($N348,VAT_Codes!$A:$A,0)),0))</f>
        <v>0</v>
      </c>
      <c r="W348" s="26" t="n">
        <f aca="false">IF($U348=0,0,IF(IFERROR(INDEX(VAT_Codes!$F:$F,MATCH($N348,VAT_Codes!$A:$A,0)),"N")="Y",$U348,IF($L348&lt;&gt;"",ROUND(ABS($L348)/IF(OR($R348="",$R348=0),1,$R348),2)*SIGN($U348),ROUND($U348*$V348,2))))</f>
        <v>0</v>
      </c>
      <c r="X348" s="24" t="str">
        <f aca="false">IF($N348="","",IFERROR(INDEX(VAT_Codes!$H:$H,MATCH($N348,VAT_Codes!$A:$A,0)),"")&amp;"")</f>
        <v/>
      </c>
      <c r="Y348" s="24" t="str">
        <f aca="false">IF($A348="","",(YEAR($A348)-YEAR(Settings!$C$8))*12+MONTH($A348)-MONTH(Settings!$C$8)+1)</f>
        <v/>
      </c>
      <c r="Z348" s="24" t="str">
        <f aca="false">IF(AND($C348="",$I348="",$J348=""),"",IF($N348="","NO VAT CODE",IF($T348="","UNKNOWN VAT CODE",IF($S348="","MISSING FX RATE",IF(OR($A348&lt;Settings!$C$8,$A348&gt;Settings!$C$9),"OUTSIDE PERIOD",IF(AND(IFERROR(INDEX(VAT_Codes!$E:$E,MATCH($N348,VAT_Codes!$A:$A,0)),"ANY")&lt;&gt;"ANY",$P348=""),"MISSING COUNTERPARTY COUNTRY",IF(AND(IFERROR(INDEX(VAT_Codes!$E:$E,MATCH($N348,VAT_Codes!$A:$A,0)),"ANY")&lt;&gt;"ANY",$P348&lt;&gt;IFERROR(INDEX(VAT_Codes!$E:$E,MATCH($N348,VAT_Codes!$A:$A,0)),"ANY")),"REGION MISMATCH","OK")))))))</f>
        <v/>
      </c>
    </row>
    <row r="349" customFormat="false" ht="15" hidden="false" customHeight="false" outlineLevel="0" collapsed="false">
      <c r="M349" s="24" t="str">
        <f aca="false">IF($C349="","",IFERROR(INDEX(Account_Mapping!$C:$C,MATCH($C349&amp;"",Account_Mapping!$A:$A,0))&amp;"",""))</f>
        <v/>
      </c>
      <c r="N349" s="24" t="str">
        <f aca="false">IF($K349&lt;&gt;"",$K349,$M349)</f>
        <v/>
      </c>
      <c r="O349" s="24" t="str">
        <f aca="false">IF($F349="","",IFERROR(INDEX(Counterparties!$C:$C,MATCH($F349&amp;"",Counterparties!$A:$A,0))&amp;"",""))</f>
        <v/>
      </c>
      <c r="P349" s="24" t="str">
        <f aca="false">IF($O349="","",IF($O349="CY","CY",IF(ISNUMBER(MATCH($O349,Lists!$A:$A,0)),"EU","3RD")))</f>
        <v/>
      </c>
      <c r="Q349" s="24" t="str">
        <f aca="false">IF($F349="","N",IFERROR(IF(INDEX(Counterparties!$E:$E,MATCH($F349&amp;"",Counterparties!$A:$A,0))="Y","Y","N"),"N"))</f>
        <v>N</v>
      </c>
      <c r="R349" s="25" t="n">
        <f aca="false">IF(OR($H349="",$H349="EUR"),1,IFERROR(INDEX(FX_Rates!$D:$D,MATCH($H349,FX_Rates!$A:$A,0)),""))</f>
        <v>1</v>
      </c>
      <c r="S349" s="26" t="str">
        <f aca="false">IF(AND($I349="",$J349=""),"",IF($J349&lt;&gt;"",$J349,IF(OR($R349="",$R349=0),"",ROUND($I349/$R349,2))))</f>
        <v/>
      </c>
      <c r="T349" s="24" t="str">
        <f aca="false">IF($N349="","",IFERROR(INDEX(VAT_Codes!$C:$C,MATCH($N349,VAT_Codes!$A:$A,0)),"")&amp;"")</f>
        <v/>
      </c>
      <c r="U349" s="26" t="n">
        <f aca="false">IF(OR($S349="",$T349="",$T349="None"),0,IF($T349="Output",-$S349,$S349))</f>
        <v>0</v>
      </c>
      <c r="V349" s="27" t="n">
        <f aca="false">IF($N349="",0,IFERROR(INDEX(VAT_Codes!$D:$D,MATCH($N349,VAT_Codes!$A:$A,0)),0))</f>
        <v>0</v>
      </c>
      <c r="W349" s="26" t="n">
        <f aca="false">IF($U349=0,0,IF(IFERROR(INDEX(VAT_Codes!$F:$F,MATCH($N349,VAT_Codes!$A:$A,0)),"N")="Y",$U349,IF($L349&lt;&gt;"",ROUND(ABS($L349)/IF(OR($R349="",$R349=0),1,$R349),2)*SIGN($U349),ROUND($U349*$V349,2))))</f>
        <v>0</v>
      </c>
      <c r="X349" s="24" t="str">
        <f aca="false">IF($N349="","",IFERROR(INDEX(VAT_Codes!$H:$H,MATCH($N349,VAT_Codes!$A:$A,0)),"")&amp;"")</f>
        <v/>
      </c>
      <c r="Y349" s="24" t="str">
        <f aca="false">IF($A349="","",(YEAR($A349)-YEAR(Settings!$C$8))*12+MONTH($A349)-MONTH(Settings!$C$8)+1)</f>
        <v/>
      </c>
      <c r="Z349" s="24" t="str">
        <f aca="false">IF(AND($C349="",$I349="",$J349=""),"",IF($N349="","NO VAT CODE",IF($T349="","UNKNOWN VAT CODE",IF($S349="","MISSING FX RATE",IF(OR($A349&lt;Settings!$C$8,$A349&gt;Settings!$C$9),"OUTSIDE PERIOD",IF(AND(IFERROR(INDEX(VAT_Codes!$E:$E,MATCH($N349,VAT_Codes!$A:$A,0)),"ANY")&lt;&gt;"ANY",$P349=""),"MISSING COUNTERPARTY COUNTRY",IF(AND(IFERROR(INDEX(VAT_Codes!$E:$E,MATCH($N349,VAT_Codes!$A:$A,0)),"ANY")&lt;&gt;"ANY",$P349&lt;&gt;IFERROR(INDEX(VAT_Codes!$E:$E,MATCH($N349,VAT_Codes!$A:$A,0)),"ANY")),"REGION MISMATCH","OK")))))))</f>
        <v/>
      </c>
    </row>
    <row r="350" customFormat="false" ht="15" hidden="false" customHeight="false" outlineLevel="0" collapsed="false">
      <c r="M350" s="24" t="str">
        <f aca="false">IF($C350="","",IFERROR(INDEX(Account_Mapping!$C:$C,MATCH($C350&amp;"",Account_Mapping!$A:$A,0))&amp;"",""))</f>
        <v/>
      </c>
      <c r="N350" s="24" t="str">
        <f aca="false">IF($K350&lt;&gt;"",$K350,$M350)</f>
        <v/>
      </c>
      <c r="O350" s="24" t="str">
        <f aca="false">IF($F350="","",IFERROR(INDEX(Counterparties!$C:$C,MATCH($F350&amp;"",Counterparties!$A:$A,0))&amp;"",""))</f>
        <v/>
      </c>
      <c r="P350" s="24" t="str">
        <f aca="false">IF($O350="","",IF($O350="CY","CY",IF(ISNUMBER(MATCH($O350,Lists!$A:$A,0)),"EU","3RD")))</f>
        <v/>
      </c>
      <c r="Q350" s="24" t="str">
        <f aca="false">IF($F350="","N",IFERROR(IF(INDEX(Counterparties!$E:$E,MATCH($F350&amp;"",Counterparties!$A:$A,0))="Y","Y","N"),"N"))</f>
        <v>N</v>
      </c>
      <c r="R350" s="25" t="n">
        <f aca="false">IF(OR($H350="",$H350="EUR"),1,IFERROR(INDEX(FX_Rates!$D:$D,MATCH($H350,FX_Rates!$A:$A,0)),""))</f>
        <v>1</v>
      </c>
      <c r="S350" s="26" t="str">
        <f aca="false">IF(AND($I350="",$J350=""),"",IF($J350&lt;&gt;"",$J350,IF(OR($R350="",$R350=0),"",ROUND($I350/$R350,2))))</f>
        <v/>
      </c>
      <c r="T350" s="24" t="str">
        <f aca="false">IF($N350="","",IFERROR(INDEX(VAT_Codes!$C:$C,MATCH($N350,VAT_Codes!$A:$A,0)),"")&amp;"")</f>
        <v/>
      </c>
      <c r="U350" s="26" t="n">
        <f aca="false">IF(OR($S350="",$T350="",$T350="None"),0,IF($T350="Output",-$S350,$S350))</f>
        <v>0</v>
      </c>
      <c r="V350" s="27" t="n">
        <f aca="false">IF($N350="",0,IFERROR(INDEX(VAT_Codes!$D:$D,MATCH($N350,VAT_Codes!$A:$A,0)),0))</f>
        <v>0</v>
      </c>
      <c r="W350" s="26" t="n">
        <f aca="false">IF($U350=0,0,IF(IFERROR(INDEX(VAT_Codes!$F:$F,MATCH($N350,VAT_Codes!$A:$A,0)),"N")="Y",$U350,IF($L350&lt;&gt;"",ROUND(ABS($L350)/IF(OR($R350="",$R350=0),1,$R350),2)*SIGN($U350),ROUND($U350*$V350,2))))</f>
        <v>0</v>
      </c>
      <c r="X350" s="24" t="str">
        <f aca="false">IF($N350="","",IFERROR(INDEX(VAT_Codes!$H:$H,MATCH($N350,VAT_Codes!$A:$A,0)),"")&amp;"")</f>
        <v/>
      </c>
      <c r="Y350" s="24" t="str">
        <f aca="false">IF($A350="","",(YEAR($A350)-YEAR(Settings!$C$8))*12+MONTH($A350)-MONTH(Settings!$C$8)+1)</f>
        <v/>
      </c>
      <c r="Z350" s="24" t="str">
        <f aca="false">IF(AND($C350="",$I350="",$J350=""),"",IF($N350="","NO VAT CODE",IF($T350="","UNKNOWN VAT CODE",IF($S350="","MISSING FX RATE",IF(OR($A350&lt;Settings!$C$8,$A350&gt;Settings!$C$9),"OUTSIDE PERIOD",IF(AND(IFERROR(INDEX(VAT_Codes!$E:$E,MATCH($N350,VAT_Codes!$A:$A,0)),"ANY")&lt;&gt;"ANY",$P350=""),"MISSING COUNTERPARTY COUNTRY",IF(AND(IFERROR(INDEX(VAT_Codes!$E:$E,MATCH($N350,VAT_Codes!$A:$A,0)),"ANY")&lt;&gt;"ANY",$P350&lt;&gt;IFERROR(INDEX(VAT_Codes!$E:$E,MATCH($N350,VAT_Codes!$A:$A,0)),"ANY")),"REGION MISMATCH","OK")))))))</f>
        <v/>
      </c>
    </row>
    <row r="351" customFormat="false" ht="15" hidden="false" customHeight="false" outlineLevel="0" collapsed="false">
      <c r="M351" s="24" t="str">
        <f aca="false">IF($C351="","",IFERROR(INDEX(Account_Mapping!$C:$C,MATCH($C351&amp;"",Account_Mapping!$A:$A,0))&amp;"",""))</f>
        <v/>
      </c>
      <c r="N351" s="24" t="str">
        <f aca="false">IF($K351&lt;&gt;"",$K351,$M351)</f>
        <v/>
      </c>
      <c r="O351" s="24" t="str">
        <f aca="false">IF($F351="","",IFERROR(INDEX(Counterparties!$C:$C,MATCH($F351&amp;"",Counterparties!$A:$A,0))&amp;"",""))</f>
        <v/>
      </c>
      <c r="P351" s="24" t="str">
        <f aca="false">IF($O351="","",IF($O351="CY","CY",IF(ISNUMBER(MATCH($O351,Lists!$A:$A,0)),"EU","3RD")))</f>
        <v/>
      </c>
      <c r="Q351" s="24" t="str">
        <f aca="false">IF($F351="","N",IFERROR(IF(INDEX(Counterparties!$E:$E,MATCH($F351&amp;"",Counterparties!$A:$A,0))="Y","Y","N"),"N"))</f>
        <v>N</v>
      </c>
      <c r="R351" s="25" t="n">
        <f aca="false">IF(OR($H351="",$H351="EUR"),1,IFERROR(INDEX(FX_Rates!$D:$D,MATCH($H351,FX_Rates!$A:$A,0)),""))</f>
        <v>1</v>
      </c>
      <c r="S351" s="26" t="str">
        <f aca="false">IF(AND($I351="",$J351=""),"",IF($J351&lt;&gt;"",$J351,IF(OR($R351="",$R351=0),"",ROUND($I351/$R351,2))))</f>
        <v/>
      </c>
      <c r="T351" s="24" t="str">
        <f aca="false">IF($N351="","",IFERROR(INDEX(VAT_Codes!$C:$C,MATCH($N351,VAT_Codes!$A:$A,0)),"")&amp;"")</f>
        <v/>
      </c>
      <c r="U351" s="26" t="n">
        <f aca="false">IF(OR($S351="",$T351="",$T351="None"),0,IF($T351="Output",-$S351,$S351))</f>
        <v>0</v>
      </c>
      <c r="V351" s="27" t="n">
        <f aca="false">IF($N351="",0,IFERROR(INDEX(VAT_Codes!$D:$D,MATCH($N351,VAT_Codes!$A:$A,0)),0))</f>
        <v>0</v>
      </c>
      <c r="W351" s="26" t="n">
        <f aca="false">IF($U351=0,0,IF(IFERROR(INDEX(VAT_Codes!$F:$F,MATCH($N351,VAT_Codes!$A:$A,0)),"N")="Y",$U351,IF($L351&lt;&gt;"",ROUND(ABS($L351)/IF(OR($R351="",$R351=0),1,$R351),2)*SIGN($U351),ROUND($U351*$V351,2))))</f>
        <v>0</v>
      </c>
      <c r="X351" s="24" t="str">
        <f aca="false">IF($N351="","",IFERROR(INDEX(VAT_Codes!$H:$H,MATCH($N351,VAT_Codes!$A:$A,0)),"")&amp;"")</f>
        <v/>
      </c>
      <c r="Y351" s="24" t="str">
        <f aca="false">IF($A351="","",(YEAR($A351)-YEAR(Settings!$C$8))*12+MONTH($A351)-MONTH(Settings!$C$8)+1)</f>
        <v/>
      </c>
      <c r="Z351" s="24" t="str">
        <f aca="false">IF(AND($C351="",$I351="",$J351=""),"",IF($N351="","NO VAT CODE",IF($T351="","UNKNOWN VAT CODE",IF($S351="","MISSING FX RATE",IF(OR($A351&lt;Settings!$C$8,$A351&gt;Settings!$C$9),"OUTSIDE PERIOD",IF(AND(IFERROR(INDEX(VAT_Codes!$E:$E,MATCH($N351,VAT_Codes!$A:$A,0)),"ANY")&lt;&gt;"ANY",$P351=""),"MISSING COUNTERPARTY COUNTRY",IF(AND(IFERROR(INDEX(VAT_Codes!$E:$E,MATCH($N351,VAT_Codes!$A:$A,0)),"ANY")&lt;&gt;"ANY",$P351&lt;&gt;IFERROR(INDEX(VAT_Codes!$E:$E,MATCH($N351,VAT_Codes!$A:$A,0)),"ANY")),"REGION MISMATCH","OK")))))))</f>
        <v/>
      </c>
    </row>
    <row r="352" customFormat="false" ht="15" hidden="false" customHeight="false" outlineLevel="0" collapsed="false">
      <c r="M352" s="24" t="str">
        <f aca="false">IF($C352="","",IFERROR(INDEX(Account_Mapping!$C:$C,MATCH($C352&amp;"",Account_Mapping!$A:$A,0))&amp;"",""))</f>
        <v/>
      </c>
      <c r="N352" s="24" t="str">
        <f aca="false">IF($K352&lt;&gt;"",$K352,$M352)</f>
        <v/>
      </c>
      <c r="O352" s="24" t="str">
        <f aca="false">IF($F352="","",IFERROR(INDEX(Counterparties!$C:$C,MATCH($F352&amp;"",Counterparties!$A:$A,0))&amp;"",""))</f>
        <v/>
      </c>
      <c r="P352" s="24" t="str">
        <f aca="false">IF($O352="","",IF($O352="CY","CY",IF(ISNUMBER(MATCH($O352,Lists!$A:$A,0)),"EU","3RD")))</f>
        <v/>
      </c>
      <c r="Q352" s="24" t="str">
        <f aca="false">IF($F352="","N",IFERROR(IF(INDEX(Counterparties!$E:$E,MATCH($F352&amp;"",Counterparties!$A:$A,0))="Y","Y","N"),"N"))</f>
        <v>N</v>
      </c>
      <c r="R352" s="25" t="n">
        <f aca="false">IF(OR($H352="",$H352="EUR"),1,IFERROR(INDEX(FX_Rates!$D:$D,MATCH($H352,FX_Rates!$A:$A,0)),""))</f>
        <v>1</v>
      </c>
      <c r="S352" s="26" t="str">
        <f aca="false">IF(AND($I352="",$J352=""),"",IF($J352&lt;&gt;"",$J352,IF(OR($R352="",$R352=0),"",ROUND($I352/$R352,2))))</f>
        <v/>
      </c>
      <c r="T352" s="24" t="str">
        <f aca="false">IF($N352="","",IFERROR(INDEX(VAT_Codes!$C:$C,MATCH($N352,VAT_Codes!$A:$A,0)),"")&amp;"")</f>
        <v/>
      </c>
      <c r="U352" s="26" t="n">
        <f aca="false">IF(OR($S352="",$T352="",$T352="None"),0,IF($T352="Output",-$S352,$S352))</f>
        <v>0</v>
      </c>
      <c r="V352" s="27" t="n">
        <f aca="false">IF($N352="",0,IFERROR(INDEX(VAT_Codes!$D:$D,MATCH($N352,VAT_Codes!$A:$A,0)),0))</f>
        <v>0</v>
      </c>
      <c r="W352" s="26" t="n">
        <f aca="false">IF($U352=0,0,IF(IFERROR(INDEX(VAT_Codes!$F:$F,MATCH($N352,VAT_Codes!$A:$A,0)),"N")="Y",$U352,IF($L352&lt;&gt;"",ROUND(ABS($L352)/IF(OR($R352="",$R352=0),1,$R352),2)*SIGN($U352),ROUND($U352*$V352,2))))</f>
        <v>0</v>
      </c>
      <c r="X352" s="24" t="str">
        <f aca="false">IF($N352="","",IFERROR(INDEX(VAT_Codes!$H:$H,MATCH($N352,VAT_Codes!$A:$A,0)),"")&amp;"")</f>
        <v/>
      </c>
      <c r="Y352" s="24" t="str">
        <f aca="false">IF($A352="","",(YEAR($A352)-YEAR(Settings!$C$8))*12+MONTH($A352)-MONTH(Settings!$C$8)+1)</f>
        <v/>
      </c>
      <c r="Z352" s="24" t="str">
        <f aca="false">IF(AND($C352="",$I352="",$J352=""),"",IF($N352="","NO VAT CODE",IF($T352="","UNKNOWN VAT CODE",IF($S352="","MISSING FX RATE",IF(OR($A352&lt;Settings!$C$8,$A352&gt;Settings!$C$9),"OUTSIDE PERIOD",IF(AND(IFERROR(INDEX(VAT_Codes!$E:$E,MATCH($N352,VAT_Codes!$A:$A,0)),"ANY")&lt;&gt;"ANY",$P352=""),"MISSING COUNTERPARTY COUNTRY",IF(AND(IFERROR(INDEX(VAT_Codes!$E:$E,MATCH($N352,VAT_Codes!$A:$A,0)),"ANY")&lt;&gt;"ANY",$P352&lt;&gt;IFERROR(INDEX(VAT_Codes!$E:$E,MATCH($N352,VAT_Codes!$A:$A,0)),"ANY")),"REGION MISMATCH","OK")))))))</f>
        <v/>
      </c>
    </row>
    <row r="353" customFormat="false" ht="15" hidden="false" customHeight="false" outlineLevel="0" collapsed="false">
      <c r="M353" s="24" t="str">
        <f aca="false">IF($C353="","",IFERROR(INDEX(Account_Mapping!$C:$C,MATCH($C353&amp;"",Account_Mapping!$A:$A,0))&amp;"",""))</f>
        <v/>
      </c>
      <c r="N353" s="24" t="str">
        <f aca="false">IF($K353&lt;&gt;"",$K353,$M353)</f>
        <v/>
      </c>
      <c r="O353" s="24" t="str">
        <f aca="false">IF($F353="","",IFERROR(INDEX(Counterparties!$C:$C,MATCH($F353&amp;"",Counterparties!$A:$A,0))&amp;"",""))</f>
        <v/>
      </c>
      <c r="P353" s="24" t="str">
        <f aca="false">IF($O353="","",IF($O353="CY","CY",IF(ISNUMBER(MATCH($O353,Lists!$A:$A,0)),"EU","3RD")))</f>
        <v/>
      </c>
      <c r="Q353" s="24" t="str">
        <f aca="false">IF($F353="","N",IFERROR(IF(INDEX(Counterparties!$E:$E,MATCH($F353&amp;"",Counterparties!$A:$A,0))="Y","Y","N"),"N"))</f>
        <v>N</v>
      </c>
      <c r="R353" s="25" t="n">
        <f aca="false">IF(OR($H353="",$H353="EUR"),1,IFERROR(INDEX(FX_Rates!$D:$D,MATCH($H353,FX_Rates!$A:$A,0)),""))</f>
        <v>1</v>
      </c>
      <c r="S353" s="26" t="str">
        <f aca="false">IF(AND($I353="",$J353=""),"",IF($J353&lt;&gt;"",$J353,IF(OR($R353="",$R353=0),"",ROUND($I353/$R353,2))))</f>
        <v/>
      </c>
      <c r="T353" s="24" t="str">
        <f aca="false">IF($N353="","",IFERROR(INDEX(VAT_Codes!$C:$C,MATCH($N353,VAT_Codes!$A:$A,0)),"")&amp;"")</f>
        <v/>
      </c>
      <c r="U353" s="26" t="n">
        <f aca="false">IF(OR($S353="",$T353="",$T353="None"),0,IF($T353="Output",-$S353,$S353))</f>
        <v>0</v>
      </c>
      <c r="V353" s="27" t="n">
        <f aca="false">IF($N353="",0,IFERROR(INDEX(VAT_Codes!$D:$D,MATCH($N353,VAT_Codes!$A:$A,0)),0))</f>
        <v>0</v>
      </c>
      <c r="W353" s="26" t="n">
        <f aca="false">IF($U353=0,0,IF(IFERROR(INDEX(VAT_Codes!$F:$F,MATCH($N353,VAT_Codes!$A:$A,0)),"N")="Y",$U353,IF($L353&lt;&gt;"",ROUND(ABS($L353)/IF(OR($R353="",$R353=0),1,$R353),2)*SIGN($U353),ROUND($U353*$V353,2))))</f>
        <v>0</v>
      </c>
      <c r="X353" s="24" t="str">
        <f aca="false">IF($N353="","",IFERROR(INDEX(VAT_Codes!$H:$H,MATCH($N353,VAT_Codes!$A:$A,0)),"")&amp;"")</f>
        <v/>
      </c>
      <c r="Y353" s="24" t="str">
        <f aca="false">IF($A353="","",(YEAR($A353)-YEAR(Settings!$C$8))*12+MONTH($A353)-MONTH(Settings!$C$8)+1)</f>
        <v/>
      </c>
      <c r="Z353" s="24" t="str">
        <f aca="false">IF(AND($C353="",$I353="",$J353=""),"",IF($N353="","NO VAT CODE",IF($T353="","UNKNOWN VAT CODE",IF($S353="","MISSING FX RATE",IF(OR($A353&lt;Settings!$C$8,$A353&gt;Settings!$C$9),"OUTSIDE PERIOD",IF(AND(IFERROR(INDEX(VAT_Codes!$E:$E,MATCH($N353,VAT_Codes!$A:$A,0)),"ANY")&lt;&gt;"ANY",$P353=""),"MISSING COUNTERPARTY COUNTRY",IF(AND(IFERROR(INDEX(VAT_Codes!$E:$E,MATCH($N353,VAT_Codes!$A:$A,0)),"ANY")&lt;&gt;"ANY",$P353&lt;&gt;IFERROR(INDEX(VAT_Codes!$E:$E,MATCH($N353,VAT_Codes!$A:$A,0)),"ANY")),"REGION MISMATCH","OK")))))))</f>
        <v/>
      </c>
    </row>
    <row r="354" customFormat="false" ht="15" hidden="false" customHeight="false" outlineLevel="0" collapsed="false">
      <c r="M354" s="24" t="str">
        <f aca="false">IF($C354="","",IFERROR(INDEX(Account_Mapping!$C:$C,MATCH($C354&amp;"",Account_Mapping!$A:$A,0))&amp;"",""))</f>
        <v/>
      </c>
      <c r="N354" s="24" t="str">
        <f aca="false">IF($K354&lt;&gt;"",$K354,$M354)</f>
        <v/>
      </c>
      <c r="O354" s="24" t="str">
        <f aca="false">IF($F354="","",IFERROR(INDEX(Counterparties!$C:$C,MATCH($F354&amp;"",Counterparties!$A:$A,0))&amp;"",""))</f>
        <v/>
      </c>
      <c r="P354" s="24" t="str">
        <f aca="false">IF($O354="","",IF($O354="CY","CY",IF(ISNUMBER(MATCH($O354,Lists!$A:$A,0)),"EU","3RD")))</f>
        <v/>
      </c>
      <c r="Q354" s="24" t="str">
        <f aca="false">IF($F354="","N",IFERROR(IF(INDEX(Counterparties!$E:$E,MATCH($F354&amp;"",Counterparties!$A:$A,0))="Y","Y","N"),"N"))</f>
        <v>N</v>
      </c>
      <c r="R354" s="25" t="n">
        <f aca="false">IF(OR($H354="",$H354="EUR"),1,IFERROR(INDEX(FX_Rates!$D:$D,MATCH($H354,FX_Rates!$A:$A,0)),""))</f>
        <v>1</v>
      </c>
      <c r="S354" s="26" t="str">
        <f aca="false">IF(AND($I354="",$J354=""),"",IF($J354&lt;&gt;"",$J354,IF(OR($R354="",$R354=0),"",ROUND($I354/$R354,2))))</f>
        <v/>
      </c>
      <c r="T354" s="24" t="str">
        <f aca="false">IF($N354="","",IFERROR(INDEX(VAT_Codes!$C:$C,MATCH($N354,VAT_Codes!$A:$A,0)),"")&amp;"")</f>
        <v/>
      </c>
      <c r="U354" s="26" t="n">
        <f aca="false">IF(OR($S354="",$T354="",$T354="None"),0,IF($T354="Output",-$S354,$S354))</f>
        <v>0</v>
      </c>
      <c r="V354" s="27" t="n">
        <f aca="false">IF($N354="",0,IFERROR(INDEX(VAT_Codes!$D:$D,MATCH($N354,VAT_Codes!$A:$A,0)),0))</f>
        <v>0</v>
      </c>
      <c r="W354" s="26" t="n">
        <f aca="false">IF($U354=0,0,IF(IFERROR(INDEX(VAT_Codes!$F:$F,MATCH($N354,VAT_Codes!$A:$A,0)),"N")="Y",$U354,IF($L354&lt;&gt;"",ROUND(ABS($L354)/IF(OR($R354="",$R354=0),1,$R354),2)*SIGN($U354),ROUND($U354*$V354,2))))</f>
        <v>0</v>
      </c>
      <c r="X354" s="24" t="str">
        <f aca="false">IF($N354="","",IFERROR(INDEX(VAT_Codes!$H:$H,MATCH($N354,VAT_Codes!$A:$A,0)),"")&amp;"")</f>
        <v/>
      </c>
      <c r="Y354" s="24" t="str">
        <f aca="false">IF($A354="","",(YEAR($A354)-YEAR(Settings!$C$8))*12+MONTH($A354)-MONTH(Settings!$C$8)+1)</f>
        <v/>
      </c>
      <c r="Z354" s="24" t="str">
        <f aca="false">IF(AND($C354="",$I354="",$J354=""),"",IF($N354="","NO VAT CODE",IF($T354="","UNKNOWN VAT CODE",IF($S354="","MISSING FX RATE",IF(OR($A354&lt;Settings!$C$8,$A354&gt;Settings!$C$9),"OUTSIDE PERIOD",IF(AND(IFERROR(INDEX(VAT_Codes!$E:$E,MATCH($N354,VAT_Codes!$A:$A,0)),"ANY")&lt;&gt;"ANY",$P354=""),"MISSING COUNTERPARTY COUNTRY",IF(AND(IFERROR(INDEX(VAT_Codes!$E:$E,MATCH($N354,VAT_Codes!$A:$A,0)),"ANY")&lt;&gt;"ANY",$P354&lt;&gt;IFERROR(INDEX(VAT_Codes!$E:$E,MATCH($N354,VAT_Codes!$A:$A,0)),"ANY")),"REGION MISMATCH","OK")))))))</f>
        <v/>
      </c>
    </row>
    <row r="355" customFormat="false" ht="15" hidden="false" customHeight="false" outlineLevel="0" collapsed="false">
      <c r="M355" s="24" t="str">
        <f aca="false">IF($C355="","",IFERROR(INDEX(Account_Mapping!$C:$C,MATCH($C355&amp;"",Account_Mapping!$A:$A,0))&amp;"",""))</f>
        <v/>
      </c>
      <c r="N355" s="24" t="str">
        <f aca="false">IF($K355&lt;&gt;"",$K355,$M355)</f>
        <v/>
      </c>
      <c r="O355" s="24" t="str">
        <f aca="false">IF($F355="","",IFERROR(INDEX(Counterparties!$C:$C,MATCH($F355&amp;"",Counterparties!$A:$A,0))&amp;"",""))</f>
        <v/>
      </c>
      <c r="P355" s="24" t="str">
        <f aca="false">IF($O355="","",IF($O355="CY","CY",IF(ISNUMBER(MATCH($O355,Lists!$A:$A,0)),"EU","3RD")))</f>
        <v/>
      </c>
      <c r="Q355" s="24" t="str">
        <f aca="false">IF($F355="","N",IFERROR(IF(INDEX(Counterparties!$E:$E,MATCH($F355&amp;"",Counterparties!$A:$A,0))="Y","Y","N"),"N"))</f>
        <v>N</v>
      </c>
      <c r="R355" s="25" t="n">
        <f aca="false">IF(OR($H355="",$H355="EUR"),1,IFERROR(INDEX(FX_Rates!$D:$D,MATCH($H355,FX_Rates!$A:$A,0)),""))</f>
        <v>1</v>
      </c>
      <c r="S355" s="26" t="str">
        <f aca="false">IF(AND($I355="",$J355=""),"",IF($J355&lt;&gt;"",$J355,IF(OR($R355="",$R355=0),"",ROUND($I355/$R355,2))))</f>
        <v/>
      </c>
      <c r="T355" s="24" t="str">
        <f aca="false">IF($N355="","",IFERROR(INDEX(VAT_Codes!$C:$C,MATCH($N355,VAT_Codes!$A:$A,0)),"")&amp;"")</f>
        <v/>
      </c>
      <c r="U355" s="26" t="n">
        <f aca="false">IF(OR($S355="",$T355="",$T355="None"),0,IF($T355="Output",-$S355,$S355))</f>
        <v>0</v>
      </c>
      <c r="V355" s="27" t="n">
        <f aca="false">IF($N355="",0,IFERROR(INDEX(VAT_Codes!$D:$D,MATCH($N355,VAT_Codes!$A:$A,0)),0))</f>
        <v>0</v>
      </c>
      <c r="W355" s="26" t="n">
        <f aca="false">IF($U355=0,0,IF(IFERROR(INDEX(VAT_Codes!$F:$F,MATCH($N355,VAT_Codes!$A:$A,0)),"N")="Y",$U355,IF($L355&lt;&gt;"",ROUND(ABS($L355)/IF(OR($R355="",$R355=0),1,$R355),2)*SIGN($U355),ROUND($U355*$V355,2))))</f>
        <v>0</v>
      </c>
      <c r="X355" s="24" t="str">
        <f aca="false">IF($N355="","",IFERROR(INDEX(VAT_Codes!$H:$H,MATCH($N355,VAT_Codes!$A:$A,0)),"")&amp;"")</f>
        <v/>
      </c>
      <c r="Y355" s="24" t="str">
        <f aca="false">IF($A355="","",(YEAR($A355)-YEAR(Settings!$C$8))*12+MONTH($A355)-MONTH(Settings!$C$8)+1)</f>
        <v/>
      </c>
      <c r="Z355" s="24" t="str">
        <f aca="false">IF(AND($C355="",$I355="",$J355=""),"",IF($N355="","NO VAT CODE",IF($T355="","UNKNOWN VAT CODE",IF($S355="","MISSING FX RATE",IF(OR($A355&lt;Settings!$C$8,$A355&gt;Settings!$C$9),"OUTSIDE PERIOD",IF(AND(IFERROR(INDEX(VAT_Codes!$E:$E,MATCH($N355,VAT_Codes!$A:$A,0)),"ANY")&lt;&gt;"ANY",$P355=""),"MISSING COUNTERPARTY COUNTRY",IF(AND(IFERROR(INDEX(VAT_Codes!$E:$E,MATCH($N355,VAT_Codes!$A:$A,0)),"ANY")&lt;&gt;"ANY",$P355&lt;&gt;IFERROR(INDEX(VAT_Codes!$E:$E,MATCH($N355,VAT_Codes!$A:$A,0)),"ANY")),"REGION MISMATCH","OK")))))))</f>
        <v/>
      </c>
    </row>
    <row r="356" customFormat="false" ht="15" hidden="false" customHeight="false" outlineLevel="0" collapsed="false">
      <c r="M356" s="24" t="str">
        <f aca="false">IF($C356="","",IFERROR(INDEX(Account_Mapping!$C:$C,MATCH($C356&amp;"",Account_Mapping!$A:$A,0))&amp;"",""))</f>
        <v/>
      </c>
      <c r="N356" s="24" t="str">
        <f aca="false">IF($K356&lt;&gt;"",$K356,$M356)</f>
        <v/>
      </c>
      <c r="O356" s="24" t="str">
        <f aca="false">IF($F356="","",IFERROR(INDEX(Counterparties!$C:$C,MATCH($F356&amp;"",Counterparties!$A:$A,0))&amp;"",""))</f>
        <v/>
      </c>
      <c r="P356" s="24" t="str">
        <f aca="false">IF($O356="","",IF($O356="CY","CY",IF(ISNUMBER(MATCH($O356,Lists!$A:$A,0)),"EU","3RD")))</f>
        <v/>
      </c>
      <c r="Q356" s="24" t="str">
        <f aca="false">IF($F356="","N",IFERROR(IF(INDEX(Counterparties!$E:$E,MATCH($F356&amp;"",Counterparties!$A:$A,0))="Y","Y","N"),"N"))</f>
        <v>N</v>
      </c>
      <c r="R356" s="25" t="n">
        <f aca="false">IF(OR($H356="",$H356="EUR"),1,IFERROR(INDEX(FX_Rates!$D:$D,MATCH($H356,FX_Rates!$A:$A,0)),""))</f>
        <v>1</v>
      </c>
      <c r="S356" s="26" t="str">
        <f aca="false">IF(AND($I356="",$J356=""),"",IF($J356&lt;&gt;"",$J356,IF(OR($R356="",$R356=0),"",ROUND($I356/$R356,2))))</f>
        <v/>
      </c>
      <c r="T356" s="24" t="str">
        <f aca="false">IF($N356="","",IFERROR(INDEX(VAT_Codes!$C:$C,MATCH($N356,VAT_Codes!$A:$A,0)),"")&amp;"")</f>
        <v/>
      </c>
      <c r="U356" s="26" t="n">
        <f aca="false">IF(OR($S356="",$T356="",$T356="None"),0,IF($T356="Output",-$S356,$S356))</f>
        <v>0</v>
      </c>
      <c r="V356" s="27" t="n">
        <f aca="false">IF($N356="",0,IFERROR(INDEX(VAT_Codes!$D:$D,MATCH($N356,VAT_Codes!$A:$A,0)),0))</f>
        <v>0</v>
      </c>
      <c r="W356" s="26" t="n">
        <f aca="false">IF($U356=0,0,IF(IFERROR(INDEX(VAT_Codes!$F:$F,MATCH($N356,VAT_Codes!$A:$A,0)),"N")="Y",$U356,IF($L356&lt;&gt;"",ROUND(ABS($L356)/IF(OR($R356="",$R356=0),1,$R356),2)*SIGN($U356),ROUND($U356*$V356,2))))</f>
        <v>0</v>
      </c>
      <c r="X356" s="24" t="str">
        <f aca="false">IF($N356="","",IFERROR(INDEX(VAT_Codes!$H:$H,MATCH($N356,VAT_Codes!$A:$A,0)),"")&amp;"")</f>
        <v/>
      </c>
      <c r="Y356" s="24" t="str">
        <f aca="false">IF($A356="","",(YEAR($A356)-YEAR(Settings!$C$8))*12+MONTH($A356)-MONTH(Settings!$C$8)+1)</f>
        <v/>
      </c>
      <c r="Z356" s="24" t="str">
        <f aca="false">IF(AND($C356="",$I356="",$J356=""),"",IF($N356="","NO VAT CODE",IF($T356="","UNKNOWN VAT CODE",IF($S356="","MISSING FX RATE",IF(OR($A356&lt;Settings!$C$8,$A356&gt;Settings!$C$9),"OUTSIDE PERIOD",IF(AND(IFERROR(INDEX(VAT_Codes!$E:$E,MATCH($N356,VAT_Codes!$A:$A,0)),"ANY")&lt;&gt;"ANY",$P356=""),"MISSING COUNTERPARTY COUNTRY",IF(AND(IFERROR(INDEX(VAT_Codes!$E:$E,MATCH($N356,VAT_Codes!$A:$A,0)),"ANY")&lt;&gt;"ANY",$P356&lt;&gt;IFERROR(INDEX(VAT_Codes!$E:$E,MATCH($N356,VAT_Codes!$A:$A,0)),"ANY")),"REGION MISMATCH","OK")))))))</f>
        <v/>
      </c>
    </row>
    <row r="357" customFormat="false" ht="15" hidden="false" customHeight="false" outlineLevel="0" collapsed="false">
      <c r="M357" s="24" t="str">
        <f aca="false">IF($C357="","",IFERROR(INDEX(Account_Mapping!$C:$C,MATCH($C357&amp;"",Account_Mapping!$A:$A,0))&amp;"",""))</f>
        <v/>
      </c>
      <c r="N357" s="24" t="str">
        <f aca="false">IF($K357&lt;&gt;"",$K357,$M357)</f>
        <v/>
      </c>
      <c r="O357" s="24" t="str">
        <f aca="false">IF($F357="","",IFERROR(INDEX(Counterparties!$C:$C,MATCH($F357&amp;"",Counterparties!$A:$A,0))&amp;"",""))</f>
        <v/>
      </c>
      <c r="P357" s="24" t="str">
        <f aca="false">IF($O357="","",IF($O357="CY","CY",IF(ISNUMBER(MATCH($O357,Lists!$A:$A,0)),"EU","3RD")))</f>
        <v/>
      </c>
      <c r="Q357" s="24" t="str">
        <f aca="false">IF($F357="","N",IFERROR(IF(INDEX(Counterparties!$E:$E,MATCH($F357&amp;"",Counterparties!$A:$A,0))="Y","Y","N"),"N"))</f>
        <v>N</v>
      </c>
      <c r="R357" s="25" t="n">
        <f aca="false">IF(OR($H357="",$H357="EUR"),1,IFERROR(INDEX(FX_Rates!$D:$D,MATCH($H357,FX_Rates!$A:$A,0)),""))</f>
        <v>1</v>
      </c>
      <c r="S357" s="26" t="str">
        <f aca="false">IF(AND($I357="",$J357=""),"",IF($J357&lt;&gt;"",$J357,IF(OR($R357="",$R357=0),"",ROUND($I357/$R357,2))))</f>
        <v/>
      </c>
      <c r="T357" s="24" t="str">
        <f aca="false">IF($N357="","",IFERROR(INDEX(VAT_Codes!$C:$C,MATCH($N357,VAT_Codes!$A:$A,0)),"")&amp;"")</f>
        <v/>
      </c>
      <c r="U357" s="26" t="n">
        <f aca="false">IF(OR($S357="",$T357="",$T357="None"),0,IF($T357="Output",-$S357,$S357))</f>
        <v>0</v>
      </c>
      <c r="V357" s="27" t="n">
        <f aca="false">IF($N357="",0,IFERROR(INDEX(VAT_Codes!$D:$D,MATCH($N357,VAT_Codes!$A:$A,0)),0))</f>
        <v>0</v>
      </c>
      <c r="W357" s="26" t="n">
        <f aca="false">IF($U357=0,0,IF(IFERROR(INDEX(VAT_Codes!$F:$F,MATCH($N357,VAT_Codes!$A:$A,0)),"N")="Y",$U357,IF($L357&lt;&gt;"",ROUND(ABS($L357)/IF(OR($R357="",$R357=0),1,$R357),2)*SIGN($U357),ROUND($U357*$V357,2))))</f>
        <v>0</v>
      </c>
      <c r="X357" s="24" t="str">
        <f aca="false">IF($N357="","",IFERROR(INDEX(VAT_Codes!$H:$H,MATCH($N357,VAT_Codes!$A:$A,0)),"")&amp;"")</f>
        <v/>
      </c>
      <c r="Y357" s="24" t="str">
        <f aca="false">IF($A357="","",(YEAR($A357)-YEAR(Settings!$C$8))*12+MONTH($A357)-MONTH(Settings!$C$8)+1)</f>
        <v/>
      </c>
      <c r="Z357" s="24" t="str">
        <f aca="false">IF(AND($C357="",$I357="",$J357=""),"",IF($N357="","NO VAT CODE",IF($T357="","UNKNOWN VAT CODE",IF($S357="","MISSING FX RATE",IF(OR($A357&lt;Settings!$C$8,$A357&gt;Settings!$C$9),"OUTSIDE PERIOD",IF(AND(IFERROR(INDEX(VAT_Codes!$E:$E,MATCH($N357,VAT_Codes!$A:$A,0)),"ANY")&lt;&gt;"ANY",$P357=""),"MISSING COUNTERPARTY COUNTRY",IF(AND(IFERROR(INDEX(VAT_Codes!$E:$E,MATCH($N357,VAT_Codes!$A:$A,0)),"ANY")&lt;&gt;"ANY",$P357&lt;&gt;IFERROR(INDEX(VAT_Codes!$E:$E,MATCH($N357,VAT_Codes!$A:$A,0)),"ANY")),"REGION MISMATCH","OK")))))))</f>
        <v/>
      </c>
    </row>
    <row r="358" customFormat="false" ht="15" hidden="false" customHeight="false" outlineLevel="0" collapsed="false">
      <c r="M358" s="24" t="str">
        <f aca="false">IF($C358="","",IFERROR(INDEX(Account_Mapping!$C:$C,MATCH($C358&amp;"",Account_Mapping!$A:$A,0))&amp;"",""))</f>
        <v/>
      </c>
      <c r="N358" s="24" t="str">
        <f aca="false">IF($K358&lt;&gt;"",$K358,$M358)</f>
        <v/>
      </c>
      <c r="O358" s="24" t="str">
        <f aca="false">IF($F358="","",IFERROR(INDEX(Counterparties!$C:$C,MATCH($F358&amp;"",Counterparties!$A:$A,0))&amp;"",""))</f>
        <v/>
      </c>
      <c r="P358" s="24" t="str">
        <f aca="false">IF($O358="","",IF($O358="CY","CY",IF(ISNUMBER(MATCH($O358,Lists!$A:$A,0)),"EU","3RD")))</f>
        <v/>
      </c>
      <c r="Q358" s="24" t="str">
        <f aca="false">IF($F358="","N",IFERROR(IF(INDEX(Counterparties!$E:$E,MATCH($F358&amp;"",Counterparties!$A:$A,0))="Y","Y","N"),"N"))</f>
        <v>N</v>
      </c>
      <c r="R358" s="25" t="n">
        <f aca="false">IF(OR($H358="",$H358="EUR"),1,IFERROR(INDEX(FX_Rates!$D:$D,MATCH($H358,FX_Rates!$A:$A,0)),""))</f>
        <v>1</v>
      </c>
      <c r="S358" s="26" t="str">
        <f aca="false">IF(AND($I358="",$J358=""),"",IF($J358&lt;&gt;"",$J358,IF(OR($R358="",$R358=0),"",ROUND($I358/$R358,2))))</f>
        <v/>
      </c>
      <c r="T358" s="24" t="str">
        <f aca="false">IF($N358="","",IFERROR(INDEX(VAT_Codes!$C:$C,MATCH($N358,VAT_Codes!$A:$A,0)),"")&amp;"")</f>
        <v/>
      </c>
      <c r="U358" s="26" t="n">
        <f aca="false">IF(OR($S358="",$T358="",$T358="None"),0,IF($T358="Output",-$S358,$S358))</f>
        <v>0</v>
      </c>
      <c r="V358" s="27" t="n">
        <f aca="false">IF($N358="",0,IFERROR(INDEX(VAT_Codes!$D:$D,MATCH($N358,VAT_Codes!$A:$A,0)),0))</f>
        <v>0</v>
      </c>
      <c r="W358" s="26" t="n">
        <f aca="false">IF($U358=0,0,IF(IFERROR(INDEX(VAT_Codes!$F:$F,MATCH($N358,VAT_Codes!$A:$A,0)),"N")="Y",$U358,IF($L358&lt;&gt;"",ROUND(ABS($L358)/IF(OR($R358="",$R358=0),1,$R358),2)*SIGN($U358),ROUND($U358*$V358,2))))</f>
        <v>0</v>
      </c>
      <c r="X358" s="24" t="str">
        <f aca="false">IF($N358="","",IFERROR(INDEX(VAT_Codes!$H:$H,MATCH($N358,VAT_Codes!$A:$A,0)),"")&amp;"")</f>
        <v/>
      </c>
      <c r="Y358" s="24" t="str">
        <f aca="false">IF($A358="","",(YEAR($A358)-YEAR(Settings!$C$8))*12+MONTH($A358)-MONTH(Settings!$C$8)+1)</f>
        <v/>
      </c>
      <c r="Z358" s="24" t="str">
        <f aca="false">IF(AND($C358="",$I358="",$J358=""),"",IF($N358="","NO VAT CODE",IF($T358="","UNKNOWN VAT CODE",IF($S358="","MISSING FX RATE",IF(OR($A358&lt;Settings!$C$8,$A358&gt;Settings!$C$9),"OUTSIDE PERIOD",IF(AND(IFERROR(INDEX(VAT_Codes!$E:$E,MATCH($N358,VAT_Codes!$A:$A,0)),"ANY")&lt;&gt;"ANY",$P358=""),"MISSING COUNTERPARTY COUNTRY",IF(AND(IFERROR(INDEX(VAT_Codes!$E:$E,MATCH($N358,VAT_Codes!$A:$A,0)),"ANY")&lt;&gt;"ANY",$P358&lt;&gt;IFERROR(INDEX(VAT_Codes!$E:$E,MATCH($N358,VAT_Codes!$A:$A,0)),"ANY")),"REGION MISMATCH","OK")))))))</f>
        <v/>
      </c>
    </row>
    <row r="359" customFormat="false" ht="15" hidden="false" customHeight="false" outlineLevel="0" collapsed="false">
      <c r="M359" s="24" t="str">
        <f aca="false">IF($C359="","",IFERROR(INDEX(Account_Mapping!$C:$C,MATCH($C359&amp;"",Account_Mapping!$A:$A,0))&amp;"",""))</f>
        <v/>
      </c>
      <c r="N359" s="24" t="str">
        <f aca="false">IF($K359&lt;&gt;"",$K359,$M359)</f>
        <v/>
      </c>
      <c r="O359" s="24" t="str">
        <f aca="false">IF($F359="","",IFERROR(INDEX(Counterparties!$C:$C,MATCH($F359&amp;"",Counterparties!$A:$A,0))&amp;"",""))</f>
        <v/>
      </c>
      <c r="P359" s="24" t="str">
        <f aca="false">IF($O359="","",IF($O359="CY","CY",IF(ISNUMBER(MATCH($O359,Lists!$A:$A,0)),"EU","3RD")))</f>
        <v/>
      </c>
      <c r="Q359" s="24" t="str">
        <f aca="false">IF($F359="","N",IFERROR(IF(INDEX(Counterparties!$E:$E,MATCH($F359&amp;"",Counterparties!$A:$A,0))="Y","Y","N"),"N"))</f>
        <v>N</v>
      </c>
      <c r="R359" s="25" t="n">
        <f aca="false">IF(OR($H359="",$H359="EUR"),1,IFERROR(INDEX(FX_Rates!$D:$D,MATCH($H359,FX_Rates!$A:$A,0)),""))</f>
        <v>1</v>
      </c>
      <c r="S359" s="26" t="str">
        <f aca="false">IF(AND($I359="",$J359=""),"",IF($J359&lt;&gt;"",$J359,IF(OR($R359="",$R359=0),"",ROUND($I359/$R359,2))))</f>
        <v/>
      </c>
      <c r="T359" s="24" t="str">
        <f aca="false">IF($N359="","",IFERROR(INDEX(VAT_Codes!$C:$C,MATCH($N359,VAT_Codes!$A:$A,0)),"")&amp;"")</f>
        <v/>
      </c>
      <c r="U359" s="26" t="n">
        <f aca="false">IF(OR($S359="",$T359="",$T359="None"),0,IF($T359="Output",-$S359,$S359))</f>
        <v>0</v>
      </c>
      <c r="V359" s="27" t="n">
        <f aca="false">IF($N359="",0,IFERROR(INDEX(VAT_Codes!$D:$D,MATCH($N359,VAT_Codes!$A:$A,0)),0))</f>
        <v>0</v>
      </c>
      <c r="W359" s="26" t="n">
        <f aca="false">IF($U359=0,0,IF(IFERROR(INDEX(VAT_Codes!$F:$F,MATCH($N359,VAT_Codes!$A:$A,0)),"N")="Y",$U359,IF($L359&lt;&gt;"",ROUND(ABS($L359)/IF(OR($R359="",$R359=0),1,$R359),2)*SIGN($U359),ROUND($U359*$V359,2))))</f>
        <v>0</v>
      </c>
      <c r="X359" s="24" t="str">
        <f aca="false">IF($N359="","",IFERROR(INDEX(VAT_Codes!$H:$H,MATCH($N359,VAT_Codes!$A:$A,0)),"")&amp;"")</f>
        <v/>
      </c>
      <c r="Y359" s="24" t="str">
        <f aca="false">IF($A359="","",(YEAR($A359)-YEAR(Settings!$C$8))*12+MONTH($A359)-MONTH(Settings!$C$8)+1)</f>
        <v/>
      </c>
      <c r="Z359" s="24" t="str">
        <f aca="false">IF(AND($C359="",$I359="",$J359=""),"",IF($N359="","NO VAT CODE",IF($T359="","UNKNOWN VAT CODE",IF($S359="","MISSING FX RATE",IF(OR($A359&lt;Settings!$C$8,$A359&gt;Settings!$C$9),"OUTSIDE PERIOD",IF(AND(IFERROR(INDEX(VAT_Codes!$E:$E,MATCH($N359,VAT_Codes!$A:$A,0)),"ANY")&lt;&gt;"ANY",$P359=""),"MISSING COUNTERPARTY COUNTRY",IF(AND(IFERROR(INDEX(VAT_Codes!$E:$E,MATCH($N359,VAT_Codes!$A:$A,0)),"ANY")&lt;&gt;"ANY",$P359&lt;&gt;IFERROR(INDEX(VAT_Codes!$E:$E,MATCH($N359,VAT_Codes!$A:$A,0)),"ANY")),"REGION MISMATCH","OK")))))))</f>
        <v/>
      </c>
    </row>
    <row r="360" customFormat="false" ht="15" hidden="false" customHeight="false" outlineLevel="0" collapsed="false">
      <c r="M360" s="24" t="str">
        <f aca="false">IF($C360="","",IFERROR(INDEX(Account_Mapping!$C:$C,MATCH($C360&amp;"",Account_Mapping!$A:$A,0))&amp;"",""))</f>
        <v/>
      </c>
      <c r="N360" s="24" t="str">
        <f aca="false">IF($K360&lt;&gt;"",$K360,$M360)</f>
        <v/>
      </c>
      <c r="O360" s="24" t="str">
        <f aca="false">IF($F360="","",IFERROR(INDEX(Counterparties!$C:$C,MATCH($F360&amp;"",Counterparties!$A:$A,0))&amp;"",""))</f>
        <v/>
      </c>
      <c r="P360" s="24" t="str">
        <f aca="false">IF($O360="","",IF($O360="CY","CY",IF(ISNUMBER(MATCH($O360,Lists!$A:$A,0)),"EU","3RD")))</f>
        <v/>
      </c>
      <c r="Q360" s="24" t="str">
        <f aca="false">IF($F360="","N",IFERROR(IF(INDEX(Counterparties!$E:$E,MATCH($F360&amp;"",Counterparties!$A:$A,0))="Y","Y","N"),"N"))</f>
        <v>N</v>
      </c>
      <c r="R360" s="25" t="n">
        <f aca="false">IF(OR($H360="",$H360="EUR"),1,IFERROR(INDEX(FX_Rates!$D:$D,MATCH($H360,FX_Rates!$A:$A,0)),""))</f>
        <v>1</v>
      </c>
      <c r="S360" s="26" t="str">
        <f aca="false">IF(AND($I360="",$J360=""),"",IF($J360&lt;&gt;"",$J360,IF(OR($R360="",$R360=0),"",ROUND($I360/$R360,2))))</f>
        <v/>
      </c>
      <c r="T360" s="24" t="str">
        <f aca="false">IF($N360="","",IFERROR(INDEX(VAT_Codes!$C:$C,MATCH($N360,VAT_Codes!$A:$A,0)),"")&amp;"")</f>
        <v/>
      </c>
      <c r="U360" s="26" t="n">
        <f aca="false">IF(OR($S360="",$T360="",$T360="None"),0,IF($T360="Output",-$S360,$S360))</f>
        <v>0</v>
      </c>
      <c r="V360" s="27" t="n">
        <f aca="false">IF($N360="",0,IFERROR(INDEX(VAT_Codes!$D:$D,MATCH($N360,VAT_Codes!$A:$A,0)),0))</f>
        <v>0</v>
      </c>
      <c r="W360" s="26" t="n">
        <f aca="false">IF($U360=0,0,IF(IFERROR(INDEX(VAT_Codes!$F:$F,MATCH($N360,VAT_Codes!$A:$A,0)),"N")="Y",$U360,IF($L360&lt;&gt;"",ROUND(ABS($L360)/IF(OR($R360="",$R360=0),1,$R360),2)*SIGN($U360),ROUND($U360*$V360,2))))</f>
        <v>0</v>
      </c>
      <c r="X360" s="24" t="str">
        <f aca="false">IF($N360="","",IFERROR(INDEX(VAT_Codes!$H:$H,MATCH($N360,VAT_Codes!$A:$A,0)),"")&amp;"")</f>
        <v/>
      </c>
      <c r="Y360" s="24" t="str">
        <f aca="false">IF($A360="","",(YEAR($A360)-YEAR(Settings!$C$8))*12+MONTH($A360)-MONTH(Settings!$C$8)+1)</f>
        <v/>
      </c>
      <c r="Z360" s="24" t="str">
        <f aca="false">IF(AND($C360="",$I360="",$J360=""),"",IF($N360="","NO VAT CODE",IF($T360="","UNKNOWN VAT CODE",IF($S360="","MISSING FX RATE",IF(OR($A360&lt;Settings!$C$8,$A360&gt;Settings!$C$9),"OUTSIDE PERIOD",IF(AND(IFERROR(INDEX(VAT_Codes!$E:$E,MATCH($N360,VAT_Codes!$A:$A,0)),"ANY")&lt;&gt;"ANY",$P360=""),"MISSING COUNTERPARTY COUNTRY",IF(AND(IFERROR(INDEX(VAT_Codes!$E:$E,MATCH($N360,VAT_Codes!$A:$A,0)),"ANY")&lt;&gt;"ANY",$P360&lt;&gt;IFERROR(INDEX(VAT_Codes!$E:$E,MATCH($N360,VAT_Codes!$A:$A,0)),"ANY")),"REGION MISMATCH","OK")))))))</f>
        <v/>
      </c>
    </row>
    <row r="361" customFormat="false" ht="15" hidden="false" customHeight="false" outlineLevel="0" collapsed="false">
      <c r="M361" s="24" t="str">
        <f aca="false">IF($C361="","",IFERROR(INDEX(Account_Mapping!$C:$C,MATCH($C361&amp;"",Account_Mapping!$A:$A,0))&amp;"",""))</f>
        <v/>
      </c>
      <c r="N361" s="24" t="str">
        <f aca="false">IF($K361&lt;&gt;"",$K361,$M361)</f>
        <v/>
      </c>
      <c r="O361" s="24" t="str">
        <f aca="false">IF($F361="","",IFERROR(INDEX(Counterparties!$C:$C,MATCH($F361&amp;"",Counterparties!$A:$A,0))&amp;"",""))</f>
        <v/>
      </c>
      <c r="P361" s="24" t="str">
        <f aca="false">IF($O361="","",IF($O361="CY","CY",IF(ISNUMBER(MATCH($O361,Lists!$A:$A,0)),"EU","3RD")))</f>
        <v/>
      </c>
      <c r="Q361" s="24" t="str">
        <f aca="false">IF($F361="","N",IFERROR(IF(INDEX(Counterparties!$E:$E,MATCH($F361&amp;"",Counterparties!$A:$A,0))="Y","Y","N"),"N"))</f>
        <v>N</v>
      </c>
      <c r="R361" s="25" t="n">
        <f aca="false">IF(OR($H361="",$H361="EUR"),1,IFERROR(INDEX(FX_Rates!$D:$D,MATCH($H361,FX_Rates!$A:$A,0)),""))</f>
        <v>1</v>
      </c>
      <c r="S361" s="26" t="str">
        <f aca="false">IF(AND($I361="",$J361=""),"",IF($J361&lt;&gt;"",$J361,IF(OR($R361="",$R361=0),"",ROUND($I361/$R361,2))))</f>
        <v/>
      </c>
      <c r="T361" s="24" t="str">
        <f aca="false">IF($N361="","",IFERROR(INDEX(VAT_Codes!$C:$C,MATCH($N361,VAT_Codes!$A:$A,0)),"")&amp;"")</f>
        <v/>
      </c>
      <c r="U361" s="26" t="n">
        <f aca="false">IF(OR($S361="",$T361="",$T361="None"),0,IF($T361="Output",-$S361,$S361))</f>
        <v>0</v>
      </c>
      <c r="V361" s="27" t="n">
        <f aca="false">IF($N361="",0,IFERROR(INDEX(VAT_Codes!$D:$D,MATCH($N361,VAT_Codes!$A:$A,0)),0))</f>
        <v>0</v>
      </c>
      <c r="W361" s="26" t="n">
        <f aca="false">IF($U361=0,0,IF(IFERROR(INDEX(VAT_Codes!$F:$F,MATCH($N361,VAT_Codes!$A:$A,0)),"N")="Y",$U361,IF($L361&lt;&gt;"",ROUND(ABS($L361)/IF(OR($R361="",$R361=0),1,$R361),2)*SIGN($U361),ROUND($U361*$V361,2))))</f>
        <v>0</v>
      </c>
      <c r="X361" s="24" t="str">
        <f aca="false">IF($N361="","",IFERROR(INDEX(VAT_Codes!$H:$H,MATCH($N361,VAT_Codes!$A:$A,0)),"")&amp;"")</f>
        <v/>
      </c>
      <c r="Y361" s="24" t="str">
        <f aca="false">IF($A361="","",(YEAR($A361)-YEAR(Settings!$C$8))*12+MONTH($A361)-MONTH(Settings!$C$8)+1)</f>
        <v/>
      </c>
      <c r="Z361" s="24" t="str">
        <f aca="false">IF(AND($C361="",$I361="",$J361=""),"",IF($N361="","NO VAT CODE",IF($T361="","UNKNOWN VAT CODE",IF($S361="","MISSING FX RATE",IF(OR($A361&lt;Settings!$C$8,$A361&gt;Settings!$C$9),"OUTSIDE PERIOD",IF(AND(IFERROR(INDEX(VAT_Codes!$E:$E,MATCH($N361,VAT_Codes!$A:$A,0)),"ANY")&lt;&gt;"ANY",$P361=""),"MISSING COUNTERPARTY COUNTRY",IF(AND(IFERROR(INDEX(VAT_Codes!$E:$E,MATCH($N361,VAT_Codes!$A:$A,0)),"ANY")&lt;&gt;"ANY",$P361&lt;&gt;IFERROR(INDEX(VAT_Codes!$E:$E,MATCH($N361,VAT_Codes!$A:$A,0)),"ANY")),"REGION MISMATCH","OK")))))))</f>
        <v/>
      </c>
    </row>
    <row r="362" customFormat="false" ht="15" hidden="false" customHeight="false" outlineLevel="0" collapsed="false">
      <c r="M362" s="24" t="str">
        <f aca="false">IF($C362="","",IFERROR(INDEX(Account_Mapping!$C:$C,MATCH($C362&amp;"",Account_Mapping!$A:$A,0))&amp;"",""))</f>
        <v/>
      </c>
      <c r="N362" s="24" t="str">
        <f aca="false">IF($K362&lt;&gt;"",$K362,$M362)</f>
        <v/>
      </c>
      <c r="O362" s="24" t="str">
        <f aca="false">IF($F362="","",IFERROR(INDEX(Counterparties!$C:$C,MATCH($F362&amp;"",Counterparties!$A:$A,0))&amp;"",""))</f>
        <v/>
      </c>
      <c r="P362" s="24" t="str">
        <f aca="false">IF($O362="","",IF($O362="CY","CY",IF(ISNUMBER(MATCH($O362,Lists!$A:$A,0)),"EU","3RD")))</f>
        <v/>
      </c>
      <c r="Q362" s="24" t="str">
        <f aca="false">IF($F362="","N",IFERROR(IF(INDEX(Counterparties!$E:$E,MATCH($F362&amp;"",Counterparties!$A:$A,0))="Y","Y","N"),"N"))</f>
        <v>N</v>
      </c>
      <c r="R362" s="25" t="n">
        <f aca="false">IF(OR($H362="",$H362="EUR"),1,IFERROR(INDEX(FX_Rates!$D:$D,MATCH($H362,FX_Rates!$A:$A,0)),""))</f>
        <v>1</v>
      </c>
      <c r="S362" s="26" t="str">
        <f aca="false">IF(AND($I362="",$J362=""),"",IF($J362&lt;&gt;"",$J362,IF(OR($R362="",$R362=0),"",ROUND($I362/$R362,2))))</f>
        <v/>
      </c>
      <c r="T362" s="24" t="str">
        <f aca="false">IF($N362="","",IFERROR(INDEX(VAT_Codes!$C:$C,MATCH($N362,VAT_Codes!$A:$A,0)),"")&amp;"")</f>
        <v/>
      </c>
      <c r="U362" s="26" t="n">
        <f aca="false">IF(OR($S362="",$T362="",$T362="None"),0,IF($T362="Output",-$S362,$S362))</f>
        <v>0</v>
      </c>
      <c r="V362" s="27" t="n">
        <f aca="false">IF($N362="",0,IFERROR(INDEX(VAT_Codes!$D:$D,MATCH($N362,VAT_Codes!$A:$A,0)),0))</f>
        <v>0</v>
      </c>
      <c r="W362" s="26" t="n">
        <f aca="false">IF($U362=0,0,IF(IFERROR(INDEX(VAT_Codes!$F:$F,MATCH($N362,VAT_Codes!$A:$A,0)),"N")="Y",$U362,IF($L362&lt;&gt;"",ROUND(ABS($L362)/IF(OR($R362="",$R362=0),1,$R362),2)*SIGN($U362),ROUND($U362*$V362,2))))</f>
        <v>0</v>
      </c>
      <c r="X362" s="24" t="str">
        <f aca="false">IF($N362="","",IFERROR(INDEX(VAT_Codes!$H:$H,MATCH($N362,VAT_Codes!$A:$A,0)),"")&amp;"")</f>
        <v/>
      </c>
      <c r="Y362" s="24" t="str">
        <f aca="false">IF($A362="","",(YEAR($A362)-YEAR(Settings!$C$8))*12+MONTH($A362)-MONTH(Settings!$C$8)+1)</f>
        <v/>
      </c>
      <c r="Z362" s="24" t="str">
        <f aca="false">IF(AND($C362="",$I362="",$J362=""),"",IF($N362="","NO VAT CODE",IF($T362="","UNKNOWN VAT CODE",IF($S362="","MISSING FX RATE",IF(OR($A362&lt;Settings!$C$8,$A362&gt;Settings!$C$9),"OUTSIDE PERIOD",IF(AND(IFERROR(INDEX(VAT_Codes!$E:$E,MATCH($N362,VAT_Codes!$A:$A,0)),"ANY")&lt;&gt;"ANY",$P362=""),"MISSING COUNTERPARTY COUNTRY",IF(AND(IFERROR(INDEX(VAT_Codes!$E:$E,MATCH($N362,VAT_Codes!$A:$A,0)),"ANY")&lt;&gt;"ANY",$P362&lt;&gt;IFERROR(INDEX(VAT_Codes!$E:$E,MATCH($N362,VAT_Codes!$A:$A,0)),"ANY")),"REGION MISMATCH","OK")))))))</f>
        <v/>
      </c>
    </row>
    <row r="363" customFormat="false" ht="15" hidden="false" customHeight="false" outlineLevel="0" collapsed="false">
      <c r="M363" s="24" t="str">
        <f aca="false">IF($C363="","",IFERROR(INDEX(Account_Mapping!$C:$C,MATCH($C363&amp;"",Account_Mapping!$A:$A,0))&amp;"",""))</f>
        <v/>
      </c>
      <c r="N363" s="24" t="str">
        <f aca="false">IF($K363&lt;&gt;"",$K363,$M363)</f>
        <v/>
      </c>
      <c r="O363" s="24" t="str">
        <f aca="false">IF($F363="","",IFERROR(INDEX(Counterparties!$C:$C,MATCH($F363&amp;"",Counterparties!$A:$A,0))&amp;"",""))</f>
        <v/>
      </c>
      <c r="P363" s="24" t="str">
        <f aca="false">IF($O363="","",IF($O363="CY","CY",IF(ISNUMBER(MATCH($O363,Lists!$A:$A,0)),"EU","3RD")))</f>
        <v/>
      </c>
      <c r="Q363" s="24" t="str">
        <f aca="false">IF($F363="","N",IFERROR(IF(INDEX(Counterparties!$E:$E,MATCH($F363&amp;"",Counterparties!$A:$A,0))="Y","Y","N"),"N"))</f>
        <v>N</v>
      </c>
      <c r="R363" s="25" t="n">
        <f aca="false">IF(OR($H363="",$H363="EUR"),1,IFERROR(INDEX(FX_Rates!$D:$D,MATCH($H363,FX_Rates!$A:$A,0)),""))</f>
        <v>1</v>
      </c>
      <c r="S363" s="26" t="str">
        <f aca="false">IF(AND($I363="",$J363=""),"",IF($J363&lt;&gt;"",$J363,IF(OR($R363="",$R363=0),"",ROUND($I363/$R363,2))))</f>
        <v/>
      </c>
      <c r="T363" s="24" t="str">
        <f aca="false">IF($N363="","",IFERROR(INDEX(VAT_Codes!$C:$C,MATCH($N363,VAT_Codes!$A:$A,0)),"")&amp;"")</f>
        <v/>
      </c>
      <c r="U363" s="26" t="n">
        <f aca="false">IF(OR($S363="",$T363="",$T363="None"),0,IF($T363="Output",-$S363,$S363))</f>
        <v>0</v>
      </c>
      <c r="V363" s="27" t="n">
        <f aca="false">IF($N363="",0,IFERROR(INDEX(VAT_Codes!$D:$D,MATCH($N363,VAT_Codes!$A:$A,0)),0))</f>
        <v>0</v>
      </c>
      <c r="W363" s="26" t="n">
        <f aca="false">IF($U363=0,0,IF(IFERROR(INDEX(VAT_Codes!$F:$F,MATCH($N363,VAT_Codes!$A:$A,0)),"N")="Y",$U363,IF($L363&lt;&gt;"",ROUND(ABS($L363)/IF(OR($R363="",$R363=0),1,$R363),2)*SIGN($U363),ROUND($U363*$V363,2))))</f>
        <v>0</v>
      </c>
      <c r="X363" s="24" t="str">
        <f aca="false">IF($N363="","",IFERROR(INDEX(VAT_Codes!$H:$H,MATCH($N363,VAT_Codes!$A:$A,0)),"")&amp;"")</f>
        <v/>
      </c>
      <c r="Y363" s="24" t="str">
        <f aca="false">IF($A363="","",(YEAR($A363)-YEAR(Settings!$C$8))*12+MONTH($A363)-MONTH(Settings!$C$8)+1)</f>
        <v/>
      </c>
      <c r="Z363" s="24" t="str">
        <f aca="false">IF(AND($C363="",$I363="",$J363=""),"",IF($N363="","NO VAT CODE",IF($T363="","UNKNOWN VAT CODE",IF($S363="","MISSING FX RATE",IF(OR($A363&lt;Settings!$C$8,$A363&gt;Settings!$C$9),"OUTSIDE PERIOD",IF(AND(IFERROR(INDEX(VAT_Codes!$E:$E,MATCH($N363,VAT_Codes!$A:$A,0)),"ANY")&lt;&gt;"ANY",$P363=""),"MISSING COUNTERPARTY COUNTRY",IF(AND(IFERROR(INDEX(VAT_Codes!$E:$E,MATCH($N363,VAT_Codes!$A:$A,0)),"ANY")&lt;&gt;"ANY",$P363&lt;&gt;IFERROR(INDEX(VAT_Codes!$E:$E,MATCH($N363,VAT_Codes!$A:$A,0)),"ANY")),"REGION MISMATCH","OK")))))))</f>
        <v/>
      </c>
    </row>
    <row r="364" customFormat="false" ht="15" hidden="false" customHeight="false" outlineLevel="0" collapsed="false">
      <c r="M364" s="24" t="str">
        <f aca="false">IF($C364="","",IFERROR(INDEX(Account_Mapping!$C:$C,MATCH($C364&amp;"",Account_Mapping!$A:$A,0))&amp;"",""))</f>
        <v/>
      </c>
      <c r="N364" s="24" t="str">
        <f aca="false">IF($K364&lt;&gt;"",$K364,$M364)</f>
        <v/>
      </c>
      <c r="O364" s="24" t="str">
        <f aca="false">IF($F364="","",IFERROR(INDEX(Counterparties!$C:$C,MATCH($F364&amp;"",Counterparties!$A:$A,0))&amp;"",""))</f>
        <v/>
      </c>
      <c r="P364" s="24" t="str">
        <f aca="false">IF($O364="","",IF($O364="CY","CY",IF(ISNUMBER(MATCH($O364,Lists!$A:$A,0)),"EU","3RD")))</f>
        <v/>
      </c>
      <c r="Q364" s="24" t="str">
        <f aca="false">IF($F364="","N",IFERROR(IF(INDEX(Counterparties!$E:$E,MATCH($F364&amp;"",Counterparties!$A:$A,0))="Y","Y","N"),"N"))</f>
        <v>N</v>
      </c>
      <c r="R364" s="25" t="n">
        <f aca="false">IF(OR($H364="",$H364="EUR"),1,IFERROR(INDEX(FX_Rates!$D:$D,MATCH($H364,FX_Rates!$A:$A,0)),""))</f>
        <v>1</v>
      </c>
      <c r="S364" s="26" t="str">
        <f aca="false">IF(AND($I364="",$J364=""),"",IF($J364&lt;&gt;"",$J364,IF(OR($R364="",$R364=0),"",ROUND($I364/$R364,2))))</f>
        <v/>
      </c>
      <c r="T364" s="24" t="str">
        <f aca="false">IF($N364="","",IFERROR(INDEX(VAT_Codes!$C:$C,MATCH($N364,VAT_Codes!$A:$A,0)),"")&amp;"")</f>
        <v/>
      </c>
      <c r="U364" s="26" t="n">
        <f aca="false">IF(OR($S364="",$T364="",$T364="None"),0,IF($T364="Output",-$S364,$S364))</f>
        <v>0</v>
      </c>
      <c r="V364" s="27" t="n">
        <f aca="false">IF($N364="",0,IFERROR(INDEX(VAT_Codes!$D:$D,MATCH($N364,VAT_Codes!$A:$A,0)),0))</f>
        <v>0</v>
      </c>
      <c r="W364" s="26" t="n">
        <f aca="false">IF($U364=0,0,IF(IFERROR(INDEX(VAT_Codes!$F:$F,MATCH($N364,VAT_Codes!$A:$A,0)),"N")="Y",$U364,IF($L364&lt;&gt;"",ROUND(ABS($L364)/IF(OR($R364="",$R364=0),1,$R364),2)*SIGN($U364),ROUND($U364*$V364,2))))</f>
        <v>0</v>
      </c>
      <c r="X364" s="24" t="str">
        <f aca="false">IF($N364="","",IFERROR(INDEX(VAT_Codes!$H:$H,MATCH($N364,VAT_Codes!$A:$A,0)),"")&amp;"")</f>
        <v/>
      </c>
      <c r="Y364" s="24" t="str">
        <f aca="false">IF($A364="","",(YEAR($A364)-YEAR(Settings!$C$8))*12+MONTH($A364)-MONTH(Settings!$C$8)+1)</f>
        <v/>
      </c>
      <c r="Z364" s="24" t="str">
        <f aca="false">IF(AND($C364="",$I364="",$J364=""),"",IF($N364="","NO VAT CODE",IF($T364="","UNKNOWN VAT CODE",IF($S364="","MISSING FX RATE",IF(OR($A364&lt;Settings!$C$8,$A364&gt;Settings!$C$9),"OUTSIDE PERIOD",IF(AND(IFERROR(INDEX(VAT_Codes!$E:$E,MATCH($N364,VAT_Codes!$A:$A,0)),"ANY")&lt;&gt;"ANY",$P364=""),"MISSING COUNTERPARTY COUNTRY",IF(AND(IFERROR(INDEX(VAT_Codes!$E:$E,MATCH($N364,VAT_Codes!$A:$A,0)),"ANY")&lt;&gt;"ANY",$P364&lt;&gt;IFERROR(INDEX(VAT_Codes!$E:$E,MATCH($N364,VAT_Codes!$A:$A,0)),"ANY")),"REGION MISMATCH","OK")))))))</f>
        <v/>
      </c>
    </row>
    <row r="365" customFormat="false" ht="15" hidden="false" customHeight="false" outlineLevel="0" collapsed="false">
      <c r="M365" s="24" t="str">
        <f aca="false">IF($C365="","",IFERROR(INDEX(Account_Mapping!$C:$C,MATCH($C365&amp;"",Account_Mapping!$A:$A,0))&amp;"",""))</f>
        <v/>
      </c>
      <c r="N365" s="24" t="str">
        <f aca="false">IF($K365&lt;&gt;"",$K365,$M365)</f>
        <v/>
      </c>
      <c r="O365" s="24" t="str">
        <f aca="false">IF($F365="","",IFERROR(INDEX(Counterparties!$C:$C,MATCH($F365&amp;"",Counterparties!$A:$A,0))&amp;"",""))</f>
        <v/>
      </c>
      <c r="P365" s="24" t="str">
        <f aca="false">IF($O365="","",IF($O365="CY","CY",IF(ISNUMBER(MATCH($O365,Lists!$A:$A,0)),"EU","3RD")))</f>
        <v/>
      </c>
      <c r="Q365" s="24" t="str">
        <f aca="false">IF($F365="","N",IFERROR(IF(INDEX(Counterparties!$E:$E,MATCH($F365&amp;"",Counterparties!$A:$A,0))="Y","Y","N"),"N"))</f>
        <v>N</v>
      </c>
      <c r="R365" s="25" t="n">
        <f aca="false">IF(OR($H365="",$H365="EUR"),1,IFERROR(INDEX(FX_Rates!$D:$D,MATCH($H365,FX_Rates!$A:$A,0)),""))</f>
        <v>1</v>
      </c>
      <c r="S365" s="26" t="str">
        <f aca="false">IF(AND($I365="",$J365=""),"",IF($J365&lt;&gt;"",$J365,IF(OR($R365="",$R365=0),"",ROUND($I365/$R365,2))))</f>
        <v/>
      </c>
      <c r="T365" s="24" t="str">
        <f aca="false">IF($N365="","",IFERROR(INDEX(VAT_Codes!$C:$C,MATCH($N365,VAT_Codes!$A:$A,0)),"")&amp;"")</f>
        <v/>
      </c>
      <c r="U365" s="26" t="n">
        <f aca="false">IF(OR($S365="",$T365="",$T365="None"),0,IF($T365="Output",-$S365,$S365))</f>
        <v>0</v>
      </c>
      <c r="V365" s="27" t="n">
        <f aca="false">IF($N365="",0,IFERROR(INDEX(VAT_Codes!$D:$D,MATCH($N365,VAT_Codes!$A:$A,0)),0))</f>
        <v>0</v>
      </c>
      <c r="W365" s="26" t="n">
        <f aca="false">IF($U365=0,0,IF(IFERROR(INDEX(VAT_Codes!$F:$F,MATCH($N365,VAT_Codes!$A:$A,0)),"N")="Y",$U365,IF($L365&lt;&gt;"",ROUND(ABS($L365)/IF(OR($R365="",$R365=0),1,$R365),2)*SIGN($U365),ROUND($U365*$V365,2))))</f>
        <v>0</v>
      </c>
      <c r="X365" s="24" t="str">
        <f aca="false">IF($N365="","",IFERROR(INDEX(VAT_Codes!$H:$H,MATCH($N365,VAT_Codes!$A:$A,0)),"")&amp;"")</f>
        <v/>
      </c>
      <c r="Y365" s="24" t="str">
        <f aca="false">IF($A365="","",(YEAR($A365)-YEAR(Settings!$C$8))*12+MONTH($A365)-MONTH(Settings!$C$8)+1)</f>
        <v/>
      </c>
      <c r="Z365" s="24" t="str">
        <f aca="false">IF(AND($C365="",$I365="",$J365=""),"",IF($N365="","NO VAT CODE",IF($T365="","UNKNOWN VAT CODE",IF($S365="","MISSING FX RATE",IF(OR($A365&lt;Settings!$C$8,$A365&gt;Settings!$C$9),"OUTSIDE PERIOD",IF(AND(IFERROR(INDEX(VAT_Codes!$E:$E,MATCH($N365,VAT_Codes!$A:$A,0)),"ANY")&lt;&gt;"ANY",$P365=""),"MISSING COUNTERPARTY COUNTRY",IF(AND(IFERROR(INDEX(VAT_Codes!$E:$E,MATCH($N365,VAT_Codes!$A:$A,0)),"ANY")&lt;&gt;"ANY",$P365&lt;&gt;IFERROR(INDEX(VAT_Codes!$E:$E,MATCH($N365,VAT_Codes!$A:$A,0)),"ANY")),"REGION MISMATCH","OK")))))))</f>
        <v/>
      </c>
    </row>
    <row r="366" customFormat="false" ht="15" hidden="false" customHeight="false" outlineLevel="0" collapsed="false">
      <c r="M366" s="24" t="str">
        <f aca="false">IF($C366="","",IFERROR(INDEX(Account_Mapping!$C:$C,MATCH($C366&amp;"",Account_Mapping!$A:$A,0))&amp;"",""))</f>
        <v/>
      </c>
      <c r="N366" s="24" t="str">
        <f aca="false">IF($K366&lt;&gt;"",$K366,$M366)</f>
        <v/>
      </c>
      <c r="O366" s="24" t="str">
        <f aca="false">IF($F366="","",IFERROR(INDEX(Counterparties!$C:$C,MATCH($F366&amp;"",Counterparties!$A:$A,0))&amp;"",""))</f>
        <v/>
      </c>
      <c r="P366" s="24" t="str">
        <f aca="false">IF($O366="","",IF($O366="CY","CY",IF(ISNUMBER(MATCH($O366,Lists!$A:$A,0)),"EU","3RD")))</f>
        <v/>
      </c>
      <c r="Q366" s="24" t="str">
        <f aca="false">IF($F366="","N",IFERROR(IF(INDEX(Counterparties!$E:$E,MATCH($F366&amp;"",Counterparties!$A:$A,0))="Y","Y","N"),"N"))</f>
        <v>N</v>
      </c>
      <c r="R366" s="25" t="n">
        <f aca="false">IF(OR($H366="",$H366="EUR"),1,IFERROR(INDEX(FX_Rates!$D:$D,MATCH($H366,FX_Rates!$A:$A,0)),""))</f>
        <v>1</v>
      </c>
      <c r="S366" s="26" t="str">
        <f aca="false">IF(AND($I366="",$J366=""),"",IF($J366&lt;&gt;"",$J366,IF(OR($R366="",$R366=0),"",ROUND($I366/$R366,2))))</f>
        <v/>
      </c>
      <c r="T366" s="24" t="str">
        <f aca="false">IF($N366="","",IFERROR(INDEX(VAT_Codes!$C:$C,MATCH($N366,VAT_Codes!$A:$A,0)),"")&amp;"")</f>
        <v/>
      </c>
      <c r="U366" s="26" t="n">
        <f aca="false">IF(OR($S366="",$T366="",$T366="None"),0,IF($T366="Output",-$S366,$S366))</f>
        <v>0</v>
      </c>
      <c r="V366" s="27" t="n">
        <f aca="false">IF($N366="",0,IFERROR(INDEX(VAT_Codes!$D:$D,MATCH($N366,VAT_Codes!$A:$A,0)),0))</f>
        <v>0</v>
      </c>
      <c r="W366" s="26" t="n">
        <f aca="false">IF($U366=0,0,IF(IFERROR(INDEX(VAT_Codes!$F:$F,MATCH($N366,VAT_Codes!$A:$A,0)),"N")="Y",$U366,IF($L366&lt;&gt;"",ROUND(ABS($L366)/IF(OR($R366="",$R366=0),1,$R366),2)*SIGN($U366),ROUND($U366*$V366,2))))</f>
        <v>0</v>
      </c>
      <c r="X366" s="24" t="str">
        <f aca="false">IF($N366="","",IFERROR(INDEX(VAT_Codes!$H:$H,MATCH($N366,VAT_Codes!$A:$A,0)),"")&amp;"")</f>
        <v/>
      </c>
      <c r="Y366" s="24" t="str">
        <f aca="false">IF($A366="","",(YEAR($A366)-YEAR(Settings!$C$8))*12+MONTH($A366)-MONTH(Settings!$C$8)+1)</f>
        <v/>
      </c>
      <c r="Z366" s="24" t="str">
        <f aca="false">IF(AND($C366="",$I366="",$J366=""),"",IF($N366="","NO VAT CODE",IF($T366="","UNKNOWN VAT CODE",IF($S366="","MISSING FX RATE",IF(OR($A366&lt;Settings!$C$8,$A366&gt;Settings!$C$9),"OUTSIDE PERIOD",IF(AND(IFERROR(INDEX(VAT_Codes!$E:$E,MATCH($N366,VAT_Codes!$A:$A,0)),"ANY")&lt;&gt;"ANY",$P366=""),"MISSING COUNTERPARTY COUNTRY",IF(AND(IFERROR(INDEX(VAT_Codes!$E:$E,MATCH($N366,VAT_Codes!$A:$A,0)),"ANY")&lt;&gt;"ANY",$P366&lt;&gt;IFERROR(INDEX(VAT_Codes!$E:$E,MATCH($N366,VAT_Codes!$A:$A,0)),"ANY")),"REGION MISMATCH","OK")))))))</f>
        <v/>
      </c>
    </row>
    <row r="367" customFormat="false" ht="15" hidden="false" customHeight="false" outlineLevel="0" collapsed="false">
      <c r="M367" s="24" t="str">
        <f aca="false">IF($C367="","",IFERROR(INDEX(Account_Mapping!$C:$C,MATCH($C367&amp;"",Account_Mapping!$A:$A,0))&amp;"",""))</f>
        <v/>
      </c>
      <c r="N367" s="24" t="str">
        <f aca="false">IF($K367&lt;&gt;"",$K367,$M367)</f>
        <v/>
      </c>
      <c r="O367" s="24" t="str">
        <f aca="false">IF($F367="","",IFERROR(INDEX(Counterparties!$C:$C,MATCH($F367&amp;"",Counterparties!$A:$A,0))&amp;"",""))</f>
        <v/>
      </c>
      <c r="P367" s="24" t="str">
        <f aca="false">IF($O367="","",IF($O367="CY","CY",IF(ISNUMBER(MATCH($O367,Lists!$A:$A,0)),"EU","3RD")))</f>
        <v/>
      </c>
      <c r="Q367" s="24" t="str">
        <f aca="false">IF($F367="","N",IFERROR(IF(INDEX(Counterparties!$E:$E,MATCH($F367&amp;"",Counterparties!$A:$A,0))="Y","Y","N"),"N"))</f>
        <v>N</v>
      </c>
      <c r="R367" s="25" t="n">
        <f aca="false">IF(OR($H367="",$H367="EUR"),1,IFERROR(INDEX(FX_Rates!$D:$D,MATCH($H367,FX_Rates!$A:$A,0)),""))</f>
        <v>1</v>
      </c>
      <c r="S367" s="26" t="str">
        <f aca="false">IF(AND($I367="",$J367=""),"",IF($J367&lt;&gt;"",$J367,IF(OR($R367="",$R367=0),"",ROUND($I367/$R367,2))))</f>
        <v/>
      </c>
      <c r="T367" s="24" t="str">
        <f aca="false">IF($N367="","",IFERROR(INDEX(VAT_Codes!$C:$C,MATCH($N367,VAT_Codes!$A:$A,0)),"")&amp;"")</f>
        <v/>
      </c>
      <c r="U367" s="26" t="n">
        <f aca="false">IF(OR($S367="",$T367="",$T367="None"),0,IF($T367="Output",-$S367,$S367))</f>
        <v>0</v>
      </c>
      <c r="V367" s="27" t="n">
        <f aca="false">IF($N367="",0,IFERROR(INDEX(VAT_Codes!$D:$D,MATCH($N367,VAT_Codes!$A:$A,0)),0))</f>
        <v>0</v>
      </c>
      <c r="W367" s="26" t="n">
        <f aca="false">IF($U367=0,0,IF(IFERROR(INDEX(VAT_Codes!$F:$F,MATCH($N367,VAT_Codes!$A:$A,0)),"N")="Y",$U367,IF($L367&lt;&gt;"",ROUND(ABS($L367)/IF(OR($R367="",$R367=0),1,$R367),2)*SIGN($U367),ROUND($U367*$V367,2))))</f>
        <v>0</v>
      </c>
      <c r="X367" s="24" t="str">
        <f aca="false">IF($N367="","",IFERROR(INDEX(VAT_Codes!$H:$H,MATCH($N367,VAT_Codes!$A:$A,0)),"")&amp;"")</f>
        <v/>
      </c>
      <c r="Y367" s="24" t="str">
        <f aca="false">IF($A367="","",(YEAR($A367)-YEAR(Settings!$C$8))*12+MONTH($A367)-MONTH(Settings!$C$8)+1)</f>
        <v/>
      </c>
      <c r="Z367" s="24" t="str">
        <f aca="false">IF(AND($C367="",$I367="",$J367=""),"",IF($N367="","NO VAT CODE",IF($T367="","UNKNOWN VAT CODE",IF($S367="","MISSING FX RATE",IF(OR($A367&lt;Settings!$C$8,$A367&gt;Settings!$C$9),"OUTSIDE PERIOD",IF(AND(IFERROR(INDEX(VAT_Codes!$E:$E,MATCH($N367,VAT_Codes!$A:$A,0)),"ANY")&lt;&gt;"ANY",$P367=""),"MISSING COUNTERPARTY COUNTRY",IF(AND(IFERROR(INDEX(VAT_Codes!$E:$E,MATCH($N367,VAT_Codes!$A:$A,0)),"ANY")&lt;&gt;"ANY",$P367&lt;&gt;IFERROR(INDEX(VAT_Codes!$E:$E,MATCH($N367,VAT_Codes!$A:$A,0)),"ANY")),"REGION MISMATCH","OK")))))))</f>
        <v/>
      </c>
    </row>
    <row r="368" customFormat="false" ht="15" hidden="false" customHeight="false" outlineLevel="0" collapsed="false">
      <c r="M368" s="24" t="str">
        <f aca="false">IF($C368="","",IFERROR(INDEX(Account_Mapping!$C:$C,MATCH($C368&amp;"",Account_Mapping!$A:$A,0))&amp;"",""))</f>
        <v/>
      </c>
      <c r="N368" s="24" t="str">
        <f aca="false">IF($K368&lt;&gt;"",$K368,$M368)</f>
        <v/>
      </c>
      <c r="O368" s="24" t="str">
        <f aca="false">IF($F368="","",IFERROR(INDEX(Counterparties!$C:$C,MATCH($F368&amp;"",Counterparties!$A:$A,0))&amp;"",""))</f>
        <v/>
      </c>
      <c r="P368" s="24" t="str">
        <f aca="false">IF($O368="","",IF($O368="CY","CY",IF(ISNUMBER(MATCH($O368,Lists!$A:$A,0)),"EU","3RD")))</f>
        <v/>
      </c>
      <c r="Q368" s="24" t="str">
        <f aca="false">IF($F368="","N",IFERROR(IF(INDEX(Counterparties!$E:$E,MATCH($F368&amp;"",Counterparties!$A:$A,0))="Y","Y","N"),"N"))</f>
        <v>N</v>
      </c>
      <c r="R368" s="25" t="n">
        <f aca="false">IF(OR($H368="",$H368="EUR"),1,IFERROR(INDEX(FX_Rates!$D:$D,MATCH($H368,FX_Rates!$A:$A,0)),""))</f>
        <v>1</v>
      </c>
      <c r="S368" s="26" t="str">
        <f aca="false">IF(AND($I368="",$J368=""),"",IF($J368&lt;&gt;"",$J368,IF(OR($R368="",$R368=0),"",ROUND($I368/$R368,2))))</f>
        <v/>
      </c>
      <c r="T368" s="24" t="str">
        <f aca="false">IF($N368="","",IFERROR(INDEX(VAT_Codes!$C:$C,MATCH($N368,VAT_Codes!$A:$A,0)),"")&amp;"")</f>
        <v/>
      </c>
      <c r="U368" s="26" t="n">
        <f aca="false">IF(OR($S368="",$T368="",$T368="None"),0,IF($T368="Output",-$S368,$S368))</f>
        <v>0</v>
      </c>
      <c r="V368" s="27" t="n">
        <f aca="false">IF($N368="",0,IFERROR(INDEX(VAT_Codes!$D:$D,MATCH($N368,VAT_Codes!$A:$A,0)),0))</f>
        <v>0</v>
      </c>
      <c r="W368" s="26" t="n">
        <f aca="false">IF($U368=0,0,IF(IFERROR(INDEX(VAT_Codes!$F:$F,MATCH($N368,VAT_Codes!$A:$A,0)),"N")="Y",$U368,IF($L368&lt;&gt;"",ROUND(ABS($L368)/IF(OR($R368="",$R368=0),1,$R368),2)*SIGN($U368),ROUND($U368*$V368,2))))</f>
        <v>0</v>
      </c>
      <c r="X368" s="24" t="str">
        <f aca="false">IF($N368="","",IFERROR(INDEX(VAT_Codes!$H:$H,MATCH($N368,VAT_Codes!$A:$A,0)),"")&amp;"")</f>
        <v/>
      </c>
      <c r="Y368" s="24" t="str">
        <f aca="false">IF($A368="","",(YEAR($A368)-YEAR(Settings!$C$8))*12+MONTH($A368)-MONTH(Settings!$C$8)+1)</f>
        <v/>
      </c>
      <c r="Z368" s="24" t="str">
        <f aca="false">IF(AND($C368="",$I368="",$J368=""),"",IF($N368="","NO VAT CODE",IF($T368="","UNKNOWN VAT CODE",IF($S368="","MISSING FX RATE",IF(OR($A368&lt;Settings!$C$8,$A368&gt;Settings!$C$9),"OUTSIDE PERIOD",IF(AND(IFERROR(INDEX(VAT_Codes!$E:$E,MATCH($N368,VAT_Codes!$A:$A,0)),"ANY")&lt;&gt;"ANY",$P368=""),"MISSING COUNTERPARTY COUNTRY",IF(AND(IFERROR(INDEX(VAT_Codes!$E:$E,MATCH($N368,VAT_Codes!$A:$A,0)),"ANY")&lt;&gt;"ANY",$P368&lt;&gt;IFERROR(INDEX(VAT_Codes!$E:$E,MATCH($N368,VAT_Codes!$A:$A,0)),"ANY")),"REGION MISMATCH","OK")))))))</f>
        <v/>
      </c>
    </row>
    <row r="369" customFormat="false" ht="15" hidden="false" customHeight="false" outlineLevel="0" collapsed="false">
      <c r="M369" s="24" t="str">
        <f aca="false">IF($C369="","",IFERROR(INDEX(Account_Mapping!$C:$C,MATCH($C369&amp;"",Account_Mapping!$A:$A,0))&amp;"",""))</f>
        <v/>
      </c>
      <c r="N369" s="24" t="str">
        <f aca="false">IF($K369&lt;&gt;"",$K369,$M369)</f>
        <v/>
      </c>
      <c r="O369" s="24" t="str">
        <f aca="false">IF($F369="","",IFERROR(INDEX(Counterparties!$C:$C,MATCH($F369&amp;"",Counterparties!$A:$A,0))&amp;"",""))</f>
        <v/>
      </c>
      <c r="P369" s="24" t="str">
        <f aca="false">IF($O369="","",IF($O369="CY","CY",IF(ISNUMBER(MATCH($O369,Lists!$A:$A,0)),"EU","3RD")))</f>
        <v/>
      </c>
      <c r="Q369" s="24" t="str">
        <f aca="false">IF($F369="","N",IFERROR(IF(INDEX(Counterparties!$E:$E,MATCH($F369&amp;"",Counterparties!$A:$A,0))="Y","Y","N"),"N"))</f>
        <v>N</v>
      </c>
      <c r="R369" s="25" t="n">
        <f aca="false">IF(OR($H369="",$H369="EUR"),1,IFERROR(INDEX(FX_Rates!$D:$D,MATCH($H369,FX_Rates!$A:$A,0)),""))</f>
        <v>1</v>
      </c>
      <c r="S369" s="26" t="str">
        <f aca="false">IF(AND($I369="",$J369=""),"",IF($J369&lt;&gt;"",$J369,IF(OR($R369="",$R369=0),"",ROUND($I369/$R369,2))))</f>
        <v/>
      </c>
      <c r="T369" s="24" t="str">
        <f aca="false">IF($N369="","",IFERROR(INDEX(VAT_Codes!$C:$C,MATCH($N369,VAT_Codes!$A:$A,0)),"")&amp;"")</f>
        <v/>
      </c>
      <c r="U369" s="26" t="n">
        <f aca="false">IF(OR($S369="",$T369="",$T369="None"),0,IF($T369="Output",-$S369,$S369))</f>
        <v>0</v>
      </c>
      <c r="V369" s="27" t="n">
        <f aca="false">IF($N369="",0,IFERROR(INDEX(VAT_Codes!$D:$D,MATCH($N369,VAT_Codes!$A:$A,0)),0))</f>
        <v>0</v>
      </c>
      <c r="W369" s="26" t="n">
        <f aca="false">IF($U369=0,0,IF(IFERROR(INDEX(VAT_Codes!$F:$F,MATCH($N369,VAT_Codes!$A:$A,0)),"N")="Y",$U369,IF($L369&lt;&gt;"",ROUND(ABS($L369)/IF(OR($R369="",$R369=0),1,$R369),2)*SIGN($U369),ROUND($U369*$V369,2))))</f>
        <v>0</v>
      </c>
      <c r="X369" s="24" t="str">
        <f aca="false">IF($N369="","",IFERROR(INDEX(VAT_Codes!$H:$H,MATCH($N369,VAT_Codes!$A:$A,0)),"")&amp;"")</f>
        <v/>
      </c>
      <c r="Y369" s="24" t="str">
        <f aca="false">IF($A369="","",(YEAR($A369)-YEAR(Settings!$C$8))*12+MONTH($A369)-MONTH(Settings!$C$8)+1)</f>
        <v/>
      </c>
      <c r="Z369" s="24" t="str">
        <f aca="false">IF(AND($C369="",$I369="",$J369=""),"",IF($N369="","NO VAT CODE",IF($T369="","UNKNOWN VAT CODE",IF($S369="","MISSING FX RATE",IF(OR($A369&lt;Settings!$C$8,$A369&gt;Settings!$C$9),"OUTSIDE PERIOD",IF(AND(IFERROR(INDEX(VAT_Codes!$E:$E,MATCH($N369,VAT_Codes!$A:$A,0)),"ANY")&lt;&gt;"ANY",$P369=""),"MISSING COUNTERPARTY COUNTRY",IF(AND(IFERROR(INDEX(VAT_Codes!$E:$E,MATCH($N369,VAT_Codes!$A:$A,0)),"ANY")&lt;&gt;"ANY",$P369&lt;&gt;IFERROR(INDEX(VAT_Codes!$E:$E,MATCH($N369,VAT_Codes!$A:$A,0)),"ANY")),"REGION MISMATCH","OK")))))))</f>
        <v/>
      </c>
    </row>
    <row r="370" customFormat="false" ht="15" hidden="false" customHeight="false" outlineLevel="0" collapsed="false">
      <c r="M370" s="24" t="str">
        <f aca="false">IF($C370="","",IFERROR(INDEX(Account_Mapping!$C:$C,MATCH($C370&amp;"",Account_Mapping!$A:$A,0))&amp;"",""))</f>
        <v/>
      </c>
      <c r="N370" s="24" t="str">
        <f aca="false">IF($K370&lt;&gt;"",$K370,$M370)</f>
        <v/>
      </c>
      <c r="O370" s="24" t="str">
        <f aca="false">IF($F370="","",IFERROR(INDEX(Counterparties!$C:$C,MATCH($F370&amp;"",Counterparties!$A:$A,0))&amp;"",""))</f>
        <v/>
      </c>
      <c r="P370" s="24" t="str">
        <f aca="false">IF($O370="","",IF($O370="CY","CY",IF(ISNUMBER(MATCH($O370,Lists!$A:$A,0)),"EU","3RD")))</f>
        <v/>
      </c>
      <c r="Q370" s="24" t="str">
        <f aca="false">IF($F370="","N",IFERROR(IF(INDEX(Counterparties!$E:$E,MATCH($F370&amp;"",Counterparties!$A:$A,0))="Y","Y","N"),"N"))</f>
        <v>N</v>
      </c>
      <c r="R370" s="25" t="n">
        <f aca="false">IF(OR($H370="",$H370="EUR"),1,IFERROR(INDEX(FX_Rates!$D:$D,MATCH($H370,FX_Rates!$A:$A,0)),""))</f>
        <v>1</v>
      </c>
      <c r="S370" s="26" t="str">
        <f aca="false">IF(AND($I370="",$J370=""),"",IF($J370&lt;&gt;"",$J370,IF(OR($R370="",$R370=0),"",ROUND($I370/$R370,2))))</f>
        <v/>
      </c>
      <c r="T370" s="24" t="str">
        <f aca="false">IF($N370="","",IFERROR(INDEX(VAT_Codes!$C:$C,MATCH($N370,VAT_Codes!$A:$A,0)),"")&amp;"")</f>
        <v/>
      </c>
      <c r="U370" s="26" t="n">
        <f aca="false">IF(OR($S370="",$T370="",$T370="None"),0,IF($T370="Output",-$S370,$S370))</f>
        <v>0</v>
      </c>
      <c r="V370" s="27" t="n">
        <f aca="false">IF($N370="",0,IFERROR(INDEX(VAT_Codes!$D:$D,MATCH($N370,VAT_Codes!$A:$A,0)),0))</f>
        <v>0</v>
      </c>
      <c r="W370" s="26" t="n">
        <f aca="false">IF($U370=0,0,IF(IFERROR(INDEX(VAT_Codes!$F:$F,MATCH($N370,VAT_Codes!$A:$A,0)),"N")="Y",$U370,IF($L370&lt;&gt;"",ROUND(ABS($L370)/IF(OR($R370="",$R370=0),1,$R370),2)*SIGN($U370),ROUND($U370*$V370,2))))</f>
        <v>0</v>
      </c>
      <c r="X370" s="24" t="str">
        <f aca="false">IF($N370="","",IFERROR(INDEX(VAT_Codes!$H:$H,MATCH($N370,VAT_Codes!$A:$A,0)),"")&amp;"")</f>
        <v/>
      </c>
      <c r="Y370" s="24" t="str">
        <f aca="false">IF($A370="","",(YEAR($A370)-YEAR(Settings!$C$8))*12+MONTH($A370)-MONTH(Settings!$C$8)+1)</f>
        <v/>
      </c>
      <c r="Z370" s="24" t="str">
        <f aca="false">IF(AND($C370="",$I370="",$J370=""),"",IF($N370="","NO VAT CODE",IF($T370="","UNKNOWN VAT CODE",IF($S370="","MISSING FX RATE",IF(OR($A370&lt;Settings!$C$8,$A370&gt;Settings!$C$9),"OUTSIDE PERIOD",IF(AND(IFERROR(INDEX(VAT_Codes!$E:$E,MATCH($N370,VAT_Codes!$A:$A,0)),"ANY")&lt;&gt;"ANY",$P370=""),"MISSING COUNTERPARTY COUNTRY",IF(AND(IFERROR(INDEX(VAT_Codes!$E:$E,MATCH($N370,VAT_Codes!$A:$A,0)),"ANY")&lt;&gt;"ANY",$P370&lt;&gt;IFERROR(INDEX(VAT_Codes!$E:$E,MATCH($N370,VAT_Codes!$A:$A,0)),"ANY")),"REGION MISMATCH","OK")))))))</f>
        <v/>
      </c>
    </row>
    <row r="371" customFormat="false" ht="15" hidden="false" customHeight="false" outlineLevel="0" collapsed="false">
      <c r="M371" s="24" t="str">
        <f aca="false">IF($C371="","",IFERROR(INDEX(Account_Mapping!$C:$C,MATCH($C371&amp;"",Account_Mapping!$A:$A,0))&amp;"",""))</f>
        <v/>
      </c>
      <c r="N371" s="24" t="str">
        <f aca="false">IF($K371&lt;&gt;"",$K371,$M371)</f>
        <v/>
      </c>
      <c r="O371" s="24" t="str">
        <f aca="false">IF($F371="","",IFERROR(INDEX(Counterparties!$C:$C,MATCH($F371&amp;"",Counterparties!$A:$A,0))&amp;"",""))</f>
        <v/>
      </c>
      <c r="P371" s="24" t="str">
        <f aca="false">IF($O371="","",IF($O371="CY","CY",IF(ISNUMBER(MATCH($O371,Lists!$A:$A,0)),"EU","3RD")))</f>
        <v/>
      </c>
      <c r="Q371" s="24" t="str">
        <f aca="false">IF($F371="","N",IFERROR(IF(INDEX(Counterparties!$E:$E,MATCH($F371&amp;"",Counterparties!$A:$A,0))="Y","Y","N"),"N"))</f>
        <v>N</v>
      </c>
      <c r="R371" s="25" t="n">
        <f aca="false">IF(OR($H371="",$H371="EUR"),1,IFERROR(INDEX(FX_Rates!$D:$D,MATCH($H371,FX_Rates!$A:$A,0)),""))</f>
        <v>1</v>
      </c>
      <c r="S371" s="26" t="str">
        <f aca="false">IF(AND($I371="",$J371=""),"",IF($J371&lt;&gt;"",$J371,IF(OR($R371="",$R371=0),"",ROUND($I371/$R371,2))))</f>
        <v/>
      </c>
      <c r="T371" s="24" t="str">
        <f aca="false">IF($N371="","",IFERROR(INDEX(VAT_Codes!$C:$C,MATCH($N371,VAT_Codes!$A:$A,0)),"")&amp;"")</f>
        <v/>
      </c>
      <c r="U371" s="26" t="n">
        <f aca="false">IF(OR($S371="",$T371="",$T371="None"),0,IF($T371="Output",-$S371,$S371))</f>
        <v>0</v>
      </c>
      <c r="V371" s="27" t="n">
        <f aca="false">IF($N371="",0,IFERROR(INDEX(VAT_Codes!$D:$D,MATCH($N371,VAT_Codes!$A:$A,0)),0))</f>
        <v>0</v>
      </c>
      <c r="W371" s="26" t="n">
        <f aca="false">IF($U371=0,0,IF(IFERROR(INDEX(VAT_Codes!$F:$F,MATCH($N371,VAT_Codes!$A:$A,0)),"N")="Y",$U371,IF($L371&lt;&gt;"",ROUND(ABS($L371)/IF(OR($R371="",$R371=0),1,$R371),2)*SIGN($U371),ROUND($U371*$V371,2))))</f>
        <v>0</v>
      </c>
      <c r="X371" s="24" t="str">
        <f aca="false">IF($N371="","",IFERROR(INDEX(VAT_Codes!$H:$H,MATCH($N371,VAT_Codes!$A:$A,0)),"")&amp;"")</f>
        <v/>
      </c>
      <c r="Y371" s="24" t="str">
        <f aca="false">IF($A371="","",(YEAR($A371)-YEAR(Settings!$C$8))*12+MONTH($A371)-MONTH(Settings!$C$8)+1)</f>
        <v/>
      </c>
      <c r="Z371" s="24" t="str">
        <f aca="false">IF(AND($C371="",$I371="",$J371=""),"",IF($N371="","NO VAT CODE",IF($T371="","UNKNOWN VAT CODE",IF($S371="","MISSING FX RATE",IF(OR($A371&lt;Settings!$C$8,$A371&gt;Settings!$C$9),"OUTSIDE PERIOD",IF(AND(IFERROR(INDEX(VAT_Codes!$E:$E,MATCH($N371,VAT_Codes!$A:$A,0)),"ANY")&lt;&gt;"ANY",$P371=""),"MISSING COUNTERPARTY COUNTRY",IF(AND(IFERROR(INDEX(VAT_Codes!$E:$E,MATCH($N371,VAT_Codes!$A:$A,0)),"ANY")&lt;&gt;"ANY",$P371&lt;&gt;IFERROR(INDEX(VAT_Codes!$E:$E,MATCH($N371,VAT_Codes!$A:$A,0)),"ANY")),"REGION MISMATCH","OK")))))))</f>
        <v/>
      </c>
    </row>
    <row r="372" customFormat="false" ht="15" hidden="false" customHeight="false" outlineLevel="0" collapsed="false">
      <c r="M372" s="24" t="str">
        <f aca="false">IF($C372="","",IFERROR(INDEX(Account_Mapping!$C:$C,MATCH($C372&amp;"",Account_Mapping!$A:$A,0))&amp;"",""))</f>
        <v/>
      </c>
      <c r="N372" s="24" t="str">
        <f aca="false">IF($K372&lt;&gt;"",$K372,$M372)</f>
        <v/>
      </c>
      <c r="O372" s="24" t="str">
        <f aca="false">IF($F372="","",IFERROR(INDEX(Counterparties!$C:$C,MATCH($F372&amp;"",Counterparties!$A:$A,0))&amp;"",""))</f>
        <v/>
      </c>
      <c r="P372" s="24" t="str">
        <f aca="false">IF($O372="","",IF($O372="CY","CY",IF(ISNUMBER(MATCH($O372,Lists!$A:$A,0)),"EU","3RD")))</f>
        <v/>
      </c>
      <c r="Q372" s="24" t="str">
        <f aca="false">IF($F372="","N",IFERROR(IF(INDEX(Counterparties!$E:$E,MATCH($F372&amp;"",Counterparties!$A:$A,0))="Y","Y","N"),"N"))</f>
        <v>N</v>
      </c>
      <c r="R372" s="25" t="n">
        <f aca="false">IF(OR($H372="",$H372="EUR"),1,IFERROR(INDEX(FX_Rates!$D:$D,MATCH($H372,FX_Rates!$A:$A,0)),""))</f>
        <v>1</v>
      </c>
      <c r="S372" s="26" t="str">
        <f aca="false">IF(AND($I372="",$J372=""),"",IF($J372&lt;&gt;"",$J372,IF(OR($R372="",$R372=0),"",ROUND($I372/$R372,2))))</f>
        <v/>
      </c>
      <c r="T372" s="24" t="str">
        <f aca="false">IF($N372="","",IFERROR(INDEX(VAT_Codes!$C:$C,MATCH($N372,VAT_Codes!$A:$A,0)),"")&amp;"")</f>
        <v/>
      </c>
      <c r="U372" s="26" t="n">
        <f aca="false">IF(OR($S372="",$T372="",$T372="None"),0,IF($T372="Output",-$S372,$S372))</f>
        <v>0</v>
      </c>
      <c r="V372" s="27" t="n">
        <f aca="false">IF($N372="",0,IFERROR(INDEX(VAT_Codes!$D:$D,MATCH($N372,VAT_Codes!$A:$A,0)),0))</f>
        <v>0</v>
      </c>
      <c r="W372" s="26" t="n">
        <f aca="false">IF($U372=0,0,IF(IFERROR(INDEX(VAT_Codes!$F:$F,MATCH($N372,VAT_Codes!$A:$A,0)),"N")="Y",$U372,IF($L372&lt;&gt;"",ROUND(ABS($L372)/IF(OR($R372="",$R372=0),1,$R372),2)*SIGN($U372),ROUND($U372*$V372,2))))</f>
        <v>0</v>
      </c>
      <c r="X372" s="24" t="str">
        <f aca="false">IF($N372="","",IFERROR(INDEX(VAT_Codes!$H:$H,MATCH($N372,VAT_Codes!$A:$A,0)),"")&amp;"")</f>
        <v/>
      </c>
      <c r="Y372" s="24" t="str">
        <f aca="false">IF($A372="","",(YEAR($A372)-YEAR(Settings!$C$8))*12+MONTH($A372)-MONTH(Settings!$C$8)+1)</f>
        <v/>
      </c>
      <c r="Z372" s="24" t="str">
        <f aca="false">IF(AND($C372="",$I372="",$J372=""),"",IF($N372="","NO VAT CODE",IF($T372="","UNKNOWN VAT CODE",IF($S372="","MISSING FX RATE",IF(OR($A372&lt;Settings!$C$8,$A372&gt;Settings!$C$9),"OUTSIDE PERIOD",IF(AND(IFERROR(INDEX(VAT_Codes!$E:$E,MATCH($N372,VAT_Codes!$A:$A,0)),"ANY")&lt;&gt;"ANY",$P372=""),"MISSING COUNTERPARTY COUNTRY",IF(AND(IFERROR(INDEX(VAT_Codes!$E:$E,MATCH($N372,VAT_Codes!$A:$A,0)),"ANY")&lt;&gt;"ANY",$P372&lt;&gt;IFERROR(INDEX(VAT_Codes!$E:$E,MATCH($N372,VAT_Codes!$A:$A,0)),"ANY")),"REGION MISMATCH","OK")))))))</f>
        <v/>
      </c>
    </row>
    <row r="373" customFormat="false" ht="15" hidden="false" customHeight="false" outlineLevel="0" collapsed="false">
      <c r="M373" s="24" t="str">
        <f aca="false">IF($C373="","",IFERROR(INDEX(Account_Mapping!$C:$C,MATCH($C373&amp;"",Account_Mapping!$A:$A,0))&amp;"",""))</f>
        <v/>
      </c>
      <c r="N373" s="24" t="str">
        <f aca="false">IF($K373&lt;&gt;"",$K373,$M373)</f>
        <v/>
      </c>
      <c r="O373" s="24" t="str">
        <f aca="false">IF($F373="","",IFERROR(INDEX(Counterparties!$C:$C,MATCH($F373&amp;"",Counterparties!$A:$A,0))&amp;"",""))</f>
        <v/>
      </c>
      <c r="P373" s="24" t="str">
        <f aca="false">IF($O373="","",IF($O373="CY","CY",IF(ISNUMBER(MATCH($O373,Lists!$A:$A,0)),"EU","3RD")))</f>
        <v/>
      </c>
      <c r="Q373" s="24" t="str">
        <f aca="false">IF($F373="","N",IFERROR(IF(INDEX(Counterparties!$E:$E,MATCH($F373&amp;"",Counterparties!$A:$A,0))="Y","Y","N"),"N"))</f>
        <v>N</v>
      </c>
      <c r="R373" s="25" t="n">
        <f aca="false">IF(OR($H373="",$H373="EUR"),1,IFERROR(INDEX(FX_Rates!$D:$D,MATCH($H373,FX_Rates!$A:$A,0)),""))</f>
        <v>1</v>
      </c>
      <c r="S373" s="26" t="str">
        <f aca="false">IF(AND($I373="",$J373=""),"",IF($J373&lt;&gt;"",$J373,IF(OR($R373="",$R373=0),"",ROUND($I373/$R373,2))))</f>
        <v/>
      </c>
      <c r="T373" s="24" t="str">
        <f aca="false">IF($N373="","",IFERROR(INDEX(VAT_Codes!$C:$C,MATCH($N373,VAT_Codes!$A:$A,0)),"")&amp;"")</f>
        <v/>
      </c>
      <c r="U373" s="26" t="n">
        <f aca="false">IF(OR($S373="",$T373="",$T373="None"),0,IF($T373="Output",-$S373,$S373))</f>
        <v>0</v>
      </c>
      <c r="V373" s="27" t="n">
        <f aca="false">IF($N373="",0,IFERROR(INDEX(VAT_Codes!$D:$D,MATCH($N373,VAT_Codes!$A:$A,0)),0))</f>
        <v>0</v>
      </c>
      <c r="W373" s="26" t="n">
        <f aca="false">IF($U373=0,0,IF(IFERROR(INDEX(VAT_Codes!$F:$F,MATCH($N373,VAT_Codes!$A:$A,0)),"N")="Y",$U373,IF($L373&lt;&gt;"",ROUND(ABS($L373)/IF(OR($R373="",$R373=0),1,$R373),2)*SIGN($U373),ROUND($U373*$V373,2))))</f>
        <v>0</v>
      </c>
      <c r="X373" s="24" t="str">
        <f aca="false">IF($N373="","",IFERROR(INDEX(VAT_Codes!$H:$H,MATCH($N373,VAT_Codes!$A:$A,0)),"")&amp;"")</f>
        <v/>
      </c>
      <c r="Y373" s="24" t="str">
        <f aca="false">IF($A373="","",(YEAR($A373)-YEAR(Settings!$C$8))*12+MONTH($A373)-MONTH(Settings!$C$8)+1)</f>
        <v/>
      </c>
      <c r="Z373" s="24" t="str">
        <f aca="false">IF(AND($C373="",$I373="",$J373=""),"",IF($N373="","NO VAT CODE",IF($T373="","UNKNOWN VAT CODE",IF($S373="","MISSING FX RATE",IF(OR($A373&lt;Settings!$C$8,$A373&gt;Settings!$C$9),"OUTSIDE PERIOD",IF(AND(IFERROR(INDEX(VAT_Codes!$E:$E,MATCH($N373,VAT_Codes!$A:$A,0)),"ANY")&lt;&gt;"ANY",$P373=""),"MISSING COUNTERPARTY COUNTRY",IF(AND(IFERROR(INDEX(VAT_Codes!$E:$E,MATCH($N373,VAT_Codes!$A:$A,0)),"ANY")&lt;&gt;"ANY",$P373&lt;&gt;IFERROR(INDEX(VAT_Codes!$E:$E,MATCH($N373,VAT_Codes!$A:$A,0)),"ANY")),"REGION MISMATCH","OK")))))))</f>
        <v/>
      </c>
    </row>
    <row r="374" customFormat="false" ht="15" hidden="false" customHeight="false" outlineLevel="0" collapsed="false">
      <c r="M374" s="24" t="str">
        <f aca="false">IF($C374="","",IFERROR(INDEX(Account_Mapping!$C:$C,MATCH($C374&amp;"",Account_Mapping!$A:$A,0))&amp;"",""))</f>
        <v/>
      </c>
      <c r="N374" s="24" t="str">
        <f aca="false">IF($K374&lt;&gt;"",$K374,$M374)</f>
        <v/>
      </c>
      <c r="O374" s="24" t="str">
        <f aca="false">IF($F374="","",IFERROR(INDEX(Counterparties!$C:$C,MATCH($F374&amp;"",Counterparties!$A:$A,0))&amp;"",""))</f>
        <v/>
      </c>
      <c r="P374" s="24" t="str">
        <f aca="false">IF($O374="","",IF($O374="CY","CY",IF(ISNUMBER(MATCH($O374,Lists!$A:$A,0)),"EU","3RD")))</f>
        <v/>
      </c>
      <c r="Q374" s="24" t="str">
        <f aca="false">IF($F374="","N",IFERROR(IF(INDEX(Counterparties!$E:$E,MATCH($F374&amp;"",Counterparties!$A:$A,0))="Y","Y","N"),"N"))</f>
        <v>N</v>
      </c>
      <c r="R374" s="25" t="n">
        <f aca="false">IF(OR($H374="",$H374="EUR"),1,IFERROR(INDEX(FX_Rates!$D:$D,MATCH($H374,FX_Rates!$A:$A,0)),""))</f>
        <v>1</v>
      </c>
      <c r="S374" s="26" t="str">
        <f aca="false">IF(AND($I374="",$J374=""),"",IF($J374&lt;&gt;"",$J374,IF(OR($R374="",$R374=0),"",ROUND($I374/$R374,2))))</f>
        <v/>
      </c>
      <c r="T374" s="24" t="str">
        <f aca="false">IF($N374="","",IFERROR(INDEX(VAT_Codes!$C:$C,MATCH($N374,VAT_Codes!$A:$A,0)),"")&amp;"")</f>
        <v/>
      </c>
      <c r="U374" s="26" t="n">
        <f aca="false">IF(OR($S374="",$T374="",$T374="None"),0,IF($T374="Output",-$S374,$S374))</f>
        <v>0</v>
      </c>
      <c r="V374" s="27" t="n">
        <f aca="false">IF($N374="",0,IFERROR(INDEX(VAT_Codes!$D:$D,MATCH($N374,VAT_Codes!$A:$A,0)),0))</f>
        <v>0</v>
      </c>
      <c r="W374" s="26" t="n">
        <f aca="false">IF($U374=0,0,IF(IFERROR(INDEX(VAT_Codes!$F:$F,MATCH($N374,VAT_Codes!$A:$A,0)),"N")="Y",$U374,IF($L374&lt;&gt;"",ROUND(ABS($L374)/IF(OR($R374="",$R374=0),1,$R374),2)*SIGN($U374),ROUND($U374*$V374,2))))</f>
        <v>0</v>
      </c>
      <c r="X374" s="24" t="str">
        <f aca="false">IF($N374="","",IFERROR(INDEX(VAT_Codes!$H:$H,MATCH($N374,VAT_Codes!$A:$A,0)),"")&amp;"")</f>
        <v/>
      </c>
      <c r="Y374" s="24" t="str">
        <f aca="false">IF($A374="","",(YEAR($A374)-YEAR(Settings!$C$8))*12+MONTH($A374)-MONTH(Settings!$C$8)+1)</f>
        <v/>
      </c>
      <c r="Z374" s="24" t="str">
        <f aca="false">IF(AND($C374="",$I374="",$J374=""),"",IF($N374="","NO VAT CODE",IF($T374="","UNKNOWN VAT CODE",IF($S374="","MISSING FX RATE",IF(OR($A374&lt;Settings!$C$8,$A374&gt;Settings!$C$9),"OUTSIDE PERIOD",IF(AND(IFERROR(INDEX(VAT_Codes!$E:$E,MATCH($N374,VAT_Codes!$A:$A,0)),"ANY")&lt;&gt;"ANY",$P374=""),"MISSING COUNTERPARTY COUNTRY",IF(AND(IFERROR(INDEX(VAT_Codes!$E:$E,MATCH($N374,VAT_Codes!$A:$A,0)),"ANY")&lt;&gt;"ANY",$P374&lt;&gt;IFERROR(INDEX(VAT_Codes!$E:$E,MATCH($N374,VAT_Codes!$A:$A,0)),"ANY")),"REGION MISMATCH","OK")))))))</f>
        <v/>
      </c>
    </row>
    <row r="375" customFormat="false" ht="15" hidden="false" customHeight="false" outlineLevel="0" collapsed="false">
      <c r="M375" s="24" t="str">
        <f aca="false">IF($C375="","",IFERROR(INDEX(Account_Mapping!$C:$C,MATCH($C375&amp;"",Account_Mapping!$A:$A,0))&amp;"",""))</f>
        <v/>
      </c>
      <c r="N375" s="24" t="str">
        <f aca="false">IF($K375&lt;&gt;"",$K375,$M375)</f>
        <v/>
      </c>
      <c r="O375" s="24" t="str">
        <f aca="false">IF($F375="","",IFERROR(INDEX(Counterparties!$C:$C,MATCH($F375&amp;"",Counterparties!$A:$A,0))&amp;"",""))</f>
        <v/>
      </c>
      <c r="P375" s="24" t="str">
        <f aca="false">IF($O375="","",IF($O375="CY","CY",IF(ISNUMBER(MATCH($O375,Lists!$A:$A,0)),"EU","3RD")))</f>
        <v/>
      </c>
      <c r="Q375" s="24" t="str">
        <f aca="false">IF($F375="","N",IFERROR(IF(INDEX(Counterparties!$E:$E,MATCH($F375&amp;"",Counterparties!$A:$A,0))="Y","Y","N"),"N"))</f>
        <v>N</v>
      </c>
      <c r="R375" s="25" t="n">
        <f aca="false">IF(OR($H375="",$H375="EUR"),1,IFERROR(INDEX(FX_Rates!$D:$D,MATCH($H375,FX_Rates!$A:$A,0)),""))</f>
        <v>1</v>
      </c>
      <c r="S375" s="26" t="str">
        <f aca="false">IF(AND($I375="",$J375=""),"",IF($J375&lt;&gt;"",$J375,IF(OR($R375="",$R375=0),"",ROUND($I375/$R375,2))))</f>
        <v/>
      </c>
      <c r="T375" s="24" t="str">
        <f aca="false">IF($N375="","",IFERROR(INDEX(VAT_Codes!$C:$C,MATCH($N375,VAT_Codes!$A:$A,0)),"")&amp;"")</f>
        <v/>
      </c>
      <c r="U375" s="26" t="n">
        <f aca="false">IF(OR($S375="",$T375="",$T375="None"),0,IF($T375="Output",-$S375,$S375))</f>
        <v>0</v>
      </c>
      <c r="V375" s="27" t="n">
        <f aca="false">IF($N375="",0,IFERROR(INDEX(VAT_Codes!$D:$D,MATCH($N375,VAT_Codes!$A:$A,0)),0))</f>
        <v>0</v>
      </c>
      <c r="W375" s="26" t="n">
        <f aca="false">IF($U375=0,0,IF(IFERROR(INDEX(VAT_Codes!$F:$F,MATCH($N375,VAT_Codes!$A:$A,0)),"N")="Y",$U375,IF($L375&lt;&gt;"",ROUND(ABS($L375)/IF(OR($R375="",$R375=0),1,$R375),2)*SIGN($U375),ROUND($U375*$V375,2))))</f>
        <v>0</v>
      </c>
      <c r="X375" s="24" t="str">
        <f aca="false">IF($N375="","",IFERROR(INDEX(VAT_Codes!$H:$H,MATCH($N375,VAT_Codes!$A:$A,0)),"")&amp;"")</f>
        <v/>
      </c>
      <c r="Y375" s="24" t="str">
        <f aca="false">IF($A375="","",(YEAR($A375)-YEAR(Settings!$C$8))*12+MONTH($A375)-MONTH(Settings!$C$8)+1)</f>
        <v/>
      </c>
      <c r="Z375" s="24" t="str">
        <f aca="false">IF(AND($C375="",$I375="",$J375=""),"",IF($N375="","NO VAT CODE",IF($T375="","UNKNOWN VAT CODE",IF($S375="","MISSING FX RATE",IF(OR($A375&lt;Settings!$C$8,$A375&gt;Settings!$C$9),"OUTSIDE PERIOD",IF(AND(IFERROR(INDEX(VAT_Codes!$E:$E,MATCH($N375,VAT_Codes!$A:$A,0)),"ANY")&lt;&gt;"ANY",$P375=""),"MISSING COUNTERPARTY COUNTRY",IF(AND(IFERROR(INDEX(VAT_Codes!$E:$E,MATCH($N375,VAT_Codes!$A:$A,0)),"ANY")&lt;&gt;"ANY",$P375&lt;&gt;IFERROR(INDEX(VAT_Codes!$E:$E,MATCH($N375,VAT_Codes!$A:$A,0)),"ANY")),"REGION MISMATCH","OK")))))))</f>
        <v/>
      </c>
    </row>
    <row r="376" customFormat="false" ht="15" hidden="false" customHeight="false" outlineLevel="0" collapsed="false">
      <c r="M376" s="24" t="str">
        <f aca="false">IF($C376="","",IFERROR(INDEX(Account_Mapping!$C:$C,MATCH($C376&amp;"",Account_Mapping!$A:$A,0))&amp;"",""))</f>
        <v/>
      </c>
      <c r="N376" s="24" t="str">
        <f aca="false">IF($K376&lt;&gt;"",$K376,$M376)</f>
        <v/>
      </c>
      <c r="O376" s="24" t="str">
        <f aca="false">IF($F376="","",IFERROR(INDEX(Counterparties!$C:$C,MATCH($F376&amp;"",Counterparties!$A:$A,0))&amp;"",""))</f>
        <v/>
      </c>
      <c r="P376" s="24" t="str">
        <f aca="false">IF($O376="","",IF($O376="CY","CY",IF(ISNUMBER(MATCH($O376,Lists!$A:$A,0)),"EU","3RD")))</f>
        <v/>
      </c>
      <c r="Q376" s="24" t="str">
        <f aca="false">IF($F376="","N",IFERROR(IF(INDEX(Counterparties!$E:$E,MATCH($F376&amp;"",Counterparties!$A:$A,0))="Y","Y","N"),"N"))</f>
        <v>N</v>
      </c>
      <c r="R376" s="25" t="n">
        <f aca="false">IF(OR($H376="",$H376="EUR"),1,IFERROR(INDEX(FX_Rates!$D:$D,MATCH($H376,FX_Rates!$A:$A,0)),""))</f>
        <v>1</v>
      </c>
      <c r="S376" s="26" t="str">
        <f aca="false">IF(AND($I376="",$J376=""),"",IF($J376&lt;&gt;"",$J376,IF(OR($R376="",$R376=0),"",ROUND($I376/$R376,2))))</f>
        <v/>
      </c>
      <c r="T376" s="24" t="str">
        <f aca="false">IF($N376="","",IFERROR(INDEX(VAT_Codes!$C:$C,MATCH($N376,VAT_Codes!$A:$A,0)),"")&amp;"")</f>
        <v/>
      </c>
      <c r="U376" s="26" t="n">
        <f aca="false">IF(OR($S376="",$T376="",$T376="None"),0,IF($T376="Output",-$S376,$S376))</f>
        <v>0</v>
      </c>
      <c r="V376" s="27" t="n">
        <f aca="false">IF($N376="",0,IFERROR(INDEX(VAT_Codes!$D:$D,MATCH($N376,VAT_Codes!$A:$A,0)),0))</f>
        <v>0</v>
      </c>
      <c r="W376" s="26" t="n">
        <f aca="false">IF($U376=0,0,IF(IFERROR(INDEX(VAT_Codes!$F:$F,MATCH($N376,VAT_Codes!$A:$A,0)),"N")="Y",$U376,IF($L376&lt;&gt;"",ROUND(ABS($L376)/IF(OR($R376="",$R376=0),1,$R376),2)*SIGN($U376),ROUND($U376*$V376,2))))</f>
        <v>0</v>
      </c>
      <c r="X376" s="24" t="str">
        <f aca="false">IF($N376="","",IFERROR(INDEX(VAT_Codes!$H:$H,MATCH($N376,VAT_Codes!$A:$A,0)),"")&amp;"")</f>
        <v/>
      </c>
      <c r="Y376" s="24" t="str">
        <f aca="false">IF($A376="","",(YEAR($A376)-YEAR(Settings!$C$8))*12+MONTH($A376)-MONTH(Settings!$C$8)+1)</f>
        <v/>
      </c>
      <c r="Z376" s="24" t="str">
        <f aca="false">IF(AND($C376="",$I376="",$J376=""),"",IF($N376="","NO VAT CODE",IF($T376="","UNKNOWN VAT CODE",IF($S376="","MISSING FX RATE",IF(OR($A376&lt;Settings!$C$8,$A376&gt;Settings!$C$9),"OUTSIDE PERIOD",IF(AND(IFERROR(INDEX(VAT_Codes!$E:$E,MATCH($N376,VAT_Codes!$A:$A,0)),"ANY")&lt;&gt;"ANY",$P376=""),"MISSING COUNTERPARTY COUNTRY",IF(AND(IFERROR(INDEX(VAT_Codes!$E:$E,MATCH($N376,VAT_Codes!$A:$A,0)),"ANY")&lt;&gt;"ANY",$P376&lt;&gt;IFERROR(INDEX(VAT_Codes!$E:$E,MATCH($N376,VAT_Codes!$A:$A,0)),"ANY")),"REGION MISMATCH","OK")))))))</f>
        <v/>
      </c>
    </row>
    <row r="377" customFormat="false" ht="15" hidden="false" customHeight="false" outlineLevel="0" collapsed="false">
      <c r="M377" s="24" t="str">
        <f aca="false">IF($C377="","",IFERROR(INDEX(Account_Mapping!$C:$C,MATCH($C377&amp;"",Account_Mapping!$A:$A,0))&amp;"",""))</f>
        <v/>
      </c>
      <c r="N377" s="24" t="str">
        <f aca="false">IF($K377&lt;&gt;"",$K377,$M377)</f>
        <v/>
      </c>
      <c r="O377" s="24" t="str">
        <f aca="false">IF($F377="","",IFERROR(INDEX(Counterparties!$C:$C,MATCH($F377&amp;"",Counterparties!$A:$A,0))&amp;"",""))</f>
        <v/>
      </c>
      <c r="P377" s="24" t="str">
        <f aca="false">IF($O377="","",IF($O377="CY","CY",IF(ISNUMBER(MATCH($O377,Lists!$A:$A,0)),"EU","3RD")))</f>
        <v/>
      </c>
      <c r="Q377" s="24" t="str">
        <f aca="false">IF($F377="","N",IFERROR(IF(INDEX(Counterparties!$E:$E,MATCH($F377&amp;"",Counterparties!$A:$A,0))="Y","Y","N"),"N"))</f>
        <v>N</v>
      </c>
      <c r="R377" s="25" t="n">
        <f aca="false">IF(OR($H377="",$H377="EUR"),1,IFERROR(INDEX(FX_Rates!$D:$D,MATCH($H377,FX_Rates!$A:$A,0)),""))</f>
        <v>1</v>
      </c>
      <c r="S377" s="26" t="str">
        <f aca="false">IF(AND($I377="",$J377=""),"",IF($J377&lt;&gt;"",$J377,IF(OR($R377="",$R377=0),"",ROUND($I377/$R377,2))))</f>
        <v/>
      </c>
      <c r="T377" s="24" t="str">
        <f aca="false">IF($N377="","",IFERROR(INDEX(VAT_Codes!$C:$C,MATCH($N377,VAT_Codes!$A:$A,0)),"")&amp;"")</f>
        <v/>
      </c>
      <c r="U377" s="26" t="n">
        <f aca="false">IF(OR($S377="",$T377="",$T377="None"),0,IF($T377="Output",-$S377,$S377))</f>
        <v>0</v>
      </c>
      <c r="V377" s="27" t="n">
        <f aca="false">IF($N377="",0,IFERROR(INDEX(VAT_Codes!$D:$D,MATCH($N377,VAT_Codes!$A:$A,0)),0))</f>
        <v>0</v>
      </c>
      <c r="W377" s="26" t="n">
        <f aca="false">IF($U377=0,0,IF(IFERROR(INDEX(VAT_Codes!$F:$F,MATCH($N377,VAT_Codes!$A:$A,0)),"N")="Y",$U377,IF($L377&lt;&gt;"",ROUND(ABS($L377)/IF(OR($R377="",$R377=0),1,$R377),2)*SIGN($U377),ROUND($U377*$V377,2))))</f>
        <v>0</v>
      </c>
      <c r="X377" s="24" t="str">
        <f aca="false">IF($N377="","",IFERROR(INDEX(VAT_Codes!$H:$H,MATCH($N377,VAT_Codes!$A:$A,0)),"")&amp;"")</f>
        <v/>
      </c>
      <c r="Y377" s="24" t="str">
        <f aca="false">IF($A377="","",(YEAR($A377)-YEAR(Settings!$C$8))*12+MONTH($A377)-MONTH(Settings!$C$8)+1)</f>
        <v/>
      </c>
      <c r="Z377" s="24" t="str">
        <f aca="false">IF(AND($C377="",$I377="",$J377=""),"",IF($N377="","NO VAT CODE",IF($T377="","UNKNOWN VAT CODE",IF($S377="","MISSING FX RATE",IF(OR($A377&lt;Settings!$C$8,$A377&gt;Settings!$C$9),"OUTSIDE PERIOD",IF(AND(IFERROR(INDEX(VAT_Codes!$E:$E,MATCH($N377,VAT_Codes!$A:$A,0)),"ANY")&lt;&gt;"ANY",$P377=""),"MISSING COUNTERPARTY COUNTRY",IF(AND(IFERROR(INDEX(VAT_Codes!$E:$E,MATCH($N377,VAT_Codes!$A:$A,0)),"ANY")&lt;&gt;"ANY",$P377&lt;&gt;IFERROR(INDEX(VAT_Codes!$E:$E,MATCH($N377,VAT_Codes!$A:$A,0)),"ANY")),"REGION MISMATCH","OK")))))))</f>
        <v/>
      </c>
    </row>
    <row r="378" customFormat="false" ht="15" hidden="false" customHeight="false" outlineLevel="0" collapsed="false">
      <c r="M378" s="24" t="str">
        <f aca="false">IF($C378="","",IFERROR(INDEX(Account_Mapping!$C:$C,MATCH($C378&amp;"",Account_Mapping!$A:$A,0))&amp;"",""))</f>
        <v/>
      </c>
      <c r="N378" s="24" t="str">
        <f aca="false">IF($K378&lt;&gt;"",$K378,$M378)</f>
        <v/>
      </c>
      <c r="O378" s="24" t="str">
        <f aca="false">IF($F378="","",IFERROR(INDEX(Counterparties!$C:$C,MATCH($F378&amp;"",Counterparties!$A:$A,0))&amp;"",""))</f>
        <v/>
      </c>
      <c r="P378" s="24" t="str">
        <f aca="false">IF($O378="","",IF($O378="CY","CY",IF(ISNUMBER(MATCH($O378,Lists!$A:$A,0)),"EU","3RD")))</f>
        <v/>
      </c>
      <c r="Q378" s="24" t="str">
        <f aca="false">IF($F378="","N",IFERROR(IF(INDEX(Counterparties!$E:$E,MATCH($F378&amp;"",Counterparties!$A:$A,0))="Y","Y","N"),"N"))</f>
        <v>N</v>
      </c>
      <c r="R378" s="25" t="n">
        <f aca="false">IF(OR($H378="",$H378="EUR"),1,IFERROR(INDEX(FX_Rates!$D:$D,MATCH($H378,FX_Rates!$A:$A,0)),""))</f>
        <v>1</v>
      </c>
      <c r="S378" s="26" t="str">
        <f aca="false">IF(AND($I378="",$J378=""),"",IF($J378&lt;&gt;"",$J378,IF(OR($R378="",$R378=0),"",ROUND($I378/$R378,2))))</f>
        <v/>
      </c>
      <c r="T378" s="24" t="str">
        <f aca="false">IF($N378="","",IFERROR(INDEX(VAT_Codes!$C:$C,MATCH($N378,VAT_Codes!$A:$A,0)),"")&amp;"")</f>
        <v/>
      </c>
      <c r="U378" s="26" t="n">
        <f aca="false">IF(OR($S378="",$T378="",$T378="None"),0,IF($T378="Output",-$S378,$S378))</f>
        <v>0</v>
      </c>
      <c r="V378" s="27" t="n">
        <f aca="false">IF($N378="",0,IFERROR(INDEX(VAT_Codes!$D:$D,MATCH($N378,VAT_Codes!$A:$A,0)),0))</f>
        <v>0</v>
      </c>
      <c r="W378" s="26" t="n">
        <f aca="false">IF($U378=0,0,IF(IFERROR(INDEX(VAT_Codes!$F:$F,MATCH($N378,VAT_Codes!$A:$A,0)),"N")="Y",$U378,IF($L378&lt;&gt;"",ROUND(ABS($L378)/IF(OR($R378="",$R378=0),1,$R378),2)*SIGN($U378),ROUND($U378*$V378,2))))</f>
        <v>0</v>
      </c>
      <c r="X378" s="24" t="str">
        <f aca="false">IF($N378="","",IFERROR(INDEX(VAT_Codes!$H:$H,MATCH($N378,VAT_Codes!$A:$A,0)),"")&amp;"")</f>
        <v/>
      </c>
      <c r="Y378" s="24" t="str">
        <f aca="false">IF($A378="","",(YEAR($A378)-YEAR(Settings!$C$8))*12+MONTH($A378)-MONTH(Settings!$C$8)+1)</f>
        <v/>
      </c>
      <c r="Z378" s="24" t="str">
        <f aca="false">IF(AND($C378="",$I378="",$J378=""),"",IF($N378="","NO VAT CODE",IF($T378="","UNKNOWN VAT CODE",IF($S378="","MISSING FX RATE",IF(OR($A378&lt;Settings!$C$8,$A378&gt;Settings!$C$9),"OUTSIDE PERIOD",IF(AND(IFERROR(INDEX(VAT_Codes!$E:$E,MATCH($N378,VAT_Codes!$A:$A,0)),"ANY")&lt;&gt;"ANY",$P378=""),"MISSING COUNTERPARTY COUNTRY",IF(AND(IFERROR(INDEX(VAT_Codes!$E:$E,MATCH($N378,VAT_Codes!$A:$A,0)),"ANY")&lt;&gt;"ANY",$P378&lt;&gt;IFERROR(INDEX(VAT_Codes!$E:$E,MATCH($N378,VAT_Codes!$A:$A,0)),"ANY")),"REGION MISMATCH","OK")))))))</f>
        <v/>
      </c>
    </row>
    <row r="379" customFormat="false" ht="15" hidden="false" customHeight="false" outlineLevel="0" collapsed="false">
      <c r="M379" s="24" t="str">
        <f aca="false">IF($C379="","",IFERROR(INDEX(Account_Mapping!$C:$C,MATCH($C379&amp;"",Account_Mapping!$A:$A,0))&amp;"",""))</f>
        <v/>
      </c>
      <c r="N379" s="24" t="str">
        <f aca="false">IF($K379&lt;&gt;"",$K379,$M379)</f>
        <v/>
      </c>
      <c r="O379" s="24" t="str">
        <f aca="false">IF($F379="","",IFERROR(INDEX(Counterparties!$C:$C,MATCH($F379&amp;"",Counterparties!$A:$A,0))&amp;"",""))</f>
        <v/>
      </c>
      <c r="P379" s="24" t="str">
        <f aca="false">IF($O379="","",IF($O379="CY","CY",IF(ISNUMBER(MATCH($O379,Lists!$A:$A,0)),"EU","3RD")))</f>
        <v/>
      </c>
      <c r="Q379" s="24" t="str">
        <f aca="false">IF($F379="","N",IFERROR(IF(INDEX(Counterparties!$E:$E,MATCH($F379&amp;"",Counterparties!$A:$A,0))="Y","Y","N"),"N"))</f>
        <v>N</v>
      </c>
      <c r="R379" s="25" t="n">
        <f aca="false">IF(OR($H379="",$H379="EUR"),1,IFERROR(INDEX(FX_Rates!$D:$D,MATCH($H379,FX_Rates!$A:$A,0)),""))</f>
        <v>1</v>
      </c>
      <c r="S379" s="26" t="str">
        <f aca="false">IF(AND($I379="",$J379=""),"",IF($J379&lt;&gt;"",$J379,IF(OR($R379="",$R379=0),"",ROUND($I379/$R379,2))))</f>
        <v/>
      </c>
      <c r="T379" s="24" t="str">
        <f aca="false">IF($N379="","",IFERROR(INDEX(VAT_Codes!$C:$C,MATCH($N379,VAT_Codes!$A:$A,0)),"")&amp;"")</f>
        <v/>
      </c>
      <c r="U379" s="26" t="n">
        <f aca="false">IF(OR($S379="",$T379="",$T379="None"),0,IF($T379="Output",-$S379,$S379))</f>
        <v>0</v>
      </c>
      <c r="V379" s="27" t="n">
        <f aca="false">IF($N379="",0,IFERROR(INDEX(VAT_Codes!$D:$D,MATCH($N379,VAT_Codes!$A:$A,0)),0))</f>
        <v>0</v>
      </c>
      <c r="W379" s="26" t="n">
        <f aca="false">IF($U379=0,0,IF(IFERROR(INDEX(VAT_Codes!$F:$F,MATCH($N379,VAT_Codes!$A:$A,0)),"N")="Y",$U379,IF($L379&lt;&gt;"",ROUND(ABS($L379)/IF(OR($R379="",$R379=0),1,$R379),2)*SIGN($U379),ROUND($U379*$V379,2))))</f>
        <v>0</v>
      </c>
      <c r="X379" s="24" t="str">
        <f aca="false">IF($N379="","",IFERROR(INDEX(VAT_Codes!$H:$H,MATCH($N379,VAT_Codes!$A:$A,0)),"")&amp;"")</f>
        <v/>
      </c>
      <c r="Y379" s="24" t="str">
        <f aca="false">IF($A379="","",(YEAR($A379)-YEAR(Settings!$C$8))*12+MONTH($A379)-MONTH(Settings!$C$8)+1)</f>
        <v/>
      </c>
      <c r="Z379" s="24" t="str">
        <f aca="false">IF(AND($C379="",$I379="",$J379=""),"",IF($N379="","NO VAT CODE",IF($T379="","UNKNOWN VAT CODE",IF($S379="","MISSING FX RATE",IF(OR($A379&lt;Settings!$C$8,$A379&gt;Settings!$C$9),"OUTSIDE PERIOD",IF(AND(IFERROR(INDEX(VAT_Codes!$E:$E,MATCH($N379,VAT_Codes!$A:$A,0)),"ANY")&lt;&gt;"ANY",$P379=""),"MISSING COUNTERPARTY COUNTRY",IF(AND(IFERROR(INDEX(VAT_Codes!$E:$E,MATCH($N379,VAT_Codes!$A:$A,0)),"ANY")&lt;&gt;"ANY",$P379&lt;&gt;IFERROR(INDEX(VAT_Codes!$E:$E,MATCH($N379,VAT_Codes!$A:$A,0)),"ANY")),"REGION MISMATCH","OK")))))))</f>
        <v/>
      </c>
    </row>
    <row r="380" customFormat="false" ht="15" hidden="false" customHeight="false" outlineLevel="0" collapsed="false">
      <c r="M380" s="24" t="str">
        <f aca="false">IF($C380="","",IFERROR(INDEX(Account_Mapping!$C:$C,MATCH($C380&amp;"",Account_Mapping!$A:$A,0))&amp;"",""))</f>
        <v/>
      </c>
      <c r="N380" s="24" t="str">
        <f aca="false">IF($K380&lt;&gt;"",$K380,$M380)</f>
        <v/>
      </c>
      <c r="O380" s="24" t="str">
        <f aca="false">IF($F380="","",IFERROR(INDEX(Counterparties!$C:$C,MATCH($F380&amp;"",Counterparties!$A:$A,0))&amp;"",""))</f>
        <v/>
      </c>
      <c r="P380" s="24" t="str">
        <f aca="false">IF($O380="","",IF($O380="CY","CY",IF(ISNUMBER(MATCH($O380,Lists!$A:$A,0)),"EU","3RD")))</f>
        <v/>
      </c>
      <c r="Q380" s="24" t="str">
        <f aca="false">IF($F380="","N",IFERROR(IF(INDEX(Counterparties!$E:$E,MATCH($F380&amp;"",Counterparties!$A:$A,0))="Y","Y","N"),"N"))</f>
        <v>N</v>
      </c>
      <c r="R380" s="25" t="n">
        <f aca="false">IF(OR($H380="",$H380="EUR"),1,IFERROR(INDEX(FX_Rates!$D:$D,MATCH($H380,FX_Rates!$A:$A,0)),""))</f>
        <v>1</v>
      </c>
      <c r="S380" s="26" t="str">
        <f aca="false">IF(AND($I380="",$J380=""),"",IF($J380&lt;&gt;"",$J380,IF(OR($R380="",$R380=0),"",ROUND($I380/$R380,2))))</f>
        <v/>
      </c>
      <c r="T380" s="24" t="str">
        <f aca="false">IF($N380="","",IFERROR(INDEX(VAT_Codes!$C:$C,MATCH($N380,VAT_Codes!$A:$A,0)),"")&amp;"")</f>
        <v/>
      </c>
      <c r="U380" s="26" t="n">
        <f aca="false">IF(OR($S380="",$T380="",$T380="None"),0,IF($T380="Output",-$S380,$S380))</f>
        <v>0</v>
      </c>
      <c r="V380" s="27" t="n">
        <f aca="false">IF($N380="",0,IFERROR(INDEX(VAT_Codes!$D:$D,MATCH($N380,VAT_Codes!$A:$A,0)),0))</f>
        <v>0</v>
      </c>
      <c r="W380" s="26" t="n">
        <f aca="false">IF($U380=0,0,IF(IFERROR(INDEX(VAT_Codes!$F:$F,MATCH($N380,VAT_Codes!$A:$A,0)),"N")="Y",$U380,IF($L380&lt;&gt;"",ROUND(ABS($L380)/IF(OR($R380="",$R380=0),1,$R380),2)*SIGN($U380),ROUND($U380*$V380,2))))</f>
        <v>0</v>
      </c>
      <c r="X380" s="24" t="str">
        <f aca="false">IF($N380="","",IFERROR(INDEX(VAT_Codes!$H:$H,MATCH($N380,VAT_Codes!$A:$A,0)),"")&amp;"")</f>
        <v/>
      </c>
      <c r="Y380" s="24" t="str">
        <f aca="false">IF($A380="","",(YEAR($A380)-YEAR(Settings!$C$8))*12+MONTH($A380)-MONTH(Settings!$C$8)+1)</f>
        <v/>
      </c>
      <c r="Z380" s="24" t="str">
        <f aca="false">IF(AND($C380="",$I380="",$J380=""),"",IF($N380="","NO VAT CODE",IF($T380="","UNKNOWN VAT CODE",IF($S380="","MISSING FX RATE",IF(OR($A380&lt;Settings!$C$8,$A380&gt;Settings!$C$9),"OUTSIDE PERIOD",IF(AND(IFERROR(INDEX(VAT_Codes!$E:$E,MATCH($N380,VAT_Codes!$A:$A,0)),"ANY")&lt;&gt;"ANY",$P380=""),"MISSING COUNTERPARTY COUNTRY",IF(AND(IFERROR(INDEX(VAT_Codes!$E:$E,MATCH($N380,VAT_Codes!$A:$A,0)),"ANY")&lt;&gt;"ANY",$P380&lt;&gt;IFERROR(INDEX(VAT_Codes!$E:$E,MATCH($N380,VAT_Codes!$A:$A,0)),"ANY")),"REGION MISMATCH","OK")))))))</f>
        <v/>
      </c>
    </row>
    <row r="381" customFormat="false" ht="15" hidden="false" customHeight="false" outlineLevel="0" collapsed="false">
      <c r="M381" s="24" t="str">
        <f aca="false">IF($C381="","",IFERROR(INDEX(Account_Mapping!$C:$C,MATCH($C381&amp;"",Account_Mapping!$A:$A,0))&amp;"",""))</f>
        <v/>
      </c>
      <c r="N381" s="24" t="str">
        <f aca="false">IF($K381&lt;&gt;"",$K381,$M381)</f>
        <v/>
      </c>
      <c r="O381" s="24" t="str">
        <f aca="false">IF($F381="","",IFERROR(INDEX(Counterparties!$C:$C,MATCH($F381&amp;"",Counterparties!$A:$A,0))&amp;"",""))</f>
        <v/>
      </c>
      <c r="P381" s="24" t="str">
        <f aca="false">IF($O381="","",IF($O381="CY","CY",IF(ISNUMBER(MATCH($O381,Lists!$A:$A,0)),"EU","3RD")))</f>
        <v/>
      </c>
      <c r="Q381" s="24" t="str">
        <f aca="false">IF($F381="","N",IFERROR(IF(INDEX(Counterparties!$E:$E,MATCH($F381&amp;"",Counterparties!$A:$A,0))="Y","Y","N"),"N"))</f>
        <v>N</v>
      </c>
      <c r="R381" s="25" t="n">
        <f aca="false">IF(OR($H381="",$H381="EUR"),1,IFERROR(INDEX(FX_Rates!$D:$D,MATCH($H381,FX_Rates!$A:$A,0)),""))</f>
        <v>1</v>
      </c>
      <c r="S381" s="26" t="str">
        <f aca="false">IF(AND($I381="",$J381=""),"",IF($J381&lt;&gt;"",$J381,IF(OR($R381="",$R381=0),"",ROUND($I381/$R381,2))))</f>
        <v/>
      </c>
      <c r="T381" s="24" t="str">
        <f aca="false">IF($N381="","",IFERROR(INDEX(VAT_Codes!$C:$C,MATCH($N381,VAT_Codes!$A:$A,0)),"")&amp;"")</f>
        <v/>
      </c>
      <c r="U381" s="26" t="n">
        <f aca="false">IF(OR($S381="",$T381="",$T381="None"),0,IF($T381="Output",-$S381,$S381))</f>
        <v>0</v>
      </c>
      <c r="V381" s="27" t="n">
        <f aca="false">IF($N381="",0,IFERROR(INDEX(VAT_Codes!$D:$D,MATCH($N381,VAT_Codes!$A:$A,0)),0))</f>
        <v>0</v>
      </c>
      <c r="W381" s="26" t="n">
        <f aca="false">IF($U381=0,0,IF(IFERROR(INDEX(VAT_Codes!$F:$F,MATCH($N381,VAT_Codes!$A:$A,0)),"N")="Y",$U381,IF($L381&lt;&gt;"",ROUND(ABS($L381)/IF(OR($R381="",$R381=0),1,$R381),2)*SIGN($U381),ROUND($U381*$V381,2))))</f>
        <v>0</v>
      </c>
      <c r="X381" s="24" t="str">
        <f aca="false">IF($N381="","",IFERROR(INDEX(VAT_Codes!$H:$H,MATCH($N381,VAT_Codes!$A:$A,0)),"")&amp;"")</f>
        <v/>
      </c>
      <c r="Y381" s="24" t="str">
        <f aca="false">IF($A381="","",(YEAR($A381)-YEAR(Settings!$C$8))*12+MONTH($A381)-MONTH(Settings!$C$8)+1)</f>
        <v/>
      </c>
      <c r="Z381" s="24" t="str">
        <f aca="false">IF(AND($C381="",$I381="",$J381=""),"",IF($N381="","NO VAT CODE",IF($T381="","UNKNOWN VAT CODE",IF($S381="","MISSING FX RATE",IF(OR($A381&lt;Settings!$C$8,$A381&gt;Settings!$C$9),"OUTSIDE PERIOD",IF(AND(IFERROR(INDEX(VAT_Codes!$E:$E,MATCH($N381,VAT_Codes!$A:$A,0)),"ANY")&lt;&gt;"ANY",$P381=""),"MISSING COUNTERPARTY COUNTRY",IF(AND(IFERROR(INDEX(VAT_Codes!$E:$E,MATCH($N381,VAT_Codes!$A:$A,0)),"ANY")&lt;&gt;"ANY",$P381&lt;&gt;IFERROR(INDEX(VAT_Codes!$E:$E,MATCH($N381,VAT_Codes!$A:$A,0)),"ANY")),"REGION MISMATCH","OK")))))))</f>
        <v/>
      </c>
    </row>
    <row r="382" customFormat="false" ht="15" hidden="false" customHeight="false" outlineLevel="0" collapsed="false">
      <c r="M382" s="24" t="str">
        <f aca="false">IF($C382="","",IFERROR(INDEX(Account_Mapping!$C:$C,MATCH($C382&amp;"",Account_Mapping!$A:$A,0))&amp;"",""))</f>
        <v/>
      </c>
      <c r="N382" s="24" t="str">
        <f aca="false">IF($K382&lt;&gt;"",$K382,$M382)</f>
        <v/>
      </c>
      <c r="O382" s="24" t="str">
        <f aca="false">IF($F382="","",IFERROR(INDEX(Counterparties!$C:$C,MATCH($F382&amp;"",Counterparties!$A:$A,0))&amp;"",""))</f>
        <v/>
      </c>
      <c r="P382" s="24" t="str">
        <f aca="false">IF($O382="","",IF($O382="CY","CY",IF(ISNUMBER(MATCH($O382,Lists!$A:$A,0)),"EU","3RD")))</f>
        <v/>
      </c>
      <c r="Q382" s="24" t="str">
        <f aca="false">IF($F382="","N",IFERROR(IF(INDEX(Counterparties!$E:$E,MATCH($F382&amp;"",Counterparties!$A:$A,0))="Y","Y","N"),"N"))</f>
        <v>N</v>
      </c>
      <c r="R382" s="25" t="n">
        <f aca="false">IF(OR($H382="",$H382="EUR"),1,IFERROR(INDEX(FX_Rates!$D:$D,MATCH($H382,FX_Rates!$A:$A,0)),""))</f>
        <v>1</v>
      </c>
      <c r="S382" s="26" t="str">
        <f aca="false">IF(AND($I382="",$J382=""),"",IF($J382&lt;&gt;"",$J382,IF(OR($R382="",$R382=0),"",ROUND($I382/$R382,2))))</f>
        <v/>
      </c>
      <c r="T382" s="24" t="str">
        <f aca="false">IF($N382="","",IFERROR(INDEX(VAT_Codes!$C:$C,MATCH($N382,VAT_Codes!$A:$A,0)),"")&amp;"")</f>
        <v/>
      </c>
      <c r="U382" s="26" t="n">
        <f aca="false">IF(OR($S382="",$T382="",$T382="None"),0,IF($T382="Output",-$S382,$S382))</f>
        <v>0</v>
      </c>
      <c r="V382" s="27" t="n">
        <f aca="false">IF($N382="",0,IFERROR(INDEX(VAT_Codes!$D:$D,MATCH($N382,VAT_Codes!$A:$A,0)),0))</f>
        <v>0</v>
      </c>
      <c r="W382" s="26" t="n">
        <f aca="false">IF($U382=0,0,IF(IFERROR(INDEX(VAT_Codes!$F:$F,MATCH($N382,VAT_Codes!$A:$A,0)),"N")="Y",$U382,IF($L382&lt;&gt;"",ROUND(ABS($L382)/IF(OR($R382="",$R382=0),1,$R382),2)*SIGN($U382),ROUND($U382*$V382,2))))</f>
        <v>0</v>
      </c>
      <c r="X382" s="24" t="str">
        <f aca="false">IF($N382="","",IFERROR(INDEX(VAT_Codes!$H:$H,MATCH($N382,VAT_Codes!$A:$A,0)),"")&amp;"")</f>
        <v/>
      </c>
      <c r="Y382" s="24" t="str">
        <f aca="false">IF($A382="","",(YEAR($A382)-YEAR(Settings!$C$8))*12+MONTH($A382)-MONTH(Settings!$C$8)+1)</f>
        <v/>
      </c>
      <c r="Z382" s="24" t="str">
        <f aca="false">IF(AND($C382="",$I382="",$J382=""),"",IF($N382="","NO VAT CODE",IF($T382="","UNKNOWN VAT CODE",IF($S382="","MISSING FX RATE",IF(OR($A382&lt;Settings!$C$8,$A382&gt;Settings!$C$9),"OUTSIDE PERIOD",IF(AND(IFERROR(INDEX(VAT_Codes!$E:$E,MATCH($N382,VAT_Codes!$A:$A,0)),"ANY")&lt;&gt;"ANY",$P382=""),"MISSING COUNTERPARTY COUNTRY",IF(AND(IFERROR(INDEX(VAT_Codes!$E:$E,MATCH($N382,VAT_Codes!$A:$A,0)),"ANY")&lt;&gt;"ANY",$P382&lt;&gt;IFERROR(INDEX(VAT_Codes!$E:$E,MATCH($N382,VAT_Codes!$A:$A,0)),"ANY")),"REGION MISMATCH","OK")))))))</f>
        <v/>
      </c>
    </row>
    <row r="383" customFormat="false" ht="15" hidden="false" customHeight="false" outlineLevel="0" collapsed="false">
      <c r="M383" s="24" t="str">
        <f aca="false">IF($C383="","",IFERROR(INDEX(Account_Mapping!$C:$C,MATCH($C383&amp;"",Account_Mapping!$A:$A,0))&amp;"",""))</f>
        <v/>
      </c>
      <c r="N383" s="24" t="str">
        <f aca="false">IF($K383&lt;&gt;"",$K383,$M383)</f>
        <v/>
      </c>
      <c r="O383" s="24" t="str">
        <f aca="false">IF($F383="","",IFERROR(INDEX(Counterparties!$C:$C,MATCH($F383&amp;"",Counterparties!$A:$A,0))&amp;"",""))</f>
        <v/>
      </c>
      <c r="P383" s="24" t="str">
        <f aca="false">IF($O383="","",IF($O383="CY","CY",IF(ISNUMBER(MATCH($O383,Lists!$A:$A,0)),"EU","3RD")))</f>
        <v/>
      </c>
      <c r="Q383" s="24" t="str">
        <f aca="false">IF($F383="","N",IFERROR(IF(INDEX(Counterparties!$E:$E,MATCH($F383&amp;"",Counterparties!$A:$A,0))="Y","Y","N"),"N"))</f>
        <v>N</v>
      </c>
      <c r="R383" s="25" t="n">
        <f aca="false">IF(OR($H383="",$H383="EUR"),1,IFERROR(INDEX(FX_Rates!$D:$D,MATCH($H383,FX_Rates!$A:$A,0)),""))</f>
        <v>1</v>
      </c>
      <c r="S383" s="26" t="str">
        <f aca="false">IF(AND($I383="",$J383=""),"",IF($J383&lt;&gt;"",$J383,IF(OR($R383="",$R383=0),"",ROUND($I383/$R383,2))))</f>
        <v/>
      </c>
      <c r="T383" s="24" t="str">
        <f aca="false">IF($N383="","",IFERROR(INDEX(VAT_Codes!$C:$C,MATCH($N383,VAT_Codes!$A:$A,0)),"")&amp;"")</f>
        <v/>
      </c>
      <c r="U383" s="26" t="n">
        <f aca="false">IF(OR($S383="",$T383="",$T383="None"),0,IF($T383="Output",-$S383,$S383))</f>
        <v>0</v>
      </c>
      <c r="V383" s="27" t="n">
        <f aca="false">IF($N383="",0,IFERROR(INDEX(VAT_Codes!$D:$D,MATCH($N383,VAT_Codes!$A:$A,0)),0))</f>
        <v>0</v>
      </c>
      <c r="W383" s="26" t="n">
        <f aca="false">IF($U383=0,0,IF(IFERROR(INDEX(VAT_Codes!$F:$F,MATCH($N383,VAT_Codes!$A:$A,0)),"N")="Y",$U383,IF($L383&lt;&gt;"",ROUND(ABS($L383)/IF(OR($R383="",$R383=0),1,$R383),2)*SIGN($U383),ROUND($U383*$V383,2))))</f>
        <v>0</v>
      </c>
      <c r="X383" s="24" t="str">
        <f aca="false">IF($N383="","",IFERROR(INDEX(VAT_Codes!$H:$H,MATCH($N383,VAT_Codes!$A:$A,0)),"")&amp;"")</f>
        <v/>
      </c>
      <c r="Y383" s="24" t="str">
        <f aca="false">IF($A383="","",(YEAR($A383)-YEAR(Settings!$C$8))*12+MONTH($A383)-MONTH(Settings!$C$8)+1)</f>
        <v/>
      </c>
      <c r="Z383" s="24" t="str">
        <f aca="false">IF(AND($C383="",$I383="",$J383=""),"",IF($N383="","NO VAT CODE",IF($T383="","UNKNOWN VAT CODE",IF($S383="","MISSING FX RATE",IF(OR($A383&lt;Settings!$C$8,$A383&gt;Settings!$C$9),"OUTSIDE PERIOD",IF(AND(IFERROR(INDEX(VAT_Codes!$E:$E,MATCH($N383,VAT_Codes!$A:$A,0)),"ANY")&lt;&gt;"ANY",$P383=""),"MISSING COUNTERPARTY COUNTRY",IF(AND(IFERROR(INDEX(VAT_Codes!$E:$E,MATCH($N383,VAT_Codes!$A:$A,0)),"ANY")&lt;&gt;"ANY",$P383&lt;&gt;IFERROR(INDEX(VAT_Codes!$E:$E,MATCH($N383,VAT_Codes!$A:$A,0)),"ANY")),"REGION MISMATCH","OK")))))))</f>
        <v/>
      </c>
    </row>
    <row r="384" customFormat="false" ht="15" hidden="false" customHeight="false" outlineLevel="0" collapsed="false">
      <c r="M384" s="24" t="str">
        <f aca="false">IF($C384="","",IFERROR(INDEX(Account_Mapping!$C:$C,MATCH($C384&amp;"",Account_Mapping!$A:$A,0))&amp;"",""))</f>
        <v/>
      </c>
      <c r="N384" s="24" t="str">
        <f aca="false">IF($K384&lt;&gt;"",$K384,$M384)</f>
        <v/>
      </c>
      <c r="O384" s="24" t="str">
        <f aca="false">IF($F384="","",IFERROR(INDEX(Counterparties!$C:$C,MATCH($F384&amp;"",Counterparties!$A:$A,0))&amp;"",""))</f>
        <v/>
      </c>
      <c r="P384" s="24" t="str">
        <f aca="false">IF($O384="","",IF($O384="CY","CY",IF(ISNUMBER(MATCH($O384,Lists!$A:$A,0)),"EU","3RD")))</f>
        <v/>
      </c>
      <c r="Q384" s="24" t="str">
        <f aca="false">IF($F384="","N",IFERROR(IF(INDEX(Counterparties!$E:$E,MATCH($F384&amp;"",Counterparties!$A:$A,0))="Y","Y","N"),"N"))</f>
        <v>N</v>
      </c>
      <c r="R384" s="25" t="n">
        <f aca="false">IF(OR($H384="",$H384="EUR"),1,IFERROR(INDEX(FX_Rates!$D:$D,MATCH($H384,FX_Rates!$A:$A,0)),""))</f>
        <v>1</v>
      </c>
      <c r="S384" s="26" t="str">
        <f aca="false">IF(AND($I384="",$J384=""),"",IF($J384&lt;&gt;"",$J384,IF(OR($R384="",$R384=0),"",ROUND($I384/$R384,2))))</f>
        <v/>
      </c>
      <c r="T384" s="24" t="str">
        <f aca="false">IF($N384="","",IFERROR(INDEX(VAT_Codes!$C:$C,MATCH($N384,VAT_Codes!$A:$A,0)),"")&amp;"")</f>
        <v/>
      </c>
      <c r="U384" s="26" t="n">
        <f aca="false">IF(OR($S384="",$T384="",$T384="None"),0,IF($T384="Output",-$S384,$S384))</f>
        <v>0</v>
      </c>
      <c r="V384" s="27" t="n">
        <f aca="false">IF($N384="",0,IFERROR(INDEX(VAT_Codes!$D:$D,MATCH($N384,VAT_Codes!$A:$A,0)),0))</f>
        <v>0</v>
      </c>
      <c r="W384" s="26" t="n">
        <f aca="false">IF($U384=0,0,IF(IFERROR(INDEX(VAT_Codes!$F:$F,MATCH($N384,VAT_Codes!$A:$A,0)),"N")="Y",$U384,IF($L384&lt;&gt;"",ROUND(ABS($L384)/IF(OR($R384="",$R384=0),1,$R384),2)*SIGN($U384),ROUND($U384*$V384,2))))</f>
        <v>0</v>
      </c>
      <c r="X384" s="24" t="str">
        <f aca="false">IF($N384="","",IFERROR(INDEX(VAT_Codes!$H:$H,MATCH($N384,VAT_Codes!$A:$A,0)),"")&amp;"")</f>
        <v/>
      </c>
      <c r="Y384" s="24" t="str">
        <f aca="false">IF($A384="","",(YEAR($A384)-YEAR(Settings!$C$8))*12+MONTH($A384)-MONTH(Settings!$C$8)+1)</f>
        <v/>
      </c>
      <c r="Z384" s="24" t="str">
        <f aca="false">IF(AND($C384="",$I384="",$J384=""),"",IF($N384="","NO VAT CODE",IF($T384="","UNKNOWN VAT CODE",IF($S384="","MISSING FX RATE",IF(OR($A384&lt;Settings!$C$8,$A384&gt;Settings!$C$9),"OUTSIDE PERIOD",IF(AND(IFERROR(INDEX(VAT_Codes!$E:$E,MATCH($N384,VAT_Codes!$A:$A,0)),"ANY")&lt;&gt;"ANY",$P384=""),"MISSING COUNTERPARTY COUNTRY",IF(AND(IFERROR(INDEX(VAT_Codes!$E:$E,MATCH($N384,VAT_Codes!$A:$A,0)),"ANY")&lt;&gt;"ANY",$P384&lt;&gt;IFERROR(INDEX(VAT_Codes!$E:$E,MATCH($N384,VAT_Codes!$A:$A,0)),"ANY")),"REGION MISMATCH","OK")))))))</f>
        <v/>
      </c>
    </row>
    <row r="385" customFormat="false" ht="15" hidden="false" customHeight="false" outlineLevel="0" collapsed="false">
      <c r="M385" s="24" t="str">
        <f aca="false">IF($C385="","",IFERROR(INDEX(Account_Mapping!$C:$C,MATCH($C385&amp;"",Account_Mapping!$A:$A,0))&amp;"",""))</f>
        <v/>
      </c>
      <c r="N385" s="24" t="str">
        <f aca="false">IF($K385&lt;&gt;"",$K385,$M385)</f>
        <v/>
      </c>
      <c r="O385" s="24" t="str">
        <f aca="false">IF($F385="","",IFERROR(INDEX(Counterparties!$C:$C,MATCH($F385&amp;"",Counterparties!$A:$A,0))&amp;"",""))</f>
        <v/>
      </c>
      <c r="P385" s="24" t="str">
        <f aca="false">IF($O385="","",IF($O385="CY","CY",IF(ISNUMBER(MATCH($O385,Lists!$A:$A,0)),"EU","3RD")))</f>
        <v/>
      </c>
      <c r="Q385" s="24" t="str">
        <f aca="false">IF($F385="","N",IFERROR(IF(INDEX(Counterparties!$E:$E,MATCH($F385&amp;"",Counterparties!$A:$A,0))="Y","Y","N"),"N"))</f>
        <v>N</v>
      </c>
      <c r="R385" s="25" t="n">
        <f aca="false">IF(OR($H385="",$H385="EUR"),1,IFERROR(INDEX(FX_Rates!$D:$D,MATCH($H385,FX_Rates!$A:$A,0)),""))</f>
        <v>1</v>
      </c>
      <c r="S385" s="26" t="str">
        <f aca="false">IF(AND($I385="",$J385=""),"",IF($J385&lt;&gt;"",$J385,IF(OR($R385="",$R385=0),"",ROUND($I385/$R385,2))))</f>
        <v/>
      </c>
      <c r="T385" s="24" t="str">
        <f aca="false">IF($N385="","",IFERROR(INDEX(VAT_Codes!$C:$C,MATCH($N385,VAT_Codes!$A:$A,0)),"")&amp;"")</f>
        <v/>
      </c>
      <c r="U385" s="26" t="n">
        <f aca="false">IF(OR($S385="",$T385="",$T385="None"),0,IF($T385="Output",-$S385,$S385))</f>
        <v>0</v>
      </c>
      <c r="V385" s="27" t="n">
        <f aca="false">IF($N385="",0,IFERROR(INDEX(VAT_Codes!$D:$D,MATCH($N385,VAT_Codes!$A:$A,0)),0))</f>
        <v>0</v>
      </c>
      <c r="W385" s="26" t="n">
        <f aca="false">IF($U385=0,0,IF(IFERROR(INDEX(VAT_Codes!$F:$F,MATCH($N385,VAT_Codes!$A:$A,0)),"N")="Y",$U385,IF($L385&lt;&gt;"",ROUND(ABS($L385)/IF(OR($R385="",$R385=0),1,$R385),2)*SIGN($U385),ROUND($U385*$V385,2))))</f>
        <v>0</v>
      </c>
      <c r="X385" s="24" t="str">
        <f aca="false">IF($N385="","",IFERROR(INDEX(VAT_Codes!$H:$H,MATCH($N385,VAT_Codes!$A:$A,0)),"")&amp;"")</f>
        <v/>
      </c>
      <c r="Y385" s="24" t="str">
        <f aca="false">IF($A385="","",(YEAR($A385)-YEAR(Settings!$C$8))*12+MONTH($A385)-MONTH(Settings!$C$8)+1)</f>
        <v/>
      </c>
      <c r="Z385" s="24" t="str">
        <f aca="false">IF(AND($C385="",$I385="",$J385=""),"",IF($N385="","NO VAT CODE",IF($T385="","UNKNOWN VAT CODE",IF($S385="","MISSING FX RATE",IF(OR($A385&lt;Settings!$C$8,$A385&gt;Settings!$C$9),"OUTSIDE PERIOD",IF(AND(IFERROR(INDEX(VAT_Codes!$E:$E,MATCH($N385,VAT_Codes!$A:$A,0)),"ANY")&lt;&gt;"ANY",$P385=""),"MISSING COUNTERPARTY COUNTRY",IF(AND(IFERROR(INDEX(VAT_Codes!$E:$E,MATCH($N385,VAT_Codes!$A:$A,0)),"ANY")&lt;&gt;"ANY",$P385&lt;&gt;IFERROR(INDEX(VAT_Codes!$E:$E,MATCH($N385,VAT_Codes!$A:$A,0)),"ANY")),"REGION MISMATCH","OK")))))))</f>
        <v/>
      </c>
    </row>
    <row r="386" customFormat="false" ht="15" hidden="false" customHeight="false" outlineLevel="0" collapsed="false">
      <c r="M386" s="24" t="str">
        <f aca="false">IF($C386="","",IFERROR(INDEX(Account_Mapping!$C:$C,MATCH($C386&amp;"",Account_Mapping!$A:$A,0))&amp;"",""))</f>
        <v/>
      </c>
      <c r="N386" s="24" t="str">
        <f aca="false">IF($K386&lt;&gt;"",$K386,$M386)</f>
        <v/>
      </c>
      <c r="O386" s="24" t="str">
        <f aca="false">IF($F386="","",IFERROR(INDEX(Counterparties!$C:$C,MATCH($F386&amp;"",Counterparties!$A:$A,0))&amp;"",""))</f>
        <v/>
      </c>
      <c r="P386" s="24" t="str">
        <f aca="false">IF($O386="","",IF($O386="CY","CY",IF(ISNUMBER(MATCH($O386,Lists!$A:$A,0)),"EU","3RD")))</f>
        <v/>
      </c>
      <c r="Q386" s="24" t="str">
        <f aca="false">IF($F386="","N",IFERROR(IF(INDEX(Counterparties!$E:$E,MATCH($F386&amp;"",Counterparties!$A:$A,0))="Y","Y","N"),"N"))</f>
        <v>N</v>
      </c>
      <c r="R386" s="25" t="n">
        <f aca="false">IF(OR($H386="",$H386="EUR"),1,IFERROR(INDEX(FX_Rates!$D:$D,MATCH($H386,FX_Rates!$A:$A,0)),""))</f>
        <v>1</v>
      </c>
      <c r="S386" s="26" t="str">
        <f aca="false">IF(AND($I386="",$J386=""),"",IF($J386&lt;&gt;"",$J386,IF(OR($R386="",$R386=0),"",ROUND($I386/$R386,2))))</f>
        <v/>
      </c>
      <c r="T386" s="24" t="str">
        <f aca="false">IF($N386="","",IFERROR(INDEX(VAT_Codes!$C:$C,MATCH($N386,VAT_Codes!$A:$A,0)),"")&amp;"")</f>
        <v/>
      </c>
      <c r="U386" s="26" t="n">
        <f aca="false">IF(OR($S386="",$T386="",$T386="None"),0,IF($T386="Output",-$S386,$S386))</f>
        <v>0</v>
      </c>
      <c r="V386" s="27" t="n">
        <f aca="false">IF($N386="",0,IFERROR(INDEX(VAT_Codes!$D:$D,MATCH($N386,VAT_Codes!$A:$A,0)),0))</f>
        <v>0</v>
      </c>
      <c r="W386" s="26" t="n">
        <f aca="false">IF($U386=0,0,IF(IFERROR(INDEX(VAT_Codes!$F:$F,MATCH($N386,VAT_Codes!$A:$A,0)),"N")="Y",$U386,IF($L386&lt;&gt;"",ROUND(ABS($L386)/IF(OR($R386="",$R386=0),1,$R386),2)*SIGN($U386),ROUND($U386*$V386,2))))</f>
        <v>0</v>
      </c>
      <c r="X386" s="24" t="str">
        <f aca="false">IF($N386="","",IFERROR(INDEX(VAT_Codes!$H:$H,MATCH($N386,VAT_Codes!$A:$A,0)),"")&amp;"")</f>
        <v/>
      </c>
      <c r="Y386" s="24" t="str">
        <f aca="false">IF($A386="","",(YEAR($A386)-YEAR(Settings!$C$8))*12+MONTH($A386)-MONTH(Settings!$C$8)+1)</f>
        <v/>
      </c>
      <c r="Z386" s="24" t="str">
        <f aca="false">IF(AND($C386="",$I386="",$J386=""),"",IF($N386="","NO VAT CODE",IF($T386="","UNKNOWN VAT CODE",IF($S386="","MISSING FX RATE",IF(OR($A386&lt;Settings!$C$8,$A386&gt;Settings!$C$9),"OUTSIDE PERIOD",IF(AND(IFERROR(INDEX(VAT_Codes!$E:$E,MATCH($N386,VAT_Codes!$A:$A,0)),"ANY")&lt;&gt;"ANY",$P386=""),"MISSING COUNTERPARTY COUNTRY",IF(AND(IFERROR(INDEX(VAT_Codes!$E:$E,MATCH($N386,VAT_Codes!$A:$A,0)),"ANY")&lt;&gt;"ANY",$P386&lt;&gt;IFERROR(INDEX(VAT_Codes!$E:$E,MATCH($N386,VAT_Codes!$A:$A,0)),"ANY")),"REGION MISMATCH","OK")))))))</f>
        <v/>
      </c>
    </row>
    <row r="387" customFormat="false" ht="15" hidden="false" customHeight="false" outlineLevel="0" collapsed="false">
      <c r="M387" s="24" t="str">
        <f aca="false">IF($C387="","",IFERROR(INDEX(Account_Mapping!$C:$C,MATCH($C387&amp;"",Account_Mapping!$A:$A,0))&amp;"",""))</f>
        <v/>
      </c>
      <c r="N387" s="24" t="str">
        <f aca="false">IF($K387&lt;&gt;"",$K387,$M387)</f>
        <v/>
      </c>
      <c r="O387" s="24" t="str">
        <f aca="false">IF($F387="","",IFERROR(INDEX(Counterparties!$C:$C,MATCH($F387&amp;"",Counterparties!$A:$A,0))&amp;"",""))</f>
        <v/>
      </c>
      <c r="P387" s="24" t="str">
        <f aca="false">IF($O387="","",IF($O387="CY","CY",IF(ISNUMBER(MATCH($O387,Lists!$A:$A,0)),"EU","3RD")))</f>
        <v/>
      </c>
      <c r="Q387" s="24" t="str">
        <f aca="false">IF($F387="","N",IFERROR(IF(INDEX(Counterparties!$E:$E,MATCH($F387&amp;"",Counterparties!$A:$A,0))="Y","Y","N"),"N"))</f>
        <v>N</v>
      </c>
      <c r="R387" s="25" t="n">
        <f aca="false">IF(OR($H387="",$H387="EUR"),1,IFERROR(INDEX(FX_Rates!$D:$D,MATCH($H387,FX_Rates!$A:$A,0)),""))</f>
        <v>1</v>
      </c>
      <c r="S387" s="26" t="str">
        <f aca="false">IF(AND($I387="",$J387=""),"",IF($J387&lt;&gt;"",$J387,IF(OR($R387="",$R387=0),"",ROUND($I387/$R387,2))))</f>
        <v/>
      </c>
      <c r="T387" s="24" t="str">
        <f aca="false">IF($N387="","",IFERROR(INDEX(VAT_Codes!$C:$C,MATCH($N387,VAT_Codes!$A:$A,0)),"")&amp;"")</f>
        <v/>
      </c>
      <c r="U387" s="26" t="n">
        <f aca="false">IF(OR($S387="",$T387="",$T387="None"),0,IF($T387="Output",-$S387,$S387))</f>
        <v>0</v>
      </c>
      <c r="V387" s="27" t="n">
        <f aca="false">IF($N387="",0,IFERROR(INDEX(VAT_Codes!$D:$D,MATCH($N387,VAT_Codes!$A:$A,0)),0))</f>
        <v>0</v>
      </c>
      <c r="W387" s="26" t="n">
        <f aca="false">IF($U387=0,0,IF(IFERROR(INDEX(VAT_Codes!$F:$F,MATCH($N387,VAT_Codes!$A:$A,0)),"N")="Y",$U387,IF($L387&lt;&gt;"",ROUND(ABS($L387)/IF(OR($R387="",$R387=0),1,$R387),2)*SIGN($U387),ROUND($U387*$V387,2))))</f>
        <v>0</v>
      </c>
      <c r="X387" s="24" t="str">
        <f aca="false">IF($N387="","",IFERROR(INDEX(VAT_Codes!$H:$H,MATCH($N387,VAT_Codes!$A:$A,0)),"")&amp;"")</f>
        <v/>
      </c>
      <c r="Y387" s="24" t="str">
        <f aca="false">IF($A387="","",(YEAR($A387)-YEAR(Settings!$C$8))*12+MONTH($A387)-MONTH(Settings!$C$8)+1)</f>
        <v/>
      </c>
      <c r="Z387" s="24" t="str">
        <f aca="false">IF(AND($C387="",$I387="",$J387=""),"",IF($N387="","NO VAT CODE",IF($T387="","UNKNOWN VAT CODE",IF($S387="","MISSING FX RATE",IF(OR($A387&lt;Settings!$C$8,$A387&gt;Settings!$C$9),"OUTSIDE PERIOD",IF(AND(IFERROR(INDEX(VAT_Codes!$E:$E,MATCH($N387,VAT_Codes!$A:$A,0)),"ANY")&lt;&gt;"ANY",$P387=""),"MISSING COUNTERPARTY COUNTRY",IF(AND(IFERROR(INDEX(VAT_Codes!$E:$E,MATCH($N387,VAT_Codes!$A:$A,0)),"ANY")&lt;&gt;"ANY",$P387&lt;&gt;IFERROR(INDEX(VAT_Codes!$E:$E,MATCH($N387,VAT_Codes!$A:$A,0)),"ANY")),"REGION MISMATCH","OK")))))))</f>
        <v/>
      </c>
    </row>
    <row r="388" customFormat="false" ht="15" hidden="false" customHeight="false" outlineLevel="0" collapsed="false">
      <c r="M388" s="24" t="str">
        <f aca="false">IF($C388="","",IFERROR(INDEX(Account_Mapping!$C:$C,MATCH($C388&amp;"",Account_Mapping!$A:$A,0))&amp;"",""))</f>
        <v/>
      </c>
      <c r="N388" s="24" t="str">
        <f aca="false">IF($K388&lt;&gt;"",$K388,$M388)</f>
        <v/>
      </c>
      <c r="O388" s="24" t="str">
        <f aca="false">IF($F388="","",IFERROR(INDEX(Counterparties!$C:$C,MATCH($F388&amp;"",Counterparties!$A:$A,0))&amp;"",""))</f>
        <v/>
      </c>
      <c r="P388" s="24" t="str">
        <f aca="false">IF($O388="","",IF($O388="CY","CY",IF(ISNUMBER(MATCH($O388,Lists!$A:$A,0)),"EU","3RD")))</f>
        <v/>
      </c>
      <c r="Q388" s="24" t="str">
        <f aca="false">IF($F388="","N",IFERROR(IF(INDEX(Counterparties!$E:$E,MATCH($F388&amp;"",Counterparties!$A:$A,0))="Y","Y","N"),"N"))</f>
        <v>N</v>
      </c>
      <c r="R388" s="25" t="n">
        <f aca="false">IF(OR($H388="",$H388="EUR"),1,IFERROR(INDEX(FX_Rates!$D:$D,MATCH($H388,FX_Rates!$A:$A,0)),""))</f>
        <v>1</v>
      </c>
      <c r="S388" s="26" t="str">
        <f aca="false">IF(AND($I388="",$J388=""),"",IF($J388&lt;&gt;"",$J388,IF(OR($R388="",$R388=0),"",ROUND($I388/$R388,2))))</f>
        <v/>
      </c>
      <c r="T388" s="24" t="str">
        <f aca="false">IF($N388="","",IFERROR(INDEX(VAT_Codes!$C:$C,MATCH($N388,VAT_Codes!$A:$A,0)),"")&amp;"")</f>
        <v/>
      </c>
      <c r="U388" s="26" t="n">
        <f aca="false">IF(OR($S388="",$T388="",$T388="None"),0,IF($T388="Output",-$S388,$S388))</f>
        <v>0</v>
      </c>
      <c r="V388" s="27" t="n">
        <f aca="false">IF($N388="",0,IFERROR(INDEX(VAT_Codes!$D:$D,MATCH($N388,VAT_Codes!$A:$A,0)),0))</f>
        <v>0</v>
      </c>
      <c r="W388" s="26" t="n">
        <f aca="false">IF($U388=0,0,IF(IFERROR(INDEX(VAT_Codes!$F:$F,MATCH($N388,VAT_Codes!$A:$A,0)),"N")="Y",$U388,IF($L388&lt;&gt;"",ROUND(ABS($L388)/IF(OR($R388="",$R388=0),1,$R388),2)*SIGN($U388),ROUND($U388*$V388,2))))</f>
        <v>0</v>
      </c>
      <c r="X388" s="24" t="str">
        <f aca="false">IF($N388="","",IFERROR(INDEX(VAT_Codes!$H:$H,MATCH($N388,VAT_Codes!$A:$A,0)),"")&amp;"")</f>
        <v/>
      </c>
      <c r="Y388" s="24" t="str">
        <f aca="false">IF($A388="","",(YEAR($A388)-YEAR(Settings!$C$8))*12+MONTH($A388)-MONTH(Settings!$C$8)+1)</f>
        <v/>
      </c>
      <c r="Z388" s="24" t="str">
        <f aca="false">IF(AND($C388="",$I388="",$J388=""),"",IF($N388="","NO VAT CODE",IF($T388="","UNKNOWN VAT CODE",IF($S388="","MISSING FX RATE",IF(OR($A388&lt;Settings!$C$8,$A388&gt;Settings!$C$9),"OUTSIDE PERIOD",IF(AND(IFERROR(INDEX(VAT_Codes!$E:$E,MATCH($N388,VAT_Codes!$A:$A,0)),"ANY")&lt;&gt;"ANY",$P388=""),"MISSING COUNTERPARTY COUNTRY",IF(AND(IFERROR(INDEX(VAT_Codes!$E:$E,MATCH($N388,VAT_Codes!$A:$A,0)),"ANY")&lt;&gt;"ANY",$P388&lt;&gt;IFERROR(INDEX(VAT_Codes!$E:$E,MATCH($N388,VAT_Codes!$A:$A,0)),"ANY")),"REGION MISMATCH","OK")))))))</f>
        <v/>
      </c>
    </row>
    <row r="389" customFormat="false" ht="15" hidden="false" customHeight="false" outlineLevel="0" collapsed="false">
      <c r="M389" s="24" t="str">
        <f aca="false">IF($C389="","",IFERROR(INDEX(Account_Mapping!$C:$C,MATCH($C389&amp;"",Account_Mapping!$A:$A,0))&amp;"",""))</f>
        <v/>
      </c>
      <c r="N389" s="24" t="str">
        <f aca="false">IF($K389&lt;&gt;"",$K389,$M389)</f>
        <v/>
      </c>
      <c r="O389" s="24" t="str">
        <f aca="false">IF($F389="","",IFERROR(INDEX(Counterparties!$C:$C,MATCH($F389&amp;"",Counterparties!$A:$A,0))&amp;"",""))</f>
        <v/>
      </c>
      <c r="P389" s="24" t="str">
        <f aca="false">IF($O389="","",IF($O389="CY","CY",IF(ISNUMBER(MATCH($O389,Lists!$A:$A,0)),"EU","3RD")))</f>
        <v/>
      </c>
      <c r="Q389" s="24" t="str">
        <f aca="false">IF($F389="","N",IFERROR(IF(INDEX(Counterparties!$E:$E,MATCH($F389&amp;"",Counterparties!$A:$A,0))="Y","Y","N"),"N"))</f>
        <v>N</v>
      </c>
      <c r="R389" s="25" t="n">
        <f aca="false">IF(OR($H389="",$H389="EUR"),1,IFERROR(INDEX(FX_Rates!$D:$D,MATCH($H389,FX_Rates!$A:$A,0)),""))</f>
        <v>1</v>
      </c>
      <c r="S389" s="26" t="str">
        <f aca="false">IF(AND($I389="",$J389=""),"",IF($J389&lt;&gt;"",$J389,IF(OR($R389="",$R389=0),"",ROUND($I389/$R389,2))))</f>
        <v/>
      </c>
      <c r="T389" s="24" t="str">
        <f aca="false">IF($N389="","",IFERROR(INDEX(VAT_Codes!$C:$C,MATCH($N389,VAT_Codes!$A:$A,0)),"")&amp;"")</f>
        <v/>
      </c>
      <c r="U389" s="26" t="n">
        <f aca="false">IF(OR($S389="",$T389="",$T389="None"),0,IF($T389="Output",-$S389,$S389))</f>
        <v>0</v>
      </c>
      <c r="V389" s="27" t="n">
        <f aca="false">IF($N389="",0,IFERROR(INDEX(VAT_Codes!$D:$D,MATCH($N389,VAT_Codes!$A:$A,0)),0))</f>
        <v>0</v>
      </c>
      <c r="W389" s="26" t="n">
        <f aca="false">IF($U389=0,0,IF(IFERROR(INDEX(VAT_Codes!$F:$F,MATCH($N389,VAT_Codes!$A:$A,0)),"N")="Y",$U389,IF($L389&lt;&gt;"",ROUND(ABS($L389)/IF(OR($R389="",$R389=0),1,$R389),2)*SIGN($U389),ROUND($U389*$V389,2))))</f>
        <v>0</v>
      </c>
      <c r="X389" s="24" t="str">
        <f aca="false">IF($N389="","",IFERROR(INDEX(VAT_Codes!$H:$H,MATCH($N389,VAT_Codes!$A:$A,0)),"")&amp;"")</f>
        <v/>
      </c>
      <c r="Y389" s="24" t="str">
        <f aca="false">IF($A389="","",(YEAR($A389)-YEAR(Settings!$C$8))*12+MONTH($A389)-MONTH(Settings!$C$8)+1)</f>
        <v/>
      </c>
      <c r="Z389" s="24" t="str">
        <f aca="false">IF(AND($C389="",$I389="",$J389=""),"",IF($N389="","NO VAT CODE",IF($T389="","UNKNOWN VAT CODE",IF($S389="","MISSING FX RATE",IF(OR($A389&lt;Settings!$C$8,$A389&gt;Settings!$C$9),"OUTSIDE PERIOD",IF(AND(IFERROR(INDEX(VAT_Codes!$E:$E,MATCH($N389,VAT_Codes!$A:$A,0)),"ANY")&lt;&gt;"ANY",$P389=""),"MISSING COUNTERPARTY COUNTRY",IF(AND(IFERROR(INDEX(VAT_Codes!$E:$E,MATCH($N389,VAT_Codes!$A:$A,0)),"ANY")&lt;&gt;"ANY",$P389&lt;&gt;IFERROR(INDEX(VAT_Codes!$E:$E,MATCH($N389,VAT_Codes!$A:$A,0)),"ANY")),"REGION MISMATCH","OK")))))))</f>
        <v/>
      </c>
    </row>
    <row r="390" customFormat="false" ht="15" hidden="false" customHeight="false" outlineLevel="0" collapsed="false">
      <c r="M390" s="24" t="str">
        <f aca="false">IF($C390="","",IFERROR(INDEX(Account_Mapping!$C:$C,MATCH($C390&amp;"",Account_Mapping!$A:$A,0))&amp;"",""))</f>
        <v/>
      </c>
      <c r="N390" s="24" t="str">
        <f aca="false">IF($K390&lt;&gt;"",$K390,$M390)</f>
        <v/>
      </c>
      <c r="O390" s="24" t="str">
        <f aca="false">IF($F390="","",IFERROR(INDEX(Counterparties!$C:$C,MATCH($F390&amp;"",Counterparties!$A:$A,0))&amp;"",""))</f>
        <v/>
      </c>
      <c r="P390" s="24" t="str">
        <f aca="false">IF($O390="","",IF($O390="CY","CY",IF(ISNUMBER(MATCH($O390,Lists!$A:$A,0)),"EU","3RD")))</f>
        <v/>
      </c>
      <c r="Q390" s="24" t="str">
        <f aca="false">IF($F390="","N",IFERROR(IF(INDEX(Counterparties!$E:$E,MATCH($F390&amp;"",Counterparties!$A:$A,0))="Y","Y","N"),"N"))</f>
        <v>N</v>
      </c>
      <c r="R390" s="25" t="n">
        <f aca="false">IF(OR($H390="",$H390="EUR"),1,IFERROR(INDEX(FX_Rates!$D:$D,MATCH($H390,FX_Rates!$A:$A,0)),""))</f>
        <v>1</v>
      </c>
      <c r="S390" s="26" t="str">
        <f aca="false">IF(AND($I390="",$J390=""),"",IF($J390&lt;&gt;"",$J390,IF(OR($R390="",$R390=0),"",ROUND($I390/$R390,2))))</f>
        <v/>
      </c>
      <c r="T390" s="24" t="str">
        <f aca="false">IF($N390="","",IFERROR(INDEX(VAT_Codes!$C:$C,MATCH($N390,VAT_Codes!$A:$A,0)),"")&amp;"")</f>
        <v/>
      </c>
      <c r="U390" s="26" t="n">
        <f aca="false">IF(OR($S390="",$T390="",$T390="None"),0,IF($T390="Output",-$S390,$S390))</f>
        <v>0</v>
      </c>
      <c r="V390" s="27" t="n">
        <f aca="false">IF($N390="",0,IFERROR(INDEX(VAT_Codes!$D:$D,MATCH($N390,VAT_Codes!$A:$A,0)),0))</f>
        <v>0</v>
      </c>
      <c r="W390" s="26" t="n">
        <f aca="false">IF($U390=0,0,IF(IFERROR(INDEX(VAT_Codes!$F:$F,MATCH($N390,VAT_Codes!$A:$A,0)),"N")="Y",$U390,IF($L390&lt;&gt;"",ROUND(ABS($L390)/IF(OR($R390="",$R390=0),1,$R390),2)*SIGN($U390),ROUND($U390*$V390,2))))</f>
        <v>0</v>
      </c>
      <c r="X390" s="24" t="str">
        <f aca="false">IF($N390="","",IFERROR(INDEX(VAT_Codes!$H:$H,MATCH($N390,VAT_Codes!$A:$A,0)),"")&amp;"")</f>
        <v/>
      </c>
      <c r="Y390" s="24" t="str">
        <f aca="false">IF($A390="","",(YEAR($A390)-YEAR(Settings!$C$8))*12+MONTH($A390)-MONTH(Settings!$C$8)+1)</f>
        <v/>
      </c>
      <c r="Z390" s="24" t="str">
        <f aca="false">IF(AND($C390="",$I390="",$J390=""),"",IF($N390="","NO VAT CODE",IF($T390="","UNKNOWN VAT CODE",IF($S390="","MISSING FX RATE",IF(OR($A390&lt;Settings!$C$8,$A390&gt;Settings!$C$9),"OUTSIDE PERIOD",IF(AND(IFERROR(INDEX(VAT_Codes!$E:$E,MATCH($N390,VAT_Codes!$A:$A,0)),"ANY")&lt;&gt;"ANY",$P390=""),"MISSING COUNTERPARTY COUNTRY",IF(AND(IFERROR(INDEX(VAT_Codes!$E:$E,MATCH($N390,VAT_Codes!$A:$A,0)),"ANY")&lt;&gt;"ANY",$P390&lt;&gt;IFERROR(INDEX(VAT_Codes!$E:$E,MATCH($N390,VAT_Codes!$A:$A,0)),"ANY")),"REGION MISMATCH","OK")))))))</f>
        <v/>
      </c>
    </row>
    <row r="391" customFormat="false" ht="15" hidden="false" customHeight="false" outlineLevel="0" collapsed="false">
      <c r="M391" s="24" t="str">
        <f aca="false">IF($C391="","",IFERROR(INDEX(Account_Mapping!$C:$C,MATCH($C391&amp;"",Account_Mapping!$A:$A,0))&amp;"",""))</f>
        <v/>
      </c>
      <c r="N391" s="24" t="str">
        <f aca="false">IF($K391&lt;&gt;"",$K391,$M391)</f>
        <v/>
      </c>
      <c r="O391" s="24" t="str">
        <f aca="false">IF($F391="","",IFERROR(INDEX(Counterparties!$C:$C,MATCH($F391&amp;"",Counterparties!$A:$A,0))&amp;"",""))</f>
        <v/>
      </c>
      <c r="P391" s="24" t="str">
        <f aca="false">IF($O391="","",IF($O391="CY","CY",IF(ISNUMBER(MATCH($O391,Lists!$A:$A,0)),"EU","3RD")))</f>
        <v/>
      </c>
      <c r="Q391" s="24" t="str">
        <f aca="false">IF($F391="","N",IFERROR(IF(INDEX(Counterparties!$E:$E,MATCH($F391&amp;"",Counterparties!$A:$A,0))="Y","Y","N"),"N"))</f>
        <v>N</v>
      </c>
      <c r="R391" s="25" t="n">
        <f aca="false">IF(OR($H391="",$H391="EUR"),1,IFERROR(INDEX(FX_Rates!$D:$D,MATCH($H391,FX_Rates!$A:$A,0)),""))</f>
        <v>1</v>
      </c>
      <c r="S391" s="26" t="str">
        <f aca="false">IF(AND($I391="",$J391=""),"",IF($J391&lt;&gt;"",$J391,IF(OR($R391="",$R391=0),"",ROUND($I391/$R391,2))))</f>
        <v/>
      </c>
      <c r="T391" s="24" t="str">
        <f aca="false">IF($N391="","",IFERROR(INDEX(VAT_Codes!$C:$C,MATCH($N391,VAT_Codes!$A:$A,0)),"")&amp;"")</f>
        <v/>
      </c>
      <c r="U391" s="26" t="n">
        <f aca="false">IF(OR($S391="",$T391="",$T391="None"),0,IF($T391="Output",-$S391,$S391))</f>
        <v>0</v>
      </c>
      <c r="V391" s="27" t="n">
        <f aca="false">IF($N391="",0,IFERROR(INDEX(VAT_Codes!$D:$D,MATCH($N391,VAT_Codes!$A:$A,0)),0))</f>
        <v>0</v>
      </c>
      <c r="W391" s="26" t="n">
        <f aca="false">IF($U391=0,0,IF(IFERROR(INDEX(VAT_Codes!$F:$F,MATCH($N391,VAT_Codes!$A:$A,0)),"N")="Y",$U391,IF($L391&lt;&gt;"",ROUND(ABS($L391)/IF(OR($R391="",$R391=0),1,$R391),2)*SIGN($U391),ROUND($U391*$V391,2))))</f>
        <v>0</v>
      </c>
      <c r="X391" s="24" t="str">
        <f aca="false">IF($N391="","",IFERROR(INDEX(VAT_Codes!$H:$H,MATCH($N391,VAT_Codes!$A:$A,0)),"")&amp;"")</f>
        <v/>
      </c>
      <c r="Y391" s="24" t="str">
        <f aca="false">IF($A391="","",(YEAR($A391)-YEAR(Settings!$C$8))*12+MONTH($A391)-MONTH(Settings!$C$8)+1)</f>
        <v/>
      </c>
      <c r="Z391" s="24" t="str">
        <f aca="false">IF(AND($C391="",$I391="",$J391=""),"",IF($N391="","NO VAT CODE",IF($T391="","UNKNOWN VAT CODE",IF($S391="","MISSING FX RATE",IF(OR($A391&lt;Settings!$C$8,$A391&gt;Settings!$C$9),"OUTSIDE PERIOD",IF(AND(IFERROR(INDEX(VAT_Codes!$E:$E,MATCH($N391,VAT_Codes!$A:$A,0)),"ANY")&lt;&gt;"ANY",$P391=""),"MISSING COUNTERPARTY COUNTRY",IF(AND(IFERROR(INDEX(VAT_Codes!$E:$E,MATCH($N391,VAT_Codes!$A:$A,0)),"ANY")&lt;&gt;"ANY",$P391&lt;&gt;IFERROR(INDEX(VAT_Codes!$E:$E,MATCH($N391,VAT_Codes!$A:$A,0)),"ANY")),"REGION MISMATCH","OK")))))))</f>
        <v/>
      </c>
    </row>
    <row r="392" customFormat="false" ht="15" hidden="false" customHeight="false" outlineLevel="0" collapsed="false">
      <c r="M392" s="24" t="str">
        <f aca="false">IF($C392="","",IFERROR(INDEX(Account_Mapping!$C:$C,MATCH($C392&amp;"",Account_Mapping!$A:$A,0))&amp;"",""))</f>
        <v/>
      </c>
      <c r="N392" s="24" t="str">
        <f aca="false">IF($K392&lt;&gt;"",$K392,$M392)</f>
        <v/>
      </c>
      <c r="O392" s="24" t="str">
        <f aca="false">IF($F392="","",IFERROR(INDEX(Counterparties!$C:$C,MATCH($F392&amp;"",Counterparties!$A:$A,0))&amp;"",""))</f>
        <v/>
      </c>
      <c r="P392" s="24" t="str">
        <f aca="false">IF($O392="","",IF($O392="CY","CY",IF(ISNUMBER(MATCH($O392,Lists!$A:$A,0)),"EU","3RD")))</f>
        <v/>
      </c>
      <c r="Q392" s="24" t="str">
        <f aca="false">IF($F392="","N",IFERROR(IF(INDEX(Counterparties!$E:$E,MATCH($F392&amp;"",Counterparties!$A:$A,0))="Y","Y","N"),"N"))</f>
        <v>N</v>
      </c>
      <c r="R392" s="25" t="n">
        <f aca="false">IF(OR($H392="",$H392="EUR"),1,IFERROR(INDEX(FX_Rates!$D:$D,MATCH($H392,FX_Rates!$A:$A,0)),""))</f>
        <v>1</v>
      </c>
      <c r="S392" s="26" t="str">
        <f aca="false">IF(AND($I392="",$J392=""),"",IF($J392&lt;&gt;"",$J392,IF(OR($R392="",$R392=0),"",ROUND($I392/$R392,2))))</f>
        <v/>
      </c>
      <c r="T392" s="24" t="str">
        <f aca="false">IF($N392="","",IFERROR(INDEX(VAT_Codes!$C:$C,MATCH($N392,VAT_Codes!$A:$A,0)),"")&amp;"")</f>
        <v/>
      </c>
      <c r="U392" s="26" t="n">
        <f aca="false">IF(OR($S392="",$T392="",$T392="None"),0,IF($T392="Output",-$S392,$S392))</f>
        <v>0</v>
      </c>
      <c r="V392" s="27" t="n">
        <f aca="false">IF($N392="",0,IFERROR(INDEX(VAT_Codes!$D:$D,MATCH($N392,VAT_Codes!$A:$A,0)),0))</f>
        <v>0</v>
      </c>
      <c r="W392" s="26" t="n">
        <f aca="false">IF($U392=0,0,IF(IFERROR(INDEX(VAT_Codes!$F:$F,MATCH($N392,VAT_Codes!$A:$A,0)),"N")="Y",$U392,IF($L392&lt;&gt;"",ROUND(ABS($L392)/IF(OR($R392="",$R392=0),1,$R392),2)*SIGN($U392),ROUND($U392*$V392,2))))</f>
        <v>0</v>
      </c>
      <c r="X392" s="24" t="str">
        <f aca="false">IF($N392="","",IFERROR(INDEX(VAT_Codes!$H:$H,MATCH($N392,VAT_Codes!$A:$A,0)),"")&amp;"")</f>
        <v/>
      </c>
      <c r="Y392" s="24" t="str">
        <f aca="false">IF($A392="","",(YEAR($A392)-YEAR(Settings!$C$8))*12+MONTH($A392)-MONTH(Settings!$C$8)+1)</f>
        <v/>
      </c>
      <c r="Z392" s="24" t="str">
        <f aca="false">IF(AND($C392="",$I392="",$J392=""),"",IF($N392="","NO VAT CODE",IF($T392="","UNKNOWN VAT CODE",IF($S392="","MISSING FX RATE",IF(OR($A392&lt;Settings!$C$8,$A392&gt;Settings!$C$9),"OUTSIDE PERIOD",IF(AND(IFERROR(INDEX(VAT_Codes!$E:$E,MATCH($N392,VAT_Codes!$A:$A,0)),"ANY")&lt;&gt;"ANY",$P392=""),"MISSING COUNTERPARTY COUNTRY",IF(AND(IFERROR(INDEX(VAT_Codes!$E:$E,MATCH($N392,VAT_Codes!$A:$A,0)),"ANY")&lt;&gt;"ANY",$P392&lt;&gt;IFERROR(INDEX(VAT_Codes!$E:$E,MATCH($N392,VAT_Codes!$A:$A,0)),"ANY")),"REGION MISMATCH","OK")))))))</f>
        <v/>
      </c>
    </row>
    <row r="393" customFormat="false" ht="15" hidden="false" customHeight="false" outlineLevel="0" collapsed="false">
      <c r="M393" s="24" t="str">
        <f aca="false">IF($C393="","",IFERROR(INDEX(Account_Mapping!$C:$C,MATCH($C393&amp;"",Account_Mapping!$A:$A,0))&amp;"",""))</f>
        <v/>
      </c>
      <c r="N393" s="24" t="str">
        <f aca="false">IF($K393&lt;&gt;"",$K393,$M393)</f>
        <v/>
      </c>
      <c r="O393" s="24" t="str">
        <f aca="false">IF($F393="","",IFERROR(INDEX(Counterparties!$C:$C,MATCH($F393&amp;"",Counterparties!$A:$A,0))&amp;"",""))</f>
        <v/>
      </c>
      <c r="P393" s="24" t="str">
        <f aca="false">IF($O393="","",IF($O393="CY","CY",IF(ISNUMBER(MATCH($O393,Lists!$A:$A,0)),"EU","3RD")))</f>
        <v/>
      </c>
      <c r="Q393" s="24" t="str">
        <f aca="false">IF($F393="","N",IFERROR(IF(INDEX(Counterparties!$E:$E,MATCH($F393&amp;"",Counterparties!$A:$A,0))="Y","Y","N"),"N"))</f>
        <v>N</v>
      </c>
      <c r="R393" s="25" t="n">
        <f aca="false">IF(OR($H393="",$H393="EUR"),1,IFERROR(INDEX(FX_Rates!$D:$D,MATCH($H393,FX_Rates!$A:$A,0)),""))</f>
        <v>1</v>
      </c>
      <c r="S393" s="26" t="str">
        <f aca="false">IF(AND($I393="",$J393=""),"",IF($J393&lt;&gt;"",$J393,IF(OR($R393="",$R393=0),"",ROUND($I393/$R393,2))))</f>
        <v/>
      </c>
      <c r="T393" s="24" t="str">
        <f aca="false">IF($N393="","",IFERROR(INDEX(VAT_Codes!$C:$C,MATCH($N393,VAT_Codes!$A:$A,0)),"")&amp;"")</f>
        <v/>
      </c>
      <c r="U393" s="26" t="n">
        <f aca="false">IF(OR($S393="",$T393="",$T393="None"),0,IF($T393="Output",-$S393,$S393))</f>
        <v>0</v>
      </c>
      <c r="V393" s="27" t="n">
        <f aca="false">IF($N393="",0,IFERROR(INDEX(VAT_Codes!$D:$D,MATCH($N393,VAT_Codes!$A:$A,0)),0))</f>
        <v>0</v>
      </c>
      <c r="W393" s="26" t="n">
        <f aca="false">IF($U393=0,0,IF(IFERROR(INDEX(VAT_Codes!$F:$F,MATCH($N393,VAT_Codes!$A:$A,0)),"N")="Y",$U393,IF($L393&lt;&gt;"",ROUND(ABS($L393)/IF(OR($R393="",$R393=0),1,$R393),2)*SIGN($U393),ROUND($U393*$V393,2))))</f>
        <v>0</v>
      </c>
      <c r="X393" s="24" t="str">
        <f aca="false">IF($N393="","",IFERROR(INDEX(VAT_Codes!$H:$H,MATCH($N393,VAT_Codes!$A:$A,0)),"")&amp;"")</f>
        <v/>
      </c>
      <c r="Y393" s="24" t="str">
        <f aca="false">IF($A393="","",(YEAR($A393)-YEAR(Settings!$C$8))*12+MONTH($A393)-MONTH(Settings!$C$8)+1)</f>
        <v/>
      </c>
      <c r="Z393" s="24" t="str">
        <f aca="false">IF(AND($C393="",$I393="",$J393=""),"",IF($N393="","NO VAT CODE",IF($T393="","UNKNOWN VAT CODE",IF($S393="","MISSING FX RATE",IF(OR($A393&lt;Settings!$C$8,$A393&gt;Settings!$C$9),"OUTSIDE PERIOD",IF(AND(IFERROR(INDEX(VAT_Codes!$E:$E,MATCH($N393,VAT_Codes!$A:$A,0)),"ANY")&lt;&gt;"ANY",$P393=""),"MISSING COUNTERPARTY COUNTRY",IF(AND(IFERROR(INDEX(VAT_Codes!$E:$E,MATCH($N393,VAT_Codes!$A:$A,0)),"ANY")&lt;&gt;"ANY",$P393&lt;&gt;IFERROR(INDEX(VAT_Codes!$E:$E,MATCH($N393,VAT_Codes!$A:$A,0)),"ANY")),"REGION MISMATCH","OK")))))))</f>
        <v/>
      </c>
    </row>
    <row r="394" customFormat="false" ht="15" hidden="false" customHeight="false" outlineLevel="0" collapsed="false">
      <c r="M394" s="24" t="str">
        <f aca="false">IF($C394="","",IFERROR(INDEX(Account_Mapping!$C:$C,MATCH($C394&amp;"",Account_Mapping!$A:$A,0))&amp;"",""))</f>
        <v/>
      </c>
      <c r="N394" s="24" t="str">
        <f aca="false">IF($K394&lt;&gt;"",$K394,$M394)</f>
        <v/>
      </c>
      <c r="O394" s="24" t="str">
        <f aca="false">IF($F394="","",IFERROR(INDEX(Counterparties!$C:$C,MATCH($F394&amp;"",Counterparties!$A:$A,0))&amp;"",""))</f>
        <v/>
      </c>
      <c r="P394" s="24" t="str">
        <f aca="false">IF($O394="","",IF($O394="CY","CY",IF(ISNUMBER(MATCH($O394,Lists!$A:$A,0)),"EU","3RD")))</f>
        <v/>
      </c>
      <c r="Q394" s="24" t="str">
        <f aca="false">IF($F394="","N",IFERROR(IF(INDEX(Counterparties!$E:$E,MATCH($F394&amp;"",Counterparties!$A:$A,0))="Y","Y","N"),"N"))</f>
        <v>N</v>
      </c>
      <c r="R394" s="25" t="n">
        <f aca="false">IF(OR($H394="",$H394="EUR"),1,IFERROR(INDEX(FX_Rates!$D:$D,MATCH($H394,FX_Rates!$A:$A,0)),""))</f>
        <v>1</v>
      </c>
      <c r="S394" s="26" t="str">
        <f aca="false">IF(AND($I394="",$J394=""),"",IF($J394&lt;&gt;"",$J394,IF(OR($R394="",$R394=0),"",ROUND($I394/$R394,2))))</f>
        <v/>
      </c>
      <c r="T394" s="24" t="str">
        <f aca="false">IF($N394="","",IFERROR(INDEX(VAT_Codes!$C:$C,MATCH($N394,VAT_Codes!$A:$A,0)),"")&amp;"")</f>
        <v/>
      </c>
      <c r="U394" s="26" t="n">
        <f aca="false">IF(OR($S394="",$T394="",$T394="None"),0,IF($T394="Output",-$S394,$S394))</f>
        <v>0</v>
      </c>
      <c r="V394" s="27" t="n">
        <f aca="false">IF($N394="",0,IFERROR(INDEX(VAT_Codes!$D:$D,MATCH($N394,VAT_Codes!$A:$A,0)),0))</f>
        <v>0</v>
      </c>
      <c r="W394" s="26" t="n">
        <f aca="false">IF($U394=0,0,IF(IFERROR(INDEX(VAT_Codes!$F:$F,MATCH($N394,VAT_Codes!$A:$A,0)),"N")="Y",$U394,IF($L394&lt;&gt;"",ROUND(ABS($L394)/IF(OR($R394="",$R394=0),1,$R394),2)*SIGN($U394),ROUND($U394*$V394,2))))</f>
        <v>0</v>
      </c>
      <c r="X394" s="24" t="str">
        <f aca="false">IF($N394="","",IFERROR(INDEX(VAT_Codes!$H:$H,MATCH($N394,VAT_Codes!$A:$A,0)),"")&amp;"")</f>
        <v/>
      </c>
      <c r="Y394" s="24" t="str">
        <f aca="false">IF($A394="","",(YEAR($A394)-YEAR(Settings!$C$8))*12+MONTH($A394)-MONTH(Settings!$C$8)+1)</f>
        <v/>
      </c>
      <c r="Z394" s="24" t="str">
        <f aca="false">IF(AND($C394="",$I394="",$J394=""),"",IF($N394="","NO VAT CODE",IF($T394="","UNKNOWN VAT CODE",IF($S394="","MISSING FX RATE",IF(OR($A394&lt;Settings!$C$8,$A394&gt;Settings!$C$9),"OUTSIDE PERIOD",IF(AND(IFERROR(INDEX(VAT_Codes!$E:$E,MATCH($N394,VAT_Codes!$A:$A,0)),"ANY")&lt;&gt;"ANY",$P394=""),"MISSING COUNTERPARTY COUNTRY",IF(AND(IFERROR(INDEX(VAT_Codes!$E:$E,MATCH($N394,VAT_Codes!$A:$A,0)),"ANY")&lt;&gt;"ANY",$P394&lt;&gt;IFERROR(INDEX(VAT_Codes!$E:$E,MATCH($N394,VAT_Codes!$A:$A,0)),"ANY")),"REGION MISMATCH","OK")))))))</f>
        <v/>
      </c>
    </row>
    <row r="395" customFormat="false" ht="15" hidden="false" customHeight="false" outlineLevel="0" collapsed="false">
      <c r="M395" s="24" t="str">
        <f aca="false">IF($C395="","",IFERROR(INDEX(Account_Mapping!$C:$C,MATCH($C395&amp;"",Account_Mapping!$A:$A,0))&amp;"",""))</f>
        <v/>
      </c>
      <c r="N395" s="24" t="str">
        <f aca="false">IF($K395&lt;&gt;"",$K395,$M395)</f>
        <v/>
      </c>
      <c r="O395" s="24" t="str">
        <f aca="false">IF($F395="","",IFERROR(INDEX(Counterparties!$C:$C,MATCH($F395&amp;"",Counterparties!$A:$A,0))&amp;"",""))</f>
        <v/>
      </c>
      <c r="P395" s="24" t="str">
        <f aca="false">IF($O395="","",IF($O395="CY","CY",IF(ISNUMBER(MATCH($O395,Lists!$A:$A,0)),"EU","3RD")))</f>
        <v/>
      </c>
      <c r="Q395" s="24" t="str">
        <f aca="false">IF($F395="","N",IFERROR(IF(INDEX(Counterparties!$E:$E,MATCH($F395&amp;"",Counterparties!$A:$A,0))="Y","Y","N"),"N"))</f>
        <v>N</v>
      </c>
      <c r="R395" s="25" t="n">
        <f aca="false">IF(OR($H395="",$H395="EUR"),1,IFERROR(INDEX(FX_Rates!$D:$D,MATCH($H395,FX_Rates!$A:$A,0)),""))</f>
        <v>1</v>
      </c>
      <c r="S395" s="26" t="str">
        <f aca="false">IF(AND($I395="",$J395=""),"",IF($J395&lt;&gt;"",$J395,IF(OR($R395="",$R395=0),"",ROUND($I395/$R395,2))))</f>
        <v/>
      </c>
      <c r="T395" s="24" t="str">
        <f aca="false">IF($N395="","",IFERROR(INDEX(VAT_Codes!$C:$C,MATCH($N395,VAT_Codes!$A:$A,0)),"")&amp;"")</f>
        <v/>
      </c>
      <c r="U395" s="26" t="n">
        <f aca="false">IF(OR($S395="",$T395="",$T395="None"),0,IF($T395="Output",-$S395,$S395))</f>
        <v>0</v>
      </c>
      <c r="V395" s="27" t="n">
        <f aca="false">IF($N395="",0,IFERROR(INDEX(VAT_Codes!$D:$D,MATCH($N395,VAT_Codes!$A:$A,0)),0))</f>
        <v>0</v>
      </c>
      <c r="W395" s="26" t="n">
        <f aca="false">IF($U395=0,0,IF(IFERROR(INDEX(VAT_Codes!$F:$F,MATCH($N395,VAT_Codes!$A:$A,0)),"N")="Y",$U395,IF($L395&lt;&gt;"",ROUND(ABS($L395)/IF(OR($R395="",$R395=0),1,$R395),2)*SIGN($U395),ROUND($U395*$V395,2))))</f>
        <v>0</v>
      </c>
      <c r="X395" s="24" t="str">
        <f aca="false">IF($N395="","",IFERROR(INDEX(VAT_Codes!$H:$H,MATCH($N395,VAT_Codes!$A:$A,0)),"")&amp;"")</f>
        <v/>
      </c>
      <c r="Y395" s="24" t="str">
        <f aca="false">IF($A395="","",(YEAR($A395)-YEAR(Settings!$C$8))*12+MONTH($A395)-MONTH(Settings!$C$8)+1)</f>
        <v/>
      </c>
      <c r="Z395" s="24" t="str">
        <f aca="false">IF(AND($C395="",$I395="",$J395=""),"",IF($N395="","NO VAT CODE",IF($T395="","UNKNOWN VAT CODE",IF($S395="","MISSING FX RATE",IF(OR($A395&lt;Settings!$C$8,$A395&gt;Settings!$C$9),"OUTSIDE PERIOD",IF(AND(IFERROR(INDEX(VAT_Codes!$E:$E,MATCH($N395,VAT_Codes!$A:$A,0)),"ANY")&lt;&gt;"ANY",$P395=""),"MISSING COUNTERPARTY COUNTRY",IF(AND(IFERROR(INDEX(VAT_Codes!$E:$E,MATCH($N395,VAT_Codes!$A:$A,0)),"ANY")&lt;&gt;"ANY",$P395&lt;&gt;IFERROR(INDEX(VAT_Codes!$E:$E,MATCH($N395,VAT_Codes!$A:$A,0)),"ANY")),"REGION MISMATCH","OK")))))))</f>
        <v/>
      </c>
    </row>
    <row r="396" customFormat="false" ht="15" hidden="false" customHeight="false" outlineLevel="0" collapsed="false">
      <c r="M396" s="24" t="str">
        <f aca="false">IF($C396="","",IFERROR(INDEX(Account_Mapping!$C:$C,MATCH($C396&amp;"",Account_Mapping!$A:$A,0))&amp;"",""))</f>
        <v/>
      </c>
      <c r="N396" s="24" t="str">
        <f aca="false">IF($K396&lt;&gt;"",$K396,$M396)</f>
        <v/>
      </c>
      <c r="O396" s="24" t="str">
        <f aca="false">IF($F396="","",IFERROR(INDEX(Counterparties!$C:$C,MATCH($F396&amp;"",Counterparties!$A:$A,0))&amp;"",""))</f>
        <v/>
      </c>
      <c r="P396" s="24" t="str">
        <f aca="false">IF($O396="","",IF($O396="CY","CY",IF(ISNUMBER(MATCH($O396,Lists!$A:$A,0)),"EU","3RD")))</f>
        <v/>
      </c>
      <c r="Q396" s="24" t="str">
        <f aca="false">IF($F396="","N",IFERROR(IF(INDEX(Counterparties!$E:$E,MATCH($F396&amp;"",Counterparties!$A:$A,0))="Y","Y","N"),"N"))</f>
        <v>N</v>
      </c>
      <c r="R396" s="25" t="n">
        <f aca="false">IF(OR($H396="",$H396="EUR"),1,IFERROR(INDEX(FX_Rates!$D:$D,MATCH($H396,FX_Rates!$A:$A,0)),""))</f>
        <v>1</v>
      </c>
      <c r="S396" s="26" t="str">
        <f aca="false">IF(AND($I396="",$J396=""),"",IF($J396&lt;&gt;"",$J396,IF(OR($R396="",$R396=0),"",ROUND($I396/$R396,2))))</f>
        <v/>
      </c>
      <c r="T396" s="24" t="str">
        <f aca="false">IF($N396="","",IFERROR(INDEX(VAT_Codes!$C:$C,MATCH($N396,VAT_Codes!$A:$A,0)),"")&amp;"")</f>
        <v/>
      </c>
      <c r="U396" s="26" t="n">
        <f aca="false">IF(OR($S396="",$T396="",$T396="None"),0,IF($T396="Output",-$S396,$S396))</f>
        <v>0</v>
      </c>
      <c r="V396" s="27" t="n">
        <f aca="false">IF($N396="",0,IFERROR(INDEX(VAT_Codes!$D:$D,MATCH($N396,VAT_Codes!$A:$A,0)),0))</f>
        <v>0</v>
      </c>
      <c r="W396" s="26" t="n">
        <f aca="false">IF($U396=0,0,IF(IFERROR(INDEX(VAT_Codes!$F:$F,MATCH($N396,VAT_Codes!$A:$A,0)),"N")="Y",$U396,IF($L396&lt;&gt;"",ROUND(ABS($L396)/IF(OR($R396="",$R396=0),1,$R396),2)*SIGN($U396),ROUND($U396*$V396,2))))</f>
        <v>0</v>
      </c>
      <c r="X396" s="24" t="str">
        <f aca="false">IF($N396="","",IFERROR(INDEX(VAT_Codes!$H:$H,MATCH($N396,VAT_Codes!$A:$A,0)),"")&amp;"")</f>
        <v/>
      </c>
      <c r="Y396" s="24" t="str">
        <f aca="false">IF($A396="","",(YEAR($A396)-YEAR(Settings!$C$8))*12+MONTH($A396)-MONTH(Settings!$C$8)+1)</f>
        <v/>
      </c>
      <c r="Z396" s="24" t="str">
        <f aca="false">IF(AND($C396="",$I396="",$J396=""),"",IF($N396="","NO VAT CODE",IF($T396="","UNKNOWN VAT CODE",IF($S396="","MISSING FX RATE",IF(OR($A396&lt;Settings!$C$8,$A396&gt;Settings!$C$9),"OUTSIDE PERIOD",IF(AND(IFERROR(INDEX(VAT_Codes!$E:$E,MATCH($N396,VAT_Codes!$A:$A,0)),"ANY")&lt;&gt;"ANY",$P396=""),"MISSING COUNTERPARTY COUNTRY",IF(AND(IFERROR(INDEX(VAT_Codes!$E:$E,MATCH($N396,VAT_Codes!$A:$A,0)),"ANY")&lt;&gt;"ANY",$P396&lt;&gt;IFERROR(INDEX(VAT_Codes!$E:$E,MATCH($N396,VAT_Codes!$A:$A,0)),"ANY")),"REGION MISMATCH","OK")))))))</f>
        <v/>
      </c>
    </row>
    <row r="397" customFormat="false" ht="15" hidden="false" customHeight="false" outlineLevel="0" collapsed="false">
      <c r="M397" s="24" t="str">
        <f aca="false">IF($C397="","",IFERROR(INDEX(Account_Mapping!$C:$C,MATCH($C397&amp;"",Account_Mapping!$A:$A,0))&amp;"",""))</f>
        <v/>
      </c>
      <c r="N397" s="24" t="str">
        <f aca="false">IF($K397&lt;&gt;"",$K397,$M397)</f>
        <v/>
      </c>
      <c r="O397" s="24" t="str">
        <f aca="false">IF($F397="","",IFERROR(INDEX(Counterparties!$C:$C,MATCH($F397&amp;"",Counterparties!$A:$A,0))&amp;"",""))</f>
        <v/>
      </c>
      <c r="P397" s="24" t="str">
        <f aca="false">IF($O397="","",IF($O397="CY","CY",IF(ISNUMBER(MATCH($O397,Lists!$A:$A,0)),"EU","3RD")))</f>
        <v/>
      </c>
      <c r="Q397" s="24" t="str">
        <f aca="false">IF($F397="","N",IFERROR(IF(INDEX(Counterparties!$E:$E,MATCH($F397&amp;"",Counterparties!$A:$A,0))="Y","Y","N"),"N"))</f>
        <v>N</v>
      </c>
      <c r="R397" s="25" t="n">
        <f aca="false">IF(OR($H397="",$H397="EUR"),1,IFERROR(INDEX(FX_Rates!$D:$D,MATCH($H397,FX_Rates!$A:$A,0)),""))</f>
        <v>1</v>
      </c>
      <c r="S397" s="26" t="str">
        <f aca="false">IF(AND($I397="",$J397=""),"",IF($J397&lt;&gt;"",$J397,IF(OR($R397="",$R397=0),"",ROUND($I397/$R397,2))))</f>
        <v/>
      </c>
      <c r="T397" s="24" t="str">
        <f aca="false">IF($N397="","",IFERROR(INDEX(VAT_Codes!$C:$C,MATCH($N397,VAT_Codes!$A:$A,0)),"")&amp;"")</f>
        <v/>
      </c>
      <c r="U397" s="26" t="n">
        <f aca="false">IF(OR($S397="",$T397="",$T397="None"),0,IF($T397="Output",-$S397,$S397))</f>
        <v>0</v>
      </c>
      <c r="V397" s="27" t="n">
        <f aca="false">IF($N397="",0,IFERROR(INDEX(VAT_Codes!$D:$D,MATCH($N397,VAT_Codes!$A:$A,0)),0))</f>
        <v>0</v>
      </c>
      <c r="W397" s="26" t="n">
        <f aca="false">IF($U397=0,0,IF(IFERROR(INDEX(VAT_Codes!$F:$F,MATCH($N397,VAT_Codes!$A:$A,0)),"N")="Y",$U397,IF($L397&lt;&gt;"",ROUND(ABS($L397)/IF(OR($R397="",$R397=0),1,$R397),2)*SIGN($U397),ROUND($U397*$V397,2))))</f>
        <v>0</v>
      </c>
      <c r="X397" s="24" t="str">
        <f aca="false">IF($N397="","",IFERROR(INDEX(VAT_Codes!$H:$H,MATCH($N397,VAT_Codes!$A:$A,0)),"")&amp;"")</f>
        <v/>
      </c>
      <c r="Y397" s="24" t="str">
        <f aca="false">IF($A397="","",(YEAR($A397)-YEAR(Settings!$C$8))*12+MONTH($A397)-MONTH(Settings!$C$8)+1)</f>
        <v/>
      </c>
      <c r="Z397" s="24" t="str">
        <f aca="false">IF(AND($C397="",$I397="",$J397=""),"",IF($N397="","NO VAT CODE",IF($T397="","UNKNOWN VAT CODE",IF($S397="","MISSING FX RATE",IF(OR($A397&lt;Settings!$C$8,$A397&gt;Settings!$C$9),"OUTSIDE PERIOD",IF(AND(IFERROR(INDEX(VAT_Codes!$E:$E,MATCH($N397,VAT_Codes!$A:$A,0)),"ANY")&lt;&gt;"ANY",$P397=""),"MISSING COUNTERPARTY COUNTRY",IF(AND(IFERROR(INDEX(VAT_Codes!$E:$E,MATCH($N397,VAT_Codes!$A:$A,0)),"ANY")&lt;&gt;"ANY",$P397&lt;&gt;IFERROR(INDEX(VAT_Codes!$E:$E,MATCH($N397,VAT_Codes!$A:$A,0)),"ANY")),"REGION MISMATCH","OK")))))))</f>
        <v/>
      </c>
    </row>
    <row r="398" customFormat="false" ht="15" hidden="false" customHeight="false" outlineLevel="0" collapsed="false">
      <c r="M398" s="24" t="str">
        <f aca="false">IF($C398="","",IFERROR(INDEX(Account_Mapping!$C:$C,MATCH($C398&amp;"",Account_Mapping!$A:$A,0))&amp;"",""))</f>
        <v/>
      </c>
      <c r="N398" s="24" t="str">
        <f aca="false">IF($K398&lt;&gt;"",$K398,$M398)</f>
        <v/>
      </c>
      <c r="O398" s="24" t="str">
        <f aca="false">IF($F398="","",IFERROR(INDEX(Counterparties!$C:$C,MATCH($F398&amp;"",Counterparties!$A:$A,0))&amp;"",""))</f>
        <v/>
      </c>
      <c r="P398" s="24" t="str">
        <f aca="false">IF($O398="","",IF($O398="CY","CY",IF(ISNUMBER(MATCH($O398,Lists!$A:$A,0)),"EU","3RD")))</f>
        <v/>
      </c>
      <c r="Q398" s="24" t="str">
        <f aca="false">IF($F398="","N",IFERROR(IF(INDEX(Counterparties!$E:$E,MATCH($F398&amp;"",Counterparties!$A:$A,0))="Y","Y","N"),"N"))</f>
        <v>N</v>
      </c>
      <c r="R398" s="25" t="n">
        <f aca="false">IF(OR($H398="",$H398="EUR"),1,IFERROR(INDEX(FX_Rates!$D:$D,MATCH($H398,FX_Rates!$A:$A,0)),""))</f>
        <v>1</v>
      </c>
      <c r="S398" s="26" t="str">
        <f aca="false">IF(AND($I398="",$J398=""),"",IF($J398&lt;&gt;"",$J398,IF(OR($R398="",$R398=0),"",ROUND($I398/$R398,2))))</f>
        <v/>
      </c>
      <c r="T398" s="24" t="str">
        <f aca="false">IF($N398="","",IFERROR(INDEX(VAT_Codes!$C:$C,MATCH($N398,VAT_Codes!$A:$A,0)),"")&amp;"")</f>
        <v/>
      </c>
      <c r="U398" s="26" t="n">
        <f aca="false">IF(OR($S398="",$T398="",$T398="None"),0,IF($T398="Output",-$S398,$S398))</f>
        <v>0</v>
      </c>
      <c r="V398" s="27" t="n">
        <f aca="false">IF($N398="",0,IFERROR(INDEX(VAT_Codes!$D:$D,MATCH($N398,VAT_Codes!$A:$A,0)),0))</f>
        <v>0</v>
      </c>
      <c r="W398" s="26" t="n">
        <f aca="false">IF($U398=0,0,IF(IFERROR(INDEX(VAT_Codes!$F:$F,MATCH($N398,VAT_Codes!$A:$A,0)),"N")="Y",$U398,IF($L398&lt;&gt;"",ROUND(ABS($L398)/IF(OR($R398="",$R398=0),1,$R398),2)*SIGN($U398),ROUND($U398*$V398,2))))</f>
        <v>0</v>
      </c>
      <c r="X398" s="24" t="str">
        <f aca="false">IF($N398="","",IFERROR(INDEX(VAT_Codes!$H:$H,MATCH($N398,VAT_Codes!$A:$A,0)),"")&amp;"")</f>
        <v/>
      </c>
      <c r="Y398" s="24" t="str">
        <f aca="false">IF($A398="","",(YEAR($A398)-YEAR(Settings!$C$8))*12+MONTH($A398)-MONTH(Settings!$C$8)+1)</f>
        <v/>
      </c>
      <c r="Z398" s="24" t="str">
        <f aca="false">IF(AND($C398="",$I398="",$J398=""),"",IF($N398="","NO VAT CODE",IF($T398="","UNKNOWN VAT CODE",IF($S398="","MISSING FX RATE",IF(OR($A398&lt;Settings!$C$8,$A398&gt;Settings!$C$9),"OUTSIDE PERIOD",IF(AND(IFERROR(INDEX(VAT_Codes!$E:$E,MATCH($N398,VAT_Codes!$A:$A,0)),"ANY")&lt;&gt;"ANY",$P398=""),"MISSING COUNTERPARTY COUNTRY",IF(AND(IFERROR(INDEX(VAT_Codes!$E:$E,MATCH($N398,VAT_Codes!$A:$A,0)),"ANY")&lt;&gt;"ANY",$P398&lt;&gt;IFERROR(INDEX(VAT_Codes!$E:$E,MATCH($N398,VAT_Codes!$A:$A,0)),"ANY")),"REGION MISMATCH","OK")))))))</f>
        <v/>
      </c>
    </row>
    <row r="399" customFormat="false" ht="15" hidden="false" customHeight="false" outlineLevel="0" collapsed="false">
      <c r="M399" s="24" t="str">
        <f aca="false">IF($C399="","",IFERROR(INDEX(Account_Mapping!$C:$C,MATCH($C399&amp;"",Account_Mapping!$A:$A,0))&amp;"",""))</f>
        <v/>
      </c>
      <c r="N399" s="24" t="str">
        <f aca="false">IF($K399&lt;&gt;"",$K399,$M399)</f>
        <v/>
      </c>
      <c r="O399" s="24" t="str">
        <f aca="false">IF($F399="","",IFERROR(INDEX(Counterparties!$C:$C,MATCH($F399&amp;"",Counterparties!$A:$A,0))&amp;"",""))</f>
        <v/>
      </c>
      <c r="P399" s="24" t="str">
        <f aca="false">IF($O399="","",IF($O399="CY","CY",IF(ISNUMBER(MATCH($O399,Lists!$A:$A,0)),"EU","3RD")))</f>
        <v/>
      </c>
      <c r="Q399" s="24" t="str">
        <f aca="false">IF($F399="","N",IFERROR(IF(INDEX(Counterparties!$E:$E,MATCH($F399&amp;"",Counterparties!$A:$A,0))="Y","Y","N"),"N"))</f>
        <v>N</v>
      </c>
      <c r="R399" s="25" t="n">
        <f aca="false">IF(OR($H399="",$H399="EUR"),1,IFERROR(INDEX(FX_Rates!$D:$D,MATCH($H399,FX_Rates!$A:$A,0)),""))</f>
        <v>1</v>
      </c>
      <c r="S399" s="26" t="str">
        <f aca="false">IF(AND($I399="",$J399=""),"",IF($J399&lt;&gt;"",$J399,IF(OR($R399="",$R399=0),"",ROUND($I399/$R399,2))))</f>
        <v/>
      </c>
      <c r="T399" s="24" t="str">
        <f aca="false">IF($N399="","",IFERROR(INDEX(VAT_Codes!$C:$C,MATCH($N399,VAT_Codes!$A:$A,0)),"")&amp;"")</f>
        <v/>
      </c>
      <c r="U399" s="26" t="n">
        <f aca="false">IF(OR($S399="",$T399="",$T399="None"),0,IF($T399="Output",-$S399,$S399))</f>
        <v>0</v>
      </c>
      <c r="V399" s="27" t="n">
        <f aca="false">IF($N399="",0,IFERROR(INDEX(VAT_Codes!$D:$D,MATCH($N399,VAT_Codes!$A:$A,0)),0))</f>
        <v>0</v>
      </c>
      <c r="W399" s="26" t="n">
        <f aca="false">IF($U399=0,0,IF(IFERROR(INDEX(VAT_Codes!$F:$F,MATCH($N399,VAT_Codes!$A:$A,0)),"N")="Y",$U399,IF($L399&lt;&gt;"",ROUND(ABS($L399)/IF(OR($R399="",$R399=0),1,$R399),2)*SIGN($U399),ROUND($U399*$V399,2))))</f>
        <v>0</v>
      </c>
      <c r="X399" s="24" t="str">
        <f aca="false">IF($N399="","",IFERROR(INDEX(VAT_Codes!$H:$H,MATCH($N399,VAT_Codes!$A:$A,0)),"")&amp;"")</f>
        <v/>
      </c>
      <c r="Y399" s="24" t="str">
        <f aca="false">IF($A399="","",(YEAR($A399)-YEAR(Settings!$C$8))*12+MONTH($A399)-MONTH(Settings!$C$8)+1)</f>
        <v/>
      </c>
      <c r="Z399" s="24" t="str">
        <f aca="false">IF(AND($C399="",$I399="",$J399=""),"",IF($N399="","NO VAT CODE",IF($T399="","UNKNOWN VAT CODE",IF($S399="","MISSING FX RATE",IF(OR($A399&lt;Settings!$C$8,$A399&gt;Settings!$C$9),"OUTSIDE PERIOD",IF(AND(IFERROR(INDEX(VAT_Codes!$E:$E,MATCH($N399,VAT_Codes!$A:$A,0)),"ANY")&lt;&gt;"ANY",$P399=""),"MISSING COUNTERPARTY COUNTRY",IF(AND(IFERROR(INDEX(VAT_Codes!$E:$E,MATCH($N399,VAT_Codes!$A:$A,0)),"ANY")&lt;&gt;"ANY",$P399&lt;&gt;IFERROR(INDEX(VAT_Codes!$E:$E,MATCH($N399,VAT_Codes!$A:$A,0)),"ANY")),"REGION MISMATCH","OK")))))))</f>
        <v/>
      </c>
    </row>
    <row r="400" customFormat="false" ht="15" hidden="false" customHeight="false" outlineLevel="0" collapsed="false">
      <c r="M400" s="24" t="str">
        <f aca="false">IF($C400="","",IFERROR(INDEX(Account_Mapping!$C:$C,MATCH($C400&amp;"",Account_Mapping!$A:$A,0))&amp;"",""))</f>
        <v/>
      </c>
      <c r="N400" s="24" t="str">
        <f aca="false">IF($K400&lt;&gt;"",$K400,$M400)</f>
        <v/>
      </c>
      <c r="O400" s="24" t="str">
        <f aca="false">IF($F400="","",IFERROR(INDEX(Counterparties!$C:$C,MATCH($F400&amp;"",Counterparties!$A:$A,0))&amp;"",""))</f>
        <v/>
      </c>
      <c r="P400" s="24" t="str">
        <f aca="false">IF($O400="","",IF($O400="CY","CY",IF(ISNUMBER(MATCH($O400,Lists!$A:$A,0)),"EU","3RD")))</f>
        <v/>
      </c>
      <c r="Q400" s="24" t="str">
        <f aca="false">IF($F400="","N",IFERROR(IF(INDEX(Counterparties!$E:$E,MATCH($F400&amp;"",Counterparties!$A:$A,0))="Y","Y","N"),"N"))</f>
        <v>N</v>
      </c>
      <c r="R400" s="25" t="n">
        <f aca="false">IF(OR($H400="",$H400="EUR"),1,IFERROR(INDEX(FX_Rates!$D:$D,MATCH($H400,FX_Rates!$A:$A,0)),""))</f>
        <v>1</v>
      </c>
      <c r="S400" s="26" t="str">
        <f aca="false">IF(AND($I400="",$J400=""),"",IF($J400&lt;&gt;"",$J400,IF(OR($R400="",$R400=0),"",ROUND($I400/$R400,2))))</f>
        <v/>
      </c>
      <c r="T400" s="24" t="str">
        <f aca="false">IF($N400="","",IFERROR(INDEX(VAT_Codes!$C:$C,MATCH($N400,VAT_Codes!$A:$A,0)),"")&amp;"")</f>
        <v/>
      </c>
      <c r="U400" s="26" t="n">
        <f aca="false">IF(OR($S400="",$T400="",$T400="None"),0,IF($T400="Output",-$S400,$S400))</f>
        <v>0</v>
      </c>
      <c r="V400" s="27" t="n">
        <f aca="false">IF($N400="",0,IFERROR(INDEX(VAT_Codes!$D:$D,MATCH($N400,VAT_Codes!$A:$A,0)),0))</f>
        <v>0</v>
      </c>
      <c r="W400" s="26" t="n">
        <f aca="false">IF($U400=0,0,IF(IFERROR(INDEX(VAT_Codes!$F:$F,MATCH($N400,VAT_Codes!$A:$A,0)),"N")="Y",$U400,IF($L400&lt;&gt;"",ROUND(ABS($L400)/IF(OR($R400="",$R400=0),1,$R400),2)*SIGN($U400),ROUND($U400*$V400,2))))</f>
        <v>0</v>
      </c>
      <c r="X400" s="24" t="str">
        <f aca="false">IF($N400="","",IFERROR(INDEX(VAT_Codes!$H:$H,MATCH($N400,VAT_Codes!$A:$A,0)),"")&amp;"")</f>
        <v/>
      </c>
      <c r="Y400" s="24" t="str">
        <f aca="false">IF($A400="","",(YEAR($A400)-YEAR(Settings!$C$8))*12+MONTH($A400)-MONTH(Settings!$C$8)+1)</f>
        <v/>
      </c>
      <c r="Z400" s="24" t="str">
        <f aca="false">IF(AND($C400="",$I400="",$J400=""),"",IF($N400="","NO VAT CODE",IF($T400="","UNKNOWN VAT CODE",IF($S400="","MISSING FX RATE",IF(OR($A400&lt;Settings!$C$8,$A400&gt;Settings!$C$9),"OUTSIDE PERIOD",IF(AND(IFERROR(INDEX(VAT_Codes!$E:$E,MATCH($N400,VAT_Codes!$A:$A,0)),"ANY")&lt;&gt;"ANY",$P400=""),"MISSING COUNTERPARTY COUNTRY",IF(AND(IFERROR(INDEX(VAT_Codes!$E:$E,MATCH($N400,VAT_Codes!$A:$A,0)),"ANY")&lt;&gt;"ANY",$P400&lt;&gt;IFERROR(INDEX(VAT_Codes!$E:$E,MATCH($N400,VAT_Codes!$A:$A,0)),"ANY")),"REGION MISMATCH","OK")))))))</f>
        <v/>
      </c>
    </row>
    <row r="401" customFormat="false" ht="15" hidden="false" customHeight="false" outlineLevel="0" collapsed="false">
      <c r="M401" s="24" t="str">
        <f aca="false">IF($C401="","",IFERROR(INDEX(Account_Mapping!$C:$C,MATCH($C401&amp;"",Account_Mapping!$A:$A,0))&amp;"",""))</f>
        <v/>
      </c>
      <c r="N401" s="24" t="str">
        <f aca="false">IF($K401&lt;&gt;"",$K401,$M401)</f>
        <v/>
      </c>
      <c r="O401" s="24" t="str">
        <f aca="false">IF($F401="","",IFERROR(INDEX(Counterparties!$C:$C,MATCH($F401&amp;"",Counterparties!$A:$A,0))&amp;"",""))</f>
        <v/>
      </c>
      <c r="P401" s="24" t="str">
        <f aca="false">IF($O401="","",IF($O401="CY","CY",IF(ISNUMBER(MATCH($O401,Lists!$A:$A,0)),"EU","3RD")))</f>
        <v/>
      </c>
      <c r="Q401" s="24" t="str">
        <f aca="false">IF($F401="","N",IFERROR(IF(INDEX(Counterparties!$E:$E,MATCH($F401&amp;"",Counterparties!$A:$A,0))="Y","Y","N"),"N"))</f>
        <v>N</v>
      </c>
      <c r="R401" s="25" t="n">
        <f aca="false">IF(OR($H401="",$H401="EUR"),1,IFERROR(INDEX(FX_Rates!$D:$D,MATCH($H401,FX_Rates!$A:$A,0)),""))</f>
        <v>1</v>
      </c>
      <c r="S401" s="26" t="str">
        <f aca="false">IF(AND($I401="",$J401=""),"",IF($J401&lt;&gt;"",$J401,IF(OR($R401="",$R401=0),"",ROUND($I401/$R401,2))))</f>
        <v/>
      </c>
      <c r="T401" s="24" t="str">
        <f aca="false">IF($N401="","",IFERROR(INDEX(VAT_Codes!$C:$C,MATCH($N401,VAT_Codes!$A:$A,0)),"")&amp;"")</f>
        <v/>
      </c>
      <c r="U401" s="26" t="n">
        <f aca="false">IF(OR($S401="",$T401="",$T401="None"),0,IF($T401="Output",-$S401,$S401))</f>
        <v>0</v>
      </c>
      <c r="V401" s="27" t="n">
        <f aca="false">IF($N401="",0,IFERROR(INDEX(VAT_Codes!$D:$D,MATCH($N401,VAT_Codes!$A:$A,0)),0))</f>
        <v>0</v>
      </c>
      <c r="W401" s="26" t="n">
        <f aca="false">IF($U401=0,0,IF(IFERROR(INDEX(VAT_Codes!$F:$F,MATCH($N401,VAT_Codes!$A:$A,0)),"N")="Y",$U401,IF($L401&lt;&gt;"",ROUND(ABS($L401)/IF(OR($R401="",$R401=0),1,$R401),2)*SIGN($U401),ROUND($U401*$V401,2))))</f>
        <v>0</v>
      </c>
      <c r="X401" s="24" t="str">
        <f aca="false">IF($N401="","",IFERROR(INDEX(VAT_Codes!$H:$H,MATCH($N401,VAT_Codes!$A:$A,0)),"")&amp;"")</f>
        <v/>
      </c>
      <c r="Y401" s="24" t="str">
        <f aca="false">IF($A401="","",(YEAR($A401)-YEAR(Settings!$C$8))*12+MONTH($A401)-MONTH(Settings!$C$8)+1)</f>
        <v/>
      </c>
      <c r="Z401" s="24" t="str">
        <f aca="false">IF(AND($C401="",$I401="",$J401=""),"",IF($N401="","NO VAT CODE",IF($T401="","UNKNOWN VAT CODE",IF($S401="","MISSING FX RATE",IF(OR($A401&lt;Settings!$C$8,$A401&gt;Settings!$C$9),"OUTSIDE PERIOD",IF(AND(IFERROR(INDEX(VAT_Codes!$E:$E,MATCH($N401,VAT_Codes!$A:$A,0)),"ANY")&lt;&gt;"ANY",$P401=""),"MISSING COUNTERPARTY COUNTRY",IF(AND(IFERROR(INDEX(VAT_Codes!$E:$E,MATCH($N401,VAT_Codes!$A:$A,0)),"ANY")&lt;&gt;"ANY",$P401&lt;&gt;IFERROR(INDEX(VAT_Codes!$E:$E,MATCH($N401,VAT_Codes!$A:$A,0)),"ANY")),"REGION MISMATCH","OK")))))))</f>
        <v/>
      </c>
    </row>
    <row r="402" customFormat="false" ht="15" hidden="false" customHeight="false" outlineLevel="0" collapsed="false">
      <c r="M402" s="24" t="str">
        <f aca="false">IF($C402="","",IFERROR(INDEX(Account_Mapping!$C:$C,MATCH($C402&amp;"",Account_Mapping!$A:$A,0))&amp;"",""))</f>
        <v/>
      </c>
      <c r="N402" s="24" t="str">
        <f aca="false">IF($K402&lt;&gt;"",$K402,$M402)</f>
        <v/>
      </c>
      <c r="O402" s="24" t="str">
        <f aca="false">IF($F402="","",IFERROR(INDEX(Counterparties!$C:$C,MATCH($F402&amp;"",Counterparties!$A:$A,0))&amp;"",""))</f>
        <v/>
      </c>
      <c r="P402" s="24" t="str">
        <f aca="false">IF($O402="","",IF($O402="CY","CY",IF(ISNUMBER(MATCH($O402,Lists!$A:$A,0)),"EU","3RD")))</f>
        <v/>
      </c>
      <c r="Q402" s="24" t="str">
        <f aca="false">IF($F402="","N",IFERROR(IF(INDEX(Counterparties!$E:$E,MATCH($F402&amp;"",Counterparties!$A:$A,0))="Y","Y","N"),"N"))</f>
        <v>N</v>
      </c>
      <c r="R402" s="25" t="n">
        <f aca="false">IF(OR($H402="",$H402="EUR"),1,IFERROR(INDEX(FX_Rates!$D:$D,MATCH($H402,FX_Rates!$A:$A,0)),""))</f>
        <v>1</v>
      </c>
      <c r="S402" s="26" t="str">
        <f aca="false">IF(AND($I402="",$J402=""),"",IF($J402&lt;&gt;"",$J402,IF(OR($R402="",$R402=0),"",ROUND($I402/$R402,2))))</f>
        <v/>
      </c>
      <c r="T402" s="24" t="str">
        <f aca="false">IF($N402="","",IFERROR(INDEX(VAT_Codes!$C:$C,MATCH($N402,VAT_Codes!$A:$A,0)),"")&amp;"")</f>
        <v/>
      </c>
      <c r="U402" s="26" t="n">
        <f aca="false">IF(OR($S402="",$T402="",$T402="None"),0,IF($T402="Output",-$S402,$S402))</f>
        <v>0</v>
      </c>
      <c r="V402" s="27" t="n">
        <f aca="false">IF($N402="",0,IFERROR(INDEX(VAT_Codes!$D:$D,MATCH($N402,VAT_Codes!$A:$A,0)),0))</f>
        <v>0</v>
      </c>
      <c r="W402" s="26" t="n">
        <f aca="false">IF($U402=0,0,IF(IFERROR(INDEX(VAT_Codes!$F:$F,MATCH($N402,VAT_Codes!$A:$A,0)),"N")="Y",$U402,IF($L402&lt;&gt;"",ROUND(ABS($L402)/IF(OR($R402="",$R402=0),1,$R402),2)*SIGN($U402),ROUND($U402*$V402,2))))</f>
        <v>0</v>
      </c>
      <c r="X402" s="24" t="str">
        <f aca="false">IF($N402="","",IFERROR(INDEX(VAT_Codes!$H:$H,MATCH($N402,VAT_Codes!$A:$A,0)),"")&amp;"")</f>
        <v/>
      </c>
      <c r="Y402" s="24" t="str">
        <f aca="false">IF($A402="","",(YEAR($A402)-YEAR(Settings!$C$8))*12+MONTH($A402)-MONTH(Settings!$C$8)+1)</f>
        <v/>
      </c>
      <c r="Z402" s="24" t="str">
        <f aca="false">IF(AND($C402="",$I402="",$J402=""),"",IF($N402="","NO VAT CODE",IF($T402="","UNKNOWN VAT CODE",IF($S402="","MISSING FX RATE",IF(OR($A402&lt;Settings!$C$8,$A402&gt;Settings!$C$9),"OUTSIDE PERIOD",IF(AND(IFERROR(INDEX(VAT_Codes!$E:$E,MATCH($N402,VAT_Codes!$A:$A,0)),"ANY")&lt;&gt;"ANY",$P402=""),"MISSING COUNTERPARTY COUNTRY",IF(AND(IFERROR(INDEX(VAT_Codes!$E:$E,MATCH($N402,VAT_Codes!$A:$A,0)),"ANY")&lt;&gt;"ANY",$P402&lt;&gt;IFERROR(INDEX(VAT_Codes!$E:$E,MATCH($N402,VAT_Codes!$A:$A,0)),"ANY")),"REGION MISMATCH","OK")))))))</f>
        <v/>
      </c>
    </row>
    <row r="403" customFormat="false" ht="15" hidden="false" customHeight="false" outlineLevel="0" collapsed="false">
      <c r="M403" s="24" t="str">
        <f aca="false">IF($C403="","",IFERROR(INDEX(Account_Mapping!$C:$C,MATCH($C403&amp;"",Account_Mapping!$A:$A,0))&amp;"",""))</f>
        <v/>
      </c>
      <c r="N403" s="24" t="str">
        <f aca="false">IF($K403&lt;&gt;"",$K403,$M403)</f>
        <v/>
      </c>
      <c r="O403" s="24" t="str">
        <f aca="false">IF($F403="","",IFERROR(INDEX(Counterparties!$C:$C,MATCH($F403&amp;"",Counterparties!$A:$A,0))&amp;"",""))</f>
        <v/>
      </c>
      <c r="P403" s="24" t="str">
        <f aca="false">IF($O403="","",IF($O403="CY","CY",IF(ISNUMBER(MATCH($O403,Lists!$A:$A,0)),"EU","3RD")))</f>
        <v/>
      </c>
      <c r="Q403" s="24" t="str">
        <f aca="false">IF($F403="","N",IFERROR(IF(INDEX(Counterparties!$E:$E,MATCH($F403&amp;"",Counterparties!$A:$A,0))="Y","Y","N"),"N"))</f>
        <v>N</v>
      </c>
      <c r="R403" s="25" t="n">
        <f aca="false">IF(OR($H403="",$H403="EUR"),1,IFERROR(INDEX(FX_Rates!$D:$D,MATCH($H403,FX_Rates!$A:$A,0)),""))</f>
        <v>1</v>
      </c>
      <c r="S403" s="26" t="str">
        <f aca="false">IF(AND($I403="",$J403=""),"",IF($J403&lt;&gt;"",$J403,IF(OR($R403="",$R403=0),"",ROUND($I403/$R403,2))))</f>
        <v/>
      </c>
      <c r="T403" s="24" t="str">
        <f aca="false">IF($N403="","",IFERROR(INDEX(VAT_Codes!$C:$C,MATCH($N403,VAT_Codes!$A:$A,0)),"")&amp;"")</f>
        <v/>
      </c>
      <c r="U403" s="26" t="n">
        <f aca="false">IF(OR($S403="",$T403="",$T403="None"),0,IF($T403="Output",-$S403,$S403))</f>
        <v>0</v>
      </c>
      <c r="V403" s="27" t="n">
        <f aca="false">IF($N403="",0,IFERROR(INDEX(VAT_Codes!$D:$D,MATCH($N403,VAT_Codes!$A:$A,0)),0))</f>
        <v>0</v>
      </c>
      <c r="W403" s="26" t="n">
        <f aca="false">IF($U403=0,0,IF(IFERROR(INDEX(VAT_Codes!$F:$F,MATCH($N403,VAT_Codes!$A:$A,0)),"N")="Y",$U403,IF($L403&lt;&gt;"",ROUND(ABS($L403)/IF(OR($R403="",$R403=0),1,$R403),2)*SIGN($U403),ROUND($U403*$V403,2))))</f>
        <v>0</v>
      </c>
      <c r="X403" s="24" t="str">
        <f aca="false">IF($N403="","",IFERROR(INDEX(VAT_Codes!$H:$H,MATCH($N403,VAT_Codes!$A:$A,0)),"")&amp;"")</f>
        <v/>
      </c>
      <c r="Y403" s="24" t="str">
        <f aca="false">IF($A403="","",(YEAR($A403)-YEAR(Settings!$C$8))*12+MONTH($A403)-MONTH(Settings!$C$8)+1)</f>
        <v/>
      </c>
      <c r="Z403" s="24" t="str">
        <f aca="false">IF(AND($C403="",$I403="",$J403=""),"",IF($N403="","NO VAT CODE",IF($T403="","UNKNOWN VAT CODE",IF($S403="","MISSING FX RATE",IF(OR($A403&lt;Settings!$C$8,$A403&gt;Settings!$C$9),"OUTSIDE PERIOD",IF(AND(IFERROR(INDEX(VAT_Codes!$E:$E,MATCH($N403,VAT_Codes!$A:$A,0)),"ANY")&lt;&gt;"ANY",$P403=""),"MISSING COUNTERPARTY COUNTRY",IF(AND(IFERROR(INDEX(VAT_Codes!$E:$E,MATCH($N403,VAT_Codes!$A:$A,0)),"ANY")&lt;&gt;"ANY",$P403&lt;&gt;IFERROR(INDEX(VAT_Codes!$E:$E,MATCH($N403,VAT_Codes!$A:$A,0)),"ANY")),"REGION MISMATCH","OK")))))))</f>
        <v/>
      </c>
    </row>
    <row r="404" customFormat="false" ht="15" hidden="false" customHeight="false" outlineLevel="0" collapsed="false">
      <c r="M404" s="24" t="str">
        <f aca="false">IF($C404="","",IFERROR(INDEX(Account_Mapping!$C:$C,MATCH($C404&amp;"",Account_Mapping!$A:$A,0))&amp;"",""))</f>
        <v/>
      </c>
      <c r="N404" s="24" t="str">
        <f aca="false">IF($K404&lt;&gt;"",$K404,$M404)</f>
        <v/>
      </c>
      <c r="O404" s="24" t="str">
        <f aca="false">IF($F404="","",IFERROR(INDEX(Counterparties!$C:$C,MATCH($F404&amp;"",Counterparties!$A:$A,0))&amp;"",""))</f>
        <v/>
      </c>
      <c r="P404" s="24" t="str">
        <f aca="false">IF($O404="","",IF($O404="CY","CY",IF(ISNUMBER(MATCH($O404,Lists!$A:$A,0)),"EU","3RD")))</f>
        <v/>
      </c>
      <c r="Q404" s="24" t="str">
        <f aca="false">IF($F404="","N",IFERROR(IF(INDEX(Counterparties!$E:$E,MATCH($F404&amp;"",Counterparties!$A:$A,0))="Y","Y","N"),"N"))</f>
        <v>N</v>
      </c>
      <c r="R404" s="25" t="n">
        <f aca="false">IF(OR($H404="",$H404="EUR"),1,IFERROR(INDEX(FX_Rates!$D:$D,MATCH($H404,FX_Rates!$A:$A,0)),""))</f>
        <v>1</v>
      </c>
      <c r="S404" s="26" t="str">
        <f aca="false">IF(AND($I404="",$J404=""),"",IF($J404&lt;&gt;"",$J404,IF(OR($R404="",$R404=0),"",ROUND($I404/$R404,2))))</f>
        <v/>
      </c>
      <c r="T404" s="24" t="str">
        <f aca="false">IF($N404="","",IFERROR(INDEX(VAT_Codes!$C:$C,MATCH($N404,VAT_Codes!$A:$A,0)),"")&amp;"")</f>
        <v/>
      </c>
      <c r="U404" s="26" t="n">
        <f aca="false">IF(OR($S404="",$T404="",$T404="None"),0,IF($T404="Output",-$S404,$S404))</f>
        <v>0</v>
      </c>
      <c r="V404" s="27" t="n">
        <f aca="false">IF($N404="",0,IFERROR(INDEX(VAT_Codes!$D:$D,MATCH($N404,VAT_Codes!$A:$A,0)),0))</f>
        <v>0</v>
      </c>
      <c r="W404" s="26" t="n">
        <f aca="false">IF($U404=0,0,IF(IFERROR(INDEX(VAT_Codes!$F:$F,MATCH($N404,VAT_Codes!$A:$A,0)),"N")="Y",$U404,IF($L404&lt;&gt;"",ROUND(ABS($L404)/IF(OR($R404="",$R404=0),1,$R404),2)*SIGN($U404),ROUND($U404*$V404,2))))</f>
        <v>0</v>
      </c>
      <c r="X404" s="24" t="str">
        <f aca="false">IF($N404="","",IFERROR(INDEX(VAT_Codes!$H:$H,MATCH($N404,VAT_Codes!$A:$A,0)),"")&amp;"")</f>
        <v/>
      </c>
      <c r="Y404" s="24" t="str">
        <f aca="false">IF($A404="","",(YEAR($A404)-YEAR(Settings!$C$8))*12+MONTH($A404)-MONTH(Settings!$C$8)+1)</f>
        <v/>
      </c>
      <c r="Z404" s="24" t="str">
        <f aca="false">IF(AND($C404="",$I404="",$J404=""),"",IF($N404="","NO VAT CODE",IF($T404="","UNKNOWN VAT CODE",IF($S404="","MISSING FX RATE",IF(OR($A404&lt;Settings!$C$8,$A404&gt;Settings!$C$9),"OUTSIDE PERIOD",IF(AND(IFERROR(INDEX(VAT_Codes!$E:$E,MATCH($N404,VAT_Codes!$A:$A,0)),"ANY")&lt;&gt;"ANY",$P404=""),"MISSING COUNTERPARTY COUNTRY",IF(AND(IFERROR(INDEX(VAT_Codes!$E:$E,MATCH($N404,VAT_Codes!$A:$A,0)),"ANY")&lt;&gt;"ANY",$P404&lt;&gt;IFERROR(INDEX(VAT_Codes!$E:$E,MATCH($N404,VAT_Codes!$A:$A,0)),"ANY")),"REGION MISMATCH","OK")))))))</f>
        <v/>
      </c>
    </row>
    <row r="405" customFormat="false" ht="15" hidden="false" customHeight="false" outlineLevel="0" collapsed="false">
      <c r="M405" s="24" t="str">
        <f aca="false">IF($C405="","",IFERROR(INDEX(Account_Mapping!$C:$C,MATCH($C405&amp;"",Account_Mapping!$A:$A,0))&amp;"",""))</f>
        <v/>
      </c>
      <c r="N405" s="24" t="str">
        <f aca="false">IF($K405&lt;&gt;"",$K405,$M405)</f>
        <v/>
      </c>
      <c r="O405" s="24" t="str">
        <f aca="false">IF($F405="","",IFERROR(INDEX(Counterparties!$C:$C,MATCH($F405&amp;"",Counterparties!$A:$A,0))&amp;"",""))</f>
        <v/>
      </c>
      <c r="P405" s="24" t="str">
        <f aca="false">IF($O405="","",IF($O405="CY","CY",IF(ISNUMBER(MATCH($O405,Lists!$A:$A,0)),"EU","3RD")))</f>
        <v/>
      </c>
      <c r="Q405" s="24" t="str">
        <f aca="false">IF($F405="","N",IFERROR(IF(INDEX(Counterparties!$E:$E,MATCH($F405&amp;"",Counterparties!$A:$A,0))="Y","Y","N"),"N"))</f>
        <v>N</v>
      </c>
      <c r="R405" s="25" t="n">
        <f aca="false">IF(OR($H405="",$H405="EUR"),1,IFERROR(INDEX(FX_Rates!$D:$D,MATCH($H405,FX_Rates!$A:$A,0)),""))</f>
        <v>1</v>
      </c>
      <c r="S405" s="26" t="str">
        <f aca="false">IF(AND($I405="",$J405=""),"",IF($J405&lt;&gt;"",$J405,IF(OR($R405="",$R405=0),"",ROUND($I405/$R405,2))))</f>
        <v/>
      </c>
      <c r="T405" s="24" t="str">
        <f aca="false">IF($N405="","",IFERROR(INDEX(VAT_Codes!$C:$C,MATCH($N405,VAT_Codes!$A:$A,0)),"")&amp;"")</f>
        <v/>
      </c>
      <c r="U405" s="26" t="n">
        <f aca="false">IF(OR($S405="",$T405="",$T405="None"),0,IF($T405="Output",-$S405,$S405))</f>
        <v>0</v>
      </c>
      <c r="V405" s="27" t="n">
        <f aca="false">IF($N405="",0,IFERROR(INDEX(VAT_Codes!$D:$D,MATCH($N405,VAT_Codes!$A:$A,0)),0))</f>
        <v>0</v>
      </c>
      <c r="W405" s="26" t="n">
        <f aca="false">IF($U405=0,0,IF(IFERROR(INDEX(VAT_Codes!$F:$F,MATCH($N405,VAT_Codes!$A:$A,0)),"N")="Y",$U405,IF($L405&lt;&gt;"",ROUND(ABS($L405)/IF(OR($R405="",$R405=0),1,$R405),2)*SIGN($U405),ROUND($U405*$V405,2))))</f>
        <v>0</v>
      </c>
      <c r="X405" s="24" t="str">
        <f aca="false">IF($N405="","",IFERROR(INDEX(VAT_Codes!$H:$H,MATCH($N405,VAT_Codes!$A:$A,0)),"")&amp;"")</f>
        <v/>
      </c>
      <c r="Y405" s="24" t="str">
        <f aca="false">IF($A405="","",(YEAR($A405)-YEAR(Settings!$C$8))*12+MONTH($A405)-MONTH(Settings!$C$8)+1)</f>
        <v/>
      </c>
      <c r="Z405" s="24" t="str">
        <f aca="false">IF(AND($C405="",$I405="",$J405=""),"",IF($N405="","NO VAT CODE",IF($T405="","UNKNOWN VAT CODE",IF($S405="","MISSING FX RATE",IF(OR($A405&lt;Settings!$C$8,$A405&gt;Settings!$C$9),"OUTSIDE PERIOD",IF(AND(IFERROR(INDEX(VAT_Codes!$E:$E,MATCH($N405,VAT_Codes!$A:$A,0)),"ANY")&lt;&gt;"ANY",$P405=""),"MISSING COUNTERPARTY COUNTRY",IF(AND(IFERROR(INDEX(VAT_Codes!$E:$E,MATCH($N405,VAT_Codes!$A:$A,0)),"ANY")&lt;&gt;"ANY",$P405&lt;&gt;IFERROR(INDEX(VAT_Codes!$E:$E,MATCH($N405,VAT_Codes!$A:$A,0)),"ANY")),"REGION MISMATCH","OK")))))))</f>
        <v/>
      </c>
    </row>
    <row r="406" customFormat="false" ht="15" hidden="false" customHeight="false" outlineLevel="0" collapsed="false">
      <c r="M406" s="24" t="str">
        <f aca="false">IF($C406="","",IFERROR(INDEX(Account_Mapping!$C:$C,MATCH($C406&amp;"",Account_Mapping!$A:$A,0))&amp;"",""))</f>
        <v/>
      </c>
      <c r="N406" s="24" t="str">
        <f aca="false">IF($K406&lt;&gt;"",$K406,$M406)</f>
        <v/>
      </c>
      <c r="O406" s="24" t="str">
        <f aca="false">IF($F406="","",IFERROR(INDEX(Counterparties!$C:$C,MATCH($F406&amp;"",Counterparties!$A:$A,0))&amp;"",""))</f>
        <v/>
      </c>
      <c r="P406" s="24" t="str">
        <f aca="false">IF($O406="","",IF($O406="CY","CY",IF(ISNUMBER(MATCH($O406,Lists!$A:$A,0)),"EU","3RD")))</f>
        <v/>
      </c>
      <c r="Q406" s="24" t="str">
        <f aca="false">IF($F406="","N",IFERROR(IF(INDEX(Counterparties!$E:$E,MATCH($F406&amp;"",Counterparties!$A:$A,0))="Y","Y","N"),"N"))</f>
        <v>N</v>
      </c>
      <c r="R406" s="25" t="n">
        <f aca="false">IF(OR($H406="",$H406="EUR"),1,IFERROR(INDEX(FX_Rates!$D:$D,MATCH($H406,FX_Rates!$A:$A,0)),""))</f>
        <v>1</v>
      </c>
      <c r="S406" s="26" t="str">
        <f aca="false">IF(AND($I406="",$J406=""),"",IF($J406&lt;&gt;"",$J406,IF(OR($R406="",$R406=0),"",ROUND($I406/$R406,2))))</f>
        <v/>
      </c>
      <c r="T406" s="24" t="str">
        <f aca="false">IF($N406="","",IFERROR(INDEX(VAT_Codes!$C:$C,MATCH($N406,VAT_Codes!$A:$A,0)),"")&amp;"")</f>
        <v/>
      </c>
      <c r="U406" s="26" t="n">
        <f aca="false">IF(OR($S406="",$T406="",$T406="None"),0,IF($T406="Output",-$S406,$S406))</f>
        <v>0</v>
      </c>
      <c r="V406" s="27" t="n">
        <f aca="false">IF($N406="",0,IFERROR(INDEX(VAT_Codes!$D:$D,MATCH($N406,VAT_Codes!$A:$A,0)),0))</f>
        <v>0</v>
      </c>
      <c r="W406" s="26" t="n">
        <f aca="false">IF($U406=0,0,IF(IFERROR(INDEX(VAT_Codes!$F:$F,MATCH($N406,VAT_Codes!$A:$A,0)),"N")="Y",$U406,IF($L406&lt;&gt;"",ROUND(ABS($L406)/IF(OR($R406="",$R406=0),1,$R406),2)*SIGN($U406),ROUND($U406*$V406,2))))</f>
        <v>0</v>
      </c>
      <c r="X406" s="24" t="str">
        <f aca="false">IF($N406="","",IFERROR(INDEX(VAT_Codes!$H:$H,MATCH($N406,VAT_Codes!$A:$A,0)),"")&amp;"")</f>
        <v/>
      </c>
      <c r="Y406" s="24" t="str">
        <f aca="false">IF($A406="","",(YEAR($A406)-YEAR(Settings!$C$8))*12+MONTH($A406)-MONTH(Settings!$C$8)+1)</f>
        <v/>
      </c>
      <c r="Z406" s="24" t="str">
        <f aca="false">IF(AND($C406="",$I406="",$J406=""),"",IF($N406="","NO VAT CODE",IF($T406="","UNKNOWN VAT CODE",IF($S406="","MISSING FX RATE",IF(OR($A406&lt;Settings!$C$8,$A406&gt;Settings!$C$9),"OUTSIDE PERIOD",IF(AND(IFERROR(INDEX(VAT_Codes!$E:$E,MATCH($N406,VAT_Codes!$A:$A,0)),"ANY")&lt;&gt;"ANY",$P406=""),"MISSING COUNTERPARTY COUNTRY",IF(AND(IFERROR(INDEX(VAT_Codes!$E:$E,MATCH($N406,VAT_Codes!$A:$A,0)),"ANY")&lt;&gt;"ANY",$P406&lt;&gt;IFERROR(INDEX(VAT_Codes!$E:$E,MATCH($N406,VAT_Codes!$A:$A,0)),"ANY")),"REGION MISMATCH","OK")))))))</f>
        <v/>
      </c>
    </row>
    <row r="407" customFormat="false" ht="15" hidden="false" customHeight="false" outlineLevel="0" collapsed="false">
      <c r="M407" s="24" t="str">
        <f aca="false">IF($C407="","",IFERROR(INDEX(Account_Mapping!$C:$C,MATCH($C407&amp;"",Account_Mapping!$A:$A,0))&amp;"",""))</f>
        <v/>
      </c>
      <c r="N407" s="24" t="str">
        <f aca="false">IF($K407&lt;&gt;"",$K407,$M407)</f>
        <v/>
      </c>
      <c r="O407" s="24" t="str">
        <f aca="false">IF($F407="","",IFERROR(INDEX(Counterparties!$C:$C,MATCH($F407&amp;"",Counterparties!$A:$A,0))&amp;"",""))</f>
        <v/>
      </c>
      <c r="P407" s="24" t="str">
        <f aca="false">IF($O407="","",IF($O407="CY","CY",IF(ISNUMBER(MATCH($O407,Lists!$A:$A,0)),"EU","3RD")))</f>
        <v/>
      </c>
      <c r="Q407" s="24" t="str">
        <f aca="false">IF($F407="","N",IFERROR(IF(INDEX(Counterparties!$E:$E,MATCH($F407&amp;"",Counterparties!$A:$A,0))="Y","Y","N"),"N"))</f>
        <v>N</v>
      </c>
      <c r="R407" s="25" t="n">
        <f aca="false">IF(OR($H407="",$H407="EUR"),1,IFERROR(INDEX(FX_Rates!$D:$D,MATCH($H407,FX_Rates!$A:$A,0)),""))</f>
        <v>1</v>
      </c>
      <c r="S407" s="26" t="str">
        <f aca="false">IF(AND($I407="",$J407=""),"",IF($J407&lt;&gt;"",$J407,IF(OR($R407="",$R407=0),"",ROUND($I407/$R407,2))))</f>
        <v/>
      </c>
      <c r="T407" s="24" t="str">
        <f aca="false">IF($N407="","",IFERROR(INDEX(VAT_Codes!$C:$C,MATCH($N407,VAT_Codes!$A:$A,0)),"")&amp;"")</f>
        <v/>
      </c>
      <c r="U407" s="26" t="n">
        <f aca="false">IF(OR($S407="",$T407="",$T407="None"),0,IF($T407="Output",-$S407,$S407))</f>
        <v>0</v>
      </c>
      <c r="V407" s="27" t="n">
        <f aca="false">IF($N407="",0,IFERROR(INDEX(VAT_Codes!$D:$D,MATCH($N407,VAT_Codes!$A:$A,0)),0))</f>
        <v>0</v>
      </c>
      <c r="W407" s="26" t="n">
        <f aca="false">IF($U407=0,0,IF(IFERROR(INDEX(VAT_Codes!$F:$F,MATCH($N407,VAT_Codes!$A:$A,0)),"N")="Y",$U407,IF($L407&lt;&gt;"",ROUND(ABS($L407)/IF(OR($R407="",$R407=0),1,$R407),2)*SIGN($U407),ROUND($U407*$V407,2))))</f>
        <v>0</v>
      </c>
      <c r="X407" s="24" t="str">
        <f aca="false">IF($N407="","",IFERROR(INDEX(VAT_Codes!$H:$H,MATCH($N407,VAT_Codes!$A:$A,0)),"")&amp;"")</f>
        <v/>
      </c>
      <c r="Y407" s="24" t="str">
        <f aca="false">IF($A407="","",(YEAR($A407)-YEAR(Settings!$C$8))*12+MONTH($A407)-MONTH(Settings!$C$8)+1)</f>
        <v/>
      </c>
      <c r="Z407" s="24" t="str">
        <f aca="false">IF(AND($C407="",$I407="",$J407=""),"",IF($N407="","NO VAT CODE",IF($T407="","UNKNOWN VAT CODE",IF($S407="","MISSING FX RATE",IF(OR($A407&lt;Settings!$C$8,$A407&gt;Settings!$C$9),"OUTSIDE PERIOD",IF(AND(IFERROR(INDEX(VAT_Codes!$E:$E,MATCH($N407,VAT_Codes!$A:$A,0)),"ANY")&lt;&gt;"ANY",$P407=""),"MISSING COUNTERPARTY COUNTRY",IF(AND(IFERROR(INDEX(VAT_Codes!$E:$E,MATCH($N407,VAT_Codes!$A:$A,0)),"ANY")&lt;&gt;"ANY",$P407&lt;&gt;IFERROR(INDEX(VAT_Codes!$E:$E,MATCH($N407,VAT_Codes!$A:$A,0)),"ANY")),"REGION MISMATCH","OK")))))))</f>
        <v/>
      </c>
    </row>
    <row r="408" customFormat="false" ht="15" hidden="false" customHeight="false" outlineLevel="0" collapsed="false">
      <c r="M408" s="24" t="str">
        <f aca="false">IF($C408="","",IFERROR(INDEX(Account_Mapping!$C:$C,MATCH($C408&amp;"",Account_Mapping!$A:$A,0))&amp;"",""))</f>
        <v/>
      </c>
      <c r="N408" s="24" t="str">
        <f aca="false">IF($K408&lt;&gt;"",$K408,$M408)</f>
        <v/>
      </c>
      <c r="O408" s="24" t="str">
        <f aca="false">IF($F408="","",IFERROR(INDEX(Counterparties!$C:$C,MATCH($F408&amp;"",Counterparties!$A:$A,0))&amp;"",""))</f>
        <v/>
      </c>
      <c r="P408" s="24" t="str">
        <f aca="false">IF($O408="","",IF($O408="CY","CY",IF(ISNUMBER(MATCH($O408,Lists!$A:$A,0)),"EU","3RD")))</f>
        <v/>
      </c>
      <c r="Q408" s="24" t="str">
        <f aca="false">IF($F408="","N",IFERROR(IF(INDEX(Counterparties!$E:$E,MATCH($F408&amp;"",Counterparties!$A:$A,0))="Y","Y","N"),"N"))</f>
        <v>N</v>
      </c>
      <c r="R408" s="25" t="n">
        <f aca="false">IF(OR($H408="",$H408="EUR"),1,IFERROR(INDEX(FX_Rates!$D:$D,MATCH($H408,FX_Rates!$A:$A,0)),""))</f>
        <v>1</v>
      </c>
      <c r="S408" s="26" t="str">
        <f aca="false">IF(AND($I408="",$J408=""),"",IF($J408&lt;&gt;"",$J408,IF(OR($R408="",$R408=0),"",ROUND($I408/$R408,2))))</f>
        <v/>
      </c>
      <c r="T408" s="24" t="str">
        <f aca="false">IF($N408="","",IFERROR(INDEX(VAT_Codes!$C:$C,MATCH($N408,VAT_Codes!$A:$A,0)),"")&amp;"")</f>
        <v/>
      </c>
      <c r="U408" s="26" t="n">
        <f aca="false">IF(OR($S408="",$T408="",$T408="None"),0,IF($T408="Output",-$S408,$S408))</f>
        <v>0</v>
      </c>
      <c r="V408" s="27" t="n">
        <f aca="false">IF($N408="",0,IFERROR(INDEX(VAT_Codes!$D:$D,MATCH($N408,VAT_Codes!$A:$A,0)),0))</f>
        <v>0</v>
      </c>
      <c r="W408" s="26" t="n">
        <f aca="false">IF($U408=0,0,IF(IFERROR(INDEX(VAT_Codes!$F:$F,MATCH($N408,VAT_Codes!$A:$A,0)),"N")="Y",$U408,IF($L408&lt;&gt;"",ROUND(ABS($L408)/IF(OR($R408="",$R408=0),1,$R408),2)*SIGN($U408),ROUND($U408*$V408,2))))</f>
        <v>0</v>
      </c>
      <c r="X408" s="24" t="str">
        <f aca="false">IF($N408="","",IFERROR(INDEX(VAT_Codes!$H:$H,MATCH($N408,VAT_Codes!$A:$A,0)),"")&amp;"")</f>
        <v/>
      </c>
      <c r="Y408" s="24" t="str">
        <f aca="false">IF($A408="","",(YEAR($A408)-YEAR(Settings!$C$8))*12+MONTH($A408)-MONTH(Settings!$C$8)+1)</f>
        <v/>
      </c>
      <c r="Z408" s="24" t="str">
        <f aca="false">IF(AND($C408="",$I408="",$J408=""),"",IF($N408="","NO VAT CODE",IF($T408="","UNKNOWN VAT CODE",IF($S408="","MISSING FX RATE",IF(OR($A408&lt;Settings!$C$8,$A408&gt;Settings!$C$9),"OUTSIDE PERIOD",IF(AND(IFERROR(INDEX(VAT_Codes!$E:$E,MATCH($N408,VAT_Codes!$A:$A,0)),"ANY")&lt;&gt;"ANY",$P408=""),"MISSING COUNTERPARTY COUNTRY",IF(AND(IFERROR(INDEX(VAT_Codes!$E:$E,MATCH($N408,VAT_Codes!$A:$A,0)),"ANY")&lt;&gt;"ANY",$P408&lt;&gt;IFERROR(INDEX(VAT_Codes!$E:$E,MATCH($N408,VAT_Codes!$A:$A,0)),"ANY")),"REGION MISMATCH","OK")))))))</f>
        <v/>
      </c>
    </row>
    <row r="409" customFormat="false" ht="15" hidden="false" customHeight="false" outlineLevel="0" collapsed="false">
      <c r="M409" s="24" t="str">
        <f aca="false">IF($C409="","",IFERROR(INDEX(Account_Mapping!$C:$C,MATCH($C409&amp;"",Account_Mapping!$A:$A,0))&amp;"",""))</f>
        <v/>
      </c>
      <c r="N409" s="24" t="str">
        <f aca="false">IF($K409&lt;&gt;"",$K409,$M409)</f>
        <v/>
      </c>
      <c r="O409" s="24" t="str">
        <f aca="false">IF($F409="","",IFERROR(INDEX(Counterparties!$C:$C,MATCH($F409&amp;"",Counterparties!$A:$A,0))&amp;"",""))</f>
        <v/>
      </c>
      <c r="P409" s="24" t="str">
        <f aca="false">IF($O409="","",IF($O409="CY","CY",IF(ISNUMBER(MATCH($O409,Lists!$A:$A,0)),"EU","3RD")))</f>
        <v/>
      </c>
      <c r="Q409" s="24" t="str">
        <f aca="false">IF($F409="","N",IFERROR(IF(INDEX(Counterparties!$E:$E,MATCH($F409&amp;"",Counterparties!$A:$A,0))="Y","Y","N"),"N"))</f>
        <v>N</v>
      </c>
      <c r="R409" s="25" t="n">
        <f aca="false">IF(OR($H409="",$H409="EUR"),1,IFERROR(INDEX(FX_Rates!$D:$D,MATCH($H409,FX_Rates!$A:$A,0)),""))</f>
        <v>1</v>
      </c>
      <c r="S409" s="26" t="str">
        <f aca="false">IF(AND($I409="",$J409=""),"",IF($J409&lt;&gt;"",$J409,IF(OR($R409="",$R409=0),"",ROUND($I409/$R409,2))))</f>
        <v/>
      </c>
      <c r="T409" s="24" t="str">
        <f aca="false">IF($N409="","",IFERROR(INDEX(VAT_Codes!$C:$C,MATCH($N409,VAT_Codes!$A:$A,0)),"")&amp;"")</f>
        <v/>
      </c>
      <c r="U409" s="26" t="n">
        <f aca="false">IF(OR($S409="",$T409="",$T409="None"),0,IF($T409="Output",-$S409,$S409))</f>
        <v>0</v>
      </c>
      <c r="V409" s="27" t="n">
        <f aca="false">IF($N409="",0,IFERROR(INDEX(VAT_Codes!$D:$D,MATCH($N409,VAT_Codes!$A:$A,0)),0))</f>
        <v>0</v>
      </c>
      <c r="W409" s="26" t="n">
        <f aca="false">IF($U409=0,0,IF(IFERROR(INDEX(VAT_Codes!$F:$F,MATCH($N409,VAT_Codes!$A:$A,0)),"N")="Y",$U409,IF($L409&lt;&gt;"",ROUND(ABS($L409)/IF(OR($R409="",$R409=0),1,$R409),2)*SIGN($U409),ROUND($U409*$V409,2))))</f>
        <v>0</v>
      </c>
      <c r="X409" s="24" t="str">
        <f aca="false">IF($N409="","",IFERROR(INDEX(VAT_Codes!$H:$H,MATCH($N409,VAT_Codes!$A:$A,0)),"")&amp;"")</f>
        <v/>
      </c>
      <c r="Y409" s="24" t="str">
        <f aca="false">IF($A409="","",(YEAR($A409)-YEAR(Settings!$C$8))*12+MONTH($A409)-MONTH(Settings!$C$8)+1)</f>
        <v/>
      </c>
      <c r="Z409" s="24" t="str">
        <f aca="false">IF(AND($C409="",$I409="",$J409=""),"",IF($N409="","NO VAT CODE",IF($T409="","UNKNOWN VAT CODE",IF($S409="","MISSING FX RATE",IF(OR($A409&lt;Settings!$C$8,$A409&gt;Settings!$C$9),"OUTSIDE PERIOD",IF(AND(IFERROR(INDEX(VAT_Codes!$E:$E,MATCH($N409,VAT_Codes!$A:$A,0)),"ANY")&lt;&gt;"ANY",$P409=""),"MISSING COUNTERPARTY COUNTRY",IF(AND(IFERROR(INDEX(VAT_Codes!$E:$E,MATCH($N409,VAT_Codes!$A:$A,0)),"ANY")&lt;&gt;"ANY",$P409&lt;&gt;IFERROR(INDEX(VAT_Codes!$E:$E,MATCH($N409,VAT_Codes!$A:$A,0)),"ANY")),"REGION MISMATCH","OK")))))))</f>
        <v/>
      </c>
    </row>
    <row r="410" customFormat="false" ht="15" hidden="false" customHeight="false" outlineLevel="0" collapsed="false">
      <c r="M410" s="24" t="str">
        <f aca="false">IF($C410="","",IFERROR(INDEX(Account_Mapping!$C:$C,MATCH($C410&amp;"",Account_Mapping!$A:$A,0))&amp;"",""))</f>
        <v/>
      </c>
      <c r="N410" s="24" t="str">
        <f aca="false">IF($K410&lt;&gt;"",$K410,$M410)</f>
        <v/>
      </c>
      <c r="O410" s="24" t="str">
        <f aca="false">IF($F410="","",IFERROR(INDEX(Counterparties!$C:$C,MATCH($F410&amp;"",Counterparties!$A:$A,0))&amp;"",""))</f>
        <v/>
      </c>
      <c r="P410" s="24" t="str">
        <f aca="false">IF($O410="","",IF($O410="CY","CY",IF(ISNUMBER(MATCH($O410,Lists!$A:$A,0)),"EU","3RD")))</f>
        <v/>
      </c>
      <c r="Q410" s="24" t="str">
        <f aca="false">IF($F410="","N",IFERROR(IF(INDEX(Counterparties!$E:$E,MATCH($F410&amp;"",Counterparties!$A:$A,0))="Y","Y","N"),"N"))</f>
        <v>N</v>
      </c>
      <c r="R410" s="25" t="n">
        <f aca="false">IF(OR($H410="",$H410="EUR"),1,IFERROR(INDEX(FX_Rates!$D:$D,MATCH($H410,FX_Rates!$A:$A,0)),""))</f>
        <v>1</v>
      </c>
      <c r="S410" s="26" t="str">
        <f aca="false">IF(AND($I410="",$J410=""),"",IF($J410&lt;&gt;"",$J410,IF(OR($R410="",$R410=0),"",ROUND($I410/$R410,2))))</f>
        <v/>
      </c>
      <c r="T410" s="24" t="str">
        <f aca="false">IF($N410="","",IFERROR(INDEX(VAT_Codes!$C:$C,MATCH($N410,VAT_Codes!$A:$A,0)),"")&amp;"")</f>
        <v/>
      </c>
      <c r="U410" s="26" t="n">
        <f aca="false">IF(OR($S410="",$T410="",$T410="None"),0,IF($T410="Output",-$S410,$S410))</f>
        <v>0</v>
      </c>
      <c r="V410" s="27" t="n">
        <f aca="false">IF($N410="",0,IFERROR(INDEX(VAT_Codes!$D:$D,MATCH($N410,VAT_Codes!$A:$A,0)),0))</f>
        <v>0</v>
      </c>
      <c r="W410" s="26" t="n">
        <f aca="false">IF($U410=0,0,IF(IFERROR(INDEX(VAT_Codes!$F:$F,MATCH($N410,VAT_Codes!$A:$A,0)),"N")="Y",$U410,IF($L410&lt;&gt;"",ROUND(ABS($L410)/IF(OR($R410="",$R410=0),1,$R410),2)*SIGN($U410),ROUND($U410*$V410,2))))</f>
        <v>0</v>
      </c>
      <c r="X410" s="24" t="str">
        <f aca="false">IF($N410="","",IFERROR(INDEX(VAT_Codes!$H:$H,MATCH($N410,VAT_Codes!$A:$A,0)),"")&amp;"")</f>
        <v/>
      </c>
      <c r="Y410" s="24" t="str">
        <f aca="false">IF($A410="","",(YEAR($A410)-YEAR(Settings!$C$8))*12+MONTH($A410)-MONTH(Settings!$C$8)+1)</f>
        <v/>
      </c>
      <c r="Z410" s="24" t="str">
        <f aca="false">IF(AND($C410="",$I410="",$J410=""),"",IF($N410="","NO VAT CODE",IF($T410="","UNKNOWN VAT CODE",IF($S410="","MISSING FX RATE",IF(OR($A410&lt;Settings!$C$8,$A410&gt;Settings!$C$9),"OUTSIDE PERIOD",IF(AND(IFERROR(INDEX(VAT_Codes!$E:$E,MATCH($N410,VAT_Codes!$A:$A,0)),"ANY")&lt;&gt;"ANY",$P410=""),"MISSING COUNTERPARTY COUNTRY",IF(AND(IFERROR(INDEX(VAT_Codes!$E:$E,MATCH($N410,VAT_Codes!$A:$A,0)),"ANY")&lt;&gt;"ANY",$P410&lt;&gt;IFERROR(INDEX(VAT_Codes!$E:$E,MATCH($N410,VAT_Codes!$A:$A,0)),"ANY")),"REGION MISMATCH","OK")))))))</f>
        <v/>
      </c>
    </row>
    <row r="411" customFormat="false" ht="15" hidden="false" customHeight="false" outlineLevel="0" collapsed="false">
      <c r="M411" s="24" t="str">
        <f aca="false">IF($C411="","",IFERROR(INDEX(Account_Mapping!$C:$C,MATCH($C411&amp;"",Account_Mapping!$A:$A,0))&amp;"",""))</f>
        <v/>
      </c>
      <c r="N411" s="24" t="str">
        <f aca="false">IF($K411&lt;&gt;"",$K411,$M411)</f>
        <v/>
      </c>
      <c r="O411" s="24" t="str">
        <f aca="false">IF($F411="","",IFERROR(INDEX(Counterparties!$C:$C,MATCH($F411&amp;"",Counterparties!$A:$A,0))&amp;"",""))</f>
        <v/>
      </c>
      <c r="P411" s="24" t="str">
        <f aca="false">IF($O411="","",IF($O411="CY","CY",IF(ISNUMBER(MATCH($O411,Lists!$A:$A,0)),"EU","3RD")))</f>
        <v/>
      </c>
      <c r="Q411" s="24" t="str">
        <f aca="false">IF($F411="","N",IFERROR(IF(INDEX(Counterparties!$E:$E,MATCH($F411&amp;"",Counterparties!$A:$A,0))="Y","Y","N"),"N"))</f>
        <v>N</v>
      </c>
      <c r="R411" s="25" t="n">
        <f aca="false">IF(OR($H411="",$H411="EUR"),1,IFERROR(INDEX(FX_Rates!$D:$D,MATCH($H411,FX_Rates!$A:$A,0)),""))</f>
        <v>1</v>
      </c>
      <c r="S411" s="26" t="str">
        <f aca="false">IF(AND($I411="",$J411=""),"",IF($J411&lt;&gt;"",$J411,IF(OR($R411="",$R411=0),"",ROUND($I411/$R411,2))))</f>
        <v/>
      </c>
      <c r="T411" s="24" t="str">
        <f aca="false">IF($N411="","",IFERROR(INDEX(VAT_Codes!$C:$C,MATCH($N411,VAT_Codes!$A:$A,0)),"")&amp;"")</f>
        <v/>
      </c>
      <c r="U411" s="26" t="n">
        <f aca="false">IF(OR($S411="",$T411="",$T411="None"),0,IF($T411="Output",-$S411,$S411))</f>
        <v>0</v>
      </c>
      <c r="V411" s="27" t="n">
        <f aca="false">IF($N411="",0,IFERROR(INDEX(VAT_Codes!$D:$D,MATCH($N411,VAT_Codes!$A:$A,0)),0))</f>
        <v>0</v>
      </c>
      <c r="W411" s="26" t="n">
        <f aca="false">IF($U411=0,0,IF(IFERROR(INDEX(VAT_Codes!$F:$F,MATCH($N411,VAT_Codes!$A:$A,0)),"N")="Y",$U411,IF($L411&lt;&gt;"",ROUND(ABS($L411)/IF(OR($R411="",$R411=0),1,$R411),2)*SIGN($U411),ROUND($U411*$V411,2))))</f>
        <v>0</v>
      </c>
      <c r="X411" s="24" t="str">
        <f aca="false">IF($N411="","",IFERROR(INDEX(VAT_Codes!$H:$H,MATCH($N411,VAT_Codes!$A:$A,0)),"")&amp;"")</f>
        <v/>
      </c>
      <c r="Y411" s="24" t="str">
        <f aca="false">IF($A411="","",(YEAR($A411)-YEAR(Settings!$C$8))*12+MONTH($A411)-MONTH(Settings!$C$8)+1)</f>
        <v/>
      </c>
      <c r="Z411" s="24" t="str">
        <f aca="false">IF(AND($C411="",$I411="",$J411=""),"",IF($N411="","NO VAT CODE",IF($T411="","UNKNOWN VAT CODE",IF($S411="","MISSING FX RATE",IF(OR($A411&lt;Settings!$C$8,$A411&gt;Settings!$C$9),"OUTSIDE PERIOD",IF(AND(IFERROR(INDEX(VAT_Codes!$E:$E,MATCH($N411,VAT_Codes!$A:$A,0)),"ANY")&lt;&gt;"ANY",$P411=""),"MISSING COUNTERPARTY COUNTRY",IF(AND(IFERROR(INDEX(VAT_Codes!$E:$E,MATCH($N411,VAT_Codes!$A:$A,0)),"ANY")&lt;&gt;"ANY",$P411&lt;&gt;IFERROR(INDEX(VAT_Codes!$E:$E,MATCH($N411,VAT_Codes!$A:$A,0)),"ANY")),"REGION MISMATCH","OK")))))))</f>
        <v/>
      </c>
    </row>
    <row r="412" customFormat="false" ht="15" hidden="false" customHeight="false" outlineLevel="0" collapsed="false">
      <c r="M412" s="24" t="str">
        <f aca="false">IF($C412="","",IFERROR(INDEX(Account_Mapping!$C:$C,MATCH($C412&amp;"",Account_Mapping!$A:$A,0))&amp;"",""))</f>
        <v/>
      </c>
      <c r="N412" s="24" t="str">
        <f aca="false">IF($K412&lt;&gt;"",$K412,$M412)</f>
        <v/>
      </c>
      <c r="O412" s="24" t="str">
        <f aca="false">IF($F412="","",IFERROR(INDEX(Counterparties!$C:$C,MATCH($F412&amp;"",Counterparties!$A:$A,0))&amp;"",""))</f>
        <v/>
      </c>
      <c r="P412" s="24" t="str">
        <f aca="false">IF($O412="","",IF($O412="CY","CY",IF(ISNUMBER(MATCH($O412,Lists!$A:$A,0)),"EU","3RD")))</f>
        <v/>
      </c>
      <c r="Q412" s="24" t="str">
        <f aca="false">IF($F412="","N",IFERROR(IF(INDEX(Counterparties!$E:$E,MATCH($F412&amp;"",Counterparties!$A:$A,0))="Y","Y","N"),"N"))</f>
        <v>N</v>
      </c>
      <c r="R412" s="25" t="n">
        <f aca="false">IF(OR($H412="",$H412="EUR"),1,IFERROR(INDEX(FX_Rates!$D:$D,MATCH($H412,FX_Rates!$A:$A,0)),""))</f>
        <v>1</v>
      </c>
      <c r="S412" s="26" t="str">
        <f aca="false">IF(AND($I412="",$J412=""),"",IF($J412&lt;&gt;"",$J412,IF(OR($R412="",$R412=0),"",ROUND($I412/$R412,2))))</f>
        <v/>
      </c>
      <c r="T412" s="24" t="str">
        <f aca="false">IF($N412="","",IFERROR(INDEX(VAT_Codes!$C:$C,MATCH($N412,VAT_Codes!$A:$A,0)),"")&amp;"")</f>
        <v/>
      </c>
      <c r="U412" s="26" t="n">
        <f aca="false">IF(OR($S412="",$T412="",$T412="None"),0,IF($T412="Output",-$S412,$S412))</f>
        <v>0</v>
      </c>
      <c r="V412" s="27" t="n">
        <f aca="false">IF($N412="",0,IFERROR(INDEX(VAT_Codes!$D:$D,MATCH($N412,VAT_Codes!$A:$A,0)),0))</f>
        <v>0</v>
      </c>
      <c r="W412" s="26" t="n">
        <f aca="false">IF($U412=0,0,IF(IFERROR(INDEX(VAT_Codes!$F:$F,MATCH($N412,VAT_Codes!$A:$A,0)),"N")="Y",$U412,IF($L412&lt;&gt;"",ROUND(ABS($L412)/IF(OR($R412="",$R412=0),1,$R412),2)*SIGN($U412),ROUND($U412*$V412,2))))</f>
        <v>0</v>
      </c>
      <c r="X412" s="24" t="str">
        <f aca="false">IF($N412="","",IFERROR(INDEX(VAT_Codes!$H:$H,MATCH($N412,VAT_Codes!$A:$A,0)),"")&amp;"")</f>
        <v/>
      </c>
      <c r="Y412" s="24" t="str">
        <f aca="false">IF($A412="","",(YEAR($A412)-YEAR(Settings!$C$8))*12+MONTH($A412)-MONTH(Settings!$C$8)+1)</f>
        <v/>
      </c>
      <c r="Z412" s="24" t="str">
        <f aca="false">IF(AND($C412="",$I412="",$J412=""),"",IF($N412="","NO VAT CODE",IF($T412="","UNKNOWN VAT CODE",IF($S412="","MISSING FX RATE",IF(OR($A412&lt;Settings!$C$8,$A412&gt;Settings!$C$9),"OUTSIDE PERIOD",IF(AND(IFERROR(INDEX(VAT_Codes!$E:$E,MATCH($N412,VAT_Codes!$A:$A,0)),"ANY")&lt;&gt;"ANY",$P412=""),"MISSING COUNTERPARTY COUNTRY",IF(AND(IFERROR(INDEX(VAT_Codes!$E:$E,MATCH($N412,VAT_Codes!$A:$A,0)),"ANY")&lt;&gt;"ANY",$P412&lt;&gt;IFERROR(INDEX(VAT_Codes!$E:$E,MATCH($N412,VAT_Codes!$A:$A,0)),"ANY")),"REGION MISMATCH","OK")))))))</f>
        <v/>
      </c>
    </row>
    <row r="413" customFormat="false" ht="15" hidden="false" customHeight="false" outlineLevel="0" collapsed="false">
      <c r="M413" s="24" t="str">
        <f aca="false">IF($C413="","",IFERROR(INDEX(Account_Mapping!$C:$C,MATCH($C413&amp;"",Account_Mapping!$A:$A,0))&amp;"",""))</f>
        <v/>
      </c>
      <c r="N413" s="24" t="str">
        <f aca="false">IF($K413&lt;&gt;"",$K413,$M413)</f>
        <v/>
      </c>
      <c r="O413" s="24" t="str">
        <f aca="false">IF($F413="","",IFERROR(INDEX(Counterparties!$C:$C,MATCH($F413&amp;"",Counterparties!$A:$A,0))&amp;"",""))</f>
        <v/>
      </c>
      <c r="P413" s="24" t="str">
        <f aca="false">IF($O413="","",IF($O413="CY","CY",IF(ISNUMBER(MATCH($O413,Lists!$A:$A,0)),"EU","3RD")))</f>
        <v/>
      </c>
      <c r="Q413" s="24" t="str">
        <f aca="false">IF($F413="","N",IFERROR(IF(INDEX(Counterparties!$E:$E,MATCH($F413&amp;"",Counterparties!$A:$A,0))="Y","Y","N"),"N"))</f>
        <v>N</v>
      </c>
      <c r="R413" s="25" t="n">
        <f aca="false">IF(OR($H413="",$H413="EUR"),1,IFERROR(INDEX(FX_Rates!$D:$D,MATCH($H413,FX_Rates!$A:$A,0)),""))</f>
        <v>1</v>
      </c>
      <c r="S413" s="26" t="str">
        <f aca="false">IF(AND($I413="",$J413=""),"",IF($J413&lt;&gt;"",$J413,IF(OR($R413="",$R413=0),"",ROUND($I413/$R413,2))))</f>
        <v/>
      </c>
      <c r="T413" s="24" t="str">
        <f aca="false">IF($N413="","",IFERROR(INDEX(VAT_Codes!$C:$C,MATCH($N413,VAT_Codes!$A:$A,0)),"")&amp;"")</f>
        <v/>
      </c>
      <c r="U413" s="26" t="n">
        <f aca="false">IF(OR($S413="",$T413="",$T413="None"),0,IF($T413="Output",-$S413,$S413))</f>
        <v>0</v>
      </c>
      <c r="V413" s="27" t="n">
        <f aca="false">IF($N413="",0,IFERROR(INDEX(VAT_Codes!$D:$D,MATCH($N413,VAT_Codes!$A:$A,0)),0))</f>
        <v>0</v>
      </c>
      <c r="W413" s="26" t="n">
        <f aca="false">IF($U413=0,0,IF(IFERROR(INDEX(VAT_Codes!$F:$F,MATCH($N413,VAT_Codes!$A:$A,0)),"N")="Y",$U413,IF($L413&lt;&gt;"",ROUND(ABS($L413)/IF(OR($R413="",$R413=0),1,$R413),2)*SIGN($U413),ROUND($U413*$V413,2))))</f>
        <v>0</v>
      </c>
      <c r="X413" s="24" t="str">
        <f aca="false">IF($N413="","",IFERROR(INDEX(VAT_Codes!$H:$H,MATCH($N413,VAT_Codes!$A:$A,0)),"")&amp;"")</f>
        <v/>
      </c>
      <c r="Y413" s="24" t="str">
        <f aca="false">IF($A413="","",(YEAR($A413)-YEAR(Settings!$C$8))*12+MONTH($A413)-MONTH(Settings!$C$8)+1)</f>
        <v/>
      </c>
      <c r="Z413" s="24" t="str">
        <f aca="false">IF(AND($C413="",$I413="",$J413=""),"",IF($N413="","NO VAT CODE",IF($T413="","UNKNOWN VAT CODE",IF($S413="","MISSING FX RATE",IF(OR($A413&lt;Settings!$C$8,$A413&gt;Settings!$C$9),"OUTSIDE PERIOD",IF(AND(IFERROR(INDEX(VAT_Codes!$E:$E,MATCH($N413,VAT_Codes!$A:$A,0)),"ANY")&lt;&gt;"ANY",$P413=""),"MISSING COUNTERPARTY COUNTRY",IF(AND(IFERROR(INDEX(VAT_Codes!$E:$E,MATCH($N413,VAT_Codes!$A:$A,0)),"ANY")&lt;&gt;"ANY",$P413&lt;&gt;IFERROR(INDEX(VAT_Codes!$E:$E,MATCH($N413,VAT_Codes!$A:$A,0)),"ANY")),"REGION MISMATCH","OK")))))))</f>
        <v/>
      </c>
    </row>
    <row r="414" customFormat="false" ht="15" hidden="false" customHeight="false" outlineLevel="0" collapsed="false">
      <c r="M414" s="24" t="str">
        <f aca="false">IF($C414="","",IFERROR(INDEX(Account_Mapping!$C:$C,MATCH($C414&amp;"",Account_Mapping!$A:$A,0))&amp;"",""))</f>
        <v/>
      </c>
      <c r="N414" s="24" t="str">
        <f aca="false">IF($K414&lt;&gt;"",$K414,$M414)</f>
        <v/>
      </c>
      <c r="O414" s="24" t="str">
        <f aca="false">IF($F414="","",IFERROR(INDEX(Counterparties!$C:$C,MATCH($F414&amp;"",Counterparties!$A:$A,0))&amp;"",""))</f>
        <v/>
      </c>
      <c r="P414" s="24" t="str">
        <f aca="false">IF($O414="","",IF($O414="CY","CY",IF(ISNUMBER(MATCH($O414,Lists!$A:$A,0)),"EU","3RD")))</f>
        <v/>
      </c>
      <c r="Q414" s="24" t="str">
        <f aca="false">IF($F414="","N",IFERROR(IF(INDEX(Counterparties!$E:$E,MATCH($F414&amp;"",Counterparties!$A:$A,0))="Y","Y","N"),"N"))</f>
        <v>N</v>
      </c>
      <c r="R414" s="25" t="n">
        <f aca="false">IF(OR($H414="",$H414="EUR"),1,IFERROR(INDEX(FX_Rates!$D:$D,MATCH($H414,FX_Rates!$A:$A,0)),""))</f>
        <v>1</v>
      </c>
      <c r="S414" s="26" t="str">
        <f aca="false">IF(AND($I414="",$J414=""),"",IF($J414&lt;&gt;"",$J414,IF(OR($R414="",$R414=0),"",ROUND($I414/$R414,2))))</f>
        <v/>
      </c>
      <c r="T414" s="24" t="str">
        <f aca="false">IF($N414="","",IFERROR(INDEX(VAT_Codes!$C:$C,MATCH($N414,VAT_Codes!$A:$A,0)),"")&amp;"")</f>
        <v/>
      </c>
      <c r="U414" s="26" t="n">
        <f aca="false">IF(OR($S414="",$T414="",$T414="None"),0,IF($T414="Output",-$S414,$S414))</f>
        <v>0</v>
      </c>
      <c r="V414" s="27" t="n">
        <f aca="false">IF($N414="",0,IFERROR(INDEX(VAT_Codes!$D:$D,MATCH($N414,VAT_Codes!$A:$A,0)),0))</f>
        <v>0</v>
      </c>
      <c r="W414" s="26" t="n">
        <f aca="false">IF($U414=0,0,IF(IFERROR(INDEX(VAT_Codes!$F:$F,MATCH($N414,VAT_Codes!$A:$A,0)),"N")="Y",$U414,IF($L414&lt;&gt;"",ROUND(ABS($L414)/IF(OR($R414="",$R414=0),1,$R414),2)*SIGN($U414),ROUND($U414*$V414,2))))</f>
        <v>0</v>
      </c>
      <c r="X414" s="24" t="str">
        <f aca="false">IF($N414="","",IFERROR(INDEX(VAT_Codes!$H:$H,MATCH($N414,VAT_Codes!$A:$A,0)),"")&amp;"")</f>
        <v/>
      </c>
      <c r="Y414" s="24" t="str">
        <f aca="false">IF($A414="","",(YEAR($A414)-YEAR(Settings!$C$8))*12+MONTH($A414)-MONTH(Settings!$C$8)+1)</f>
        <v/>
      </c>
      <c r="Z414" s="24" t="str">
        <f aca="false">IF(AND($C414="",$I414="",$J414=""),"",IF($N414="","NO VAT CODE",IF($T414="","UNKNOWN VAT CODE",IF($S414="","MISSING FX RATE",IF(OR($A414&lt;Settings!$C$8,$A414&gt;Settings!$C$9),"OUTSIDE PERIOD",IF(AND(IFERROR(INDEX(VAT_Codes!$E:$E,MATCH($N414,VAT_Codes!$A:$A,0)),"ANY")&lt;&gt;"ANY",$P414=""),"MISSING COUNTERPARTY COUNTRY",IF(AND(IFERROR(INDEX(VAT_Codes!$E:$E,MATCH($N414,VAT_Codes!$A:$A,0)),"ANY")&lt;&gt;"ANY",$P414&lt;&gt;IFERROR(INDEX(VAT_Codes!$E:$E,MATCH($N414,VAT_Codes!$A:$A,0)),"ANY")),"REGION MISMATCH","OK")))))))</f>
        <v/>
      </c>
    </row>
    <row r="415" customFormat="false" ht="15" hidden="false" customHeight="false" outlineLevel="0" collapsed="false">
      <c r="M415" s="24" t="str">
        <f aca="false">IF($C415="","",IFERROR(INDEX(Account_Mapping!$C:$C,MATCH($C415&amp;"",Account_Mapping!$A:$A,0))&amp;"",""))</f>
        <v/>
      </c>
      <c r="N415" s="24" t="str">
        <f aca="false">IF($K415&lt;&gt;"",$K415,$M415)</f>
        <v/>
      </c>
      <c r="O415" s="24" t="str">
        <f aca="false">IF($F415="","",IFERROR(INDEX(Counterparties!$C:$C,MATCH($F415&amp;"",Counterparties!$A:$A,0))&amp;"",""))</f>
        <v/>
      </c>
      <c r="P415" s="24" t="str">
        <f aca="false">IF($O415="","",IF($O415="CY","CY",IF(ISNUMBER(MATCH($O415,Lists!$A:$A,0)),"EU","3RD")))</f>
        <v/>
      </c>
      <c r="Q415" s="24" t="str">
        <f aca="false">IF($F415="","N",IFERROR(IF(INDEX(Counterparties!$E:$E,MATCH($F415&amp;"",Counterparties!$A:$A,0))="Y","Y","N"),"N"))</f>
        <v>N</v>
      </c>
      <c r="R415" s="25" t="n">
        <f aca="false">IF(OR($H415="",$H415="EUR"),1,IFERROR(INDEX(FX_Rates!$D:$D,MATCH($H415,FX_Rates!$A:$A,0)),""))</f>
        <v>1</v>
      </c>
      <c r="S415" s="26" t="str">
        <f aca="false">IF(AND($I415="",$J415=""),"",IF($J415&lt;&gt;"",$J415,IF(OR($R415="",$R415=0),"",ROUND($I415/$R415,2))))</f>
        <v/>
      </c>
      <c r="T415" s="24" t="str">
        <f aca="false">IF($N415="","",IFERROR(INDEX(VAT_Codes!$C:$C,MATCH($N415,VAT_Codes!$A:$A,0)),"")&amp;"")</f>
        <v/>
      </c>
      <c r="U415" s="26" t="n">
        <f aca="false">IF(OR($S415="",$T415="",$T415="None"),0,IF($T415="Output",-$S415,$S415))</f>
        <v>0</v>
      </c>
      <c r="V415" s="27" t="n">
        <f aca="false">IF($N415="",0,IFERROR(INDEX(VAT_Codes!$D:$D,MATCH($N415,VAT_Codes!$A:$A,0)),0))</f>
        <v>0</v>
      </c>
      <c r="W415" s="26" t="n">
        <f aca="false">IF($U415=0,0,IF(IFERROR(INDEX(VAT_Codes!$F:$F,MATCH($N415,VAT_Codes!$A:$A,0)),"N")="Y",$U415,IF($L415&lt;&gt;"",ROUND(ABS($L415)/IF(OR($R415="",$R415=0),1,$R415),2)*SIGN($U415),ROUND($U415*$V415,2))))</f>
        <v>0</v>
      </c>
      <c r="X415" s="24" t="str">
        <f aca="false">IF($N415="","",IFERROR(INDEX(VAT_Codes!$H:$H,MATCH($N415,VAT_Codes!$A:$A,0)),"")&amp;"")</f>
        <v/>
      </c>
      <c r="Y415" s="24" t="str">
        <f aca="false">IF($A415="","",(YEAR($A415)-YEAR(Settings!$C$8))*12+MONTH($A415)-MONTH(Settings!$C$8)+1)</f>
        <v/>
      </c>
      <c r="Z415" s="24" t="str">
        <f aca="false">IF(AND($C415="",$I415="",$J415=""),"",IF($N415="","NO VAT CODE",IF($T415="","UNKNOWN VAT CODE",IF($S415="","MISSING FX RATE",IF(OR($A415&lt;Settings!$C$8,$A415&gt;Settings!$C$9),"OUTSIDE PERIOD",IF(AND(IFERROR(INDEX(VAT_Codes!$E:$E,MATCH($N415,VAT_Codes!$A:$A,0)),"ANY")&lt;&gt;"ANY",$P415=""),"MISSING COUNTERPARTY COUNTRY",IF(AND(IFERROR(INDEX(VAT_Codes!$E:$E,MATCH($N415,VAT_Codes!$A:$A,0)),"ANY")&lt;&gt;"ANY",$P415&lt;&gt;IFERROR(INDEX(VAT_Codes!$E:$E,MATCH($N415,VAT_Codes!$A:$A,0)),"ANY")),"REGION MISMATCH","OK")))))))</f>
        <v/>
      </c>
    </row>
    <row r="416" customFormat="false" ht="15" hidden="false" customHeight="false" outlineLevel="0" collapsed="false">
      <c r="M416" s="24" t="str">
        <f aca="false">IF($C416="","",IFERROR(INDEX(Account_Mapping!$C:$C,MATCH($C416&amp;"",Account_Mapping!$A:$A,0))&amp;"",""))</f>
        <v/>
      </c>
      <c r="N416" s="24" t="str">
        <f aca="false">IF($K416&lt;&gt;"",$K416,$M416)</f>
        <v/>
      </c>
      <c r="O416" s="24" t="str">
        <f aca="false">IF($F416="","",IFERROR(INDEX(Counterparties!$C:$C,MATCH($F416&amp;"",Counterparties!$A:$A,0))&amp;"",""))</f>
        <v/>
      </c>
      <c r="P416" s="24" t="str">
        <f aca="false">IF($O416="","",IF($O416="CY","CY",IF(ISNUMBER(MATCH($O416,Lists!$A:$A,0)),"EU","3RD")))</f>
        <v/>
      </c>
      <c r="Q416" s="24" t="str">
        <f aca="false">IF($F416="","N",IFERROR(IF(INDEX(Counterparties!$E:$E,MATCH($F416&amp;"",Counterparties!$A:$A,0))="Y","Y","N"),"N"))</f>
        <v>N</v>
      </c>
      <c r="R416" s="25" t="n">
        <f aca="false">IF(OR($H416="",$H416="EUR"),1,IFERROR(INDEX(FX_Rates!$D:$D,MATCH($H416,FX_Rates!$A:$A,0)),""))</f>
        <v>1</v>
      </c>
      <c r="S416" s="26" t="str">
        <f aca="false">IF(AND($I416="",$J416=""),"",IF($J416&lt;&gt;"",$J416,IF(OR($R416="",$R416=0),"",ROUND($I416/$R416,2))))</f>
        <v/>
      </c>
      <c r="T416" s="24" t="str">
        <f aca="false">IF($N416="","",IFERROR(INDEX(VAT_Codes!$C:$C,MATCH($N416,VAT_Codes!$A:$A,0)),"")&amp;"")</f>
        <v/>
      </c>
      <c r="U416" s="26" t="n">
        <f aca="false">IF(OR($S416="",$T416="",$T416="None"),0,IF($T416="Output",-$S416,$S416))</f>
        <v>0</v>
      </c>
      <c r="V416" s="27" t="n">
        <f aca="false">IF($N416="",0,IFERROR(INDEX(VAT_Codes!$D:$D,MATCH($N416,VAT_Codes!$A:$A,0)),0))</f>
        <v>0</v>
      </c>
      <c r="W416" s="26" t="n">
        <f aca="false">IF($U416=0,0,IF(IFERROR(INDEX(VAT_Codes!$F:$F,MATCH($N416,VAT_Codes!$A:$A,0)),"N")="Y",$U416,IF($L416&lt;&gt;"",ROUND(ABS($L416)/IF(OR($R416="",$R416=0),1,$R416),2)*SIGN($U416),ROUND($U416*$V416,2))))</f>
        <v>0</v>
      </c>
      <c r="X416" s="24" t="str">
        <f aca="false">IF($N416="","",IFERROR(INDEX(VAT_Codes!$H:$H,MATCH($N416,VAT_Codes!$A:$A,0)),"")&amp;"")</f>
        <v/>
      </c>
      <c r="Y416" s="24" t="str">
        <f aca="false">IF($A416="","",(YEAR($A416)-YEAR(Settings!$C$8))*12+MONTH($A416)-MONTH(Settings!$C$8)+1)</f>
        <v/>
      </c>
      <c r="Z416" s="24" t="str">
        <f aca="false">IF(AND($C416="",$I416="",$J416=""),"",IF($N416="","NO VAT CODE",IF($T416="","UNKNOWN VAT CODE",IF($S416="","MISSING FX RATE",IF(OR($A416&lt;Settings!$C$8,$A416&gt;Settings!$C$9),"OUTSIDE PERIOD",IF(AND(IFERROR(INDEX(VAT_Codes!$E:$E,MATCH($N416,VAT_Codes!$A:$A,0)),"ANY")&lt;&gt;"ANY",$P416=""),"MISSING COUNTERPARTY COUNTRY",IF(AND(IFERROR(INDEX(VAT_Codes!$E:$E,MATCH($N416,VAT_Codes!$A:$A,0)),"ANY")&lt;&gt;"ANY",$P416&lt;&gt;IFERROR(INDEX(VAT_Codes!$E:$E,MATCH($N416,VAT_Codes!$A:$A,0)),"ANY")),"REGION MISMATCH","OK")))))))</f>
        <v/>
      </c>
    </row>
    <row r="417" customFormat="false" ht="15" hidden="false" customHeight="false" outlineLevel="0" collapsed="false">
      <c r="M417" s="24" t="str">
        <f aca="false">IF($C417="","",IFERROR(INDEX(Account_Mapping!$C:$C,MATCH($C417&amp;"",Account_Mapping!$A:$A,0))&amp;"",""))</f>
        <v/>
      </c>
      <c r="N417" s="24" t="str">
        <f aca="false">IF($K417&lt;&gt;"",$K417,$M417)</f>
        <v/>
      </c>
      <c r="O417" s="24" t="str">
        <f aca="false">IF($F417="","",IFERROR(INDEX(Counterparties!$C:$C,MATCH($F417&amp;"",Counterparties!$A:$A,0))&amp;"",""))</f>
        <v/>
      </c>
      <c r="P417" s="24" t="str">
        <f aca="false">IF($O417="","",IF($O417="CY","CY",IF(ISNUMBER(MATCH($O417,Lists!$A:$A,0)),"EU","3RD")))</f>
        <v/>
      </c>
      <c r="Q417" s="24" t="str">
        <f aca="false">IF($F417="","N",IFERROR(IF(INDEX(Counterparties!$E:$E,MATCH($F417&amp;"",Counterparties!$A:$A,0))="Y","Y","N"),"N"))</f>
        <v>N</v>
      </c>
      <c r="R417" s="25" t="n">
        <f aca="false">IF(OR($H417="",$H417="EUR"),1,IFERROR(INDEX(FX_Rates!$D:$D,MATCH($H417,FX_Rates!$A:$A,0)),""))</f>
        <v>1</v>
      </c>
      <c r="S417" s="26" t="str">
        <f aca="false">IF(AND($I417="",$J417=""),"",IF($J417&lt;&gt;"",$J417,IF(OR($R417="",$R417=0),"",ROUND($I417/$R417,2))))</f>
        <v/>
      </c>
      <c r="T417" s="24" t="str">
        <f aca="false">IF($N417="","",IFERROR(INDEX(VAT_Codes!$C:$C,MATCH($N417,VAT_Codes!$A:$A,0)),"")&amp;"")</f>
        <v/>
      </c>
      <c r="U417" s="26" t="n">
        <f aca="false">IF(OR($S417="",$T417="",$T417="None"),0,IF($T417="Output",-$S417,$S417))</f>
        <v>0</v>
      </c>
      <c r="V417" s="27" t="n">
        <f aca="false">IF($N417="",0,IFERROR(INDEX(VAT_Codes!$D:$D,MATCH($N417,VAT_Codes!$A:$A,0)),0))</f>
        <v>0</v>
      </c>
      <c r="W417" s="26" t="n">
        <f aca="false">IF($U417=0,0,IF(IFERROR(INDEX(VAT_Codes!$F:$F,MATCH($N417,VAT_Codes!$A:$A,0)),"N")="Y",$U417,IF($L417&lt;&gt;"",ROUND(ABS($L417)/IF(OR($R417="",$R417=0),1,$R417),2)*SIGN($U417),ROUND($U417*$V417,2))))</f>
        <v>0</v>
      </c>
      <c r="X417" s="24" t="str">
        <f aca="false">IF($N417="","",IFERROR(INDEX(VAT_Codes!$H:$H,MATCH($N417,VAT_Codes!$A:$A,0)),"")&amp;"")</f>
        <v/>
      </c>
      <c r="Y417" s="24" t="str">
        <f aca="false">IF($A417="","",(YEAR($A417)-YEAR(Settings!$C$8))*12+MONTH($A417)-MONTH(Settings!$C$8)+1)</f>
        <v/>
      </c>
      <c r="Z417" s="24" t="str">
        <f aca="false">IF(AND($C417="",$I417="",$J417=""),"",IF($N417="","NO VAT CODE",IF($T417="","UNKNOWN VAT CODE",IF($S417="","MISSING FX RATE",IF(OR($A417&lt;Settings!$C$8,$A417&gt;Settings!$C$9),"OUTSIDE PERIOD",IF(AND(IFERROR(INDEX(VAT_Codes!$E:$E,MATCH($N417,VAT_Codes!$A:$A,0)),"ANY")&lt;&gt;"ANY",$P417=""),"MISSING COUNTERPARTY COUNTRY",IF(AND(IFERROR(INDEX(VAT_Codes!$E:$E,MATCH($N417,VAT_Codes!$A:$A,0)),"ANY")&lt;&gt;"ANY",$P417&lt;&gt;IFERROR(INDEX(VAT_Codes!$E:$E,MATCH($N417,VAT_Codes!$A:$A,0)),"ANY")),"REGION MISMATCH","OK")))))))</f>
        <v/>
      </c>
    </row>
    <row r="418" customFormat="false" ht="15" hidden="false" customHeight="false" outlineLevel="0" collapsed="false">
      <c r="M418" s="24" t="str">
        <f aca="false">IF($C418="","",IFERROR(INDEX(Account_Mapping!$C:$C,MATCH($C418&amp;"",Account_Mapping!$A:$A,0))&amp;"",""))</f>
        <v/>
      </c>
      <c r="N418" s="24" t="str">
        <f aca="false">IF($K418&lt;&gt;"",$K418,$M418)</f>
        <v/>
      </c>
      <c r="O418" s="24" t="str">
        <f aca="false">IF($F418="","",IFERROR(INDEX(Counterparties!$C:$C,MATCH($F418&amp;"",Counterparties!$A:$A,0))&amp;"",""))</f>
        <v/>
      </c>
      <c r="P418" s="24" t="str">
        <f aca="false">IF($O418="","",IF($O418="CY","CY",IF(ISNUMBER(MATCH($O418,Lists!$A:$A,0)),"EU","3RD")))</f>
        <v/>
      </c>
      <c r="Q418" s="24" t="str">
        <f aca="false">IF($F418="","N",IFERROR(IF(INDEX(Counterparties!$E:$E,MATCH($F418&amp;"",Counterparties!$A:$A,0))="Y","Y","N"),"N"))</f>
        <v>N</v>
      </c>
      <c r="R418" s="25" t="n">
        <f aca="false">IF(OR($H418="",$H418="EUR"),1,IFERROR(INDEX(FX_Rates!$D:$D,MATCH($H418,FX_Rates!$A:$A,0)),""))</f>
        <v>1</v>
      </c>
      <c r="S418" s="26" t="str">
        <f aca="false">IF(AND($I418="",$J418=""),"",IF($J418&lt;&gt;"",$J418,IF(OR($R418="",$R418=0),"",ROUND($I418/$R418,2))))</f>
        <v/>
      </c>
      <c r="T418" s="24" t="str">
        <f aca="false">IF($N418="","",IFERROR(INDEX(VAT_Codes!$C:$C,MATCH($N418,VAT_Codes!$A:$A,0)),"")&amp;"")</f>
        <v/>
      </c>
      <c r="U418" s="26" t="n">
        <f aca="false">IF(OR($S418="",$T418="",$T418="None"),0,IF($T418="Output",-$S418,$S418))</f>
        <v>0</v>
      </c>
      <c r="V418" s="27" t="n">
        <f aca="false">IF($N418="",0,IFERROR(INDEX(VAT_Codes!$D:$D,MATCH($N418,VAT_Codes!$A:$A,0)),0))</f>
        <v>0</v>
      </c>
      <c r="W418" s="26" t="n">
        <f aca="false">IF($U418=0,0,IF(IFERROR(INDEX(VAT_Codes!$F:$F,MATCH($N418,VAT_Codes!$A:$A,0)),"N")="Y",$U418,IF($L418&lt;&gt;"",ROUND(ABS($L418)/IF(OR($R418="",$R418=0),1,$R418),2)*SIGN($U418),ROUND($U418*$V418,2))))</f>
        <v>0</v>
      </c>
      <c r="X418" s="24" t="str">
        <f aca="false">IF($N418="","",IFERROR(INDEX(VAT_Codes!$H:$H,MATCH($N418,VAT_Codes!$A:$A,0)),"")&amp;"")</f>
        <v/>
      </c>
      <c r="Y418" s="24" t="str">
        <f aca="false">IF($A418="","",(YEAR($A418)-YEAR(Settings!$C$8))*12+MONTH($A418)-MONTH(Settings!$C$8)+1)</f>
        <v/>
      </c>
      <c r="Z418" s="24" t="str">
        <f aca="false">IF(AND($C418="",$I418="",$J418=""),"",IF($N418="","NO VAT CODE",IF($T418="","UNKNOWN VAT CODE",IF($S418="","MISSING FX RATE",IF(OR($A418&lt;Settings!$C$8,$A418&gt;Settings!$C$9),"OUTSIDE PERIOD",IF(AND(IFERROR(INDEX(VAT_Codes!$E:$E,MATCH($N418,VAT_Codes!$A:$A,0)),"ANY")&lt;&gt;"ANY",$P418=""),"MISSING COUNTERPARTY COUNTRY",IF(AND(IFERROR(INDEX(VAT_Codes!$E:$E,MATCH($N418,VAT_Codes!$A:$A,0)),"ANY")&lt;&gt;"ANY",$P418&lt;&gt;IFERROR(INDEX(VAT_Codes!$E:$E,MATCH($N418,VAT_Codes!$A:$A,0)),"ANY")),"REGION MISMATCH","OK")))))))</f>
        <v/>
      </c>
    </row>
    <row r="419" customFormat="false" ht="15" hidden="false" customHeight="false" outlineLevel="0" collapsed="false">
      <c r="M419" s="24" t="str">
        <f aca="false">IF($C419="","",IFERROR(INDEX(Account_Mapping!$C:$C,MATCH($C419&amp;"",Account_Mapping!$A:$A,0))&amp;"",""))</f>
        <v/>
      </c>
      <c r="N419" s="24" t="str">
        <f aca="false">IF($K419&lt;&gt;"",$K419,$M419)</f>
        <v/>
      </c>
      <c r="O419" s="24" t="str">
        <f aca="false">IF($F419="","",IFERROR(INDEX(Counterparties!$C:$C,MATCH($F419&amp;"",Counterparties!$A:$A,0))&amp;"",""))</f>
        <v/>
      </c>
      <c r="P419" s="24" t="str">
        <f aca="false">IF($O419="","",IF($O419="CY","CY",IF(ISNUMBER(MATCH($O419,Lists!$A:$A,0)),"EU","3RD")))</f>
        <v/>
      </c>
      <c r="Q419" s="24" t="str">
        <f aca="false">IF($F419="","N",IFERROR(IF(INDEX(Counterparties!$E:$E,MATCH($F419&amp;"",Counterparties!$A:$A,0))="Y","Y","N"),"N"))</f>
        <v>N</v>
      </c>
      <c r="R419" s="25" t="n">
        <f aca="false">IF(OR($H419="",$H419="EUR"),1,IFERROR(INDEX(FX_Rates!$D:$D,MATCH($H419,FX_Rates!$A:$A,0)),""))</f>
        <v>1</v>
      </c>
      <c r="S419" s="26" t="str">
        <f aca="false">IF(AND($I419="",$J419=""),"",IF($J419&lt;&gt;"",$J419,IF(OR($R419="",$R419=0),"",ROUND($I419/$R419,2))))</f>
        <v/>
      </c>
      <c r="T419" s="24" t="str">
        <f aca="false">IF($N419="","",IFERROR(INDEX(VAT_Codes!$C:$C,MATCH($N419,VAT_Codes!$A:$A,0)),"")&amp;"")</f>
        <v/>
      </c>
      <c r="U419" s="26" t="n">
        <f aca="false">IF(OR($S419="",$T419="",$T419="None"),0,IF($T419="Output",-$S419,$S419))</f>
        <v>0</v>
      </c>
      <c r="V419" s="27" t="n">
        <f aca="false">IF($N419="",0,IFERROR(INDEX(VAT_Codes!$D:$D,MATCH($N419,VAT_Codes!$A:$A,0)),0))</f>
        <v>0</v>
      </c>
      <c r="W419" s="26" t="n">
        <f aca="false">IF($U419=0,0,IF(IFERROR(INDEX(VAT_Codes!$F:$F,MATCH($N419,VAT_Codes!$A:$A,0)),"N")="Y",$U419,IF($L419&lt;&gt;"",ROUND(ABS($L419)/IF(OR($R419="",$R419=0),1,$R419),2)*SIGN($U419),ROUND($U419*$V419,2))))</f>
        <v>0</v>
      </c>
      <c r="X419" s="24" t="str">
        <f aca="false">IF($N419="","",IFERROR(INDEX(VAT_Codes!$H:$H,MATCH($N419,VAT_Codes!$A:$A,0)),"")&amp;"")</f>
        <v/>
      </c>
      <c r="Y419" s="24" t="str">
        <f aca="false">IF($A419="","",(YEAR($A419)-YEAR(Settings!$C$8))*12+MONTH($A419)-MONTH(Settings!$C$8)+1)</f>
        <v/>
      </c>
      <c r="Z419" s="24" t="str">
        <f aca="false">IF(AND($C419="",$I419="",$J419=""),"",IF($N419="","NO VAT CODE",IF($T419="","UNKNOWN VAT CODE",IF($S419="","MISSING FX RATE",IF(OR($A419&lt;Settings!$C$8,$A419&gt;Settings!$C$9),"OUTSIDE PERIOD",IF(AND(IFERROR(INDEX(VAT_Codes!$E:$E,MATCH($N419,VAT_Codes!$A:$A,0)),"ANY")&lt;&gt;"ANY",$P419=""),"MISSING COUNTERPARTY COUNTRY",IF(AND(IFERROR(INDEX(VAT_Codes!$E:$E,MATCH($N419,VAT_Codes!$A:$A,0)),"ANY")&lt;&gt;"ANY",$P419&lt;&gt;IFERROR(INDEX(VAT_Codes!$E:$E,MATCH($N419,VAT_Codes!$A:$A,0)),"ANY")),"REGION MISMATCH","OK")))))))</f>
        <v/>
      </c>
    </row>
    <row r="420" customFormat="false" ht="15" hidden="false" customHeight="false" outlineLevel="0" collapsed="false">
      <c r="M420" s="24" t="str">
        <f aca="false">IF($C420="","",IFERROR(INDEX(Account_Mapping!$C:$C,MATCH($C420&amp;"",Account_Mapping!$A:$A,0))&amp;"",""))</f>
        <v/>
      </c>
      <c r="N420" s="24" t="str">
        <f aca="false">IF($K420&lt;&gt;"",$K420,$M420)</f>
        <v/>
      </c>
      <c r="O420" s="24" t="str">
        <f aca="false">IF($F420="","",IFERROR(INDEX(Counterparties!$C:$C,MATCH($F420&amp;"",Counterparties!$A:$A,0))&amp;"",""))</f>
        <v/>
      </c>
      <c r="P420" s="24" t="str">
        <f aca="false">IF($O420="","",IF($O420="CY","CY",IF(ISNUMBER(MATCH($O420,Lists!$A:$A,0)),"EU","3RD")))</f>
        <v/>
      </c>
      <c r="Q420" s="24" t="str">
        <f aca="false">IF($F420="","N",IFERROR(IF(INDEX(Counterparties!$E:$E,MATCH($F420&amp;"",Counterparties!$A:$A,0))="Y","Y","N"),"N"))</f>
        <v>N</v>
      </c>
      <c r="R420" s="25" t="n">
        <f aca="false">IF(OR($H420="",$H420="EUR"),1,IFERROR(INDEX(FX_Rates!$D:$D,MATCH($H420,FX_Rates!$A:$A,0)),""))</f>
        <v>1</v>
      </c>
      <c r="S420" s="26" t="str">
        <f aca="false">IF(AND($I420="",$J420=""),"",IF($J420&lt;&gt;"",$J420,IF(OR($R420="",$R420=0),"",ROUND($I420/$R420,2))))</f>
        <v/>
      </c>
      <c r="T420" s="24" t="str">
        <f aca="false">IF($N420="","",IFERROR(INDEX(VAT_Codes!$C:$C,MATCH($N420,VAT_Codes!$A:$A,0)),"")&amp;"")</f>
        <v/>
      </c>
      <c r="U420" s="26" t="n">
        <f aca="false">IF(OR($S420="",$T420="",$T420="None"),0,IF($T420="Output",-$S420,$S420))</f>
        <v>0</v>
      </c>
      <c r="V420" s="27" t="n">
        <f aca="false">IF($N420="",0,IFERROR(INDEX(VAT_Codes!$D:$D,MATCH($N420,VAT_Codes!$A:$A,0)),0))</f>
        <v>0</v>
      </c>
      <c r="W420" s="26" t="n">
        <f aca="false">IF($U420=0,0,IF(IFERROR(INDEX(VAT_Codes!$F:$F,MATCH($N420,VAT_Codes!$A:$A,0)),"N")="Y",$U420,IF($L420&lt;&gt;"",ROUND(ABS($L420)/IF(OR($R420="",$R420=0),1,$R420),2)*SIGN($U420),ROUND($U420*$V420,2))))</f>
        <v>0</v>
      </c>
      <c r="X420" s="24" t="str">
        <f aca="false">IF($N420="","",IFERROR(INDEX(VAT_Codes!$H:$H,MATCH($N420,VAT_Codes!$A:$A,0)),"")&amp;"")</f>
        <v/>
      </c>
      <c r="Y420" s="24" t="str">
        <f aca="false">IF($A420="","",(YEAR($A420)-YEAR(Settings!$C$8))*12+MONTH($A420)-MONTH(Settings!$C$8)+1)</f>
        <v/>
      </c>
      <c r="Z420" s="24" t="str">
        <f aca="false">IF(AND($C420="",$I420="",$J420=""),"",IF($N420="","NO VAT CODE",IF($T420="","UNKNOWN VAT CODE",IF($S420="","MISSING FX RATE",IF(OR($A420&lt;Settings!$C$8,$A420&gt;Settings!$C$9),"OUTSIDE PERIOD",IF(AND(IFERROR(INDEX(VAT_Codes!$E:$E,MATCH($N420,VAT_Codes!$A:$A,0)),"ANY")&lt;&gt;"ANY",$P420=""),"MISSING COUNTERPARTY COUNTRY",IF(AND(IFERROR(INDEX(VAT_Codes!$E:$E,MATCH($N420,VAT_Codes!$A:$A,0)),"ANY")&lt;&gt;"ANY",$P420&lt;&gt;IFERROR(INDEX(VAT_Codes!$E:$E,MATCH($N420,VAT_Codes!$A:$A,0)),"ANY")),"REGION MISMATCH","OK")))))))</f>
        <v/>
      </c>
    </row>
    <row r="421" customFormat="false" ht="15" hidden="false" customHeight="false" outlineLevel="0" collapsed="false">
      <c r="M421" s="24" t="str">
        <f aca="false">IF($C421="","",IFERROR(INDEX(Account_Mapping!$C:$C,MATCH($C421&amp;"",Account_Mapping!$A:$A,0))&amp;"",""))</f>
        <v/>
      </c>
      <c r="N421" s="24" t="str">
        <f aca="false">IF($K421&lt;&gt;"",$K421,$M421)</f>
        <v/>
      </c>
      <c r="O421" s="24" t="str">
        <f aca="false">IF($F421="","",IFERROR(INDEX(Counterparties!$C:$C,MATCH($F421&amp;"",Counterparties!$A:$A,0))&amp;"",""))</f>
        <v/>
      </c>
      <c r="P421" s="24" t="str">
        <f aca="false">IF($O421="","",IF($O421="CY","CY",IF(ISNUMBER(MATCH($O421,Lists!$A:$A,0)),"EU","3RD")))</f>
        <v/>
      </c>
      <c r="Q421" s="24" t="str">
        <f aca="false">IF($F421="","N",IFERROR(IF(INDEX(Counterparties!$E:$E,MATCH($F421&amp;"",Counterparties!$A:$A,0))="Y","Y","N"),"N"))</f>
        <v>N</v>
      </c>
      <c r="R421" s="25" t="n">
        <f aca="false">IF(OR($H421="",$H421="EUR"),1,IFERROR(INDEX(FX_Rates!$D:$D,MATCH($H421,FX_Rates!$A:$A,0)),""))</f>
        <v>1</v>
      </c>
      <c r="S421" s="26" t="str">
        <f aca="false">IF(AND($I421="",$J421=""),"",IF($J421&lt;&gt;"",$J421,IF(OR($R421="",$R421=0),"",ROUND($I421/$R421,2))))</f>
        <v/>
      </c>
      <c r="T421" s="24" t="str">
        <f aca="false">IF($N421="","",IFERROR(INDEX(VAT_Codes!$C:$C,MATCH($N421,VAT_Codes!$A:$A,0)),"")&amp;"")</f>
        <v/>
      </c>
      <c r="U421" s="26" t="n">
        <f aca="false">IF(OR($S421="",$T421="",$T421="None"),0,IF($T421="Output",-$S421,$S421))</f>
        <v>0</v>
      </c>
      <c r="V421" s="27" t="n">
        <f aca="false">IF($N421="",0,IFERROR(INDEX(VAT_Codes!$D:$D,MATCH($N421,VAT_Codes!$A:$A,0)),0))</f>
        <v>0</v>
      </c>
      <c r="W421" s="26" t="n">
        <f aca="false">IF($U421=0,0,IF(IFERROR(INDEX(VAT_Codes!$F:$F,MATCH($N421,VAT_Codes!$A:$A,0)),"N")="Y",$U421,IF($L421&lt;&gt;"",ROUND(ABS($L421)/IF(OR($R421="",$R421=0),1,$R421),2)*SIGN($U421),ROUND($U421*$V421,2))))</f>
        <v>0</v>
      </c>
      <c r="X421" s="24" t="str">
        <f aca="false">IF($N421="","",IFERROR(INDEX(VAT_Codes!$H:$H,MATCH($N421,VAT_Codes!$A:$A,0)),"")&amp;"")</f>
        <v/>
      </c>
      <c r="Y421" s="24" t="str">
        <f aca="false">IF($A421="","",(YEAR($A421)-YEAR(Settings!$C$8))*12+MONTH($A421)-MONTH(Settings!$C$8)+1)</f>
        <v/>
      </c>
      <c r="Z421" s="24" t="str">
        <f aca="false">IF(AND($C421="",$I421="",$J421=""),"",IF($N421="","NO VAT CODE",IF($T421="","UNKNOWN VAT CODE",IF($S421="","MISSING FX RATE",IF(OR($A421&lt;Settings!$C$8,$A421&gt;Settings!$C$9),"OUTSIDE PERIOD",IF(AND(IFERROR(INDEX(VAT_Codes!$E:$E,MATCH($N421,VAT_Codes!$A:$A,0)),"ANY")&lt;&gt;"ANY",$P421=""),"MISSING COUNTERPARTY COUNTRY",IF(AND(IFERROR(INDEX(VAT_Codes!$E:$E,MATCH($N421,VAT_Codes!$A:$A,0)),"ANY")&lt;&gt;"ANY",$P421&lt;&gt;IFERROR(INDEX(VAT_Codes!$E:$E,MATCH($N421,VAT_Codes!$A:$A,0)),"ANY")),"REGION MISMATCH","OK")))))))</f>
        <v/>
      </c>
    </row>
    <row r="422" customFormat="false" ht="15" hidden="false" customHeight="false" outlineLevel="0" collapsed="false">
      <c r="M422" s="24" t="str">
        <f aca="false">IF($C422="","",IFERROR(INDEX(Account_Mapping!$C:$C,MATCH($C422&amp;"",Account_Mapping!$A:$A,0))&amp;"",""))</f>
        <v/>
      </c>
      <c r="N422" s="24" t="str">
        <f aca="false">IF($K422&lt;&gt;"",$K422,$M422)</f>
        <v/>
      </c>
      <c r="O422" s="24" t="str">
        <f aca="false">IF($F422="","",IFERROR(INDEX(Counterparties!$C:$C,MATCH($F422&amp;"",Counterparties!$A:$A,0))&amp;"",""))</f>
        <v/>
      </c>
      <c r="P422" s="24" t="str">
        <f aca="false">IF($O422="","",IF($O422="CY","CY",IF(ISNUMBER(MATCH($O422,Lists!$A:$A,0)),"EU","3RD")))</f>
        <v/>
      </c>
      <c r="Q422" s="24" t="str">
        <f aca="false">IF($F422="","N",IFERROR(IF(INDEX(Counterparties!$E:$E,MATCH($F422&amp;"",Counterparties!$A:$A,0))="Y","Y","N"),"N"))</f>
        <v>N</v>
      </c>
      <c r="R422" s="25" t="n">
        <f aca="false">IF(OR($H422="",$H422="EUR"),1,IFERROR(INDEX(FX_Rates!$D:$D,MATCH($H422,FX_Rates!$A:$A,0)),""))</f>
        <v>1</v>
      </c>
      <c r="S422" s="26" t="str">
        <f aca="false">IF(AND($I422="",$J422=""),"",IF($J422&lt;&gt;"",$J422,IF(OR($R422="",$R422=0),"",ROUND($I422/$R422,2))))</f>
        <v/>
      </c>
      <c r="T422" s="24" t="str">
        <f aca="false">IF($N422="","",IFERROR(INDEX(VAT_Codes!$C:$C,MATCH($N422,VAT_Codes!$A:$A,0)),"")&amp;"")</f>
        <v/>
      </c>
      <c r="U422" s="26" t="n">
        <f aca="false">IF(OR($S422="",$T422="",$T422="None"),0,IF($T422="Output",-$S422,$S422))</f>
        <v>0</v>
      </c>
      <c r="V422" s="27" t="n">
        <f aca="false">IF($N422="",0,IFERROR(INDEX(VAT_Codes!$D:$D,MATCH($N422,VAT_Codes!$A:$A,0)),0))</f>
        <v>0</v>
      </c>
      <c r="W422" s="26" t="n">
        <f aca="false">IF($U422=0,0,IF(IFERROR(INDEX(VAT_Codes!$F:$F,MATCH($N422,VAT_Codes!$A:$A,0)),"N")="Y",$U422,IF($L422&lt;&gt;"",ROUND(ABS($L422)/IF(OR($R422="",$R422=0),1,$R422),2)*SIGN($U422),ROUND($U422*$V422,2))))</f>
        <v>0</v>
      </c>
      <c r="X422" s="24" t="str">
        <f aca="false">IF($N422="","",IFERROR(INDEX(VAT_Codes!$H:$H,MATCH($N422,VAT_Codes!$A:$A,0)),"")&amp;"")</f>
        <v/>
      </c>
      <c r="Y422" s="24" t="str">
        <f aca="false">IF($A422="","",(YEAR($A422)-YEAR(Settings!$C$8))*12+MONTH($A422)-MONTH(Settings!$C$8)+1)</f>
        <v/>
      </c>
      <c r="Z422" s="24" t="str">
        <f aca="false">IF(AND($C422="",$I422="",$J422=""),"",IF($N422="","NO VAT CODE",IF($T422="","UNKNOWN VAT CODE",IF($S422="","MISSING FX RATE",IF(OR($A422&lt;Settings!$C$8,$A422&gt;Settings!$C$9),"OUTSIDE PERIOD",IF(AND(IFERROR(INDEX(VAT_Codes!$E:$E,MATCH($N422,VAT_Codes!$A:$A,0)),"ANY")&lt;&gt;"ANY",$P422=""),"MISSING COUNTERPARTY COUNTRY",IF(AND(IFERROR(INDEX(VAT_Codes!$E:$E,MATCH($N422,VAT_Codes!$A:$A,0)),"ANY")&lt;&gt;"ANY",$P422&lt;&gt;IFERROR(INDEX(VAT_Codes!$E:$E,MATCH($N422,VAT_Codes!$A:$A,0)),"ANY")),"REGION MISMATCH","OK")))))))</f>
        <v/>
      </c>
    </row>
    <row r="423" customFormat="false" ht="15" hidden="false" customHeight="false" outlineLevel="0" collapsed="false">
      <c r="M423" s="24" t="str">
        <f aca="false">IF($C423="","",IFERROR(INDEX(Account_Mapping!$C:$C,MATCH($C423&amp;"",Account_Mapping!$A:$A,0))&amp;"",""))</f>
        <v/>
      </c>
      <c r="N423" s="24" t="str">
        <f aca="false">IF($K423&lt;&gt;"",$K423,$M423)</f>
        <v/>
      </c>
      <c r="O423" s="24" t="str">
        <f aca="false">IF($F423="","",IFERROR(INDEX(Counterparties!$C:$C,MATCH($F423&amp;"",Counterparties!$A:$A,0))&amp;"",""))</f>
        <v/>
      </c>
      <c r="P423" s="24" t="str">
        <f aca="false">IF($O423="","",IF($O423="CY","CY",IF(ISNUMBER(MATCH($O423,Lists!$A:$A,0)),"EU","3RD")))</f>
        <v/>
      </c>
      <c r="Q423" s="24" t="str">
        <f aca="false">IF($F423="","N",IFERROR(IF(INDEX(Counterparties!$E:$E,MATCH($F423&amp;"",Counterparties!$A:$A,0))="Y","Y","N"),"N"))</f>
        <v>N</v>
      </c>
      <c r="R423" s="25" t="n">
        <f aca="false">IF(OR($H423="",$H423="EUR"),1,IFERROR(INDEX(FX_Rates!$D:$D,MATCH($H423,FX_Rates!$A:$A,0)),""))</f>
        <v>1</v>
      </c>
      <c r="S423" s="26" t="str">
        <f aca="false">IF(AND($I423="",$J423=""),"",IF($J423&lt;&gt;"",$J423,IF(OR($R423="",$R423=0),"",ROUND($I423/$R423,2))))</f>
        <v/>
      </c>
      <c r="T423" s="24" t="str">
        <f aca="false">IF($N423="","",IFERROR(INDEX(VAT_Codes!$C:$C,MATCH($N423,VAT_Codes!$A:$A,0)),"")&amp;"")</f>
        <v/>
      </c>
      <c r="U423" s="26" t="n">
        <f aca="false">IF(OR($S423="",$T423="",$T423="None"),0,IF($T423="Output",-$S423,$S423))</f>
        <v>0</v>
      </c>
      <c r="V423" s="27" t="n">
        <f aca="false">IF($N423="",0,IFERROR(INDEX(VAT_Codes!$D:$D,MATCH($N423,VAT_Codes!$A:$A,0)),0))</f>
        <v>0</v>
      </c>
      <c r="W423" s="26" t="n">
        <f aca="false">IF($U423=0,0,IF(IFERROR(INDEX(VAT_Codes!$F:$F,MATCH($N423,VAT_Codes!$A:$A,0)),"N")="Y",$U423,IF($L423&lt;&gt;"",ROUND(ABS($L423)/IF(OR($R423="",$R423=0),1,$R423),2)*SIGN($U423),ROUND($U423*$V423,2))))</f>
        <v>0</v>
      </c>
      <c r="X423" s="24" t="str">
        <f aca="false">IF($N423="","",IFERROR(INDEX(VAT_Codes!$H:$H,MATCH($N423,VAT_Codes!$A:$A,0)),"")&amp;"")</f>
        <v/>
      </c>
      <c r="Y423" s="24" t="str">
        <f aca="false">IF($A423="","",(YEAR($A423)-YEAR(Settings!$C$8))*12+MONTH($A423)-MONTH(Settings!$C$8)+1)</f>
        <v/>
      </c>
      <c r="Z423" s="24" t="str">
        <f aca="false">IF(AND($C423="",$I423="",$J423=""),"",IF($N423="","NO VAT CODE",IF($T423="","UNKNOWN VAT CODE",IF($S423="","MISSING FX RATE",IF(OR($A423&lt;Settings!$C$8,$A423&gt;Settings!$C$9),"OUTSIDE PERIOD",IF(AND(IFERROR(INDEX(VAT_Codes!$E:$E,MATCH($N423,VAT_Codes!$A:$A,0)),"ANY")&lt;&gt;"ANY",$P423=""),"MISSING COUNTERPARTY COUNTRY",IF(AND(IFERROR(INDEX(VAT_Codes!$E:$E,MATCH($N423,VAT_Codes!$A:$A,0)),"ANY")&lt;&gt;"ANY",$P423&lt;&gt;IFERROR(INDEX(VAT_Codes!$E:$E,MATCH($N423,VAT_Codes!$A:$A,0)),"ANY")),"REGION MISMATCH","OK")))))))</f>
        <v/>
      </c>
    </row>
    <row r="424" customFormat="false" ht="15" hidden="false" customHeight="false" outlineLevel="0" collapsed="false">
      <c r="M424" s="24" t="str">
        <f aca="false">IF($C424="","",IFERROR(INDEX(Account_Mapping!$C:$C,MATCH($C424&amp;"",Account_Mapping!$A:$A,0))&amp;"",""))</f>
        <v/>
      </c>
      <c r="N424" s="24" t="str">
        <f aca="false">IF($K424&lt;&gt;"",$K424,$M424)</f>
        <v/>
      </c>
      <c r="O424" s="24" t="str">
        <f aca="false">IF($F424="","",IFERROR(INDEX(Counterparties!$C:$C,MATCH($F424&amp;"",Counterparties!$A:$A,0))&amp;"",""))</f>
        <v/>
      </c>
      <c r="P424" s="24" t="str">
        <f aca="false">IF($O424="","",IF($O424="CY","CY",IF(ISNUMBER(MATCH($O424,Lists!$A:$A,0)),"EU","3RD")))</f>
        <v/>
      </c>
      <c r="Q424" s="24" t="str">
        <f aca="false">IF($F424="","N",IFERROR(IF(INDEX(Counterparties!$E:$E,MATCH($F424&amp;"",Counterparties!$A:$A,0))="Y","Y","N"),"N"))</f>
        <v>N</v>
      </c>
      <c r="R424" s="25" t="n">
        <f aca="false">IF(OR($H424="",$H424="EUR"),1,IFERROR(INDEX(FX_Rates!$D:$D,MATCH($H424,FX_Rates!$A:$A,0)),""))</f>
        <v>1</v>
      </c>
      <c r="S424" s="26" t="str">
        <f aca="false">IF(AND($I424="",$J424=""),"",IF($J424&lt;&gt;"",$J424,IF(OR($R424="",$R424=0),"",ROUND($I424/$R424,2))))</f>
        <v/>
      </c>
      <c r="T424" s="24" t="str">
        <f aca="false">IF($N424="","",IFERROR(INDEX(VAT_Codes!$C:$C,MATCH($N424,VAT_Codes!$A:$A,0)),"")&amp;"")</f>
        <v/>
      </c>
      <c r="U424" s="26" t="n">
        <f aca="false">IF(OR($S424="",$T424="",$T424="None"),0,IF($T424="Output",-$S424,$S424))</f>
        <v>0</v>
      </c>
      <c r="V424" s="27" t="n">
        <f aca="false">IF($N424="",0,IFERROR(INDEX(VAT_Codes!$D:$D,MATCH($N424,VAT_Codes!$A:$A,0)),0))</f>
        <v>0</v>
      </c>
      <c r="W424" s="26" t="n">
        <f aca="false">IF($U424=0,0,IF(IFERROR(INDEX(VAT_Codes!$F:$F,MATCH($N424,VAT_Codes!$A:$A,0)),"N")="Y",$U424,IF($L424&lt;&gt;"",ROUND(ABS($L424)/IF(OR($R424="",$R424=0),1,$R424),2)*SIGN($U424),ROUND($U424*$V424,2))))</f>
        <v>0</v>
      </c>
      <c r="X424" s="24" t="str">
        <f aca="false">IF($N424="","",IFERROR(INDEX(VAT_Codes!$H:$H,MATCH($N424,VAT_Codes!$A:$A,0)),"")&amp;"")</f>
        <v/>
      </c>
      <c r="Y424" s="24" t="str">
        <f aca="false">IF($A424="","",(YEAR($A424)-YEAR(Settings!$C$8))*12+MONTH($A424)-MONTH(Settings!$C$8)+1)</f>
        <v/>
      </c>
      <c r="Z424" s="24" t="str">
        <f aca="false">IF(AND($C424="",$I424="",$J424=""),"",IF($N424="","NO VAT CODE",IF($T424="","UNKNOWN VAT CODE",IF($S424="","MISSING FX RATE",IF(OR($A424&lt;Settings!$C$8,$A424&gt;Settings!$C$9),"OUTSIDE PERIOD",IF(AND(IFERROR(INDEX(VAT_Codes!$E:$E,MATCH($N424,VAT_Codes!$A:$A,0)),"ANY")&lt;&gt;"ANY",$P424=""),"MISSING COUNTERPARTY COUNTRY",IF(AND(IFERROR(INDEX(VAT_Codes!$E:$E,MATCH($N424,VAT_Codes!$A:$A,0)),"ANY")&lt;&gt;"ANY",$P424&lt;&gt;IFERROR(INDEX(VAT_Codes!$E:$E,MATCH($N424,VAT_Codes!$A:$A,0)),"ANY")),"REGION MISMATCH","OK")))))))</f>
        <v/>
      </c>
    </row>
    <row r="425" customFormat="false" ht="15" hidden="false" customHeight="false" outlineLevel="0" collapsed="false">
      <c r="M425" s="24" t="str">
        <f aca="false">IF($C425="","",IFERROR(INDEX(Account_Mapping!$C:$C,MATCH($C425&amp;"",Account_Mapping!$A:$A,0))&amp;"",""))</f>
        <v/>
      </c>
      <c r="N425" s="24" t="str">
        <f aca="false">IF($K425&lt;&gt;"",$K425,$M425)</f>
        <v/>
      </c>
      <c r="O425" s="24" t="str">
        <f aca="false">IF($F425="","",IFERROR(INDEX(Counterparties!$C:$C,MATCH($F425&amp;"",Counterparties!$A:$A,0))&amp;"",""))</f>
        <v/>
      </c>
      <c r="P425" s="24" t="str">
        <f aca="false">IF($O425="","",IF($O425="CY","CY",IF(ISNUMBER(MATCH($O425,Lists!$A:$A,0)),"EU","3RD")))</f>
        <v/>
      </c>
      <c r="Q425" s="24" t="str">
        <f aca="false">IF($F425="","N",IFERROR(IF(INDEX(Counterparties!$E:$E,MATCH($F425&amp;"",Counterparties!$A:$A,0))="Y","Y","N"),"N"))</f>
        <v>N</v>
      </c>
      <c r="R425" s="25" t="n">
        <f aca="false">IF(OR($H425="",$H425="EUR"),1,IFERROR(INDEX(FX_Rates!$D:$D,MATCH($H425,FX_Rates!$A:$A,0)),""))</f>
        <v>1</v>
      </c>
      <c r="S425" s="26" t="str">
        <f aca="false">IF(AND($I425="",$J425=""),"",IF($J425&lt;&gt;"",$J425,IF(OR($R425="",$R425=0),"",ROUND($I425/$R425,2))))</f>
        <v/>
      </c>
      <c r="T425" s="24" t="str">
        <f aca="false">IF($N425="","",IFERROR(INDEX(VAT_Codes!$C:$C,MATCH($N425,VAT_Codes!$A:$A,0)),"")&amp;"")</f>
        <v/>
      </c>
      <c r="U425" s="26" t="n">
        <f aca="false">IF(OR($S425="",$T425="",$T425="None"),0,IF($T425="Output",-$S425,$S425))</f>
        <v>0</v>
      </c>
      <c r="V425" s="27" t="n">
        <f aca="false">IF($N425="",0,IFERROR(INDEX(VAT_Codes!$D:$D,MATCH($N425,VAT_Codes!$A:$A,0)),0))</f>
        <v>0</v>
      </c>
      <c r="W425" s="26" t="n">
        <f aca="false">IF($U425=0,0,IF(IFERROR(INDEX(VAT_Codes!$F:$F,MATCH($N425,VAT_Codes!$A:$A,0)),"N")="Y",$U425,IF($L425&lt;&gt;"",ROUND(ABS($L425)/IF(OR($R425="",$R425=0),1,$R425),2)*SIGN($U425),ROUND($U425*$V425,2))))</f>
        <v>0</v>
      </c>
      <c r="X425" s="24" t="str">
        <f aca="false">IF($N425="","",IFERROR(INDEX(VAT_Codes!$H:$H,MATCH($N425,VAT_Codes!$A:$A,0)),"")&amp;"")</f>
        <v/>
      </c>
      <c r="Y425" s="24" t="str">
        <f aca="false">IF($A425="","",(YEAR($A425)-YEAR(Settings!$C$8))*12+MONTH($A425)-MONTH(Settings!$C$8)+1)</f>
        <v/>
      </c>
      <c r="Z425" s="24" t="str">
        <f aca="false">IF(AND($C425="",$I425="",$J425=""),"",IF($N425="","NO VAT CODE",IF($T425="","UNKNOWN VAT CODE",IF($S425="","MISSING FX RATE",IF(OR($A425&lt;Settings!$C$8,$A425&gt;Settings!$C$9),"OUTSIDE PERIOD",IF(AND(IFERROR(INDEX(VAT_Codes!$E:$E,MATCH($N425,VAT_Codes!$A:$A,0)),"ANY")&lt;&gt;"ANY",$P425=""),"MISSING COUNTERPARTY COUNTRY",IF(AND(IFERROR(INDEX(VAT_Codes!$E:$E,MATCH($N425,VAT_Codes!$A:$A,0)),"ANY")&lt;&gt;"ANY",$P425&lt;&gt;IFERROR(INDEX(VAT_Codes!$E:$E,MATCH($N425,VAT_Codes!$A:$A,0)),"ANY")),"REGION MISMATCH","OK")))))))</f>
        <v/>
      </c>
    </row>
    <row r="426" customFormat="false" ht="15" hidden="false" customHeight="false" outlineLevel="0" collapsed="false">
      <c r="M426" s="24" t="str">
        <f aca="false">IF($C426="","",IFERROR(INDEX(Account_Mapping!$C:$C,MATCH($C426&amp;"",Account_Mapping!$A:$A,0))&amp;"",""))</f>
        <v/>
      </c>
      <c r="N426" s="24" t="str">
        <f aca="false">IF($K426&lt;&gt;"",$K426,$M426)</f>
        <v/>
      </c>
      <c r="O426" s="24" t="str">
        <f aca="false">IF($F426="","",IFERROR(INDEX(Counterparties!$C:$C,MATCH($F426&amp;"",Counterparties!$A:$A,0))&amp;"",""))</f>
        <v/>
      </c>
      <c r="P426" s="24" t="str">
        <f aca="false">IF($O426="","",IF($O426="CY","CY",IF(ISNUMBER(MATCH($O426,Lists!$A:$A,0)),"EU","3RD")))</f>
        <v/>
      </c>
      <c r="Q426" s="24" t="str">
        <f aca="false">IF($F426="","N",IFERROR(IF(INDEX(Counterparties!$E:$E,MATCH($F426&amp;"",Counterparties!$A:$A,0))="Y","Y","N"),"N"))</f>
        <v>N</v>
      </c>
      <c r="R426" s="25" t="n">
        <f aca="false">IF(OR($H426="",$H426="EUR"),1,IFERROR(INDEX(FX_Rates!$D:$D,MATCH($H426,FX_Rates!$A:$A,0)),""))</f>
        <v>1</v>
      </c>
      <c r="S426" s="26" t="str">
        <f aca="false">IF(AND($I426="",$J426=""),"",IF($J426&lt;&gt;"",$J426,IF(OR($R426="",$R426=0),"",ROUND($I426/$R426,2))))</f>
        <v/>
      </c>
      <c r="T426" s="24" t="str">
        <f aca="false">IF($N426="","",IFERROR(INDEX(VAT_Codes!$C:$C,MATCH($N426,VAT_Codes!$A:$A,0)),"")&amp;"")</f>
        <v/>
      </c>
      <c r="U426" s="26" t="n">
        <f aca="false">IF(OR($S426="",$T426="",$T426="None"),0,IF($T426="Output",-$S426,$S426))</f>
        <v>0</v>
      </c>
      <c r="V426" s="27" t="n">
        <f aca="false">IF($N426="",0,IFERROR(INDEX(VAT_Codes!$D:$D,MATCH($N426,VAT_Codes!$A:$A,0)),0))</f>
        <v>0</v>
      </c>
      <c r="W426" s="26" t="n">
        <f aca="false">IF($U426=0,0,IF(IFERROR(INDEX(VAT_Codes!$F:$F,MATCH($N426,VAT_Codes!$A:$A,0)),"N")="Y",$U426,IF($L426&lt;&gt;"",ROUND(ABS($L426)/IF(OR($R426="",$R426=0),1,$R426),2)*SIGN($U426),ROUND($U426*$V426,2))))</f>
        <v>0</v>
      </c>
      <c r="X426" s="24" t="str">
        <f aca="false">IF($N426="","",IFERROR(INDEX(VAT_Codes!$H:$H,MATCH($N426,VAT_Codes!$A:$A,0)),"")&amp;"")</f>
        <v/>
      </c>
      <c r="Y426" s="24" t="str">
        <f aca="false">IF($A426="","",(YEAR($A426)-YEAR(Settings!$C$8))*12+MONTH($A426)-MONTH(Settings!$C$8)+1)</f>
        <v/>
      </c>
      <c r="Z426" s="24" t="str">
        <f aca="false">IF(AND($C426="",$I426="",$J426=""),"",IF($N426="","NO VAT CODE",IF($T426="","UNKNOWN VAT CODE",IF($S426="","MISSING FX RATE",IF(OR($A426&lt;Settings!$C$8,$A426&gt;Settings!$C$9),"OUTSIDE PERIOD",IF(AND(IFERROR(INDEX(VAT_Codes!$E:$E,MATCH($N426,VAT_Codes!$A:$A,0)),"ANY")&lt;&gt;"ANY",$P426=""),"MISSING COUNTERPARTY COUNTRY",IF(AND(IFERROR(INDEX(VAT_Codes!$E:$E,MATCH($N426,VAT_Codes!$A:$A,0)),"ANY")&lt;&gt;"ANY",$P426&lt;&gt;IFERROR(INDEX(VAT_Codes!$E:$E,MATCH($N426,VAT_Codes!$A:$A,0)),"ANY")),"REGION MISMATCH","OK")))))))</f>
        <v/>
      </c>
    </row>
    <row r="427" customFormat="false" ht="15" hidden="false" customHeight="false" outlineLevel="0" collapsed="false">
      <c r="M427" s="24" t="str">
        <f aca="false">IF($C427="","",IFERROR(INDEX(Account_Mapping!$C:$C,MATCH($C427&amp;"",Account_Mapping!$A:$A,0))&amp;"",""))</f>
        <v/>
      </c>
      <c r="N427" s="24" t="str">
        <f aca="false">IF($K427&lt;&gt;"",$K427,$M427)</f>
        <v/>
      </c>
      <c r="O427" s="24" t="str">
        <f aca="false">IF($F427="","",IFERROR(INDEX(Counterparties!$C:$C,MATCH($F427&amp;"",Counterparties!$A:$A,0))&amp;"",""))</f>
        <v/>
      </c>
      <c r="P427" s="24" t="str">
        <f aca="false">IF($O427="","",IF($O427="CY","CY",IF(ISNUMBER(MATCH($O427,Lists!$A:$A,0)),"EU","3RD")))</f>
        <v/>
      </c>
      <c r="Q427" s="24" t="str">
        <f aca="false">IF($F427="","N",IFERROR(IF(INDEX(Counterparties!$E:$E,MATCH($F427&amp;"",Counterparties!$A:$A,0))="Y","Y","N"),"N"))</f>
        <v>N</v>
      </c>
      <c r="R427" s="25" t="n">
        <f aca="false">IF(OR($H427="",$H427="EUR"),1,IFERROR(INDEX(FX_Rates!$D:$D,MATCH($H427,FX_Rates!$A:$A,0)),""))</f>
        <v>1</v>
      </c>
      <c r="S427" s="26" t="str">
        <f aca="false">IF(AND($I427="",$J427=""),"",IF($J427&lt;&gt;"",$J427,IF(OR($R427="",$R427=0),"",ROUND($I427/$R427,2))))</f>
        <v/>
      </c>
      <c r="T427" s="24" t="str">
        <f aca="false">IF($N427="","",IFERROR(INDEX(VAT_Codes!$C:$C,MATCH($N427,VAT_Codes!$A:$A,0)),"")&amp;"")</f>
        <v/>
      </c>
      <c r="U427" s="26" t="n">
        <f aca="false">IF(OR($S427="",$T427="",$T427="None"),0,IF($T427="Output",-$S427,$S427))</f>
        <v>0</v>
      </c>
      <c r="V427" s="27" t="n">
        <f aca="false">IF($N427="",0,IFERROR(INDEX(VAT_Codes!$D:$D,MATCH($N427,VAT_Codes!$A:$A,0)),0))</f>
        <v>0</v>
      </c>
      <c r="W427" s="26" t="n">
        <f aca="false">IF($U427=0,0,IF(IFERROR(INDEX(VAT_Codes!$F:$F,MATCH($N427,VAT_Codes!$A:$A,0)),"N")="Y",$U427,IF($L427&lt;&gt;"",ROUND(ABS($L427)/IF(OR($R427="",$R427=0),1,$R427),2)*SIGN($U427),ROUND($U427*$V427,2))))</f>
        <v>0</v>
      </c>
      <c r="X427" s="24" t="str">
        <f aca="false">IF($N427="","",IFERROR(INDEX(VAT_Codes!$H:$H,MATCH($N427,VAT_Codes!$A:$A,0)),"")&amp;"")</f>
        <v/>
      </c>
      <c r="Y427" s="24" t="str">
        <f aca="false">IF($A427="","",(YEAR($A427)-YEAR(Settings!$C$8))*12+MONTH($A427)-MONTH(Settings!$C$8)+1)</f>
        <v/>
      </c>
      <c r="Z427" s="24" t="str">
        <f aca="false">IF(AND($C427="",$I427="",$J427=""),"",IF($N427="","NO VAT CODE",IF($T427="","UNKNOWN VAT CODE",IF($S427="","MISSING FX RATE",IF(OR($A427&lt;Settings!$C$8,$A427&gt;Settings!$C$9),"OUTSIDE PERIOD",IF(AND(IFERROR(INDEX(VAT_Codes!$E:$E,MATCH($N427,VAT_Codes!$A:$A,0)),"ANY")&lt;&gt;"ANY",$P427=""),"MISSING COUNTERPARTY COUNTRY",IF(AND(IFERROR(INDEX(VAT_Codes!$E:$E,MATCH($N427,VAT_Codes!$A:$A,0)),"ANY")&lt;&gt;"ANY",$P427&lt;&gt;IFERROR(INDEX(VAT_Codes!$E:$E,MATCH($N427,VAT_Codes!$A:$A,0)),"ANY")),"REGION MISMATCH","OK")))))))</f>
        <v/>
      </c>
    </row>
    <row r="428" customFormat="false" ht="15" hidden="false" customHeight="false" outlineLevel="0" collapsed="false">
      <c r="M428" s="24" t="str">
        <f aca="false">IF($C428="","",IFERROR(INDEX(Account_Mapping!$C:$C,MATCH($C428&amp;"",Account_Mapping!$A:$A,0))&amp;"",""))</f>
        <v/>
      </c>
      <c r="N428" s="24" t="str">
        <f aca="false">IF($K428&lt;&gt;"",$K428,$M428)</f>
        <v/>
      </c>
      <c r="O428" s="24" t="str">
        <f aca="false">IF($F428="","",IFERROR(INDEX(Counterparties!$C:$C,MATCH($F428&amp;"",Counterparties!$A:$A,0))&amp;"",""))</f>
        <v/>
      </c>
      <c r="P428" s="24" t="str">
        <f aca="false">IF($O428="","",IF($O428="CY","CY",IF(ISNUMBER(MATCH($O428,Lists!$A:$A,0)),"EU","3RD")))</f>
        <v/>
      </c>
      <c r="Q428" s="24" t="str">
        <f aca="false">IF($F428="","N",IFERROR(IF(INDEX(Counterparties!$E:$E,MATCH($F428&amp;"",Counterparties!$A:$A,0))="Y","Y","N"),"N"))</f>
        <v>N</v>
      </c>
      <c r="R428" s="25" t="n">
        <f aca="false">IF(OR($H428="",$H428="EUR"),1,IFERROR(INDEX(FX_Rates!$D:$D,MATCH($H428,FX_Rates!$A:$A,0)),""))</f>
        <v>1</v>
      </c>
      <c r="S428" s="26" t="str">
        <f aca="false">IF(AND($I428="",$J428=""),"",IF($J428&lt;&gt;"",$J428,IF(OR($R428="",$R428=0),"",ROUND($I428/$R428,2))))</f>
        <v/>
      </c>
      <c r="T428" s="24" t="str">
        <f aca="false">IF($N428="","",IFERROR(INDEX(VAT_Codes!$C:$C,MATCH($N428,VAT_Codes!$A:$A,0)),"")&amp;"")</f>
        <v/>
      </c>
      <c r="U428" s="26" t="n">
        <f aca="false">IF(OR($S428="",$T428="",$T428="None"),0,IF($T428="Output",-$S428,$S428))</f>
        <v>0</v>
      </c>
      <c r="V428" s="27" t="n">
        <f aca="false">IF($N428="",0,IFERROR(INDEX(VAT_Codes!$D:$D,MATCH($N428,VAT_Codes!$A:$A,0)),0))</f>
        <v>0</v>
      </c>
      <c r="W428" s="26" t="n">
        <f aca="false">IF($U428=0,0,IF(IFERROR(INDEX(VAT_Codes!$F:$F,MATCH($N428,VAT_Codes!$A:$A,0)),"N")="Y",$U428,IF($L428&lt;&gt;"",ROUND(ABS($L428)/IF(OR($R428="",$R428=0),1,$R428),2)*SIGN($U428),ROUND($U428*$V428,2))))</f>
        <v>0</v>
      </c>
      <c r="X428" s="24" t="str">
        <f aca="false">IF($N428="","",IFERROR(INDEX(VAT_Codes!$H:$H,MATCH($N428,VAT_Codes!$A:$A,0)),"")&amp;"")</f>
        <v/>
      </c>
      <c r="Y428" s="24" t="str">
        <f aca="false">IF($A428="","",(YEAR($A428)-YEAR(Settings!$C$8))*12+MONTH($A428)-MONTH(Settings!$C$8)+1)</f>
        <v/>
      </c>
      <c r="Z428" s="24" t="str">
        <f aca="false">IF(AND($C428="",$I428="",$J428=""),"",IF($N428="","NO VAT CODE",IF($T428="","UNKNOWN VAT CODE",IF($S428="","MISSING FX RATE",IF(OR($A428&lt;Settings!$C$8,$A428&gt;Settings!$C$9),"OUTSIDE PERIOD",IF(AND(IFERROR(INDEX(VAT_Codes!$E:$E,MATCH($N428,VAT_Codes!$A:$A,0)),"ANY")&lt;&gt;"ANY",$P428=""),"MISSING COUNTERPARTY COUNTRY",IF(AND(IFERROR(INDEX(VAT_Codes!$E:$E,MATCH($N428,VAT_Codes!$A:$A,0)),"ANY")&lt;&gt;"ANY",$P428&lt;&gt;IFERROR(INDEX(VAT_Codes!$E:$E,MATCH($N428,VAT_Codes!$A:$A,0)),"ANY")),"REGION MISMATCH","OK")))))))</f>
        <v/>
      </c>
    </row>
    <row r="429" customFormat="false" ht="15" hidden="false" customHeight="false" outlineLevel="0" collapsed="false">
      <c r="M429" s="24" t="str">
        <f aca="false">IF($C429="","",IFERROR(INDEX(Account_Mapping!$C:$C,MATCH($C429&amp;"",Account_Mapping!$A:$A,0))&amp;"",""))</f>
        <v/>
      </c>
      <c r="N429" s="24" t="str">
        <f aca="false">IF($K429&lt;&gt;"",$K429,$M429)</f>
        <v/>
      </c>
      <c r="O429" s="24" t="str">
        <f aca="false">IF($F429="","",IFERROR(INDEX(Counterparties!$C:$C,MATCH($F429&amp;"",Counterparties!$A:$A,0))&amp;"",""))</f>
        <v/>
      </c>
      <c r="P429" s="24" t="str">
        <f aca="false">IF($O429="","",IF($O429="CY","CY",IF(ISNUMBER(MATCH($O429,Lists!$A:$A,0)),"EU","3RD")))</f>
        <v/>
      </c>
      <c r="Q429" s="24" t="str">
        <f aca="false">IF($F429="","N",IFERROR(IF(INDEX(Counterparties!$E:$E,MATCH($F429&amp;"",Counterparties!$A:$A,0))="Y","Y","N"),"N"))</f>
        <v>N</v>
      </c>
      <c r="R429" s="25" t="n">
        <f aca="false">IF(OR($H429="",$H429="EUR"),1,IFERROR(INDEX(FX_Rates!$D:$D,MATCH($H429,FX_Rates!$A:$A,0)),""))</f>
        <v>1</v>
      </c>
      <c r="S429" s="26" t="str">
        <f aca="false">IF(AND($I429="",$J429=""),"",IF($J429&lt;&gt;"",$J429,IF(OR($R429="",$R429=0),"",ROUND($I429/$R429,2))))</f>
        <v/>
      </c>
      <c r="T429" s="24" t="str">
        <f aca="false">IF($N429="","",IFERROR(INDEX(VAT_Codes!$C:$C,MATCH($N429,VAT_Codes!$A:$A,0)),"")&amp;"")</f>
        <v/>
      </c>
      <c r="U429" s="26" t="n">
        <f aca="false">IF(OR($S429="",$T429="",$T429="None"),0,IF($T429="Output",-$S429,$S429))</f>
        <v>0</v>
      </c>
      <c r="V429" s="27" t="n">
        <f aca="false">IF($N429="",0,IFERROR(INDEX(VAT_Codes!$D:$D,MATCH($N429,VAT_Codes!$A:$A,0)),0))</f>
        <v>0</v>
      </c>
      <c r="W429" s="26" t="n">
        <f aca="false">IF($U429=0,0,IF(IFERROR(INDEX(VAT_Codes!$F:$F,MATCH($N429,VAT_Codes!$A:$A,0)),"N")="Y",$U429,IF($L429&lt;&gt;"",ROUND(ABS($L429)/IF(OR($R429="",$R429=0),1,$R429),2)*SIGN($U429),ROUND($U429*$V429,2))))</f>
        <v>0</v>
      </c>
      <c r="X429" s="24" t="str">
        <f aca="false">IF($N429="","",IFERROR(INDEX(VAT_Codes!$H:$H,MATCH($N429,VAT_Codes!$A:$A,0)),"")&amp;"")</f>
        <v/>
      </c>
      <c r="Y429" s="24" t="str">
        <f aca="false">IF($A429="","",(YEAR($A429)-YEAR(Settings!$C$8))*12+MONTH($A429)-MONTH(Settings!$C$8)+1)</f>
        <v/>
      </c>
      <c r="Z429" s="24" t="str">
        <f aca="false">IF(AND($C429="",$I429="",$J429=""),"",IF($N429="","NO VAT CODE",IF($T429="","UNKNOWN VAT CODE",IF($S429="","MISSING FX RATE",IF(OR($A429&lt;Settings!$C$8,$A429&gt;Settings!$C$9),"OUTSIDE PERIOD",IF(AND(IFERROR(INDEX(VAT_Codes!$E:$E,MATCH($N429,VAT_Codes!$A:$A,0)),"ANY")&lt;&gt;"ANY",$P429=""),"MISSING COUNTERPARTY COUNTRY",IF(AND(IFERROR(INDEX(VAT_Codes!$E:$E,MATCH($N429,VAT_Codes!$A:$A,0)),"ANY")&lt;&gt;"ANY",$P429&lt;&gt;IFERROR(INDEX(VAT_Codes!$E:$E,MATCH($N429,VAT_Codes!$A:$A,0)),"ANY")),"REGION MISMATCH","OK")))))))</f>
        <v/>
      </c>
    </row>
    <row r="430" customFormat="false" ht="15" hidden="false" customHeight="false" outlineLevel="0" collapsed="false">
      <c r="M430" s="24" t="str">
        <f aca="false">IF($C430="","",IFERROR(INDEX(Account_Mapping!$C:$C,MATCH($C430&amp;"",Account_Mapping!$A:$A,0))&amp;"",""))</f>
        <v/>
      </c>
      <c r="N430" s="24" t="str">
        <f aca="false">IF($K430&lt;&gt;"",$K430,$M430)</f>
        <v/>
      </c>
      <c r="O430" s="24" t="str">
        <f aca="false">IF($F430="","",IFERROR(INDEX(Counterparties!$C:$C,MATCH($F430&amp;"",Counterparties!$A:$A,0))&amp;"",""))</f>
        <v/>
      </c>
      <c r="P430" s="24" t="str">
        <f aca="false">IF($O430="","",IF($O430="CY","CY",IF(ISNUMBER(MATCH($O430,Lists!$A:$A,0)),"EU","3RD")))</f>
        <v/>
      </c>
      <c r="Q430" s="24" t="str">
        <f aca="false">IF($F430="","N",IFERROR(IF(INDEX(Counterparties!$E:$E,MATCH($F430&amp;"",Counterparties!$A:$A,0))="Y","Y","N"),"N"))</f>
        <v>N</v>
      </c>
      <c r="R430" s="25" t="n">
        <f aca="false">IF(OR($H430="",$H430="EUR"),1,IFERROR(INDEX(FX_Rates!$D:$D,MATCH($H430,FX_Rates!$A:$A,0)),""))</f>
        <v>1</v>
      </c>
      <c r="S430" s="26" t="str">
        <f aca="false">IF(AND($I430="",$J430=""),"",IF($J430&lt;&gt;"",$J430,IF(OR($R430="",$R430=0),"",ROUND($I430/$R430,2))))</f>
        <v/>
      </c>
      <c r="T430" s="24" t="str">
        <f aca="false">IF($N430="","",IFERROR(INDEX(VAT_Codes!$C:$C,MATCH($N430,VAT_Codes!$A:$A,0)),"")&amp;"")</f>
        <v/>
      </c>
      <c r="U430" s="26" t="n">
        <f aca="false">IF(OR($S430="",$T430="",$T430="None"),0,IF($T430="Output",-$S430,$S430))</f>
        <v>0</v>
      </c>
      <c r="V430" s="27" t="n">
        <f aca="false">IF($N430="",0,IFERROR(INDEX(VAT_Codes!$D:$D,MATCH($N430,VAT_Codes!$A:$A,0)),0))</f>
        <v>0</v>
      </c>
      <c r="W430" s="26" t="n">
        <f aca="false">IF($U430=0,0,IF(IFERROR(INDEX(VAT_Codes!$F:$F,MATCH($N430,VAT_Codes!$A:$A,0)),"N")="Y",$U430,IF($L430&lt;&gt;"",ROUND(ABS($L430)/IF(OR($R430="",$R430=0),1,$R430),2)*SIGN($U430),ROUND($U430*$V430,2))))</f>
        <v>0</v>
      </c>
      <c r="X430" s="24" t="str">
        <f aca="false">IF($N430="","",IFERROR(INDEX(VAT_Codes!$H:$H,MATCH($N430,VAT_Codes!$A:$A,0)),"")&amp;"")</f>
        <v/>
      </c>
      <c r="Y430" s="24" t="str">
        <f aca="false">IF($A430="","",(YEAR($A430)-YEAR(Settings!$C$8))*12+MONTH($A430)-MONTH(Settings!$C$8)+1)</f>
        <v/>
      </c>
      <c r="Z430" s="24" t="str">
        <f aca="false">IF(AND($C430="",$I430="",$J430=""),"",IF($N430="","NO VAT CODE",IF($T430="","UNKNOWN VAT CODE",IF($S430="","MISSING FX RATE",IF(OR($A430&lt;Settings!$C$8,$A430&gt;Settings!$C$9),"OUTSIDE PERIOD",IF(AND(IFERROR(INDEX(VAT_Codes!$E:$E,MATCH($N430,VAT_Codes!$A:$A,0)),"ANY")&lt;&gt;"ANY",$P430=""),"MISSING COUNTERPARTY COUNTRY",IF(AND(IFERROR(INDEX(VAT_Codes!$E:$E,MATCH($N430,VAT_Codes!$A:$A,0)),"ANY")&lt;&gt;"ANY",$P430&lt;&gt;IFERROR(INDEX(VAT_Codes!$E:$E,MATCH($N430,VAT_Codes!$A:$A,0)),"ANY")),"REGION MISMATCH","OK")))))))</f>
        <v/>
      </c>
    </row>
    <row r="431" customFormat="false" ht="15" hidden="false" customHeight="false" outlineLevel="0" collapsed="false">
      <c r="M431" s="24" t="str">
        <f aca="false">IF($C431="","",IFERROR(INDEX(Account_Mapping!$C:$C,MATCH($C431&amp;"",Account_Mapping!$A:$A,0))&amp;"",""))</f>
        <v/>
      </c>
      <c r="N431" s="24" t="str">
        <f aca="false">IF($K431&lt;&gt;"",$K431,$M431)</f>
        <v/>
      </c>
      <c r="O431" s="24" t="str">
        <f aca="false">IF($F431="","",IFERROR(INDEX(Counterparties!$C:$C,MATCH($F431&amp;"",Counterparties!$A:$A,0))&amp;"",""))</f>
        <v/>
      </c>
      <c r="P431" s="24" t="str">
        <f aca="false">IF($O431="","",IF($O431="CY","CY",IF(ISNUMBER(MATCH($O431,Lists!$A:$A,0)),"EU","3RD")))</f>
        <v/>
      </c>
      <c r="Q431" s="24" t="str">
        <f aca="false">IF($F431="","N",IFERROR(IF(INDEX(Counterparties!$E:$E,MATCH($F431&amp;"",Counterparties!$A:$A,0))="Y","Y","N"),"N"))</f>
        <v>N</v>
      </c>
      <c r="R431" s="25" t="n">
        <f aca="false">IF(OR($H431="",$H431="EUR"),1,IFERROR(INDEX(FX_Rates!$D:$D,MATCH($H431,FX_Rates!$A:$A,0)),""))</f>
        <v>1</v>
      </c>
      <c r="S431" s="26" t="str">
        <f aca="false">IF(AND($I431="",$J431=""),"",IF($J431&lt;&gt;"",$J431,IF(OR($R431="",$R431=0),"",ROUND($I431/$R431,2))))</f>
        <v/>
      </c>
      <c r="T431" s="24" t="str">
        <f aca="false">IF($N431="","",IFERROR(INDEX(VAT_Codes!$C:$C,MATCH($N431,VAT_Codes!$A:$A,0)),"")&amp;"")</f>
        <v/>
      </c>
      <c r="U431" s="26" t="n">
        <f aca="false">IF(OR($S431="",$T431="",$T431="None"),0,IF($T431="Output",-$S431,$S431))</f>
        <v>0</v>
      </c>
      <c r="V431" s="27" t="n">
        <f aca="false">IF($N431="",0,IFERROR(INDEX(VAT_Codes!$D:$D,MATCH($N431,VAT_Codes!$A:$A,0)),0))</f>
        <v>0</v>
      </c>
      <c r="W431" s="26" t="n">
        <f aca="false">IF($U431=0,0,IF(IFERROR(INDEX(VAT_Codes!$F:$F,MATCH($N431,VAT_Codes!$A:$A,0)),"N")="Y",$U431,IF($L431&lt;&gt;"",ROUND(ABS($L431)/IF(OR($R431="",$R431=0),1,$R431),2)*SIGN($U431),ROUND($U431*$V431,2))))</f>
        <v>0</v>
      </c>
      <c r="X431" s="24" t="str">
        <f aca="false">IF($N431="","",IFERROR(INDEX(VAT_Codes!$H:$H,MATCH($N431,VAT_Codes!$A:$A,0)),"")&amp;"")</f>
        <v/>
      </c>
      <c r="Y431" s="24" t="str">
        <f aca="false">IF($A431="","",(YEAR($A431)-YEAR(Settings!$C$8))*12+MONTH($A431)-MONTH(Settings!$C$8)+1)</f>
        <v/>
      </c>
      <c r="Z431" s="24" t="str">
        <f aca="false">IF(AND($C431="",$I431="",$J431=""),"",IF($N431="","NO VAT CODE",IF($T431="","UNKNOWN VAT CODE",IF($S431="","MISSING FX RATE",IF(OR($A431&lt;Settings!$C$8,$A431&gt;Settings!$C$9),"OUTSIDE PERIOD",IF(AND(IFERROR(INDEX(VAT_Codes!$E:$E,MATCH($N431,VAT_Codes!$A:$A,0)),"ANY")&lt;&gt;"ANY",$P431=""),"MISSING COUNTERPARTY COUNTRY",IF(AND(IFERROR(INDEX(VAT_Codes!$E:$E,MATCH($N431,VAT_Codes!$A:$A,0)),"ANY")&lt;&gt;"ANY",$P431&lt;&gt;IFERROR(INDEX(VAT_Codes!$E:$E,MATCH($N431,VAT_Codes!$A:$A,0)),"ANY")),"REGION MISMATCH","OK")))))))</f>
        <v/>
      </c>
    </row>
    <row r="432" customFormat="false" ht="15" hidden="false" customHeight="false" outlineLevel="0" collapsed="false">
      <c r="M432" s="24" t="str">
        <f aca="false">IF($C432="","",IFERROR(INDEX(Account_Mapping!$C:$C,MATCH($C432&amp;"",Account_Mapping!$A:$A,0))&amp;"",""))</f>
        <v/>
      </c>
      <c r="N432" s="24" t="str">
        <f aca="false">IF($K432&lt;&gt;"",$K432,$M432)</f>
        <v/>
      </c>
      <c r="O432" s="24" t="str">
        <f aca="false">IF($F432="","",IFERROR(INDEX(Counterparties!$C:$C,MATCH($F432&amp;"",Counterparties!$A:$A,0))&amp;"",""))</f>
        <v/>
      </c>
      <c r="P432" s="24" t="str">
        <f aca="false">IF($O432="","",IF($O432="CY","CY",IF(ISNUMBER(MATCH($O432,Lists!$A:$A,0)),"EU","3RD")))</f>
        <v/>
      </c>
      <c r="Q432" s="24" t="str">
        <f aca="false">IF($F432="","N",IFERROR(IF(INDEX(Counterparties!$E:$E,MATCH($F432&amp;"",Counterparties!$A:$A,0))="Y","Y","N"),"N"))</f>
        <v>N</v>
      </c>
      <c r="R432" s="25" t="n">
        <f aca="false">IF(OR($H432="",$H432="EUR"),1,IFERROR(INDEX(FX_Rates!$D:$D,MATCH($H432,FX_Rates!$A:$A,0)),""))</f>
        <v>1</v>
      </c>
      <c r="S432" s="26" t="str">
        <f aca="false">IF(AND($I432="",$J432=""),"",IF($J432&lt;&gt;"",$J432,IF(OR($R432="",$R432=0),"",ROUND($I432/$R432,2))))</f>
        <v/>
      </c>
      <c r="T432" s="24" t="str">
        <f aca="false">IF($N432="","",IFERROR(INDEX(VAT_Codes!$C:$C,MATCH($N432,VAT_Codes!$A:$A,0)),"")&amp;"")</f>
        <v/>
      </c>
      <c r="U432" s="26" t="n">
        <f aca="false">IF(OR($S432="",$T432="",$T432="None"),0,IF($T432="Output",-$S432,$S432))</f>
        <v>0</v>
      </c>
      <c r="V432" s="27" t="n">
        <f aca="false">IF($N432="",0,IFERROR(INDEX(VAT_Codes!$D:$D,MATCH($N432,VAT_Codes!$A:$A,0)),0))</f>
        <v>0</v>
      </c>
      <c r="W432" s="26" t="n">
        <f aca="false">IF($U432=0,0,IF(IFERROR(INDEX(VAT_Codes!$F:$F,MATCH($N432,VAT_Codes!$A:$A,0)),"N")="Y",$U432,IF($L432&lt;&gt;"",ROUND(ABS($L432)/IF(OR($R432="",$R432=0),1,$R432),2)*SIGN($U432),ROUND($U432*$V432,2))))</f>
        <v>0</v>
      </c>
      <c r="X432" s="24" t="str">
        <f aca="false">IF($N432="","",IFERROR(INDEX(VAT_Codes!$H:$H,MATCH($N432,VAT_Codes!$A:$A,0)),"")&amp;"")</f>
        <v/>
      </c>
      <c r="Y432" s="24" t="str">
        <f aca="false">IF($A432="","",(YEAR($A432)-YEAR(Settings!$C$8))*12+MONTH($A432)-MONTH(Settings!$C$8)+1)</f>
        <v/>
      </c>
      <c r="Z432" s="24" t="str">
        <f aca="false">IF(AND($C432="",$I432="",$J432=""),"",IF($N432="","NO VAT CODE",IF($T432="","UNKNOWN VAT CODE",IF($S432="","MISSING FX RATE",IF(OR($A432&lt;Settings!$C$8,$A432&gt;Settings!$C$9),"OUTSIDE PERIOD",IF(AND(IFERROR(INDEX(VAT_Codes!$E:$E,MATCH($N432,VAT_Codes!$A:$A,0)),"ANY")&lt;&gt;"ANY",$P432=""),"MISSING COUNTERPARTY COUNTRY",IF(AND(IFERROR(INDEX(VAT_Codes!$E:$E,MATCH($N432,VAT_Codes!$A:$A,0)),"ANY")&lt;&gt;"ANY",$P432&lt;&gt;IFERROR(INDEX(VAT_Codes!$E:$E,MATCH($N432,VAT_Codes!$A:$A,0)),"ANY")),"REGION MISMATCH","OK")))))))</f>
        <v/>
      </c>
    </row>
    <row r="433" customFormat="false" ht="15" hidden="false" customHeight="false" outlineLevel="0" collapsed="false">
      <c r="M433" s="24" t="str">
        <f aca="false">IF($C433="","",IFERROR(INDEX(Account_Mapping!$C:$C,MATCH($C433&amp;"",Account_Mapping!$A:$A,0))&amp;"",""))</f>
        <v/>
      </c>
      <c r="N433" s="24" t="str">
        <f aca="false">IF($K433&lt;&gt;"",$K433,$M433)</f>
        <v/>
      </c>
      <c r="O433" s="24" t="str">
        <f aca="false">IF($F433="","",IFERROR(INDEX(Counterparties!$C:$C,MATCH($F433&amp;"",Counterparties!$A:$A,0))&amp;"",""))</f>
        <v/>
      </c>
      <c r="P433" s="24" t="str">
        <f aca="false">IF($O433="","",IF($O433="CY","CY",IF(ISNUMBER(MATCH($O433,Lists!$A:$A,0)),"EU","3RD")))</f>
        <v/>
      </c>
      <c r="Q433" s="24" t="str">
        <f aca="false">IF($F433="","N",IFERROR(IF(INDEX(Counterparties!$E:$E,MATCH($F433&amp;"",Counterparties!$A:$A,0))="Y","Y","N"),"N"))</f>
        <v>N</v>
      </c>
      <c r="R433" s="25" t="n">
        <f aca="false">IF(OR($H433="",$H433="EUR"),1,IFERROR(INDEX(FX_Rates!$D:$D,MATCH($H433,FX_Rates!$A:$A,0)),""))</f>
        <v>1</v>
      </c>
      <c r="S433" s="26" t="str">
        <f aca="false">IF(AND($I433="",$J433=""),"",IF($J433&lt;&gt;"",$J433,IF(OR($R433="",$R433=0),"",ROUND($I433/$R433,2))))</f>
        <v/>
      </c>
      <c r="T433" s="24" t="str">
        <f aca="false">IF($N433="","",IFERROR(INDEX(VAT_Codes!$C:$C,MATCH($N433,VAT_Codes!$A:$A,0)),"")&amp;"")</f>
        <v/>
      </c>
      <c r="U433" s="26" t="n">
        <f aca="false">IF(OR($S433="",$T433="",$T433="None"),0,IF($T433="Output",-$S433,$S433))</f>
        <v>0</v>
      </c>
      <c r="V433" s="27" t="n">
        <f aca="false">IF($N433="",0,IFERROR(INDEX(VAT_Codes!$D:$D,MATCH($N433,VAT_Codes!$A:$A,0)),0))</f>
        <v>0</v>
      </c>
      <c r="W433" s="26" t="n">
        <f aca="false">IF($U433=0,0,IF(IFERROR(INDEX(VAT_Codes!$F:$F,MATCH($N433,VAT_Codes!$A:$A,0)),"N")="Y",$U433,IF($L433&lt;&gt;"",ROUND(ABS($L433)/IF(OR($R433="",$R433=0),1,$R433),2)*SIGN($U433),ROUND($U433*$V433,2))))</f>
        <v>0</v>
      </c>
      <c r="X433" s="24" t="str">
        <f aca="false">IF($N433="","",IFERROR(INDEX(VAT_Codes!$H:$H,MATCH($N433,VAT_Codes!$A:$A,0)),"")&amp;"")</f>
        <v/>
      </c>
      <c r="Y433" s="24" t="str">
        <f aca="false">IF($A433="","",(YEAR($A433)-YEAR(Settings!$C$8))*12+MONTH($A433)-MONTH(Settings!$C$8)+1)</f>
        <v/>
      </c>
      <c r="Z433" s="24" t="str">
        <f aca="false">IF(AND($C433="",$I433="",$J433=""),"",IF($N433="","NO VAT CODE",IF($T433="","UNKNOWN VAT CODE",IF($S433="","MISSING FX RATE",IF(OR($A433&lt;Settings!$C$8,$A433&gt;Settings!$C$9),"OUTSIDE PERIOD",IF(AND(IFERROR(INDEX(VAT_Codes!$E:$E,MATCH($N433,VAT_Codes!$A:$A,0)),"ANY")&lt;&gt;"ANY",$P433=""),"MISSING COUNTERPARTY COUNTRY",IF(AND(IFERROR(INDEX(VAT_Codes!$E:$E,MATCH($N433,VAT_Codes!$A:$A,0)),"ANY")&lt;&gt;"ANY",$P433&lt;&gt;IFERROR(INDEX(VAT_Codes!$E:$E,MATCH($N433,VAT_Codes!$A:$A,0)),"ANY")),"REGION MISMATCH","OK")))))))</f>
        <v/>
      </c>
    </row>
    <row r="434" customFormat="false" ht="15" hidden="false" customHeight="false" outlineLevel="0" collapsed="false">
      <c r="M434" s="24" t="str">
        <f aca="false">IF($C434="","",IFERROR(INDEX(Account_Mapping!$C:$C,MATCH($C434&amp;"",Account_Mapping!$A:$A,0))&amp;"",""))</f>
        <v/>
      </c>
      <c r="N434" s="24" t="str">
        <f aca="false">IF($K434&lt;&gt;"",$K434,$M434)</f>
        <v/>
      </c>
      <c r="O434" s="24" t="str">
        <f aca="false">IF($F434="","",IFERROR(INDEX(Counterparties!$C:$C,MATCH($F434&amp;"",Counterparties!$A:$A,0))&amp;"",""))</f>
        <v/>
      </c>
      <c r="P434" s="24" t="str">
        <f aca="false">IF($O434="","",IF($O434="CY","CY",IF(ISNUMBER(MATCH($O434,Lists!$A:$A,0)),"EU","3RD")))</f>
        <v/>
      </c>
      <c r="Q434" s="24" t="str">
        <f aca="false">IF($F434="","N",IFERROR(IF(INDEX(Counterparties!$E:$E,MATCH($F434&amp;"",Counterparties!$A:$A,0))="Y","Y","N"),"N"))</f>
        <v>N</v>
      </c>
      <c r="R434" s="25" t="n">
        <f aca="false">IF(OR($H434="",$H434="EUR"),1,IFERROR(INDEX(FX_Rates!$D:$D,MATCH($H434,FX_Rates!$A:$A,0)),""))</f>
        <v>1</v>
      </c>
      <c r="S434" s="26" t="str">
        <f aca="false">IF(AND($I434="",$J434=""),"",IF($J434&lt;&gt;"",$J434,IF(OR($R434="",$R434=0),"",ROUND($I434/$R434,2))))</f>
        <v/>
      </c>
      <c r="T434" s="24" t="str">
        <f aca="false">IF($N434="","",IFERROR(INDEX(VAT_Codes!$C:$C,MATCH($N434,VAT_Codes!$A:$A,0)),"")&amp;"")</f>
        <v/>
      </c>
      <c r="U434" s="26" t="n">
        <f aca="false">IF(OR($S434="",$T434="",$T434="None"),0,IF($T434="Output",-$S434,$S434))</f>
        <v>0</v>
      </c>
      <c r="V434" s="27" t="n">
        <f aca="false">IF($N434="",0,IFERROR(INDEX(VAT_Codes!$D:$D,MATCH($N434,VAT_Codes!$A:$A,0)),0))</f>
        <v>0</v>
      </c>
      <c r="W434" s="26" t="n">
        <f aca="false">IF($U434=0,0,IF(IFERROR(INDEX(VAT_Codes!$F:$F,MATCH($N434,VAT_Codes!$A:$A,0)),"N")="Y",$U434,IF($L434&lt;&gt;"",ROUND(ABS($L434)/IF(OR($R434="",$R434=0),1,$R434),2)*SIGN($U434),ROUND($U434*$V434,2))))</f>
        <v>0</v>
      </c>
      <c r="X434" s="24" t="str">
        <f aca="false">IF($N434="","",IFERROR(INDEX(VAT_Codes!$H:$H,MATCH($N434,VAT_Codes!$A:$A,0)),"")&amp;"")</f>
        <v/>
      </c>
      <c r="Y434" s="24" t="str">
        <f aca="false">IF($A434="","",(YEAR($A434)-YEAR(Settings!$C$8))*12+MONTH($A434)-MONTH(Settings!$C$8)+1)</f>
        <v/>
      </c>
      <c r="Z434" s="24" t="str">
        <f aca="false">IF(AND($C434="",$I434="",$J434=""),"",IF($N434="","NO VAT CODE",IF($T434="","UNKNOWN VAT CODE",IF($S434="","MISSING FX RATE",IF(OR($A434&lt;Settings!$C$8,$A434&gt;Settings!$C$9),"OUTSIDE PERIOD",IF(AND(IFERROR(INDEX(VAT_Codes!$E:$E,MATCH($N434,VAT_Codes!$A:$A,0)),"ANY")&lt;&gt;"ANY",$P434=""),"MISSING COUNTERPARTY COUNTRY",IF(AND(IFERROR(INDEX(VAT_Codes!$E:$E,MATCH($N434,VAT_Codes!$A:$A,0)),"ANY")&lt;&gt;"ANY",$P434&lt;&gt;IFERROR(INDEX(VAT_Codes!$E:$E,MATCH($N434,VAT_Codes!$A:$A,0)),"ANY")),"REGION MISMATCH","OK")))))))</f>
        <v/>
      </c>
    </row>
    <row r="435" customFormat="false" ht="15" hidden="false" customHeight="false" outlineLevel="0" collapsed="false">
      <c r="M435" s="24" t="str">
        <f aca="false">IF($C435="","",IFERROR(INDEX(Account_Mapping!$C:$C,MATCH($C435&amp;"",Account_Mapping!$A:$A,0))&amp;"",""))</f>
        <v/>
      </c>
      <c r="N435" s="24" t="str">
        <f aca="false">IF($K435&lt;&gt;"",$K435,$M435)</f>
        <v/>
      </c>
      <c r="O435" s="24" t="str">
        <f aca="false">IF($F435="","",IFERROR(INDEX(Counterparties!$C:$C,MATCH($F435&amp;"",Counterparties!$A:$A,0))&amp;"",""))</f>
        <v/>
      </c>
      <c r="P435" s="24" t="str">
        <f aca="false">IF($O435="","",IF($O435="CY","CY",IF(ISNUMBER(MATCH($O435,Lists!$A:$A,0)),"EU","3RD")))</f>
        <v/>
      </c>
      <c r="Q435" s="24" t="str">
        <f aca="false">IF($F435="","N",IFERROR(IF(INDEX(Counterparties!$E:$E,MATCH($F435&amp;"",Counterparties!$A:$A,0))="Y","Y","N"),"N"))</f>
        <v>N</v>
      </c>
      <c r="R435" s="25" t="n">
        <f aca="false">IF(OR($H435="",$H435="EUR"),1,IFERROR(INDEX(FX_Rates!$D:$D,MATCH($H435,FX_Rates!$A:$A,0)),""))</f>
        <v>1</v>
      </c>
      <c r="S435" s="26" t="str">
        <f aca="false">IF(AND($I435="",$J435=""),"",IF($J435&lt;&gt;"",$J435,IF(OR($R435="",$R435=0),"",ROUND($I435/$R435,2))))</f>
        <v/>
      </c>
      <c r="T435" s="24" t="str">
        <f aca="false">IF($N435="","",IFERROR(INDEX(VAT_Codes!$C:$C,MATCH($N435,VAT_Codes!$A:$A,0)),"")&amp;"")</f>
        <v/>
      </c>
      <c r="U435" s="26" t="n">
        <f aca="false">IF(OR($S435="",$T435="",$T435="None"),0,IF($T435="Output",-$S435,$S435))</f>
        <v>0</v>
      </c>
      <c r="V435" s="27" t="n">
        <f aca="false">IF($N435="",0,IFERROR(INDEX(VAT_Codes!$D:$D,MATCH($N435,VAT_Codes!$A:$A,0)),0))</f>
        <v>0</v>
      </c>
      <c r="W435" s="26" t="n">
        <f aca="false">IF($U435=0,0,IF(IFERROR(INDEX(VAT_Codes!$F:$F,MATCH($N435,VAT_Codes!$A:$A,0)),"N")="Y",$U435,IF($L435&lt;&gt;"",ROUND(ABS($L435)/IF(OR($R435="",$R435=0),1,$R435),2)*SIGN($U435),ROUND($U435*$V435,2))))</f>
        <v>0</v>
      </c>
      <c r="X435" s="24" t="str">
        <f aca="false">IF($N435="","",IFERROR(INDEX(VAT_Codes!$H:$H,MATCH($N435,VAT_Codes!$A:$A,0)),"")&amp;"")</f>
        <v/>
      </c>
      <c r="Y435" s="24" t="str">
        <f aca="false">IF($A435="","",(YEAR($A435)-YEAR(Settings!$C$8))*12+MONTH($A435)-MONTH(Settings!$C$8)+1)</f>
        <v/>
      </c>
      <c r="Z435" s="24" t="str">
        <f aca="false">IF(AND($C435="",$I435="",$J435=""),"",IF($N435="","NO VAT CODE",IF($T435="","UNKNOWN VAT CODE",IF($S435="","MISSING FX RATE",IF(OR($A435&lt;Settings!$C$8,$A435&gt;Settings!$C$9),"OUTSIDE PERIOD",IF(AND(IFERROR(INDEX(VAT_Codes!$E:$E,MATCH($N435,VAT_Codes!$A:$A,0)),"ANY")&lt;&gt;"ANY",$P435=""),"MISSING COUNTERPARTY COUNTRY",IF(AND(IFERROR(INDEX(VAT_Codes!$E:$E,MATCH($N435,VAT_Codes!$A:$A,0)),"ANY")&lt;&gt;"ANY",$P435&lt;&gt;IFERROR(INDEX(VAT_Codes!$E:$E,MATCH($N435,VAT_Codes!$A:$A,0)),"ANY")),"REGION MISMATCH","OK")))))))</f>
        <v/>
      </c>
    </row>
    <row r="436" customFormat="false" ht="15" hidden="false" customHeight="false" outlineLevel="0" collapsed="false">
      <c r="M436" s="24" t="str">
        <f aca="false">IF($C436="","",IFERROR(INDEX(Account_Mapping!$C:$C,MATCH($C436&amp;"",Account_Mapping!$A:$A,0))&amp;"",""))</f>
        <v/>
      </c>
      <c r="N436" s="24" t="str">
        <f aca="false">IF($K436&lt;&gt;"",$K436,$M436)</f>
        <v/>
      </c>
      <c r="O436" s="24" t="str">
        <f aca="false">IF($F436="","",IFERROR(INDEX(Counterparties!$C:$C,MATCH($F436&amp;"",Counterparties!$A:$A,0))&amp;"",""))</f>
        <v/>
      </c>
      <c r="P436" s="24" t="str">
        <f aca="false">IF($O436="","",IF($O436="CY","CY",IF(ISNUMBER(MATCH($O436,Lists!$A:$A,0)),"EU","3RD")))</f>
        <v/>
      </c>
      <c r="Q436" s="24" t="str">
        <f aca="false">IF($F436="","N",IFERROR(IF(INDEX(Counterparties!$E:$E,MATCH($F436&amp;"",Counterparties!$A:$A,0))="Y","Y","N"),"N"))</f>
        <v>N</v>
      </c>
      <c r="R436" s="25" t="n">
        <f aca="false">IF(OR($H436="",$H436="EUR"),1,IFERROR(INDEX(FX_Rates!$D:$D,MATCH($H436,FX_Rates!$A:$A,0)),""))</f>
        <v>1</v>
      </c>
      <c r="S436" s="26" t="str">
        <f aca="false">IF(AND($I436="",$J436=""),"",IF($J436&lt;&gt;"",$J436,IF(OR($R436="",$R436=0),"",ROUND($I436/$R436,2))))</f>
        <v/>
      </c>
      <c r="T436" s="24" t="str">
        <f aca="false">IF($N436="","",IFERROR(INDEX(VAT_Codes!$C:$C,MATCH($N436,VAT_Codes!$A:$A,0)),"")&amp;"")</f>
        <v/>
      </c>
      <c r="U436" s="26" t="n">
        <f aca="false">IF(OR($S436="",$T436="",$T436="None"),0,IF($T436="Output",-$S436,$S436))</f>
        <v>0</v>
      </c>
      <c r="V436" s="27" t="n">
        <f aca="false">IF($N436="",0,IFERROR(INDEX(VAT_Codes!$D:$D,MATCH($N436,VAT_Codes!$A:$A,0)),0))</f>
        <v>0</v>
      </c>
      <c r="W436" s="26" t="n">
        <f aca="false">IF($U436=0,0,IF(IFERROR(INDEX(VAT_Codes!$F:$F,MATCH($N436,VAT_Codes!$A:$A,0)),"N")="Y",$U436,IF($L436&lt;&gt;"",ROUND(ABS($L436)/IF(OR($R436="",$R436=0),1,$R436),2)*SIGN($U436),ROUND($U436*$V436,2))))</f>
        <v>0</v>
      </c>
      <c r="X436" s="24" t="str">
        <f aca="false">IF($N436="","",IFERROR(INDEX(VAT_Codes!$H:$H,MATCH($N436,VAT_Codes!$A:$A,0)),"")&amp;"")</f>
        <v/>
      </c>
      <c r="Y436" s="24" t="str">
        <f aca="false">IF($A436="","",(YEAR($A436)-YEAR(Settings!$C$8))*12+MONTH($A436)-MONTH(Settings!$C$8)+1)</f>
        <v/>
      </c>
      <c r="Z436" s="24" t="str">
        <f aca="false">IF(AND($C436="",$I436="",$J436=""),"",IF($N436="","NO VAT CODE",IF($T436="","UNKNOWN VAT CODE",IF($S436="","MISSING FX RATE",IF(OR($A436&lt;Settings!$C$8,$A436&gt;Settings!$C$9),"OUTSIDE PERIOD",IF(AND(IFERROR(INDEX(VAT_Codes!$E:$E,MATCH($N436,VAT_Codes!$A:$A,0)),"ANY")&lt;&gt;"ANY",$P436=""),"MISSING COUNTERPARTY COUNTRY",IF(AND(IFERROR(INDEX(VAT_Codes!$E:$E,MATCH($N436,VAT_Codes!$A:$A,0)),"ANY")&lt;&gt;"ANY",$P436&lt;&gt;IFERROR(INDEX(VAT_Codes!$E:$E,MATCH($N436,VAT_Codes!$A:$A,0)),"ANY")),"REGION MISMATCH","OK")))))))</f>
        <v/>
      </c>
    </row>
    <row r="437" customFormat="false" ht="15" hidden="false" customHeight="false" outlineLevel="0" collapsed="false">
      <c r="M437" s="24" t="str">
        <f aca="false">IF($C437="","",IFERROR(INDEX(Account_Mapping!$C:$C,MATCH($C437&amp;"",Account_Mapping!$A:$A,0))&amp;"",""))</f>
        <v/>
      </c>
      <c r="N437" s="24" t="str">
        <f aca="false">IF($K437&lt;&gt;"",$K437,$M437)</f>
        <v/>
      </c>
      <c r="O437" s="24" t="str">
        <f aca="false">IF($F437="","",IFERROR(INDEX(Counterparties!$C:$C,MATCH($F437&amp;"",Counterparties!$A:$A,0))&amp;"",""))</f>
        <v/>
      </c>
      <c r="P437" s="24" t="str">
        <f aca="false">IF($O437="","",IF($O437="CY","CY",IF(ISNUMBER(MATCH($O437,Lists!$A:$A,0)),"EU","3RD")))</f>
        <v/>
      </c>
      <c r="Q437" s="24" t="str">
        <f aca="false">IF($F437="","N",IFERROR(IF(INDEX(Counterparties!$E:$E,MATCH($F437&amp;"",Counterparties!$A:$A,0))="Y","Y","N"),"N"))</f>
        <v>N</v>
      </c>
      <c r="R437" s="25" t="n">
        <f aca="false">IF(OR($H437="",$H437="EUR"),1,IFERROR(INDEX(FX_Rates!$D:$D,MATCH($H437,FX_Rates!$A:$A,0)),""))</f>
        <v>1</v>
      </c>
      <c r="S437" s="26" t="str">
        <f aca="false">IF(AND($I437="",$J437=""),"",IF($J437&lt;&gt;"",$J437,IF(OR($R437="",$R437=0),"",ROUND($I437/$R437,2))))</f>
        <v/>
      </c>
      <c r="T437" s="24" t="str">
        <f aca="false">IF($N437="","",IFERROR(INDEX(VAT_Codes!$C:$C,MATCH($N437,VAT_Codes!$A:$A,0)),"")&amp;"")</f>
        <v/>
      </c>
      <c r="U437" s="26" t="n">
        <f aca="false">IF(OR($S437="",$T437="",$T437="None"),0,IF($T437="Output",-$S437,$S437))</f>
        <v>0</v>
      </c>
      <c r="V437" s="27" t="n">
        <f aca="false">IF($N437="",0,IFERROR(INDEX(VAT_Codes!$D:$D,MATCH($N437,VAT_Codes!$A:$A,0)),0))</f>
        <v>0</v>
      </c>
      <c r="W437" s="26" t="n">
        <f aca="false">IF($U437=0,0,IF(IFERROR(INDEX(VAT_Codes!$F:$F,MATCH($N437,VAT_Codes!$A:$A,0)),"N")="Y",$U437,IF($L437&lt;&gt;"",ROUND(ABS($L437)/IF(OR($R437="",$R437=0),1,$R437),2)*SIGN($U437),ROUND($U437*$V437,2))))</f>
        <v>0</v>
      </c>
      <c r="X437" s="24" t="str">
        <f aca="false">IF($N437="","",IFERROR(INDEX(VAT_Codes!$H:$H,MATCH($N437,VAT_Codes!$A:$A,0)),"")&amp;"")</f>
        <v/>
      </c>
      <c r="Y437" s="24" t="str">
        <f aca="false">IF($A437="","",(YEAR($A437)-YEAR(Settings!$C$8))*12+MONTH($A437)-MONTH(Settings!$C$8)+1)</f>
        <v/>
      </c>
      <c r="Z437" s="24" t="str">
        <f aca="false">IF(AND($C437="",$I437="",$J437=""),"",IF($N437="","NO VAT CODE",IF($T437="","UNKNOWN VAT CODE",IF($S437="","MISSING FX RATE",IF(OR($A437&lt;Settings!$C$8,$A437&gt;Settings!$C$9),"OUTSIDE PERIOD",IF(AND(IFERROR(INDEX(VAT_Codes!$E:$E,MATCH($N437,VAT_Codes!$A:$A,0)),"ANY")&lt;&gt;"ANY",$P437=""),"MISSING COUNTERPARTY COUNTRY",IF(AND(IFERROR(INDEX(VAT_Codes!$E:$E,MATCH($N437,VAT_Codes!$A:$A,0)),"ANY")&lt;&gt;"ANY",$P437&lt;&gt;IFERROR(INDEX(VAT_Codes!$E:$E,MATCH($N437,VAT_Codes!$A:$A,0)),"ANY")),"REGION MISMATCH","OK")))))))</f>
        <v/>
      </c>
    </row>
    <row r="438" customFormat="false" ht="15" hidden="false" customHeight="false" outlineLevel="0" collapsed="false">
      <c r="M438" s="24" t="str">
        <f aca="false">IF($C438="","",IFERROR(INDEX(Account_Mapping!$C:$C,MATCH($C438&amp;"",Account_Mapping!$A:$A,0))&amp;"",""))</f>
        <v/>
      </c>
      <c r="N438" s="24" t="str">
        <f aca="false">IF($K438&lt;&gt;"",$K438,$M438)</f>
        <v/>
      </c>
      <c r="O438" s="24" t="str">
        <f aca="false">IF($F438="","",IFERROR(INDEX(Counterparties!$C:$C,MATCH($F438&amp;"",Counterparties!$A:$A,0))&amp;"",""))</f>
        <v/>
      </c>
      <c r="P438" s="24" t="str">
        <f aca="false">IF($O438="","",IF($O438="CY","CY",IF(ISNUMBER(MATCH($O438,Lists!$A:$A,0)),"EU","3RD")))</f>
        <v/>
      </c>
      <c r="Q438" s="24" t="str">
        <f aca="false">IF($F438="","N",IFERROR(IF(INDEX(Counterparties!$E:$E,MATCH($F438&amp;"",Counterparties!$A:$A,0))="Y","Y","N"),"N"))</f>
        <v>N</v>
      </c>
      <c r="R438" s="25" t="n">
        <f aca="false">IF(OR($H438="",$H438="EUR"),1,IFERROR(INDEX(FX_Rates!$D:$D,MATCH($H438,FX_Rates!$A:$A,0)),""))</f>
        <v>1</v>
      </c>
      <c r="S438" s="26" t="str">
        <f aca="false">IF(AND($I438="",$J438=""),"",IF($J438&lt;&gt;"",$J438,IF(OR($R438="",$R438=0),"",ROUND($I438/$R438,2))))</f>
        <v/>
      </c>
      <c r="T438" s="24" t="str">
        <f aca="false">IF($N438="","",IFERROR(INDEX(VAT_Codes!$C:$C,MATCH($N438,VAT_Codes!$A:$A,0)),"")&amp;"")</f>
        <v/>
      </c>
      <c r="U438" s="26" t="n">
        <f aca="false">IF(OR($S438="",$T438="",$T438="None"),0,IF($T438="Output",-$S438,$S438))</f>
        <v>0</v>
      </c>
      <c r="V438" s="27" t="n">
        <f aca="false">IF($N438="",0,IFERROR(INDEX(VAT_Codes!$D:$D,MATCH($N438,VAT_Codes!$A:$A,0)),0))</f>
        <v>0</v>
      </c>
      <c r="W438" s="26" t="n">
        <f aca="false">IF($U438=0,0,IF(IFERROR(INDEX(VAT_Codes!$F:$F,MATCH($N438,VAT_Codes!$A:$A,0)),"N")="Y",$U438,IF($L438&lt;&gt;"",ROUND(ABS($L438)/IF(OR($R438="",$R438=0),1,$R438),2)*SIGN($U438),ROUND($U438*$V438,2))))</f>
        <v>0</v>
      </c>
      <c r="X438" s="24" t="str">
        <f aca="false">IF($N438="","",IFERROR(INDEX(VAT_Codes!$H:$H,MATCH($N438,VAT_Codes!$A:$A,0)),"")&amp;"")</f>
        <v/>
      </c>
      <c r="Y438" s="24" t="str">
        <f aca="false">IF($A438="","",(YEAR($A438)-YEAR(Settings!$C$8))*12+MONTH($A438)-MONTH(Settings!$C$8)+1)</f>
        <v/>
      </c>
      <c r="Z438" s="24" t="str">
        <f aca="false">IF(AND($C438="",$I438="",$J438=""),"",IF($N438="","NO VAT CODE",IF($T438="","UNKNOWN VAT CODE",IF($S438="","MISSING FX RATE",IF(OR($A438&lt;Settings!$C$8,$A438&gt;Settings!$C$9),"OUTSIDE PERIOD",IF(AND(IFERROR(INDEX(VAT_Codes!$E:$E,MATCH($N438,VAT_Codes!$A:$A,0)),"ANY")&lt;&gt;"ANY",$P438=""),"MISSING COUNTERPARTY COUNTRY",IF(AND(IFERROR(INDEX(VAT_Codes!$E:$E,MATCH($N438,VAT_Codes!$A:$A,0)),"ANY")&lt;&gt;"ANY",$P438&lt;&gt;IFERROR(INDEX(VAT_Codes!$E:$E,MATCH($N438,VAT_Codes!$A:$A,0)),"ANY")),"REGION MISMATCH","OK")))))))</f>
        <v/>
      </c>
    </row>
    <row r="439" customFormat="false" ht="15" hidden="false" customHeight="false" outlineLevel="0" collapsed="false">
      <c r="M439" s="24" t="str">
        <f aca="false">IF($C439="","",IFERROR(INDEX(Account_Mapping!$C:$C,MATCH($C439&amp;"",Account_Mapping!$A:$A,0))&amp;"",""))</f>
        <v/>
      </c>
      <c r="N439" s="24" t="str">
        <f aca="false">IF($K439&lt;&gt;"",$K439,$M439)</f>
        <v/>
      </c>
      <c r="O439" s="24" t="str">
        <f aca="false">IF($F439="","",IFERROR(INDEX(Counterparties!$C:$C,MATCH($F439&amp;"",Counterparties!$A:$A,0))&amp;"",""))</f>
        <v/>
      </c>
      <c r="P439" s="24" t="str">
        <f aca="false">IF($O439="","",IF($O439="CY","CY",IF(ISNUMBER(MATCH($O439,Lists!$A:$A,0)),"EU","3RD")))</f>
        <v/>
      </c>
      <c r="Q439" s="24" t="str">
        <f aca="false">IF($F439="","N",IFERROR(IF(INDEX(Counterparties!$E:$E,MATCH($F439&amp;"",Counterparties!$A:$A,0))="Y","Y","N"),"N"))</f>
        <v>N</v>
      </c>
      <c r="R439" s="25" t="n">
        <f aca="false">IF(OR($H439="",$H439="EUR"),1,IFERROR(INDEX(FX_Rates!$D:$D,MATCH($H439,FX_Rates!$A:$A,0)),""))</f>
        <v>1</v>
      </c>
      <c r="S439" s="26" t="str">
        <f aca="false">IF(AND($I439="",$J439=""),"",IF($J439&lt;&gt;"",$J439,IF(OR($R439="",$R439=0),"",ROUND($I439/$R439,2))))</f>
        <v/>
      </c>
      <c r="T439" s="24" t="str">
        <f aca="false">IF($N439="","",IFERROR(INDEX(VAT_Codes!$C:$C,MATCH($N439,VAT_Codes!$A:$A,0)),"")&amp;"")</f>
        <v/>
      </c>
      <c r="U439" s="26" t="n">
        <f aca="false">IF(OR($S439="",$T439="",$T439="None"),0,IF($T439="Output",-$S439,$S439))</f>
        <v>0</v>
      </c>
      <c r="V439" s="27" t="n">
        <f aca="false">IF($N439="",0,IFERROR(INDEX(VAT_Codes!$D:$D,MATCH($N439,VAT_Codes!$A:$A,0)),0))</f>
        <v>0</v>
      </c>
      <c r="W439" s="26" t="n">
        <f aca="false">IF($U439=0,0,IF(IFERROR(INDEX(VAT_Codes!$F:$F,MATCH($N439,VAT_Codes!$A:$A,0)),"N")="Y",$U439,IF($L439&lt;&gt;"",ROUND(ABS($L439)/IF(OR($R439="",$R439=0),1,$R439),2)*SIGN($U439),ROUND($U439*$V439,2))))</f>
        <v>0</v>
      </c>
      <c r="X439" s="24" t="str">
        <f aca="false">IF($N439="","",IFERROR(INDEX(VAT_Codes!$H:$H,MATCH($N439,VAT_Codes!$A:$A,0)),"")&amp;"")</f>
        <v/>
      </c>
      <c r="Y439" s="24" t="str">
        <f aca="false">IF($A439="","",(YEAR($A439)-YEAR(Settings!$C$8))*12+MONTH($A439)-MONTH(Settings!$C$8)+1)</f>
        <v/>
      </c>
      <c r="Z439" s="24" t="str">
        <f aca="false">IF(AND($C439="",$I439="",$J439=""),"",IF($N439="","NO VAT CODE",IF($T439="","UNKNOWN VAT CODE",IF($S439="","MISSING FX RATE",IF(OR($A439&lt;Settings!$C$8,$A439&gt;Settings!$C$9),"OUTSIDE PERIOD",IF(AND(IFERROR(INDEX(VAT_Codes!$E:$E,MATCH($N439,VAT_Codes!$A:$A,0)),"ANY")&lt;&gt;"ANY",$P439=""),"MISSING COUNTERPARTY COUNTRY",IF(AND(IFERROR(INDEX(VAT_Codes!$E:$E,MATCH($N439,VAT_Codes!$A:$A,0)),"ANY")&lt;&gt;"ANY",$P439&lt;&gt;IFERROR(INDEX(VAT_Codes!$E:$E,MATCH($N439,VAT_Codes!$A:$A,0)),"ANY")),"REGION MISMATCH","OK")))))))</f>
        <v/>
      </c>
    </row>
    <row r="440" customFormat="false" ht="15" hidden="false" customHeight="false" outlineLevel="0" collapsed="false">
      <c r="M440" s="24" t="str">
        <f aca="false">IF($C440="","",IFERROR(INDEX(Account_Mapping!$C:$C,MATCH($C440&amp;"",Account_Mapping!$A:$A,0))&amp;"",""))</f>
        <v/>
      </c>
      <c r="N440" s="24" t="str">
        <f aca="false">IF($K440&lt;&gt;"",$K440,$M440)</f>
        <v/>
      </c>
      <c r="O440" s="24" t="str">
        <f aca="false">IF($F440="","",IFERROR(INDEX(Counterparties!$C:$C,MATCH($F440&amp;"",Counterparties!$A:$A,0))&amp;"",""))</f>
        <v/>
      </c>
      <c r="P440" s="24" t="str">
        <f aca="false">IF($O440="","",IF($O440="CY","CY",IF(ISNUMBER(MATCH($O440,Lists!$A:$A,0)),"EU","3RD")))</f>
        <v/>
      </c>
      <c r="Q440" s="24" t="str">
        <f aca="false">IF($F440="","N",IFERROR(IF(INDEX(Counterparties!$E:$E,MATCH($F440&amp;"",Counterparties!$A:$A,0))="Y","Y","N"),"N"))</f>
        <v>N</v>
      </c>
      <c r="R440" s="25" t="n">
        <f aca="false">IF(OR($H440="",$H440="EUR"),1,IFERROR(INDEX(FX_Rates!$D:$D,MATCH($H440,FX_Rates!$A:$A,0)),""))</f>
        <v>1</v>
      </c>
      <c r="S440" s="26" t="str">
        <f aca="false">IF(AND($I440="",$J440=""),"",IF($J440&lt;&gt;"",$J440,IF(OR($R440="",$R440=0),"",ROUND($I440/$R440,2))))</f>
        <v/>
      </c>
      <c r="T440" s="24" t="str">
        <f aca="false">IF($N440="","",IFERROR(INDEX(VAT_Codes!$C:$C,MATCH($N440,VAT_Codes!$A:$A,0)),"")&amp;"")</f>
        <v/>
      </c>
      <c r="U440" s="26" t="n">
        <f aca="false">IF(OR($S440="",$T440="",$T440="None"),0,IF($T440="Output",-$S440,$S440))</f>
        <v>0</v>
      </c>
      <c r="V440" s="27" t="n">
        <f aca="false">IF($N440="",0,IFERROR(INDEX(VAT_Codes!$D:$D,MATCH($N440,VAT_Codes!$A:$A,0)),0))</f>
        <v>0</v>
      </c>
      <c r="W440" s="26" t="n">
        <f aca="false">IF($U440=0,0,IF(IFERROR(INDEX(VAT_Codes!$F:$F,MATCH($N440,VAT_Codes!$A:$A,0)),"N")="Y",$U440,IF($L440&lt;&gt;"",ROUND(ABS($L440)/IF(OR($R440="",$R440=0),1,$R440),2)*SIGN($U440),ROUND($U440*$V440,2))))</f>
        <v>0</v>
      </c>
      <c r="X440" s="24" t="str">
        <f aca="false">IF($N440="","",IFERROR(INDEX(VAT_Codes!$H:$H,MATCH($N440,VAT_Codes!$A:$A,0)),"")&amp;"")</f>
        <v/>
      </c>
      <c r="Y440" s="24" t="str">
        <f aca="false">IF($A440="","",(YEAR($A440)-YEAR(Settings!$C$8))*12+MONTH($A440)-MONTH(Settings!$C$8)+1)</f>
        <v/>
      </c>
      <c r="Z440" s="24" t="str">
        <f aca="false">IF(AND($C440="",$I440="",$J440=""),"",IF($N440="","NO VAT CODE",IF($T440="","UNKNOWN VAT CODE",IF($S440="","MISSING FX RATE",IF(OR($A440&lt;Settings!$C$8,$A440&gt;Settings!$C$9),"OUTSIDE PERIOD",IF(AND(IFERROR(INDEX(VAT_Codes!$E:$E,MATCH($N440,VAT_Codes!$A:$A,0)),"ANY")&lt;&gt;"ANY",$P440=""),"MISSING COUNTERPARTY COUNTRY",IF(AND(IFERROR(INDEX(VAT_Codes!$E:$E,MATCH($N440,VAT_Codes!$A:$A,0)),"ANY")&lt;&gt;"ANY",$P440&lt;&gt;IFERROR(INDEX(VAT_Codes!$E:$E,MATCH($N440,VAT_Codes!$A:$A,0)),"ANY")),"REGION MISMATCH","OK")))))))</f>
        <v/>
      </c>
    </row>
    <row r="441" customFormat="false" ht="15" hidden="false" customHeight="false" outlineLevel="0" collapsed="false">
      <c r="M441" s="24" t="str">
        <f aca="false">IF($C441="","",IFERROR(INDEX(Account_Mapping!$C:$C,MATCH($C441&amp;"",Account_Mapping!$A:$A,0))&amp;"",""))</f>
        <v/>
      </c>
      <c r="N441" s="24" t="str">
        <f aca="false">IF($K441&lt;&gt;"",$K441,$M441)</f>
        <v/>
      </c>
      <c r="O441" s="24" t="str">
        <f aca="false">IF($F441="","",IFERROR(INDEX(Counterparties!$C:$C,MATCH($F441&amp;"",Counterparties!$A:$A,0))&amp;"",""))</f>
        <v/>
      </c>
      <c r="P441" s="24" t="str">
        <f aca="false">IF($O441="","",IF($O441="CY","CY",IF(ISNUMBER(MATCH($O441,Lists!$A:$A,0)),"EU","3RD")))</f>
        <v/>
      </c>
      <c r="Q441" s="24" t="str">
        <f aca="false">IF($F441="","N",IFERROR(IF(INDEX(Counterparties!$E:$E,MATCH($F441&amp;"",Counterparties!$A:$A,0))="Y","Y","N"),"N"))</f>
        <v>N</v>
      </c>
      <c r="R441" s="25" t="n">
        <f aca="false">IF(OR($H441="",$H441="EUR"),1,IFERROR(INDEX(FX_Rates!$D:$D,MATCH($H441,FX_Rates!$A:$A,0)),""))</f>
        <v>1</v>
      </c>
      <c r="S441" s="26" t="str">
        <f aca="false">IF(AND($I441="",$J441=""),"",IF($J441&lt;&gt;"",$J441,IF(OR($R441="",$R441=0),"",ROUND($I441/$R441,2))))</f>
        <v/>
      </c>
      <c r="T441" s="24" t="str">
        <f aca="false">IF($N441="","",IFERROR(INDEX(VAT_Codes!$C:$C,MATCH($N441,VAT_Codes!$A:$A,0)),"")&amp;"")</f>
        <v/>
      </c>
      <c r="U441" s="26" t="n">
        <f aca="false">IF(OR($S441="",$T441="",$T441="None"),0,IF($T441="Output",-$S441,$S441))</f>
        <v>0</v>
      </c>
      <c r="V441" s="27" t="n">
        <f aca="false">IF($N441="",0,IFERROR(INDEX(VAT_Codes!$D:$D,MATCH($N441,VAT_Codes!$A:$A,0)),0))</f>
        <v>0</v>
      </c>
      <c r="W441" s="26" t="n">
        <f aca="false">IF($U441=0,0,IF(IFERROR(INDEX(VAT_Codes!$F:$F,MATCH($N441,VAT_Codes!$A:$A,0)),"N")="Y",$U441,IF($L441&lt;&gt;"",ROUND(ABS($L441)/IF(OR($R441="",$R441=0),1,$R441),2)*SIGN($U441),ROUND($U441*$V441,2))))</f>
        <v>0</v>
      </c>
      <c r="X441" s="24" t="str">
        <f aca="false">IF($N441="","",IFERROR(INDEX(VAT_Codes!$H:$H,MATCH($N441,VAT_Codes!$A:$A,0)),"")&amp;"")</f>
        <v/>
      </c>
      <c r="Y441" s="24" t="str">
        <f aca="false">IF($A441="","",(YEAR($A441)-YEAR(Settings!$C$8))*12+MONTH($A441)-MONTH(Settings!$C$8)+1)</f>
        <v/>
      </c>
      <c r="Z441" s="24" t="str">
        <f aca="false">IF(AND($C441="",$I441="",$J441=""),"",IF($N441="","NO VAT CODE",IF($T441="","UNKNOWN VAT CODE",IF($S441="","MISSING FX RATE",IF(OR($A441&lt;Settings!$C$8,$A441&gt;Settings!$C$9),"OUTSIDE PERIOD",IF(AND(IFERROR(INDEX(VAT_Codes!$E:$E,MATCH($N441,VAT_Codes!$A:$A,0)),"ANY")&lt;&gt;"ANY",$P441=""),"MISSING COUNTERPARTY COUNTRY",IF(AND(IFERROR(INDEX(VAT_Codes!$E:$E,MATCH($N441,VAT_Codes!$A:$A,0)),"ANY")&lt;&gt;"ANY",$P441&lt;&gt;IFERROR(INDEX(VAT_Codes!$E:$E,MATCH($N441,VAT_Codes!$A:$A,0)),"ANY")),"REGION MISMATCH","OK")))))))</f>
        <v/>
      </c>
    </row>
    <row r="442" customFormat="false" ht="15" hidden="false" customHeight="false" outlineLevel="0" collapsed="false">
      <c r="M442" s="24" t="str">
        <f aca="false">IF($C442="","",IFERROR(INDEX(Account_Mapping!$C:$C,MATCH($C442&amp;"",Account_Mapping!$A:$A,0))&amp;"",""))</f>
        <v/>
      </c>
      <c r="N442" s="24" t="str">
        <f aca="false">IF($K442&lt;&gt;"",$K442,$M442)</f>
        <v/>
      </c>
      <c r="O442" s="24" t="str">
        <f aca="false">IF($F442="","",IFERROR(INDEX(Counterparties!$C:$C,MATCH($F442&amp;"",Counterparties!$A:$A,0))&amp;"",""))</f>
        <v/>
      </c>
      <c r="P442" s="24" t="str">
        <f aca="false">IF($O442="","",IF($O442="CY","CY",IF(ISNUMBER(MATCH($O442,Lists!$A:$A,0)),"EU","3RD")))</f>
        <v/>
      </c>
      <c r="Q442" s="24" t="str">
        <f aca="false">IF($F442="","N",IFERROR(IF(INDEX(Counterparties!$E:$E,MATCH($F442&amp;"",Counterparties!$A:$A,0))="Y","Y","N"),"N"))</f>
        <v>N</v>
      </c>
      <c r="R442" s="25" t="n">
        <f aca="false">IF(OR($H442="",$H442="EUR"),1,IFERROR(INDEX(FX_Rates!$D:$D,MATCH($H442,FX_Rates!$A:$A,0)),""))</f>
        <v>1</v>
      </c>
      <c r="S442" s="26" t="str">
        <f aca="false">IF(AND($I442="",$J442=""),"",IF($J442&lt;&gt;"",$J442,IF(OR($R442="",$R442=0),"",ROUND($I442/$R442,2))))</f>
        <v/>
      </c>
      <c r="T442" s="24" t="str">
        <f aca="false">IF($N442="","",IFERROR(INDEX(VAT_Codes!$C:$C,MATCH($N442,VAT_Codes!$A:$A,0)),"")&amp;"")</f>
        <v/>
      </c>
      <c r="U442" s="26" t="n">
        <f aca="false">IF(OR($S442="",$T442="",$T442="None"),0,IF($T442="Output",-$S442,$S442))</f>
        <v>0</v>
      </c>
      <c r="V442" s="27" t="n">
        <f aca="false">IF($N442="",0,IFERROR(INDEX(VAT_Codes!$D:$D,MATCH($N442,VAT_Codes!$A:$A,0)),0))</f>
        <v>0</v>
      </c>
      <c r="W442" s="26" t="n">
        <f aca="false">IF($U442=0,0,IF(IFERROR(INDEX(VAT_Codes!$F:$F,MATCH($N442,VAT_Codes!$A:$A,0)),"N")="Y",$U442,IF($L442&lt;&gt;"",ROUND(ABS($L442)/IF(OR($R442="",$R442=0),1,$R442),2)*SIGN($U442),ROUND($U442*$V442,2))))</f>
        <v>0</v>
      </c>
      <c r="X442" s="24" t="str">
        <f aca="false">IF($N442="","",IFERROR(INDEX(VAT_Codes!$H:$H,MATCH($N442,VAT_Codes!$A:$A,0)),"")&amp;"")</f>
        <v/>
      </c>
      <c r="Y442" s="24" t="str">
        <f aca="false">IF($A442="","",(YEAR($A442)-YEAR(Settings!$C$8))*12+MONTH($A442)-MONTH(Settings!$C$8)+1)</f>
        <v/>
      </c>
      <c r="Z442" s="24" t="str">
        <f aca="false">IF(AND($C442="",$I442="",$J442=""),"",IF($N442="","NO VAT CODE",IF($T442="","UNKNOWN VAT CODE",IF($S442="","MISSING FX RATE",IF(OR($A442&lt;Settings!$C$8,$A442&gt;Settings!$C$9),"OUTSIDE PERIOD",IF(AND(IFERROR(INDEX(VAT_Codes!$E:$E,MATCH($N442,VAT_Codes!$A:$A,0)),"ANY")&lt;&gt;"ANY",$P442=""),"MISSING COUNTERPARTY COUNTRY",IF(AND(IFERROR(INDEX(VAT_Codes!$E:$E,MATCH($N442,VAT_Codes!$A:$A,0)),"ANY")&lt;&gt;"ANY",$P442&lt;&gt;IFERROR(INDEX(VAT_Codes!$E:$E,MATCH($N442,VAT_Codes!$A:$A,0)),"ANY")),"REGION MISMATCH","OK")))))))</f>
        <v/>
      </c>
    </row>
    <row r="443" customFormat="false" ht="15" hidden="false" customHeight="false" outlineLevel="0" collapsed="false">
      <c r="M443" s="24" t="str">
        <f aca="false">IF($C443="","",IFERROR(INDEX(Account_Mapping!$C:$C,MATCH($C443&amp;"",Account_Mapping!$A:$A,0))&amp;"",""))</f>
        <v/>
      </c>
      <c r="N443" s="24" t="str">
        <f aca="false">IF($K443&lt;&gt;"",$K443,$M443)</f>
        <v/>
      </c>
      <c r="O443" s="24" t="str">
        <f aca="false">IF($F443="","",IFERROR(INDEX(Counterparties!$C:$C,MATCH($F443&amp;"",Counterparties!$A:$A,0))&amp;"",""))</f>
        <v/>
      </c>
      <c r="P443" s="24" t="str">
        <f aca="false">IF($O443="","",IF($O443="CY","CY",IF(ISNUMBER(MATCH($O443,Lists!$A:$A,0)),"EU","3RD")))</f>
        <v/>
      </c>
      <c r="Q443" s="24" t="str">
        <f aca="false">IF($F443="","N",IFERROR(IF(INDEX(Counterparties!$E:$E,MATCH($F443&amp;"",Counterparties!$A:$A,0))="Y","Y","N"),"N"))</f>
        <v>N</v>
      </c>
      <c r="R443" s="25" t="n">
        <f aca="false">IF(OR($H443="",$H443="EUR"),1,IFERROR(INDEX(FX_Rates!$D:$D,MATCH($H443,FX_Rates!$A:$A,0)),""))</f>
        <v>1</v>
      </c>
      <c r="S443" s="26" t="str">
        <f aca="false">IF(AND($I443="",$J443=""),"",IF($J443&lt;&gt;"",$J443,IF(OR($R443="",$R443=0),"",ROUND($I443/$R443,2))))</f>
        <v/>
      </c>
      <c r="T443" s="24" t="str">
        <f aca="false">IF($N443="","",IFERROR(INDEX(VAT_Codes!$C:$C,MATCH($N443,VAT_Codes!$A:$A,0)),"")&amp;"")</f>
        <v/>
      </c>
      <c r="U443" s="26" t="n">
        <f aca="false">IF(OR($S443="",$T443="",$T443="None"),0,IF($T443="Output",-$S443,$S443))</f>
        <v>0</v>
      </c>
      <c r="V443" s="27" t="n">
        <f aca="false">IF($N443="",0,IFERROR(INDEX(VAT_Codes!$D:$D,MATCH($N443,VAT_Codes!$A:$A,0)),0))</f>
        <v>0</v>
      </c>
      <c r="W443" s="26" t="n">
        <f aca="false">IF($U443=0,0,IF(IFERROR(INDEX(VAT_Codes!$F:$F,MATCH($N443,VAT_Codes!$A:$A,0)),"N")="Y",$U443,IF($L443&lt;&gt;"",ROUND(ABS($L443)/IF(OR($R443="",$R443=0),1,$R443),2)*SIGN($U443),ROUND($U443*$V443,2))))</f>
        <v>0</v>
      </c>
      <c r="X443" s="24" t="str">
        <f aca="false">IF($N443="","",IFERROR(INDEX(VAT_Codes!$H:$H,MATCH($N443,VAT_Codes!$A:$A,0)),"")&amp;"")</f>
        <v/>
      </c>
      <c r="Y443" s="24" t="str">
        <f aca="false">IF($A443="","",(YEAR($A443)-YEAR(Settings!$C$8))*12+MONTH($A443)-MONTH(Settings!$C$8)+1)</f>
        <v/>
      </c>
      <c r="Z443" s="24" t="str">
        <f aca="false">IF(AND($C443="",$I443="",$J443=""),"",IF($N443="","NO VAT CODE",IF($T443="","UNKNOWN VAT CODE",IF($S443="","MISSING FX RATE",IF(OR($A443&lt;Settings!$C$8,$A443&gt;Settings!$C$9),"OUTSIDE PERIOD",IF(AND(IFERROR(INDEX(VAT_Codes!$E:$E,MATCH($N443,VAT_Codes!$A:$A,0)),"ANY")&lt;&gt;"ANY",$P443=""),"MISSING COUNTERPARTY COUNTRY",IF(AND(IFERROR(INDEX(VAT_Codes!$E:$E,MATCH($N443,VAT_Codes!$A:$A,0)),"ANY")&lt;&gt;"ANY",$P443&lt;&gt;IFERROR(INDEX(VAT_Codes!$E:$E,MATCH($N443,VAT_Codes!$A:$A,0)),"ANY")),"REGION MISMATCH","OK")))))))</f>
        <v/>
      </c>
    </row>
    <row r="444" customFormat="false" ht="15" hidden="false" customHeight="false" outlineLevel="0" collapsed="false">
      <c r="M444" s="24" t="str">
        <f aca="false">IF($C444="","",IFERROR(INDEX(Account_Mapping!$C:$C,MATCH($C444&amp;"",Account_Mapping!$A:$A,0))&amp;"",""))</f>
        <v/>
      </c>
      <c r="N444" s="24" t="str">
        <f aca="false">IF($K444&lt;&gt;"",$K444,$M444)</f>
        <v/>
      </c>
      <c r="O444" s="24" t="str">
        <f aca="false">IF($F444="","",IFERROR(INDEX(Counterparties!$C:$C,MATCH($F444&amp;"",Counterparties!$A:$A,0))&amp;"",""))</f>
        <v/>
      </c>
      <c r="P444" s="24" t="str">
        <f aca="false">IF($O444="","",IF($O444="CY","CY",IF(ISNUMBER(MATCH($O444,Lists!$A:$A,0)),"EU","3RD")))</f>
        <v/>
      </c>
      <c r="Q444" s="24" t="str">
        <f aca="false">IF($F444="","N",IFERROR(IF(INDEX(Counterparties!$E:$E,MATCH($F444&amp;"",Counterparties!$A:$A,0))="Y","Y","N"),"N"))</f>
        <v>N</v>
      </c>
      <c r="R444" s="25" t="n">
        <f aca="false">IF(OR($H444="",$H444="EUR"),1,IFERROR(INDEX(FX_Rates!$D:$D,MATCH($H444,FX_Rates!$A:$A,0)),""))</f>
        <v>1</v>
      </c>
      <c r="S444" s="26" t="str">
        <f aca="false">IF(AND($I444="",$J444=""),"",IF($J444&lt;&gt;"",$J444,IF(OR($R444="",$R444=0),"",ROUND($I444/$R444,2))))</f>
        <v/>
      </c>
      <c r="T444" s="24" t="str">
        <f aca="false">IF($N444="","",IFERROR(INDEX(VAT_Codes!$C:$C,MATCH($N444,VAT_Codes!$A:$A,0)),"")&amp;"")</f>
        <v/>
      </c>
      <c r="U444" s="26" t="n">
        <f aca="false">IF(OR($S444="",$T444="",$T444="None"),0,IF($T444="Output",-$S444,$S444))</f>
        <v>0</v>
      </c>
      <c r="V444" s="27" t="n">
        <f aca="false">IF($N444="",0,IFERROR(INDEX(VAT_Codes!$D:$D,MATCH($N444,VAT_Codes!$A:$A,0)),0))</f>
        <v>0</v>
      </c>
      <c r="W444" s="26" t="n">
        <f aca="false">IF($U444=0,0,IF(IFERROR(INDEX(VAT_Codes!$F:$F,MATCH($N444,VAT_Codes!$A:$A,0)),"N")="Y",$U444,IF($L444&lt;&gt;"",ROUND(ABS($L444)/IF(OR($R444="",$R444=0),1,$R444),2)*SIGN($U444),ROUND($U444*$V444,2))))</f>
        <v>0</v>
      </c>
      <c r="X444" s="24" t="str">
        <f aca="false">IF($N444="","",IFERROR(INDEX(VAT_Codes!$H:$H,MATCH($N444,VAT_Codes!$A:$A,0)),"")&amp;"")</f>
        <v/>
      </c>
      <c r="Y444" s="24" t="str">
        <f aca="false">IF($A444="","",(YEAR($A444)-YEAR(Settings!$C$8))*12+MONTH($A444)-MONTH(Settings!$C$8)+1)</f>
        <v/>
      </c>
      <c r="Z444" s="24" t="str">
        <f aca="false">IF(AND($C444="",$I444="",$J444=""),"",IF($N444="","NO VAT CODE",IF($T444="","UNKNOWN VAT CODE",IF($S444="","MISSING FX RATE",IF(OR($A444&lt;Settings!$C$8,$A444&gt;Settings!$C$9),"OUTSIDE PERIOD",IF(AND(IFERROR(INDEX(VAT_Codes!$E:$E,MATCH($N444,VAT_Codes!$A:$A,0)),"ANY")&lt;&gt;"ANY",$P444=""),"MISSING COUNTERPARTY COUNTRY",IF(AND(IFERROR(INDEX(VAT_Codes!$E:$E,MATCH($N444,VAT_Codes!$A:$A,0)),"ANY")&lt;&gt;"ANY",$P444&lt;&gt;IFERROR(INDEX(VAT_Codes!$E:$E,MATCH($N444,VAT_Codes!$A:$A,0)),"ANY")),"REGION MISMATCH","OK")))))))</f>
        <v/>
      </c>
    </row>
    <row r="445" customFormat="false" ht="15" hidden="false" customHeight="false" outlineLevel="0" collapsed="false">
      <c r="M445" s="24" t="str">
        <f aca="false">IF($C445="","",IFERROR(INDEX(Account_Mapping!$C:$C,MATCH($C445&amp;"",Account_Mapping!$A:$A,0))&amp;"",""))</f>
        <v/>
      </c>
      <c r="N445" s="24" t="str">
        <f aca="false">IF($K445&lt;&gt;"",$K445,$M445)</f>
        <v/>
      </c>
      <c r="O445" s="24" t="str">
        <f aca="false">IF($F445="","",IFERROR(INDEX(Counterparties!$C:$C,MATCH($F445&amp;"",Counterparties!$A:$A,0))&amp;"",""))</f>
        <v/>
      </c>
      <c r="P445" s="24" t="str">
        <f aca="false">IF($O445="","",IF($O445="CY","CY",IF(ISNUMBER(MATCH($O445,Lists!$A:$A,0)),"EU","3RD")))</f>
        <v/>
      </c>
      <c r="Q445" s="24" t="str">
        <f aca="false">IF($F445="","N",IFERROR(IF(INDEX(Counterparties!$E:$E,MATCH($F445&amp;"",Counterparties!$A:$A,0))="Y","Y","N"),"N"))</f>
        <v>N</v>
      </c>
      <c r="R445" s="25" t="n">
        <f aca="false">IF(OR($H445="",$H445="EUR"),1,IFERROR(INDEX(FX_Rates!$D:$D,MATCH($H445,FX_Rates!$A:$A,0)),""))</f>
        <v>1</v>
      </c>
      <c r="S445" s="26" t="str">
        <f aca="false">IF(AND($I445="",$J445=""),"",IF($J445&lt;&gt;"",$J445,IF(OR($R445="",$R445=0),"",ROUND($I445/$R445,2))))</f>
        <v/>
      </c>
      <c r="T445" s="24" t="str">
        <f aca="false">IF($N445="","",IFERROR(INDEX(VAT_Codes!$C:$C,MATCH($N445,VAT_Codes!$A:$A,0)),"")&amp;"")</f>
        <v/>
      </c>
      <c r="U445" s="26" t="n">
        <f aca="false">IF(OR($S445="",$T445="",$T445="None"),0,IF($T445="Output",-$S445,$S445))</f>
        <v>0</v>
      </c>
      <c r="V445" s="27" t="n">
        <f aca="false">IF($N445="",0,IFERROR(INDEX(VAT_Codes!$D:$D,MATCH($N445,VAT_Codes!$A:$A,0)),0))</f>
        <v>0</v>
      </c>
      <c r="W445" s="26" t="n">
        <f aca="false">IF($U445=0,0,IF(IFERROR(INDEX(VAT_Codes!$F:$F,MATCH($N445,VAT_Codes!$A:$A,0)),"N")="Y",$U445,IF($L445&lt;&gt;"",ROUND(ABS($L445)/IF(OR($R445="",$R445=0),1,$R445),2)*SIGN($U445),ROUND($U445*$V445,2))))</f>
        <v>0</v>
      </c>
      <c r="X445" s="24" t="str">
        <f aca="false">IF($N445="","",IFERROR(INDEX(VAT_Codes!$H:$H,MATCH($N445,VAT_Codes!$A:$A,0)),"")&amp;"")</f>
        <v/>
      </c>
      <c r="Y445" s="24" t="str">
        <f aca="false">IF($A445="","",(YEAR($A445)-YEAR(Settings!$C$8))*12+MONTH($A445)-MONTH(Settings!$C$8)+1)</f>
        <v/>
      </c>
      <c r="Z445" s="24" t="str">
        <f aca="false">IF(AND($C445="",$I445="",$J445=""),"",IF($N445="","NO VAT CODE",IF($T445="","UNKNOWN VAT CODE",IF($S445="","MISSING FX RATE",IF(OR($A445&lt;Settings!$C$8,$A445&gt;Settings!$C$9),"OUTSIDE PERIOD",IF(AND(IFERROR(INDEX(VAT_Codes!$E:$E,MATCH($N445,VAT_Codes!$A:$A,0)),"ANY")&lt;&gt;"ANY",$P445=""),"MISSING COUNTERPARTY COUNTRY",IF(AND(IFERROR(INDEX(VAT_Codes!$E:$E,MATCH($N445,VAT_Codes!$A:$A,0)),"ANY")&lt;&gt;"ANY",$P445&lt;&gt;IFERROR(INDEX(VAT_Codes!$E:$E,MATCH($N445,VAT_Codes!$A:$A,0)),"ANY")),"REGION MISMATCH","OK")))))))</f>
        <v/>
      </c>
    </row>
    <row r="446" customFormat="false" ht="15" hidden="false" customHeight="false" outlineLevel="0" collapsed="false">
      <c r="M446" s="24" t="str">
        <f aca="false">IF($C446="","",IFERROR(INDEX(Account_Mapping!$C:$C,MATCH($C446&amp;"",Account_Mapping!$A:$A,0))&amp;"",""))</f>
        <v/>
      </c>
      <c r="N446" s="24" t="str">
        <f aca="false">IF($K446&lt;&gt;"",$K446,$M446)</f>
        <v/>
      </c>
      <c r="O446" s="24" t="str">
        <f aca="false">IF($F446="","",IFERROR(INDEX(Counterparties!$C:$C,MATCH($F446&amp;"",Counterparties!$A:$A,0))&amp;"",""))</f>
        <v/>
      </c>
      <c r="P446" s="24" t="str">
        <f aca="false">IF($O446="","",IF($O446="CY","CY",IF(ISNUMBER(MATCH($O446,Lists!$A:$A,0)),"EU","3RD")))</f>
        <v/>
      </c>
      <c r="Q446" s="24" t="str">
        <f aca="false">IF($F446="","N",IFERROR(IF(INDEX(Counterparties!$E:$E,MATCH($F446&amp;"",Counterparties!$A:$A,0))="Y","Y","N"),"N"))</f>
        <v>N</v>
      </c>
      <c r="R446" s="25" t="n">
        <f aca="false">IF(OR($H446="",$H446="EUR"),1,IFERROR(INDEX(FX_Rates!$D:$D,MATCH($H446,FX_Rates!$A:$A,0)),""))</f>
        <v>1</v>
      </c>
      <c r="S446" s="26" t="str">
        <f aca="false">IF(AND($I446="",$J446=""),"",IF($J446&lt;&gt;"",$J446,IF(OR($R446="",$R446=0),"",ROUND($I446/$R446,2))))</f>
        <v/>
      </c>
      <c r="T446" s="24" t="str">
        <f aca="false">IF($N446="","",IFERROR(INDEX(VAT_Codes!$C:$C,MATCH($N446,VAT_Codes!$A:$A,0)),"")&amp;"")</f>
        <v/>
      </c>
      <c r="U446" s="26" t="n">
        <f aca="false">IF(OR($S446="",$T446="",$T446="None"),0,IF($T446="Output",-$S446,$S446))</f>
        <v>0</v>
      </c>
      <c r="V446" s="27" t="n">
        <f aca="false">IF($N446="",0,IFERROR(INDEX(VAT_Codes!$D:$D,MATCH($N446,VAT_Codes!$A:$A,0)),0))</f>
        <v>0</v>
      </c>
      <c r="W446" s="26" t="n">
        <f aca="false">IF($U446=0,0,IF(IFERROR(INDEX(VAT_Codes!$F:$F,MATCH($N446,VAT_Codes!$A:$A,0)),"N")="Y",$U446,IF($L446&lt;&gt;"",ROUND(ABS($L446)/IF(OR($R446="",$R446=0),1,$R446),2)*SIGN($U446),ROUND($U446*$V446,2))))</f>
        <v>0</v>
      </c>
      <c r="X446" s="24" t="str">
        <f aca="false">IF($N446="","",IFERROR(INDEX(VAT_Codes!$H:$H,MATCH($N446,VAT_Codes!$A:$A,0)),"")&amp;"")</f>
        <v/>
      </c>
      <c r="Y446" s="24" t="str">
        <f aca="false">IF($A446="","",(YEAR($A446)-YEAR(Settings!$C$8))*12+MONTH($A446)-MONTH(Settings!$C$8)+1)</f>
        <v/>
      </c>
      <c r="Z446" s="24" t="str">
        <f aca="false">IF(AND($C446="",$I446="",$J446=""),"",IF($N446="","NO VAT CODE",IF($T446="","UNKNOWN VAT CODE",IF($S446="","MISSING FX RATE",IF(OR($A446&lt;Settings!$C$8,$A446&gt;Settings!$C$9),"OUTSIDE PERIOD",IF(AND(IFERROR(INDEX(VAT_Codes!$E:$E,MATCH($N446,VAT_Codes!$A:$A,0)),"ANY")&lt;&gt;"ANY",$P446=""),"MISSING COUNTERPARTY COUNTRY",IF(AND(IFERROR(INDEX(VAT_Codes!$E:$E,MATCH($N446,VAT_Codes!$A:$A,0)),"ANY")&lt;&gt;"ANY",$P446&lt;&gt;IFERROR(INDEX(VAT_Codes!$E:$E,MATCH($N446,VAT_Codes!$A:$A,0)),"ANY")),"REGION MISMATCH","OK")))))))</f>
        <v/>
      </c>
    </row>
    <row r="447" customFormat="false" ht="15" hidden="false" customHeight="false" outlineLevel="0" collapsed="false">
      <c r="M447" s="24" t="str">
        <f aca="false">IF($C447="","",IFERROR(INDEX(Account_Mapping!$C:$C,MATCH($C447&amp;"",Account_Mapping!$A:$A,0))&amp;"",""))</f>
        <v/>
      </c>
      <c r="N447" s="24" t="str">
        <f aca="false">IF($K447&lt;&gt;"",$K447,$M447)</f>
        <v/>
      </c>
      <c r="O447" s="24" t="str">
        <f aca="false">IF($F447="","",IFERROR(INDEX(Counterparties!$C:$C,MATCH($F447&amp;"",Counterparties!$A:$A,0))&amp;"",""))</f>
        <v/>
      </c>
      <c r="P447" s="24" t="str">
        <f aca="false">IF($O447="","",IF($O447="CY","CY",IF(ISNUMBER(MATCH($O447,Lists!$A:$A,0)),"EU","3RD")))</f>
        <v/>
      </c>
      <c r="Q447" s="24" t="str">
        <f aca="false">IF($F447="","N",IFERROR(IF(INDEX(Counterparties!$E:$E,MATCH($F447&amp;"",Counterparties!$A:$A,0))="Y","Y","N"),"N"))</f>
        <v>N</v>
      </c>
      <c r="R447" s="25" t="n">
        <f aca="false">IF(OR($H447="",$H447="EUR"),1,IFERROR(INDEX(FX_Rates!$D:$D,MATCH($H447,FX_Rates!$A:$A,0)),""))</f>
        <v>1</v>
      </c>
      <c r="S447" s="26" t="str">
        <f aca="false">IF(AND($I447="",$J447=""),"",IF($J447&lt;&gt;"",$J447,IF(OR($R447="",$R447=0),"",ROUND($I447/$R447,2))))</f>
        <v/>
      </c>
      <c r="T447" s="24" t="str">
        <f aca="false">IF($N447="","",IFERROR(INDEX(VAT_Codes!$C:$C,MATCH($N447,VAT_Codes!$A:$A,0)),"")&amp;"")</f>
        <v/>
      </c>
      <c r="U447" s="26" t="n">
        <f aca="false">IF(OR($S447="",$T447="",$T447="None"),0,IF($T447="Output",-$S447,$S447))</f>
        <v>0</v>
      </c>
      <c r="V447" s="27" t="n">
        <f aca="false">IF($N447="",0,IFERROR(INDEX(VAT_Codes!$D:$D,MATCH($N447,VAT_Codes!$A:$A,0)),0))</f>
        <v>0</v>
      </c>
      <c r="W447" s="26" t="n">
        <f aca="false">IF($U447=0,0,IF(IFERROR(INDEX(VAT_Codes!$F:$F,MATCH($N447,VAT_Codes!$A:$A,0)),"N")="Y",$U447,IF($L447&lt;&gt;"",ROUND(ABS($L447)/IF(OR($R447="",$R447=0),1,$R447),2)*SIGN($U447),ROUND($U447*$V447,2))))</f>
        <v>0</v>
      </c>
      <c r="X447" s="24" t="str">
        <f aca="false">IF($N447="","",IFERROR(INDEX(VAT_Codes!$H:$H,MATCH($N447,VAT_Codes!$A:$A,0)),"")&amp;"")</f>
        <v/>
      </c>
      <c r="Y447" s="24" t="str">
        <f aca="false">IF($A447="","",(YEAR($A447)-YEAR(Settings!$C$8))*12+MONTH($A447)-MONTH(Settings!$C$8)+1)</f>
        <v/>
      </c>
      <c r="Z447" s="24" t="str">
        <f aca="false">IF(AND($C447="",$I447="",$J447=""),"",IF($N447="","NO VAT CODE",IF($T447="","UNKNOWN VAT CODE",IF($S447="","MISSING FX RATE",IF(OR($A447&lt;Settings!$C$8,$A447&gt;Settings!$C$9),"OUTSIDE PERIOD",IF(AND(IFERROR(INDEX(VAT_Codes!$E:$E,MATCH($N447,VAT_Codes!$A:$A,0)),"ANY")&lt;&gt;"ANY",$P447=""),"MISSING COUNTERPARTY COUNTRY",IF(AND(IFERROR(INDEX(VAT_Codes!$E:$E,MATCH($N447,VAT_Codes!$A:$A,0)),"ANY")&lt;&gt;"ANY",$P447&lt;&gt;IFERROR(INDEX(VAT_Codes!$E:$E,MATCH($N447,VAT_Codes!$A:$A,0)),"ANY")),"REGION MISMATCH","OK")))))))</f>
        <v/>
      </c>
    </row>
    <row r="448" customFormat="false" ht="15" hidden="false" customHeight="false" outlineLevel="0" collapsed="false">
      <c r="M448" s="24" t="str">
        <f aca="false">IF($C448="","",IFERROR(INDEX(Account_Mapping!$C:$C,MATCH($C448&amp;"",Account_Mapping!$A:$A,0))&amp;"",""))</f>
        <v/>
      </c>
      <c r="N448" s="24" t="str">
        <f aca="false">IF($K448&lt;&gt;"",$K448,$M448)</f>
        <v/>
      </c>
      <c r="O448" s="24" t="str">
        <f aca="false">IF($F448="","",IFERROR(INDEX(Counterparties!$C:$C,MATCH($F448&amp;"",Counterparties!$A:$A,0))&amp;"",""))</f>
        <v/>
      </c>
      <c r="P448" s="24" t="str">
        <f aca="false">IF($O448="","",IF($O448="CY","CY",IF(ISNUMBER(MATCH($O448,Lists!$A:$A,0)),"EU","3RD")))</f>
        <v/>
      </c>
      <c r="Q448" s="24" t="str">
        <f aca="false">IF($F448="","N",IFERROR(IF(INDEX(Counterparties!$E:$E,MATCH($F448&amp;"",Counterparties!$A:$A,0))="Y","Y","N"),"N"))</f>
        <v>N</v>
      </c>
      <c r="R448" s="25" t="n">
        <f aca="false">IF(OR($H448="",$H448="EUR"),1,IFERROR(INDEX(FX_Rates!$D:$D,MATCH($H448,FX_Rates!$A:$A,0)),""))</f>
        <v>1</v>
      </c>
      <c r="S448" s="26" t="str">
        <f aca="false">IF(AND($I448="",$J448=""),"",IF($J448&lt;&gt;"",$J448,IF(OR($R448="",$R448=0),"",ROUND($I448/$R448,2))))</f>
        <v/>
      </c>
      <c r="T448" s="24" t="str">
        <f aca="false">IF($N448="","",IFERROR(INDEX(VAT_Codes!$C:$C,MATCH($N448,VAT_Codes!$A:$A,0)),"")&amp;"")</f>
        <v/>
      </c>
      <c r="U448" s="26" t="n">
        <f aca="false">IF(OR($S448="",$T448="",$T448="None"),0,IF($T448="Output",-$S448,$S448))</f>
        <v>0</v>
      </c>
      <c r="V448" s="27" t="n">
        <f aca="false">IF($N448="",0,IFERROR(INDEX(VAT_Codes!$D:$D,MATCH($N448,VAT_Codes!$A:$A,0)),0))</f>
        <v>0</v>
      </c>
      <c r="W448" s="26" t="n">
        <f aca="false">IF($U448=0,0,IF(IFERROR(INDEX(VAT_Codes!$F:$F,MATCH($N448,VAT_Codes!$A:$A,0)),"N")="Y",$U448,IF($L448&lt;&gt;"",ROUND(ABS($L448)/IF(OR($R448="",$R448=0),1,$R448),2)*SIGN($U448),ROUND($U448*$V448,2))))</f>
        <v>0</v>
      </c>
      <c r="X448" s="24" t="str">
        <f aca="false">IF($N448="","",IFERROR(INDEX(VAT_Codes!$H:$H,MATCH($N448,VAT_Codes!$A:$A,0)),"")&amp;"")</f>
        <v/>
      </c>
      <c r="Y448" s="24" t="str">
        <f aca="false">IF($A448="","",(YEAR($A448)-YEAR(Settings!$C$8))*12+MONTH($A448)-MONTH(Settings!$C$8)+1)</f>
        <v/>
      </c>
      <c r="Z448" s="24" t="str">
        <f aca="false">IF(AND($C448="",$I448="",$J448=""),"",IF($N448="","NO VAT CODE",IF($T448="","UNKNOWN VAT CODE",IF($S448="","MISSING FX RATE",IF(OR($A448&lt;Settings!$C$8,$A448&gt;Settings!$C$9),"OUTSIDE PERIOD",IF(AND(IFERROR(INDEX(VAT_Codes!$E:$E,MATCH($N448,VAT_Codes!$A:$A,0)),"ANY")&lt;&gt;"ANY",$P448=""),"MISSING COUNTERPARTY COUNTRY",IF(AND(IFERROR(INDEX(VAT_Codes!$E:$E,MATCH($N448,VAT_Codes!$A:$A,0)),"ANY")&lt;&gt;"ANY",$P448&lt;&gt;IFERROR(INDEX(VAT_Codes!$E:$E,MATCH($N448,VAT_Codes!$A:$A,0)),"ANY")),"REGION MISMATCH","OK")))))))</f>
        <v/>
      </c>
    </row>
    <row r="449" customFormat="false" ht="15" hidden="false" customHeight="false" outlineLevel="0" collapsed="false">
      <c r="M449" s="24" t="str">
        <f aca="false">IF($C449="","",IFERROR(INDEX(Account_Mapping!$C:$C,MATCH($C449&amp;"",Account_Mapping!$A:$A,0))&amp;"",""))</f>
        <v/>
      </c>
      <c r="N449" s="24" t="str">
        <f aca="false">IF($K449&lt;&gt;"",$K449,$M449)</f>
        <v/>
      </c>
      <c r="O449" s="24" t="str">
        <f aca="false">IF($F449="","",IFERROR(INDEX(Counterparties!$C:$C,MATCH($F449&amp;"",Counterparties!$A:$A,0))&amp;"",""))</f>
        <v/>
      </c>
      <c r="P449" s="24" t="str">
        <f aca="false">IF($O449="","",IF($O449="CY","CY",IF(ISNUMBER(MATCH($O449,Lists!$A:$A,0)),"EU","3RD")))</f>
        <v/>
      </c>
      <c r="Q449" s="24" t="str">
        <f aca="false">IF($F449="","N",IFERROR(IF(INDEX(Counterparties!$E:$E,MATCH($F449&amp;"",Counterparties!$A:$A,0))="Y","Y","N"),"N"))</f>
        <v>N</v>
      </c>
      <c r="R449" s="25" t="n">
        <f aca="false">IF(OR($H449="",$H449="EUR"),1,IFERROR(INDEX(FX_Rates!$D:$D,MATCH($H449,FX_Rates!$A:$A,0)),""))</f>
        <v>1</v>
      </c>
      <c r="S449" s="26" t="str">
        <f aca="false">IF(AND($I449="",$J449=""),"",IF($J449&lt;&gt;"",$J449,IF(OR($R449="",$R449=0),"",ROUND($I449/$R449,2))))</f>
        <v/>
      </c>
      <c r="T449" s="24" t="str">
        <f aca="false">IF($N449="","",IFERROR(INDEX(VAT_Codes!$C:$C,MATCH($N449,VAT_Codes!$A:$A,0)),"")&amp;"")</f>
        <v/>
      </c>
      <c r="U449" s="26" t="n">
        <f aca="false">IF(OR($S449="",$T449="",$T449="None"),0,IF($T449="Output",-$S449,$S449))</f>
        <v>0</v>
      </c>
      <c r="V449" s="27" t="n">
        <f aca="false">IF($N449="",0,IFERROR(INDEX(VAT_Codes!$D:$D,MATCH($N449,VAT_Codes!$A:$A,0)),0))</f>
        <v>0</v>
      </c>
      <c r="W449" s="26" t="n">
        <f aca="false">IF($U449=0,0,IF(IFERROR(INDEX(VAT_Codes!$F:$F,MATCH($N449,VAT_Codes!$A:$A,0)),"N")="Y",$U449,IF($L449&lt;&gt;"",ROUND(ABS($L449)/IF(OR($R449="",$R449=0),1,$R449),2)*SIGN($U449),ROUND($U449*$V449,2))))</f>
        <v>0</v>
      </c>
      <c r="X449" s="24" t="str">
        <f aca="false">IF($N449="","",IFERROR(INDEX(VAT_Codes!$H:$H,MATCH($N449,VAT_Codes!$A:$A,0)),"")&amp;"")</f>
        <v/>
      </c>
      <c r="Y449" s="24" t="str">
        <f aca="false">IF($A449="","",(YEAR($A449)-YEAR(Settings!$C$8))*12+MONTH($A449)-MONTH(Settings!$C$8)+1)</f>
        <v/>
      </c>
      <c r="Z449" s="24" t="str">
        <f aca="false">IF(AND($C449="",$I449="",$J449=""),"",IF($N449="","NO VAT CODE",IF($T449="","UNKNOWN VAT CODE",IF($S449="","MISSING FX RATE",IF(OR($A449&lt;Settings!$C$8,$A449&gt;Settings!$C$9),"OUTSIDE PERIOD",IF(AND(IFERROR(INDEX(VAT_Codes!$E:$E,MATCH($N449,VAT_Codes!$A:$A,0)),"ANY")&lt;&gt;"ANY",$P449=""),"MISSING COUNTERPARTY COUNTRY",IF(AND(IFERROR(INDEX(VAT_Codes!$E:$E,MATCH($N449,VAT_Codes!$A:$A,0)),"ANY")&lt;&gt;"ANY",$P449&lt;&gt;IFERROR(INDEX(VAT_Codes!$E:$E,MATCH($N449,VAT_Codes!$A:$A,0)),"ANY")),"REGION MISMATCH","OK")))))))</f>
        <v/>
      </c>
    </row>
    <row r="450" customFormat="false" ht="15" hidden="false" customHeight="false" outlineLevel="0" collapsed="false">
      <c r="M450" s="24" t="str">
        <f aca="false">IF($C450="","",IFERROR(INDEX(Account_Mapping!$C:$C,MATCH($C450&amp;"",Account_Mapping!$A:$A,0))&amp;"",""))</f>
        <v/>
      </c>
      <c r="N450" s="24" t="str">
        <f aca="false">IF($K450&lt;&gt;"",$K450,$M450)</f>
        <v/>
      </c>
      <c r="O450" s="24" t="str">
        <f aca="false">IF($F450="","",IFERROR(INDEX(Counterparties!$C:$C,MATCH($F450&amp;"",Counterparties!$A:$A,0))&amp;"",""))</f>
        <v/>
      </c>
      <c r="P450" s="24" t="str">
        <f aca="false">IF($O450="","",IF($O450="CY","CY",IF(ISNUMBER(MATCH($O450,Lists!$A:$A,0)),"EU","3RD")))</f>
        <v/>
      </c>
      <c r="Q450" s="24" t="str">
        <f aca="false">IF($F450="","N",IFERROR(IF(INDEX(Counterparties!$E:$E,MATCH($F450&amp;"",Counterparties!$A:$A,0))="Y","Y","N"),"N"))</f>
        <v>N</v>
      </c>
      <c r="R450" s="25" t="n">
        <f aca="false">IF(OR($H450="",$H450="EUR"),1,IFERROR(INDEX(FX_Rates!$D:$D,MATCH($H450,FX_Rates!$A:$A,0)),""))</f>
        <v>1</v>
      </c>
      <c r="S450" s="26" t="str">
        <f aca="false">IF(AND($I450="",$J450=""),"",IF($J450&lt;&gt;"",$J450,IF(OR($R450="",$R450=0),"",ROUND($I450/$R450,2))))</f>
        <v/>
      </c>
      <c r="T450" s="24" t="str">
        <f aca="false">IF($N450="","",IFERROR(INDEX(VAT_Codes!$C:$C,MATCH($N450,VAT_Codes!$A:$A,0)),"")&amp;"")</f>
        <v/>
      </c>
      <c r="U450" s="26" t="n">
        <f aca="false">IF(OR($S450="",$T450="",$T450="None"),0,IF($T450="Output",-$S450,$S450))</f>
        <v>0</v>
      </c>
      <c r="V450" s="27" t="n">
        <f aca="false">IF($N450="",0,IFERROR(INDEX(VAT_Codes!$D:$D,MATCH($N450,VAT_Codes!$A:$A,0)),0))</f>
        <v>0</v>
      </c>
      <c r="W450" s="26" t="n">
        <f aca="false">IF($U450=0,0,IF(IFERROR(INDEX(VAT_Codes!$F:$F,MATCH($N450,VAT_Codes!$A:$A,0)),"N")="Y",$U450,IF($L450&lt;&gt;"",ROUND(ABS($L450)/IF(OR($R450="",$R450=0),1,$R450),2)*SIGN($U450),ROUND($U450*$V450,2))))</f>
        <v>0</v>
      </c>
      <c r="X450" s="24" t="str">
        <f aca="false">IF($N450="","",IFERROR(INDEX(VAT_Codes!$H:$H,MATCH($N450,VAT_Codes!$A:$A,0)),"")&amp;"")</f>
        <v/>
      </c>
      <c r="Y450" s="24" t="str">
        <f aca="false">IF($A450="","",(YEAR($A450)-YEAR(Settings!$C$8))*12+MONTH($A450)-MONTH(Settings!$C$8)+1)</f>
        <v/>
      </c>
      <c r="Z450" s="24" t="str">
        <f aca="false">IF(AND($C450="",$I450="",$J450=""),"",IF($N450="","NO VAT CODE",IF($T450="","UNKNOWN VAT CODE",IF($S450="","MISSING FX RATE",IF(OR($A450&lt;Settings!$C$8,$A450&gt;Settings!$C$9),"OUTSIDE PERIOD",IF(AND(IFERROR(INDEX(VAT_Codes!$E:$E,MATCH($N450,VAT_Codes!$A:$A,0)),"ANY")&lt;&gt;"ANY",$P450=""),"MISSING COUNTERPARTY COUNTRY",IF(AND(IFERROR(INDEX(VAT_Codes!$E:$E,MATCH($N450,VAT_Codes!$A:$A,0)),"ANY")&lt;&gt;"ANY",$P450&lt;&gt;IFERROR(INDEX(VAT_Codes!$E:$E,MATCH($N450,VAT_Codes!$A:$A,0)),"ANY")),"REGION MISMATCH","OK")))))))</f>
        <v/>
      </c>
    </row>
    <row r="451" customFormat="false" ht="15" hidden="false" customHeight="false" outlineLevel="0" collapsed="false">
      <c r="M451" s="24" t="str">
        <f aca="false">IF($C451="","",IFERROR(INDEX(Account_Mapping!$C:$C,MATCH($C451&amp;"",Account_Mapping!$A:$A,0))&amp;"",""))</f>
        <v/>
      </c>
      <c r="N451" s="24" t="str">
        <f aca="false">IF($K451&lt;&gt;"",$K451,$M451)</f>
        <v/>
      </c>
      <c r="O451" s="24" t="str">
        <f aca="false">IF($F451="","",IFERROR(INDEX(Counterparties!$C:$C,MATCH($F451&amp;"",Counterparties!$A:$A,0))&amp;"",""))</f>
        <v/>
      </c>
      <c r="P451" s="24" t="str">
        <f aca="false">IF($O451="","",IF($O451="CY","CY",IF(ISNUMBER(MATCH($O451,Lists!$A:$A,0)),"EU","3RD")))</f>
        <v/>
      </c>
      <c r="Q451" s="24" t="str">
        <f aca="false">IF($F451="","N",IFERROR(IF(INDEX(Counterparties!$E:$E,MATCH($F451&amp;"",Counterparties!$A:$A,0))="Y","Y","N"),"N"))</f>
        <v>N</v>
      </c>
      <c r="R451" s="25" t="n">
        <f aca="false">IF(OR($H451="",$H451="EUR"),1,IFERROR(INDEX(FX_Rates!$D:$D,MATCH($H451,FX_Rates!$A:$A,0)),""))</f>
        <v>1</v>
      </c>
      <c r="S451" s="26" t="str">
        <f aca="false">IF(AND($I451="",$J451=""),"",IF($J451&lt;&gt;"",$J451,IF(OR($R451="",$R451=0),"",ROUND($I451/$R451,2))))</f>
        <v/>
      </c>
      <c r="T451" s="24" t="str">
        <f aca="false">IF($N451="","",IFERROR(INDEX(VAT_Codes!$C:$C,MATCH($N451,VAT_Codes!$A:$A,0)),"")&amp;"")</f>
        <v/>
      </c>
      <c r="U451" s="26" t="n">
        <f aca="false">IF(OR($S451="",$T451="",$T451="None"),0,IF($T451="Output",-$S451,$S451))</f>
        <v>0</v>
      </c>
      <c r="V451" s="27" t="n">
        <f aca="false">IF($N451="",0,IFERROR(INDEX(VAT_Codes!$D:$D,MATCH($N451,VAT_Codes!$A:$A,0)),0))</f>
        <v>0</v>
      </c>
      <c r="W451" s="26" t="n">
        <f aca="false">IF($U451=0,0,IF(IFERROR(INDEX(VAT_Codes!$F:$F,MATCH($N451,VAT_Codes!$A:$A,0)),"N")="Y",$U451,IF($L451&lt;&gt;"",ROUND(ABS($L451)/IF(OR($R451="",$R451=0),1,$R451),2)*SIGN($U451),ROUND($U451*$V451,2))))</f>
        <v>0</v>
      </c>
      <c r="X451" s="24" t="str">
        <f aca="false">IF($N451="","",IFERROR(INDEX(VAT_Codes!$H:$H,MATCH($N451,VAT_Codes!$A:$A,0)),"")&amp;"")</f>
        <v/>
      </c>
      <c r="Y451" s="24" t="str">
        <f aca="false">IF($A451="","",(YEAR($A451)-YEAR(Settings!$C$8))*12+MONTH($A451)-MONTH(Settings!$C$8)+1)</f>
        <v/>
      </c>
      <c r="Z451" s="24" t="str">
        <f aca="false">IF(AND($C451="",$I451="",$J451=""),"",IF($N451="","NO VAT CODE",IF($T451="","UNKNOWN VAT CODE",IF($S451="","MISSING FX RATE",IF(OR($A451&lt;Settings!$C$8,$A451&gt;Settings!$C$9),"OUTSIDE PERIOD",IF(AND(IFERROR(INDEX(VAT_Codes!$E:$E,MATCH($N451,VAT_Codes!$A:$A,0)),"ANY")&lt;&gt;"ANY",$P451=""),"MISSING COUNTERPARTY COUNTRY",IF(AND(IFERROR(INDEX(VAT_Codes!$E:$E,MATCH($N451,VAT_Codes!$A:$A,0)),"ANY")&lt;&gt;"ANY",$P451&lt;&gt;IFERROR(INDEX(VAT_Codes!$E:$E,MATCH($N451,VAT_Codes!$A:$A,0)),"ANY")),"REGION MISMATCH","OK")))))))</f>
        <v/>
      </c>
    </row>
    <row r="452" customFormat="false" ht="15" hidden="false" customHeight="false" outlineLevel="0" collapsed="false">
      <c r="M452" s="24" t="str">
        <f aca="false">IF($C452="","",IFERROR(INDEX(Account_Mapping!$C:$C,MATCH($C452&amp;"",Account_Mapping!$A:$A,0))&amp;"",""))</f>
        <v/>
      </c>
      <c r="N452" s="24" t="str">
        <f aca="false">IF($K452&lt;&gt;"",$K452,$M452)</f>
        <v/>
      </c>
      <c r="O452" s="24" t="str">
        <f aca="false">IF($F452="","",IFERROR(INDEX(Counterparties!$C:$C,MATCH($F452&amp;"",Counterparties!$A:$A,0))&amp;"",""))</f>
        <v/>
      </c>
      <c r="P452" s="24" t="str">
        <f aca="false">IF($O452="","",IF($O452="CY","CY",IF(ISNUMBER(MATCH($O452,Lists!$A:$A,0)),"EU","3RD")))</f>
        <v/>
      </c>
      <c r="Q452" s="24" t="str">
        <f aca="false">IF($F452="","N",IFERROR(IF(INDEX(Counterparties!$E:$E,MATCH($F452&amp;"",Counterparties!$A:$A,0))="Y","Y","N"),"N"))</f>
        <v>N</v>
      </c>
      <c r="R452" s="25" t="n">
        <f aca="false">IF(OR($H452="",$H452="EUR"),1,IFERROR(INDEX(FX_Rates!$D:$D,MATCH($H452,FX_Rates!$A:$A,0)),""))</f>
        <v>1</v>
      </c>
      <c r="S452" s="26" t="str">
        <f aca="false">IF(AND($I452="",$J452=""),"",IF($J452&lt;&gt;"",$J452,IF(OR($R452="",$R452=0),"",ROUND($I452/$R452,2))))</f>
        <v/>
      </c>
      <c r="T452" s="24" t="str">
        <f aca="false">IF($N452="","",IFERROR(INDEX(VAT_Codes!$C:$C,MATCH($N452,VAT_Codes!$A:$A,0)),"")&amp;"")</f>
        <v/>
      </c>
      <c r="U452" s="26" t="n">
        <f aca="false">IF(OR($S452="",$T452="",$T452="None"),0,IF($T452="Output",-$S452,$S452))</f>
        <v>0</v>
      </c>
      <c r="V452" s="27" t="n">
        <f aca="false">IF($N452="",0,IFERROR(INDEX(VAT_Codes!$D:$D,MATCH($N452,VAT_Codes!$A:$A,0)),0))</f>
        <v>0</v>
      </c>
      <c r="W452" s="26" t="n">
        <f aca="false">IF($U452=0,0,IF(IFERROR(INDEX(VAT_Codes!$F:$F,MATCH($N452,VAT_Codes!$A:$A,0)),"N")="Y",$U452,IF($L452&lt;&gt;"",ROUND(ABS($L452)/IF(OR($R452="",$R452=0),1,$R452),2)*SIGN($U452),ROUND($U452*$V452,2))))</f>
        <v>0</v>
      </c>
      <c r="X452" s="24" t="str">
        <f aca="false">IF($N452="","",IFERROR(INDEX(VAT_Codes!$H:$H,MATCH($N452,VAT_Codes!$A:$A,0)),"")&amp;"")</f>
        <v/>
      </c>
      <c r="Y452" s="24" t="str">
        <f aca="false">IF($A452="","",(YEAR($A452)-YEAR(Settings!$C$8))*12+MONTH($A452)-MONTH(Settings!$C$8)+1)</f>
        <v/>
      </c>
      <c r="Z452" s="24" t="str">
        <f aca="false">IF(AND($C452="",$I452="",$J452=""),"",IF($N452="","NO VAT CODE",IF($T452="","UNKNOWN VAT CODE",IF($S452="","MISSING FX RATE",IF(OR($A452&lt;Settings!$C$8,$A452&gt;Settings!$C$9),"OUTSIDE PERIOD",IF(AND(IFERROR(INDEX(VAT_Codes!$E:$E,MATCH($N452,VAT_Codes!$A:$A,0)),"ANY")&lt;&gt;"ANY",$P452=""),"MISSING COUNTERPARTY COUNTRY",IF(AND(IFERROR(INDEX(VAT_Codes!$E:$E,MATCH($N452,VAT_Codes!$A:$A,0)),"ANY")&lt;&gt;"ANY",$P452&lt;&gt;IFERROR(INDEX(VAT_Codes!$E:$E,MATCH($N452,VAT_Codes!$A:$A,0)),"ANY")),"REGION MISMATCH","OK")))))))</f>
        <v/>
      </c>
    </row>
    <row r="453" customFormat="false" ht="15" hidden="false" customHeight="false" outlineLevel="0" collapsed="false">
      <c r="M453" s="24" t="str">
        <f aca="false">IF($C453="","",IFERROR(INDEX(Account_Mapping!$C:$C,MATCH($C453&amp;"",Account_Mapping!$A:$A,0))&amp;"",""))</f>
        <v/>
      </c>
      <c r="N453" s="24" t="str">
        <f aca="false">IF($K453&lt;&gt;"",$K453,$M453)</f>
        <v/>
      </c>
      <c r="O453" s="24" t="str">
        <f aca="false">IF($F453="","",IFERROR(INDEX(Counterparties!$C:$C,MATCH($F453&amp;"",Counterparties!$A:$A,0))&amp;"",""))</f>
        <v/>
      </c>
      <c r="P453" s="24" t="str">
        <f aca="false">IF($O453="","",IF($O453="CY","CY",IF(ISNUMBER(MATCH($O453,Lists!$A:$A,0)),"EU","3RD")))</f>
        <v/>
      </c>
      <c r="Q453" s="24" t="str">
        <f aca="false">IF($F453="","N",IFERROR(IF(INDEX(Counterparties!$E:$E,MATCH($F453&amp;"",Counterparties!$A:$A,0))="Y","Y","N"),"N"))</f>
        <v>N</v>
      </c>
      <c r="R453" s="25" t="n">
        <f aca="false">IF(OR($H453="",$H453="EUR"),1,IFERROR(INDEX(FX_Rates!$D:$D,MATCH($H453,FX_Rates!$A:$A,0)),""))</f>
        <v>1</v>
      </c>
      <c r="S453" s="26" t="str">
        <f aca="false">IF(AND($I453="",$J453=""),"",IF($J453&lt;&gt;"",$J453,IF(OR($R453="",$R453=0),"",ROUND($I453/$R453,2))))</f>
        <v/>
      </c>
      <c r="T453" s="24" t="str">
        <f aca="false">IF($N453="","",IFERROR(INDEX(VAT_Codes!$C:$C,MATCH($N453,VAT_Codes!$A:$A,0)),"")&amp;"")</f>
        <v/>
      </c>
      <c r="U453" s="26" t="n">
        <f aca="false">IF(OR($S453="",$T453="",$T453="None"),0,IF($T453="Output",-$S453,$S453))</f>
        <v>0</v>
      </c>
      <c r="V453" s="27" t="n">
        <f aca="false">IF($N453="",0,IFERROR(INDEX(VAT_Codes!$D:$D,MATCH($N453,VAT_Codes!$A:$A,0)),0))</f>
        <v>0</v>
      </c>
      <c r="W453" s="26" t="n">
        <f aca="false">IF($U453=0,0,IF(IFERROR(INDEX(VAT_Codes!$F:$F,MATCH($N453,VAT_Codes!$A:$A,0)),"N")="Y",$U453,IF($L453&lt;&gt;"",ROUND(ABS($L453)/IF(OR($R453="",$R453=0),1,$R453),2)*SIGN($U453),ROUND($U453*$V453,2))))</f>
        <v>0</v>
      </c>
      <c r="X453" s="24" t="str">
        <f aca="false">IF($N453="","",IFERROR(INDEX(VAT_Codes!$H:$H,MATCH($N453,VAT_Codes!$A:$A,0)),"")&amp;"")</f>
        <v/>
      </c>
      <c r="Y453" s="24" t="str">
        <f aca="false">IF($A453="","",(YEAR($A453)-YEAR(Settings!$C$8))*12+MONTH($A453)-MONTH(Settings!$C$8)+1)</f>
        <v/>
      </c>
      <c r="Z453" s="24" t="str">
        <f aca="false">IF(AND($C453="",$I453="",$J453=""),"",IF($N453="","NO VAT CODE",IF($T453="","UNKNOWN VAT CODE",IF($S453="","MISSING FX RATE",IF(OR($A453&lt;Settings!$C$8,$A453&gt;Settings!$C$9),"OUTSIDE PERIOD",IF(AND(IFERROR(INDEX(VAT_Codes!$E:$E,MATCH($N453,VAT_Codes!$A:$A,0)),"ANY")&lt;&gt;"ANY",$P453=""),"MISSING COUNTERPARTY COUNTRY",IF(AND(IFERROR(INDEX(VAT_Codes!$E:$E,MATCH($N453,VAT_Codes!$A:$A,0)),"ANY")&lt;&gt;"ANY",$P453&lt;&gt;IFERROR(INDEX(VAT_Codes!$E:$E,MATCH($N453,VAT_Codes!$A:$A,0)),"ANY")),"REGION MISMATCH","OK")))))))</f>
        <v/>
      </c>
    </row>
    <row r="454" customFormat="false" ht="15" hidden="false" customHeight="false" outlineLevel="0" collapsed="false">
      <c r="M454" s="24" t="str">
        <f aca="false">IF($C454="","",IFERROR(INDEX(Account_Mapping!$C:$C,MATCH($C454&amp;"",Account_Mapping!$A:$A,0))&amp;"",""))</f>
        <v/>
      </c>
      <c r="N454" s="24" t="str">
        <f aca="false">IF($K454&lt;&gt;"",$K454,$M454)</f>
        <v/>
      </c>
      <c r="O454" s="24" t="str">
        <f aca="false">IF($F454="","",IFERROR(INDEX(Counterparties!$C:$C,MATCH($F454&amp;"",Counterparties!$A:$A,0))&amp;"",""))</f>
        <v/>
      </c>
      <c r="P454" s="24" t="str">
        <f aca="false">IF($O454="","",IF($O454="CY","CY",IF(ISNUMBER(MATCH($O454,Lists!$A:$A,0)),"EU","3RD")))</f>
        <v/>
      </c>
      <c r="Q454" s="24" t="str">
        <f aca="false">IF($F454="","N",IFERROR(IF(INDEX(Counterparties!$E:$E,MATCH($F454&amp;"",Counterparties!$A:$A,0))="Y","Y","N"),"N"))</f>
        <v>N</v>
      </c>
      <c r="R454" s="25" t="n">
        <f aca="false">IF(OR($H454="",$H454="EUR"),1,IFERROR(INDEX(FX_Rates!$D:$D,MATCH($H454,FX_Rates!$A:$A,0)),""))</f>
        <v>1</v>
      </c>
      <c r="S454" s="26" t="str">
        <f aca="false">IF(AND($I454="",$J454=""),"",IF($J454&lt;&gt;"",$J454,IF(OR($R454="",$R454=0),"",ROUND($I454/$R454,2))))</f>
        <v/>
      </c>
      <c r="T454" s="24" t="str">
        <f aca="false">IF($N454="","",IFERROR(INDEX(VAT_Codes!$C:$C,MATCH($N454,VAT_Codes!$A:$A,0)),"")&amp;"")</f>
        <v/>
      </c>
      <c r="U454" s="26" t="n">
        <f aca="false">IF(OR($S454="",$T454="",$T454="None"),0,IF($T454="Output",-$S454,$S454))</f>
        <v>0</v>
      </c>
      <c r="V454" s="27" t="n">
        <f aca="false">IF($N454="",0,IFERROR(INDEX(VAT_Codes!$D:$D,MATCH($N454,VAT_Codes!$A:$A,0)),0))</f>
        <v>0</v>
      </c>
      <c r="W454" s="26" t="n">
        <f aca="false">IF($U454=0,0,IF(IFERROR(INDEX(VAT_Codes!$F:$F,MATCH($N454,VAT_Codes!$A:$A,0)),"N")="Y",$U454,IF($L454&lt;&gt;"",ROUND(ABS($L454)/IF(OR($R454="",$R454=0),1,$R454),2)*SIGN($U454),ROUND($U454*$V454,2))))</f>
        <v>0</v>
      </c>
      <c r="X454" s="24" t="str">
        <f aca="false">IF($N454="","",IFERROR(INDEX(VAT_Codes!$H:$H,MATCH($N454,VAT_Codes!$A:$A,0)),"")&amp;"")</f>
        <v/>
      </c>
      <c r="Y454" s="24" t="str">
        <f aca="false">IF($A454="","",(YEAR($A454)-YEAR(Settings!$C$8))*12+MONTH($A454)-MONTH(Settings!$C$8)+1)</f>
        <v/>
      </c>
      <c r="Z454" s="24" t="str">
        <f aca="false">IF(AND($C454="",$I454="",$J454=""),"",IF($N454="","NO VAT CODE",IF($T454="","UNKNOWN VAT CODE",IF($S454="","MISSING FX RATE",IF(OR($A454&lt;Settings!$C$8,$A454&gt;Settings!$C$9),"OUTSIDE PERIOD",IF(AND(IFERROR(INDEX(VAT_Codes!$E:$E,MATCH($N454,VAT_Codes!$A:$A,0)),"ANY")&lt;&gt;"ANY",$P454=""),"MISSING COUNTERPARTY COUNTRY",IF(AND(IFERROR(INDEX(VAT_Codes!$E:$E,MATCH($N454,VAT_Codes!$A:$A,0)),"ANY")&lt;&gt;"ANY",$P454&lt;&gt;IFERROR(INDEX(VAT_Codes!$E:$E,MATCH($N454,VAT_Codes!$A:$A,0)),"ANY")),"REGION MISMATCH","OK")))))))</f>
        <v/>
      </c>
    </row>
    <row r="455" customFormat="false" ht="15" hidden="false" customHeight="false" outlineLevel="0" collapsed="false">
      <c r="M455" s="24" t="str">
        <f aca="false">IF($C455="","",IFERROR(INDEX(Account_Mapping!$C:$C,MATCH($C455&amp;"",Account_Mapping!$A:$A,0))&amp;"",""))</f>
        <v/>
      </c>
      <c r="N455" s="24" t="str">
        <f aca="false">IF($K455&lt;&gt;"",$K455,$M455)</f>
        <v/>
      </c>
      <c r="O455" s="24" t="str">
        <f aca="false">IF($F455="","",IFERROR(INDEX(Counterparties!$C:$C,MATCH($F455&amp;"",Counterparties!$A:$A,0))&amp;"",""))</f>
        <v/>
      </c>
      <c r="P455" s="24" t="str">
        <f aca="false">IF($O455="","",IF($O455="CY","CY",IF(ISNUMBER(MATCH($O455,Lists!$A:$A,0)),"EU","3RD")))</f>
        <v/>
      </c>
      <c r="Q455" s="24" t="str">
        <f aca="false">IF($F455="","N",IFERROR(IF(INDEX(Counterparties!$E:$E,MATCH($F455&amp;"",Counterparties!$A:$A,0))="Y","Y","N"),"N"))</f>
        <v>N</v>
      </c>
      <c r="R455" s="25" t="n">
        <f aca="false">IF(OR($H455="",$H455="EUR"),1,IFERROR(INDEX(FX_Rates!$D:$D,MATCH($H455,FX_Rates!$A:$A,0)),""))</f>
        <v>1</v>
      </c>
      <c r="S455" s="26" t="str">
        <f aca="false">IF(AND($I455="",$J455=""),"",IF($J455&lt;&gt;"",$J455,IF(OR($R455="",$R455=0),"",ROUND($I455/$R455,2))))</f>
        <v/>
      </c>
      <c r="T455" s="24" t="str">
        <f aca="false">IF($N455="","",IFERROR(INDEX(VAT_Codes!$C:$C,MATCH($N455,VAT_Codes!$A:$A,0)),"")&amp;"")</f>
        <v/>
      </c>
      <c r="U455" s="26" t="n">
        <f aca="false">IF(OR($S455="",$T455="",$T455="None"),0,IF($T455="Output",-$S455,$S455))</f>
        <v>0</v>
      </c>
      <c r="V455" s="27" t="n">
        <f aca="false">IF($N455="",0,IFERROR(INDEX(VAT_Codes!$D:$D,MATCH($N455,VAT_Codes!$A:$A,0)),0))</f>
        <v>0</v>
      </c>
      <c r="W455" s="26" t="n">
        <f aca="false">IF($U455=0,0,IF(IFERROR(INDEX(VAT_Codes!$F:$F,MATCH($N455,VAT_Codes!$A:$A,0)),"N")="Y",$U455,IF($L455&lt;&gt;"",ROUND(ABS($L455)/IF(OR($R455="",$R455=0),1,$R455),2)*SIGN($U455),ROUND($U455*$V455,2))))</f>
        <v>0</v>
      </c>
      <c r="X455" s="24" t="str">
        <f aca="false">IF($N455="","",IFERROR(INDEX(VAT_Codes!$H:$H,MATCH($N455,VAT_Codes!$A:$A,0)),"")&amp;"")</f>
        <v/>
      </c>
      <c r="Y455" s="24" t="str">
        <f aca="false">IF($A455="","",(YEAR($A455)-YEAR(Settings!$C$8))*12+MONTH($A455)-MONTH(Settings!$C$8)+1)</f>
        <v/>
      </c>
      <c r="Z455" s="24" t="str">
        <f aca="false">IF(AND($C455="",$I455="",$J455=""),"",IF($N455="","NO VAT CODE",IF($T455="","UNKNOWN VAT CODE",IF($S455="","MISSING FX RATE",IF(OR($A455&lt;Settings!$C$8,$A455&gt;Settings!$C$9),"OUTSIDE PERIOD",IF(AND(IFERROR(INDEX(VAT_Codes!$E:$E,MATCH($N455,VAT_Codes!$A:$A,0)),"ANY")&lt;&gt;"ANY",$P455=""),"MISSING COUNTERPARTY COUNTRY",IF(AND(IFERROR(INDEX(VAT_Codes!$E:$E,MATCH($N455,VAT_Codes!$A:$A,0)),"ANY")&lt;&gt;"ANY",$P455&lt;&gt;IFERROR(INDEX(VAT_Codes!$E:$E,MATCH($N455,VAT_Codes!$A:$A,0)),"ANY")),"REGION MISMATCH","OK")))))))</f>
        <v/>
      </c>
    </row>
    <row r="456" customFormat="false" ht="15" hidden="false" customHeight="false" outlineLevel="0" collapsed="false">
      <c r="M456" s="24" t="str">
        <f aca="false">IF($C456="","",IFERROR(INDEX(Account_Mapping!$C:$C,MATCH($C456&amp;"",Account_Mapping!$A:$A,0))&amp;"",""))</f>
        <v/>
      </c>
      <c r="N456" s="24" t="str">
        <f aca="false">IF($K456&lt;&gt;"",$K456,$M456)</f>
        <v/>
      </c>
      <c r="O456" s="24" t="str">
        <f aca="false">IF($F456="","",IFERROR(INDEX(Counterparties!$C:$C,MATCH($F456&amp;"",Counterparties!$A:$A,0))&amp;"",""))</f>
        <v/>
      </c>
      <c r="P456" s="24" t="str">
        <f aca="false">IF($O456="","",IF($O456="CY","CY",IF(ISNUMBER(MATCH($O456,Lists!$A:$A,0)),"EU","3RD")))</f>
        <v/>
      </c>
      <c r="Q456" s="24" t="str">
        <f aca="false">IF($F456="","N",IFERROR(IF(INDEX(Counterparties!$E:$E,MATCH($F456&amp;"",Counterparties!$A:$A,0))="Y","Y","N"),"N"))</f>
        <v>N</v>
      </c>
      <c r="R456" s="25" t="n">
        <f aca="false">IF(OR($H456="",$H456="EUR"),1,IFERROR(INDEX(FX_Rates!$D:$D,MATCH($H456,FX_Rates!$A:$A,0)),""))</f>
        <v>1</v>
      </c>
      <c r="S456" s="26" t="str">
        <f aca="false">IF(AND($I456="",$J456=""),"",IF($J456&lt;&gt;"",$J456,IF(OR($R456="",$R456=0),"",ROUND($I456/$R456,2))))</f>
        <v/>
      </c>
      <c r="T456" s="24" t="str">
        <f aca="false">IF($N456="","",IFERROR(INDEX(VAT_Codes!$C:$C,MATCH($N456,VAT_Codes!$A:$A,0)),"")&amp;"")</f>
        <v/>
      </c>
      <c r="U456" s="26" t="n">
        <f aca="false">IF(OR($S456="",$T456="",$T456="None"),0,IF($T456="Output",-$S456,$S456))</f>
        <v>0</v>
      </c>
      <c r="V456" s="27" t="n">
        <f aca="false">IF($N456="",0,IFERROR(INDEX(VAT_Codes!$D:$D,MATCH($N456,VAT_Codes!$A:$A,0)),0))</f>
        <v>0</v>
      </c>
      <c r="W456" s="26" t="n">
        <f aca="false">IF($U456=0,0,IF(IFERROR(INDEX(VAT_Codes!$F:$F,MATCH($N456,VAT_Codes!$A:$A,0)),"N")="Y",$U456,IF($L456&lt;&gt;"",ROUND(ABS($L456)/IF(OR($R456="",$R456=0),1,$R456),2)*SIGN($U456),ROUND($U456*$V456,2))))</f>
        <v>0</v>
      </c>
      <c r="X456" s="24" t="str">
        <f aca="false">IF($N456="","",IFERROR(INDEX(VAT_Codes!$H:$H,MATCH($N456,VAT_Codes!$A:$A,0)),"")&amp;"")</f>
        <v/>
      </c>
      <c r="Y456" s="24" t="str">
        <f aca="false">IF($A456="","",(YEAR($A456)-YEAR(Settings!$C$8))*12+MONTH($A456)-MONTH(Settings!$C$8)+1)</f>
        <v/>
      </c>
      <c r="Z456" s="24" t="str">
        <f aca="false">IF(AND($C456="",$I456="",$J456=""),"",IF($N456="","NO VAT CODE",IF($T456="","UNKNOWN VAT CODE",IF($S456="","MISSING FX RATE",IF(OR($A456&lt;Settings!$C$8,$A456&gt;Settings!$C$9),"OUTSIDE PERIOD",IF(AND(IFERROR(INDEX(VAT_Codes!$E:$E,MATCH($N456,VAT_Codes!$A:$A,0)),"ANY")&lt;&gt;"ANY",$P456=""),"MISSING COUNTERPARTY COUNTRY",IF(AND(IFERROR(INDEX(VAT_Codes!$E:$E,MATCH($N456,VAT_Codes!$A:$A,0)),"ANY")&lt;&gt;"ANY",$P456&lt;&gt;IFERROR(INDEX(VAT_Codes!$E:$E,MATCH($N456,VAT_Codes!$A:$A,0)),"ANY")),"REGION MISMATCH","OK")))))))</f>
        <v/>
      </c>
    </row>
    <row r="457" customFormat="false" ht="15" hidden="false" customHeight="false" outlineLevel="0" collapsed="false">
      <c r="M457" s="24" t="str">
        <f aca="false">IF($C457="","",IFERROR(INDEX(Account_Mapping!$C:$C,MATCH($C457&amp;"",Account_Mapping!$A:$A,0))&amp;"",""))</f>
        <v/>
      </c>
      <c r="N457" s="24" t="str">
        <f aca="false">IF($K457&lt;&gt;"",$K457,$M457)</f>
        <v/>
      </c>
      <c r="O457" s="24" t="str">
        <f aca="false">IF($F457="","",IFERROR(INDEX(Counterparties!$C:$C,MATCH($F457&amp;"",Counterparties!$A:$A,0))&amp;"",""))</f>
        <v/>
      </c>
      <c r="P457" s="24" t="str">
        <f aca="false">IF($O457="","",IF($O457="CY","CY",IF(ISNUMBER(MATCH($O457,Lists!$A:$A,0)),"EU","3RD")))</f>
        <v/>
      </c>
      <c r="Q457" s="24" t="str">
        <f aca="false">IF($F457="","N",IFERROR(IF(INDEX(Counterparties!$E:$E,MATCH($F457&amp;"",Counterparties!$A:$A,0))="Y","Y","N"),"N"))</f>
        <v>N</v>
      </c>
      <c r="R457" s="25" t="n">
        <f aca="false">IF(OR($H457="",$H457="EUR"),1,IFERROR(INDEX(FX_Rates!$D:$D,MATCH($H457,FX_Rates!$A:$A,0)),""))</f>
        <v>1</v>
      </c>
      <c r="S457" s="26" t="str">
        <f aca="false">IF(AND($I457="",$J457=""),"",IF($J457&lt;&gt;"",$J457,IF(OR($R457="",$R457=0),"",ROUND($I457/$R457,2))))</f>
        <v/>
      </c>
      <c r="T457" s="24" t="str">
        <f aca="false">IF($N457="","",IFERROR(INDEX(VAT_Codes!$C:$C,MATCH($N457,VAT_Codes!$A:$A,0)),"")&amp;"")</f>
        <v/>
      </c>
      <c r="U457" s="26" t="n">
        <f aca="false">IF(OR($S457="",$T457="",$T457="None"),0,IF($T457="Output",-$S457,$S457))</f>
        <v>0</v>
      </c>
      <c r="V457" s="27" t="n">
        <f aca="false">IF($N457="",0,IFERROR(INDEX(VAT_Codes!$D:$D,MATCH($N457,VAT_Codes!$A:$A,0)),0))</f>
        <v>0</v>
      </c>
      <c r="W457" s="26" t="n">
        <f aca="false">IF($U457=0,0,IF(IFERROR(INDEX(VAT_Codes!$F:$F,MATCH($N457,VAT_Codes!$A:$A,0)),"N")="Y",$U457,IF($L457&lt;&gt;"",ROUND(ABS($L457)/IF(OR($R457="",$R457=0),1,$R457),2)*SIGN($U457),ROUND($U457*$V457,2))))</f>
        <v>0</v>
      </c>
      <c r="X457" s="24" t="str">
        <f aca="false">IF($N457="","",IFERROR(INDEX(VAT_Codes!$H:$H,MATCH($N457,VAT_Codes!$A:$A,0)),"")&amp;"")</f>
        <v/>
      </c>
      <c r="Y457" s="24" t="str">
        <f aca="false">IF($A457="","",(YEAR($A457)-YEAR(Settings!$C$8))*12+MONTH($A457)-MONTH(Settings!$C$8)+1)</f>
        <v/>
      </c>
      <c r="Z457" s="24" t="str">
        <f aca="false">IF(AND($C457="",$I457="",$J457=""),"",IF($N457="","NO VAT CODE",IF($T457="","UNKNOWN VAT CODE",IF($S457="","MISSING FX RATE",IF(OR($A457&lt;Settings!$C$8,$A457&gt;Settings!$C$9),"OUTSIDE PERIOD",IF(AND(IFERROR(INDEX(VAT_Codes!$E:$E,MATCH($N457,VAT_Codes!$A:$A,0)),"ANY")&lt;&gt;"ANY",$P457=""),"MISSING COUNTERPARTY COUNTRY",IF(AND(IFERROR(INDEX(VAT_Codes!$E:$E,MATCH($N457,VAT_Codes!$A:$A,0)),"ANY")&lt;&gt;"ANY",$P457&lt;&gt;IFERROR(INDEX(VAT_Codes!$E:$E,MATCH($N457,VAT_Codes!$A:$A,0)),"ANY")),"REGION MISMATCH","OK")))))))</f>
        <v/>
      </c>
    </row>
    <row r="458" customFormat="false" ht="15" hidden="false" customHeight="false" outlineLevel="0" collapsed="false">
      <c r="M458" s="24" t="str">
        <f aca="false">IF($C458="","",IFERROR(INDEX(Account_Mapping!$C:$C,MATCH($C458&amp;"",Account_Mapping!$A:$A,0))&amp;"",""))</f>
        <v/>
      </c>
      <c r="N458" s="24" t="str">
        <f aca="false">IF($K458&lt;&gt;"",$K458,$M458)</f>
        <v/>
      </c>
      <c r="O458" s="24" t="str">
        <f aca="false">IF($F458="","",IFERROR(INDEX(Counterparties!$C:$C,MATCH($F458&amp;"",Counterparties!$A:$A,0))&amp;"",""))</f>
        <v/>
      </c>
      <c r="P458" s="24" t="str">
        <f aca="false">IF($O458="","",IF($O458="CY","CY",IF(ISNUMBER(MATCH($O458,Lists!$A:$A,0)),"EU","3RD")))</f>
        <v/>
      </c>
      <c r="Q458" s="24" t="str">
        <f aca="false">IF($F458="","N",IFERROR(IF(INDEX(Counterparties!$E:$E,MATCH($F458&amp;"",Counterparties!$A:$A,0))="Y","Y","N"),"N"))</f>
        <v>N</v>
      </c>
      <c r="R458" s="25" t="n">
        <f aca="false">IF(OR($H458="",$H458="EUR"),1,IFERROR(INDEX(FX_Rates!$D:$D,MATCH($H458,FX_Rates!$A:$A,0)),""))</f>
        <v>1</v>
      </c>
      <c r="S458" s="26" t="str">
        <f aca="false">IF(AND($I458="",$J458=""),"",IF($J458&lt;&gt;"",$J458,IF(OR($R458="",$R458=0),"",ROUND($I458/$R458,2))))</f>
        <v/>
      </c>
      <c r="T458" s="24" t="str">
        <f aca="false">IF($N458="","",IFERROR(INDEX(VAT_Codes!$C:$C,MATCH($N458,VAT_Codes!$A:$A,0)),"")&amp;"")</f>
        <v/>
      </c>
      <c r="U458" s="26" t="n">
        <f aca="false">IF(OR($S458="",$T458="",$T458="None"),0,IF($T458="Output",-$S458,$S458))</f>
        <v>0</v>
      </c>
      <c r="V458" s="27" t="n">
        <f aca="false">IF($N458="",0,IFERROR(INDEX(VAT_Codes!$D:$D,MATCH($N458,VAT_Codes!$A:$A,0)),0))</f>
        <v>0</v>
      </c>
      <c r="W458" s="26" t="n">
        <f aca="false">IF($U458=0,0,IF(IFERROR(INDEX(VAT_Codes!$F:$F,MATCH($N458,VAT_Codes!$A:$A,0)),"N")="Y",$U458,IF($L458&lt;&gt;"",ROUND(ABS($L458)/IF(OR($R458="",$R458=0),1,$R458),2)*SIGN($U458),ROUND($U458*$V458,2))))</f>
        <v>0</v>
      </c>
      <c r="X458" s="24" t="str">
        <f aca="false">IF($N458="","",IFERROR(INDEX(VAT_Codes!$H:$H,MATCH($N458,VAT_Codes!$A:$A,0)),"")&amp;"")</f>
        <v/>
      </c>
      <c r="Y458" s="24" t="str">
        <f aca="false">IF($A458="","",(YEAR($A458)-YEAR(Settings!$C$8))*12+MONTH($A458)-MONTH(Settings!$C$8)+1)</f>
        <v/>
      </c>
      <c r="Z458" s="24" t="str">
        <f aca="false">IF(AND($C458="",$I458="",$J458=""),"",IF($N458="","NO VAT CODE",IF($T458="","UNKNOWN VAT CODE",IF($S458="","MISSING FX RATE",IF(OR($A458&lt;Settings!$C$8,$A458&gt;Settings!$C$9),"OUTSIDE PERIOD",IF(AND(IFERROR(INDEX(VAT_Codes!$E:$E,MATCH($N458,VAT_Codes!$A:$A,0)),"ANY")&lt;&gt;"ANY",$P458=""),"MISSING COUNTERPARTY COUNTRY",IF(AND(IFERROR(INDEX(VAT_Codes!$E:$E,MATCH($N458,VAT_Codes!$A:$A,0)),"ANY")&lt;&gt;"ANY",$P458&lt;&gt;IFERROR(INDEX(VAT_Codes!$E:$E,MATCH($N458,VAT_Codes!$A:$A,0)),"ANY")),"REGION MISMATCH","OK")))))))</f>
        <v/>
      </c>
    </row>
    <row r="459" customFormat="false" ht="15" hidden="false" customHeight="false" outlineLevel="0" collapsed="false">
      <c r="M459" s="24" t="str">
        <f aca="false">IF($C459="","",IFERROR(INDEX(Account_Mapping!$C:$C,MATCH($C459&amp;"",Account_Mapping!$A:$A,0))&amp;"",""))</f>
        <v/>
      </c>
      <c r="N459" s="24" t="str">
        <f aca="false">IF($K459&lt;&gt;"",$K459,$M459)</f>
        <v/>
      </c>
      <c r="O459" s="24" t="str">
        <f aca="false">IF($F459="","",IFERROR(INDEX(Counterparties!$C:$C,MATCH($F459&amp;"",Counterparties!$A:$A,0))&amp;"",""))</f>
        <v/>
      </c>
      <c r="P459" s="24" t="str">
        <f aca="false">IF($O459="","",IF($O459="CY","CY",IF(ISNUMBER(MATCH($O459,Lists!$A:$A,0)),"EU","3RD")))</f>
        <v/>
      </c>
      <c r="Q459" s="24" t="str">
        <f aca="false">IF($F459="","N",IFERROR(IF(INDEX(Counterparties!$E:$E,MATCH($F459&amp;"",Counterparties!$A:$A,0))="Y","Y","N"),"N"))</f>
        <v>N</v>
      </c>
      <c r="R459" s="25" t="n">
        <f aca="false">IF(OR($H459="",$H459="EUR"),1,IFERROR(INDEX(FX_Rates!$D:$D,MATCH($H459,FX_Rates!$A:$A,0)),""))</f>
        <v>1</v>
      </c>
      <c r="S459" s="26" t="str">
        <f aca="false">IF(AND($I459="",$J459=""),"",IF($J459&lt;&gt;"",$J459,IF(OR($R459="",$R459=0),"",ROUND($I459/$R459,2))))</f>
        <v/>
      </c>
      <c r="T459" s="24" t="str">
        <f aca="false">IF($N459="","",IFERROR(INDEX(VAT_Codes!$C:$C,MATCH($N459,VAT_Codes!$A:$A,0)),"")&amp;"")</f>
        <v/>
      </c>
      <c r="U459" s="26" t="n">
        <f aca="false">IF(OR($S459="",$T459="",$T459="None"),0,IF($T459="Output",-$S459,$S459))</f>
        <v>0</v>
      </c>
      <c r="V459" s="27" t="n">
        <f aca="false">IF($N459="",0,IFERROR(INDEX(VAT_Codes!$D:$D,MATCH($N459,VAT_Codes!$A:$A,0)),0))</f>
        <v>0</v>
      </c>
      <c r="W459" s="26" t="n">
        <f aca="false">IF($U459=0,0,IF(IFERROR(INDEX(VAT_Codes!$F:$F,MATCH($N459,VAT_Codes!$A:$A,0)),"N")="Y",$U459,IF($L459&lt;&gt;"",ROUND(ABS($L459)/IF(OR($R459="",$R459=0),1,$R459),2)*SIGN($U459),ROUND($U459*$V459,2))))</f>
        <v>0</v>
      </c>
      <c r="X459" s="24" t="str">
        <f aca="false">IF($N459="","",IFERROR(INDEX(VAT_Codes!$H:$H,MATCH($N459,VAT_Codes!$A:$A,0)),"")&amp;"")</f>
        <v/>
      </c>
      <c r="Y459" s="24" t="str">
        <f aca="false">IF($A459="","",(YEAR($A459)-YEAR(Settings!$C$8))*12+MONTH($A459)-MONTH(Settings!$C$8)+1)</f>
        <v/>
      </c>
      <c r="Z459" s="24" t="str">
        <f aca="false">IF(AND($C459="",$I459="",$J459=""),"",IF($N459="","NO VAT CODE",IF($T459="","UNKNOWN VAT CODE",IF($S459="","MISSING FX RATE",IF(OR($A459&lt;Settings!$C$8,$A459&gt;Settings!$C$9),"OUTSIDE PERIOD",IF(AND(IFERROR(INDEX(VAT_Codes!$E:$E,MATCH($N459,VAT_Codes!$A:$A,0)),"ANY")&lt;&gt;"ANY",$P459=""),"MISSING COUNTERPARTY COUNTRY",IF(AND(IFERROR(INDEX(VAT_Codes!$E:$E,MATCH($N459,VAT_Codes!$A:$A,0)),"ANY")&lt;&gt;"ANY",$P459&lt;&gt;IFERROR(INDEX(VAT_Codes!$E:$E,MATCH($N459,VAT_Codes!$A:$A,0)),"ANY")),"REGION MISMATCH","OK")))))))</f>
        <v/>
      </c>
    </row>
    <row r="460" customFormat="false" ht="15" hidden="false" customHeight="false" outlineLevel="0" collapsed="false">
      <c r="M460" s="24" t="str">
        <f aca="false">IF($C460="","",IFERROR(INDEX(Account_Mapping!$C:$C,MATCH($C460&amp;"",Account_Mapping!$A:$A,0))&amp;"",""))</f>
        <v/>
      </c>
      <c r="N460" s="24" t="str">
        <f aca="false">IF($K460&lt;&gt;"",$K460,$M460)</f>
        <v/>
      </c>
      <c r="O460" s="24" t="str">
        <f aca="false">IF($F460="","",IFERROR(INDEX(Counterparties!$C:$C,MATCH($F460&amp;"",Counterparties!$A:$A,0))&amp;"",""))</f>
        <v/>
      </c>
      <c r="P460" s="24" t="str">
        <f aca="false">IF($O460="","",IF($O460="CY","CY",IF(ISNUMBER(MATCH($O460,Lists!$A:$A,0)),"EU","3RD")))</f>
        <v/>
      </c>
      <c r="Q460" s="24" t="str">
        <f aca="false">IF($F460="","N",IFERROR(IF(INDEX(Counterparties!$E:$E,MATCH($F460&amp;"",Counterparties!$A:$A,0))="Y","Y","N"),"N"))</f>
        <v>N</v>
      </c>
      <c r="R460" s="25" t="n">
        <f aca="false">IF(OR($H460="",$H460="EUR"),1,IFERROR(INDEX(FX_Rates!$D:$D,MATCH($H460,FX_Rates!$A:$A,0)),""))</f>
        <v>1</v>
      </c>
      <c r="S460" s="26" t="str">
        <f aca="false">IF(AND($I460="",$J460=""),"",IF($J460&lt;&gt;"",$J460,IF(OR($R460="",$R460=0),"",ROUND($I460/$R460,2))))</f>
        <v/>
      </c>
      <c r="T460" s="24" t="str">
        <f aca="false">IF($N460="","",IFERROR(INDEX(VAT_Codes!$C:$C,MATCH($N460,VAT_Codes!$A:$A,0)),"")&amp;"")</f>
        <v/>
      </c>
      <c r="U460" s="26" t="n">
        <f aca="false">IF(OR($S460="",$T460="",$T460="None"),0,IF($T460="Output",-$S460,$S460))</f>
        <v>0</v>
      </c>
      <c r="V460" s="27" t="n">
        <f aca="false">IF($N460="",0,IFERROR(INDEX(VAT_Codes!$D:$D,MATCH($N460,VAT_Codes!$A:$A,0)),0))</f>
        <v>0</v>
      </c>
      <c r="W460" s="26" t="n">
        <f aca="false">IF($U460=0,0,IF(IFERROR(INDEX(VAT_Codes!$F:$F,MATCH($N460,VAT_Codes!$A:$A,0)),"N")="Y",$U460,IF($L460&lt;&gt;"",ROUND(ABS($L460)/IF(OR($R460="",$R460=0),1,$R460),2)*SIGN($U460),ROUND($U460*$V460,2))))</f>
        <v>0</v>
      </c>
      <c r="X460" s="24" t="str">
        <f aca="false">IF($N460="","",IFERROR(INDEX(VAT_Codes!$H:$H,MATCH($N460,VAT_Codes!$A:$A,0)),"")&amp;"")</f>
        <v/>
      </c>
      <c r="Y460" s="24" t="str">
        <f aca="false">IF($A460="","",(YEAR($A460)-YEAR(Settings!$C$8))*12+MONTH($A460)-MONTH(Settings!$C$8)+1)</f>
        <v/>
      </c>
      <c r="Z460" s="24" t="str">
        <f aca="false">IF(AND($C460="",$I460="",$J460=""),"",IF($N460="","NO VAT CODE",IF($T460="","UNKNOWN VAT CODE",IF($S460="","MISSING FX RATE",IF(OR($A460&lt;Settings!$C$8,$A460&gt;Settings!$C$9),"OUTSIDE PERIOD",IF(AND(IFERROR(INDEX(VAT_Codes!$E:$E,MATCH($N460,VAT_Codes!$A:$A,0)),"ANY")&lt;&gt;"ANY",$P460=""),"MISSING COUNTERPARTY COUNTRY",IF(AND(IFERROR(INDEX(VAT_Codes!$E:$E,MATCH($N460,VAT_Codes!$A:$A,0)),"ANY")&lt;&gt;"ANY",$P460&lt;&gt;IFERROR(INDEX(VAT_Codes!$E:$E,MATCH($N460,VAT_Codes!$A:$A,0)),"ANY")),"REGION MISMATCH","OK")))))))</f>
        <v/>
      </c>
    </row>
    <row r="461" customFormat="false" ht="15" hidden="false" customHeight="false" outlineLevel="0" collapsed="false">
      <c r="M461" s="24" t="str">
        <f aca="false">IF($C461="","",IFERROR(INDEX(Account_Mapping!$C:$C,MATCH($C461&amp;"",Account_Mapping!$A:$A,0))&amp;"",""))</f>
        <v/>
      </c>
      <c r="N461" s="24" t="str">
        <f aca="false">IF($K461&lt;&gt;"",$K461,$M461)</f>
        <v/>
      </c>
      <c r="O461" s="24" t="str">
        <f aca="false">IF($F461="","",IFERROR(INDEX(Counterparties!$C:$C,MATCH($F461&amp;"",Counterparties!$A:$A,0))&amp;"",""))</f>
        <v/>
      </c>
      <c r="P461" s="24" t="str">
        <f aca="false">IF($O461="","",IF($O461="CY","CY",IF(ISNUMBER(MATCH($O461,Lists!$A:$A,0)),"EU","3RD")))</f>
        <v/>
      </c>
      <c r="Q461" s="24" t="str">
        <f aca="false">IF($F461="","N",IFERROR(IF(INDEX(Counterparties!$E:$E,MATCH($F461&amp;"",Counterparties!$A:$A,0))="Y","Y","N"),"N"))</f>
        <v>N</v>
      </c>
      <c r="R461" s="25" t="n">
        <f aca="false">IF(OR($H461="",$H461="EUR"),1,IFERROR(INDEX(FX_Rates!$D:$D,MATCH($H461,FX_Rates!$A:$A,0)),""))</f>
        <v>1</v>
      </c>
      <c r="S461" s="26" t="str">
        <f aca="false">IF(AND($I461="",$J461=""),"",IF($J461&lt;&gt;"",$J461,IF(OR($R461="",$R461=0),"",ROUND($I461/$R461,2))))</f>
        <v/>
      </c>
      <c r="T461" s="24" t="str">
        <f aca="false">IF($N461="","",IFERROR(INDEX(VAT_Codes!$C:$C,MATCH($N461,VAT_Codes!$A:$A,0)),"")&amp;"")</f>
        <v/>
      </c>
      <c r="U461" s="26" t="n">
        <f aca="false">IF(OR($S461="",$T461="",$T461="None"),0,IF($T461="Output",-$S461,$S461))</f>
        <v>0</v>
      </c>
      <c r="V461" s="27" t="n">
        <f aca="false">IF($N461="",0,IFERROR(INDEX(VAT_Codes!$D:$D,MATCH($N461,VAT_Codes!$A:$A,0)),0))</f>
        <v>0</v>
      </c>
      <c r="W461" s="26" t="n">
        <f aca="false">IF($U461=0,0,IF(IFERROR(INDEX(VAT_Codes!$F:$F,MATCH($N461,VAT_Codes!$A:$A,0)),"N")="Y",$U461,IF($L461&lt;&gt;"",ROUND(ABS($L461)/IF(OR($R461="",$R461=0),1,$R461),2)*SIGN($U461),ROUND($U461*$V461,2))))</f>
        <v>0</v>
      </c>
      <c r="X461" s="24" t="str">
        <f aca="false">IF($N461="","",IFERROR(INDEX(VAT_Codes!$H:$H,MATCH($N461,VAT_Codes!$A:$A,0)),"")&amp;"")</f>
        <v/>
      </c>
      <c r="Y461" s="24" t="str">
        <f aca="false">IF($A461="","",(YEAR($A461)-YEAR(Settings!$C$8))*12+MONTH($A461)-MONTH(Settings!$C$8)+1)</f>
        <v/>
      </c>
      <c r="Z461" s="24" t="str">
        <f aca="false">IF(AND($C461="",$I461="",$J461=""),"",IF($N461="","NO VAT CODE",IF($T461="","UNKNOWN VAT CODE",IF($S461="","MISSING FX RATE",IF(OR($A461&lt;Settings!$C$8,$A461&gt;Settings!$C$9),"OUTSIDE PERIOD",IF(AND(IFERROR(INDEX(VAT_Codes!$E:$E,MATCH($N461,VAT_Codes!$A:$A,0)),"ANY")&lt;&gt;"ANY",$P461=""),"MISSING COUNTERPARTY COUNTRY",IF(AND(IFERROR(INDEX(VAT_Codes!$E:$E,MATCH($N461,VAT_Codes!$A:$A,0)),"ANY")&lt;&gt;"ANY",$P461&lt;&gt;IFERROR(INDEX(VAT_Codes!$E:$E,MATCH($N461,VAT_Codes!$A:$A,0)),"ANY")),"REGION MISMATCH","OK")))))))</f>
        <v/>
      </c>
    </row>
    <row r="462" customFormat="false" ht="15" hidden="false" customHeight="false" outlineLevel="0" collapsed="false">
      <c r="M462" s="24" t="str">
        <f aca="false">IF($C462="","",IFERROR(INDEX(Account_Mapping!$C:$C,MATCH($C462&amp;"",Account_Mapping!$A:$A,0))&amp;"",""))</f>
        <v/>
      </c>
      <c r="N462" s="24" t="str">
        <f aca="false">IF($K462&lt;&gt;"",$K462,$M462)</f>
        <v/>
      </c>
      <c r="O462" s="24" t="str">
        <f aca="false">IF($F462="","",IFERROR(INDEX(Counterparties!$C:$C,MATCH($F462&amp;"",Counterparties!$A:$A,0))&amp;"",""))</f>
        <v/>
      </c>
      <c r="P462" s="24" t="str">
        <f aca="false">IF($O462="","",IF($O462="CY","CY",IF(ISNUMBER(MATCH($O462,Lists!$A:$A,0)),"EU","3RD")))</f>
        <v/>
      </c>
      <c r="Q462" s="24" t="str">
        <f aca="false">IF($F462="","N",IFERROR(IF(INDEX(Counterparties!$E:$E,MATCH($F462&amp;"",Counterparties!$A:$A,0))="Y","Y","N"),"N"))</f>
        <v>N</v>
      </c>
      <c r="R462" s="25" t="n">
        <f aca="false">IF(OR($H462="",$H462="EUR"),1,IFERROR(INDEX(FX_Rates!$D:$D,MATCH($H462,FX_Rates!$A:$A,0)),""))</f>
        <v>1</v>
      </c>
      <c r="S462" s="26" t="str">
        <f aca="false">IF(AND($I462="",$J462=""),"",IF($J462&lt;&gt;"",$J462,IF(OR($R462="",$R462=0),"",ROUND($I462/$R462,2))))</f>
        <v/>
      </c>
      <c r="T462" s="24" t="str">
        <f aca="false">IF($N462="","",IFERROR(INDEX(VAT_Codes!$C:$C,MATCH($N462,VAT_Codes!$A:$A,0)),"")&amp;"")</f>
        <v/>
      </c>
      <c r="U462" s="26" t="n">
        <f aca="false">IF(OR($S462="",$T462="",$T462="None"),0,IF($T462="Output",-$S462,$S462))</f>
        <v>0</v>
      </c>
      <c r="V462" s="27" t="n">
        <f aca="false">IF($N462="",0,IFERROR(INDEX(VAT_Codes!$D:$D,MATCH($N462,VAT_Codes!$A:$A,0)),0))</f>
        <v>0</v>
      </c>
      <c r="W462" s="26" t="n">
        <f aca="false">IF($U462=0,0,IF(IFERROR(INDEX(VAT_Codes!$F:$F,MATCH($N462,VAT_Codes!$A:$A,0)),"N")="Y",$U462,IF($L462&lt;&gt;"",ROUND(ABS($L462)/IF(OR($R462="",$R462=0),1,$R462),2)*SIGN($U462),ROUND($U462*$V462,2))))</f>
        <v>0</v>
      </c>
      <c r="X462" s="24" t="str">
        <f aca="false">IF($N462="","",IFERROR(INDEX(VAT_Codes!$H:$H,MATCH($N462,VAT_Codes!$A:$A,0)),"")&amp;"")</f>
        <v/>
      </c>
      <c r="Y462" s="24" t="str">
        <f aca="false">IF($A462="","",(YEAR($A462)-YEAR(Settings!$C$8))*12+MONTH($A462)-MONTH(Settings!$C$8)+1)</f>
        <v/>
      </c>
      <c r="Z462" s="24" t="str">
        <f aca="false">IF(AND($C462="",$I462="",$J462=""),"",IF($N462="","NO VAT CODE",IF($T462="","UNKNOWN VAT CODE",IF($S462="","MISSING FX RATE",IF(OR($A462&lt;Settings!$C$8,$A462&gt;Settings!$C$9),"OUTSIDE PERIOD",IF(AND(IFERROR(INDEX(VAT_Codes!$E:$E,MATCH($N462,VAT_Codes!$A:$A,0)),"ANY")&lt;&gt;"ANY",$P462=""),"MISSING COUNTERPARTY COUNTRY",IF(AND(IFERROR(INDEX(VAT_Codes!$E:$E,MATCH($N462,VAT_Codes!$A:$A,0)),"ANY")&lt;&gt;"ANY",$P462&lt;&gt;IFERROR(INDEX(VAT_Codes!$E:$E,MATCH($N462,VAT_Codes!$A:$A,0)),"ANY")),"REGION MISMATCH","OK")))))))</f>
        <v/>
      </c>
    </row>
    <row r="463" customFormat="false" ht="15" hidden="false" customHeight="false" outlineLevel="0" collapsed="false">
      <c r="M463" s="24" t="str">
        <f aca="false">IF($C463="","",IFERROR(INDEX(Account_Mapping!$C:$C,MATCH($C463&amp;"",Account_Mapping!$A:$A,0))&amp;"",""))</f>
        <v/>
      </c>
      <c r="N463" s="24" t="str">
        <f aca="false">IF($K463&lt;&gt;"",$K463,$M463)</f>
        <v/>
      </c>
      <c r="O463" s="24" t="str">
        <f aca="false">IF($F463="","",IFERROR(INDEX(Counterparties!$C:$C,MATCH($F463&amp;"",Counterparties!$A:$A,0))&amp;"",""))</f>
        <v/>
      </c>
      <c r="P463" s="24" t="str">
        <f aca="false">IF($O463="","",IF($O463="CY","CY",IF(ISNUMBER(MATCH($O463,Lists!$A:$A,0)),"EU","3RD")))</f>
        <v/>
      </c>
      <c r="Q463" s="24" t="str">
        <f aca="false">IF($F463="","N",IFERROR(IF(INDEX(Counterparties!$E:$E,MATCH($F463&amp;"",Counterparties!$A:$A,0))="Y","Y","N"),"N"))</f>
        <v>N</v>
      </c>
      <c r="R463" s="25" t="n">
        <f aca="false">IF(OR($H463="",$H463="EUR"),1,IFERROR(INDEX(FX_Rates!$D:$D,MATCH($H463,FX_Rates!$A:$A,0)),""))</f>
        <v>1</v>
      </c>
      <c r="S463" s="26" t="str">
        <f aca="false">IF(AND($I463="",$J463=""),"",IF($J463&lt;&gt;"",$J463,IF(OR($R463="",$R463=0),"",ROUND($I463/$R463,2))))</f>
        <v/>
      </c>
      <c r="T463" s="24" t="str">
        <f aca="false">IF($N463="","",IFERROR(INDEX(VAT_Codes!$C:$C,MATCH($N463,VAT_Codes!$A:$A,0)),"")&amp;"")</f>
        <v/>
      </c>
      <c r="U463" s="26" t="n">
        <f aca="false">IF(OR($S463="",$T463="",$T463="None"),0,IF($T463="Output",-$S463,$S463))</f>
        <v>0</v>
      </c>
      <c r="V463" s="27" t="n">
        <f aca="false">IF($N463="",0,IFERROR(INDEX(VAT_Codes!$D:$D,MATCH($N463,VAT_Codes!$A:$A,0)),0))</f>
        <v>0</v>
      </c>
      <c r="W463" s="26" t="n">
        <f aca="false">IF($U463=0,0,IF(IFERROR(INDEX(VAT_Codes!$F:$F,MATCH($N463,VAT_Codes!$A:$A,0)),"N")="Y",$U463,IF($L463&lt;&gt;"",ROUND(ABS($L463)/IF(OR($R463="",$R463=0),1,$R463),2)*SIGN($U463),ROUND($U463*$V463,2))))</f>
        <v>0</v>
      </c>
      <c r="X463" s="24" t="str">
        <f aca="false">IF($N463="","",IFERROR(INDEX(VAT_Codes!$H:$H,MATCH($N463,VAT_Codes!$A:$A,0)),"")&amp;"")</f>
        <v/>
      </c>
      <c r="Y463" s="24" t="str">
        <f aca="false">IF($A463="","",(YEAR($A463)-YEAR(Settings!$C$8))*12+MONTH($A463)-MONTH(Settings!$C$8)+1)</f>
        <v/>
      </c>
      <c r="Z463" s="24" t="str">
        <f aca="false">IF(AND($C463="",$I463="",$J463=""),"",IF($N463="","NO VAT CODE",IF($T463="","UNKNOWN VAT CODE",IF($S463="","MISSING FX RATE",IF(OR($A463&lt;Settings!$C$8,$A463&gt;Settings!$C$9),"OUTSIDE PERIOD",IF(AND(IFERROR(INDEX(VAT_Codes!$E:$E,MATCH($N463,VAT_Codes!$A:$A,0)),"ANY")&lt;&gt;"ANY",$P463=""),"MISSING COUNTERPARTY COUNTRY",IF(AND(IFERROR(INDEX(VAT_Codes!$E:$E,MATCH($N463,VAT_Codes!$A:$A,0)),"ANY")&lt;&gt;"ANY",$P463&lt;&gt;IFERROR(INDEX(VAT_Codes!$E:$E,MATCH($N463,VAT_Codes!$A:$A,0)),"ANY")),"REGION MISMATCH","OK")))))))</f>
        <v/>
      </c>
    </row>
    <row r="464" customFormat="false" ht="15" hidden="false" customHeight="false" outlineLevel="0" collapsed="false">
      <c r="M464" s="24" t="str">
        <f aca="false">IF($C464="","",IFERROR(INDEX(Account_Mapping!$C:$C,MATCH($C464&amp;"",Account_Mapping!$A:$A,0))&amp;"",""))</f>
        <v/>
      </c>
      <c r="N464" s="24" t="str">
        <f aca="false">IF($K464&lt;&gt;"",$K464,$M464)</f>
        <v/>
      </c>
      <c r="O464" s="24" t="str">
        <f aca="false">IF($F464="","",IFERROR(INDEX(Counterparties!$C:$C,MATCH($F464&amp;"",Counterparties!$A:$A,0))&amp;"",""))</f>
        <v/>
      </c>
      <c r="P464" s="24" t="str">
        <f aca="false">IF($O464="","",IF($O464="CY","CY",IF(ISNUMBER(MATCH($O464,Lists!$A:$A,0)),"EU","3RD")))</f>
        <v/>
      </c>
      <c r="Q464" s="24" t="str">
        <f aca="false">IF($F464="","N",IFERROR(IF(INDEX(Counterparties!$E:$E,MATCH($F464&amp;"",Counterparties!$A:$A,0))="Y","Y","N"),"N"))</f>
        <v>N</v>
      </c>
      <c r="R464" s="25" t="n">
        <f aca="false">IF(OR($H464="",$H464="EUR"),1,IFERROR(INDEX(FX_Rates!$D:$D,MATCH($H464,FX_Rates!$A:$A,0)),""))</f>
        <v>1</v>
      </c>
      <c r="S464" s="26" t="str">
        <f aca="false">IF(AND($I464="",$J464=""),"",IF($J464&lt;&gt;"",$J464,IF(OR($R464="",$R464=0),"",ROUND($I464/$R464,2))))</f>
        <v/>
      </c>
      <c r="T464" s="24" t="str">
        <f aca="false">IF($N464="","",IFERROR(INDEX(VAT_Codes!$C:$C,MATCH($N464,VAT_Codes!$A:$A,0)),"")&amp;"")</f>
        <v/>
      </c>
      <c r="U464" s="26" t="n">
        <f aca="false">IF(OR($S464="",$T464="",$T464="None"),0,IF($T464="Output",-$S464,$S464))</f>
        <v>0</v>
      </c>
      <c r="V464" s="27" t="n">
        <f aca="false">IF($N464="",0,IFERROR(INDEX(VAT_Codes!$D:$D,MATCH($N464,VAT_Codes!$A:$A,0)),0))</f>
        <v>0</v>
      </c>
      <c r="W464" s="26" t="n">
        <f aca="false">IF($U464=0,0,IF(IFERROR(INDEX(VAT_Codes!$F:$F,MATCH($N464,VAT_Codes!$A:$A,0)),"N")="Y",$U464,IF($L464&lt;&gt;"",ROUND(ABS($L464)/IF(OR($R464="",$R464=0),1,$R464),2)*SIGN($U464),ROUND($U464*$V464,2))))</f>
        <v>0</v>
      </c>
      <c r="X464" s="24" t="str">
        <f aca="false">IF($N464="","",IFERROR(INDEX(VAT_Codes!$H:$H,MATCH($N464,VAT_Codes!$A:$A,0)),"")&amp;"")</f>
        <v/>
      </c>
      <c r="Y464" s="24" t="str">
        <f aca="false">IF($A464="","",(YEAR($A464)-YEAR(Settings!$C$8))*12+MONTH($A464)-MONTH(Settings!$C$8)+1)</f>
        <v/>
      </c>
      <c r="Z464" s="24" t="str">
        <f aca="false">IF(AND($C464="",$I464="",$J464=""),"",IF($N464="","NO VAT CODE",IF($T464="","UNKNOWN VAT CODE",IF($S464="","MISSING FX RATE",IF(OR($A464&lt;Settings!$C$8,$A464&gt;Settings!$C$9),"OUTSIDE PERIOD",IF(AND(IFERROR(INDEX(VAT_Codes!$E:$E,MATCH($N464,VAT_Codes!$A:$A,0)),"ANY")&lt;&gt;"ANY",$P464=""),"MISSING COUNTERPARTY COUNTRY",IF(AND(IFERROR(INDEX(VAT_Codes!$E:$E,MATCH($N464,VAT_Codes!$A:$A,0)),"ANY")&lt;&gt;"ANY",$P464&lt;&gt;IFERROR(INDEX(VAT_Codes!$E:$E,MATCH($N464,VAT_Codes!$A:$A,0)),"ANY")),"REGION MISMATCH","OK")))))))</f>
        <v/>
      </c>
    </row>
    <row r="465" customFormat="false" ht="15" hidden="false" customHeight="false" outlineLevel="0" collapsed="false">
      <c r="M465" s="24" t="str">
        <f aca="false">IF($C465="","",IFERROR(INDEX(Account_Mapping!$C:$C,MATCH($C465&amp;"",Account_Mapping!$A:$A,0))&amp;"",""))</f>
        <v/>
      </c>
      <c r="N465" s="24" t="str">
        <f aca="false">IF($K465&lt;&gt;"",$K465,$M465)</f>
        <v/>
      </c>
      <c r="O465" s="24" t="str">
        <f aca="false">IF($F465="","",IFERROR(INDEX(Counterparties!$C:$C,MATCH($F465&amp;"",Counterparties!$A:$A,0))&amp;"",""))</f>
        <v/>
      </c>
      <c r="P465" s="24" t="str">
        <f aca="false">IF($O465="","",IF($O465="CY","CY",IF(ISNUMBER(MATCH($O465,Lists!$A:$A,0)),"EU","3RD")))</f>
        <v/>
      </c>
      <c r="Q465" s="24" t="str">
        <f aca="false">IF($F465="","N",IFERROR(IF(INDEX(Counterparties!$E:$E,MATCH($F465&amp;"",Counterparties!$A:$A,0))="Y","Y","N"),"N"))</f>
        <v>N</v>
      </c>
      <c r="R465" s="25" t="n">
        <f aca="false">IF(OR($H465="",$H465="EUR"),1,IFERROR(INDEX(FX_Rates!$D:$D,MATCH($H465,FX_Rates!$A:$A,0)),""))</f>
        <v>1</v>
      </c>
      <c r="S465" s="26" t="str">
        <f aca="false">IF(AND($I465="",$J465=""),"",IF($J465&lt;&gt;"",$J465,IF(OR($R465="",$R465=0),"",ROUND($I465/$R465,2))))</f>
        <v/>
      </c>
      <c r="T465" s="24" t="str">
        <f aca="false">IF($N465="","",IFERROR(INDEX(VAT_Codes!$C:$C,MATCH($N465,VAT_Codes!$A:$A,0)),"")&amp;"")</f>
        <v/>
      </c>
      <c r="U465" s="26" t="n">
        <f aca="false">IF(OR($S465="",$T465="",$T465="None"),0,IF($T465="Output",-$S465,$S465))</f>
        <v>0</v>
      </c>
      <c r="V465" s="27" t="n">
        <f aca="false">IF($N465="",0,IFERROR(INDEX(VAT_Codes!$D:$D,MATCH($N465,VAT_Codes!$A:$A,0)),0))</f>
        <v>0</v>
      </c>
      <c r="W465" s="26" t="n">
        <f aca="false">IF($U465=0,0,IF(IFERROR(INDEX(VAT_Codes!$F:$F,MATCH($N465,VAT_Codes!$A:$A,0)),"N")="Y",$U465,IF($L465&lt;&gt;"",ROUND(ABS($L465)/IF(OR($R465="",$R465=0),1,$R465),2)*SIGN($U465),ROUND($U465*$V465,2))))</f>
        <v>0</v>
      </c>
      <c r="X465" s="24" t="str">
        <f aca="false">IF($N465="","",IFERROR(INDEX(VAT_Codes!$H:$H,MATCH($N465,VAT_Codes!$A:$A,0)),"")&amp;"")</f>
        <v/>
      </c>
      <c r="Y465" s="24" t="str">
        <f aca="false">IF($A465="","",(YEAR($A465)-YEAR(Settings!$C$8))*12+MONTH($A465)-MONTH(Settings!$C$8)+1)</f>
        <v/>
      </c>
      <c r="Z465" s="24" t="str">
        <f aca="false">IF(AND($C465="",$I465="",$J465=""),"",IF($N465="","NO VAT CODE",IF($T465="","UNKNOWN VAT CODE",IF($S465="","MISSING FX RATE",IF(OR($A465&lt;Settings!$C$8,$A465&gt;Settings!$C$9),"OUTSIDE PERIOD",IF(AND(IFERROR(INDEX(VAT_Codes!$E:$E,MATCH($N465,VAT_Codes!$A:$A,0)),"ANY")&lt;&gt;"ANY",$P465=""),"MISSING COUNTERPARTY COUNTRY",IF(AND(IFERROR(INDEX(VAT_Codes!$E:$E,MATCH($N465,VAT_Codes!$A:$A,0)),"ANY")&lt;&gt;"ANY",$P465&lt;&gt;IFERROR(INDEX(VAT_Codes!$E:$E,MATCH($N465,VAT_Codes!$A:$A,0)),"ANY")),"REGION MISMATCH","OK")))))))</f>
        <v/>
      </c>
    </row>
    <row r="466" customFormat="false" ht="15" hidden="false" customHeight="false" outlineLevel="0" collapsed="false">
      <c r="M466" s="24" t="str">
        <f aca="false">IF($C466="","",IFERROR(INDEX(Account_Mapping!$C:$C,MATCH($C466&amp;"",Account_Mapping!$A:$A,0))&amp;"",""))</f>
        <v/>
      </c>
      <c r="N466" s="24" t="str">
        <f aca="false">IF($K466&lt;&gt;"",$K466,$M466)</f>
        <v/>
      </c>
      <c r="O466" s="24" t="str">
        <f aca="false">IF($F466="","",IFERROR(INDEX(Counterparties!$C:$C,MATCH($F466&amp;"",Counterparties!$A:$A,0))&amp;"",""))</f>
        <v/>
      </c>
      <c r="P466" s="24" t="str">
        <f aca="false">IF($O466="","",IF($O466="CY","CY",IF(ISNUMBER(MATCH($O466,Lists!$A:$A,0)),"EU","3RD")))</f>
        <v/>
      </c>
      <c r="Q466" s="24" t="str">
        <f aca="false">IF($F466="","N",IFERROR(IF(INDEX(Counterparties!$E:$E,MATCH($F466&amp;"",Counterparties!$A:$A,0))="Y","Y","N"),"N"))</f>
        <v>N</v>
      </c>
      <c r="R466" s="25" t="n">
        <f aca="false">IF(OR($H466="",$H466="EUR"),1,IFERROR(INDEX(FX_Rates!$D:$D,MATCH($H466,FX_Rates!$A:$A,0)),""))</f>
        <v>1</v>
      </c>
      <c r="S466" s="26" t="str">
        <f aca="false">IF(AND($I466="",$J466=""),"",IF($J466&lt;&gt;"",$J466,IF(OR($R466="",$R466=0),"",ROUND($I466/$R466,2))))</f>
        <v/>
      </c>
      <c r="T466" s="24" t="str">
        <f aca="false">IF($N466="","",IFERROR(INDEX(VAT_Codes!$C:$C,MATCH($N466,VAT_Codes!$A:$A,0)),"")&amp;"")</f>
        <v/>
      </c>
      <c r="U466" s="26" t="n">
        <f aca="false">IF(OR($S466="",$T466="",$T466="None"),0,IF($T466="Output",-$S466,$S466))</f>
        <v>0</v>
      </c>
      <c r="V466" s="27" t="n">
        <f aca="false">IF($N466="",0,IFERROR(INDEX(VAT_Codes!$D:$D,MATCH($N466,VAT_Codes!$A:$A,0)),0))</f>
        <v>0</v>
      </c>
      <c r="W466" s="26" t="n">
        <f aca="false">IF($U466=0,0,IF(IFERROR(INDEX(VAT_Codes!$F:$F,MATCH($N466,VAT_Codes!$A:$A,0)),"N")="Y",$U466,IF($L466&lt;&gt;"",ROUND(ABS($L466)/IF(OR($R466="",$R466=0),1,$R466),2)*SIGN($U466),ROUND($U466*$V466,2))))</f>
        <v>0</v>
      </c>
      <c r="X466" s="24" t="str">
        <f aca="false">IF($N466="","",IFERROR(INDEX(VAT_Codes!$H:$H,MATCH($N466,VAT_Codes!$A:$A,0)),"")&amp;"")</f>
        <v/>
      </c>
      <c r="Y466" s="24" t="str">
        <f aca="false">IF($A466="","",(YEAR($A466)-YEAR(Settings!$C$8))*12+MONTH($A466)-MONTH(Settings!$C$8)+1)</f>
        <v/>
      </c>
      <c r="Z466" s="24" t="str">
        <f aca="false">IF(AND($C466="",$I466="",$J466=""),"",IF($N466="","NO VAT CODE",IF($T466="","UNKNOWN VAT CODE",IF($S466="","MISSING FX RATE",IF(OR($A466&lt;Settings!$C$8,$A466&gt;Settings!$C$9),"OUTSIDE PERIOD",IF(AND(IFERROR(INDEX(VAT_Codes!$E:$E,MATCH($N466,VAT_Codes!$A:$A,0)),"ANY")&lt;&gt;"ANY",$P466=""),"MISSING COUNTERPARTY COUNTRY",IF(AND(IFERROR(INDEX(VAT_Codes!$E:$E,MATCH($N466,VAT_Codes!$A:$A,0)),"ANY")&lt;&gt;"ANY",$P466&lt;&gt;IFERROR(INDEX(VAT_Codes!$E:$E,MATCH($N466,VAT_Codes!$A:$A,0)),"ANY")),"REGION MISMATCH","OK")))))))</f>
        <v/>
      </c>
    </row>
    <row r="467" customFormat="false" ht="15" hidden="false" customHeight="false" outlineLevel="0" collapsed="false">
      <c r="M467" s="24" t="str">
        <f aca="false">IF($C467="","",IFERROR(INDEX(Account_Mapping!$C:$C,MATCH($C467&amp;"",Account_Mapping!$A:$A,0))&amp;"",""))</f>
        <v/>
      </c>
      <c r="N467" s="24" t="str">
        <f aca="false">IF($K467&lt;&gt;"",$K467,$M467)</f>
        <v/>
      </c>
      <c r="O467" s="24" t="str">
        <f aca="false">IF($F467="","",IFERROR(INDEX(Counterparties!$C:$C,MATCH($F467&amp;"",Counterparties!$A:$A,0))&amp;"",""))</f>
        <v/>
      </c>
      <c r="P467" s="24" t="str">
        <f aca="false">IF($O467="","",IF($O467="CY","CY",IF(ISNUMBER(MATCH($O467,Lists!$A:$A,0)),"EU","3RD")))</f>
        <v/>
      </c>
      <c r="Q467" s="24" t="str">
        <f aca="false">IF($F467="","N",IFERROR(IF(INDEX(Counterparties!$E:$E,MATCH($F467&amp;"",Counterparties!$A:$A,0))="Y","Y","N"),"N"))</f>
        <v>N</v>
      </c>
      <c r="R467" s="25" t="n">
        <f aca="false">IF(OR($H467="",$H467="EUR"),1,IFERROR(INDEX(FX_Rates!$D:$D,MATCH($H467,FX_Rates!$A:$A,0)),""))</f>
        <v>1</v>
      </c>
      <c r="S467" s="26" t="str">
        <f aca="false">IF(AND($I467="",$J467=""),"",IF($J467&lt;&gt;"",$J467,IF(OR($R467="",$R467=0),"",ROUND($I467/$R467,2))))</f>
        <v/>
      </c>
      <c r="T467" s="24" t="str">
        <f aca="false">IF($N467="","",IFERROR(INDEX(VAT_Codes!$C:$C,MATCH($N467,VAT_Codes!$A:$A,0)),"")&amp;"")</f>
        <v/>
      </c>
      <c r="U467" s="26" t="n">
        <f aca="false">IF(OR($S467="",$T467="",$T467="None"),0,IF($T467="Output",-$S467,$S467))</f>
        <v>0</v>
      </c>
      <c r="V467" s="27" t="n">
        <f aca="false">IF($N467="",0,IFERROR(INDEX(VAT_Codes!$D:$D,MATCH($N467,VAT_Codes!$A:$A,0)),0))</f>
        <v>0</v>
      </c>
      <c r="W467" s="26" t="n">
        <f aca="false">IF($U467=0,0,IF(IFERROR(INDEX(VAT_Codes!$F:$F,MATCH($N467,VAT_Codes!$A:$A,0)),"N")="Y",$U467,IF($L467&lt;&gt;"",ROUND(ABS($L467)/IF(OR($R467="",$R467=0),1,$R467),2)*SIGN($U467),ROUND($U467*$V467,2))))</f>
        <v>0</v>
      </c>
      <c r="X467" s="24" t="str">
        <f aca="false">IF($N467="","",IFERROR(INDEX(VAT_Codes!$H:$H,MATCH($N467,VAT_Codes!$A:$A,0)),"")&amp;"")</f>
        <v/>
      </c>
      <c r="Y467" s="24" t="str">
        <f aca="false">IF($A467="","",(YEAR($A467)-YEAR(Settings!$C$8))*12+MONTH($A467)-MONTH(Settings!$C$8)+1)</f>
        <v/>
      </c>
      <c r="Z467" s="24" t="str">
        <f aca="false">IF(AND($C467="",$I467="",$J467=""),"",IF($N467="","NO VAT CODE",IF($T467="","UNKNOWN VAT CODE",IF($S467="","MISSING FX RATE",IF(OR($A467&lt;Settings!$C$8,$A467&gt;Settings!$C$9),"OUTSIDE PERIOD",IF(AND(IFERROR(INDEX(VAT_Codes!$E:$E,MATCH($N467,VAT_Codes!$A:$A,0)),"ANY")&lt;&gt;"ANY",$P467=""),"MISSING COUNTERPARTY COUNTRY",IF(AND(IFERROR(INDEX(VAT_Codes!$E:$E,MATCH($N467,VAT_Codes!$A:$A,0)),"ANY")&lt;&gt;"ANY",$P467&lt;&gt;IFERROR(INDEX(VAT_Codes!$E:$E,MATCH($N467,VAT_Codes!$A:$A,0)),"ANY")),"REGION MISMATCH","OK")))))))</f>
        <v/>
      </c>
    </row>
    <row r="468" customFormat="false" ht="15" hidden="false" customHeight="false" outlineLevel="0" collapsed="false">
      <c r="M468" s="24" t="str">
        <f aca="false">IF($C468="","",IFERROR(INDEX(Account_Mapping!$C:$C,MATCH($C468&amp;"",Account_Mapping!$A:$A,0))&amp;"",""))</f>
        <v/>
      </c>
      <c r="N468" s="24" t="str">
        <f aca="false">IF($K468&lt;&gt;"",$K468,$M468)</f>
        <v/>
      </c>
      <c r="O468" s="24" t="str">
        <f aca="false">IF($F468="","",IFERROR(INDEX(Counterparties!$C:$C,MATCH($F468&amp;"",Counterparties!$A:$A,0))&amp;"",""))</f>
        <v/>
      </c>
      <c r="P468" s="24" t="str">
        <f aca="false">IF($O468="","",IF($O468="CY","CY",IF(ISNUMBER(MATCH($O468,Lists!$A:$A,0)),"EU","3RD")))</f>
        <v/>
      </c>
      <c r="Q468" s="24" t="str">
        <f aca="false">IF($F468="","N",IFERROR(IF(INDEX(Counterparties!$E:$E,MATCH($F468&amp;"",Counterparties!$A:$A,0))="Y","Y","N"),"N"))</f>
        <v>N</v>
      </c>
      <c r="R468" s="25" t="n">
        <f aca="false">IF(OR($H468="",$H468="EUR"),1,IFERROR(INDEX(FX_Rates!$D:$D,MATCH($H468,FX_Rates!$A:$A,0)),""))</f>
        <v>1</v>
      </c>
      <c r="S468" s="26" t="str">
        <f aca="false">IF(AND($I468="",$J468=""),"",IF($J468&lt;&gt;"",$J468,IF(OR($R468="",$R468=0),"",ROUND($I468/$R468,2))))</f>
        <v/>
      </c>
      <c r="T468" s="24" t="str">
        <f aca="false">IF($N468="","",IFERROR(INDEX(VAT_Codes!$C:$C,MATCH($N468,VAT_Codes!$A:$A,0)),"")&amp;"")</f>
        <v/>
      </c>
      <c r="U468" s="26" t="n">
        <f aca="false">IF(OR($S468="",$T468="",$T468="None"),0,IF($T468="Output",-$S468,$S468))</f>
        <v>0</v>
      </c>
      <c r="V468" s="27" t="n">
        <f aca="false">IF($N468="",0,IFERROR(INDEX(VAT_Codes!$D:$D,MATCH($N468,VAT_Codes!$A:$A,0)),0))</f>
        <v>0</v>
      </c>
      <c r="W468" s="26" t="n">
        <f aca="false">IF($U468=0,0,IF(IFERROR(INDEX(VAT_Codes!$F:$F,MATCH($N468,VAT_Codes!$A:$A,0)),"N")="Y",$U468,IF($L468&lt;&gt;"",ROUND(ABS($L468)/IF(OR($R468="",$R468=0),1,$R468),2)*SIGN($U468),ROUND($U468*$V468,2))))</f>
        <v>0</v>
      </c>
      <c r="X468" s="24" t="str">
        <f aca="false">IF($N468="","",IFERROR(INDEX(VAT_Codes!$H:$H,MATCH($N468,VAT_Codes!$A:$A,0)),"")&amp;"")</f>
        <v/>
      </c>
      <c r="Y468" s="24" t="str">
        <f aca="false">IF($A468="","",(YEAR($A468)-YEAR(Settings!$C$8))*12+MONTH($A468)-MONTH(Settings!$C$8)+1)</f>
        <v/>
      </c>
      <c r="Z468" s="24" t="str">
        <f aca="false">IF(AND($C468="",$I468="",$J468=""),"",IF($N468="","NO VAT CODE",IF($T468="","UNKNOWN VAT CODE",IF($S468="","MISSING FX RATE",IF(OR($A468&lt;Settings!$C$8,$A468&gt;Settings!$C$9),"OUTSIDE PERIOD",IF(AND(IFERROR(INDEX(VAT_Codes!$E:$E,MATCH($N468,VAT_Codes!$A:$A,0)),"ANY")&lt;&gt;"ANY",$P468=""),"MISSING COUNTERPARTY COUNTRY",IF(AND(IFERROR(INDEX(VAT_Codes!$E:$E,MATCH($N468,VAT_Codes!$A:$A,0)),"ANY")&lt;&gt;"ANY",$P468&lt;&gt;IFERROR(INDEX(VAT_Codes!$E:$E,MATCH($N468,VAT_Codes!$A:$A,0)),"ANY")),"REGION MISMATCH","OK")))))))</f>
        <v/>
      </c>
    </row>
    <row r="469" customFormat="false" ht="15" hidden="false" customHeight="false" outlineLevel="0" collapsed="false">
      <c r="M469" s="24" t="str">
        <f aca="false">IF($C469="","",IFERROR(INDEX(Account_Mapping!$C:$C,MATCH($C469&amp;"",Account_Mapping!$A:$A,0))&amp;"",""))</f>
        <v/>
      </c>
      <c r="N469" s="24" t="str">
        <f aca="false">IF($K469&lt;&gt;"",$K469,$M469)</f>
        <v/>
      </c>
      <c r="O469" s="24" t="str">
        <f aca="false">IF($F469="","",IFERROR(INDEX(Counterparties!$C:$C,MATCH($F469&amp;"",Counterparties!$A:$A,0))&amp;"",""))</f>
        <v/>
      </c>
      <c r="P469" s="24" t="str">
        <f aca="false">IF($O469="","",IF($O469="CY","CY",IF(ISNUMBER(MATCH($O469,Lists!$A:$A,0)),"EU","3RD")))</f>
        <v/>
      </c>
      <c r="Q469" s="24" t="str">
        <f aca="false">IF($F469="","N",IFERROR(IF(INDEX(Counterparties!$E:$E,MATCH($F469&amp;"",Counterparties!$A:$A,0))="Y","Y","N"),"N"))</f>
        <v>N</v>
      </c>
      <c r="R469" s="25" t="n">
        <f aca="false">IF(OR($H469="",$H469="EUR"),1,IFERROR(INDEX(FX_Rates!$D:$D,MATCH($H469,FX_Rates!$A:$A,0)),""))</f>
        <v>1</v>
      </c>
      <c r="S469" s="26" t="str">
        <f aca="false">IF(AND($I469="",$J469=""),"",IF($J469&lt;&gt;"",$J469,IF(OR($R469="",$R469=0),"",ROUND($I469/$R469,2))))</f>
        <v/>
      </c>
      <c r="T469" s="24" t="str">
        <f aca="false">IF($N469="","",IFERROR(INDEX(VAT_Codes!$C:$C,MATCH($N469,VAT_Codes!$A:$A,0)),"")&amp;"")</f>
        <v/>
      </c>
      <c r="U469" s="26" t="n">
        <f aca="false">IF(OR($S469="",$T469="",$T469="None"),0,IF($T469="Output",-$S469,$S469))</f>
        <v>0</v>
      </c>
      <c r="V469" s="27" t="n">
        <f aca="false">IF($N469="",0,IFERROR(INDEX(VAT_Codes!$D:$D,MATCH($N469,VAT_Codes!$A:$A,0)),0))</f>
        <v>0</v>
      </c>
      <c r="W469" s="26" t="n">
        <f aca="false">IF($U469=0,0,IF(IFERROR(INDEX(VAT_Codes!$F:$F,MATCH($N469,VAT_Codes!$A:$A,0)),"N")="Y",$U469,IF($L469&lt;&gt;"",ROUND(ABS($L469)/IF(OR($R469="",$R469=0),1,$R469),2)*SIGN($U469),ROUND($U469*$V469,2))))</f>
        <v>0</v>
      </c>
      <c r="X469" s="24" t="str">
        <f aca="false">IF($N469="","",IFERROR(INDEX(VAT_Codes!$H:$H,MATCH($N469,VAT_Codes!$A:$A,0)),"")&amp;"")</f>
        <v/>
      </c>
      <c r="Y469" s="24" t="str">
        <f aca="false">IF($A469="","",(YEAR($A469)-YEAR(Settings!$C$8))*12+MONTH($A469)-MONTH(Settings!$C$8)+1)</f>
        <v/>
      </c>
      <c r="Z469" s="24" t="str">
        <f aca="false">IF(AND($C469="",$I469="",$J469=""),"",IF($N469="","NO VAT CODE",IF($T469="","UNKNOWN VAT CODE",IF($S469="","MISSING FX RATE",IF(OR($A469&lt;Settings!$C$8,$A469&gt;Settings!$C$9),"OUTSIDE PERIOD",IF(AND(IFERROR(INDEX(VAT_Codes!$E:$E,MATCH($N469,VAT_Codes!$A:$A,0)),"ANY")&lt;&gt;"ANY",$P469=""),"MISSING COUNTERPARTY COUNTRY",IF(AND(IFERROR(INDEX(VAT_Codes!$E:$E,MATCH($N469,VAT_Codes!$A:$A,0)),"ANY")&lt;&gt;"ANY",$P469&lt;&gt;IFERROR(INDEX(VAT_Codes!$E:$E,MATCH($N469,VAT_Codes!$A:$A,0)),"ANY")),"REGION MISMATCH","OK")))))))</f>
        <v/>
      </c>
    </row>
    <row r="470" customFormat="false" ht="15" hidden="false" customHeight="false" outlineLevel="0" collapsed="false">
      <c r="M470" s="24" t="str">
        <f aca="false">IF($C470="","",IFERROR(INDEX(Account_Mapping!$C:$C,MATCH($C470&amp;"",Account_Mapping!$A:$A,0))&amp;"",""))</f>
        <v/>
      </c>
      <c r="N470" s="24" t="str">
        <f aca="false">IF($K470&lt;&gt;"",$K470,$M470)</f>
        <v/>
      </c>
      <c r="O470" s="24" t="str">
        <f aca="false">IF($F470="","",IFERROR(INDEX(Counterparties!$C:$C,MATCH($F470&amp;"",Counterparties!$A:$A,0))&amp;"",""))</f>
        <v/>
      </c>
      <c r="P470" s="24" t="str">
        <f aca="false">IF($O470="","",IF($O470="CY","CY",IF(ISNUMBER(MATCH($O470,Lists!$A:$A,0)),"EU","3RD")))</f>
        <v/>
      </c>
      <c r="Q470" s="24" t="str">
        <f aca="false">IF($F470="","N",IFERROR(IF(INDEX(Counterparties!$E:$E,MATCH($F470&amp;"",Counterparties!$A:$A,0))="Y","Y","N"),"N"))</f>
        <v>N</v>
      </c>
      <c r="R470" s="25" t="n">
        <f aca="false">IF(OR($H470="",$H470="EUR"),1,IFERROR(INDEX(FX_Rates!$D:$D,MATCH($H470,FX_Rates!$A:$A,0)),""))</f>
        <v>1</v>
      </c>
      <c r="S470" s="26" t="str">
        <f aca="false">IF(AND($I470="",$J470=""),"",IF($J470&lt;&gt;"",$J470,IF(OR($R470="",$R470=0),"",ROUND($I470/$R470,2))))</f>
        <v/>
      </c>
      <c r="T470" s="24" t="str">
        <f aca="false">IF($N470="","",IFERROR(INDEX(VAT_Codes!$C:$C,MATCH($N470,VAT_Codes!$A:$A,0)),"")&amp;"")</f>
        <v/>
      </c>
      <c r="U470" s="26" t="n">
        <f aca="false">IF(OR($S470="",$T470="",$T470="None"),0,IF($T470="Output",-$S470,$S470))</f>
        <v>0</v>
      </c>
      <c r="V470" s="27" t="n">
        <f aca="false">IF($N470="",0,IFERROR(INDEX(VAT_Codes!$D:$D,MATCH($N470,VAT_Codes!$A:$A,0)),0))</f>
        <v>0</v>
      </c>
      <c r="W470" s="26" t="n">
        <f aca="false">IF($U470=0,0,IF(IFERROR(INDEX(VAT_Codes!$F:$F,MATCH($N470,VAT_Codes!$A:$A,0)),"N")="Y",$U470,IF($L470&lt;&gt;"",ROUND(ABS($L470)/IF(OR($R470="",$R470=0),1,$R470),2)*SIGN($U470),ROUND($U470*$V470,2))))</f>
        <v>0</v>
      </c>
      <c r="X470" s="24" t="str">
        <f aca="false">IF($N470="","",IFERROR(INDEX(VAT_Codes!$H:$H,MATCH($N470,VAT_Codes!$A:$A,0)),"")&amp;"")</f>
        <v/>
      </c>
      <c r="Y470" s="24" t="str">
        <f aca="false">IF($A470="","",(YEAR($A470)-YEAR(Settings!$C$8))*12+MONTH($A470)-MONTH(Settings!$C$8)+1)</f>
        <v/>
      </c>
      <c r="Z470" s="24" t="str">
        <f aca="false">IF(AND($C470="",$I470="",$J470=""),"",IF($N470="","NO VAT CODE",IF($T470="","UNKNOWN VAT CODE",IF($S470="","MISSING FX RATE",IF(OR($A470&lt;Settings!$C$8,$A470&gt;Settings!$C$9),"OUTSIDE PERIOD",IF(AND(IFERROR(INDEX(VAT_Codes!$E:$E,MATCH($N470,VAT_Codes!$A:$A,0)),"ANY")&lt;&gt;"ANY",$P470=""),"MISSING COUNTERPARTY COUNTRY",IF(AND(IFERROR(INDEX(VAT_Codes!$E:$E,MATCH($N470,VAT_Codes!$A:$A,0)),"ANY")&lt;&gt;"ANY",$P470&lt;&gt;IFERROR(INDEX(VAT_Codes!$E:$E,MATCH($N470,VAT_Codes!$A:$A,0)),"ANY")),"REGION MISMATCH","OK")))))))</f>
        <v/>
      </c>
    </row>
    <row r="471" customFormat="false" ht="15" hidden="false" customHeight="false" outlineLevel="0" collapsed="false">
      <c r="M471" s="24" t="str">
        <f aca="false">IF($C471="","",IFERROR(INDEX(Account_Mapping!$C:$C,MATCH($C471&amp;"",Account_Mapping!$A:$A,0))&amp;"",""))</f>
        <v/>
      </c>
      <c r="N471" s="24" t="str">
        <f aca="false">IF($K471&lt;&gt;"",$K471,$M471)</f>
        <v/>
      </c>
      <c r="O471" s="24" t="str">
        <f aca="false">IF($F471="","",IFERROR(INDEX(Counterparties!$C:$C,MATCH($F471&amp;"",Counterparties!$A:$A,0))&amp;"",""))</f>
        <v/>
      </c>
      <c r="P471" s="24" t="str">
        <f aca="false">IF($O471="","",IF($O471="CY","CY",IF(ISNUMBER(MATCH($O471,Lists!$A:$A,0)),"EU","3RD")))</f>
        <v/>
      </c>
      <c r="Q471" s="24" t="str">
        <f aca="false">IF($F471="","N",IFERROR(IF(INDEX(Counterparties!$E:$E,MATCH($F471&amp;"",Counterparties!$A:$A,0))="Y","Y","N"),"N"))</f>
        <v>N</v>
      </c>
      <c r="R471" s="25" t="n">
        <f aca="false">IF(OR($H471="",$H471="EUR"),1,IFERROR(INDEX(FX_Rates!$D:$D,MATCH($H471,FX_Rates!$A:$A,0)),""))</f>
        <v>1</v>
      </c>
      <c r="S471" s="26" t="str">
        <f aca="false">IF(AND($I471="",$J471=""),"",IF($J471&lt;&gt;"",$J471,IF(OR($R471="",$R471=0),"",ROUND($I471/$R471,2))))</f>
        <v/>
      </c>
      <c r="T471" s="24" t="str">
        <f aca="false">IF($N471="","",IFERROR(INDEX(VAT_Codes!$C:$C,MATCH($N471,VAT_Codes!$A:$A,0)),"")&amp;"")</f>
        <v/>
      </c>
      <c r="U471" s="26" t="n">
        <f aca="false">IF(OR($S471="",$T471="",$T471="None"),0,IF($T471="Output",-$S471,$S471))</f>
        <v>0</v>
      </c>
      <c r="V471" s="27" t="n">
        <f aca="false">IF($N471="",0,IFERROR(INDEX(VAT_Codes!$D:$D,MATCH($N471,VAT_Codes!$A:$A,0)),0))</f>
        <v>0</v>
      </c>
      <c r="W471" s="26" t="n">
        <f aca="false">IF($U471=0,0,IF(IFERROR(INDEX(VAT_Codes!$F:$F,MATCH($N471,VAT_Codes!$A:$A,0)),"N")="Y",$U471,IF($L471&lt;&gt;"",ROUND(ABS($L471)/IF(OR($R471="",$R471=0),1,$R471),2)*SIGN($U471),ROUND($U471*$V471,2))))</f>
        <v>0</v>
      </c>
      <c r="X471" s="24" t="str">
        <f aca="false">IF($N471="","",IFERROR(INDEX(VAT_Codes!$H:$H,MATCH($N471,VAT_Codes!$A:$A,0)),"")&amp;"")</f>
        <v/>
      </c>
      <c r="Y471" s="24" t="str">
        <f aca="false">IF($A471="","",(YEAR($A471)-YEAR(Settings!$C$8))*12+MONTH($A471)-MONTH(Settings!$C$8)+1)</f>
        <v/>
      </c>
      <c r="Z471" s="24" t="str">
        <f aca="false">IF(AND($C471="",$I471="",$J471=""),"",IF($N471="","NO VAT CODE",IF($T471="","UNKNOWN VAT CODE",IF($S471="","MISSING FX RATE",IF(OR($A471&lt;Settings!$C$8,$A471&gt;Settings!$C$9),"OUTSIDE PERIOD",IF(AND(IFERROR(INDEX(VAT_Codes!$E:$E,MATCH($N471,VAT_Codes!$A:$A,0)),"ANY")&lt;&gt;"ANY",$P471=""),"MISSING COUNTERPARTY COUNTRY",IF(AND(IFERROR(INDEX(VAT_Codes!$E:$E,MATCH($N471,VAT_Codes!$A:$A,0)),"ANY")&lt;&gt;"ANY",$P471&lt;&gt;IFERROR(INDEX(VAT_Codes!$E:$E,MATCH($N471,VAT_Codes!$A:$A,0)),"ANY")),"REGION MISMATCH","OK")))))))</f>
        <v/>
      </c>
    </row>
    <row r="472" customFormat="false" ht="15" hidden="false" customHeight="false" outlineLevel="0" collapsed="false">
      <c r="M472" s="24" t="str">
        <f aca="false">IF($C472="","",IFERROR(INDEX(Account_Mapping!$C:$C,MATCH($C472&amp;"",Account_Mapping!$A:$A,0))&amp;"",""))</f>
        <v/>
      </c>
      <c r="N472" s="24" t="str">
        <f aca="false">IF($K472&lt;&gt;"",$K472,$M472)</f>
        <v/>
      </c>
      <c r="O472" s="24" t="str">
        <f aca="false">IF($F472="","",IFERROR(INDEX(Counterparties!$C:$C,MATCH($F472&amp;"",Counterparties!$A:$A,0))&amp;"",""))</f>
        <v/>
      </c>
      <c r="P472" s="24" t="str">
        <f aca="false">IF($O472="","",IF($O472="CY","CY",IF(ISNUMBER(MATCH($O472,Lists!$A:$A,0)),"EU","3RD")))</f>
        <v/>
      </c>
      <c r="Q472" s="24" t="str">
        <f aca="false">IF($F472="","N",IFERROR(IF(INDEX(Counterparties!$E:$E,MATCH($F472&amp;"",Counterparties!$A:$A,0))="Y","Y","N"),"N"))</f>
        <v>N</v>
      </c>
      <c r="R472" s="25" t="n">
        <f aca="false">IF(OR($H472="",$H472="EUR"),1,IFERROR(INDEX(FX_Rates!$D:$D,MATCH($H472,FX_Rates!$A:$A,0)),""))</f>
        <v>1</v>
      </c>
      <c r="S472" s="26" t="str">
        <f aca="false">IF(AND($I472="",$J472=""),"",IF($J472&lt;&gt;"",$J472,IF(OR($R472="",$R472=0),"",ROUND($I472/$R472,2))))</f>
        <v/>
      </c>
      <c r="T472" s="24" t="str">
        <f aca="false">IF($N472="","",IFERROR(INDEX(VAT_Codes!$C:$C,MATCH($N472,VAT_Codes!$A:$A,0)),"")&amp;"")</f>
        <v/>
      </c>
      <c r="U472" s="26" t="n">
        <f aca="false">IF(OR($S472="",$T472="",$T472="None"),0,IF($T472="Output",-$S472,$S472))</f>
        <v>0</v>
      </c>
      <c r="V472" s="27" t="n">
        <f aca="false">IF($N472="",0,IFERROR(INDEX(VAT_Codes!$D:$D,MATCH($N472,VAT_Codes!$A:$A,0)),0))</f>
        <v>0</v>
      </c>
      <c r="W472" s="26" t="n">
        <f aca="false">IF($U472=0,0,IF(IFERROR(INDEX(VAT_Codes!$F:$F,MATCH($N472,VAT_Codes!$A:$A,0)),"N")="Y",$U472,IF($L472&lt;&gt;"",ROUND(ABS($L472)/IF(OR($R472="",$R472=0),1,$R472),2)*SIGN($U472),ROUND($U472*$V472,2))))</f>
        <v>0</v>
      </c>
      <c r="X472" s="24" t="str">
        <f aca="false">IF($N472="","",IFERROR(INDEX(VAT_Codes!$H:$H,MATCH($N472,VAT_Codes!$A:$A,0)),"")&amp;"")</f>
        <v/>
      </c>
      <c r="Y472" s="24" t="str">
        <f aca="false">IF($A472="","",(YEAR($A472)-YEAR(Settings!$C$8))*12+MONTH($A472)-MONTH(Settings!$C$8)+1)</f>
        <v/>
      </c>
      <c r="Z472" s="24" t="str">
        <f aca="false">IF(AND($C472="",$I472="",$J472=""),"",IF($N472="","NO VAT CODE",IF($T472="","UNKNOWN VAT CODE",IF($S472="","MISSING FX RATE",IF(OR($A472&lt;Settings!$C$8,$A472&gt;Settings!$C$9),"OUTSIDE PERIOD",IF(AND(IFERROR(INDEX(VAT_Codes!$E:$E,MATCH($N472,VAT_Codes!$A:$A,0)),"ANY")&lt;&gt;"ANY",$P472=""),"MISSING COUNTERPARTY COUNTRY",IF(AND(IFERROR(INDEX(VAT_Codes!$E:$E,MATCH($N472,VAT_Codes!$A:$A,0)),"ANY")&lt;&gt;"ANY",$P472&lt;&gt;IFERROR(INDEX(VAT_Codes!$E:$E,MATCH($N472,VAT_Codes!$A:$A,0)),"ANY")),"REGION MISMATCH","OK")))))))</f>
        <v/>
      </c>
    </row>
    <row r="473" customFormat="false" ht="15" hidden="false" customHeight="false" outlineLevel="0" collapsed="false">
      <c r="M473" s="24" t="str">
        <f aca="false">IF($C473="","",IFERROR(INDEX(Account_Mapping!$C:$C,MATCH($C473&amp;"",Account_Mapping!$A:$A,0))&amp;"",""))</f>
        <v/>
      </c>
      <c r="N473" s="24" t="str">
        <f aca="false">IF($K473&lt;&gt;"",$K473,$M473)</f>
        <v/>
      </c>
      <c r="O473" s="24" t="str">
        <f aca="false">IF($F473="","",IFERROR(INDEX(Counterparties!$C:$C,MATCH($F473&amp;"",Counterparties!$A:$A,0))&amp;"",""))</f>
        <v/>
      </c>
      <c r="P473" s="24" t="str">
        <f aca="false">IF($O473="","",IF($O473="CY","CY",IF(ISNUMBER(MATCH($O473,Lists!$A:$A,0)),"EU","3RD")))</f>
        <v/>
      </c>
      <c r="Q473" s="24" t="str">
        <f aca="false">IF($F473="","N",IFERROR(IF(INDEX(Counterparties!$E:$E,MATCH($F473&amp;"",Counterparties!$A:$A,0))="Y","Y","N"),"N"))</f>
        <v>N</v>
      </c>
      <c r="R473" s="25" t="n">
        <f aca="false">IF(OR($H473="",$H473="EUR"),1,IFERROR(INDEX(FX_Rates!$D:$D,MATCH($H473,FX_Rates!$A:$A,0)),""))</f>
        <v>1</v>
      </c>
      <c r="S473" s="26" t="str">
        <f aca="false">IF(AND($I473="",$J473=""),"",IF($J473&lt;&gt;"",$J473,IF(OR($R473="",$R473=0),"",ROUND($I473/$R473,2))))</f>
        <v/>
      </c>
      <c r="T473" s="24" t="str">
        <f aca="false">IF($N473="","",IFERROR(INDEX(VAT_Codes!$C:$C,MATCH($N473,VAT_Codes!$A:$A,0)),"")&amp;"")</f>
        <v/>
      </c>
      <c r="U473" s="26" t="n">
        <f aca="false">IF(OR($S473="",$T473="",$T473="None"),0,IF($T473="Output",-$S473,$S473))</f>
        <v>0</v>
      </c>
      <c r="V473" s="27" t="n">
        <f aca="false">IF($N473="",0,IFERROR(INDEX(VAT_Codes!$D:$D,MATCH($N473,VAT_Codes!$A:$A,0)),0))</f>
        <v>0</v>
      </c>
      <c r="W473" s="26" t="n">
        <f aca="false">IF($U473=0,0,IF(IFERROR(INDEX(VAT_Codes!$F:$F,MATCH($N473,VAT_Codes!$A:$A,0)),"N")="Y",$U473,IF($L473&lt;&gt;"",ROUND(ABS($L473)/IF(OR($R473="",$R473=0),1,$R473),2)*SIGN($U473),ROUND($U473*$V473,2))))</f>
        <v>0</v>
      </c>
      <c r="X473" s="24" t="str">
        <f aca="false">IF($N473="","",IFERROR(INDEX(VAT_Codes!$H:$H,MATCH($N473,VAT_Codes!$A:$A,0)),"")&amp;"")</f>
        <v/>
      </c>
      <c r="Y473" s="24" t="str">
        <f aca="false">IF($A473="","",(YEAR($A473)-YEAR(Settings!$C$8))*12+MONTH($A473)-MONTH(Settings!$C$8)+1)</f>
        <v/>
      </c>
      <c r="Z473" s="24" t="str">
        <f aca="false">IF(AND($C473="",$I473="",$J473=""),"",IF($N473="","NO VAT CODE",IF($T473="","UNKNOWN VAT CODE",IF($S473="","MISSING FX RATE",IF(OR($A473&lt;Settings!$C$8,$A473&gt;Settings!$C$9),"OUTSIDE PERIOD",IF(AND(IFERROR(INDEX(VAT_Codes!$E:$E,MATCH($N473,VAT_Codes!$A:$A,0)),"ANY")&lt;&gt;"ANY",$P473=""),"MISSING COUNTERPARTY COUNTRY",IF(AND(IFERROR(INDEX(VAT_Codes!$E:$E,MATCH($N473,VAT_Codes!$A:$A,0)),"ANY")&lt;&gt;"ANY",$P473&lt;&gt;IFERROR(INDEX(VAT_Codes!$E:$E,MATCH($N473,VAT_Codes!$A:$A,0)),"ANY")),"REGION MISMATCH","OK")))))))</f>
        <v/>
      </c>
    </row>
    <row r="474" customFormat="false" ht="15" hidden="false" customHeight="false" outlineLevel="0" collapsed="false">
      <c r="M474" s="24" t="str">
        <f aca="false">IF($C474="","",IFERROR(INDEX(Account_Mapping!$C:$C,MATCH($C474&amp;"",Account_Mapping!$A:$A,0))&amp;"",""))</f>
        <v/>
      </c>
      <c r="N474" s="24" t="str">
        <f aca="false">IF($K474&lt;&gt;"",$K474,$M474)</f>
        <v/>
      </c>
      <c r="O474" s="24" t="str">
        <f aca="false">IF($F474="","",IFERROR(INDEX(Counterparties!$C:$C,MATCH($F474&amp;"",Counterparties!$A:$A,0))&amp;"",""))</f>
        <v/>
      </c>
      <c r="P474" s="24" t="str">
        <f aca="false">IF($O474="","",IF($O474="CY","CY",IF(ISNUMBER(MATCH($O474,Lists!$A:$A,0)),"EU","3RD")))</f>
        <v/>
      </c>
      <c r="Q474" s="24" t="str">
        <f aca="false">IF($F474="","N",IFERROR(IF(INDEX(Counterparties!$E:$E,MATCH($F474&amp;"",Counterparties!$A:$A,0))="Y","Y","N"),"N"))</f>
        <v>N</v>
      </c>
      <c r="R474" s="25" t="n">
        <f aca="false">IF(OR($H474="",$H474="EUR"),1,IFERROR(INDEX(FX_Rates!$D:$D,MATCH($H474,FX_Rates!$A:$A,0)),""))</f>
        <v>1</v>
      </c>
      <c r="S474" s="26" t="str">
        <f aca="false">IF(AND($I474="",$J474=""),"",IF($J474&lt;&gt;"",$J474,IF(OR($R474="",$R474=0),"",ROUND($I474/$R474,2))))</f>
        <v/>
      </c>
      <c r="T474" s="24" t="str">
        <f aca="false">IF($N474="","",IFERROR(INDEX(VAT_Codes!$C:$C,MATCH($N474,VAT_Codes!$A:$A,0)),"")&amp;"")</f>
        <v/>
      </c>
      <c r="U474" s="26" t="n">
        <f aca="false">IF(OR($S474="",$T474="",$T474="None"),0,IF($T474="Output",-$S474,$S474))</f>
        <v>0</v>
      </c>
      <c r="V474" s="27" t="n">
        <f aca="false">IF($N474="",0,IFERROR(INDEX(VAT_Codes!$D:$D,MATCH($N474,VAT_Codes!$A:$A,0)),0))</f>
        <v>0</v>
      </c>
      <c r="W474" s="26" t="n">
        <f aca="false">IF($U474=0,0,IF(IFERROR(INDEX(VAT_Codes!$F:$F,MATCH($N474,VAT_Codes!$A:$A,0)),"N")="Y",$U474,IF($L474&lt;&gt;"",ROUND(ABS($L474)/IF(OR($R474="",$R474=0),1,$R474),2)*SIGN($U474),ROUND($U474*$V474,2))))</f>
        <v>0</v>
      </c>
      <c r="X474" s="24" t="str">
        <f aca="false">IF($N474="","",IFERROR(INDEX(VAT_Codes!$H:$H,MATCH($N474,VAT_Codes!$A:$A,0)),"")&amp;"")</f>
        <v/>
      </c>
      <c r="Y474" s="24" t="str">
        <f aca="false">IF($A474="","",(YEAR($A474)-YEAR(Settings!$C$8))*12+MONTH($A474)-MONTH(Settings!$C$8)+1)</f>
        <v/>
      </c>
      <c r="Z474" s="24" t="str">
        <f aca="false">IF(AND($C474="",$I474="",$J474=""),"",IF($N474="","NO VAT CODE",IF($T474="","UNKNOWN VAT CODE",IF($S474="","MISSING FX RATE",IF(OR($A474&lt;Settings!$C$8,$A474&gt;Settings!$C$9),"OUTSIDE PERIOD",IF(AND(IFERROR(INDEX(VAT_Codes!$E:$E,MATCH($N474,VAT_Codes!$A:$A,0)),"ANY")&lt;&gt;"ANY",$P474=""),"MISSING COUNTERPARTY COUNTRY",IF(AND(IFERROR(INDEX(VAT_Codes!$E:$E,MATCH($N474,VAT_Codes!$A:$A,0)),"ANY")&lt;&gt;"ANY",$P474&lt;&gt;IFERROR(INDEX(VAT_Codes!$E:$E,MATCH($N474,VAT_Codes!$A:$A,0)),"ANY")),"REGION MISMATCH","OK")))))))</f>
        <v/>
      </c>
    </row>
    <row r="475" customFormat="false" ht="15" hidden="false" customHeight="false" outlineLevel="0" collapsed="false">
      <c r="M475" s="24" t="str">
        <f aca="false">IF($C475="","",IFERROR(INDEX(Account_Mapping!$C:$C,MATCH($C475&amp;"",Account_Mapping!$A:$A,0))&amp;"",""))</f>
        <v/>
      </c>
      <c r="N475" s="24" t="str">
        <f aca="false">IF($K475&lt;&gt;"",$K475,$M475)</f>
        <v/>
      </c>
      <c r="O475" s="24" t="str">
        <f aca="false">IF($F475="","",IFERROR(INDEX(Counterparties!$C:$C,MATCH($F475&amp;"",Counterparties!$A:$A,0))&amp;"",""))</f>
        <v/>
      </c>
      <c r="P475" s="24" t="str">
        <f aca="false">IF($O475="","",IF($O475="CY","CY",IF(ISNUMBER(MATCH($O475,Lists!$A:$A,0)),"EU","3RD")))</f>
        <v/>
      </c>
      <c r="Q475" s="24" t="str">
        <f aca="false">IF($F475="","N",IFERROR(IF(INDEX(Counterparties!$E:$E,MATCH($F475&amp;"",Counterparties!$A:$A,0))="Y","Y","N"),"N"))</f>
        <v>N</v>
      </c>
      <c r="R475" s="25" t="n">
        <f aca="false">IF(OR($H475="",$H475="EUR"),1,IFERROR(INDEX(FX_Rates!$D:$D,MATCH($H475,FX_Rates!$A:$A,0)),""))</f>
        <v>1</v>
      </c>
      <c r="S475" s="26" t="str">
        <f aca="false">IF(AND($I475="",$J475=""),"",IF($J475&lt;&gt;"",$J475,IF(OR($R475="",$R475=0),"",ROUND($I475/$R475,2))))</f>
        <v/>
      </c>
      <c r="T475" s="24" t="str">
        <f aca="false">IF($N475="","",IFERROR(INDEX(VAT_Codes!$C:$C,MATCH($N475,VAT_Codes!$A:$A,0)),"")&amp;"")</f>
        <v/>
      </c>
      <c r="U475" s="26" t="n">
        <f aca="false">IF(OR($S475="",$T475="",$T475="None"),0,IF($T475="Output",-$S475,$S475))</f>
        <v>0</v>
      </c>
      <c r="V475" s="27" t="n">
        <f aca="false">IF($N475="",0,IFERROR(INDEX(VAT_Codes!$D:$D,MATCH($N475,VAT_Codes!$A:$A,0)),0))</f>
        <v>0</v>
      </c>
      <c r="W475" s="26" t="n">
        <f aca="false">IF($U475=0,0,IF(IFERROR(INDEX(VAT_Codes!$F:$F,MATCH($N475,VAT_Codes!$A:$A,0)),"N")="Y",$U475,IF($L475&lt;&gt;"",ROUND(ABS($L475)/IF(OR($R475="",$R475=0),1,$R475),2)*SIGN($U475),ROUND($U475*$V475,2))))</f>
        <v>0</v>
      </c>
      <c r="X475" s="24" t="str">
        <f aca="false">IF($N475="","",IFERROR(INDEX(VAT_Codes!$H:$H,MATCH($N475,VAT_Codes!$A:$A,0)),"")&amp;"")</f>
        <v/>
      </c>
      <c r="Y475" s="24" t="str">
        <f aca="false">IF($A475="","",(YEAR($A475)-YEAR(Settings!$C$8))*12+MONTH($A475)-MONTH(Settings!$C$8)+1)</f>
        <v/>
      </c>
      <c r="Z475" s="24" t="str">
        <f aca="false">IF(AND($C475="",$I475="",$J475=""),"",IF($N475="","NO VAT CODE",IF($T475="","UNKNOWN VAT CODE",IF($S475="","MISSING FX RATE",IF(OR($A475&lt;Settings!$C$8,$A475&gt;Settings!$C$9),"OUTSIDE PERIOD",IF(AND(IFERROR(INDEX(VAT_Codes!$E:$E,MATCH($N475,VAT_Codes!$A:$A,0)),"ANY")&lt;&gt;"ANY",$P475=""),"MISSING COUNTERPARTY COUNTRY",IF(AND(IFERROR(INDEX(VAT_Codes!$E:$E,MATCH($N475,VAT_Codes!$A:$A,0)),"ANY")&lt;&gt;"ANY",$P475&lt;&gt;IFERROR(INDEX(VAT_Codes!$E:$E,MATCH($N475,VAT_Codes!$A:$A,0)),"ANY")),"REGION MISMATCH","OK")))))))</f>
        <v/>
      </c>
    </row>
    <row r="476" customFormat="false" ht="15" hidden="false" customHeight="false" outlineLevel="0" collapsed="false">
      <c r="M476" s="24" t="str">
        <f aca="false">IF($C476="","",IFERROR(INDEX(Account_Mapping!$C:$C,MATCH($C476&amp;"",Account_Mapping!$A:$A,0))&amp;"",""))</f>
        <v/>
      </c>
      <c r="N476" s="24" t="str">
        <f aca="false">IF($K476&lt;&gt;"",$K476,$M476)</f>
        <v/>
      </c>
      <c r="O476" s="24" t="str">
        <f aca="false">IF($F476="","",IFERROR(INDEX(Counterparties!$C:$C,MATCH($F476&amp;"",Counterparties!$A:$A,0))&amp;"",""))</f>
        <v/>
      </c>
      <c r="P476" s="24" t="str">
        <f aca="false">IF($O476="","",IF($O476="CY","CY",IF(ISNUMBER(MATCH($O476,Lists!$A:$A,0)),"EU","3RD")))</f>
        <v/>
      </c>
      <c r="Q476" s="24" t="str">
        <f aca="false">IF($F476="","N",IFERROR(IF(INDEX(Counterparties!$E:$E,MATCH($F476&amp;"",Counterparties!$A:$A,0))="Y","Y","N"),"N"))</f>
        <v>N</v>
      </c>
      <c r="R476" s="25" t="n">
        <f aca="false">IF(OR($H476="",$H476="EUR"),1,IFERROR(INDEX(FX_Rates!$D:$D,MATCH($H476,FX_Rates!$A:$A,0)),""))</f>
        <v>1</v>
      </c>
      <c r="S476" s="26" t="str">
        <f aca="false">IF(AND($I476="",$J476=""),"",IF($J476&lt;&gt;"",$J476,IF(OR($R476="",$R476=0),"",ROUND($I476/$R476,2))))</f>
        <v/>
      </c>
      <c r="T476" s="24" t="str">
        <f aca="false">IF($N476="","",IFERROR(INDEX(VAT_Codes!$C:$C,MATCH($N476,VAT_Codes!$A:$A,0)),"")&amp;"")</f>
        <v/>
      </c>
      <c r="U476" s="26" t="n">
        <f aca="false">IF(OR($S476="",$T476="",$T476="None"),0,IF($T476="Output",-$S476,$S476))</f>
        <v>0</v>
      </c>
      <c r="V476" s="27" t="n">
        <f aca="false">IF($N476="",0,IFERROR(INDEX(VAT_Codes!$D:$D,MATCH($N476,VAT_Codes!$A:$A,0)),0))</f>
        <v>0</v>
      </c>
      <c r="W476" s="26" t="n">
        <f aca="false">IF($U476=0,0,IF(IFERROR(INDEX(VAT_Codes!$F:$F,MATCH($N476,VAT_Codes!$A:$A,0)),"N")="Y",$U476,IF($L476&lt;&gt;"",ROUND(ABS($L476)/IF(OR($R476="",$R476=0),1,$R476),2)*SIGN($U476),ROUND($U476*$V476,2))))</f>
        <v>0</v>
      </c>
      <c r="X476" s="24" t="str">
        <f aca="false">IF($N476="","",IFERROR(INDEX(VAT_Codes!$H:$H,MATCH($N476,VAT_Codes!$A:$A,0)),"")&amp;"")</f>
        <v/>
      </c>
      <c r="Y476" s="24" t="str">
        <f aca="false">IF($A476="","",(YEAR($A476)-YEAR(Settings!$C$8))*12+MONTH($A476)-MONTH(Settings!$C$8)+1)</f>
        <v/>
      </c>
      <c r="Z476" s="24" t="str">
        <f aca="false">IF(AND($C476="",$I476="",$J476=""),"",IF($N476="","NO VAT CODE",IF($T476="","UNKNOWN VAT CODE",IF($S476="","MISSING FX RATE",IF(OR($A476&lt;Settings!$C$8,$A476&gt;Settings!$C$9),"OUTSIDE PERIOD",IF(AND(IFERROR(INDEX(VAT_Codes!$E:$E,MATCH($N476,VAT_Codes!$A:$A,0)),"ANY")&lt;&gt;"ANY",$P476=""),"MISSING COUNTERPARTY COUNTRY",IF(AND(IFERROR(INDEX(VAT_Codes!$E:$E,MATCH($N476,VAT_Codes!$A:$A,0)),"ANY")&lt;&gt;"ANY",$P476&lt;&gt;IFERROR(INDEX(VAT_Codes!$E:$E,MATCH($N476,VAT_Codes!$A:$A,0)),"ANY")),"REGION MISMATCH","OK")))))))</f>
        <v/>
      </c>
    </row>
    <row r="477" customFormat="false" ht="15" hidden="false" customHeight="false" outlineLevel="0" collapsed="false">
      <c r="M477" s="24" t="str">
        <f aca="false">IF($C477="","",IFERROR(INDEX(Account_Mapping!$C:$C,MATCH($C477&amp;"",Account_Mapping!$A:$A,0))&amp;"",""))</f>
        <v/>
      </c>
      <c r="N477" s="24" t="str">
        <f aca="false">IF($K477&lt;&gt;"",$K477,$M477)</f>
        <v/>
      </c>
      <c r="O477" s="24" t="str">
        <f aca="false">IF($F477="","",IFERROR(INDEX(Counterparties!$C:$C,MATCH($F477&amp;"",Counterparties!$A:$A,0))&amp;"",""))</f>
        <v/>
      </c>
      <c r="P477" s="24" t="str">
        <f aca="false">IF($O477="","",IF($O477="CY","CY",IF(ISNUMBER(MATCH($O477,Lists!$A:$A,0)),"EU","3RD")))</f>
        <v/>
      </c>
      <c r="Q477" s="24" t="str">
        <f aca="false">IF($F477="","N",IFERROR(IF(INDEX(Counterparties!$E:$E,MATCH($F477&amp;"",Counterparties!$A:$A,0))="Y","Y","N"),"N"))</f>
        <v>N</v>
      </c>
      <c r="R477" s="25" t="n">
        <f aca="false">IF(OR($H477="",$H477="EUR"),1,IFERROR(INDEX(FX_Rates!$D:$D,MATCH($H477,FX_Rates!$A:$A,0)),""))</f>
        <v>1</v>
      </c>
      <c r="S477" s="26" t="str">
        <f aca="false">IF(AND($I477="",$J477=""),"",IF($J477&lt;&gt;"",$J477,IF(OR($R477="",$R477=0),"",ROUND($I477/$R477,2))))</f>
        <v/>
      </c>
      <c r="T477" s="24" t="str">
        <f aca="false">IF($N477="","",IFERROR(INDEX(VAT_Codes!$C:$C,MATCH($N477,VAT_Codes!$A:$A,0)),"")&amp;"")</f>
        <v/>
      </c>
      <c r="U477" s="26" t="n">
        <f aca="false">IF(OR($S477="",$T477="",$T477="None"),0,IF($T477="Output",-$S477,$S477))</f>
        <v>0</v>
      </c>
      <c r="V477" s="27" t="n">
        <f aca="false">IF($N477="",0,IFERROR(INDEX(VAT_Codes!$D:$D,MATCH($N477,VAT_Codes!$A:$A,0)),0))</f>
        <v>0</v>
      </c>
      <c r="W477" s="26" t="n">
        <f aca="false">IF($U477=0,0,IF(IFERROR(INDEX(VAT_Codes!$F:$F,MATCH($N477,VAT_Codes!$A:$A,0)),"N")="Y",$U477,IF($L477&lt;&gt;"",ROUND(ABS($L477)/IF(OR($R477="",$R477=0),1,$R477),2)*SIGN($U477),ROUND($U477*$V477,2))))</f>
        <v>0</v>
      </c>
      <c r="X477" s="24" t="str">
        <f aca="false">IF($N477="","",IFERROR(INDEX(VAT_Codes!$H:$H,MATCH($N477,VAT_Codes!$A:$A,0)),"")&amp;"")</f>
        <v/>
      </c>
      <c r="Y477" s="24" t="str">
        <f aca="false">IF($A477="","",(YEAR($A477)-YEAR(Settings!$C$8))*12+MONTH($A477)-MONTH(Settings!$C$8)+1)</f>
        <v/>
      </c>
      <c r="Z477" s="24" t="str">
        <f aca="false">IF(AND($C477="",$I477="",$J477=""),"",IF($N477="","NO VAT CODE",IF($T477="","UNKNOWN VAT CODE",IF($S477="","MISSING FX RATE",IF(OR($A477&lt;Settings!$C$8,$A477&gt;Settings!$C$9),"OUTSIDE PERIOD",IF(AND(IFERROR(INDEX(VAT_Codes!$E:$E,MATCH($N477,VAT_Codes!$A:$A,0)),"ANY")&lt;&gt;"ANY",$P477=""),"MISSING COUNTERPARTY COUNTRY",IF(AND(IFERROR(INDEX(VAT_Codes!$E:$E,MATCH($N477,VAT_Codes!$A:$A,0)),"ANY")&lt;&gt;"ANY",$P477&lt;&gt;IFERROR(INDEX(VAT_Codes!$E:$E,MATCH($N477,VAT_Codes!$A:$A,0)),"ANY")),"REGION MISMATCH","OK")))))))</f>
        <v/>
      </c>
    </row>
    <row r="478" customFormat="false" ht="15" hidden="false" customHeight="false" outlineLevel="0" collapsed="false">
      <c r="M478" s="24" t="str">
        <f aca="false">IF($C478="","",IFERROR(INDEX(Account_Mapping!$C:$C,MATCH($C478&amp;"",Account_Mapping!$A:$A,0))&amp;"",""))</f>
        <v/>
      </c>
      <c r="N478" s="24" t="str">
        <f aca="false">IF($K478&lt;&gt;"",$K478,$M478)</f>
        <v/>
      </c>
      <c r="O478" s="24" t="str">
        <f aca="false">IF($F478="","",IFERROR(INDEX(Counterparties!$C:$C,MATCH($F478&amp;"",Counterparties!$A:$A,0))&amp;"",""))</f>
        <v/>
      </c>
      <c r="P478" s="24" t="str">
        <f aca="false">IF($O478="","",IF($O478="CY","CY",IF(ISNUMBER(MATCH($O478,Lists!$A:$A,0)),"EU","3RD")))</f>
        <v/>
      </c>
      <c r="Q478" s="24" t="str">
        <f aca="false">IF($F478="","N",IFERROR(IF(INDEX(Counterparties!$E:$E,MATCH($F478&amp;"",Counterparties!$A:$A,0))="Y","Y","N"),"N"))</f>
        <v>N</v>
      </c>
      <c r="R478" s="25" t="n">
        <f aca="false">IF(OR($H478="",$H478="EUR"),1,IFERROR(INDEX(FX_Rates!$D:$D,MATCH($H478,FX_Rates!$A:$A,0)),""))</f>
        <v>1</v>
      </c>
      <c r="S478" s="26" t="str">
        <f aca="false">IF(AND($I478="",$J478=""),"",IF($J478&lt;&gt;"",$J478,IF(OR($R478="",$R478=0),"",ROUND($I478/$R478,2))))</f>
        <v/>
      </c>
      <c r="T478" s="24" t="str">
        <f aca="false">IF($N478="","",IFERROR(INDEX(VAT_Codes!$C:$C,MATCH($N478,VAT_Codes!$A:$A,0)),"")&amp;"")</f>
        <v/>
      </c>
      <c r="U478" s="26" t="n">
        <f aca="false">IF(OR($S478="",$T478="",$T478="None"),0,IF($T478="Output",-$S478,$S478))</f>
        <v>0</v>
      </c>
      <c r="V478" s="27" t="n">
        <f aca="false">IF($N478="",0,IFERROR(INDEX(VAT_Codes!$D:$D,MATCH($N478,VAT_Codes!$A:$A,0)),0))</f>
        <v>0</v>
      </c>
      <c r="W478" s="26" t="n">
        <f aca="false">IF($U478=0,0,IF(IFERROR(INDEX(VAT_Codes!$F:$F,MATCH($N478,VAT_Codes!$A:$A,0)),"N")="Y",$U478,IF($L478&lt;&gt;"",ROUND(ABS($L478)/IF(OR($R478="",$R478=0),1,$R478),2)*SIGN($U478),ROUND($U478*$V478,2))))</f>
        <v>0</v>
      </c>
      <c r="X478" s="24" t="str">
        <f aca="false">IF($N478="","",IFERROR(INDEX(VAT_Codes!$H:$H,MATCH($N478,VAT_Codes!$A:$A,0)),"")&amp;"")</f>
        <v/>
      </c>
      <c r="Y478" s="24" t="str">
        <f aca="false">IF($A478="","",(YEAR($A478)-YEAR(Settings!$C$8))*12+MONTH($A478)-MONTH(Settings!$C$8)+1)</f>
        <v/>
      </c>
      <c r="Z478" s="24" t="str">
        <f aca="false">IF(AND($C478="",$I478="",$J478=""),"",IF($N478="","NO VAT CODE",IF($T478="","UNKNOWN VAT CODE",IF($S478="","MISSING FX RATE",IF(OR($A478&lt;Settings!$C$8,$A478&gt;Settings!$C$9),"OUTSIDE PERIOD",IF(AND(IFERROR(INDEX(VAT_Codes!$E:$E,MATCH($N478,VAT_Codes!$A:$A,0)),"ANY")&lt;&gt;"ANY",$P478=""),"MISSING COUNTERPARTY COUNTRY",IF(AND(IFERROR(INDEX(VAT_Codes!$E:$E,MATCH($N478,VAT_Codes!$A:$A,0)),"ANY")&lt;&gt;"ANY",$P478&lt;&gt;IFERROR(INDEX(VAT_Codes!$E:$E,MATCH($N478,VAT_Codes!$A:$A,0)),"ANY")),"REGION MISMATCH","OK")))))))</f>
        <v/>
      </c>
    </row>
    <row r="479" customFormat="false" ht="15" hidden="false" customHeight="false" outlineLevel="0" collapsed="false">
      <c r="M479" s="24" t="str">
        <f aca="false">IF($C479="","",IFERROR(INDEX(Account_Mapping!$C:$C,MATCH($C479&amp;"",Account_Mapping!$A:$A,0))&amp;"",""))</f>
        <v/>
      </c>
      <c r="N479" s="24" t="str">
        <f aca="false">IF($K479&lt;&gt;"",$K479,$M479)</f>
        <v/>
      </c>
      <c r="O479" s="24" t="str">
        <f aca="false">IF($F479="","",IFERROR(INDEX(Counterparties!$C:$C,MATCH($F479&amp;"",Counterparties!$A:$A,0))&amp;"",""))</f>
        <v/>
      </c>
      <c r="P479" s="24" t="str">
        <f aca="false">IF($O479="","",IF($O479="CY","CY",IF(ISNUMBER(MATCH($O479,Lists!$A:$A,0)),"EU","3RD")))</f>
        <v/>
      </c>
      <c r="Q479" s="24" t="str">
        <f aca="false">IF($F479="","N",IFERROR(IF(INDEX(Counterparties!$E:$E,MATCH($F479&amp;"",Counterparties!$A:$A,0))="Y","Y","N"),"N"))</f>
        <v>N</v>
      </c>
      <c r="R479" s="25" t="n">
        <f aca="false">IF(OR($H479="",$H479="EUR"),1,IFERROR(INDEX(FX_Rates!$D:$D,MATCH($H479,FX_Rates!$A:$A,0)),""))</f>
        <v>1</v>
      </c>
      <c r="S479" s="26" t="str">
        <f aca="false">IF(AND($I479="",$J479=""),"",IF($J479&lt;&gt;"",$J479,IF(OR($R479="",$R479=0),"",ROUND($I479/$R479,2))))</f>
        <v/>
      </c>
      <c r="T479" s="24" t="str">
        <f aca="false">IF($N479="","",IFERROR(INDEX(VAT_Codes!$C:$C,MATCH($N479,VAT_Codes!$A:$A,0)),"")&amp;"")</f>
        <v/>
      </c>
      <c r="U479" s="26" t="n">
        <f aca="false">IF(OR($S479="",$T479="",$T479="None"),0,IF($T479="Output",-$S479,$S479))</f>
        <v>0</v>
      </c>
      <c r="V479" s="27" t="n">
        <f aca="false">IF($N479="",0,IFERROR(INDEX(VAT_Codes!$D:$D,MATCH($N479,VAT_Codes!$A:$A,0)),0))</f>
        <v>0</v>
      </c>
      <c r="W479" s="26" t="n">
        <f aca="false">IF($U479=0,0,IF(IFERROR(INDEX(VAT_Codes!$F:$F,MATCH($N479,VAT_Codes!$A:$A,0)),"N")="Y",$U479,IF($L479&lt;&gt;"",ROUND(ABS($L479)/IF(OR($R479="",$R479=0),1,$R479),2)*SIGN($U479),ROUND($U479*$V479,2))))</f>
        <v>0</v>
      </c>
      <c r="X479" s="24" t="str">
        <f aca="false">IF($N479="","",IFERROR(INDEX(VAT_Codes!$H:$H,MATCH($N479,VAT_Codes!$A:$A,0)),"")&amp;"")</f>
        <v/>
      </c>
      <c r="Y479" s="24" t="str">
        <f aca="false">IF($A479="","",(YEAR($A479)-YEAR(Settings!$C$8))*12+MONTH($A479)-MONTH(Settings!$C$8)+1)</f>
        <v/>
      </c>
      <c r="Z479" s="24" t="str">
        <f aca="false">IF(AND($C479="",$I479="",$J479=""),"",IF($N479="","NO VAT CODE",IF($T479="","UNKNOWN VAT CODE",IF($S479="","MISSING FX RATE",IF(OR($A479&lt;Settings!$C$8,$A479&gt;Settings!$C$9),"OUTSIDE PERIOD",IF(AND(IFERROR(INDEX(VAT_Codes!$E:$E,MATCH($N479,VAT_Codes!$A:$A,0)),"ANY")&lt;&gt;"ANY",$P479=""),"MISSING COUNTERPARTY COUNTRY",IF(AND(IFERROR(INDEX(VAT_Codes!$E:$E,MATCH($N479,VAT_Codes!$A:$A,0)),"ANY")&lt;&gt;"ANY",$P479&lt;&gt;IFERROR(INDEX(VAT_Codes!$E:$E,MATCH($N479,VAT_Codes!$A:$A,0)),"ANY")),"REGION MISMATCH","OK")))))))</f>
        <v/>
      </c>
    </row>
    <row r="480" customFormat="false" ht="15" hidden="false" customHeight="false" outlineLevel="0" collapsed="false">
      <c r="M480" s="24" t="str">
        <f aca="false">IF($C480="","",IFERROR(INDEX(Account_Mapping!$C:$C,MATCH($C480&amp;"",Account_Mapping!$A:$A,0))&amp;"",""))</f>
        <v/>
      </c>
      <c r="N480" s="24" t="str">
        <f aca="false">IF($K480&lt;&gt;"",$K480,$M480)</f>
        <v/>
      </c>
      <c r="O480" s="24" t="str">
        <f aca="false">IF($F480="","",IFERROR(INDEX(Counterparties!$C:$C,MATCH($F480&amp;"",Counterparties!$A:$A,0))&amp;"",""))</f>
        <v/>
      </c>
      <c r="P480" s="24" t="str">
        <f aca="false">IF($O480="","",IF($O480="CY","CY",IF(ISNUMBER(MATCH($O480,Lists!$A:$A,0)),"EU","3RD")))</f>
        <v/>
      </c>
      <c r="Q480" s="24" t="str">
        <f aca="false">IF($F480="","N",IFERROR(IF(INDEX(Counterparties!$E:$E,MATCH($F480&amp;"",Counterparties!$A:$A,0))="Y","Y","N"),"N"))</f>
        <v>N</v>
      </c>
      <c r="R480" s="25" t="n">
        <f aca="false">IF(OR($H480="",$H480="EUR"),1,IFERROR(INDEX(FX_Rates!$D:$D,MATCH($H480,FX_Rates!$A:$A,0)),""))</f>
        <v>1</v>
      </c>
      <c r="S480" s="26" t="str">
        <f aca="false">IF(AND($I480="",$J480=""),"",IF($J480&lt;&gt;"",$J480,IF(OR($R480="",$R480=0),"",ROUND($I480/$R480,2))))</f>
        <v/>
      </c>
      <c r="T480" s="24" t="str">
        <f aca="false">IF($N480="","",IFERROR(INDEX(VAT_Codes!$C:$C,MATCH($N480,VAT_Codes!$A:$A,0)),"")&amp;"")</f>
        <v/>
      </c>
      <c r="U480" s="26" t="n">
        <f aca="false">IF(OR($S480="",$T480="",$T480="None"),0,IF($T480="Output",-$S480,$S480))</f>
        <v>0</v>
      </c>
      <c r="V480" s="27" t="n">
        <f aca="false">IF($N480="",0,IFERROR(INDEX(VAT_Codes!$D:$D,MATCH($N480,VAT_Codes!$A:$A,0)),0))</f>
        <v>0</v>
      </c>
      <c r="W480" s="26" t="n">
        <f aca="false">IF($U480=0,0,IF(IFERROR(INDEX(VAT_Codes!$F:$F,MATCH($N480,VAT_Codes!$A:$A,0)),"N")="Y",$U480,IF($L480&lt;&gt;"",ROUND(ABS($L480)/IF(OR($R480="",$R480=0),1,$R480),2)*SIGN($U480),ROUND($U480*$V480,2))))</f>
        <v>0</v>
      </c>
      <c r="X480" s="24" t="str">
        <f aca="false">IF($N480="","",IFERROR(INDEX(VAT_Codes!$H:$H,MATCH($N480,VAT_Codes!$A:$A,0)),"")&amp;"")</f>
        <v/>
      </c>
      <c r="Y480" s="24" t="str">
        <f aca="false">IF($A480="","",(YEAR($A480)-YEAR(Settings!$C$8))*12+MONTH($A480)-MONTH(Settings!$C$8)+1)</f>
        <v/>
      </c>
      <c r="Z480" s="24" t="str">
        <f aca="false">IF(AND($C480="",$I480="",$J480=""),"",IF($N480="","NO VAT CODE",IF($T480="","UNKNOWN VAT CODE",IF($S480="","MISSING FX RATE",IF(OR($A480&lt;Settings!$C$8,$A480&gt;Settings!$C$9),"OUTSIDE PERIOD",IF(AND(IFERROR(INDEX(VAT_Codes!$E:$E,MATCH($N480,VAT_Codes!$A:$A,0)),"ANY")&lt;&gt;"ANY",$P480=""),"MISSING COUNTERPARTY COUNTRY",IF(AND(IFERROR(INDEX(VAT_Codes!$E:$E,MATCH($N480,VAT_Codes!$A:$A,0)),"ANY")&lt;&gt;"ANY",$P480&lt;&gt;IFERROR(INDEX(VAT_Codes!$E:$E,MATCH($N480,VAT_Codes!$A:$A,0)),"ANY")),"REGION MISMATCH","OK")))))))</f>
        <v/>
      </c>
    </row>
    <row r="481" customFormat="false" ht="15" hidden="false" customHeight="false" outlineLevel="0" collapsed="false">
      <c r="M481" s="24" t="str">
        <f aca="false">IF($C481="","",IFERROR(INDEX(Account_Mapping!$C:$C,MATCH($C481&amp;"",Account_Mapping!$A:$A,0))&amp;"",""))</f>
        <v/>
      </c>
      <c r="N481" s="24" t="str">
        <f aca="false">IF($K481&lt;&gt;"",$K481,$M481)</f>
        <v/>
      </c>
      <c r="O481" s="24" t="str">
        <f aca="false">IF($F481="","",IFERROR(INDEX(Counterparties!$C:$C,MATCH($F481&amp;"",Counterparties!$A:$A,0))&amp;"",""))</f>
        <v/>
      </c>
      <c r="P481" s="24" t="str">
        <f aca="false">IF($O481="","",IF($O481="CY","CY",IF(ISNUMBER(MATCH($O481,Lists!$A:$A,0)),"EU","3RD")))</f>
        <v/>
      </c>
      <c r="Q481" s="24" t="str">
        <f aca="false">IF($F481="","N",IFERROR(IF(INDEX(Counterparties!$E:$E,MATCH($F481&amp;"",Counterparties!$A:$A,0))="Y","Y","N"),"N"))</f>
        <v>N</v>
      </c>
      <c r="R481" s="25" t="n">
        <f aca="false">IF(OR($H481="",$H481="EUR"),1,IFERROR(INDEX(FX_Rates!$D:$D,MATCH($H481,FX_Rates!$A:$A,0)),""))</f>
        <v>1</v>
      </c>
      <c r="S481" s="26" t="str">
        <f aca="false">IF(AND($I481="",$J481=""),"",IF($J481&lt;&gt;"",$J481,IF(OR($R481="",$R481=0),"",ROUND($I481/$R481,2))))</f>
        <v/>
      </c>
      <c r="T481" s="24" t="str">
        <f aca="false">IF($N481="","",IFERROR(INDEX(VAT_Codes!$C:$C,MATCH($N481,VAT_Codes!$A:$A,0)),"")&amp;"")</f>
        <v/>
      </c>
      <c r="U481" s="26" t="n">
        <f aca="false">IF(OR($S481="",$T481="",$T481="None"),0,IF($T481="Output",-$S481,$S481))</f>
        <v>0</v>
      </c>
      <c r="V481" s="27" t="n">
        <f aca="false">IF($N481="",0,IFERROR(INDEX(VAT_Codes!$D:$D,MATCH($N481,VAT_Codes!$A:$A,0)),0))</f>
        <v>0</v>
      </c>
      <c r="W481" s="26" t="n">
        <f aca="false">IF($U481=0,0,IF(IFERROR(INDEX(VAT_Codes!$F:$F,MATCH($N481,VAT_Codes!$A:$A,0)),"N")="Y",$U481,IF($L481&lt;&gt;"",ROUND(ABS($L481)/IF(OR($R481="",$R481=0),1,$R481),2)*SIGN($U481),ROUND($U481*$V481,2))))</f>
        <v>0</v>
      </c>
      <c r="X481" s="24" t="str">
        <f aca="false">IF($N481="","",IFERROR(INDEX(VAT_Codes!$H:$H,MATCH($N481,VAT_Codes!$A:$A,0)),"")&amp;"")</f>
        <v/>
      </c>
      <c r="Y481" s="24" t="str">
        <f aca="false">IF($A481="","",(YEAR($A481)-YEAR(Settings!$C$8))*12+MONTH($A481)-MONTH(Settings!$C$8)+1)</f>
        <v/>
      </c>
      <c r="Z481" s="24" t="str">
        <f aca="false">IF(AND($C481="",$I481="",$J481=""),"",IF($N481="","NO VAT CODE",IF($T481="","UNKNOWN VAT CODE",IF($S481="","MISSING FX RATE",IF(OR($A481&lt;Settings!$C$8,$A481&gt;Settings!$C$9),"OUTSIDE PERIOD",IF(AND(IFERROR(INDEX(VAT_Codes!$E:$E,MATCH($N481,VAT_Codes!$A:$A,0)),"ANY")&lt;&gt;"ANY",$P481=""),"MISSING COUNTERPARTY COUNTRY",IF(AND(IFERROR(INDEX(VAT_Codes!$E:$E,MATCH($N481,VAT_Codes!$A:$A,0)),"ANY")&lt;&gt;"ANY",$P481&lt;&gt;IFERROR(INDEX(VAT_Codes!$E:$E,MATCH($N481,VAT_Codes!$A:$A,0)),"ANY")),"REGION MISMATCH","OK")))))))</f>
        <v/>
      </c>
    </row>
    <row r="482" customFormat="false" ht="15" hidden="false" customHeight="false" outlineLevel="0" collapsed="false">
      <c r="M482" s="24" t="str">
        <f aca="false">IF($C482="","",IFERROR(INDEX(Account_Mapping!$C:$C,MATCH($C482&amp;"",Account_Mapping!$A:$A,0))&amp;"",""))</f>
        <v/>
      </c>
      <c r="N482" s="24" t="str">
        <f aca="false">IF($K482&lt;&gt;"",$K482,$M482)</f>
        <v/>
      </c>
      <c r="O482" s="24" t="str">
        <f aca="false">IF($F482="","",IFERROR(INDEX(Counterparties!$C:$C,MATCH($F482&amp;"",Counterparties!$A:$A,0))&amp;"",""))</f>
        <v/>
      </c>
      <c r="P482" s="24" t="str">
        <f aca="false">IF($O482="","",IF($O482="CY","CY",IF(ISNUMBER(MATCH($O482,Lists!$A:$A,0)),"EU","3RD")))</f>
        <v/>
      </c>
      <c r="Q482" s="24" t="str">
        <f aca="false">IF($F482="","N",IFERROR(IF(INDEX(Counterparties!$E:$E,MATCH($F482&amp;"",Counterparties!$A:$A,0))="Y","Y","N"),"N"))</f>
        <v>N</v>
      </c>
      <c r="R482" s="25" t="n">
        <f aca="false">IF(OR($H482="",$H482="EUR"),1,IFERROR(INDEX(FX_Rates!$D:$D,MATCH($H482,FX_Rates!$A:$A,0)),""))</f>
        <v>1</v>
      </c>
      <c r="S482" s="26" t="str">
        <f aca="false">IF(AND($I482="",$J482=""),"",IF($J482&lt;&gt;"",$J482,IF(OR($R482="",$R482=0),"",ROUND($I482/$R482,2))))</f>
        <v/>
      </c>
      <c r="T482" s="24" t="str">
        <f aca="false">IF($N482="","",IFERROR(INDEX(VAT_Codes!$C:$C,MATCH($N482,VAT_Codes!$A:$A,0)),"")&amp;"")</f>
        <v/>
      </c>
      <c r="U482" s="26" t="n">
        <f aca="false">IF(OR($S482="",$T482="",$T482="None"),0,IF($T482="Output",-$S482,$S482))</f>
        <v>0</v>
      </c>
      <c r="V482" s="27" t="n">
        <f aca="false">IF($N482="",0,IFERROR(INDEX(VAT_Codes!$D:$D,MATCH($N482,VAT_Codes!$A:$A,0)),0))</f>
        <v>0</v>
      </c>
      <c r="W482" s="26" t="n">
        <f aca="false">IF($U482=0,0,IF(IFERROR(INDEX(VAT_Codes!$F:$F,MATCH($N482,VAT_Codes!$A:$A,0)),"N")="Y",$U482,IF($L482&lt;&gt;"",ROUND(ABS($L482)/IF(OR($R482="",$R482=0),1,$R482),2)*SIGN($U482),ROUND($U482*$V482,2))))</f>
        <v>0</v>
      </c>
      <c r="X482" s="24" t="str">
        <f aca="false">IF($N482="","",IFERROR(INDEX(VAT_Codes!$H:$H,MATCH($N482,VAT_Codes!$A:$A,0)),"")&amp;"")</f>
        <v/>
      </c>
      <c r="Y482" s="24" t="str">
        <f aca="false">IF($A482="","",(YEAR($A482)-YEAR(Settings!$C$8))*12+MONTH($A482)-MONTH(Settings!$C$8)+1)</f>
        <v/>
      </c>
      <c r="Z482" s="24" t="str">
        <f aca="false">IF(AND($C482="",$I482="",$J482=""),"",IF($N482="","NO VAT CODE",IF($T482="","UNKNOWN VAT CODE",IF($S482="","MISSING FX RATE",IF(OR($A482&lt;Settings!$C$8,$A482&gt;Settings!$C$9),"OUTSIDE PERIOD",IF(AND(IFERROR(INDEX(VAT_Codes!$E:$E,MATCH($N482,VAT_Codes!$A:$A,0)),"ANY")&lt;&gt;"ANY",$P482=""),"MISSING COUNTERPARTY COUNTRY",IF(AND(IFERROR(INDEX(VAT_Codes!$E:$E,MATCH($N482,VAT_Codes!$A:$A,0)),"ANY")&lt;&gt;"ANY",$P482&lt;&gt;IFERROR(INDEX(VAT_Codes!$E:$E,MATCH($N482,VAT_Codes!$A:$A,0)),"ANY")),"REGION MISMATCH","OK")))))))</f>
        <v/>
      </c>
    </row>
    <row r="483" customFormat="false" ht="15" hidden="false" customHeight="false" outlineLevel="0" collapsed="false">
      <c r="M483" s="24" t="str">
        <f aca="false">IF($C483="","",IFERROR(INDEX(Account_Mapping!$C:$C,MATCH($C483&amp;"",Account_Mapping!$A:$A,0))&amp;"",""))</f>
        <v/>
      </c>
      <c r="N483" s="24" t="str">
        <f aca="false">IF($K483&lt;&gt;"",$K483,$M483)</f>
        <v/>
      </c>
      <c r="O483" s="24" t="str">
        <f aca="false">IF($F483="","",IFERROR(INDEX(Counterparties!$C:$C,MATCH($F483&amp;"",Counterparties!$A:$A,0))&amp;"",""))</f>
        <v/>
      </c>
      <c r="P483" s="24" t="str">
        <f aca="false">IF($O483="","",IF($O483="CY","CY",IF(ISNUMBER(MATCH($O483,Lists!$A:$A,0)),"EU","3RD")))</f>
        <v/>
      </c>
      <c r="Q483" s="24" t="str">
        <f aca="false">IF($F483="","N",IFERROR(IF(INDEX(Counterparties!$E:$E,MATCH($F483&amp;"",Counterparties!$A:$A,0))="Y","Y","N"),"N"))</f>
        <v>N</v>
      </c>
      <c r="R483" s="25" t="n">
        <f aca="false">IF(OR($H483="",$H483="EUR"),1,IFERROR(INDEX(FX_Rates!$D:$D,MATCH($H483,FX_Rates!$A:$A,0)),""))</f>
        <v>1</v>
      </c>
      <c r="S483" s="26" t="str">
        <f aca="false">IF(AND($I483="",$J483=""),"",IF($J483&lt;&gt;"",$J483,IF(OR($R483="",$R483=0),"",ROUND($I483/$R483,2))))</f>
        <v/>
      </c>
      <c r="T483" s="24" t="str">
        <f aca="false">IF($N483="","",IFERROR(INDEX(VAT_Codes!$C:$C,MATCH($N483,VAT_Codes!$A:$A,0)),"")&amp;"")</f>
        <v/>
      </c>
      <c r="U483" s="26" t="n">
        <f aca="false">IF(OR($S483="",$T483="",$T483="None"),0,IF($T483="Output",-$S483,$S483))</f>
        <v>0</v>
      </c>
      <c r="V483" s="27" t="n">
        <f aca="false">IF($N483="",0,IFERROR(INDEX(VAT_Codes!$D:$D,MATCH($N483,VAT_Codes!$A:$A,0)),0))</f>
        <v>0</v>
      </c>
      <c r="W483" s="26" t="n">
        <f aca="false">IF($U483=0,0,IF(IFERROR(INDEX(VAT_Codes!$F:$F,MATCH($N483,VAT_Codes!$A:$A,0)),"N")="Y",$U483,IF($L483&lt;&gt;"",ROUND(ABS($L483)/IF(OR($R483="",$R483=0),1,$R483),2)*SIGN($U483),ROUND($U483*$V483,2))))</f>
        <v>0</v>
      </c>
      <c r="X483" s="24" t="str">
        <f aca="false">IF($N483="","",IFERROR(INDEX(VAT_Codes!$H:$H,MATCH($N483,VAT_Codes!$A:$A,0)),"")&amp;"")</f>
        <v/>
      </c>
      <c r="Y483" s="24" t="str">
        <f aca="false">IF($A483="","",(YEAR($A483)-YEAR(Settings!$C$8))*12+MONTH($A483)-MONTH(Settings!$C$8)+1)</f>
        <v/>
      </c>
      <c r="Z483" s="24" t="str">
        <f aca="false">IF(AND($C483="",$I483="",$J483=""),"",IF($N483="","NO VAT CODE",IF($T483="","UNKNOWN VAT CODE",IF($S483="","MISSING FX RATE",IF(OR($A483&lt;Settings!$C$8,$A483&gt;Settings!$C$9),"OUTSIDE PERIOD",IF(AND(IFERROR(INDEX(VAT_Codes!$E:$E,MATCH($N483,VAT_Codes!$A:$A,0)),"ANY")&lt;&gt;"ANY",$P483=""),"MISSING COUNTERPARTY COUNTRY",IF(AND(IFERROR(INDEX(VAT_Codes!$E:$E,MATCH($N483,VAT_Codes!$A:$A,0)),"ANY")&lt;&gt;"ANY",$P483&lt;&gt;IFERROR(INDEX(VAT_Codes!$E:$E,MATCH($N483,VAT_Codes!$A:$A,0)),"ANY")),"REGION MISMATCH","OK")))))))</f>
        <v/>
      </c>
    </row>
    <row r="484" customFormat="false" ht="15" hidden="false" customHeight="false" outlineLevel="0" collapsed="false">
      <c r="M484" s="24" t="str">
        <f aca="false">IF($C484="","",IFERROR(INDEX(Account_Mapping!$C:$C,MATCH($C484&amp;"",Account_Mapping!$A:$A,0))&amp;"",""))</f>
        <v/>
      </c>
      <c r="N484" s="24" t="str">
        <f aca="false">IF($K484&lt;&gt;"",$K484,$M484)</f>
        <v/>
      </c>
      <c r="O484" s="24" t="str">
        <f aca="false">IF($F484="","",IFERROR(INDEX(Counterparties!$C:$C,MATCH($F484&amp;"",Counterparties!$A:$A,0))&amp;"",""))</f>
        <v/>
      </c>
      <c r="P484" s="24" t="str">
        <f aca="false">IF($O484="","",IF($O484="CY","CY",IF(ISNUMBER(MATCH($O484,Lists!$A:$A,0)),"EU","3RD")))</f>
        <v/>
      </c>
      <c r="Q484" s="24" t="str">
        <f aca="false">IF($F484="","N",IFERROR(IF(INDEX(Counterparties!$E:$E,MATCH($F484&amp;"",Counterparties!$A:$A,0))="Y","Y","N"),"N"))</f>
        <v>N</v>
      </c>
      <c r="R484" s="25" t="n">
        <f aca="false">IF(OR($H484="",$H484="EUR"),1,IFERROR(INDEX(FX_Rates!$D:$D,MATCH($H484,FX_Rates!$A:$A,0)),""))</f>
        <v>1</v>
      </c>
      <c r="S484" s="26" t="str">
        <f aca="false">IF(AND($I484="",$J484=""),"",IF($J484&lt;&gt;"",$J484,IF(OR($R484="",$R484=0),"",ROUND($I484/$R484,2))))</f>
        <v/>
      </c>
      <c r="T484" s="24" t="str">
        <f aca="false">IF($N484="","",IFERROR(INDEX(VAT_Codes!$C:$C,MATCH($N484,VAT_Codes!$A:$A,0)),"")&amp;"")</f>
        <v/>
      </c>
      <c r="U484" s="26" t="n">
        <f aca="false">IF(OR($S484="",$T484="",$T484="None"),0,IF($T484="Output",-$S484,$S484))</f>
        <v>0</v>
      </c>
      <c r="V484" s="27" t="n">
        <f aca="false">IF($N484="",0,IFERROR(INDEX(VAT_Codes!$D:$D,MATCH($N484,VAT_Codes!$A:$A,0)),0))</f>
        <v>0</v>
      </c>
      <c r="W484" s="26" t="n">
        <f aca="false">IF($U484=0,0,IF(IFERROR(INDEX(VAT_Codes!$F:$F,MATCH($N484,VAT_Codes!$A:$A,0)),"N")="Y",$U484,IF($L484&lt;&gt;"",ROUND(ABS($L484)/IF(OR($R484="",$R484=0),1,$R484),2)*SIGN($U484),ROUND($U484*$V484,2))))</f>
        <v>0</v>
      </c>
      <c r="X484" s="24" t="str">
        <f aca="false">IF($N484="","",IFERROR(INDEX(VAT_Codes!$H:$H,MATCH($N484,VAT_Codes!$A:$A,0)),"")&amp;"")</f>
        <v/>
      </c>
      <c r="Y484" s="24" t="str">
        <f aca="false">IF($A484="","",(YEAR($A484)-YEAR(Settings!$C$8))*12+MONTH($A484)-MONTH(Settings!$C$8)+1)</f>
        <v/>
      </c>
      <c r="Z484" s="24" t="str">
        <f aca="false">IF(AND($C484="",$I484="",$J484=""),"",IF($N484="","NO VAT CODE",IF($T484="","UNKNOWN VAT CODE",IF($S484="","MISSING FX RATE",IF(OR($A484&lt;Settings!$C$8,$A484&gt;Settings!$C$9),"OUTSIDE PERIOD",IF(AND(IFERROR(INDEX(VAT_Codes!$E:$E,MATCH($N484,VAT_Codes!$A:$A,0)),"ANY")&lt;&gt;"ANY",$P484=""),"MISSING COUNTERPARTY COUNTRY",IF(AND(IFERROR(INDEX(VAT_Codes!$E:$E,MATCH($N484,VAT_Codes!$A:$A,0)),"ANY")&lt;&gt;"ANY",$P484&lt;&gt;IFERROR(INDEX(VAT_Codes!$E:$E,MATCH($N484,VAT_Codes!$A:$A,0)),"ANY")),"REGION MISMATCH","OK")))))))</f>
        <v/>
      </c>
    </row>
    <row r="485" customFormat="false" ht="15" hidden="false" customHeight="false" outlineLevel="0" collapsed="false">
      <c r="M485" s="24" t="str">
        <f aca="false">IF($C485="","",IFERROR(INDEX(Account_Mapping!$C:$C,MATCH($C485&amp;"",Account_Mapping!$A:$A,0))&amp;"",""))</f>
        <v/>
      </c>
      <c r="N485" s="24" t="str">
        <f aca="false">IF($K485&lt;&gt;"",$K485,$M485)</f>
        <v/>
      </c>
      <c r="O485" s="24" t="str">
        <f aca="false">IF($F485="","",IFERROR(INDEX(Counterparties!$C:$C,MATCH($F485&amp;"",Counterparties!$A:$A,0))&amp;"",""))</f>
        <v/>
      </c>
      <c r="P485" s="24" t="str">
        <f aca="false">IF($O485="","",IF($O485="CY","CY",IF(ISNUMBER(MATCH($O485,Lists!$A:$A,0)),"EU","3RD")))</f>
        <v/>
      </c>
      <c r="Q485" s="24" t="str">
        <f aca="false">IF($F485="","N",IFERROR(IF(INDEX(Counterparties!$E:$E,MATCH($F485&amp;"",Counterparties!$A:$A,0))="Y","Y","N"),"N"))</f>
        <v>N</v>
      </c>
      <c r="R485" s="25" t="n">
        <f aca="false">IF(OR($H485="",$H485="EUR"),1,IFERROR(INDEX(FX_Rates!$D:$D,MATCH($H485,FX_Rates!$A:$A,0)),""))</f>
        <v>1</v>
      </c>
      <c r="S485" s="26" t="str">
        <f aca="false">IF(AND($I485="",$J485=""),"",IF($J485&lt;&gt;"",$J485,IF(OR($R485="",$R485=0),"",ROUND($I485/$R485,2))))</f>
        <v/>
      </c>
      <c r="T485" s="24" t="str">
        <f aca="false">IF($N485="","",IFERROR(INDEX(VAT_Codes!$C:$C,MATCH($N485,VAT_Codes!$A:$A,0)),"")&amp;"")</f>
        <v/>
      </c>
      <c r="U485" s="26" t="n">
        <f aca="false">IF(OR($S485="",$T485="",$T485="None"),0,IF($T485="Output",-$S485,$S485))</f>
        <v>0</v>
      </c>
      <c r="V485" s="27" t="n">
        <f aca="false">IF($N485="",0,IFERROR(INDEX(VAT_Codes!$D:$D,MATCH($N485,VAT_Codes!$A:$A,0)),0))</f>
        <v>0</v>
      </c>
      <c r="W485" s="26" t="n">
        <f aca="false">IF($U485=0,0,IF(IFERROR(INDEX(VAT_Codes!$F:$F,MATCH($N485,VAT_Codes!$A:$A,0)),"N")="Y",$U485,IF($L485&lt;&gt;"",ROUND(ABS($L485)/IF(OR($R485="",$R485=0),1,$R485),2)*SIGN($U485),ROUND($U485*$V485,2))))</f>
        <v>0</v>
      </c>
      <c r="X485" s="24" t="str">
        <f aca="false">IF($N485="","",IFERROR(INDEX(VAT_Codes!$H:$H,MATCH($N485,VAT_Codes!$A:$A,0)),"")&amp;"")</f>
        <v/>
      </c>
      <c r="Y485" s="24" t="str">
        <f aca="false">IF($A485="","",(YEAR($A485)-YEAR(Settings!$C$8))*12+MONTH($A485)-MONTH(Settings!$C$8)+1)</f>
        <v/>
      </c>
      <c r="Z485" s="24" t="str">
        <f aca="false">IF(AND($C485="",$I485="",$J485=""),"",IF($N485="","NO VAT CODE",IF($T485="","UNKNOWN VAT CODE",IF($S485="","MISSING FX RATE",IF(OR($A485&lt;Settings!$C$8,$A485&gt;Settings!$C$9),"OUTSIDE PERIOD",IF(AND(IFERROR(INDEX(VAT_Codes!$E:$E,MATCH($N485,VAT_Codes!$A:$A,0)),"ANY")&lt;&gt;"ANY",$P485=""),"MISSING COUNTERPARTY COUNTRY",IF(AND(IFERROR(INDEX(VAT_Codes!$E:$E,MATCH($N485,VAT_Codes!$A:$A,0)),"ANY")&lt;&gt;"ANY",$P485&lt;&gt;IFERROR(INDEX(VAT_Codes!$E:$E,MATCH($N485,VAT_Codes!$A:$A,0)),"ANY")),"REGION MISMATCH","OK")))))))</f>
        <v/>
      </c>
    </row>
    <row r="486" customFormat="false" ht="15" hidden="false" customHeight="false" outlineLevel="0" collapsed="false">
      <c r="M486" s="24" t="str">
        <f aca="false">IF($C486="","",IFERROR(INDEX(Account_Mapping!$C:$C,MATCH($C486&amp;"",Account_Mapping!$A:$A,0))&amp;"",""))</f>
        <v/>
      </c>
      <c r="N486" s="24" t="str">
        <f aca="false">IF($K486&lt;&gt;"",$K486,$M486)</f>
        <v/>
      </c>
      <c r="O486" s="24" t="str">
        <f aca="false">IF($F486="","",IFERROR(INDEX(Counterparties!$C:$C,MATCH($F486&amp;"",Counterparties!$A:$A,0))&amp;"",""))</f>
        <v/>
      </c>
      <c r="P486" s="24" t="str">
        <f aca="false">IF($O486="","",IF($O486="CY","CY",IF(ISNUMBER(MATCH($O486,Lists!$A:$A,0)),"EU","3RD")))</f>
        <v/>
      </c>
      <c r="Q486" s="24" t="str">
        <f aca="false">IF($F486="","N",IFERROR(IF(INDEX(Counterparties!$E:$E,MATCH($F486&amp;"",Counterparties!$A:$A,0))="Y","Y","N"),"N"))</f>
        <v>N</v>
      </c>
      <c r="R486" s="25" t="n">
        <f aca="false">IF(OR($H486="",$H486="EUR"),1,IFERROR(INDEX(FX_Rates!$D:$D,MATCH($H486,FX_Rates!$A:$A,0)),""))</f>
        <v>1</v>
      </c>
      <c r="S486" s="26" t="str">
        <f aca="false">IF(AND($I486="",$J486=""),"",IF($J486&lt;&gt;"",$J486,IF(OR($R486="",$R486=0),"",ROUND($I486/$R486,2))))</f>
        <v/>
      </c>
      <c r="T486" s="24" t="str">
        <f aca="false">IF($N486="","",IFERROR(INDEX(VAT_Codes!$C:$C,MATCH($N486,VAT_Codes!$A:$A,0)),"")&amp;"")</f>
        <v/>
      </c>
      <c r="U486" s="26" t="n">
        <f aca="false">IF(OR($S486="",$T486="",$T486="None"),0,IF($T486="Output",-$S486,$S486))</f>
        <v>0</v>
      </c>
      <c r="V486" s="27" t="n">
        <f aca="false">IF($N486="",0,IFERROR(INDEX(VAT_Codes!$D:$D,MATCH($N486,VAT_Codes!$A:$A,0)),0))</f>
        <v>0</v>
      </c>
      <c r="W486" s="26" t="n">
        <f aca="false">IF($U486=0,0,IF(IFERROR(INDEX(VAT_Codes!$F:$F,MATCH($N486,VAT_Codes!$A:$A,0)),"N")="Y",$U486,IF($L486&lt;&gt;"",ROUND(ABS($L486)/IF(OR($R486="",$R486=0),1,$R486),2)*SIGN($U486),ROUND($U486*$V486,2))))</f>
        <v>0</v>
      </c>
      <c r="X486" s="24" t="str">
        <f aca="false">IF($N486="","",IFERROR(INDEX(VAT_Codes!$H:$H,MATCH($N486,VAT_Codes!$A:$A,0)),"")&amp;"")</f>
        <v/>
      </c>
      <c r="Y486" s="24" t="str">
        <f aca="false">IF($A486="","",(YEAR($A486)-YEAR(Settings!$C$8))*12+MONTH($A486)-MONTH(Settings!$C$8)+1)</f>
        <v/>
      </c>
      <c r="Z486" s="24" t="str">
        <f aca="false">IF(AND($C486="",$I486="",$J486=""),"",IF($N486="","NO VAT CODE",IF($T486="","UNKNOWN VAT CODE",IF($S486="","MISSING FX RATE",IF(OR($A486&lt;Settings!$C$8,$A486&gt;Settings!$C$9),"OUTSIDE PERIOD",IF(AND(IFERROR(INDEX(VAT_Codes!$E:$E,MATCH($N486,VAT_Codes!$A:$A,0)),"ANY")&lt;&gt;"ANY",$P486=""),"MISSING COUNTERPARTY COUNTRY",IF(AND(IFERROR(INDEX(VAT_Codes!$E:$E,MATCH($N486,VAT_Codes!$A:$A,0)),"ANY")&lt;&gt;"ANY",$P486&lt;&gt;IFERROR(INDEX(VAT_Codes!$E:$E,MATCH($N486,VAT_Codes!$A:$A,0)),"ANY")),"REGION MISMATCH","OK")))))))</f>
        <v/>
      </c>
    </row>
    <row r="487" customFormat="false" ht="15" hidden="false" customHeight="false" outlineLevel="0" collapsed="false">
      <c r="M487" s="24" t="str">
        <f aca="false">IF($C487="","",IFERROR(INDEX(Account_Mapping!$C:$C,MATCH($C487&amp;"",Account_Mapping!$A:$A,0))&amp;"",""))</f>
        <v/>
      </c>
      <c r="N487" s="24" t="str">
        <f aca="false">IF($K487&lt;&gt;"",$K487,$M487)</f>
        <v/>
      </c>
      <c r="O487" s="24" t="str">
        <f aca="false">IF($F487="","",IFERROR(INDEX(Counterparties!$C:$C,MATCH($F487&amp;"",Counterparties!$A:$A,0))&amp;"",""))</f>
        <v/>
      </c>
      <c r="P487" s="24" t="str">
        <f aca="false">IF($O487="","",IF($O487="CY","CY",IF(ISNUMBER(MATCH($O487,Lists!$A:$A,0)),"EU","3RD")))</f>
        <v/>
      </c>
      <c r="Q487" s="24" t="str">
        <f aca="false">IF($F487="","N",IFERROR(IF(INDEX(Counterparties!$E:$E,MATCH($F487&amp;"",Counterparties!$A:$A,0))="Y","Y","N"),"N"))</f>
        <v>N</v>
      </c>
      <c r="R487" s="25" t="n">
        <f aca="false">IF(OR($H487="",$H487="EUR"),1,IFERROR(INDEX(FX_Rates!$D:$D,MATCH($H487,FX_Rates!$A:$A,0)),""))</f>
        <v>1</v>
      </c>
      <c r="S487" s="26" t="str">
        <f aca="false">IF(AND($I487="",$J487=""),"",IF($J487&lt;&gt;"",$J487,IF(OR($R487="",$R487=0),"",ROUND($I487/$R487,2))))</f>
        <v/>
      </c>
      <c r="T487" s="24" t="str">
        <f aca="false">IF($N487="","",IFERROR(INDEX(VAT_Codes!$C:$C,MATCH($N487,VAT_Codes!$A:$A,0)),"")&amp;"")</f>
        <v/>
      </c>
      <c r="U487" s="26" t="n">
        <f aca="false">IF(OR($S487="",$T487="",$T487="None"),0,IF($T487="Output",-$S487,$S487))</f>
        <v>0</v>
      </c>
      <c r="V487" s="27" t="n">
        <f aca="false">IF($N487="",0,IFERROR(INDEX(VAT_Codes!$D:$D,MATCH($N487,VAT_Codes!$A:$A,0)),0))</f>
        <v>0</v>
      </c>
      <c r="W487" s="26" t="n">
        <f aca="false">IF($U487=0,0,IF(IFERROR(INDEX(VAT_Codes!$F:$F,MATCH($N487,VAT_Codes!$A:$A,0)),"N")="Y",$U487,IF($L487&lt;&gt;"",ROUND(ABS($L487)/IF(OR($R487="",$R487=0),1,$R487),2)*SIGN($U487),ROUND($U487*$V487,2))))</f>
        <v>0</v>
      </c>
      <c r="X487" s="24" t="str">
        <f aca="false">IF($N487="","",IFERROR(INDEX(VAT_Codes!$H:$H,MATCH($N487,VAT_Codes!$A:$A,0)),"")&amp;"")</f>
        <v/>
      </c>
      <c r="Y487" s="24" t="str">
        <f aca="false">IF($A487="","",(YEAR($A487)-YEAR(Settings!$C$8))*12+MONTH($A487)-MONTH(Settings!$C$8)+1)</f>
        <v/>
      </c>
      <c r="Z487" s="24" t="str">
        <f aca="false">IF(AND($C487="",$I487="",$J487=""),"",IF($N487="","NO VAT CODE",IF($T487="","UNKNOWN VAT CODE",IF($S487="","MISSING FX RATE",IF(OR($A487&lt;Settings!$C$8,$A487&gt;Settings!$C$9),"OUTSIDE PERIOD",IF(AND(IFERROR(INDEX(VAT_Codes!$E:$E,MATCH($N487,VAT_Codes!$A:$A,0)),"ANY")&lt;&gt;"ANY",$P487=""),"MISSING COUNTERPARTY COUNTRY",IF(AND(IFERROR(INDEX(VAT_Codes!$E:$E,MATCH($N487,VAT_Codes!$A:$A,0)),"ANY")&lt;&gt;"ANY",$P487&lt;&gt;IFERROR(INDEX(VAT_Codes!$E:$E,MATCH($N487,VAT_Codes!$A:$A,0)),"ANY")),"REGION MISMATCH","OK")))))))</f>
        <v/>
      </c>
    </row>
    <row r="488" customFormat="false" ht="15" hidden="false" customHeight="false" outlineLevel="0" collapsed="false">
      <c r="M488" s="24" t="str">
        <f aca="false">IF($C488="","",IFERROR(INDEX(Account_Mapping!$C:$C,MATCH($C488&amp;"",Account_Mapping!$A:$A,0))&amp;"",""))</f>
        <v/>
      </c>
      <c r="N488" s="24" t="str">
        <f aca="false">IF($K488&lt;&gt;"",$K488,$M488)</f>
        <v/>
      </c>
      <c r="O488" s="24" t="str">
        <f aca="false">IF($F488="","",IFERROR(INDEX(Counterparties!$C:$C,MATCH($F488&amp;"",Counterparties!$A:$A,0))&amp;"",""))</f>
        <v/>
      </c>
      <c r="P488" s="24" t="str">
        <f aca="false">IF($O488="","",IF($O488="CY","CY",IF(ISNUMBER(MATCH($O488,Lists!$A:$A,0)),"EU","3RD")))</f>
        <v/>
      </c>
      <c r="Q488" s="24" t="str">
        <f aca="false">IF($F488="","N",IFERROR(IF(INDEX(Counterparties!$E:$E,MATCH($F488&amp;"",Counterparties!$A:$A,0))="Y","Y","N"),"N"))</f>
        <v>N</v>
      </c>
      <c r="R488" s="25" t="n">
        <f aca="false">IF(OR($H488="",$H488="EUR"),1,IFERROR(INDEX(FX_Rates!$D:$D,MATCH($H488,FX_Rates!$A:$A,0)),""))</f>
        <v>1</v>
      </c>
      <c r="S488" s="26" t="str">
        <f aca="false">IF(AND($I488="",$J488=""),"",IF($J488&lt;&gt;"",$J488,IF(OR($R488="",$R488=0),"",ROUND($I488/$R488,2))))</f>
        <v/>
      </c>
      <c r="T488" s="24" t="str">
        <f aca="false">IF($N488="","",IFERROR(INDEX(VAT_Codes!$C:$C,MATCH($N488,VAT_Codes!$A:$A,0)),"")&amp;"")</f>
        <v/>
      </c>
      <c r="U488" s="26" t="n">
        <f aca="false">IF(OR($S488="",$T488="",$T488="None"),0,IF($T488="Output",-$S488,$S488))</f>
        <v>0</v>
      </c>
      <c r="V488" s="27" t="n">
        <f aca="false">IF($N488="",0,IFERROR(INDEX(VAT_Codes!$D:$D,MATCH($N488,VAT_Codes!$A:$A,0)),0))</f>
        <v>0</v>
      </c>
      <c r="W488" s="26" t="n">
        <f aca="false">IF($U488=0,0,IF(IFERROR(INDEX(VAT_Codes!$F:$F,MATCH($N488,VAT_Codes!$A:$A,0)),"N")="Y",$U488,IF($L488&lt;&gt;"",ROUND(ABS($L488)/IF(OR($R488="",$R488=0),1,$R488),2)*SIGN($U488),ROUND($U488*$V488,2))))</f>
        <v>0</v>
      </c>
      <c r="X488" s="24" t="str">
        <f aca="false">IF($N488="","",IFERROR(INDEX(VAT_Codes!$H:$H,MATCH($N488,VAT_Codes!$A:$A,0)),"")&amp;"")</f>
        <v/>
      </c>
      <c r="Y488" s="24" t="str">
        <f aca="false">IF($A488="","",(YEAR($A488)-YEAR(Settings!$C$8))*12+MONTH($A488)-MONTH(Settings!$C$8)+1)</f>
        <v/>
      </c>
      <c r="Z488" s="24" t="str">
        <f aca="false">IF(AND($C488="",$I488="",$J488=""),"",IF($N488="","NO VAT CODE",IF($T488="","UNKNOWN VAT CODE",IF($S488="","MISSING FX RATE",IF(OR($A488&lt;Settings!$C$8,$A488&gt;Settings!$C$9),"OUTSIDE PERIOD",IF(AND(IFERROR(INDEX(VAT_Codes!$E:$E,MATCH($N488,VAT_Codes!$A:$A,0)),"ANY")&lt;&gt;"ANY",$P488=""),"MISSING COUNTERPARTY COUNTRY",IF(AND(IFERROR(INDEX(VAT_Codes!$E:$E,MATCH($N488,VAT_Codes!$A:$A,0)),"ANY")&lt;&gt;"ANY",$P488&lt;&gt;IFERROR(INDEX(VAT_Codes!$E:$E,MATCH($N488,VAT_Codes!$A:$A,0)),"ANY")),"REGION MISMATCH","OK")))))))</f>
        <v/>
      </c>
    </row>
    <row r="489" customFormat="false" ht="15" hidden="false" customHeight="false" outlineLevel="0" collapsed="false">
      <c r="M489" s="24" t="str">
        <f aca="false">IF($C489="","",IFERROR(INDEX(Account_Mapping!$C:$C,MATCH($C489&amp;"",Account_Mapping!$A:$A,0))&amp;"",""))</f>
        <v/>
      </c>
      <c r="N489" s="24" t="str">
        <f aca="false">IF($K489&lt;&gt;"",$K489,$M489)</f>
        <v/>
      </c>
      <c r="O489" s="24" t="str">
        <f aca="false">IF($F489="","",IFERROR(INDEX(Counterparties!$C:$C,MATCH($F489&amp;"",Counterparties!$A:$A,0))&amp;"",""))</f>
        <v/>
      </c>
      <c r="P489" s="24" t="str">
        <f aca="false">IF($O489="","",IF($O489="CY","CY",IF(ISNUMBER(MATCH($O489,Lists!$A:$A,0)),"EU","3RD")))</f>
        <v/>
      </c>
      <c r="Q489" s="24" t="str">
        <f aca="false">IF($F489="","N",IFERROR(IF(INDEX(Counterparties!$E:$E,MATCH($F489&amp;"",Counterparties!$A:$A,0))="Y","Y","N"),"N"))</f>
        <v>N</v>
      </c>
      <c r="R489" s="25" t="n">
        <f aca="false">IF(OR($H489="",$H489="EUR"),1,IFERROR(INDEX(FX_Rates!$D:$D,MATCH($H489,FX_Rates!$A:$A,0)),""))</f>
        <v>1</v>
      </c>
      <c r="S489" s="26" t="str">
        <f aca="false">IF(AND($I489="",$J489=""),"",IF($J489&lt;&gt;"",$J489,IF(OR($R489="",$R489=0),"",ROUND($I489/$R489,2))))</f>
        <v/>
      </c>
      <c r="T489" s="24" t="str">
        <f aca="false">IF($N489="","",IFERROR(INDEX(VAT_Codes!$C:$C,MATCH($N489,VAT_Codes!$A:$A,0)),"")&amp;"")</f>
        <v/>
      </c>
      <c r="U489" s="26" t="n">
        <f aca="false">IF(OR($S489="",$T489="",$T489="None"),0,IF($T489="Output",-$S489,$S489))</f>
        <v>0</v>
      </c>
      <c r="V489" s="27" t="n">
        <f aca="false">IF($N489="",0,IFERROR(INDEX(VAT_Codes!$D:$D,MATCH($N489,VAT_Codes!$A:$A,0)),0))</f>
        <v>0</v>
      </c>
      <c r="W489" s="26" t="n">
        <f aca="false">IF($U489=0,0,IF(IFERROR(INDEX(VAT_Codes!$F:$F,MATCH($N489,VAT_Codes!$A:$A,0)),"N")="Y",$U489,IF($L489&lt;&gt;"",ROUND(ABS($L489)/IF(OR($R489="",$R489=0),1,$R489),2)*SIGN($U489),ROUND($U489*$V489,2))))</f>
        <v>0</v>
      </c>
      <c r="X489" s="24" t="str">
        <f aca="false">IF($N489="","",IFERROR(INDEX(VAT_Codes!$H:$H,MATCH($N489,VAT_Codes!$A:$A,0)),"")&amp;"")</f>
        <v/>
      </c>
      <c r="Y489" s="24" t="str">
        <f aca="false">IF($A489="","",(YEAR($A489)-YEAR(Settings!$C$8))*12+MONTH($A489)-MONTH(Settings!$C$8)+1)</f>
        <v/>
      </c>
      <c r="Z489" s="24" t="str">
        <f aca="false">IF(AND($C489="",$I489="",$J489=""),"",IF($N489="","NO VAT CODE",IF($T489="","UNKNOWN VAT CODE",IF($S489="","MISSING FX RATE",IF(OR($A489&lt;Settings!$C$8,$A489&gt;Settings!$C$9),"OUTSIDE PERIOD",IF(AND(IFERROR(INDEX(VAT_Codes!$E:$E,MATCH($N489,VAT_Codes!$A:$A,0)),"ANY")&lt;&gt;"ANY",$P489=""),"MISSING COUNTERPARTY COUNTRY",IF(AND(IFERROR(INDEX(VAT_Codes!$E:$E,MATCH($N489,VAT_Codes!$A:$A,0)),"ANY")&lt;&gt;"ANY",$P489&lt;&gt;IFERROR(INDEX(VAT_Codes!$E:$E,MATCH($N489,VAT_Codes!$A:$A,0)),"ANY")),"REGION MISMATCH","OK")))))))</f>
        <v/>
      </c>
    </row>
    <row r="490" customFormat="false" ht="15" hidden="false" customHeight="false" outlineLevel="0" collapsed="false">
      <c r="M490" s="24" t="str">
        <f aca="false">IF($C490="","",IFERROR(INDEX(Account_Mapping!$C:$C,MATCH($C490&amp;"",Account_Mapping!$A:$A,0))&amp;"",""))</f>
        <v/>
      </c>
      <c r="N490" s="24" t="str">
        <f aca="false">IF($K490&lt;&gt;"",$K490,$M490)</f>
        <v/>
      </c>
      <c r="O490" s="24" t="str">
        <f aca="false">IF($F490="","",IFERROR(INDEX(Counterparties!$C:$C,MATCH($F490&amp;"",Counterparties!$A:$A,0))&amp;"",""))</f>
        <v/>
      </c>
      <c r="P490" s="24" t="str">
        <f aca="false">IF($O490="","",IF($O490="CY","CY",IF(ISNUMBER(MATCH($O490,Lists!$A:$A,0)),"EU","3RD")))</f>
        <v/>
      </c>
      <c r="Q490" s="24" t="str">
        <f aca="false">IF($F490="","N",IFERROR(IF(INDEX(Counterparties!$E:$E,MATCH($F490&amp;"",Counterparties!$A:$A,0))="Y","Y","N"),"N"))</f>
        <v>N</v>
      </c>
      <c r="R490" s="25" t="n">
        <f aca="false">IF(OR($H490="",$H490="EUR"),1,IFERROR(INDEX(FX_Rates!$D:$D,MATCH($H490,FX_Rates!$A:$A,0)),""))</f>
        <v>1</v>
      </c>
      <c r="S490" s="26" t="str">
        <f aca="false">IF(AND($I490="",$J490=""),"",IF($J490&lt;&gt;"",$J490,IF(OR($R490="",$R490=0),"",ROUND($I490/$R490,2))))</f>
        <v/>
      </c>
      <c r="T490" s="24" t="str">
        <f aca="false">IF($N490="","",IFERROR(INDEX(VAT_Codes!$C:$C,MATCH($N490,VAT_Codes!$A:$A,0)),"")&amp;"")</f>
        <v/>
      </c>
      <c r="U490" s="26" t="n">
        <f aca="false">IF(OR($S490="",$T490="",$T490="None"),0,IF($T490="Output",-$S490,$S490))</f>
        <v>0</v>
      </c>
      <c r="V490" s="27" t="n">
        <f aca="false">IF($N490="",0,IFERROR(INDEX(VAT_Codes!$D:$D,MATCH($N490,VAT_Codes!$A:$A,0)),0))</f>
        <v>0</v>
      </c>
      <c r="W490" s="26" t="n">
        <f aca="false">IF($U490=0,0,IF(IFERROR(INDEX(VAT_Codes!$F:$F,MATCH($N490,VAT_Codes!$A:$A,0)),"N")="Y",$U490,IF($L490&lt;&gt;"",ROUND(ABS($L490)/IF(OR($R490="",$R490=0),1,$R490),2)*SIGN($U490),ROUND($U490*$V490,2))))</f>
        <v>0</v>
      </c>
      <c r="X490" s="24" t="str">
        <f aca="false">IF($N490="","",IFERROR(INDEX(VAT_Codes!$H:$H,MATCH($N490,VAT_Codes!$A:$A,0)),"")&amp;"")</f>
        <v/>
      </c>
      <c r="Y490" s="24" t="str">
        <f aca="false">IF($A490="","",(YEAR($A490)-YEAR(Settings!$C$8))*12+MONTH($A490)-MONTH(Settings!$C$8)+1)</f>
        <v/>
      </c>
      <c r="Z490" s="24" t="str">
        <f aca="false">IF(AND($C490="",$I490="",$J490=""),"",IF($N490="","NO VAT CODE",IF($T490="","UNKNOWN VAT CODE",IF($S490="","MISSING FX RATE",IF(OR($A490&lt;Settings!$C$8,$A490&gt;Settings!$C$9),"OUTSIDE PERIOD",IF(AND(IFERROR(INDEX(VAT_Codes!$E:$E,MATCH($N490,VAT_Codes!$A:$A,0)),"ANY")&lt;&gt;"ANY",$P490=""),"MISSING COUNTERPARTY COUNTRY",IF(AND(IFERROR(INDEX(VAT_Codes!$E:$E,MATCH($N490,VAT_Codes!$A:$A,0)),"ANY")&lt;&gt;"ANY",$P490&lt;&gt;IFERROR(INDEX(VAT_Codes!$E:$E,MATCH($N490,VAT_Codes!$A:$A,0)),"ANY")),"REGION MISMATCH","OK")))))))</f>
        <v/>
      </c>
    </row>
    <row r="491" customFormat="false" ht="15" hidden="false" customHeight="false" outlineLevel="0" collapsed="false">
      <c r="M491" s="24" t="str">
        <f aca="false">IF($C491="","",IFERROR(INDEX(Account_Mapping!$C:$C,MATCH($C491&amp;"",Account_Mapping!$A:$A,0))&amp;"",""))</f>
        <v/>
      </c>
      <c r="N491" s="24" t="str">
        <f aca="false">IF($K491&lt;&gt;"",$K491,$M491)</f>
        <v/>
      </c>
      <c r="O491" s="24" t="str">
        <f aca="false">IF($F491="","",IFERROR(INDEX(Counterparties!$C:$C,MATCH($F491&amp;"",Counterparties!$A:$A,0))&amp;"",""))</f>
        <v/>
      </c>
      <c r="P491" s="24" t="str">
        <f aca="false">IF($O491="","",IF($O491="CY","CY",IF(ISNUMBER(MATCH($O491,Lists!$A:$A,0)),"EU","3RD")))</f>
        <v/>
      </c>
      <c r="Q491" s="24" t="str">
        <f aca="false">IF($F491="","N",IFERROR(IF(INDEX(Counterparties!$E:$E,MATCH($F491&amp;"",Counterparties!$A:$A,0))="Y","Y","N"),"N"))</f>
        <v>N</v>
      </c>
      <c r="R491" s="25" t="n">
        <f aca="false">IF(OR($H491="",$H491="EUR"),1,IFERROR(INDEX(FX_Rates!$D:$D,MATCH($H491,FX_Rates!$A:$A,0)),""))</f>
        <v>1</v>
      </c>
      <c r="S491" s="26" t="str">
        <f aca="false">IF(AND($I491="",$J491=""),"",IF($J491&lt;&gt;"",$J491,IF(OR($R491="",$R491=0),"",ROUND($I491/$R491,2))))</f>
        <v/>
      </c>
      <c r="T491" s="24" t="str">
        <f aca="false">IF($N491="","",IFERROR(INDEX(VAT_Codes!$C:$C,MATCH($N491,VAT_Codes!$A:$A,0)),"")&amp;"")</f>
        <v/>
      </c>
      <c r="U491" s="26" t="n">
        <f aca="false">IF(OR($S491="",$T491="",$T491="None"),0,IF($T491="Output",-$S491,$S491))</f>
        <v>0</v>
      </c>
      <c r="V491" s="27" t="n">
        <f aca="false">IF($N491="",0,IFERROR(INDEX(VAT_Codes!$D:$D,MATCH($N491,VAT_Codes!$A:$A,0)),0))</f>
        <v>0</v>
      </c>
      <c r="W491" s="26" t="n">
        <f aca="false">IF($U491=0,0,IF(IFERROR(INDEX(VAT_Codes!$F:$F,MATCH($N491,VAT_Codes!$A:$A,0)),"N")="Y",$U491,IF($L491&lt;&gt;"",ROUND(ABS($L491)/IF(OR($R491="",$R491=0),1,$R491),2)*SIGN($U491),ROUND($U491*$V491,2))))</f>
        <v>0</v>
      </c>
      <c r="X491" s="24" t="str">
        <f aca="false">IF($N491="","",IFERROR(INDEX(VAT_Codes!$H:$H,MATCH($N491,VAT_Codes!$A:$A,0)),"")&amp;"")</f>
        <v/>
      </c>
      <c r="Y491" s="24" t="str">
        <f aca="false">IF($A491="","",(YEAR($A491)-YEAR(Settings!$C$8))*12+MONTH($A491)-MONTH(Settings!$C$8)+1)</f>
        <v/>
      </c>
      <c r="Z491" s="24" t="str">
        <f aca="false">IF(AND($C491="",$I491="",$J491=""),"",IF($N491="","NO VAT CODE",IF($T491="","UNKNOWN VAT CODE",IF($S491="","MISSING FX RATE",IF(OR($A491&lt;Settings!$C$8,$A491&gt;Settings!$C$9),"OUTSIDE PERIOD",IF(AND(IFERROR(INDEX(VAT_Codes!$E:$E,MATCH($N491,VAT_Codes!$A:$A,0)),"ANY")&lt;&gt;"ANY",$P491=""),"MISSING COUNTERPARTY COUNTRY",IF(AND(IFERROR(INDEX(VAT_Codes!$E:$E,MATCH($N491,VAT_Codes!$A:$A,0)),"ANY")&lt;&gt;"ANY",$P491&lt;&gt;IFERROR(INDEX(VAT_Codes!$E:$E,MATCH($N491,VAT_Codes!$A:$A,0)),"ANY")),"REGION MISMATCH","OK")))))))</f>
        <v/>
      </c>
    </row>
    <row r="492" customFormat="false" ht="15" hidden="false" customHeight="false" outlineLevel="0" collapsed="false">
      <c r="M492" s="24" t="str">
        <f aca="false">IF($C492="","",IFERROR(INDEX(Account_Mapping!$C:$C,MATCH($C492&amp;"",Account_Mapping!$A:$A,0))&amp;"",""))</f>
        <v/>
      </c>
      <c r="N492" s="24" t="str">
        <f aca="false">IF($K492&lt;&gt;"",$K492,$M492)</f>
        <v/>
      </c>
      <c r="O492" s="24" t="str">
        <f aca="false">IF($F492="","",IFERROR(INDEX(Counterparties!$C:$C,MATCH($F492&amp;"",Counterparties!$A:$A,0))&amp;"",""))</f>
        <v/>
      </c>
      <c r="P492" s="24" t="str">
        <f aca="false">IF($O492="","",IF($O492="CY","CY",IF(ISNUMBER(MATCH($O492,Lists!$A:$A,0)),"EU","3RD")))</f>
        <v/>
      </c>
      <c r="Q492" s="24" t="str">
        <f aca="false">IF($F492="","N",IFERROR(IF(INDEX(Counterparties!$E:$E,MATCH($F492&amp;"",Counterparties!$A:$A,0))="Y","Y","N"),"N"))</f>
        <v>N</v>
      </c>
      <c r="R492" s="25" t="n">
        <f aca="false">IF(OR($H492="",$H492="EUR"),1,IFERROR(INDEX(FX_Rates!$D:$D,MATCH($H492,FX_Rates!$A:$A,0)),""))</f>
        <v>1</v>
      </c>
      <c r="S492" s="26" t="str">
        <f aca="false">IF(AND($I492="",$J492=""),"",IF($J492&lt;&gt;"",$J492,IF(OR($R492="",$R492=0),"",ROUND($I492/$R492,2))))</f>
        <v/>
      </c>
      <c r="T492" s="24" t="str">
        <f aca="false">IF($N492="","",IFERROR(INDEX(VAT_Codes!$C:$C,MATCH($N492,VAT_Codes!$A:$A,0)),"")&amp;"")</f>
        <v/>
      </c>
      <c r="U492" s="26" t="n">
        <f aca="false">IF(OR($S492="",$T492="",$T492="None"),0,IF($T492="Output",-$S492,$S492))</f>
        <v>0</v>
      </c>
      <c r="V492" s="27" t="n">
        <f aca="false">IF($N492="",0,IFERROR(INDEX(VAT_Codes!$D:$D,MATCH($N492,VAT_Codes!$A:$A,0)),0))</f>
        <v>0</v>
      </c>
      <c r="W492" s="26" t="n">
        <f aca="false">IF($U492=0,0,IF(IFERROR(INDEX(VAT_Codes!$F:$F,MATCH($N492,VAT_Codes!$A:$A,0)),"N")="Y",$U492,IF($L492&lt;&gt;"",ROUND(ABS($L492)/IF(OR($R492="",$R492=0),1,$R492),2)*SIGN($U492),ROUND($U492*$V492,2))))</f>
        <v>0</v>
      </c>
      <c r="X492" s="24" t="str">
        <f aca="false">IF($N492="","",IFERROR(INDEX(VAT_Codes!$H:$H,MATCH($N492,VAT_Codes!$A:$A,0)),"")&amp;"")</f>
        <v/>
      </c>
      <c r="Y492" s="24" t="str">
        <f aca="false">IF($A492="","",(YEAR($A492)-YEAR(Settings!$C$8))*12+MONTH($A492)-MONTH(Settings!$C$8)+1)</f>
        <v/>
      </c>
      <c r="Z492" s="24" t="str">
        <f aca="false">IF(AND($C492="",$I492="",$J492=""),"",IF($N492="","NO VAT CODE",IF($T492="","UNKNOWN VAT CODE",IF($S492="","MISSING FX RATE",IF(OR($A492&lt;Settings!$C$8,$A492&gt;Settings!$C$9),"OUTSIDE PERIOD",IF(AND(IFERROR(INDEX(VAT_Codes!$E:$E,MATCH($N492,VAT_Codes!$A:$A,0)),"ANY")&lt;&gt;"ANY",$P492=""),"MISSING COUNTERPARTY COUNTRY",IF(AND(IFERROR(INDEX(VAT_Codes!$E:$E,MATCH($N492,VAT_Codes!$A:$A,0)),"ANY")&lt;&gt;"ANY",$P492&lt;&gt;IFERROR(INDEX(VAT_Codes!$E:$E,MATCH($N492,VAT_Codes!$A:$A,0)),"ANY")),"REGION MISMATCH","OK")))))))</f>
        <v/>
      </c>
    </row>
    <row r="493" customFormat="false" ht="15" hidden="false" customHeight="false" outlineLevel="0" collapsed="false">
      <c r="M493" s="24" t="str">
        <f aca="false">IF($C493="","",IFERROR(INDEX(Account_Mapping!$C:$C,MATCH($C493&amp;"",Account_Mapping!$A:$A,0))&amp;"",""))</f>
        <v/>
      </c>
      <c r="N493" s="24" t="str">
        <f aca="false">IF($K493&lt;&gt;"",$K493,$M493)</f>
        <v/>
      </c>
      <c r="O493" s="24" t="str">
        <f aca="false">IF($F493="","",IFERROR(INDEX(Counterparties!$C:$C,MATCH($F493&amp;"",Counterparties!$A:$A,0))&amp;"",""))</f>
        <v/>
      </c>
      <c r="P493" s="24" t="str">
        <f aca="false">IF($O493="","",IF($O493="CY","CY",IF(ISNUMBER(MATCH($O493,Lists!$A:$A,0)),"EU","3RD")))</f>
        <v/>
      </c>
      <c r="Q493" s="24" t="str">
        <f aca="false">IF($F493="","N",IFERROR(IF(INDEX(Counterparties!$E:$E,MATCH($F493&amp;"",Counterparties!$A:$A,0))="Y","Y","N"),"N"))</f>
        <v>N</v>
      </c>
      <c r="R493" s="25" t="n">
        <f aca="false">IF(OR($H493="",$H493="EUR"),1,IFERROR(INDEX(FX_Rates!$D:$D,MATCH($H493,FX_Rates!$A:$A,0)),""))</f>
        <v>1</v>
      </c>
      <c r="S493" s="26" t="str">
        <f aca="false">IF(AND($I493="",$J493=""),"",IF($J493&lt;&gt;"",$J493,IF(OR($R493="",$R493=0),"",ROUND($I493/$R493,2))))</f>
        <v/>
      </c>
      <c r="T493" s="24" t="str">
        <f aca="false">IF($N493="","",IFERROR(INDEX(VAT_Codes!$C:$C,MATCH($N493,VAT_Codes!$A:$A,0)),"")&amp;"")</f>
        <v/>
      </c>
      <c r="U493" s="26" t="n">
        <f aca="false">IF(OR($S493="",$T493="",$T493="None"),0,IF($T493="Output",-$S493,$S493))</f>
        <v>0</v>
      </c>
      <c r="V493" s="27" t="n">
        <f aca="false">IF($N493="",0,IFERROR(INDEX(VAT_Codes!$D:$D,MATCH($N493,VAT_Codes!$A:$A,0)),0))</f>
        <v>0</v>
      </c>
      <c r="W493" s="26" t="n">
        <f aca="false">IF($U493=0,0,IF(IFERROR(INDEX(VAT_Codes!$F:$F,MATCH($N493,VAT_Codes!$A:$A,0)),"N")="Y",$U493,IF($L493&lt;&gt;"",ROUND(ABS($L493)/IF(OR($R493="",$R493=0),1,$R493),2)*SIGN($U493),ROUND($U493*$V493,2))))</f>
        <v>0</v>
      </c>
      <c r="X493" s="24" t="str">
        <f aca="false">IF($N493="","",IFERROR(INDEX(VAT_Codes!$H:$H,MATCH($N493,VAT_Codes!$A:$A,0)),"")&amp;"")</f>
        <v/>
      </c>
      <c r="Y493" s="24" t="str">
        <f aca="false">IF($A493="","",(YEAR($A493)-YEAR(Settings!$C$8))*12+MONTH($A493)-MONTH(Settings!$C$8)+1)</f>
        <v/>
      </c>
      <c r="Z493" s="24" t="str">
        <f aca="false">IF(AND($C493="",$I493="",$J493=""),"",IF($N493="","NO VAT CODE",IF($T493="","UNKNOWN VAT CODE",IF($S493="","MISSING FX RATE",IF(OR($A493&lt;Settings!$C$8,$A493&gt;Settings!$C$9),"OUTSIDE PERIOD",IF(AND(IFERROR(INDEX(VAT_Codes!$E:$E,MATCH($N493,VAT_Codes!$A:$A,0)),"ANY")&lt;&gt;"ANY",$P493=""),"MISSING COUNTERPARTY COUNTRY",IF(AND(IFERROR(INDEX(VAT_Codes!$E:$E,MATCH($N493,VAT_Codes!$A:$A,0)),"ANY")&lt;&gt;"ANY",$P493&lt;&gt;IFERROR(INDEX(VAT_Codes!$E:$E,MATCH($N493,VAT_Codes!$A:$A,0)),"ANY")),"REGION MISMATCH","OK")))))))</f>
        <v/>
      </c>
    </row>
    <row r="494" customFormat="false" ht="15" hidden="false" customHeight="false" outlineLevel="0" collapsed="false">
      <c r="M494" s="24" t="str">
        <f aca="false">IF($C494="","",IFERROR(INDEX(Account_Mapping!$C:$C,MATCH($C494&amp;"",Account_Mapping!$A:$A,0))&amp;"",""))</f>
        <v/>
      </c>
      <c r="N494" s="24" t="str">
        <f aca="false">IF($K494&lt;&gt;"",$K494,$M494)</f>
        <v/>
      </c>
      <c r="O494" s="24" t="str">
        <f aca="false">IF($F494="","",IFERROR(INDEX(Counterparties!$C:$C,MATCH($F494&amp;"",Counterparties!$A:$A,0))&amp;"",""))</f>
        <v/>
      </c>
      <c r="P494" s="24" t="str">
        <f aca="false">IF($O494="","",IF($O494="CY","CY",IF(ISNUMBER(MATCH($O494,Lists!$A:$A,0)),"EU","3RD")))</f>
        <v/>
      </c>
      <c r="Q494" s="24" t="str">
        <f aca="false">IF($F494="","N",IFERROR(IF(INDEX(Counterparties!$E:$E,MATCH($F494&amp;"",Counterparties!$A:$A,0))="Y","Y","N"),"N"))</f>
        <v>N</v>
      </c>
      <c r="R494" s="25" t="n">
        <f aca="false">IF(OR($H494="",$H494="EUR"),1,IFERROR(INDEX(FX_Rates!$D:$D,MATCH($H494,FX_Rates!$A:$A,0)),""))</f>
        <v>1</v>
      </c>
      <c r="S494" s="26" t="str">
        <f aca="false">IF(AND($I494="",$J494=""),"",IF($J494&lt;&gt;"",$J494,IF(OR($R494="",$R494=0),"",ROUND($I494/$R494,2))))</f>
        <v/>
      </c>
      <c r="T494" s="24" t="str">
        <f aca="false">IF($N494="","",IFERROR(INDEX(VAT_Codes!$C:$C,MATCH($N494,VAT_Codes!$A:$A,0)),"")&amp;"")</f>
        <v/>
      </c>
      <c r="U494" s="26" t="n">
        <f aca="false">IF(OR($S494="",$T494="",$T494="None"),0,IF($T494="Output",-$S494,$S494))</f>
        <v>0</v>
      </c>
      <c r="V494" s="27" t="n">
        <f aca="false">IF($N494="",0,IFERROR(INDEX(VAT_Codes!$D:$D,MATCH($N494,VAT_Codes!$A:$A,0)),0))</f>
        <v>0</v>
      </c>
      <c r="W494" s="26" t="n">
        <f aca="false">IF($U494=0,0,IF(IFERROR(INDEX(VAT_Codes!$F:$F,MATCH($N494,VAT_Codes!$A:$A,0)),"N")="Y",$U494,IF($L494&lt;&gt;"",ROUND(ABS($L494)/IF(OR($R494="",$R494=0),1,$R494),2)*SIGN($U494),ROUND($U494*$V494,2))))</f>
        <v>0</v>
      </c>
      <c r="X494" s="24" t="str">
        <f aca="false">IF($N494="","",IFERROR(INDEX(VAT_Codes!$H:$H,MATCH($N494,VAT_Codes!$A:$A,0)),"")&amp;"")</f>
        <v/>
      </c>
      <c r="Y494" s="24" t="str">
        <f aca="false">IF($A494="","",(YEAR($A494)-YEAR(Settings!$C$8))*12+MONTH($A494)-MONTH(Settings!$C$8)+1)</f>
        <v/>
      </c>
      <c r="Z494" s="24" t="str">
        <f aca="false">IF(AND($C494="",$I494="",$J494=""),"",IF($N494="","NO VAT CODE",IF($T494="","UNKNOWN VAT CODE",IF($S494="","MISSING FX RATE",IF(OR($A494&lt;Settings!$C$8,$A494&gt;Settings!$C$9),"OUTSIDE PERIOD",IF(AND(IFERROR(INDEX(VAT_Codes!$E:$E,MATCH($N494,VAT_Codes!$A:$A,0)),"ANY")&lt;&gt;"ANY",$P494=""),"MISSING COUNTERPARTY COUNTRY",IF(AND(IFERROR(INDEX(VAT_Codes!$E:$E,MATCH($N494,VAT_Codes!$A:$A,0)),"ANY")&lt;&gt;"ANY",$P494&lt;&gt;IFERROR(INDEX(VAT_Codes!$E:$E,MATCH($N494,VAT_Codes!$A:$A,0)),"ANY")),"REGION MISMATCH","OK")))))))</f>
        <v/>
      </c>
    </row>
    <row r="495" customFormat="false" ht="15" hidden="false" customHeight="false" outlineLevel="0" collapsed="false">
      <c r="M495" s="24" t="str">
        <f aca="false">IF($C495="","",IFERROR(INDEX(Account_Mapping!$C:$C,MATCH($C495&amp;"",Account_Mapping!$A:$A,0))&amp;"",""))</f>
        <v/>
      </c>
      <c r="N495" s="24" t="str">
        <f aca="false">IF($K495&lt;&gt;"",$K495,$M495)</f>
        <v/>
      </c>
      <c r="O495" s="24" t="str">
        <f aca="false">IF($F495="","",IFERROR(INDEX(Counterparties!$C:$C,MATCH($F495&amp;"",Counterparties!$A:$A,0))&amp;"",""))</f>
        <v/>
      </c>
      <c r="P495" s="24" t="str">
        <f aca="false">IF($O495="","",IF($O495="CY","CY",IF(ISNUMBER(MATCH($O495,Lists!$A:$A,0)),"EU","3RD")))</f>
        <v/>
      </c>
      <c r="Q495" s="24" t="str">
        <f aca="false">IF($F495="","N",IFERROR(IF(INDEX(Counterparties!$E:$E,MATCH($F495&amp;"",Counterparties!$A:$A,0))="Y","Y","N"),"N"))</f>
        <v>N</v>
      </c>
      <c r="R495" s="25" t="n">
        <f aca="false">IF(OR($H495="",$H495="EUR"),1,IFERROR(INDEX(FX_Rates!$D:$D,MATCH($H495,FX_Rates!$A:$A,0)),""))</f>
        <v>1</v>
      </c>
      <c r="S495" s="26" t="str">
        <f aca="false">IF(AND($I495="",$J495=""),"",IF($J495&lt;&gt;"",$J495,IF(OR($R495="",$R495=0),"",ROUND($I495/$R495,2))))</f>
        <v/>
      </c>
      <c r="T495" s="24" t="str">
        <f aca="false">IF($N495="","",IFERROR(INDEX(VAT_Codes!$C:$C,MATCH($N495,VAT_Codes!$A:$A,0)),"")&amp;"")</f>
        <v/>
      </c>
      <c r="U495" s="26" t="n">
        <f aca="false">IF(OR($S495="",$T495="",$T495="None"),0,IF($T495="Output",-$S495,$S495))</f>
        <v>0</v>
      </c>
      <c r="V495" s="27" t="n">
        <f aca="false">IF($N495="",0,IFERROR(INDEX(VAT_Codes!$D:$D,MATCH($N495,VAT_Codes!$A:$A,0)),0))</f>
        <v>0</v>
      </c>
      <c r="W495" s="26" t="n">
        <f aca="false">IF($U495=0,0,IF(IFERROR(INDEX(VAT_Codes!$F:$F,MATCH($N495,VAT_Codes!$A:$A,0)),"N")="Y",$U495,IF($L495&lt;&gt;"",ROUND(ABS($L495)/IF(OR($R495="",$R495=0),1,$R495),2)*SIGN($U495),ROUND($U495*$V495,2))))</f>
        <v>0</v>
      </c>
      <c r="X495" s="24" t="str">
        <f aca="false">IF($N495="","",IFERROR(INDEX(VAT_Codes!$H:$H,MATCH($N495,VAT_Codes!$A:$A,0)),"")&amp;"")</f>
        <v/>
      </c>
      <c r="Y495" s="24" t="str">
        <f aca="false">IF($A495="","",(YEAR($A495)-YEAR(Settings!$C$8))*12+MONTH($A495)-MONTH(Settings!$C$8)+1)</f>
        <v/>
      </c>
      <c r="Z495" s="24" t="str">
        <f aca="false">IF(AND($C495="",$I495="",$J495=""),"",IF($N495="","NO VAT CODE",IF($T495="","UNKNOWN VAT CODE",IF($S495="","MISSING FX RATE",IF(OR($A495&lt;Settings!$C$8,$A495&gt;Settings!$C$9),"OUTSIDE PERIOD",IF(AND(IFERROR(INDEX(VAT_Codes!$E:$E,MATCH($N495,VAT_Codes!$A:$A,0)),"ANY")&lt;&gt;"ANY",$P495=""),"MISSING COUNTERPARTY COUNTRY",IF(AND(IFERROR(INDEX(VAT_Codes!$E:$E,MATCH($N495,VAT_Codes!$A:$A,0)),"ANY")&lt;&gt;"ANY",$P495&lt;&gt;IFERROR(INDEX(VAT_Codes!$E:$E,MATCH($N495,VAT_Codes!$A:$A,0)),"ANY")),"REGION MISMATCH","OK")))))))</f>
        <v/>
      </c>
    </row>
    <row r="496" customFormat="false" ht="15" hidden="false" customHeight="false" outlineLevel="0" collapsed="false">
      <c r="M496" s="24" t="str">
        <f aca="false">IF($C496="","",IFERROR(INDEX(Account_Mapping!$C:$C,MATCH($C496&amp;"",Account_Mapping!$A:$A,0))&amp;"",""))</f>
        <v/>
      </c>
      <c r="N496" s="24" t="str">
        <f aca="false">IF($K496&lt;&gt;"",$K496,$M496)</f>
        <v/>
      </c>
      <c r="O496" s="24" t="str">
        <f aca="false">IF($F496="","",IFERROR(INDEX(Counterparties!$C:$C,MATCH($F496&amp;"",Counterparties!$A:$A,0))&amp;"",""))</f>
        <v/>
      </c>
      <c r="P496" s="24" t="str">
        <f aca="false">IF($O496="","",IF($O496="CY","CY",IF(ISNUMBER(MATCH($O496,Lists!$A:$A,0)),"EU","3RD")))</f>
        <v/>
      </c>
      <c r="Q496" s="24" t="str">
        <f aca="false">IF($F496="","N",IFERROR(IF(INDEX(Counterparties!$E:$E,MATCH($F496&amp;"",Counterparties!$A:$A,0))="Y","Y","N"),"N"))</f>
        <v>N</v>
      </c>
      <c r="R496" s="25" t="n">
        <f aca="false">IF(OR($H496="",$H496="EUR"),1,IFERROR(INDEX(FX_Rates!$D:$D,MATCH($H496,FX_Rates!$A:$A,0)),""))</f>
        <v>1</v>
      </c>
      <c r="S496" s="26" t="str">
        <f aca="false">IF(AND($I496="",$J496=""),"",IF($J496&lt;&gt;"",$J496,IF(OR($R496="",$R496=0),"",ROUND($I496/$R496,2))))</f>
        <v/>
      </c>
      <c r="T496" s="24" t="str">
        <f aca="false">IF($N496="","",IFERROR(INDEX(VAT_Codes!$C:$C,MATCH($N496,VAT_Codes!$A:$A,0)),"")&amp;"")</f>
        <v/>
      </c>
      <c r="U496" s="26" t="n">
        <f aca="false">IF(OR($S496="",$T496="",$T496="None"),0,IF($T496="Output",-$S496,$S496))</f>
        <v>0</v>
      </c>
      <c r="V496" s="27" t="n">
        <f aca="false">IF($N496="",0,IFERROR(INDEX(VAT_Codes!$D:$D,MATCH($N496,VAT_Codes!$A:$A,0)),0))</f>
        <v>0</v>
      </c>
      <c r="W496" s="26" t="n">
        <f aca="false">IF($U496=0,0,IF(IFERROR(INDEX(VAT_Codes!$F:$F,MATCH($N496,VAT_Codes!$A:$A,0)),"N")="Y",$U496,IF($L496&lt;&gt;"",ROUND(ABS($L496)/IF(OR($R496="",$R496=0),1,$R496),2)*SIGN($U496),ROUND($U496*$V496,2))))</f>
        <v>0</v>
      </c>
      <c r="X496" s="24" t="str">
        <f aca="false">IF($N496="","",IFERROR(INDEX(VAT_Codes!$H:$H,MATCH($N496,VAT_Codes!$A:$A,0)),"")&amp;"")</f>
        <v/>
      </c>
      <c r="Y496" s="24" t="str">
        <f aca="false">IF($A496="","",(YEAR($A496)-YEAR(Settings!$C$8))*12+MONTH($A496)-MONTH(Settings!$C$8)+1)</f>
        <v/>
      </c>
      <c r="Z496" s="24" t="str">
        <f aca="false">IF(AND($C496="",$I496="",$J496=""),"",IF($N496="","NO VAT CODE",IF($T496="","UNKNOWN VAT CODE",IF($S496="","MISSING FX RATE",IF(OR($A496&lt;Settings!$C$8,$A496&gt;Settings!$C$9),"OUTSIDE PERIOD",IF(AND(IFERROR(INDEX(VAT_Codes!$E:$E,MATCH($N496,VAT_Codes!$A:$A,0)),"ANY")&lt;&gt;"ANY",$P496=""),"MISSING COUNTERPARTY COUNTRY",IF(AND(IFERROR(INDEX(VAT_Codes!$E:$E,MATCH($N496,VAT_Codes!$A:$A,0)),"ANY")&lt;&gt;"ANY",$P496&lt;&gt;IFERROR(INDEX(VAT_Codes!$E:$E,MATCH($N496,VAT_Codes!$A:$A,0)),"ANY")),"REGION MISMATCH","OK")))))))</f>
        <v/>
      </c>
    </row>
    <row r="497" customFormat="false" ht="15" hidden="false" customHeight="false" outlineLevel="0" collapsed="false">
      <c r="M497" s="24" t="str">
        <f aca="false">IF($C497="","",IFERROR(INDEX(Account_Mapping!$C:$C,MATCH($C497&amp;"",Account_Mapping!$A:$A,0))&amp;"",""))</f>
        <v/>
      </c>
      <c r="N497" s="24" t="str">
        <f aca="false">IF($K497&lt;&gt;"",$K497,$M497)</f>
        <v/>
      </c>
      <c r="O497" s="24" t="str">
        <f aca="false">IF($F497="","",IFERROR(INDEX(Counterparties!$C:$C,MATCH($F497&amp;"",Counterparties!$A:$A,0))&amp;"",""))</f>
        <v/>
      </c>
      <c r="P497" s="24" t="str">
        <f aca="false">IF($O497="","",IF($O497="CY","CY",IF(ISNUMBER(MATCH($O497,Lists!$A:$A,0)),"EU","3RD")))</f>
        <v/>
      </c>
      <c r="Q497" s="24" t="str">
        <f aca="false">IF($F497="","N",IFERROR(IF(INDEX(Counterparties!$E:$E,MATCH($F497&amp;"",Counterparties!$A:$A,0))="Y","Y","N"),"N"))</f>
        <v>N</v>
      </c>
      <c r="R497" s="25" t="n">
        <f aca="false">IF(OR($H497="",$H497="EUR"),1,IFERROR(INDEX(FX_Rates!$D:$D,MATCH($H497,FX_Rates!$A:$A,0)),""))</f>
        <v>1</v>
      </c>
      <c r="S497" s="26" t="str">
        <f aca="false">IF(AND($I497="",$J497=""),"",IF($J497&lt;&gt;"",$J497,IF(OR($R497="",$R497=0),"",ROUND($I497/$R497,2))))</f>
        <v/>
      </c>
      <c r="T497" s="24" t="str">
        <f aca="false">IF($N497="","",IFERROR(INDEX(VAT_Codes!$C:$C,MATCH($N497,VAT_Codes!$A:$A,0)),"")&amp;"")</f>
        <v/>
      </c>
      <c r="U497" s="26" t="n">
        <f aca="false">IF(OR($S497="",$T497="",$T497="None"),0,IF($T497="Output",-$S497,$S497))</f>
        <v>0</v>
      </c>
      <c r="V497" s="27" t="n">
        <f aca="false">IF($N497="",0,IFERROR(INDEX(VAT_Codes!$D:$D,MATCH($N497,VAT_Codes!$A:$A,0)),0))</f>
        <v>0</v>
      </c>
      <c r="W497" s="26" t="n">
        <f aca="false">IF($U497=0,0,IF(IFERROR(INDEX(VAT_Codes!$F:$F,MATCH($N497,VAT_Codes!$A:$A,0)),"N")="Y",$U497,IF($L497&lt;&gt;"",ROUND(ABS($L497)/IF(OR($R497="",$R497=0),1,$R497),2)*SIGN($U497),ROUND($U497*$V497,2))))</f>
        <v>0</v>
      </c>
      <c r="X497" s="24" t="str">
        <f aca="false">IF($N497="","",IFERROR(INDEX(VAT_Codes!$H:$H,MATCH($N497,VAT_Codes!$A:$A,0)),"")&amp;"")</f>
        <v/>
      </c>
      <c r="Y497" s="24" t="str">
        <f aca="false">IF($A497="","",(YEAR($A497)-YEAR(Settings!$C$8))*12+MONTH($A497)-MONTH(Settings!$C$8)+1)</f>
        <v/>
      </c>
      <c r="Z497" s="24" t="str">
        <f aca="false">IF(AND($C497="",$I497="",$J497=""),"",IF($N497="","NO VAT CODE",IF($T497="","UNKNOWN VAT CODE",IF($S497="","MISSING FX RATE",IF(OR($A497&lt;Settings!$C$8,$A497&gt;Settings!$C$9),"OUTSIDE PERIOD",IF(AND(IFERROR(INDEX(VAT_Codes!$E:$E,MATCH($N497,VAT_Codes!$A:$A,0)),"ANY")&lt;&gt;"ANY",$P497=""),"MISSING COUNTERPARTY COUNTRY",IF(AND(IFERROR(INDEX(VAT_Codes!$E:$E,MATCH($N497,VAT_Codes!$A:$A,0)),"ANY")&lt;&gt;"ANY",$P497&lt;&gt;IFERROR(INDEX(VAT_Codes!$E:$E,MATCH($N497,VAT_Codes!$A:$A,0)),"ANY")),"REGION MISMATCH","OK")))))))</f>
        <v/>
      </c>
    </row>
    <row r="498" customFormat="false" ht="15" hidden="false" customHeight="false" outlineLevel="0" collapsed="false">
      <c r="M498" s="24" t="str">
        <f aca="false">IF($C498="","",IFERROR(INDEX(Account_Mapping!$C:$C,MATCH($C498&amp;"",Account_Mapping!$A:$A,0))&amp;"",""))</f>
        <v/>
      </c>
      <c r="N498" s="24" t="str">
        <f aca="false">IF($K498&lt;&gt;"",$K498,$M498)</f>
        <v/>
      </c>
      <c r="O498" s="24" t="str">
        <f aca="false">IF($F498="","",IFERROR(INDEX(Counterparties!$C:$C,MATCH($F498&amp;"",Counterparties!$A:$A,0))&amp;"",""))</f>
        <v/>
      </c>
      <c r="P498" s="24" t="str">
        <f aca="false">IF($O498="","",IF($O498="CY","CY",IF(ISNUMBER(MATCH($O498,Lists!$A:$A,0)),"EU","3RD")))</f>
        <v/>
      </c>
      <c r="Q498" s="24" t="str">
        <f aca="false">IF($F498="","N",IFERROR(IF(INDEX(Counterparties!$E:$E,MATCH($F498&amp;"",Counterparties!$A:$A,0))="Y","Y","N"),"N"))</f>
        <v>N</v>
      </c>
      <c r="R498" s="25" t="n">
        <f aca="false">IF(OR($H498="",$H498="EUR"),1,IFERROR(INDEX(FX_Rates!$D:$D,MATCH($H498,FX_Rates!$A:$A,0)),""))</f>
        <v>1</v>
      </c>
      <c r="S498" s="26" t="str">
        <f aca="false">IF(AND($I498="",$J498=""),"",IF($J498&lt;&gt;"",$J498,IF(OR($R498="",$R498=0),"",ROUND($I498/$R498,2))))</f>
        <v/>
      </c>
      <c r="T498" s="24" t="str">
        <f aca="false">IF($N498="","",IFERROR(INDEX(VAT_Codes!$C:$C,MATCH($N498,VAT_Codes!$A:$A,0)),"")&amp;"")</f>
        <v/>
      </c>
      <c r="U498" s="26" t="n">
        <f aca="false">IF(OR($S498="",$T498="",$T498="None"),0,IF($T498="Output",-$S498,$S498))</f>
        <v>0</v>
      </c>
      <c r="V498" s="27" t="n">
        <f aca="false">IF($N498="",0,IFERROR(INDEX(VAT_Codes!$D:$D,MATCH($N498,VAT_Codes!$A:$A,0)),0))</f>
        <v>0</v>
      </c>
      <c r="W498" s="26" t="n">
        <f aca="false">IF($U498=0,0,IF(IFERROR(INDEX(VAT_Codes!$F:$F,MATCH($N498,VAT_Codes!$A:$A,0)),"N")="Y",$U498,IF($L498&lt;&gt;"",ROUND(ABS($L498)/IF(OR($R498="",$R498=0),1,$R498),2)*SIGN($U498),ROUND($U498*$V498,2))))</f>
        <v>0</v>
      </c>
      <c r="X498" s="24" t="str">
        <f aca="false">IF($N498="","",IFERROR(INDEX(VAT_Codes!$H:$H,MATCH($N498,VAT_Codes!$A:$A,0)),"")&amp;"")</f>
        <v/>
      </c>
      <c r="Y498" s="24" t="str">
        <f aca="false">IF($A498="","",(YEAR($A498)-YEAR(Settings!$C$8))*12+MONTH($A498)-MONTH(Settings!$C$8)+1)</f>
        <v/>
      </c>
      <c r="Z498" s="24" t="str">
        <f aca="false">IF(AND($C498="",$I498="",$J498=""),"",IF($N498="","NO VAT CODE",IF($T498="","UNKNOWN VAT CODE",IF($S498="","MISSING FX RATE",IF(OR($A498&lt;Settings!$C$8,$A498&gt;Settings!$C$9),"OUTSIDE PERIOD",IF(AND(IFERROR(INDEX(VAT_Codes!$E:$E,MATCH($N498,VAT_Codes!$A:$A,0)),"ANY")&lt;&gt;"ANY",$P498=""),"MISSING COUNTERPARTY COUNTRY",IF(AND(IFERROR(INDEX(VAT_Codes!$E:$E,MATCH($N498,VAT_Codes!$A:$A,0)),"ANY")&lt;&gt;"ANY",$P498&lt;&gt;IFERROR(INDEX(VAT_Codes!$E:$E,MATCH($N498,VAT_Codes!$A:$A,0)),"ANY")),"REGION MISMATCH","OK")))))))</f>
        <v/>
      </c>
    </row>
    <row r="499" customFormat="false" ht="15" hidden="false" customHeight="false" outlineLevel="0" collapsed="false">
      <c r="M499" s="24" t="str">
        <f aca="false">IF($C499="","",IFERROR(INDEX(Account_Mapping!$C:$C,MATCH($C499&amp;"",Account_Mapping!$A:$A,0))&amp;"",""))</f>
        <v/>
      </c>
      <c r="N499" s="24" t="str">
        <f aca="false">IF($K499&lt;&gt;"",$K499,$M499)</f>
        <v/>
      </c>
      <c r="O499" s="24" t="str">
        <f aca="false">IF($F499="","",IFERROR(INDEX(Counterparties!$C:$C,MATCH($F499&amp;"",Counterparties!$A:$A,0))&amp;"",""))</f>
        <v/>
      </c>
      <c r="P499" s="24" t="str">
        <f aca="false">IF($O499="","",IF($O499="CY","CY",IF(ISNUMBER(MATCH($O499,Lists!$A:$A,0)),"EU","3RD")))</f>
        <v/>
      </c>
      <c r="Q499" s="24" t="str">
        <f aca="false">IF($F499="","N",IFERROR(IF(INDEX(Counterparties!$E:$E,MATCH($F499&amp;"",Counterparties!$A:$A,0))="Y","Y","N"),"N"))</f>
        <v>N</v>
      </c>
      <c r="R499" s="25" t="n">
        <f aca="false">IF(OR($H499="",$H499="EUR"),1,IFERROR(INDEX(FX_Rates!$D:$D,MATCH($H499,FX_Rates!$A:$A,0)),""))</f>
        <v>1</v>
      </c>
      <c r="S499" s="26" t="str">
        <f aca="false">IF(AND($I499="",$J499=""),"",IF($J499&lt;&gt;"",$J499,IF(OR($R499="",$R499=0),"",ROUND($I499/$R499,2))))</f>
        <v/>
      </c>
      <c r="T499" s="24" t="str">
        <f aca="false">IF($N499="","",IFERROR(INDEX(VAT_Codes!$C:$C,MATCH($N499,VAT_Codes!$A:$A,0)),"")&amp;"")</f>
        <v/>
      </c>
      <c r="U499" s="26" t="n">
        <f aca="false">IF(OR($S499="",$T499="",$T499="None"),0,IF($T499="Output",-$S499,$S499))</f>
        <v>0</v>
      </c>
      <c r="V499" s="27" t="n">
        <f aca="false">IF($N499="",0,IFERROR(INDEX(VAT_Codes!$D:$D,MATCH($N499,VAT_Codes!$A:$A,0)),0))</f>
        <v>0</v>
      </c>
      <c r="W499" s="26" t="n">
        <f aca="false">IF($U499=0,0,IF(IFERROR(INDEX(VAT_Codes!$F:$F,MATCH($N499,VAT_Codes!$A:$A,0)),"N")="Y",$U499,IF($L499&lt;&gt;"",ROUND(ABS($L499)/IF(OR($R499="",$R499=0),1,$R499),2)*SIGN($U499),ROUND($U499*$V499,2))))</f>
        <v>0</v>
      </c>
      <c r="X499" s="24" t="str">
        <f aca="false">IF($N499="","",IFERROR(INDEX(VAT_Codes!$H:$H,MATCH($N499,VAT_Codes!$A:$A,0)),"")&amp;"")</f>
        <v/>
      </c>
      <c r="Y499" s="24" t="str">
        <f aca="false">IF($A499="","",(YEAR($A499)-YEAR(Settings!$C$8))*12+MONTH($A499)-MONTH(Settings!$C$8)+1)</f>
        <v/>
      </c>
      <c r="Z499" s="24" t="str">
        <f aca="false">IF(AND($C499="",$I499="",$J499=""),"",IF($N499="","NO VAT CODE",IF($T499="","UNKNOWN VAT CODE",IF($S499="","MISSING FX RATE",IF(OR($A499&lt;Settings!$C$8,$A499&gt;Settings!$C$9),"OUTSIDE PERIOD",IF(AND(IFERROR(INDEX(VAT_Codes!$E:$E,MATCH($N499,VAT_Codes!$A:$A,0)),"ANY")&lt;&gt;"ANY",$P499=""),"MISSING COUNTERPARTY COUNTRY",IF(AND(IFERROR(INDEX(VAT_Codes!$E:$E,MATCH($N499,VAT_Codes!$A:$A,0)),"ANY")&lt;&gt;"ANY",$P499&lt;&gt;IFERROR(INDEX(VAT_Codes!$E:$E,MATCH($N499,VAT_Codes!$A:$A,0)),"ANY")),"REGION MISMATCH","OK")))))))</f>
        <v/>
      </c>
    </row>
    <row r="500" customFormat="false" ht="15" hidden="false" customHeight="false" outlineLevel="0" collapsed="false">
      <c r="M500" s="24" t="str">
        <f aca="false">IF($C500="","",IFERROR(INDEX(Account_Mapping!$C:$C,MATCH($C500&amp;"",Account_Mapping!$A:$A,0))&amp;"",""))</f>
        <v/>
      </c>
      <c r="N500" s="24" t="str">
        <f aca="false">IF($K500&lt;&gt;"",$K500,$M500)</f>
        <v/>
      </c>
      <c r="O500" s="24" t="str">
        <f aca="false">IF($F500="","",IFERROR(INDEX(Counterparties!$C:$C,MATCH($F500&amp;"",Counterparties!$A:$A,0))&amp;"",""))</f>
        <v/>
      </c>
      <c r="P500" s="24" t="str">
        <f aca="false">IF($O500="","",IF($O500="CY","CY",IF(ISNUMBER(MATCH($O500,Lists!$A:$A,0)),"EU","3RD")))</f>
        <v/>
      </c>
      <c r="Q500" s="24" t="str">
        <f aca="false">IF($F500="","N",IFERROR(IF(INDEX(Counterparties!$E:$E,MATCH($F500&amp;"",Counterparties!$A:$A,0))="Y","Y","N"),"N"))</f>
        <v>N</v>
      </c>
      <c r="R500" s="25" t="n">
        <f aca="false">IF(OR($H500="",$H500="EUR"),1,IFERROR(INDEX(FX_Rates!$D:$D,MATCH($H500,FX_Rates!$A:$A,0)),""))</f>
        <v>1</v>
      </c>
      <c r="S500" s="26" t="str">
        <f aca="false">IF(AND($I500="",$J500=""),"",IF($J500&lt;&gt;"",$J500,IF(OR($R500="",$R500=0),"",ROUND($I500/$R500,2))))</f>
        <v/>
      </c>
      <c r="T500" s="24" t="str">
        <f aca="false">IF($N500="","",IFERROR(INDEX(VAT_Codes!$C:$C,MATCH($N500,VAT_Codes!$A:$A,0)),"")&amp;"")</f>
        <v/>
      </c>
      <c r="U500" s="26" t="n">
        <f aca="false">IF(OR($S500="",$T500="",$T500="None"),0,IF($T500="Output",-$S500,$S500))</f>
        <v>0</v>
      </c>
      <c r="V500" s="27" t="n">
        <f aca="false">IF($N500="",0,IFERROR(INDEX(VAT_Codes!$D:$D,MATCH($N500,VAT_Codes!$A:$A,0)),0))</f>
        <v>0</v>
      </c>
      <c r="W500" s="26" t="n">
        <f aca="false">IF($U500=0,0,IF(IFERROR(INDEX(VAT_Codes!$F:$F,MATCH($N500,VAT_Codes!$A:$A,0)),"N")="Y",$U500,IF($L500&lt;&gt;"",ROUND(ABS($L500)/IF(OR($R500="",$R500=0),1,$R500),2)*SIGN($U500),ROUND($U500*$V500,2))))</f>
        <v>0</v>
      </c>
      <c r="X500" s="24" t="str">
        <f aca="false">IF($N500="","",IFERROR(INDEX(VAT_Codes!$H:$H,MATCH($N500,VAT_Codes!$A:$A,0)),"")&amp;"")</f>
        <v/>
      </c>
      <c r="Y500" s="24" t="str">
        <f aca="false">IF($A500="","",(YEAR($A500)-YEAR(Settings!$C$8))*12+MONTH($A500)-MONTH(Settings!$C$8)+1)</f>
        <v/>
      </c>
      <c r="Z500" s="24" t="str">
        <f aca="false">IF(AND($C500="",$I500="",$J500=""),"",IF($N500="","NO VAT CODE",IF($T500="","UNKNOWN VAT CODE",IF($S500="","MISSING FX RATE",IF(OR($A500&lt;Settings!$C$8,$A500&gt;Settings!$C$9),"OUTSIDE PERIOD",IF(AND(IFERROR(INDEX(VAT_Codes!$E:$E,MATCH($N500,VAT_Codes!$A:$A,0)),"ANY")&lt;&gt;"ANY",$P500=""),"MISSING COUNTERPARTY COUNTRY",IF(AND(IFERROR(INDEX(VAT_Codes!$E:$E,MATCH($N500,VAT_Codes!$A:$A,0)),"ANY")&lt;&gt;"ANY",$P500&lt;&gt;IFERROR(INDEX(VAT_Codes!$E:$E,MATCH($N500,VAT_Codes!$A:$A,0)),"ANY")),"REGION MISMATCH","OK")))))))</f>
        <v/>
      </c>
    </row>
    <row r="501" customFormat="false" ht="15" hidden="false" customHeight="false" outlineLevel="0" collapsed="false">
      <c r="M501" s="24" t="str">
        <f aca="false">IF($C501="","",IFERROR(INDEX(Account_Mapping!$C:$C,MATCH($C501&amp;"",Account_Mapping!$A:$A,0))&amp;"",""))</f>
        <v/>
      </c>
      <c r="N501" s="24" t="str">
        <f aca="false">IF($K501&lt;&gt;"",$K501,$M501)</f>
        <v/>
      </c>
      <c r="O501" s="24" t="str">
        <f aca="false">IF($F501="","",IFERROR(INDEX(Counterparties!$C:$C,MATCH($F501&amp;"",Counterparties!$A:$A,0))&amp;"",""))</f>
        <v/>
      </c>
      <c r="P501" s="24" t="str">
        <f aca="false">IF($O501="","",IF($O501="CY","CY",IF(ISNUMBER(MATCH($O501,Lists!$A:$A,0)),"EU","3RD")))</f>
        <v/>
      </c>
      <c r="Q501" s="24" t="str">
        <f aca="false">IF($F501="","N",IFERROR(IF(INDEX(Counterparties!$E:$E,MATCH($F501&amp;"",Counterparties!$A:$A,0))="Y","Y","N"),"N"))</f>
        <v>N</v>
      </c>
      <c r="R501" s="25" t="n">
        <f aca="false">IF(OR($H501="",$H501="EUR"),1,IFERROR(INDEX(FX_Rates!$D:$D,MATCH($H501,FX_Rates!$A:$A,0)),""))</f>
        <v>1</v>
      </c>
      <c r="S501" s="26" t="str">
        <f aca="false">IF(AND($I501="",$J501=""),"",IF($J501&lt;&gt;"",$J501,IF(OR($R501="",$R501=0),"",ROUND($I501/$R501,2))))</f>
        <v/>
      </c>
      <c r="T501" s="24" t="str">
        <f aca="false">IF($N501="","",IFERROR(INDEX(VAT_Codes!$C:$C,MATCH($N501,VAT_Codes!$A:$A,0)),"")&amp;"")</f>
        <v/>
      </c>
      <c r="U501" s="26" t="n">
        <f aca="false">IF(OR($S501="",$T501="",$T501="None"),0,IF($T501="Output",-$S501,$S501))</f>
        <v>0</v>
      </c>
      <c r="V501" s="27" t="n">
        <f aca="false">IF($N501="",0,IFERROR(INDEX(VAT_Codes!$D:$D,MATCH($N501,VAT_Codes!$A:$A,0)),0))</f>
        <v>0</v>
      </c>
      <c r="W501" s="26" t="n">
        <f aca="false">IF($U501=0,0,IF(IFERROR(INDEX(VAT_Codes!$F:$F,MATCH($N501,VAT_Codes!$A:$A,0)),"N")="Y",$U501,IF($L501&lt;&gt;"",ROUND(ABS($L501)/IF(OR($R501="",$R501=0),1,$R501),2)*SIGN($U501),ROUND($U501*$V501,2))))</f>
        <v>0</v>
      </c>
      <c r="X501" s="24" t="str">
        <f aca="false">IF($N501="","",IFERROR(INDEX(VAT_Codes!$H:$H,MATCH($N501,VAT_Codes!$A:$A,0)),"")&amp;"")</f>
        <v/>
      </c>
      <c r="Y501" s="24" t="str">
        <f aca="false">IF($A501="","",(YEAR($A501)-YEAR(Settings!$C$8))*12+MONTH($A501)-MONTH(Settings!$C$8)+1)</f>
        <v/>
      </c>
      <c r="Z501" s="24" t="str">
        <f aca="false">IF(AND($C501="",$I501="",$J501=""),"",IF($N501="","NO VAT CODE",IF($T501="","UNKNOWN VAT CODE",IF($S501="","MISSING FX RATE",IF(OR($A501&lt;Settings!$C$8,$A501&gt;Settings!$C$9),"OUTSIDE PERIOD",IF(AND(IFERROR(INDEX(VAT_Codes!$E:$E,MATCH($N501,VAT_Codes!$A:$A,0)),"ANY")&lt;&gt;"ANY",$P501=""),"MISSING COUNTERPARTY COUNTRY",IF(AND(IFERROR(INDEX(VAT_Codes!$E:$E,MATCH($N501,VAT_Codes!$A:$A,0)),"ANY")&lt;&gt;"ANY",$P501&lt;&gt;IFERROR(INDEX(VAT_Codes!$E:$E,MATCH($N501,VAT_Codes!$A:$A,0)),"ANY")),"REGION MISMATCH","OK")))))))</f>
        <v/>
      </c>
    </row>
    <row r="502" customFormat="false" ht="15" hidden="false" customHeight="false" outlineLevel="0" collapsed="false">
      <c r="M502" s="24" t="str">
        <f aca="false">IF($C502="","",IFERROR(INDEX(Account_Mapping!$C:$C,MATCH($C502&amp;"",Account_Mapping!$A:$A,0))&amp;"",""))</f>
        <v/>
      </c>
      <c r="N502" s="24" t="str">
        <f aca="false">IF($K502&lt;&gt;"",$K502,$M502)</f>
        <v/>
      </c>
      <c r="O502" s="24" t="str">
        <f aca="false">IF($F502="","",IFERROR(INDEX(Counterparties!$C:$C,MATCH($F502&amp;"",Counterparties!$A:$A,0))&amp;"",""))</f>
        <v/>
      </c>
      <c r="P502" s="24" t="str">
        <f aca="false">IF($O502="","",IF($O502="CY","CY",IF(ISNUMBER(MATCH($O502,Lists!$A:$A,0)),"EU","3RD")))</f>
        <v/>
      </c>
      <c r="Q502" s="24" t="str">
        <f aca="false">IF($F502="","N",IFERROR(IF(INDEX(Counterparties!$E:$E,MATCH($F502&amp;"",Counterparties!$A:$A,0))="Y","Y","N"),"N"))</f>
        <v>N</v>
      </c>
      <c r="R502" s="25" t="n">
        <f aca="false">IF(OR($H502="",$H502="EUR"),1,IFERROR(INDEX(FX_Rates!$D:$D,MATCH($H502,FX_Rates!$A:$A,0)),""))</f>
        <v>1</v>
      </c>
      <c r="S502" s="26" t="str">
        <f aca="false">IF(AND($I502="",$J502=""),"",IF($J502&lt;&gt;"",$J502,IF(OR($R502="",$R502=0),"",ROUND($I502/$R502,2))))</f>
        <v/>
      </c>
      <c r="T502" s="24" t="str">
        <f aca="false">IF($N502="","",IFERROR(INDEX(VAT_Codes!$C:$C,MATCH($N502,VAT_Codes!$A:$A,0)),"")&amp;"")</f>
        <v/>
      </c>
      <c r="U502" s="26" t="n">
        <f aca="false">IF(OR($S502="",$T502="",$T502="None"),0,IF($T502="Output",-$S502,$S502))</f>
        <v>0</v>
      </c>
      <c r="V502" s="27" t="n">
        <f aca="false">IF($N502="",0,IFERROR(INDEX(VAT_Codes!$D:$D,MATCH($N502,VAT_Codes!$A:$A,0)),0))</f>
        <v>0</v>
      </c>
      <c r="W502" s="26" t="n">
        <f aca="false">IF($U502=0,0,IF(IFERROR(INDEX(VAT_Codes!$F:$F,MATCH($N502,VAT_Codes!$A:$A,0)),"N")="Y",$U502,IF($L502&lt;&gt;"",ROUND(ABS($L502)/IF(OR($R502="",$R502=0),1,$R502),2)*SIGN($U502),ROUND($U502*$V502,2))))</f>
        <v>0</v>
      </c>
      <c r="X502" s="24" t="str">
        <f aca="false">IF($N502="","",IFERROR(INDEX(VAT_Codes!$H:$H,MATCH($N502,VAT_Codes!$A:$A,0)),"")&amp;"")</f>
        <v/>
      </c>
      <c r="Y502" s="24" t="str">
        <f aca="false">IF($A502="","",(YEAR($A502)-YEAR(Settings!$C$8))*12+MONTH($A502)-MONTH(Settings!$C$8)+1)</f>
        <v/>
      </c>
      <c r="Z502" s="24" t="str">
        <f aca="false">IF(AND($C502="",$I502="",$J502=""),"",IF($N502="","NO VAT CODE",IF($T502="","UNKNOWN VAT CODE",IF($S502="","MISSING FX RATE",IF(OR($A502&lt;Settings!$C$8,$A502&gt;Settings!$C$9),"OUTSIDE PERIOD",IF(AND(IFERROR(INDEX(VAT_Codes!$E:$E,MATCH($N502,VAT_Codes!$A:$A,0)),"ANY")&lt;&gt;"ANY",$P502=""),"MISSING COUNTERPARTY COUNTRY",IF(AND(IFERROR(INDEX(VAT_Codes!$E:$E,MATCH($N502,VAT_Codes!$A:$A,0)),"ANY")&lt;&gt;"ANY",$P502&lt;&gt;IFERROR(INDEX(VAT_Codes!$E:$E,MATCH($N502,VAT_Codes!$A:$A,0)),"ANY")),"REGION MISMATCH","OK")))))))</f>
        <v/>
      </c>
    </row>
    <row r="503" customFormat="false" ht="15" hidden="false" customHeight="false" outlineLevel="0" collapsed="false">
      <c r="M503" s="24" t="str">
        <f aca="false">IF($C503="","",IFERROR(INDEX(Account_Mapping!$C:$C,MATCH($C503&amp;"",Account_Mapping!$A:$A,0))&amp;"",""))</f>
        <v/>
      </c>
      <c r="N503" s="24" t="str">
        <f aca="false">IF($K503&lt;&gt;"",$K503,$M503)</f>
        <v/>
      </c>
      <c r="O503" s="24" t="str">
        <f aca="false">IF($F503="","",IFERROR(INDEX(Counterparties!$C:$C,MATCH($F503&amp;"",Counterparties!$A:$A,0))&amp;"",""))</f>
        <v/>
      </c>
      <c r="P503" s="24" t="str">
        <f aca="false">IF($O503="","",IF($O503="CY","CY",IF(ISNUMBER(MATCH($O503,Lists!$A:$A,0)),"EU","3RD")))</f>
        <v/>
      </c>
      <c r="Q503" s="24" t="str">
        <f aca="false">IF($F503="","N",IFERROR(IF(INDEX(Counterparties!$E:$E,MATCH($F503&amp;"",Counterparties!$A:$A,0))="Y","Y","N"),"N"))</f>
        <v>N</v>
      </c>
      <c r="R503" s="25" t="n">
        <f aca="false">IF(OR($H503="",$H503="EUR"),1,IFERROR(INDEX(FX_Rates!$D:$D,MATCH($H503,FX_Rates!$A:$A,0)),""))</f>
        <v>1</v>
      </c>
      <c r="S503" s="26" t="str">
        <f aca="false">IF(AND($I503="",$J503=""),"",IF($J503&lt;&gt;"",$J503,IF(OR($R503="",$R503=0),"",ROUND($I503/$R503,2))))</f>
        <v/>
      </c>
      <c r="T503" s="24" t="str">
        <f aca="false">IF($N503="","",IFERROR(INDEX(VAT_Codes!$C:$C,MATCH($N503,VAT_Codes!$A:$A,0)),"")&amp;"")</f>
        <v/>
      </c>
      <c r="U503" s="26" t="n">
        <f aca="false">IF(OR($S503="",$T503="",$T503="None"),0,IF($T503="Output",-$S503,$S503))</f>
        <v>0</v>
      </c>
      <c r="V503" s="27" t="n">
        <f aca="false">IF($N503="",0,IFERROR(INDEX(VAT_Codes!$D:$D,MATCH($N503,VAT_Codes!$A:$A,0)),0))</f>
        <v>0</v>
      </c>
      <c r="W503" s="26" t="n">
        <f aca="false">IF($U503=0,0,IF(IFERROR(INDEX(VAT_Codes!$F:$F,MATCH($N503,VAT_Codes!$A:$A,0)),"N")="Y",$U503,IF($L503&lt;&gt;"",ROUND(ABS($L503)/IF(OR($R503="",$R503=0),1,$R503),2)*SIGN($U503),ROUND($U503*$V503,2))))</f>
        <v>0</v>
      </c>
      <c r="X503" s="24" t="str">
        <f aca="false">IF($N503="","",IFERROR(INDEX(VAT_Codes!$H:$H,MATCH($N503,VAT_Codes!$A:$A,0)),"")&amp;"")</f>
        <v/>
      </c>
      <c r="Y503" s="24" t="str">
        <f aca="false">IF($A503="","",(YEAR($A503)-YEAR(Settings!$C$8))*12+MONTH($A503)-MONTH(Settings!$C$8)+1)</f>
        <v/>
      </c>
      <c r="Z503" s="24" t="str">
        <f aca="false">IF(AND($C503="",$I503="",$J503=""),"",IF($N503="","NO VAT CODE",IF($T503="","UNKNOWN VAT CODE",IF($S503="","MISSING FX RATE",IF(OR($A503&lt;Settings!$C$8,$A503&gt;Settings!$C$9),"OUTSIDE PERIOD",IF(AND(IFERROR(INDEX(VAT_Codes!$E:$E,MATCH($N503,VAT_Codes!$A:$A,0)),"ANY")&lt;&gt;"ANY",$P503=""),"MISSING COUNTERPARTY COUNTRY",IF(AND(IFERROR(INDEX(VAT_Codes!$E:$E,MATCH($N503,VAT_Codes!$A:$A,0)),"ANY")&lt;&gt;"ANY",$P503&lt;&gt;IFERROR(INDEX(VAT_Codes!$E:$E,MATCH($N503,VAT_Codes!$A:$A,0)),"ANY")),"REGION MISMATCH","OK")))))))</f>
        <v/>
      </c>
    </row>
    <row r="504" customFormat="false" ht="15" hidden="false" customHeight="false" outlineLevel="0" collapsed="false">
      <c r="M504" s="24" t="str">
        <f aca="false">IF($C504="","",IFERROR(INDEX(Account_Mapping!$C:$C,MATCH($C504&amp;"",Account_Mapping!$A:$A,0))&amp;"",""))</f>
        <v/>
      </c>
      <c r="N504" s="24" t="str">
        <f aca="false">IF($K504&lt;&gt;"",$K504,$M504)</f>
        <v/>
      </c>
      <c r="O504" s="24" t="str">
        <f aca="false">IF($F504="","",IFERROR(INDEX(Counterparties!$C:$C,MATCH($F504&amp;"",Counterparties!$A:$A,0))&amp;"",""))</f>
        <v/>
      </c>
      <c r="P504" s="24" t="str">
        <f aca="false">IF($O504="","",IF($O504="CY","CY",IF(ISNUMBER(MATCH($O504,Lists!$A:$A,0)),"EU","3RD")))</f>
        <v/>
      </c>
      <c r="Q504" s="24" t="str">
        <f aca="false">IF($F504="","N",IFERROR(IF(INDEX(Counterparties!$E:$E,MATCH($F504&amp;"",Counterparties!$A:$A,0))="Y","Y","N"),"N"))</f>
        <v>N</v>
      </c>
      <c r="R504" s="25" t="n">
        <f aca="false">IF(OR($H504="",$H504="EUR"),1,IFERROR(INDEX(FX_Rates!$D:$D,MATCH($H504,FX_Rates!$A:$A,0)),""))</f>
        <v>1</v>
      </c>
      <c r="S504" s="26" t="str">
        <f aca="false">IF(AND($I504="",$J504=""),"",IF($J504&lt;&gt;"",$J504,IF(OR($R504="",$R504=0),"",ROUND($I504/$R504,2))))</f>
        <v/>
      </c>
      <c r="T504" s="24" t="str">
        <f aca="false">IF($N504="","",IFERROR(INDEX(VAT_Codes!$C:$C,MATCH($N504,VAT_Codes!$A:$A,0)),"")&amp;"")</f>
        <v/>
      </c>
      <c r="U504" s="26" t="n">
        <f aca="false">IF(OR($S504="",$T504="",$T504="None"),0,IF($T504="Output",-$S504,$S504))</f>
        <v>0</v>
      </c>
      <c r="V504" s="27" t="n">
        <f aca="false">IF($N504="",0,IFERROR(INDEX(VAT_Codes!$D:$D,MATCH($N504,VAT_Codes!$A:$A,0)),0))</f>
        <v>0</v>
      </c>
      <c r="W504" s="26" t="n">
        <f aca="false">IF($U504=0,0,IF(IFERROR(INDEX(VAT_Codes!$F:$F,MATCH($N504,VAT_Codes!$A:$A,0)),"N")="Y",$U504,IF($L504&lt;&gt;"",ROUND(ABS($L504)/IF(OR($R504="",$R504=0),1,$R504),2)*SIGN($U504),ROUND($U504*$V504,2))))</f>
        <v>0</v>
      </c>
      <c r="X504" s="24" t="str">
        <f aca="false">IF($N504="","",IFERROR(INDEX(VAT_Codes!$H:$H,MATCH($N504,VAT_Codes!$A:$A,0)),"")&amp;"")</f>
        <v/>
      </c>
      <c r="Y504" s="24" t="str">
        <f aca="false">IF($A504="","",(YEAR($A504)-YEAR(Settings!$C$8))*12+MONTH($A504)-MONTH(Settings!$C$8)+1)</f>
        <v/>
      </c>
      <c r="Z504" s="24" t="str">
        <f aca="false">IF(AND($C504="",$I504="",$J504=""),"",IF($N504="","NO VAT CODE",IF($T504="","UNKNOWN VAT CODE",IF($S504="","MISSING FX RATE",IF(OR($A504&lt;Settings!$C$8,$A504&gt;Settings!$C$9),"OUTSIDE PERIOD",IF(AND(IFERROR(INDEX(VAT_Codes!$E:$E,MATCH($N504,VAT_Codes!$A:$A,0)),"ANY")&lt;&gt;"ANY",$P504=""),"MISSING COUNTERPARTY COUNTRY",IF(AND(IFERROR(INDEX(VAT_Codes!$E:$E,MATCH($N504,VAT_Codes!$A:$A,0)),"ANY")&lt;&gt;"ANY",$P504&lt;&gt;IFERROR(INDEX(VAT_Codes!$E:$E,MATCH($N504,VAT_Codes!$A:$A,0)),"ANY")),"REGION MISMATCH","OK")))))))</f>
        <v/>
      </c>
    </row>
    <row r="505" customFormat="false" ht="15" hidden="false" customHeight="false" outlineLevel="0" collapsed="false">
      <c r="M505" s="24" t="str">
        <f aca="false">IF($C505="","",IFERROR(INDEX(Account_Mapping!$C:$C,MATCH($C505&amp;"",Account_Mapping!$A:$A,0))&amp;"",""))</f>
        <v/>
      </c>
      <c r="N505" s="24" t="str">
        <f aca="false">IF($K505&lt;&gt;"",$K505,$M505)</f>
        <v/>
      </c>
      <c r="O505" s="24" t="str">
        <f aca="false">IF($F505="","",IFERROR(INDEX(Counterparties!$C:$C,MATCH($F505&amp;"",Counterparties!$A:$A,0))&amp;"",""))</f>
        <v/>
      </c>
      <c r="P505" s="24" t="str">
        <f aca="false">IF($O505="","",IF($O505="CY","CY",IF(ISNUMBER(MATCH($O505,Lists!$A:$A,0)),"EU","3RD")))</f>
        <v/>
      </c>
      <c r="Q505" s="24" t="str">
        <f aca="false">IF($F505="","N",IFERROR(IF(INDEX(Counterparties!$E:$E,MATCH($F505&amp;"",Counterparties!$A:$A,0))="Y","Y","N"),"N"))</f>
        <v>N</v>
      </c>
      <c r="R505" s="25" t="n">
        <f aca="false">IF(OR($H505="",$H505="EUR"),1,IFERROR(INDEX(FX_Rates!$D:$D,MATCH($H505,FX_Rates!$A:$A,0)),""))</f>
        <v>1</v>
      </c>
      <c r="S505" s="26" t="str">
        <f aca="false">IF(AND($I505="",$J505=""),"",IF($J505&lt;&gt;"",$J505,IF(OR($R505="",$R505=0),"",ROUND($I505/$R505,2))))</f>
        <v/>
      </c>
      <c r="T505" s="24" t="str">
        <f aca="false">IF($N505="","",IFERROR(INDEX(VAT_Codes!$C:$C,MATCH($N505,VAT_Codes!$A:$A,0)),"")&amp;"")</f>
        <v/>
      </c>
      <c r="U505" s="26" t="n">
        <f aca="false">IF(OR($S505="",$T505="",$T505="None"),0,IF($T505="Output",-$S505,$S505))</f>
        <v>0</v>
      </c>
      <c r="V505" s="27" t="n">
        <f aca="false">IF($N505="",0,IFERROR(INDEX(VAT_Codes!$D:$D,MATCH($N505,VAT_Codes!$A:$A,0)),0))</f>
        <v>0</v>
      </c>
      <c r="W505" s="26" t="n">
        <f aca="false">IF($U505=0,0,IF(IFERROR(INDEX(VAT_Codes!$F:$F,MATCH($N505,VAT_Codes!$A:$A,0)),"N")="Y",$U505,IF($L505&lt;&gt;"",ROUND(ABS($L505)/IF(OR($R505="",$R505=0),1,$R505),2)*SIGN($U505),ROUND($U505*$V505,2))))</f>
        <v>0</v>
      </c>
      <c r="X505" s="24" t="str">
        <f aca="false">IF($N505="","",IFERROR(INDEX(VAT_Codes!$H:$H,MATCH($N505,VAT_Codes!$A:$A,0)),"")&amp;"")</f>
        <v/>
      </c>
      <c r="Y505" s="24" t="str">
        <f aca="false">IF($A505="","",(YEAR($A505)-YEAR(Settings!$C$8))*12+MONTH($A505)-MONTH(Settings!$C$8)+1)</f>
        <v/>
      </c>
      <c r="Z505" s="24" t="str">
        <f aca="false">IF(AND($C505="",$I505="",$J505=""),"",IF($N505="","NO VAT CODE",IF($T505="","UNKNOWN VAT CODE",IF($S505="","MISSING FX RATE",IF(OR($A505&lt;Settings!$C$8,$A505&gt;Settings!$C$9),"OUTSIDE PERIOD",IF(AND(IFERROR(INDEX(VAT_Codes!$E:$E,MATCH($N505,VAT_Codes!$A:$A,0)),"ANY")&lt;&gt;"ANY",$P505=""),"MISSING COUNTERPARTY COUNTRY",IF(AND(IFERROR(INDEX(VAT_Codes!$E:$E,MATCH($N505,VAT_Codes!$A:$A,0)),"ANY")&lt;&gt;"ANY",$P505&lt;&gt;IFERROR(INDEX(VAT_Codes!$E:$E,MATCH($N505,VAT_Codes!$A:$A,0)),"ANY")),"REGION MISMATCH","OK")))))))</f>
        <v/>
      </c>
    </row>
    <row r="506" customFormat="false" ht="15" hidden="false" customHeight="false" outlineLevel="0" collapsed="false">
      <c r="M506" s="24" t="str">
        <f aca="false">IF($C506="","",IFERROR(INDEX(Account_Mapping!$C:$C,MATCH($C506&amp;"",Account_Mapping!$A:$A,0))&amp;"",""))</f>
        <v/>
      </c>
      <c r="N506" s="24" t="str">
        <f aca="false">IF($K506&lt;&gt;"",$K506,$M506)</f>
        <v/>
      </c>
      <c r="O506" s="24" t="str">
        <f aca="false">IF($F506="","",IFERROR(INDEX(Counterparties!$C:$C,MATCH($F506&amp;"",Counterparties!$A:$A,0))&amp;"",""))</f>
        <v/>
      </c>
      <c r="P506" s="24" t="str">
        <f aca="false">IF($O506="","",IF($O506="CY","CY",IF(ISNUMBER(MATCH($O506,Lists!$A:$A,0)),"EU","3RD")))</f>
        <v/>
      </c>
      <c r="Q506" s="24" t="str">
        <f aca="false">IF($F506="","N",IFERROR(IF(INDEX(Counterparties!$E:$E,MATCH($F506&amp;"",Counterparties!$A:$A,0))="Y","Y","N"),"N"))</f>
        <v>N</v>
      </c>
      <c r="R506" s="25" t="n">
        <f aca="false">IF(OR($H506="",$H506="EUR"),1,IFERROR(INDEX(FX_Rates!$D:$D,MATCH($H506,FX_Rates!$A:$A,0)),""))</f>
        <v>1</v>
      </c>
      <c r="S506" s="26" t="str">
        <f aca="false">IF(AND($I506="",$J506=""),"",IF($J506&lt;&gt;"",$J506,IF(OR($R506="",$R506=0),"",ROUND($I506/$R506,2))))</f>
        <v/>
      </c>
      <c r="T506" s="24" t="str">
        <f aca="false">IF($N506="","",IFERROR(INDEX(VAT_Codes!$C:$C,MATCH($N506,VAT_Codes!$A:$A,0)),"")&amp;"")</f>
        <v/>
      </c>
      <c r="U506" s="26" t="n">
        <f aca="false">IF(OR($S506="",$T506="",$T506="None"),0,IF($T506="Output",-$S506,$S506))</f>
        <v>0</v>
      </c>
      <c r="V506" s="27" t="n">
        <f aca="false">IF($N506="",0,IFERROR(INDEX(VAT_Codes!$D:$D,MATCH($N506,VAT_Codes!$A:$A,0)),0))</f>
        <v>0</v>
      </c>
      <c r="W506" s="26" t="n">
        <f aca="false">IF($U506=0,0,IF(IFERROR(INDEX(VAT_Codes!$F:$F,MATCH($N506,VAT_Codes!$A:$A,0)),"N")="Y",$U506,IF($L506&lt;&gt;"",ROUND(ABS($L506)/IF(OR($R506="",$R506=0),1,$R506),2)*SIGN($U506),ROUND($U506*$V506,2))))</f>
        <v>0</v>
      </c>
      <c r="X506" s="24" t="str">
        <f aca="false">IF($N506="","",IFERROR(INDEX(VAT_Codes!$H:$H,MATCH($N506,VAT_Codes!$A:$A,0)),"")&amp;"")</f>
        <v/>
      </c>
      <c r="Y506" s="24" t="str">
        <f aca="false">IF($A506="","",(YEAR($A506)-YEAR(Settings!$C$8))*12+MONTH($A506)-MONTH(Settings!$C$8)+1)</f>
        <v/>
      </c>
      <c r="Z506" s="24" t="str">
        <f aca="false">IF(AND($C506="",$I506="",$J506=""),"",IF($N506="","NO VAT CODE",IF($T506="","UNKNOWN VAT CODE",IF($S506="","MISSING FX RATE",IF(OR($A506&lt;Settings!$C$8,$A506&gt;Settings!$C$9),"OUTSIDE PERIOD",IF(AND(IFERROR(INDEX(VAT_Codes!$E:$E,MATCH($N506,VAT_Codes!$A:$A,0)),"ANY")&lt;&gt;"ANY",$P506=""),"MISSING COUNTERPARTY COUNTRY",IF(AND(IFERROR(INDEX(VAT_Codes!$E:$E,MATCH($N506,VAT_Codes!$A:$A,0)),"ANY")&lt;&gt;"ANY",$P506&lt;&gt;IFERROR(INDEX(VAT_Codes!$E:$E,MATCH($N506,VAT_Codes!$A:$A,0)),"ANY")),"REGION MISMATCH","OK")))))))</f>
        <v/>
      </c>
    </row>
    <row r="507" customFormat="false" ht="15" hidden="false" customHeight="false" outlineLevel="0" collapsed="false">
      <c r="M507" s="24" t="str">
        <f aca="false">IF($C507="","",IFERROR(INDEX(Account_Mapping!$C:$C,MATCH($C507&amp;"",Account_Mapping!$A:$A,0))&amp;"",""))</f>
        <v/>
      </c>
      <c r="N507" s="24" t="str">
        <f aca="false">IF($K507&lt;&gt;"",$K507,$M507)</f>
        <v/>
      </c>
      <c r="O507" s="24" t="str">
        <f aca="false">IF($F507="","",IFERROR(INDEX(Counterparties!$C:$C,MATCH($F507&amp;"",Counterparties!$A:$A,0))&amp;"",""))</f>
        <v/>
      </c>
      <c r="P507" s="24" t="str">
        <f aca="false">IF($O507="","",IF($O507="CY","CY",IF(ISNUMBER(MATCH($O507,Lists!$A:$A,0)),"EU","3RD")))</f>
        <v/>
      </c>
      <c r="Q507" s="24" t="str">
        <f aca="false">IF($F507="","N",IFERROR(IF(INDEX(Counterparties!$E:$E,MATCH($F507&amp;"",Counterparties!$A:$A,0))="Y","Y","N"),"N"))</f>
        <v>N</v>
      </c>
      <c r="R507" s="25" t="n">
        <f aca="false">IF(OR($H507="",$H507="EUR"),1,IFERROR(INDEX(FX_Rates!$D:$D,MATCH($H507,FX_Rates!$A:$A,0)),""))</f>
        <v>1</v>
      </c>
      <c r="S507" s="26" t="str">
        <f aca="false">IF(AND($I507="",$J507=""),"",IF($J507&lt;&gt;"",$J507,IF(OR($R507="",$R507=0),"",ROUND($I507/$R507,2))))</f>
        <v/>
      </c>
      <c r="T507" s="24" t="str">
        <f aca="false">IF($N507="","",IFERROR(INDEX(VAT_Codes!$C:$C,MATCH($N507,VAT_Codes!$A:$A,0)),"")&amp;"")</f>
        <v/>
      </c>
      <c r="U507" s="26" t="n">
        <f aca="false">IF(OR($S507="",$T507="",$T507="None"),0,IF($T507="Output",-$S507,$S507))</f>
        <v>0</v>
      </c>
      <c r="V507" s="27" t="n">
        <f aca="false">IF($N507="",0,IFERROR(INDEX(VAT_Codes!$D:$D,MATCH($N507,VAT_Codes!$A:$A,0)),0))</f>
        <v>0</v>
      </c>
      <c r="W507" s="26" t="n">
        <f aca="false">IF($U507=0,0,IF(IFERROR(INDEX(VAT_Codes!$F:$F,MATCH($N507,VAT_Codes!$A:$A,0)),"N")="Y",$U507,IF($L507&lt;&gt;"",ROUND(ABS($L507)/IF(OR($R507="",$R507=0),1,$R507),2)*SIGN($U507),ROUND($U507*$V507,2))))</f>
        <v>0</v>
      </c>
      <c r="X507" s="24" t="str">
        <f aca="false">IF($N507="","",IFERROR(INDEX(VAT_Codes!$H:$H,MATCH($N507,VAT_Codes!$A:$A,0)),"")&amp;"")</f>
        <v/>
      </c>
      <c r="Y507" s="24" t="str">
        <f aca="false">IF($A507="","",(YEAR($A507)-YEAR(Settings!$C$8))*12+MONTH($A507)-MONTH(Settings!$C$8)+1)</f>
        <v/>
      </c>
      <c r="Z507" s="24" t="str">
        <f aca="false">IF(AND($C507="",$I507="",$J507=""),"",IF($N507="","NO VAT CODE",IF($T507="","UNKNOWN VAT CODE",IF($S507="","MISSING FX RATE",IF(OR($A507&lt;Settings!$C$8,$A507&gt;Settings!$C$9),"OUTSIDE PERIOD",IF(AND(IFERROR(INDEX(VAT_Codes!$E:$E,MATCH($N507,VAT_Codes!$A:$A,0)),"ANY")&lt;&gt;"ANY",$P507=""),"MISSING COUNTERPARTY COUNTRY",IF(AND(IFERROR(INDEX(VAT_Codes!$E:$E,MATCH($N507,VAT_Codes!$A:$A,0)),"ANY")&lt;&gt;"ANY",$P507&lt;&gt;IFERROR(INDEX(VAT_Codes!$E:$E,MATCH($N507,VAT_Codes!$A:$A,0)),"ANY")),"REGION MISMATCH","OK")))))))</f>
        <v/>
      </c>
    </row>
    <row r="508" customFormat="false" ht="15" hidden="false" customHeight="false" outlineLevel="0" collapsed="false">
      <c r="M508" s="24" t="str">
        <f aca="false">IF($C508="","",IFERROR(INDEX(Account_Mapping!$C:$C,MATCH($C508&amp;"",Account_Mapping!$A:$A,0))&amp;"",""))</f>
        <v/>
      </c>
      <c r="N508" s="24" t="str">
        <f aca="false">IF($K508&lt;&gt;"",$K508,$M508)</f>
        <v/>
      </c>
      <c r="O508" s="24" t="str">
        <f aca="false">IF($F508="","",IFERROR(INDEX(Counterparties!$C:$C,MATCH($F508&amp;"",Counterparties!$A:$A,0))&amp;"",""))</f>
        <v/>
      </c>
      <c r="P508" s="24" t="str">
        <f aca="false">IF($O508="","",IF($O508="CY","CY",IF(ISNUMBER(MATCH($O508,Lists!$A:$A,0)),"EU","3RD")))</f>
        <v/>
      </c>
      <c r="Q508" s="24" t="str">
        <f aca="false">IF($F508="","N",IFERROR(IF(INDEX(Counterparties!$E:$E,MATCH($F508&amp;"",Counterparties!$A:$A,0))="Y","Y","N"),"N"))</f>
        <v>N</v>
      </c>
      <c r="R508" s="25" t="n">
        <f aca="false">IF(OR($H508="",$H508="EUR"),1,IFERROR(INDEX(FX_Rates!$D:$D,MATCH($H508,FX_Rates!$A:$A,0)),""))</f>
        <v>1</v>
      </c>
      <c r="S508" s="26" t="str">
        <f aca="false">IF(AND($I508="",$J508=""),"",IF($J508&lt;&gt;"",$J508,IF(OR($R508="",$R508=0),"",ROUND($I508/$R508,2))))</f>
        <v/>
      </c>
      <c r="T508" s="24" t="str">
        <f aca="false">IF($N508="","",IFERROR(INDEX(VAT_Codes!$C:$C,MATCH($N508,VAT_Codes!$A:$A,0)),"")&amp;"")</f>
        <v/>
      </c>
      <c r="U508" s="26" t="n">
        <f aca="false">IF(OR($S508="",$T508="",$T508="None"),0,IF($T508="Output",-$S508,$S508))</f>
        <v>0</v>
      </c>
      <c r="V508" s="27" t="n">
        <f aca="false">IF($N508="",0,IFERROR(INDEX(VAT_Codes!$D:$D,MATCH($N508,VAT_Codes!$A:$A,0)),0))</f>
        <v>0</v>
      </c>
      <c r="W508" s="26" t="n">
        <f aca="false">IF($U508=0,0,IF(IFERROR(INDEX(VAT_Codes!$F:$F,MATCH($N508,VAT_Codes!$A:$A,0)),"N")="Y",$U508,IF($L508&lt;&gt;"",ROUND(ABS($L508)/IF(OR($R508="",$R508=0),1,$R508),2)*SIGN($U508),ROUND($U508*$V508,2))))</f>
        <v>0</v>
      </c>
      <c r="X508" s="24" t="str">
        <f aca="false">IF($N508="","",IFERROR(INDEX(VAT_Codes!$H:$H,MATCH($N508,VAT_Codes!$A:$A,0)),"")&amp;"")</f>
        <v/>
      </c>
      <c r="Y508" s="24" t="str">
        <f aca="false">IF($A508="","",(YEAR($A508)-YEAR(Settings!$C$8))*12+MONTH($A508)-MONTH(Settings!$C$8)+1)</f>
        <v/>
      </c>
      <c r="Z508" s="24" t="str">
        <f aca="false">IF(AND($C508="",$I508="",$J508=""),"",IF($N508="","NO VAT CODE",IF($T508="","UNKNOWN VAT CODE",IF($S508="","MISSING FX RATE",IF(OR($A508&lt;Settings!$C$8,$A508&gt;Settings!$C$9),"OUTSIDE PERIOD",IF(AND(IFERROR(INDEX(VAT_Codes!$E:$E,MATCH($N508,VAT_Codes!$A:$A,0)),"ANY")&lt;&gt;"ANY",$P508=""),"MISSING COUNTERPARTY COUNTRY",IF(AND(IFERROR(INDEX(VAT_Codes!$E:$E,MATCH($N508,VAT_Codes!$A:$A,0)),"ANY")&lt;&gt;"ANY",$P508&lt;&gt;IFERROR(INDEX(VAT_Codes!$E:$E,MATCH($N508,VAT_Codes!$A:$A,0)),"ANY")),"REGION MISMATCH","OK")))))))</f>
        <v/>
      </c>
    </row>
    <row r="509" customFormat="false" ht="15" hidden="false" customHeight="false" outlineLevel="0" collapsed="false">
      <c r="M509" s="24" t="str">
        <f aca="false">IF($C509="","",IFERROR(INDEX(Account_Mapping!$C:$C,MATCH($C509&amp;"",Account_Mapping!$A:$A,0))&amp;"",""))</f>
        <v/>
      </c>
      <c r="N509" s="24" t="str">
        <f aca="false">IF($K509&lt;&gt;"",$K509,$M509)</f>
        <v/>
      </c>
      <c r="O509" s="24" t="str">
        <f aca="false">IF($F509="","",IFERROR(INDEX(Counterparties!$C:$C,MATCH($F509&amp;"",Counterparties!$A:$A,0))&amp;"",""))</f>
        <v/>
      </c>
      <c r="P509" s="24" t="str">
        <f aca="false">IF($O509="","",IF($O509="CY","CY",IF(ISNUMBER(MATCH($O509,Lists!$A:$A,0)),"EU","3RD")))</f>
        <v/>
      </c>
      <c r="Q509" s="24" t="str">
        <f aca="false">IF($F509="","N",IFERROR(IF(INDEX(Counterparties!$E:$E,MATCH($F509&amp;"",Counterparties!$A:$A,0))="Y","Y","N"),"N"))</f>
        <v>N</v>
      </c>
      <c r="R509" s="25" t="n">
        <f aca="false">IF(OR($H509="",$H509="EUR"),1,IFERROR(INDEX(FX_Rates!$D:$D,MATCH($H509,FX_Rates!$A:$A,0)),""))</f>
        <v>1</v>
      </c>
      <c r="S509" s="26" t="str">
        <f aca="false">IF(AND($I509="",$J509=""),"",IF($J509&lt;&gt;"",$J509,IF(OR($R509="",$R509=0),"",ROUND($I509/$R509,2))))</f>
        <v/>
      </c>
      <c r="T509" s="24" t="str">
        <f aca="false">IF($N509="","",IFERROR(INDEX(VAT_Codes!$C:$C,MATCH($N509,VAT_Codes!$A:$A,0)),"")&amp;"")</f>
        <v/>
      </c>
      <c r="U509" s="26" t="n">
        <f aca="false">IF(OR($S509="",$T509="",$T509="None"),0,IF($T509="Output",-$S509,$S509))</f>
        <v>0</v>
      </c>
      <c r="V509" s="27" t="n">
        <f aca="false">IF($N509="",0,IFERROR(INDEX(VAT_Codes!$D:$D,MATCH($N509,VAT_Codes!$A:$A,0)),0))</f>
        <v>0</v>
      </c>
      <c r="W509" s="26" t="n">
        <f aca="false">IF($U509=0,0,IF(IFERROR(INDEX(VAT_Codes!$F:$F,MATCH($N509,VAT_Codes!$A:$A,0)),"N")="Y",$U509,IF($L509&lt;&gt;"",ROUND(ABS($L509)/IF(OR($R509="",$R509=0),1,$R509),2)*SIGN($U509),ROUND($U509*$V509,2))))</f>
        <v>0</v>
      </c>
      <c r="X509" s="24" t="str">
        <f aca="false">IF($N509="","",IFERROR(INDEX(VAT_Codes!$H:$H,MATCH($N509,VAT_Codes!$A:$A,0)),"")&amp;"")</f>
        <v/>
      </c>
      <c r="Y509" s="24" t="str">
        <f aca="false">IF($A509="","",(YEAR($A509)-YEAR(Settings!$C$8))*12+MONTH($A509)-MONTH(Settings!$C$8)+1)</f>
        <v/>
      </c>
      <c r="Z509" s="24" t="str">
        <f aca="false">IF(AND($C509="",$I509="",$J509=""),"",IF($N509="","NO VAT CODE",IF($T509="","UNKNOWN VAT CODE",IF($S509="","MISSING FX RATE",IF(OR($A509&lt;Settings!$C$8,$A509&gt;Settings!$C$9),"OUTSIDE PERIOD",IF(AND(IFERROR(INDEX(VAT_Codes!$E:$E,MATCH($N509,VAT_Codes!$A:$A,0)),"ANY")&lt;&gt;"ANY",$P509=""),"MISSING COUNTERPARTY COUNTRY",IF(AND(IFERROR(INDEX(VAT_Codes!$E:$E,MATCH($N509,VAT_Codes!$A:$A,0)),"ANY")&lt;&gt;"ANY",$P509&lt;&gt;IFERROR(INDEX(VAT_Codes!$E:$E,MATCH($N509,VAT_Codes!$A:$A,0)),"ANY")),"REGION MISMATCH","OK")))))))</f>
        <v/>
      </c>
    </row>
    <row r="510" customFormat="false" ht="15" hidden="false" customHeight="false" outlineLevel="0" collapsed="false">
      <c r="M510" s="24" t="str">
        <f aca="false">IF($C510="","",IFERROR(INDEX(Account_Mapping!$C:$C,MATCH($C510&amp;"",Account_Mapping!$A:$A,0))&amp;"",""))</f>
        <v/>
      </c>
      <c r="N510" s="24" t="str">
        <f aca="false">IF($K510&lt;&gt;"",$K510,$M510)</f>
        <v/>
      </c>
      <c r="O510" s="24" t="str">
        <f aca="false">IF($F510="","",IFERROR(INDEX(Counterparties!$C:$C,MATCH($F510&amp;"",Counterparties!$A:$A,0))&amp;"",""))</f>
        <v/>
      </c>
      <c r="P510" s="24" t="str">
        <f aca="false">IF($O510="","",IF($O510="CY","CY",IF(ISNUMBER(MATCH($O510,Lists!$A:$A,0)),"EU","3RD")))</f>
        <v/>
      </c>
      <c r="Q510" s="24" t="str">
        <f aca="false">IF($F510="","N",IFERROR(IF(INDEX(Counterparties!$E:$E,MATCH($F510&amp;"",Counterparties!$A:$A,0))="Y","Y","N"),"N"))</f>
        <v>N</v>
      </c>
      <c r="R510" s="25" t="n">
        <f aca="false">IF(OR($H510="",$H510="EUR"),1,IFERROR(INDEX(FX_Rates!$D:$D,MATCH($H510,FX_Rates!$A:$A,0)),""))</f>
        <v>1</v>
      </c>
      <c r="S510" s="26" t="str">
        <f aca="false">IF(AND($I510="",$J510=""),"",IF($J510&lt;&gt;"",$J510,IF(OR($R510="",$R510=0),"",ROUND($I510/$R510,2))))</f>
        <v/>
      </c>
      <c r="T510" s="24" t="str">
        <f aca="false">IF($N510="","",IFERROR(INDEX(VAT_Codes!$C:$C,MATCH($N510,VAT_Codes!$A:$A,0)),"")&amp;"")</f>
        <v/>
      </c>
      <c r="U510" s="26" t="n">
        <f aca="false">IF(OR($S510="",$T510="",$T510="None"),0,IF($T510="Output",-$S510,$S510))</f>
        <v>0</v>
      </c>
      <c r="V510" s="27" t="n">
        <f aca="false">IF($N510="",0,IFERROR(INDEX(VAT_Codes!$D:$D,MATCH($N510,VAT_Codes!$A:$A,0)),0))</f>
        <v>0</v>
      </c>
      <c r="W510" s="26" t="n">
        <f aca="false">IF($U510=0,0,IF(IFERROR(INDEX(VAT_Codes!$F:$F,MATCH($N510,VAT_Codes!$A:$A,0)),"N")="Y",$U510,IF($L510&lt;&gt;"",ROUND(ABS($L510)/IF(OR($R510="",$R510=0),1,$R510),2)*SIGN($U510),ROUND($U510*$V510,2))))</f>
        <v>0</v>
      </c>
      <c r="X510" s="24" t="str">
        <f aca="false">IF($N510="","",IFERROR(INDEX(VAT_Codes!$H:$H,MATCH($N510,VAT_Codes!$A:$A,0)),"")&amp;"")</f>
        <v/>
      </c>
      <c r="Y510" s="24" t="str">
        <f aca="false">IF($A510="","",(YEAR($A510)-YEAR(Settings!$C$8))*12+MONTH($A510)-MONTH(Settings!$C$8)+1)</f>
        <v/>
      </c>
      <c r="Z510" s="24" t="str">
        <f aca="false">IF(AND($C510="",$I510="",$J510=""),"",IF($N510="","NO VAT CODE",IF($T510="","UNKNOWN VAT CODE",IF($S510="","MISSING FX RATE",IF(OR($A510&lt;Settings!$C$8,$A510&gt;Settings!$C$9),"OUTSIDE PERIOD",IF(AND(IFERROR(INDEX(VAT_Codes!$E:$E,MATCH($N510,VAT_Codes!$A:$A,0)),"ANY")&lt;&gt;"ANY",$P510=""),"MISSING COUNTERPARTY COUNTRY",IF(AND(IFERROR(INDEX(VAT_Codes!$E:$E,MATCH($N510,VAT_Codes!$A:$A,0)),"ANY")&lt;&gt;"ANY",$P510&lt;&gt;IFERROR(INDEX(VAT_Codes!$E:$E,MATCH($N510,VAT_Codes!$A:$A,0)),"ANY")),"REGION MISMATCH","OK")))))))</f>
        <v/>
      </c>
    </row>
    <row r="511" customFormat="false" ht="15" hidden="false" customHeight="false" outlineLevel="0" collapsed="false">
      <c r="M511" s="24" t="str">
        <f aca="false">IF($C511="","",IFERROR(INDEX(Account_Mapping!$C:$C,MATCH($C511&amp;"",Account_Mapping!$A:$A,0))&amp;"",""))</f>
        <v/>
      </c>
      <c r="N511" s="24" t="str">
        <f aca="false">IF($K511&lt;&gt;"",$K511,$M511)</f>
        <v/>
      </c>
      <c r="O511" s="24" t="str">
        <f aca="false">IF($F511="","",IFERROR(INDEX(Counterparties!$C:$C,MATCH($F511&amp;"",Counterparties!$A:$A,0))&amp;"",""))</f>
        <v/>
      </c>
      <c r="P511" s="24" t="str">
        <f aca="false">IF($O511="","",IF($O511="CY","CY",IF(ISNUMBER(MATCH($O511,Lists!$A:$A,0)),"EU","3RD")))</f>
        <v/>
      </c>
      <c r="Q511" s="24" t="str">
        <f aca="false">IF($F511="","N",IFERROR(IF(INDEX(Counterparties!$E:$E,MATCH($F511&amp;"",Counterparties!$A:$A,0))="Y","Y","N"),"N"))</f>
        <v>N</v>
      </c>
      <c r="R511" s="25" t="n">
        <f aca="false">IF(OR($H511="",$H511="EUR"),1,IFERROR(INDEX(FX_Rates!$D:$D,MATCH($H511,FX_Rates!$A:$A,0)),""))</f>
        <v>1</v>
      </c>
      <c r="S511" s="26" t="str">
        <f aca="false">IF(AND($I511="",$J511=""),"",IF($J511&lt;&gt;"",$J511,IF(OR($R511="",$R511=0),"",ROUND($I511/$R511,2))))</f>
        <v/>
      </c>
      <c r="T511" s="24" t="str">
        <f aca="false">IF($N511="","",IFERROR(INDEX(VAT_Codes!$C:$C,MATCH($N511,VAT_Codes!$A:$A,0)),"")&amp;"")</f>
        <v/>
      </c>
      <c r="U511" s="26" t="n">
        <f aca="false">IF(OR($S511="",$T511="",$T511="None"),0,IF($T511="Output",-$S511,$S511))</f>
        <v>0</v>
      </c>
      <c r="V511" s="27" t="n">
        <f aca="false">IF($N511="",0,IFERROR(INDEX(VAT_Codes!$D:$D,MATCH($N511,VAT_Codes!$A:$A,0)),0))</f>
        <v>0</v>
      </c>
      <c r="W511" s="26" t="n">
        <f aca="false">IF($U511=0,0,IF(IFERROR(INDEX(VAT_Codes!$F:$F,MATCH($N511,VAT_Codes!$A:$A,0)),"N")="Y",$U511,IF($L511&lt;&gt;"",ROUND(ABS($L511)/IF(OR($R511="",$R511=0),1,$R511),2)*SIGN($U511),ROUND($U511*$V511,2))))</f>
        <v>0</v>
      </c>
      <c r="X511" s="24" t="str">
        <f aca="false">IF($N511="","",IFERROR(INDEX(VAT_Codes!$H:$H,MATCH($N511,VAT_Codes!$A:$A,0)),"")&amp;"")</f>
        <v/>
      </c>
      <c r="Y511" s="24" t="str">
        <f aca="false">IF($A511="","",(YEAR($A511)-YEAR(Settings!$C$8))*12+MONTH($A511)-MONTH(Settings!$C$8)+1)</f>
        <v/>
      </c>
      <c r="Z511" s="24" t="str">
        <f aca="false">IF(AND($C511="",$I511="",$J511=""),"",IF($N511="","NO VAT CODE",IF($T511="","UNKNOWN VAT CODE",IF($S511="","MISSING FX RATE",IF(OR($A511&lt;Settings!$C$8,$A511&gt;Settings!$C$9),"OUTSIDE PERIOD",IF(AND(IFERROR(INDEX(VAT_Codes!$E:$E,MATCH($N511,VAT_Codes!$A:$A,0)),"ANY")&lt;&gt;"ANY",$P511=""),"MISSING COUNTERPARTY COUNTRY",IF(AND(IFERROR(INDEX(VAT_Codes!$E:$E,MATCH($N511,VAT_Codes!$A:$A,0)),"ANY")&lt;&gt;"ANY",$P511&lt;&gt;IFERROR(INDEX(VAT_Codes!$E:$E,MATCH($N511,VAT_Codes!$A:$A,0)),"ANY")),"REGION MISMATCH","OK")))))))</f>
        <v/>
      </c>
    </row>
    <row r="512" customFormat="false" ht="15" hidden="false" customHeight="false" outlineLevel="0" collapsed="false">
      <c r="M512" s="24" t="str">
        <f aca="false">IF($C512="","",IFERROR(INDEX(Account_Mapping!$C:$C,MATCH($C512&amp;"",Account_Mapping!$A:$A,0))&amp;"",""))</f>
        <v/>
      </c>
      <c r="N512" s="24" t="str">
        <f aca="false">IF($K512&lt;&gt;"",$K512,$M512)</f>
        <v/>
      </c>
      <c r="O512" s="24" t="str">
        <f aca="false">IF($F512="","",IFERROR(INDEX(Counterparties!$C:$C,MATCH($F512&amp;"",Counterparties!$A:$A,0))&amp;"",""))</f>
        <v/>
      </c>
      <c r="P512" s="24" t="str">
        <f aca="false">IF($O512="","",IF($O512="CY","CY",IF(ISNUMBER(MATCH($O512,Lists!$A:$A,0)),"EU","3RD")))</f>
        <v/>
      </c>
      <c r="Q512" s="24" t="str">
        <f aca="false">IF($F512="","N",IFERROR(IF(INDEX(Counterparties!$E:$E,MATCH($F512&amp;"",Counterparties!$A:$A,0))="Y","Y","N"),"N"))</f>
        <v>N</v>
      </c>
      <c r="R512" s="25" t="n">
        <f aca="false">IF(OR($H512="",$H512="EUR"),1,IFERROR(INDEX(FX_Rates!$D:$D,MATCH($H512,FX_Rates!$A:$A,0)),""))</f>
        <v>1</v>
      </c>
      <c r="S512" s="26" t="str">
        <f aca="false">IF(AND($I512="",$J512=""),"",IF($J512&lt;&gt;"",$J512,IF(OR($R512="",$R512=0),"",ROUND($I512/$R512,2))))</f>
        <v/>
      </c>
      <c r="T512" s="24" t="str">
        <f aca="false">IF($N512="","",IFERROR(INDEX(VAT_Codes!$C:$C,MATCH($N512,VAT_Codes!$A:$A,0)),"")&amp;"")</f>
        <v/>
      </c>
      <c r="U512" s="26" t="n">
        <f aca="false">IF(OR($S512="",$T512="",$T512="None"),0,IF($T512="Output",-$S512,$S512))</f>
        <v>0</v>
      </c>
      <c r="V512" s="27" t="n">
        <f aca="false">IF($N512="",0,IFERROR(INDEX(VAT_Codes!$D:$D,MATCH($N512,VAT_Codes!$A:$A,0)),0))</f>
        <v>0</v>
      </c>
      <c r="W512" s="26" t="n">
        <f aca="false">IF($U512=0,0,IF(IFERROR(INDEX(VAT_Codes!$F:$F,MATCH($N512,VAT_Codes!$A:$A,0)),"N")="Y",$U512,IF($L512&lt;&gt;"",ROUND(ABS($L512)/IF(OR($R512="",$R512=0),1,$R512),2)*SIGN($U512),ROUND($U512*$V512,2))))</f>
        <v>0</v>
      </c>
      <c r="X512" s="24" t="str">
        <f aca="false">IF($N512="","",IFERROR(INDEX(VAT_Codes!$H:$H,MATCH($N512,VAT_Codes!$A:$A,0)),"")&amp;"")</f>
        <v/>
      </c>
      <c r="Y512" s="24" t="str">
        <f aca="false">IF($A512="","",(YEAR($A512)-YEAR(Settings!$C$8))*12+MONTH($A512)-MONTH(Settings!$C$8)+1)</f>
        <v/>
      </c>
      <c r="Z512" s="24" t="str">
        <f aca="false">IF(AND($C512="",$I512="",$J512=""),"",IF($N512="","NO VAT CODE",IF($T512="","UNKNOWN VAT CODE",IF($S512="","MISSING FX RATE",IF(OR($A512&lt;Settings!$C$8,$A512&gt;Settings!$C$9),"OUTSIDE PERIOD",IF(AND(IFERROR(INDEX(VAT_Codes!$E:$E,MATCH($N512,VAT_Codes!$A:$A,0)),"ANY")&lt;&gt;"ANY",$P512=""),"MISSING COUNTERPARTY COUNTRY",IF(AND(IFERROR(INDEX(VAT_Codes!$E:$E,MATCH($N512,VAT_Codes!$A:$A,0)),"ANY")&lt;&gt;"ANY",$P512&lt;&gt;IFERROR(INDEX(VAT_Codes!$E:$E,MATCH($N512,VAT_Codes!$A:$A,0)),"ANY")),"REGION MISMATCH","OK")))))))</f>
        <v/>
      </c>
    </row>
    <row r="513" customFormat="false" ht="15" hidden="false" customHeight="false" outlineLevel="0" collapsed="false">
      <c r="M513" s="24" t="str">
        <f aca="false">IF($C513="","",IFERROR(INDEX(Account_Mapping!$C:$C,MATCH($C513&amp;"",Account_Mapping!$A:$A,0))&amp;"",""))</f>
        <v/>
      </c>
      <c r="N513" s="24" t="str">
        <f aca="false">IF($K513&lt;&gt;"",$K513,$M513)</f>
        <v/>
      </c>
      <c r="O513" s="24" t="str">
        <f aca="false">IF($F513="","",IFERROR(INDEX(Counterparties!$C:$C,MATCH($F513&amp;"",Counterparties!$A:$A,0))&amp;"",""))</f>
        <v/>
      </c>
      <c r="P513" s="24" t="str">
        <f aca="false">IF($O513="","",IF($O513="CY","CY",IF(ISNUMBER(MATCH($O513,Lists!$A:$A,0)),"EU","3RD")))</f>
        <v/>
      </c>
      <c r="Q513" s="24" t="str">
        <f aca="false">IF($F513="","N",IFERROR(IF(INDEX(Counterparties!$E:$E,MATCH($F513&amp;"",Counterparties!$A:$A,0))="Y","Y","N"),"N"))</f>
        <v>N</v>
      </c>
      <c r="R513" s="25" t="n">
        <f aca="false">IF(OR($H513="",$H513="EUR"),1,IFERROR(INDEX(FX_Rates!$D:$D,MATCH($H513,FX_Rates!$A:$A,0)),""))</f>
        <v>1</v>
      </c>
      <c r="S513" s="26" t="str">
        <f aca="false">IF(AND($I513="",$J513=""),"",IF($J513&lt;&gt;"",$J513,IF(OR($R513="",$R513=0),"",ROUND($I513/$R513,2))))</f>
        <v/>
      </c>
      <c r="T513" s="24" t="str">
        <f aca="false">IF($N513="","",IFERROR(INDEX(VAT_Codes!$C:$C,MATCH($N513,VAT_Codes!$A:$A,0)),"")&amp;"")</f>
        <v/>
      </c>
      <c r="U513" s="26" t="n">
        <f aca="false">IF(OR($S513="",$T513="",$T513="None"),0,IF($T513="Output",-$S513,$S513))</f>
        <v>0</v>
      </c>
      <c r="V513" s="27" t="n">
        <f aca="false">IF($N513="",0,IFERROR(INDEX(VAT_Codes!$D:$D,MATCH($N513,VAT_Codes!$A:$A,0)),0))</f>
        <v>0</v>
      </c>
      <c r="W513" s="26" t="n">
        <f aca="false">IF($U513=0,0,IF(IFERROR(INDEX(VAT_Codes!$F:$F,MATCH($N513,VAT_Codes!$A:$A,0)),"N")="Y",$U513,IF($L513&lt;&gt;"",ROUND(ABS($L513)/IF(OR($R513="",$R513=0),1,$R513),2)*SIGN($U513),ROUND($U513*$V513,2))))</f>
        <v>0</v>
      </c>
      <c r="X513" s="24" t="str">
        <f aca="false">IF($N513="","",IFERROR(INDEX(VAT_Codes!$H:$H,MATCH($N513,VAT_Codes!$A:$A,0)),"")&amp;"")</f>
        <v/>
      </c>
      <c r="Y513" s="24" t="str">
        <f aca="false">IF($A513="","",(YEAR($A513)-YEAR(Settings!$C$8))*12+MONTH($A513)-MONTH(Settings!$C$8)+1)</f>
        <v/>
      </c>
      <c r="Z513" s="24" t="str">
        <f aca="false">IF(AND($C513="",$I513="",$J513=""),"",IF($N513="","NO VAT CODE",IF($T513="","UNKNOWN VAT CODE",IF($S513="","MISSING FX RATE",IF(OR($A513&lt;Settings!$C$8,$A513&gt;Settings!$C$9),"OUTSIDE PERIOD",IF(AND(IFERROR(INDEX(VAT_Codes!$E:$E,MATCH($N513,VAT_Codes!$A:$A,0)),"ANY")&lt;&gt;"ANY",$P513=""),"MISSING COUNTERPARTY COUNTRY",IF(AND(IFERROR(INDEX(VAT_Codes!$E:$E,MATCH($N513,VAT_Codes!$A:$A,0)),"ANY")&lt;&gt;"ANY",$P513&lt;&gt;IFERROR(INDEX(VAT_Codes!$E:$E,MATCH($N513,VAT_Codes!$A:$A,0)),"ANY")),"REGION MISMATCH","OK")))))))</f>
        <v/>
      </c>
    </row>
    <row r="514" customFormat="false" ht="15" hidden="false" customHeight="false" outlineLevel="0" collapsed="false">
      <c r="M514" s="24" t="str">
        <f aca="false">IF($C514="","",IFERROR(INDEX(Account_Mapping!$C:$C,MATCH($C514&amp;"",Account_Mapping!$A:$A,0))&amp;"",""))</f>
        <v/>
      </c>
      <c r="N514" s="24" t="str">
        <f aca="false">IF($K514&lt;&gt;"",$K514,$M514)</f>
        <v/>
      </c>
      <c r="O514" s="24" t="str">
        <f aca="false">IF($F514="","",IFERROR(INDEX(Counterparties!$C:$C,MATCH($F514&amp;"",Counterparties!$A:$A,0))&amp;"",""))</f>
        <v/>
      </c>
      <c r="P514" s="24" t="str">
        <f aca="false">IF($O514="","",IF($O514="CY","CY",IF(ISNUMBER(MATCH($O514,Lists!$A:$A,0)),"EU","3RD")))</f>
        <v/>
      </c>
      <c r="Q514" s="24" t="str">
        <f aca="false">IF($F514="","N",IFERROR(IF(INDEX(Counterparties!$E:$E,MATCH($F514&amp;"",Counterparties!$A:$A,0))="Y","Y","N"),"N"))</f>
        <v>N</v>
      </c>
      <c r="R514" s="25" t="n">
        <f aca="false">IF(OR($H514="",$H514="EUR"),1,IFERROR(INDEX(FX_Rates!$D:$D,MATCH($H514,FX_Rates!$A:$A,0)),""))</f>
        <v>1</v>
      </c>
      <c r="S514" s="26" t="str">
        <f aca="false">IF(AND($I514="",$J514=""),"",IF($J514&lt;&gt;"",$J514,IF(OR($R514="",$R514=0),"",ROUND($I514/$R514,2))))</f>
        <v/>
      </c>
      <c r="T514" s="24" t="str">
        <f aca="false">IF($N514="","",IFERROR(INDEX(VAT_Codes!$C:$C,MATCH($N514,VAT_Codes!$A:$A,0)),"")&amp;"")</f>
        <v/>
      </c>
      <c r="U514" s="26" t="n">
        <f aca="false">IF(OR($S514="",$T514="",$T514="None"),0,IF($T514="Output",-$S514,$S514))</f>
        <v>0</v>
      </c>
      <c r="V514" s="27" t="n">
        <f aca="false">IF($N514="",0,IFERROR(INDEX(VAT_Codes!$D:$D,MATCH($N514,VAT_Codes!$A:$A,0)),0))</f>
        <v>0</v>
      </c>
      <c r="W514" s="26" t="n">
        <f aca="false">IF($U514=0,0,IF(IFERROR(INDEX(VAT_Codes!$F:$F,MATCH($N514,VAT_Codes!$A:$A,0)),"N")="Y",$U514,IF($L514&lt;&gt;"",ROUND(ABS($L514)/IF(OR($R514="",$R514=0),1,$R514),2)*SIGN($U514),ROUND($U514*$V514,2))))</f>
        <v>0</v>
      </c>
      <c r="X514" s="24" t="str">
        <f aca="false">IF($N514="","",IFERROR(INDEX(VAT_Codes!$H:$H,MATCH($N514,VAT_Codes!$A:$A,0)),"")&amp;"")</f>
        <v/>
      </c>
      <c r="Y514" s="24" t="str">
        <f aca="false">IF($A514="","",(YEAR($A514)-YEAR(Settings!$C$8))*12+MONTH($A514)-MONTH(Settings!$C$8)+1)</f>
        <v/>
      </c>
      <c r="Z514" s="24" t="str">
        <f aca="false">IF(AND($C514="",$I514="",$J514=""),"",IF($N514="","NO VAT CODE",IF($T514="","UNKNOWN VAT CODE",IF($S514="","MISSING FX RATE",IF(OR($A514&lt;Settings!$C$8,$A514&gt;Settings!$C$9),"OUTSIDE PERIOD",IF(AND(IFERROR(INDEX(VAT_Codes!$E:$E,MATCH($N514,VAT_Codes!$A:$A,0)),"ANY")&lt;&gt;"ANY",$P514=""),"MISSING COUNTERPARTY COUNTRY",IF(AND(IFERROR(INDEX(VAT_Codes!$E:$E,MATCH($N514,VAT_Codes!$A:$A,0)),"ANY")&lt;&gt;"ANY",$P514&lt;&gt;IFERROR(INDEX(VAT_Codes!$E:$E,MATCH($N514,VAT_Codes!$A:$A,0)),"ANY")),"REGION MISMATCH","OK")))))))</f>
        <v/>
      </c>
    </row>
    <row r="515" customFormat="false" ht="15" hidden="false" customHeight="false" outlineLevel="0" collapsed="false">
      <c r="M515" s="24" t="str">
        <f aca="false">IF($C515="","",IFERROR(INDEX(Account_Mapping!$C:$C,MATCH($C515&amp;"",Account_Mapping!$A:$A,0))&amp;"",""))</f>
        <v/>
      </c>
      <c r="N515" s="24" t="str">
        <f aca="false">IF($K515&lt;&gt;"",$K515,$M515)</f>
        <v/>
      </c>
      <c r="O515" s="24" t="str">
        <f aca="false">IF($F515="","",IFERROR(INDEX(Counterparties!$C:$C,MATCH($F515&amp;"",Counterparties!$A:$A,0))&amp;"",""))</f>
        <v/>
      </c>
      <c r="P515" s="24" t="str">
        <f aca="false">IF($O515="","",IF($O515="CY","CY",IF(ISNUMBER(MATCH($O515,Lists!$A:$A,0)),"EU","3RD")))</f>
        <v/>
      </c>
      <c r="Q515" s="24" t="str">
        <f aca="false">IF($F515="","N",IFERROR(IF(INDEX(Counterparties!$E:$E,MATCH($F515&amp;"",Counterparties!$A:$A,0))="Y","Y","N"),"N"))</f>
        <v>N</v>
      </c>
      <c r="R515" s="25" t="n">
        <f aca="false">IF(OR($H515="",$H515="EUR"),1,IFERROR(INDEX(FX_Rates!$D:$D,MATCH($H515,FX_Rates!$A:$A,0)),""))</f>
        <v>1</v>
      </c>
      <c r="S515" s="26" t="str">
        <f aca="false">IF(AND($I515="",$J515=""),"",IF($J515&lt;&gt;"",$J515,IF(OR($R515="",$R515=0),"",ROUND($I515/$R515,2))))</f>
        <v/>
      </c>
      <c r="T515" s="24" t="str">
        <f aca="false">IF($N515="","",IFERROR(INDEX(VAT_Codes!$C:$C,MATCH($N515,VAT_Codes!$A:$A,0)),"")&amp;"")</f>
        <v/>
      </c>
      <c r="U515" s="26" t="n">
        <f aca="false">IF(OR($S515="",$T515="",$T515="None"),0,IF($T515="Output",-$S515,$S515))</f>
        <v>0</v>
      </c>
      <c r="V515" s="27" t="n">
        <f aca="false">IF($N515="",0,IFERROR(INDEX(VAT_Codes!$D:$D,MATCH($N515,VAT_Codes!$A:$A,0)),0))</f>
        <v>0</v>
      </c>
      <c r="W515" s="26" t="n">
        <f aca="false">IF($U515=0,0,IF(IFERROR(INDEX(VAT_Codes!$F:$F,MATCH($N515,VAT_Codes!$A:$A,0)),"N")="Y",$U515,IF($L515&lt;&gt;"",ROUND(ABS($L515)/IF(OR($R515="",$R515=0),1,$R515),2)*SIGN($U515),ROUND($U515*$V515,2))))</f>
        <v>0</v>
      </c>
      <c r="X515" s="24" t="str">
        <f aca="false">IF($N515="","",IFERROR(INDEX(VAT_Codes!$H:$H,MATCH($N515,VAT_Codes!$A:$A,0)),"")&amp;"")</f>
        <v/>
      </c>
      <c r="Y515" s="24" t="str">
        <f aca="false">IF($A515="","",(YEAR($A515)-YEAR(Settings!$C$8))*12+MONTH($A515)-MONTH(Settings!$C$8)+1)</f>
        <v/>
      </c>
      <c r="Z515" s="24" t="str">
        <f aca="false">IF(AND($C515="",$I515="",$J515=""),"",IF($N515="","NO VAT CODE",IF($T515="","UNKNOWN VAT CODE",IF($S515="","MISSING FX RATE",IF(OR($A515&lt;Settings!$C$8,$A515&gt;Settings!$C$9),"OUTSIDE PERIOD",IF(AND(IFERROR(INDEX(VAT_Codes!$E:$E,MATCH($N515,VAT_Codes!$A:$A,0)),"ANY")&lt;&gt;"ANY",$P515=""),"MISSING COUNTERPARTY COUNTRY",IF(AND(IFERROR(INDEX(VAT_Codes!$E:$E,MATCH($N515,VAT_Codes!$A:$A,0)),"ANY")&lt;&gt;"ANY",$P515&lt;&gt;IFERROR(INDEX(VAT_Codes!$E:$E,MATCH($N515,VAT_Codes!$A:$A,0)),"ANY")),"REGION MISMATCH","OK")))))))</f>
        <v/>
      </c>
    </row>
    <row r="516" customFormat="false" ht="15" hidden="false" customHeight="false" outlineLevel="0" collapsed="false">
      <c r="M516" s="24" t="str">
        <f aca="false">IF($C516="","",IFERROR(INDEX(Account_Mapping!$C:$C,MATCH($C516&amp;"",Account_Mapping!$A:$A,0))&amp;"",""))</f>
        <v/>
      </c>
      <c r="N516" s="24" t="str">
        <f aca="false">IF($K516&lt;&gt;"",$K516,$M516)</f>
        <v/>
      </c>
      <c r="O516" s="24" t="str">
        <f aca="false">IF($F516="","",IFERROR(INDEX(Counterparties!$C:$C,MATCH($F516&amp;"",Counterparties!$A:$A,0))&amp;"",""))</f>
        <v/>
      </c>
      <c r="P516" s="24" t="str">
        <f aca="false">IF($O516="","",IF($O516="CY","CY",IF(ISNUMBER(MATCH($O516,Lists!$A:$A,0)),"EU","3RD")))</f>
        <v/>
      </c>
      <c r="Q516" s="24" t="str">
        <f aca="false">IF($F516="","N",IFERROR(IF(INDEX(Counterparties!$E:$E,MATCH($F516&amp;"",Counterparties!$A:$A,0))="Y","Y","N"),"N"))</f>
        <v>N</v>
      </c>
      <c r="R516" s="25" t="n">
        <f aca="false">IF(OR($H516="",$H516="EUR"),1,IFERROR(INDEX(FX_Rates!$D:$D,MATCH($H516,FX_Rates!$A:$A,0)),""))</f>
        <v>1</v>
      </c>
      <c r="S516" s="26" t="str">
        <f aca="false">IF(AND($I516="",$J516=""),"",IF($J516&lt;&gt;"",$J516,IF(OR($R516="",$R516=0),"",ROUND($I516/$R516,2))))</f>
        <v/>
      </c>
      <c r="T516" s="24" t="str">
        <f aca="false">IF($N516="","",IFERROR(INDEX(VAT_Codes!$C:$C,MATCH($N516,VAT_Codes!$A:$A,0)),"")&amp;"")</f>
        <v/>
      </c>
      <c r="U516" s="26" t="n">
        <f aca="false">IF(OR($S516="",$T516="",$T516="None"),0,IF($T516="Output",-$S516,$S516))</f>
        <v>0</v>
      </c>
      <c r="V516" s="27" t="n">
        <f aca="false">IF($N516="",0,IFERROR(INDEX(VAT_Codes!$D:$D,MATCH($N516,VAT_Codes!$A:$A,0)),0))</f>
        <v>0</v>
      </c>
      <c r="W516" s="26" t="n">
        <f aca="false">IF($U516=0,0,IF(IFERROR(INDEX(VAT_Codes!$F:$F,MATCH($N516,VAT_Codes!$A:$A,0)),"N")="Y",$U516,IF($L516&lt;&gt;"",ROUND(ABS($L516)/IF(OR($R516="",$R516=0),1,$R516),2)*SIGN($U516),ROUND($U516*$V516,2))))</f>
        <v>0</v>
      </c>
      <c r="X516" s="24" t="str">
        <f aca="false">IF($N516="","",IFERROR(INDEX(VAT_Codes!$H:$H,MATCH($N516,VAT_Codes!$A:$A,0)),"")&amp;"")</f>
        <v/>
      </c>
      <c r="Y516" s="24" t="str">
        <f aca="false">IF($A516="","",(YEAR($A516)-YEAR(Settings!$C$8))*12+MONTH($A516)-MONTH(Settings!$C$8)+1)</f>
        <v/>
      </c>
      <c r="Z516" s="24" t="str">
        <f aca="false">IF(AND($C516="",$I516="",$J516=""),"",IF($N516="","NO VAT CODE",IF($T516="","UNKNOWN VAT CODE",IF($S516="","MISSING FX RATE",IF(OR($A516&lt;Settings!$C$8,$A516&gt;Settings!$C$9),"OUTSIDE PERIOD",IF(AND(IFERROR(INDEX(VAT_Codes!$E:$E,MATCH($N516,VAT_Codes!$A:$A,0)),"ANY")&lt;&gt;"ANY",$P516=""),"MISSING COUNTERPARTY COUNTRY",IF(AND(IFERROR(INDEX(VAT_Codes!$E:$E,MATCH($N516,VAT_Codes!$A:$A,0)),"ANY")&lt;&gt;"ANY",$P516&lt;&gt;IFERROR(INDEX(VAT_Codes!$E:$E,MATCH($N516,VAT_Codes!$A:$A,0)),"ANY")),"REGION MISMATCH","OK")))))))</f>
        <v/>
      </c>
    </row>
    <row r="517" customFormat="false" ht="15" hidden="false" customHeight="false" outlineLevel="0" collapsed="false">
      <c r="M517" s="24" t="str">
        <f aca="false">IF($C517="","",IFERROR(INDEX(Account_Mapping!$C:$C,MATCH($C517&amp;"",Account_Mapping!$A:$A,0))&amp;"",""))</f>
        <v/>
      </c>
      <c r="N517" s="24" t="str">
        <f aca="false">IF($K517&lt;&gt;"",$K517,$M517)</f>
        <v/>
      </c>
      <c r="O517" s="24" t="str">
        <f aca="false">IF($F517="","",IFERROR(INDEX(Counterparties!$C:$C,MATCH($F517&amp;"",Counterparties!$A:$A,0))&amp;"",""))</f>
        <v/>
      </c>
      <c r="P517" s="24" t="str">
        <f aca="false">IF($O517="","",IF($O517="CY","CY",IF(ISNUMBER(MATCH($O517,Lists!$A:$A,0)),"EU","3RD")))</f>
        <v/>
      </c>
      <c r="Q517" s="24" t="str">
        <f aca="false">IF($F517="","N",IFERROR(IF(INDEX(Counterparties!$E:$E,MATCH($F517&amp;"",Counterparties!$A:$A,0))="Y","Y","N"),"N"))</f>
        <v>N</v>
      </c>
      <c r="R517" s="25" t="n">
        <f aca="false">IF(OR($H517="",$H517="EUR"),1,IFERROR(INDEX(FX_Rates!$D:$D,MATCH($H517,FX_Rates!$A:$A,0)),""))</f>
        <v>1</v>
      </c>
      <c r="S517" s="26" t="str">
        <f aca="false">IF(AND($I517="",$J517=""),"",IF($J517&lt;&gt;"",$J517,IF(OR($R517="",$R517=0),"",ROUND($I517/$R517,2))))</f>
        <v/>
      </c>
      <c r="T517" s="24" t="str">
        <f aca="false">IF($N517="","",IFERROR(INDEX(VAT_Codes!$C:$C,MATCH($N517,VAT_Codes!$A:$A,0)),"")&amp;"")</f>
        <v/>
      </c>
      <c r="U517" s="26" t="n">
        <f aca="false">IF(OR($S517="",$T517="",$T517="None"),0,IF($T517="Output",-$S517,$S517))</f>
        <v>0</v>
      </c>
      <c r="V517" s="27" t="n">
        <f aca="false">IF($N517="",0,IFERROR(INDEX(VAT_Codes!$D:$D,MATCH($N517,VAT_Codes!$A:$A,0)),0))</f>
        <v>0</v>
      </c>
      <c r="W517" s="26" t="n">
        <f aca="false">IF($U517=0,0,IF(IFERROR(INDEX(VAT_Codes!$F:$F,MATCH($N517,VAT_Codes!$A:$A,0)),"N")="Y",$U517,IF($L517&lt;&gt;"",ROUND(ABS($L517)/IF(OR($R517="",$R517=0),1,$R517),2)*SIGN($U517),ROUND($U517*$V517,2))))</f>
        <v>0</v>
      </c>
      <c r="X517" s="24" t="str">
        <f aca="false">IF($N517="","",IFERROR(INDEX(VAT_Codes!$H:$H,MATCH($N517,VAT_Codes!$A:$A,0)),"")&amp;"")</f>
        <v/>
      </c>
      <c r="Y517" s="24" t="str">
        <f aca="false">IF($A517="","",(YEAR($A517)-YEAR(Settings!$C$8))*12+MONTH($A517)-MONTH(Settings!$C$8)+1)</f>
        <v/>
      </c>
      <c r="Z517" s="24" t="str">
        <f aca="false">IF(AND($C517="",$I517="",$J517=""),"",IF($N517="","NO VAT CODE",IF($T517="","UNKNOWN VAT CODE",IF($S517="","MISSING FX RATE",IF(OR($A517&lt;Settings!$C$8,$A517&gt;Settings!$C$9),"OUTSIDE PERIOD",IF(AND(IFERROR(INDEX(VAT_Codes!$E:$E,MATCH($N517,VAT_Codes!$A:$A,0)),"ANY")&lt;&gt;"ANY",$P517=""),"MISSING COUNTERPARTY COUNTRY",IF(AND(IFERROR(INDEX(VAT_Codes!$E:$E,MATCH($N517,VAT_Codes!$A:$A,0)),"ANY")&lt;&gt;"ANY",$P517&lt;&gt;IFERROR(INDEX(VAT_Codes!$E:$E,MATCH($N517,VAT_Codes!$A:$A,0)),"ANY")),"REGION MISMATCH","OK")))))))</f>
        <v/>
      </c>
    </row>
    <row r="518" customFormat="false" ht="15" hidden="false" customHeight="false" outlineLevel="0" collapsed="false">
      <c r="M518" s="24" t="str">
        <f aca="false">IF($C518="","",IFERROR(INDEX(Account_Mapping!$C:$C,MATCH($C518&amp;"",Account_Mapping!$A:$A,0))&amp;"",""))</f>
        <v/>
      </c>
      <c r="N518" s="24" t="str">
        <f aca="false">IF($K518&lt;&gt;"",$K518,$M518)</f>
        <v/>
      </c>
      <c r="O518" s="24" t="str">
        <f aca="false">IF($F518="","",IFERROR(INDEX(Counterparties!$C:$C,MATCH($F518&amp;"",Counterparties!$A:$A,0))&amp;"",""))</f>
        <v/>
      </c>
      <c r="P518" s="24" t="str">
        <f aca="false">IF($O518="","",IF($O518="CY","CY",IF(ISNUMBER(MATCH($O518,Lists!$A:$A,0)),"EU","3RD")))</f>
        <v/>
      </c>
      <c r="Q518" s="24" t="str">
        <f aca="false">IF($F518="","N",IFERROR(IF(INDEX(Counterparties!$E:$E,MATCH($F518&amp;"",Counterparties!$A:$A,0))="Y","Y","N"),"N"))</f>
        <v>N</v>
      </c>
      <c r="R518" s="25" t="n">
        <f aca="false">IF(OR($H518="",$H518="EUR"),1,IFERROR(INDEX(FX_Rates!$D:$D,MATCH($H518,FX_Rates!$A:$A,0)),""))</f>
        <v>1</v>
      </c>
      <c r="S518" s="26" t="str">
        <f aca="false">IF(AND($I518="",$J518=""),"",IF($J518&lt;&gt;"",$J518,IF(OR($R518="",$R518=0),"",ROUND($I518/$R518,2))))</f>
        <v/>
      </c>
      <c r="T518" s="24" t="str">
        <f aca="false">IF($N518="","",IFERROR(INDEX(VAT_Codes!$C:$C,MATCH($N518,VAT_Codes!$A:$A,0)),"")&amp;"")</f>
        <v/>
      </c>
      <c r="U518" s="26" t="n">
        <f aca="false">IF(OR($S518="",$T518="",$T518="None"),0,IF($T518="Output",-$S518,$S518))</f>
        <v>0</v>
      </c>
      <c r="V518" s="27" t="n">
        <f aca="false">IF($N518="",0,IFERROR(INDEX(VAT_Codes!$D:$D,MATCH($N518,VAT_Codes!$A:$A,0)),0))</f>
        <v>0</v>
      </c>
      <c r="W518" s="26" t="n">
        <f aca="false">IF($U518=0,0,IF(IFERROR(INDEX(VAT_Codes!$F:$F,MATCH($N518,VAT_Codes!$A:$A,0)),"N")="Y",$U518,IF($L518&lt;&gt;"",ROUND(ABS($L518)/IF(OR($R518="",$R518=0),1,$R518),2)*SIGN($U518),ROUND($U518*$V518,2))))</f>
        <v>0</v>
      </c>
      <c r="X518" s="24" t="str">
        <f aca="false">IF($N518="","",IFERROR(INDEX(VAT_Codes!$H:$H,MATCH($N518,VAT_Codes!$A:$A,0)),"")&amp;"")</f>
        <v/>
      </c>
      <c r="Y518" s="24" t="str">
        <f aca="false">IF($A518="","",(YEAR($A518)-YEAR(Settings!$C$8))*12+MONTH($A518)-MONTH(Settings!$C$8)+1)</f>
        <v/>
      </c>
      <c r="Z518" s="24" t="str">
        <f aca="false">IF(AND($C518="",$I518="",$J518=""),"",IF($N518="","NO VAT CODE",IF($T518="","UNKNOWN VAT CODE",IF($S518="","MISSING FX RATE",IF(OR($A518&lt;Settings!$C$8,$A518&gt;Settings!$C$9),"OUTSIDE PERIOD",IF(AND(IFERROR(INDEX(VAT_Codes!$E:$E,MATCH($N518,VAT_Codes!$A:$A,0)),"ANY")&lt;&gt;"ANY",$P518=""),"MISSING COUNTERPARTY COUNTRY",IF(AND(IFERROR(INDEX(VAT_Codes!$E:$E,MATCH($N518,VAT_Codes!$A:$A,0)),"ANY")&lt;&gt;"ANY",$P518&lt;&gt;IFERROR(INDEX(VAT_Codes!$E:$E,MATCH($N518,VAT_Codes!$A:$A,0)),"ANY")),"REGION MISMATCH","OK")))))))</f>
        <v/>
      </c>
    </row>
    <row r="519" customFormat="false" ht="15" hidden="false" customHeight="false" outlineLevel="0" collapsed="false">
      <c r="M519" s="24" t="str">
        <f aca="false">IF($C519="","",IFERROR(INDEX(Account_Mapping!$C:$C,MATCH($C519&amp;"",Account_Mapping!$A:$A,0))&amp;"",""))</f>
        <v/>
      </c>
      <c r="N519" s="24" t="str">
        <f aca="false">IF($K519&lt;&gt;"",$K519,$M519)</f>
        <v/>
      </c>
      <c r="O519" s="24" t="str">
        <f aca="false">IF($F519="","",IFERROR(INDEX(Counterparties!$C:$C,MATCH($F519&amp;"",Counterparties!$A:$A,0))&amp;"",""))</f>
        <v/>
      </c>
      <c r="P519" s="24" t="str">
        <f aca="false">IF($O519="","",IF($O519="CY","CY",IF(ISNUMBER(MATCH($O519,Lists!$A:$A,0)),"EU","3RD")))</f>
        <v/>
      </c>
      <c r="Q519" s="24" t="str">
        <f aca="false">IF($F519="","N",IFERROR(IF(INDEX(Counterparties!$E:$E,MATCH($F519&amp;"",Counterparties!$A:$A,0))="Y","Y","N"),"N"))</f>
        <v>N</v>
      </c>
      <c r="R519" s="25" t="n">
        <f aca="false">IF(OR($H519="",$H519="EUR"),1,IFERROR(INDEX(FX_Rates!$D:$D,MATCH($H519,FX_Rates!$A:$A,0)),""))</f>
        <v>1</v>
      </c>
      <c r="S519" s="26" t="str">
        <f aca="false">IF(AND($I519="",$J519=""),"",IF($J519&lt;&gt;"",$J519,IF(OR($R519="",$R519=0),"",ROUND($I519/$R519,2))))</f>
        <v/>
      </c>
      <c r="T519" s="24" t="str">
        <f aca="false">IF($N519="","",IFERROR(INDEX(VAT_Codes!$C:$C,MATCH($N519,VAT_Codes!$A:$A,0)),"")&amp;"")</f>
        <v/>
      </c>
      <c r="U519" s="26" t="n">
        <f aca="false">IF(OR($S519="",$T519="",$T519="None"),0,IF($T519="Output",-$S519,$S519))</f>
        <v>0</v>
      </c>
      <c r="V519" s="27" t="n">
        <f aca="false">IF($N519="",0,IFERROR(INDEX(VAT_Codes!$D:$D,MATCH($N519,VAT_Codes!$A:$A,0)),0))</f>
        <v>0</v>
      </c>
      <c r="W519" s="26" t="n">
        <f aca="false">IF($U519=0,0,IF(IFERROR(INDEX(VAT_Codes!$F:$F,MATCH($N519,VAT_Codes!$A:$A,0)),"N")="Y",$U519,IF($L519&lt;&gt;"",ROUND(ABS($L519)/IF(OR($R519="",$R519=0),1,$R519),2)*SIGN($U519),ROUND($U519*$V519,2))))</f>
        <v>0</v>
      </c>
      <c r="X519" s="24" t="str">
        <f aca="false">IF($N519="","",IFERROR(INDEX(VAT_Codes!$H:$H,MATCH($N519,VAT_Codes!$A:$A,0)),"")&amp;"")</f>
        <v/>
      </c>
      <c r="Y519" s="24" t="str">
        <f aca="false">IF($A519="","",(YEAR($A519)-YEAR(Settings!$C$8))*12+MONTH($A519)-MONTH(Settings!$C$8)+1)</f>
        <v/>
      </c>
      <c r="Z519" s="24" t="str">
        <f aca="false">IF(AND($C519="",$I519="",$J519=""),"",IF($N519="","NO VAT CODE",IF($T519="","UNKNOWN VAT CODE",IF($S519="","MISSING FX RATE",IF(OR($A519&lt;Settings!$C$8,$A519&gt;Settings!$C$9),"OUTSIDE PERIOD",IF(AND(IFERROR(INDEX(VAT_Codes!$E:$E,MATCH($N519,VAT_Codes!$A:$A,0)),"ANY")&lt;&gt;"ANY",$P519=""),"MISSING COUNTERPARTY COUNTRY",IF(AND(IFERROR(INDEX(VAT_Codes!$E:$E,MATCH($N519,VAT_Codes!$A:$A,0)),"ANY")&lt;&gt;"ANY",$P519&lt;&gt;IFERROR(INDEX(VAT_Codes!$E:$E,MATCH($N519,VAT_Codes!$A:$A,0)),"ANY")),"REGION MISMATCH","OK")))))))</f>
        <v/>
      </c>
    </row>
    <row r="520" customFormat="false" ht="15" hidden="false" customHeight="false" outlineLevel="0" collapsed="false">
      <c r="M520" s="24" t="str">
        <f aca="false">IF($C520="","",IFERROR(INDEX(Account_Mapping!$C:$C,MATCH($C520&amp;"",Account_Mapping!$A:$A,0))&amp;"",""))</f>
        <v/>
      </c>
      <c r="N520" s="24" t="str">
        <f aca="false">IF($K520&lt;&gt;"",$K520,$M520)</f>
        <v/>
      </c>
      <c r="O520" s="24" t="str">
        <f aca="false">IF($F520="","",IFERROR(INDEX(Counterparties!$C:$C,MATCH($F520&amp;"",Counterparties!$A:$A,0))&amp;"",""))</f>
        <v/>
      </c>
      <c r="P520" s="24" t="str">
        <f aca="false">IF($O520="","",IF($O520="CY","CY",IF(ISNUMBER(MATCH($O520,Lists!$A:$A,0)),"EU","3RD")))</f>
        <v/>
      </c>
      <c r="Q520" s="24" t="str">
        <f aca="false">IF($F520="","N",IFERROR(IF(INDEX(Counterparties!$E:$E,MATCH($F520&amp;"",Counterparties!$A:$A,0))="Y","Y","N"),"N"))</f>
        <v>N</v>
      </c>
      <c r="R520" s="25" t="n">
        <f aca="false">IF(OR($H520="",$H520="EUR"),1,IFERROR(INDEX(FX_Rates!$D:$D,MATCH($H520,FX_Rates!$A:$A,0)),""))</f>
        <v>1</v>
      </c>
      <c r="S520" s="26" t="str">
        <f aca="false">IF(AND($I520="",$J520=""),"",IF($J520&lt;&gt;"",$J520,IF(OR($R520="",$R520=0),"",ROUND($I520/$R520,2))))</f>
        <v/>
      </c>
      <c r="T520" s="24" t="str">
        <f aca="false">IF($N520="","",IFERROR(INDEX(VAT_Codes!$C:$C,MATCH($N520,VAT_Codes!$A:$A,0)),"")&amp;"")</f>
        <v/>
      </c>
      <c r="U520" s="26" t="n">
        <f aca="false">IF(OR($S520="",$T520="",$T520="None"),0,IF($T520="Output",-$S520,$S520))</f>
        <v>0</v>
      </c>
      <c r="V520" s="27" t="n">
        <f aca="false">IF($N520="",0,IFERROR(INDEX(VAT_Codes!$D:$D,MATCH($N520,VAT_Codes!$A:$A,0)),0))</f>
        <v>0</v>
      </c>
      <c r="W520" s="26" t="n">
        <f aca="false">IF($U520=0,0,IF(IFERROR(INDEX(VAT_Codes!$F:$F,MATCH($N520,VAT_Codes!$A:$A,0)),"N")="Y",$U520,IF($L520&lt;&gt;"",ROUND(ABS($L520)/IF(OR($R520="",$R520=0),1,$R520),2)*SIGN($U520),ROUND($U520*$V520,2))))</f>
        <v>0</v>
      </c>
      <c r="X520" s="24" t="str">
        <f aca="false">IF($N520="","",IFERROR(INDEX(VAT_Codes!$H:$H,MATCH($N520,VAT_Codes!$A:$A,0)),"")&amp;"")</f>
        <v/>
      </c>
      <c r="Y520" s="24" t="str">
        <f aca="false">IF($A520="","",(YEAR($A520)-YEAR(Settings!$C$8))*12+MONTH($A520)-MONTH(Settings!$C$8)+1)</f>
        <v/>
      </c>
      <c r="Z520" s="24" t="str">
        <f aca="false">IF(AND($C520="",$I520="",$J520=""),"",IF($N520="","NO VAT CODE",IF($T520="","UNKNOWN VAT CODE",IF($S520="","MISSING FX RATE",IF(OR($A520&lt;Settings!$C$8,$A520&gt;Settings!$C$9),"OUTSIDE PERIOD",IF(AND(IFERROR(INDEX(VAT_Codes!$E:$E,MATCH($N520,VAT_Codes!$A:$A,0)),"ANY")&lt;&gt;"ANY",$P520=""),"MISSING COUNTERPARTY COUNTRY",IF(AND(IFERROR(INDEX(VAT_Codes!$E:$E,MATCH($N520,VAT_Codes!$A:$A,0)),"ANY")&lt;&gt;"ANY",$P520&lt;&gt;IFERROR(INDEX(VAT_Codes!$E:$E,MATCH($N520,VAT_Codes!$A:$A,0)),"ANY")),"REGION MISMATCH","OK")))))))</f>
        <v/>
      </c>
    </row>
    <row r="521" customFormat="false" ht="15" hidden="false" customHeight="false" outlineLevel="0" collapsed="false">
      <c r="M521" s="24" t="str">
        <f aca="false">IF($C521="","",IFERROR(INDEX(Account_Mapping!$C:$C,MATCH($C521&amp;"",Account_Mapping!$A:$A,0))&amp;"",""))</f>
        <v/>
      </c>
      <c r="N521" s="24" t="str">
        <f aca="false">IF($K521&lt;&gt;"",$K521,$M521)</f>
        <v/>
      </c>
      <c r="O521" s="24" t="str">
        <f aca="false">IF($F521="","",IFERROR(INDEX(Counterparties!$C:$C,MATCH($F521&amp;"",Counterparties!$A:$A,0))&amp;"",""))</f>
        <v/>
      </c>
      <c r="P521" s="24" t="str">
        <f aca="false">IF($O521="","",IF($O521="CY","CY",IF(ISNUMBER(MATCH($O521,Lists!$A:$A,0)),"EU","3RD")))</f>
        <v/>
      </c>
      <c r="Q521" s="24" t="str">
        <f aca="false">IF($F521="","N",IFERROR(IF(INDEX(Counterparties!$E:$E,MATCH($F521&amp;"",Counterparties!$A:$A,0))="Y","Y","N"),"N"))</f>
        <v>N</v>
      </c>
      <c r="R521" s="25" t="n">
        <f aca="false">IF(OR($H521="",$H521="EUR"),1,IFERROR(INDEX(FX_Rates!$D:$D,MATCH($H521,FX_Rates!$A:$A,0)),""))</f>
        <v>1</v>
      </c>
      <c r="S521" s="26" t="str">
        <f aca="false">IF(AND($I521="",$J521=""),"",IF($J521&lt;&gt;"",$J521,IF(OR($R521="",$R521=0),"",ROUND($I521/$R521,2))))</f>
        <v/>
      </c>
      <c r="T521" s="24" t="str">
        <f aca="false">IF($N521="","",IFERROR(INDEX(VAT_Codes!$C:$C,MATCH($N521,VAT_Codes!$A:$A,0)),"")&amp;"")</f>
        <v/>
      </c>
      <c r="U521" s="26" t="n">
        <f aca="false">IF(OR($S521="",$T521="",$T521="None"),0,IF($T521="Output",-$S521,$S521))</f>
        <v>0</v>
      </c>
      <c r="V521" s="27" t="n">
        <f aca="false">IF($N521="",0,IFERROR(INDEX(VAT_Codes!$D:$D,MATCH($N521,VAT_Codes!$A:$A,0)),0))</f>
        <v>0</v>
      </c>
      <c r="W521" s="26" t="n">
        <f aca="false">IF($U521=0,0,IF(IFERROR(INDEX(VAT_Codes!$F:$F,MATCH($N521,VAT_Codes!$A:$A,0)),"N")="Y",$U521,IF($L521&lt;&gt;"",ROUND(ABS($L521)/IF(OR($R521="",$R521=0),1,$R521),2)*SIGN($U521),ROUND($U521*$V521,2))))</f>
        <v>0</v>
      </c>
      <c r="X521" s="24" t="str">
        <f aca="false">IF($N521="","",IFERROR(INDEX(VAT_Codes!$H:$H,MATCH($N521,VAT_Codes!$A:$A,0)),"")&amp;"")</f>
        <v/>
      </c>
      <c r="Y521" s="24" t="str">
        <f aca="false">IF($A521="","",(YEAR($A521)-YEAR(Settings!$C$8))*12+MONTH($A521)-MONTH(Settings!$C$8)+1)</f>
        <v/>
      </c>
      <c r="Z521" s="24" t="str">
        <f aca="false">IF(AND($C521="",$I521="",$J521=""),"",IF($N521="","NO VAT CODE",IF($T521="","UNKNOWN VAT CODE",IF($S521="","MISSING FX RATE",IF(OR($A521&lt;Settings!$C$8,$A521&gt;Settings!$C$9),"OUTSIDE PERIOD",IF(AND(IFERROR(INDEX(VAT_Codes!$E:$E,MATCH($N521,VAT_Codes!$A:$A,0)),"ANY")&lt;&gt;"ANY",$P521=""),"MISSING COUNTERPARTY COUNTRY",IF(AND(IFERROR(INDEX(VAT_Codes!$E:$E,MATCH($N521,VAT_Codes!$A:$A,0)),"ANY")&lt;&gt;"ANY",$P521&lt;&gt;IFERROR(INDEX(VAT_Codes!$E:$E,MATCH($N521,VAT_Codes!$A:$A,0)),"ANY")),"REGION MISMATCH","OK")))))))</f>
        <v/>
      </c>
    </row>
    <row r="522" customFormat="false" ht="15" hidden="false" customHeight="false" outlineLevel="0" collapsed="false">
      <c r="M522" s="24" t="str">
        <f aca="false">IF($C522="","",IFERROR(INDEX(Account_Mapping!$C:$C,MATCH($C522&amp;"",Account_Mapping!$A:$A,0))&amp;"",""))</f>
        <v/>
      </c>
      <c r="N522" s="24" t="str">
        <f aca="false">IF($K522&lt;&gt;"",$K522,$M522)</f>
        <v/>
      </c>
      <c r="O522" s="24" t="str">
        <f aca="false">IF($F522="","",IFERROR(INDEX(Counterparties!$C:$C,MATCH($F522&amp;"",Counterparties!$A:$A,0))&amp;"",""))</f>
        <v/>
      </c>
      <c r="P522" s="24" t="str">
        <f aca="false">IF($O522="","",IF($O522="CY","CY",IF(ISNUMBER(MATCH($O522,Lists!$A:$A,0)),"EU","3RD")))</f>
        <v/>
      </c>
      <c r="Q522" s="24" t="str">
        <f aca="false">IF($F522="","N",IFERROR(IF(INDEX(Counterparties!$E:$E,MATCH($F522&amp;"",Counterparties!$A:$A,0))="Y","Y","N"),"N"))</f>
        <v>N</v>
      </c>
      <c r="R522" s="25" t="n">
        <f aca="false">IF(OR($H522="",$H522="EUR"),1,IFERROR(INDEX(FX_Rates!$D:$D,MATCH($H522,FX_Rates!$A:$A,0)),""))</f>
        <v>1</v>
      </c>
      <c r="S522" s="26" t="str">
        <f aca="false">IF(AND($I522="",$J522=""),"",IF($J522&lt;&gt;"",$J522,IF(OR($R522="",$R522=0),"",ROUND($I522/$R522,2))))</f>
        <v/>
      </c>
      <c r="T522" s="24" t="str">
        <f aca="false">IF($N522="","",IFERROR(INDEX(VAT_Codes!$C:$C,MATCH($N522,VAT_Codes!$A:$A,0)),"")&amp;"")</f>
        <v/>
      </c>
      <c r="U522" s="26" t="n">
        <f aca="false">IF(OR($S522="",$T522="",$T522="None"),0,IF($T522="Output",-$S522,$S522))</f>
        <v>0</v>
      </c>
      <c r="V522" s="27" t="n">
        <f aca="false">IF($N522="",0,IFERROR(INDEX(VAT_Codes!$D:$D,MATCH($N522,VAT_Codes!$A:$A,0)),0))</f>
        <v>0</v>
      </c>
      <c r="W522" s="26" t="n">
        <f aca="false">IF($U522=0,0,IF(IFERROR(INDEX(VAT_Codes!$F:$F,MATCH($N522,VAT_Codes!$A:$A,0)),"N")="Y",$U522,IF($L522&lt;&gt;"",ROUND(ABS($L522)/IF(OR($R522="",$R522=0),1,$R522),2)*SIGN($U522),ROUND($U522*$V522,2))))</f>
        <v>0</v>
      </c>
      <c r="X522" s="24" t="str">
        <f aca="false">IF($N522="","",IFERROR(INDEX(VAT_Codes!$H:$H,MATCH($N522,VAT_Codes!$A:$A,0)),"")&amp;"")</f>
        <v/>
      </c>
      <c r="Y522" s="24" t="str">
        <f aca="false">IF($A522="","",(YEAR($A522)-YEAR(Settings!$C$8))*12+MONTH($A522)-MONTH(Settings!$C$8)+1)</f>
        <v/>
      </c>
      <c r="Z522" s="24" t="str">
        <f aca="false">IF(AND($C522="",$I522="",$J522=""),"",IF($N522="","NO VAT CODE",IF($T522="","UNKNOWN VAT CODE",IF($S522="","MISSING FX RATE",IF(OR($A522&lt;Settings!$C$8,$A522&gt;Settings!$C$9),"OUTSIDE PERIOD",IF(AND(IFERROR(INDEX(VAT_Codes!$E:$E,MATCH($N522,VAT_Codes!$A:$A,0)),"ANY")&lt;&gt;"ANY",$P522=""),"MISSING COUNTERPARTY COUNTRY",IF(AND(IFERROR(INDEX(VAT_Codes!$E:$E,MATCH($N522,VAT_Codes!$A:$A,0)),"ANY")&lt;&gt;"ANY",$P522&lt;&gt;IFERROR(INDEX(VAT_Codes!$E:$E,MATCH($N522,VAT_Codes!$A:$A,0)),"ANY")),"REGION MISMATCH","OK")))))))</f>
        <v/>
      </c>
    </row>
    <row r="523" customFormat="false" ht="15" hidden="false" customHeight="false" outlineLevel="0" collapsed="false">
      <c r="M523" s="24" t="str">
        <f aca="false">IF($C523="","",IFERROR(INDEX(Account_Mapping!$C:$C,MATCH($C523&amp;"",Account_Mapping!$A:$A,0))&amp;"",""))</f>
        <v/>
      </c>
      <c r="N523" s="24" t="str">
        <f aca="false">IF($K523&lt;&gt;"",$K523,$M523)</f>
        <v/>
      </c>
      <c r="O523" s="24" t="str">
        <f aca="false">IF($F523="","",IFERROR(INDEX(Counterparties!$C:$C,MATCH($F523&amp;"",Counterparties!$A:$A,0))&amp;"",""))</f>
        <v/>
      </c>
      <c r="P523" s="24" t="str">
        <f aca="false">IF($O523="","",IF($O523="CY","CY",IF(ISNUMBER(MATCH($O523,Lists!$A:$A,0)),"EU","3RD")))</f>
        <v/>
      </c>
      <c r="Q523" s="24" t="str">
        <f aca="false">IF($F523="","N",IFERROR(IF(INDEX(Counterparties!$E:$E,MATCH($F523&amp;"",Counterparties!$A:$A,0))="Y","Y","N"),"N"))</f>
        <v>N</v>
      </c>
      <c r="R523" s="25" t="n">
        <f aca="false">IF(OR($H523="",$H523="EUR"),1,IFERROR(INDEX(FX_Rates!$D:$D,MATCH($H523,FX_Rates!$A:$A,0)),""))</f>
        <v>1</v>
      </c>
      <c r="S523" s="26" t="str">
        <f aca="false">IF(AND($I523="",$J523=""),"",IF($J523&lt;&gt;"",$J523,IF(OR($R523="",$R523=0),"",ROUND($I523/$R523,2))))</f>
        <v/>
      </c>
      <c r="T523" s="24" t="str">
        <f aca="false">IF($N523="","",IFERROR(INDEX(VAT_Codes!$C:$C,MATCH($N523,VAT_Codes!$A:$A,0)),"")&amp;"")</f>
        <v/>
      </c>
      <c r="U523" s="26" t="n">
        <f aca="false">IF(OR($S523="",$T523="",$T523="None"),0,IF($T523="Output",-$S523,$S523))</f>
        <v>0</v>
      </c>
      <c r="V523" s="27" t="n">
        <f aca="false">IF($N523="",0,IFERROR(INDEX(VAT_Codes!$D:$D,MATCH($N523,VAT_Codes!$A:$A,0)),0))</f>
        <v>0</v>
      </c>
      <c r="W523" s="26" t="n">
        <f aca="false">IF($U523=0,0,IF(IFERROR(INDEX(VAT_Codes!$F:$F,MATCH($N523,VAT_Codes!$A:$A,0)),"N")="Y",$U523,IF($L523&lt;&gt;"",ROUND(ABS($L523)/IF(OR($R523="",$R523=0),1,$R523),2)*SIGN($U523),ROUND($U523*$V523,2))))</f>
        <v>0</v>
      </c>
      <c r="X523" s="24" t="str">
        <f aca="false">IF($N523="","",IFERROR(INDEX(VAT_Codes!$H:$H,MATCH($N523,VAT_Codes!$A:$A,0)),"")&amp;"")</f>
        <v/>
      </c>
      <c r="Y523" s="24" t="str">
        <f aca="false">IF($A523="","",(YEAR($A523)-YEAR(Settings!$C$8))*12+MONTH($A523)-MONTH(Settings!$C$8)+1)</f>
        <v/>
      </c>
      <c r="Z523" s="24" t="str">
        <f aca="false">IF(AND($C523="",$I523="",$J523=""),"",IF($N523="","NO VAT CODE",IF($T523="","UNKNOWN VAT CODE",IF($S523="","MISSING FX RATE",IF(OR($A523&lt;Settings!$C$8,$A523&gt;Settings!$C$9),"OUTSIDE PERIOD",IF(AND(IFERROR(INDEX(VAT_Codes!$E:$E,MATCH($N523,VAT_Codes!$A:$A,0)),"ANY")&lt;&gt;"ANY",$P523=""),"MISSING COUNTERPARTY COUNTRY",IF(AND(IFERROR(INDEX(VAT_Codes!$E:$E,MATCH($N523,VAT_Codes!$A:$A,0)),"ANY")&lt;&gt;"ANY",$P523&lt;&gt;IFERROR(INDEX(VAT_Codes!$E:$E,MATCH($N523,VAT_Codes!$A:$A,0)),"ANY")),"REGION MISMATCH","OK")))))))</f>
        <v/>
      </c>
    </row>
    <row r="524" customFormat="false" ht="15" hidden="false" customHeight="false" outlineLevel="0" collapsed="false">
      <c r="M524" s="24" t="str">
        <f aca="false">IF($C524="","",IFERROR(INDEX(Account_Mapping!$C:$C,MATCH($C524&amp;"",Account_Mapping!$A:$A,0))&amp;"",""))</f>
        <v/>
      </c>
      <c r="N524" s="24" t="str">
        <f aca="false">IF($K524&lt;&gt;"",$K524,$M524)</f>
        <v/>
      </c>
      <c r="O524" s="24" t="str">
        <f aca="false">IF($F524="","",IFERROR(INDEX(Counterparties!$C:$C,MATCH($F524&amp;"",Counterparties!$A:$A,0))&amp;"",""))</f>
        <v/>
      </c>
      <c r="P524" s="24" t="str">
        <f aca="false">IF($O524="","",IF($O524="CY","CY",IF(ISNUMBER(MATCH($O524,Lists!$A:$A,0)),"EU","3RD")))</f>
        <v/>
      </c>
      <c r="Q524" s="24" t="str">
        <f aca="false">IF($F524="","N",IFERROR(IF(INDEX(Counterparties!$E:$E,MATCH($F524&amp;"",Counterparties!$A:$A,0))="Y","Y","N"),"N"))</f>
        <v>N</v>
      </c>
      <c r="R524" s="25" t="n">
        <f aca="false">IF(OR($H524="",$H524="EUR"),1,IFERROR(INDEX(FX_Rates!$D:$D,MATCH($H524,FX_Rates!$A:$A,0)),""))</f>
        <v>1</v>
      </c>
      <c r="S524" s="26" t="str">
        <f aca="false">IF(AND($I524="",$J524=""),"",IF($J524&lt;&gt;"",$J524,IF(OR($R524="",$R524=0),"",ROUND($I524/$R524,2))))</f>
        <v/>
      </c>
      <c r="T524" s="24" t="str">
        <f aca="false">IF($N524="","",IFERROR(INDEX(VAT_Codes!$C:$C,MATCH($N524,VAT_Codes!$A:$A,0)),"")&amp;"")</f>
        <v/>
      </c>
      <c r="U524" s="26" t="n">
        <f aca="false">IF(OR($S524="",$T524="",$T524="None"),0,IF($T524="Output",-$S524,$S524))</f>
        <v>0</v>
      </c>
      <c r="V524" s="27" t="n">
        <f aca="false">IF($N524="",0,IFERROR(INDEX(VAT_Codes!$D:$D,MATCH($N524,VAT_Codes!$A:$A,0)),0))</f>
        <v>0</v>
      </c>
      <c r="W524" s="26" t="n">
        <f aca="false">IF($U524=0,0,IF(IFERROR(INDEX(VAT_Codes!$F:$F,MATCH($N524,VAT_Codes!$A:$A,0)),"N")="Y",$U524,IF($L524&lt;&gt;"",ROUND(ABS($L524)/IF(OR($R524="",$R524=0),1,$R524),2)*SIGN($U524),ROUND($U524*$V524,2))))</f>
        <v>0</v>
      </c>
      <c r="X524" s="24" t="str">
        <f aca="false">IF($N524="","",IFERROR(INDEX(VAT_Codes!$H:$H,MATCH($N524,VAT_Codes!$A:$A,0)),"")&amp;"")</f>
        <v/>
      </c>
      <c r="Y524" s="24" t="str">
        <f aca="false">IF($A524="","",(YEAR($A524)-YEAR(Settings!$C$8))*12+MONTH($A524)-MONTH(Settings!$C$8)+1)</f>
        <v/>
      </c>
      <c r="Z524" s="24" t="str">
        <f aca="false">IF(AND($C524="",$I524="",$J524=""),"",IF($N524="","NO VAT CODE",IF($T524="","UNKNOWN VAT CODE",IF($S524="","MISSING FX RATE",IF(OR($A524&lt;Settings!$C$8,$A524&gt;Settings!$C$9),"OUTSIDE PERIOD",IF(AND(IFERROR(INDEX(VAT_Codes!$E:$E,MATCH($N524,VAT_Codes!$A:$A,0)),"ANY")&lt;&gt;"ANY",$P524=""),"MISSING COUNTERPARTY COUNTRY",IF(AND(IFERROR(INDEX(VAT_Codes!$E:$E,MATCH($N524,VAT_Codes!$A:$A,0)),"ANY")&lt;&gt;"ANY",$P524&lt;&gt;IFERROR(INDEX(VAT_Codes!$E:$E,MATCH($N524,VAT_Codes!$A:$A,0)),"ANY")),"REGION MISMATCH","OK")))))))</f>
        <v/>
      </c>
    </row>
    <row r="525" customFormat="false" ht="15" hidden="false" customHeight="false" outlineLevel="0" collapsed="false">
      <c r="M525" s="24" t="str">
        <f aca="false">IF($C525="","",IFERROR(INDEX(Account_Mapping!$C:$C,MATCH($C525&amp;"",Account_Mapping!$A:$A,0))&amp;"",""))</f>
        <v/>
      </c>
      <c r="N525" s="24" t="str">
        <f aca="false">IF($K525&lt;&gt;"",$K525,$M525)</f>
        <v/>
      </c>
      <c r="O525" s="24" t="str">
        <f aca="false">IF($F525="","",IFERROR(INDEX(Counterparties!$C:$C,MATCH($F525&amp;"",Counterparties!$A:$A,0))&amp;"",""))</f>
        <v/>
      </c>
      <c r="P525" s="24" t="str">
        <f aca="false">IF($O525="","",IF($O525="CY","CY",IF(ISNUMBER(MATCH($O525,Lists!$A:$A,0)),"EU","3RD")))</f>
        <v/>
      </c>
      <c r="Q525" s="24" t="str">
        <f aca="false">IF($F525="","N",IFERROR(IF(INDEX(Counterparties!$E:$E,MATCH($F525&amp;"",Counterparties!$A:$A,0))="Y","Y","N"),"N"))</f>
        <v>N</v>
      </c>
      <c r="R525" s="25" t="n">
        <f aca="false">IF(OR($H525="",$H525="EUR"),1,IFERROR(INDEX(FX_Rates!$D:$D,MATCH($H525,FX_Rates!$A:$A,0)),""))</f>
        <v>1</v>
      </c>
      <c r="S525" s="26" t="str">
        <f aca="false">IF(AND($I525="",$J525=""),"",IF($J525&lt;&gt;"",$J525,IF(OR($R525="",$R525=0),"",ROUND($I525/$R525,2))))</f>
        <v/>
      </c>
      <c r="T525" s="24" t="str">
        <f aca="false">IF($N525="","",IFERROR(INDEX(VAT_Codes!$C:$C,MATCH($N525,VAT_Codes!$A:$A,0)),"")&amp;"")</f>
        <v/>
      </c>
      <c r="U525" s="26" t="n">
        <f aca="false">IF(OR($S525="",$T525="",$T525="None"),0,IF($T525="Output",-$S525,$S525))</f>
        <v>0</v>
      </c>
      <c r="V525" s="27" t="n">
        <f aca="false">IF($N525="",0,IFERROR(INDEX(VAT_Codes!$D:$D,MATCH($N525,VAT_Codes!$A:$A,0)),0))</f>
        <v>0</v>
      </c>
      <c r="W525" s="26" t="n">
        <f aca="false">IF($U525=0,0,IF(IFERROR(INDEX(VAT_Codes!$F:$F,MATCH($N525,VAT_Codes!$A:$A,0)),"N")="Y",$U525,IF($L525&lt;&gt;"",ROUND(ABS($L525)/IF(OR($R525="",$R525=0),1,$R525),2)*SIGN($U525),ROUND($U525*$V525,2))))</f>
        <v>0</v>
      </c>
      <c r="X525" s="24" t="str">
        <f aca="false">IF($N525="","",IFERROR(INDEX(VAT_Codes!$H:$H,MATCH($N525,VAT_Codes!$A:$A,0)),"")&amp;"")</f>
        <v/>
      </c>
      <c r="Y525" s="24" t="str">
        <f aca="false">IF($A525="","",(YEAR($A525)-YEAR(Settings!$C$8))*12+MONTH($A525)-MONTH(Settings!$C$8)+1)</f>
        <v/>
      </c>
      <c r="Z525" s="24" t="str">
        <f aca="false">IF(AND($C525="",$I525="",$J525=""),"",IF($N525="","NO VAT CODE",IF($T525="","UNKNOWN VAT CODE",IF($S525="","MISSING FX RATE",IF(OR($A525&lt;Settings!$C$8,$A525&gt;Settings!$C$9),"OUTSIDE PERIOD",IF(AND(IFERROR(INDEX(VAT_Codes!$E:$E,MATCH($N525,VAT_Codes!$A:$A,0)),"ANY")&lt;&gt;"ANY",$P525=""),"MISSING COUNTERPARTY COUNTRY",IF(AND(IFERROR(INDEX(VAT_Codes!$E:$E,MATCH($N525,VAT_Codes!$A:$A,0)),"ANY")&lt;&gt;"ANY",$P525&lt;&gt;IFERROR(INDEX(VAT_Codes!$E:$E,MATCH($N525,VAT_Codes!$A:$A,0)),"ANY")),"REGION MISMATCH","OK")))))))</f>
        <v/>
      </c>
    </row>
    <row r="526" customFormat="false" ht="15" hidden="false" customHeight="false" outlineLevel="0" collapsed="false">
      <c r="M526" s="24" t="str">
        <f aca="false">IF($C526="","",IFERROR(INDEX(Account_Mapping!$C:$C,MATCH($C526&amp;"",Account_Mapping!$A:$A,0))&amp;"",""))</f>
        <v/>
      </c>
      <c r="N526" s="24" t="str">
        <f aca="false">IF($K526&lt;&gt;"",$K526,$M526)</f>
        <v/>
      </c>
      <c r="O526" s="24" t="str">
        <f aca="false">IF($F526="","",IFERROR(INDEX(Counterparties!$C:$C,MATCH($F526&amp;"",Counterparties!$A:$A,0))&amp;"",""))</f>
        <v/>
      </c>
      <c r="P526" s="24" t="str">
        <f aca="false">IF($O526="","",IF($O526="CY","CY",IF(ISNUMBER(MATCH($O526,Lists!$A:$A,0)),"EU","3RD")))</f>
        <v/>
      </c>
      <c r="Q526" s="24" t="str">
        <f aca="false">IF($F526="","N",IFERROR(IF(INDEX(Counterparties!$E:$E,MATCH($F526&amp;"",Counterparties!$A:$A,0))="Y","Y","N"),"N"))</f>
        <v>N</v>
      </c>
      <c r="R526" s="25" t="n">
        <f aca="false">IF(OR($H526="",$H526="EUR"),1,IFERROR(INDEX(FX_Rates!$D:$D,MATCH($H526,FX_Rates!$A:$A,0)),""))</f>
        <v>1</v>
      </c>
      <c r="S526" s="26" t="str">
        <f aca="false">IF(AND($I526="",$J526=""),"",IF($J526&lt;&gt;"",$J526,IF(OR($R526="",$R526=0),"",ROUND($I526/$R526,2))))</f>
        <v/>
      </c>
      <c r="T526" s="24" t="str">
        <f aca="false">IF($N526="","",IFERROR(INDEX(VAT_Codes!$C:$C,MATCH($N526,VAT_Codes!$A:$A,0)),"")&amp;"")</f>
        <v/>
      </c>
      <c r="U526" s="26" t="n">
        <f aca="false">IF(OR($S526="",$T526="",$T526="None"),0,IF($T526="Output",-$S526,$S526))</f>
        <v>0</v>
      </c>
      <c r="V526" s="27" t="n">
        <f aca="false">IF($N526="",0,IFERROR(INDEX(VAT_Codes!$D:$D,MATCH($N526,VAT_Codes!$A:$A,0)),0))</f>
        <v>0</v>
      </c>
      <c r="W526" s="26" t="n">
        <f aca="false">IF($U526=0,0,IF(IFERROR(INDEX(VAT_Codes!$F:$F,MATCH($N526,VAT_Codes!$A:$A,0)),"N")="Y",$U526,IF($L526&lt;&gt;"",ROUND(ABS($L526)/IF(OR($R526="",$R526=0),1,$R526),2)*SIGN($U526),ROUND($U526*$V526,2))))</f>
        <v>0</v>
      </c>
      <c r="X526" s="24" t="str">
        <f aca="false">IF($N526="","",IFERROR(INDEX(VAT_Codes!$H:$H,MATCH($N526,VAT_Codes!$A:$A,0)),"")&amp;"")</f>
        <v/>
      </c>
      <c r="Y526" s="24" t="str">
        <f aca="false">IF($A526="","",(YEAR($A526)-YEAR(Settings!$C$8))*12+MONTH($A526)-MONTH(Settings!$C$8)+1)</f>
        <v/>
      </c>
      <c r="Z526" s="24" t="str">
        <f aca="false">IF(AND($C526="",$I526="",$J526=""),"",IF($N526="","NO VAT CODE",IF($T526="","UNKNOWN VAT CODE",IF($S526="","MISSING FX RATE",IF(OR($A526&lt;Settings!$C$8,$A526&gt;Settings!$C$9),"OUTSIDE PERIOD",IF(AND(IFERROR(INDEX(VAT_Codes!$E:$E,MATCH($N526,VAT_Codes!$A:$A,0)),"ANY")&lt;&gt;"ANY",$P526=""),"MISSING COUNTERPARTY COUNTRY",IF(AND(IFERROR(INDEX(VAT_Codes!$E:$E,MATCH($N526,VAT_Codes!$A:$A,0)),"ANY")&lt;&gt;"ANY",$P526&lt;&gt;IFERROR(INDEX(VAT_Codes!$E:$E,MATCH($N526,VAT_Codes!$A:$A,0)),"ANY")),"REGION MISMATCH","OK")))))))</f>
        <v/>
      </c>
    </row>
    <row r="527" customFormat="false" ht="15" hidden="false" customHeight="false" outlineLevel="0" collapsed="false">
      <c r="M527" s="24" t="str">
        <f aca="false">IF($C527="","",IFERROR(INDEX(Account_Mapping!$C:$C,MATCH($C527&amp;"",Account_Mapping!$A:$A,0))&amp;"",""))</f>
        <v/>
      </c>
      <c r="N527" s="24" t="str">
        <f aca="false">IF($K527&lt;&gt;"",$K527,$M527)</f>
        <v/>
      </c>
      <c r="O527" s="24" t="str">
        <f aca="false">IF($F527="","",IFERROR(INDEX(Counterparties!$C:$C,MATCH($F527&amp;"",Counterparties!$A:$A,0))&amp;"",""))</f>
        <v/>
      </c>
      <c r="P527" s="24" t="str">
        <f aca="false">IF($O527="","",IF($O527="CY","CY",IF(ISNUMBER(MATCH($O527,Lists!$A:$A,0)),"EU","3RD")))</f>
        <v/>
      </c>
      <c r="Q527" s="24" t="str">
        <f aca="false">IF($F527="","N",IFERROR(IF(INDEX(Counterparties!$E:$E,MATCH($F527&amp;"",Counterparties!$A:$A,0))="Y","Y","N"),"N"))</f>
        <v>N</v>
      </c>
      <c r="R527" s="25" t="n">
        <f aca="false">IF(OR($H527="",$H527="EUR"),1,IFERROR(INDEX(FX_Rates!$D:$D,MATCH($H527,FX_Rates!$A:$A,0)),""))</f>
        <v>1</v>
      </c>
      <c r="S527" s="26" t="str">
        <f aca="false">IF(AND($I527="",$J527=""),"",IF($J527&lt;&gt;"",$J527,IF(OR($R527="",$R527=0),"",ROUND($I527/$R527,2))))</f>
        <v/>
      </c>
      <c r="T527" s="24" t="str">
        <f aca="false">IF($N527="","",IFERROR(INDEX(VAT_Codes!$C:$C,MATCH($N527,VAT_Codes!$A:$A,0)),"")&amp;"")</f>
        <v/>
      </c>
      <c r="U527" s="26" t="n">
        <f aca="false">IF(OR($S527="",$T527="",$T527="None"),0,IF($T527="Output",-$S527,$S527))</f>
        <v>0</v>
      </c>
      <c r="V527" s="27" t="n">
        <f aca="false">IF($N527="",0,IFERROR(INDEX(VAT_Codes!$D:$D,MATCH($N527,VAT_Codes!$A:$A,0)),0))</f>
        <v>0</v>
      </c>
      <c r="W527" s="26" t="n">
        <f aca="false">IF($U527=0,0,IF(IFERROR(INDEX(VAT_Codes!$F:$F,MATCH($N527,VAT_Codes!$A:$A,0)),"N")="Y",$U527,IF($L527&lt;&gt;"",ROUND(ABS($L527)/IF(OR($R527="",$R527=0),1,$R527),2)*SIGN($U527),ROUND($U527*$V527,2))))</f>
        <v>0</v>
      </c>
      <c r="X527" s="24" t="str">
        <f aca="false">IF($N527="","",IFERROR(INDEX(VAT_Codes!$H:$H,MATCH($N527,VAT_Codes!$A:$A,0)),"")&amp;"")</f>
        <v/>
      </c>
      <c r="Y527" s="24" t="str">
        <f aca="false">IF($A527="","",(YEAR($A527)-YEAR(Settings!$C$8))*12+MONTH($A527)-MONTH(Settings!$C$8)+1)</f>
        <v/>
      </c>
      <c r="Z527" s="24" t="str">
        <f aca="false">IF(AND($C527="",$I527="",$J527=""),"",IF($N527="","NO VAT CODE",IF($T527="","UNKNOWN VAT CODE",IF($S527="","MISSING FX RATE",IF(OR($A527&lt;Settings!$C$8,$A527&gt;Settings!$C$9),"OUTSIDE PERIOD",IF(AND(IFERROR(INDEX(VAT_Codes!$E:$E,MATCH($N527,VAT_Codes!$A:$A,0)),"ANY")&lt;&gt;"ANY",$P527=""),"MISSING COUNTERPARTY COUNTRY",IF(AND(IFERROR(INDEX(VAT_Codes!$E:$E,MATCH($N527,VAT_Codes!$A:$A,0)),"ANY")&lt;&gt;"ANY",$P527&lt;&gt;IFERROR(INDEX(VAT_Codes!$E:$E,MATCH($N527,VAT_Codes!$A:$A,0)),"ANY")),"REGION MISMATCH","OK")))))))</f>
        <v/>
      </c>
    </row>
    <row r="528" customFormat="false" ht="15" hidden="false" customHeight="false" outlineLevel="0" collapsed="false">
      <c r="M528" s="24" t="str">
        <f aca="false">IF($C528="","",IFERROR(INDEX(Account_Mapping!$C:$C,MATCH($C528&amp;"",Account_Mapping!$A:$A,0))&amp;"",""))</f>
        <v/>
      </c>
      <c r="N528" s="24" t="str">
        <f aca="false">IF($K528&lt;&gt;"",$K528,$M528)</f>
        <v/>
      </c>
      <c r="O528" s="24" t="str">
        <f aca="false">IF($F528="","",IFERROR(INDEX(Counterparties!$C:$C,MATCH($F528&amp;"",Counterparties!$A:$A,0))&amp;"",""))</f>
        <v/>
      </c>
      <c r="P528" s="24" t="str">
        <f aca="false">IF($O528="","",IF($O528="CY","CY",IF(ISNUMBER(MATCH($O528,Lists!$A:$A,0)),"EU","3RD")))</f>
        <v/>
      </c>
      <c r="Q528" s="24" t="str">
        <f aca="false">IF($F528="","N",IFERROR(IF(INDEX(Counterparties!$E:$E,MATCH($F528&amp;"",Counterparties!$A:$A,0))="Y","Y","N"),"N"))</f>
        <v>N</v>
      </c>
      <c r="R528" s="25" t="n">
        <f aca="false">IF(OR($H528="",$H528="EUR"),1,IFERROR(INDEX(FX_Rates!$D:$D,MATCH($H528,FX_Rates!$A:$A,0)),""))</f>
        <v>1</v>
      </c>
      <c r="S528" s="26" t="str">
        <f aca="false">IF(AND($I528="",$J528=""),"",IF($J528&lt;&gt;"",$J528,IF(OR($R528="",$R528=0),"",ROUND($I528/$R528,2))))</f>
        <v/>
      </c>
      <c r="T528" s="24" t="str">
        <f aca="false">IF($N528="","",IFERROR(INDEX(VAT_Codes!$C:$C,MATCH($N528,VAT_Codes!$A:$A,0)),"")&amp;"")</f>
        <v/>
      </c>
      <c r="U528" s="26" t="n">
        <f aca="false">IF(OR($S528="",$T528="",$T528="None"),0,IF($T528="Output",-$S528,$S528))</f>
        <v>0</v>
      </c>
      <c r="V528" s="27" t="n">
        <f aca="false">IF($N528="",0,IFERROR(INDEX(VAT_Codes!$D:$D,MATCH($N528,VAT_Codes!$A:$A,0)),0))</f>
        <v>0</v>
      </c>
      <c r="W528" s="26" t="n">
        <f aca="false">IF($U528=0,0,IF(IFERROR(INDEX(VAT_Codes!$F:$F,MATCH($N528,VAT_Codes!$A:$A,0)),"N")="Y",$U528,IF($L528&lt;&gt;"",ROUND(ABS($L528)/IF(OR($R528="",$R528=0),1,$R528),2)*SIGN($U528),ROUND($U528*$V528,2))))</f>
        <v>0</v>
      </c>
      <c r="X528" s="24" t="str">
        <f aca="false">IF($N528="","",IFERROR(INDEX(VAT_Codes!$H:$H,MATCH($N528,VAT_Codes!$A:$A,0)),"")&amp;"")</f>
        <v/>
      </c>
      <c r="Y528" s="24" t="str">
        <f aca="false">IF($A528="","",(YEAR($A528)-YEAR(Settings!$C$8))*12+MONTH($A528)-MONTH(Settings!$C$8)+1)</f>
        <v/>
      </c>
      <c r="Z528" s="24" t="str">
        <f aca="false">IF(AND($C528="",$I528="",$J528=""),"",IF($N528="","NO VAT CODE",IF($T528="","UNKNOWN VAT CODE",IF($S528="","MISSING FX RATE",IF(OR($A528&lt;Settings!$C$8,$A528&gt;Settings!$C$9),"OUTSIDE PERIOD",IF(AND(IFERROR(INDEX(VAT_Codes!$E:$E,MATCH($N528,VAT_Codes!$A:$A,0)),"ANY")&lt;&gt;"ANY",$P528=""),"MISSING COUNTERPARTY COUNTRY",IF(AND(IFERROR(INDEX(VAT_Codes!$E:$E,MATCH($N528,VAT_Codes!$A:$A,0)),"ANY")&lt;&gt;"ANY",$P528&lt;&gt;IFERROR(INDEX(VAT_Codes!$E:$E,MATCH($N528,VAT_Codes!$A:$A,0)),"ANY")),"REGION MISMATCH","OK")))))))</f>
        <v/>
      </c>
    </row>
    <row r="529" customFormat="false" ht="15" hidden="false" customHeight="false" outlineLevel="0" collapsed="false">
      <c r="M529" s="24" t="str">
        <f aca="false">IF($C529="","",IFERROR(INDEX(Account_Mapping!$C:$C,MATCH($C529&amp;"",Account_Mapping!$A:$A,0))&amp;"",""))</f>
        <v/>
      </c>
      <c r="N529" s="24" t="str">
        <f aca="false">IF($K529&lt;&gt;"",$K529,$M529)</f>
        <v/>
      </c>
      <c r="O529" s="24" t="str">
        <f aca="false">IF($F529="","",IFERROR(INDEX(Counterparties!$C:$C,MATCH($F529&amp;"",Counterparties!$A:$A,0))&amp;"",""))</f>
        <v/>
      </c>
      <c r="P529" s="24" t="str">
        <f aca="false">IF($O529="","",IF($O529="CY","CY",IF(ISNUMBER(MATCH($O529,Lists!$A:$A,0)),"EU","3RD")))</f>
        <v/>
      </c>
      <c r="Q529" s="24" t="str">
        <f aca="false">IF($F529="","N",IFERROR(IF(INDEX(Counterparties!$E:$E,MATCH($F529&amp;"",Counterparties!$A:$A,0))="Y","Y","N"),"N"))</f>
        <v>N</v>
      </c>
      <c r="R529" s="25" t="n">
        <f aca="false">IF(OR($H529="",$H529="EUR"),1,IFERROR(INDEX(FX_Rates!$D:$D,MATCH($H529,FX_Rates!$A:$A,0)),""))</f>
        <v>1</v>
      </c>
      <c r="S529" s="26" t="str">
        <f aca="false">IF(AND($I529="",$J529=""),"",IF($J529&lt;&gt;"",$J529,IF(OR($R529="",$R529=0),"",ROUND($I529/$R529,2))))</f>
        <v/>
      </c>
      <c r="T529" s="24" t="str">
        <f aca="false">IF($N529="","",IFERROR(INDEX(VAT_Codes!$C:$C,MATCH($N529,VAT_Codes!$A:$A,0)),"")&amp;"")</f>
        <v/>
      </c>
      <c r="U529" s="26" t="n">
        <f aca="false">IF(OR($S529="",$T529="",$T529="None"),0,IF($T529="Output",-$S529,$S529))</f>
        <v>0</v>
      </c>
      <c r="V529" s="27" t="n">
        <f aca="false">IF($N529="",0,IFERROR(INDEX(VAT_Codes!$D:$D,MATCH($N529,VAT_Codes!$A:$A,0)),0))</f>
        <v>0</v>
      </c>
      <c r="W529" s="26" t="n">
        <f aca="false">IF($U529=0,0,IF(IFERROR(INDEX(VAT_Codes!$F:$F,MATCH($N529,VAT_Codes!$A:$A,0)),"N")="Y",$U529,IF($L529&lt;&gt;"",ROUND(ABS($L529)/IF(OR($R529="",$R529=0),1,$R529),2)*SIGN($U529),ROUND($U529*$V529,2))))</f>
        <v>0</v>
      </c>
      <c r="X529" s="24" t="str">
        <f aca="false">IF($N529="","",IFERROR(INDEX(VAT_Codes!$H:$H,MATCH($N529,VAT_Codes!$A:$A,0)),"")&amp;"")</f>
        <v/>
      </c>
      <c r="Y529" s="24" t="str">
        <f aca="false">IF($A529="","",(YEAR($A529)-YEAR(Settings!$C$8))*12+MONTH($A529)-MONTH(Settings!$C$8)+1)</f>
        <v/>
      </c>
      <c r="Z529" s="24" t="str">
        <f aca="false">IF(AND($C529="",$I529="",$J529=""),"",IF($N529="","NO VAT CODE",IF($T529="","UNKNOWN VAT CODE",IF($S529="","MISSING FX RATE",IF(OR($A529&lt;Settings!$C$8,$A529&gt;Settings!$C$9),"OUTSIDE PERIOD",IF(AND(IFERROR(INDEX(VAT_Codes!$E:$E,MATCH($N529,VAT_Codes!$A:$A,0)),"ANY")&lt;&gt;"ANY",$P529=""),"MISSING COUNTERPARTY COUNTRY",IF(AND(IFERROR(INDEX(VAT_Codes!$E:$E,MATCH($N529,VAT_Codes!$A:$A,0)),"ANY")&lt;&gt;"ANY",$P529&lt;&gt;IFERROR(INDEX(VAT_Codes!$E:$E,MATCH($N529,VAT_Codes!$A:$A,0)),"ANY")),"REGION MISMATCH","OK")))))))</f>
        <v/>
      </c>
    </row>
    <row r="530" customFormat="false" ht="15" hidden="false" customHeight="false" outlineLevel="0" collapsed="false">
      <c r="M530" s="24" t="str">
        <f aca="false">IF($C530="","",IFERROR(INDEX(Account_Mapping!$C:$C,MATCH($C530&amp;"",Account_Mapping!$A:$A,0))&amp;"",""))</f>
        <v/>
      </c>
      <c r="N530" s="24" t="str">
        <f aca="false">IF($K530&lt;&gt;"",$K530,$M530)</f>
        <v/>
      </c>
      <c r="O530" s="24" t="str">
        <f aca="false">IF($F530="","",IFERROR(INDEX(Counterparties!$C:$C,MATCH($F530&amp;"",Counterparties!$A:$A,0))&amp;"",""))</f>
        <v/>
      </c>
      <c r="P530" s="24" t="str">
        <f aca="false">IF($O530="","",IF($O530="CY","CY",IF(ISNUMBER(MATCH($O530,Lists!$A:$A,0)),"EU","3RD")))</f>
        <v/>
      </c>
      <c r="Q530" s="24" t="str">
        <f aca="false">IF($F530="","N",IFERROR(IF(INDEX(Counterparties!$E:$E,MATCH($F530&amp;"",Counterparties!$A:$A,0))="Y","Y","N"),"N"))</f>
        <v>N</v>
      </c>
      <c r="R530" s="25" t="n">
        <f aca="false">IF(OR($H530="",$H530="EUR"),1,IFERROR(INDEX(FX_Rates!$D:$D,MATCH($H530,FX_Rates!$A:$A,0)),""))</f>
        <v>1</v>
      </c>
      <c r="S530" s="26" t="str">
        <f aca="false">IF(AND($I530="",$J530=""),"",IF($J530&lt;&gt;"",$J530,IF(OR($R530="",$R530=0),"",ROUND($I530/$R530,2))))</f>
        <v/>
      </c>
      <c r="T530" s="24" t="str">
        <f aca="false">IF($N530="","",IFERROR(INDEX(VAT_Codes!$C:$C,MATCH($N530,VAT_Codes!$A:$A,0)),"")&amp;"")</f>
        <v/>
      </c>
      <c r="U530" s="26" t="n">
        <f aca="false">IF(OR($S530="",$T530="",$T530="None"),0,IF($T530="Output",-$S530,$S530))</f>
        <v>0</v>
      </c>
      <c r="V530" s="27" t="n">
        <f aca="false">IF($N530="",0,IFERROR(INDEX(VAT_Codes!$D:$D,MATCH($N530,VAT_Codes!$A:$A,0)),0))</f>
        <v>0</v>
      </c>
      <c r="W530" s="26" t="n">
        <f aca="false">IF($U530=0,0,IF(IFERROR(INDEX(VAT_Codes!$F:$F,MATCH($N530,VAT_Codes!$A:$A,0)),"N")="Y",$U530,IF($L530&lt;&gt;"",ROUND(ABS($L530)/IF(OR($R530="",$R530=0),1,$R530),2)*SIGN($U530),ROUND($U530*$V530,2))))</f>
        <v>0</v>
      </c>
      <c r="X530" s="24" t="str">
        <f aca="false">IF($N530="","",IFERROR(INDEX(VAT_Codes!$H:$H,MATCH($N530,VAT_Codes!$A:$A,0)),"")&amp;"")</f>
        <v/>
      </c>
      <c r="Y530" s="24" t="str">
        <f aca="false">IF($A530="","",(YEAR($A530)-YEAR(Settings!$C$8))*12+MONTH($A530)-MONTH(Settings!$C$8)+1)</f>
        <v/>
      </c>
      <c r="Z530" s="24" t="str">
        <f aca="false">IF(AND($C530="",$I530="",$J530=""),"",IF($N530="","NO VAT CODE",IF($T530="","UNKNOWN VAT CODE",IF($S530="","MISSING FX RATE",IF(OR($A530&lt;Settings!$C$8,$A530&gt;Settings!$C$9),"OUTSIDE PERIOD",IF(AND(IFERROR(INDEX(VAT_Codes!$E:$E,MATCH($N530,VAT_Codes!$A:$A,0)),"ANY")&lt;&gt;"ANY",$P530=""),"MISSING COUNTERPARTY COUNTRY",IF(AND(IFERROR(INDEX(VAT_Codes!$E:$E,MATCH($N530,VAT_Codes!$A:$A,0)),"ANY")&lt;&gt;"ANY",$P530&lt;&gt;IFERROR(INDEX(VAT_Codes!$E:$E,MATCH($N530,VAT_Codes!$A:$A,0)),"ANY")),"REGION MISMATCH","OK")))))))</f>
        <v/>
      </c>
    </row>
    <row r="531" customFormat="false" ht="15" hidden="false" customHeight="false" outlineLevel="0" collapsed="false">
      <c r="M531" s="24" t="str">
        <f aca="false">IF($C531="","",IFERROR(INDEX(Account_Mapping!$C:$C,MATCH($C531&amp;"",Account_Mapping!$A:$A,0))&amp;"",""))</f>
        <v/>
      </c>
      <c r="N531" s="24" t="str">
        <f aca="false">IF($K531&lt;&gt;"",$K531,$M531)</f>
        <v/>
      </c>
      <c r="O531" s="24" t="str">
        <f aca="false">IF($F531="","",IFERROR(INDEX(Counterparties!$C:$C,MATCH($F531&amp;"",Counterparties!$A:$A,0))&amp;"",""))</f>
        <v/>
      </c>
      <c r="P531" s="24" t="str">
        <f aca="false">IF($O531="","",IF($O531="CY","CY",IF(ISNUMBER(MATCH($O531,Lists!$A:$A,0)),"EU","3RD")))</f>
        <v/>
      </c>
      <c r="Q531" s="24" t="str">
        <f aca="false">IF($F531="","N",IFERROR(IF(INDEX(Counterparties!$E:$E,MATCH($F531&amp;"",Counterparties!$A:$A,0))="Y","Y","N"),"N"))</f>
        <v>N</v>
      </c>
      <c r="R531" s="25" t="n">
        <f aca="false">IF(OR($H531="",$H531="EUR"),1,IFERROR(INDEX(FX_Rates!$D:$D,MATCH($H531,FX_Rates!$A:$A,0)),""))</f>
        <v>1</v>
      </c>
      <c r="S531" s="26" t="str">
        <f aca="false">IF(AND($I531="",$J531=""),"",IF($J531&lt;&gt;"",$J531,IF(OR($R531="",$R531=0),"",ROUND($I531/$R531,2))))</f>
        <v/>
      </c>
      <c r="T531" s="24" t="str">
        <f aca="false">IF($N531="","",IFERROR(INDEX(VAT_Codes!$C:$C,MATCH($N531,VAT_Codes!$A:$A,0)),"")&amp;"")</f>
        <v/>
      </c>
      <c r="U531" s="26" t="n">
        <f aca="false">IF(OR($S531="",$T531="",$T531="None"),0,IF($T531="Output",-$S531,$S531))</f>
        <v>0</v>
      </c>
      <c r="V531" s="27" t="n">
        <f aca="false">IF($N531="",0,IFERROR(INDEX(VAT_Codes!$D:$D,MATCH($N531,VAT_Codes!$A:$A,0)),0))</f>
        <v>0</v>
      </c>
      <c r="W531" s="26" t="n">
        <f aca="false">IF($U531=0,0,IF(IFERROR(INDEX(VAT_Codes!$F:$F,MATCH($N531,VAT_Codes!$A:$A,0)),"N")="Y",$U531,IF($L531&lt;&gt;"",ROUND(ABS($L531)/IF(OR($R531="",$R531=0),1,$R531),2)*SIGN($U531),ROUND($U531*$V531,2))))</f>
        <v>0</v>
      </c>
      <c r="X531" s="24" t="str">
        <f aca="false">IF($N531="","",IFERROR(INDEX(VAT_Codes!$H:$H,MATCH($N531,VAT_Codes!$A:$A,0)),"")&amp;"")</f>
        <v/>
      </c>
      <c r="Y531" s="24" t="str">
        <f aca="false">IF($A531="","",(YEAR($A531)-YEAR(Settings!$C$8))*12+MONTH($A531)-MONTH(Settings!$C$8)+1)</f>
        <v/>
      </c>
      <c r="Z531" s="24" t="str">
        <f aca="false">IF(AND($C531="",$I531="",$J531=""),"",IF($N531="","NO VAT CODE",IF($T531="","UNKNOWN VAT CODE",IF($S531="","MISSING FX RATE",IF(OR($A531&lt;Settings!$C$8,$A531&gt;Settings!$C$9),"OUTSIDE PERIOD",IF(AND(IFERROR(INDEX(VAT_Codes!$E:$E,MATCH($N531,VAT_Codes!$A:$A,0)),"ANY")&lt;&gt;"ANY",$P531=""),"MISSING COUNTERPARTY COUNTRY",IF(AND(IFERROR(INDEX(VAT_Codes!$E:$E,MATCH($N531,VAT_Codes!$A:$A,0)),"ANY")&lt;&gt;"ANY",$P531&lt;&gt;IFERROR(INDEX(VAT_Codes!$E:$E,MATCH($N531,VAT_Codes!$A:$A,0)),"ANY")),"REGION MISMATCH","OK")))))))</f>
        <v/>
      </c>
    </row>
    <row r="532" customFormat="false" ht="15" hidden="false" customHeight="false" outlineLevel="0" collapsed="false">
      <c r="M532" s="24" t="str">
        <f aca="false">IF($C532="","",IFERROR(INDEX(Account_Mapping!$C:$C,MATCH($C532&amp;"",Account_Mapping!$A:$A,0))&amp;"",""))</f>
        <v/>
      </c>
      <c r="N532" s="24" t="str">
        <f aca="false">IF($K532&lt;&gt;"",$K532,$M532)</f>
        <v/>
      </c>
      <c r="O532" s="24" t="str">
        <f aca="false">IF($F532="","",IFERROR(INDEX(Counterparties!$C:$C,MATCH($F532&amp;"",Counterparties!$A:$A,0))&amp;"",""))</f>
        <v/>
      </c>
      <c r="P532" s="24" t="str">
        <f aca="false">IF($O532="","",IF($O532="CY","CY",IF(ISNUMBER(MATCH($O532,Lists!$A:$A,0)),"EU","3RD")))</f>
        <v/>
      </c>
      <c r="Q532" s="24" t="str">
        <f aca="false">IF($F532="","N",IFERROR(IF(INDEX(Counterparties!$E:$E,MATCH($F532&amp;"",Counterparties!$A:$A,0))="Y","Y","N"),"N"))</f>
        <v>N</v>
      </c>
      <c r="R532" s="25" t="n">
        <f aca="false">IF(OR($H532="",$H532="EUR"),1,IFERROR(INDEX(FX_Rates!$D:$D,MATCH($H532,FX_Rates!$A:$A,0)),""))</f>
        <v>1</v>
      </c>
      <c r="S532" s="26" t="str">
        <f aca="false">IF(AND($I532="",$J532=""),"",IF($J532&lt;&gt;"",$J532,IF(OR($R532="",$R532=0),"",ROUND($I532/$R532,2))))</f>
        <v/>
      </c>
      <c r="T532" s="24" t="str">
        <f aca="false">IF($N532="","",IFERROR(INDEX(VAT_Codes!$C:$C,MATCH($N532,VAT_Codes!$A:$A,0)),"")&amp;"")</f>
        <v/>
      </c>
      <c r="U532" s="26" t="n">
        <f aca="false">IF(OR($S532="",$T532="",$T532="None"),0,IF($T532="Output",-$S532,$S532))</f>
        <v>0</v>
      </c>
      <c r="V532" s="27" t="n">
        <f aca="false">IF($N532="",0,IFERROR(INDEX(VAT_Codes!$D:$D,MATCH($N532,VAT_Codes!$A:$A,0)),0))</f>
        <v>0</v>
      </c>
      <c r="W532" s="26" t="n">
        <f aca="false">IF($U532=0,0,IF(IFERROR(INDEX(VAT_Codes!$F:$F,MATCH($N532,VAT_Codes!$A:$A,0)),"N")="Y",$U532,IF($L532&lt;&gt;"",ROUND(ABS($L532)/IF(OR($R532="",$R532=0),1,$R532),2)*SIGN($U532),ROUND($U532*$V532,2))))</f>
        <v>0</v>
      </c>
      <c r="X532" s="24" t="str">
        <f aca="false">IF($N532="","",IFERROR(INDEX(VAT_Codes!$H:$H,MATCH($N532,VAT_Codes!$A:$A,0)),"")&amp;"")</f>
        <v/>
      </c>
      <c r="Y532" s="24" t="str">
        <f aca="false">IF($A532="","",(YEAR($A532)-YEAR(Settings!$C$8))*12+MONTH($A532)-MONTH(Settings!$C$8)+1)</f>
        <v/>
      </c>
      <c r="Z532" s="24" t="str">
        <f aca="false">IF(AND($C532="",$I532="",$J532=""),"",IF($N532="","NO VAT CODE",IF($T532="","UNKNOWN VAT CODE",IF($S532="","MISSING FX RATE",IF(OR($A532&lt;Settings!$C$8,$A532&gt;Settings!$C$9),"OUTSIDE PERIOD",IF(AND(IFERROR(INDEX(VAT_Codes!$E:$E,MATCH($N532,VAT_Codes!$A:$A,0)),"ANY")&lt;&gt;"ANY",$P532=""),"MISSING COUNTERPARTY COUNTRY",IF(AND(IFERROR(INDEX(VAT_Codes!$E:$E,MATCH($N532,VAT_Codes!$A:$A,0)),"ANY")&lt;&gt;"ANY",$P532&lt;&gt;IFERROR(INDEX(VAT_Codes!$E:$E,MATCH($N532,VAT_Codes!$A:$A,0)),"ANY")),"REGION MISMATCH","OK")))))))</f>
        <v/>
      </c>
    </row>
    <row r="533" customFormat="false" ht="15" hidden="false" customHeight="false" outlineLevel="0" collapsed="false">
      <c r="M533" s="24" t="str">
        <f aca="false">IF($C533="","",IFERROR(INDEX(Account_Mapping!$C:$C,MATCH($C533&amp;"",Account_Mapping!$A:$A,0))&amp;"",""))</f>
        <v/>
      </c>
      <c r="N533" s="24" t="str">
        <f aca="false">IF($K533&lt;&gt;"",$K533,$M533)</f>
        <v/>
      </c>
      <c r="O533" s="24" t="str">
        <f aca="false">IF($F533="","",IFERROR(INDEX(Counterparties!$C:$C,MATCH($F533&amp;"",Counterparties!$A:$A,0))&amp;"",""))</f>
        <v/>
      </c>
      <c r="P533" s="24" t="str">
        <f aca="false">IF($O533="","",IF($O533="CY","CY",IF(ISNUMBER(MATCH($O533,Lists!$A:$A,0)),"EU","3RD")))</f>
        <v/>
      </c>
      <c r="Q533" s="24" t="str">
        <f aca="false">IF($F533="","N",IFERROR(IF(INDEX(Counterparties!$E:$E,MATCH($F533&amp;"",Counterparties!$A:$A,0))="Y","Y","N"),"N"))</f>
        <v>N</v>
      </c>
      <c r="R533" s="25" t="n">
        <f aca="false">IF(OR($H533="",$H533="EUR"),1,IFERROR(INDEX(FX_Rates!$D:$D,MATCH($H533,FX_Rates!$A:$A,0)),""))</f>
        <v>1</v>
      </c>
      <c r="S533" s="26" t="str">
        <f aca="false">IF(AND($I533="",$J533=""),"",IF($J533&lt;&gt;"",$J533,IF(OR($R533="",$R533=0),"",ROUND($I533/$R533,2))))</f>
        <v/>
      </c>
      <c r="T533" s="24" t="str">
        <f aca="false">IF($N533="","",IFERROR(INDEX(VAT_Codes!$C:$C,MATCH($N533,VAT_Codes!$A:$A,0)),"")&amp;"")</f>
        <v/>
      </c>
      <c r="U533" s="26" t="n">
        <f aca="false">IF(OR($S533="",$T533="",$T533="None"),0,IF($T533="Output",-$S533,$S533))</f>
        <v>0</v>
      </c>
      <c r="V533" s="27" t="n">
        <f aca="false">IF($N533="",0,IFERROR(INDEX(VAT_Codes!$D:$D,MATCH($N533,VAT_Codes!$A:$A,0)),0))</f>
        <v>0</v>
      </c>
      <c r="W533" s="26" t="n">
        <f aca="false">IF($U533=0,0,IF(IFERROR(INDEX(VAT_Codes!$F:$F,MATCH($N533,VAT_Codes!$A:$A,0)),"N")="Y",$U533,IF($L533&lt;&gt;"",ROUND(ABS($L533)/IF(OR($R533="",$R533=0),1,$R533),2)*SIGN($U533),ROUND($U533*$V533,2))))</f>
        <v>0</v>
      </c>
      <c r="X533" s="24" t="str">
        <f aca="false">IF($N533="","",IFERROR(INDEX(VAT_Codes!$H:$H,MATCH($N533,VAT_Codes!$A:$A,0)),"")&amp;"")</f>
        <v/>
      </c>
      <c r="Y533" s="24" t="str">
        <f aca="false">IF($A533="","",(YEAR($A533)-YEAR(Settings!$C$8))*12+MONTH($A533)-MONTH(Settings!$C$8)+1)</f>
        <v/>
      </c>
      <c r="Z533" s="24" t="str">
        <f aca="false">IF(AND($C533="",$I533="",$J533=""),"",IF($N533="","NO VAT CODE",IF($T533="","UNKNOWN VAT CODE",IF($S533="","MISSING FX RATE",IF(OR($A533&lt;Settings!$C$8,$A533&gt;Settings!$C$9),"OUTSIDE PERIOD",IF(AND(IFERROR(INDEX(VAT_Codes!$E:$E,MATCH($N533,VAT_Codes!$A:$A,0)),"ANY")&lt;&gt;"ANY",$P533=""),"MISSING COUNTERPARTY COUNTRY",IF(AND(IFERROR(INDEX(VAT_Codes!$E:$E,MATCH($N533,VAT_Codes!$A:$A,0)),"ANY")&lt;&gt;"ANY",$P533&lt;&gt;IFERROR(INDEX(VAT_Codes!$E:$E,MATCH($N533,VAT_Codes!$A:$A,0)),"ANY")),"REGION MISMATCH","OK")))))))</f>
        <v/>
      </c>
    </row>
    <row r="534" customFormat="false" ht="15" hidden="false" customHeight="false" outlineLevel="0" collapsed="false">
      <c r="M534" s="24" t="str">
        <f aca="false">IF($C534="","",IFERROR(INDEX(Account_Mapping!$C:$C,MATCH($C534&amp;"",Account_Mapping!$A:$A,0))&amp;"",""))</f>
        <v/>
      </c>
      <c r="N534" s="24" t="str">
        <f aca="false">IF($K534&lt;&gt;"",$K534,$M534)</f>
        <v/>
      </c>
      <c r="O534" s="24" t="str">
        <f aca="false">IF($F534="","",IFERROR(INDEX(Counterparties!$C:$C,MATCH($F534&amp;"",Counterparties!$A:$A,0))&amp;"",""))</f>
        <v/>
      </c>
      <c r="P534" s="24" t="str">
        <f aca="false">IF($O534="","",IF($O534="CY","CY",IF(ISNUMBER(MATCH($O534,Lists!$A:$A,0)),"EU","3RD")))</f>
        <v/>
      </c>
      <c r="Q534" s="24" t="str">
        <f aca="false">IF($F534="","N",IFERROR(IF(INDEX(Counterparties!$E:$E,MATCH($F534&amp;"",Counterparties!$A:$A,0))="Y","Y","N"),"N"))</f>
        <v>N</v>
      </c>
      <c r="R534" s="25" t="n">
        <f aca="false">IF(OR($H534="",$H534="EUR"),1,IFERROR(INDEX(FX_Rates!$D:$D,MATCH($H534,FX_Rates!$A:$A,0)),""))</f>
        <v>1</v>
      </c>
      <c r="S534" s="26" t="str">
        <f aca="false">IF(AND($I534="",$J534=""),"",IF($J534&lt;&gt;"",$J534,IF(OR($R534="",$R534=0),"",ROUND($I534/$R534,2))))</f>
        <v/>
      </c>
      <c r="T534" s="24" t="str">
        <f aca="false">IF($N534="","",IFERROR(INDEX(VAT_Codes!$C:$C,MATCH($N534,VAT_Codes!$A:$A,0)),"")&amp;"")</f>
        <v/>
      </c>
      <c r="U534" s="26" t="n">
        <f aca="false">IF(OR($S534="",$T534="",$T534="None"),0,IF($T534="Output",-$S534,$S534))</f>
        <v>0</v>
      </c>
      <c r="V534" s="27" t="n">
        <f aca="false">IF($N534="",0,IFERROR(INDEX(VAT_Codes!$D:$D,MATCH($N534,VAT_Codes!$A:$A,0)),0))</f>
        <v>0</v>
      </c>
      <c r="W534" s="26" t="n">
        <f aca="false">IF($U534=0,0,IF(IFERROR(INDEX(VAT_Codes!$F:$F,MATCH($N534,VAT_Codes!$A:$A,0)),"N")="Y",$U534,IF($L534&lt;&gt;"",ROUND(ABS($L534)/IF(OR($R534="",$R534=0),1,$R534),2)*SIGN($U534),ROUND($U534*$V534,2))))</f>
        <v>0</v>
      </c>
      <c r="X534" s="24" t="str">
        <f aca="false">IF($N534="","",IFERROR(INDEX(VAT_Codes!$H:$H,MATCH($N534,VAT_Codes!$A:$A,0)),"")&amp;"")</f>
        <v/>
      </c>
      <c r="Y534" s="24" t="str">
        <f aca="false">IF($A534="","",(YEAR($A534)-YEAR(Settings!$C$8))*12+MONTH($A534)-MONTH(Settings!$C$8)+1)</f>
        <v/>
      </c>
      <c r="Z534" s="24" t="str">
        <f aca="false">IF(AND($C534="",$I534="",$J534=""),"",IF($N534="","NO VAT CODE",IF($T534="","UNKNOWN VAT CODE",IF($S534="","MISSING FX RATE",IF(OR($A534&lt;Settings!$C$8,$A534&gt;Settings!$C$9),"OUTSIDE PERIOD",IF(AND(IFERROR(INDEX(VAT_Codes!$E:$E,MATCH($N534,VAT_Codes!$A:$A,0)),"ANY")&lt;&gt;"ANY",$P534=""),"MISSING COUNTERPARTY COUNTRY",IF(AND(IFERROR(INDEX(VAT_Codes!$E:$E,MATCH($N534,VAT_Codes!$A:$A,0)),"ANY")&lt;&gt;"ANY",$P534&lt;&gt;IFERROR(INDEX(VAT_Codes!$E:$E,MATCH($N534,VAT_Codes!$A:$A,0)),"ANY")),"REGION MISMATCH","OK")))))))</f>
        <v/>
      </c>
    </row>
    <row r="535" customFormat="false" ht="15" hidden="false" customHeight="false" outlineLevel="0" collapsed="false">
      <c r="M535" s="24" t="str">
        <f aca="false">IF($C535="","",IFERROR(INDEX(Account_Mapping!$C:$C,MATCH($C535&amp;"",Account_Mapping!$A:$A,0))&amp;"",""))</f>
        <v/>
      </c>
      <c r="N535" s="24" t="str">
        <f aca="false">IF($K535&lt;&gt;"",$K535,$M535)</f>
        <v/>
      </c>
      <c r="O535" s="24" t="str">
        <f aca="false">IF($F535="","",IFERROR(INDEX(Counterparties!$C:$C,MATCH($F535&amp;"",Counterparties!$A:$A,0))&amp;"",""))</f>
        <v/>
      </c>
      <c r="P535" s="24" t="str">
        <f aca="false">IF($O535="","",IF($O535="CY","CY",IF(ISNUMBER(MATCH($O535,Lists!$A:$A,0)),"EU","3RD")))</f>
        <v/>
      </c>
      <c r="Q535" s="24" t="str">
        <f aca="false">IF($F535="","N",IFERROR(IF(INDEX(Counterparties!$E:$E,MATCH($F535&amp;"",Counterparties!$A:$A,0))="Y","Y","N"),"N"))</f>
        <v>N</v>
      </c>
      <c r="R535" s="25" t="n">
        <f aca="false">IF(OR($H535="",$H535="EUR"),1,IFERROR(INDEX(FX_Rates!$D:$D,MATCH($H535,FX_Rates!$A:$A,0)),""))</f>
        <v>1</v>
      </c>
      <c r="S535" s="26" t="str">
        <f aca="false">IF(AND($I535="",$J535=""),"",IF($J535&lt;&gt;"",$J535,IF(OR($R535="",$R535=0),"",ROUND($I535/$R535,2))))</f>
        <v/>
      </c>
      <c r="T535" s="24" t="str">
        <f aca="false">IF($N535="","",IFERROR(INDEX(VAT_Codes!$C:$C,MATCH($N535,VAT_Codes!$A:$A,0)),"")&amp;"")</f>
        <v/>
      </c>
      <c r="U535" s="26" t="n">
        <f aca="false">IF(OR($S535="",$T535="",$T535="None"),0,IF($T535="Output",-$S535,$S535))</f>
        <v>0</v>
      </c>
      <c r="V535" s="27" t="n">
        <f aca="false">IF($N535="",0,IFERROR(INDEX(VAT_Codes!$D:$D,MATCH($N535,VAT_Codes!$A:$A,0)),0))</f>
        <v>0</v>
      </c>
      <c r="W535" s="26" t="n">
        <f aca="false">IF($U535=0,0,IF(IFERROR(INDEX(VAT_Codes!$F:$F,MATCH($N535,VAT_Codes!$A:$A,0)),"N")="Y",$U535,IF($L535&lt;&gt;"",ROUND(ABS($L535)/IF(OR($R535="",$R535=0),1,$R535),2)*SIGN($U535),ROUND($U535*$V535,2))))</f>
        <v>0</v>
      </c>
      <c r="X535" s="24" t="str">
        <f aca="false">IF($N535="","",IFERROR(INDEX(VAT_Codes!$H:$H,MATCH($N535,VAT_Codes!$A:$A,0)),"")&amp;"")</f>
        <v/>
      </c>
      <c r="Y535" s="24" t="str">
        <f aca="false">IF($A535="","",(YEAR($A535)-YEAR(Settings!$C$8))*12+MONTH($A535)-MONTH(Settings!$C$8)+1)</f>
        <v/>
      </c>
      <c r="Z535" s="24" t="str">
        <f aca="false">IF(AND($C535="",$I535="",$J535=""),"",IF($N535="","NO VAT CODE",IF($T535="","UNKNOWN VAT CODE",IF($S535="","MISSING FX RATE",IF(OR($A535&lt;Settings!$C$8,$A535&gt;Settings!$C$9),"OUTSIDE PERIOD",IF(AND(IFERROR(INDEX(VAT_Codes!$E:$E,MATCH($N535,VAT_Codes!$A:$A,0)),"ANY")&lt;&gt;"ANY",$P535=""),"MISSING COUNTERPARTY COUNTRY",IF(AND(IFERROR(INDEX(VAT_Codes!$E:$E,MATCH($N535,VAT_Codes!$A:$A,0)),"ANY")&lt;&gt;"ANY",$P535&lt;&gt;IFERROR(INDEX(VAT_Codes!$E:$E,MATCH($N535,VAT_Codes!$A:$A,0)),"ANY")),"REGION MISMATCH","OK")))))))</f>
        <v/>
      </c>
    </row>
    <row r="536" customFormat="false" ht="15" hidden="false" customHeight="false" outlineLevel="0" collapsed="false">
      <c r="M536" s="24" t="str">
        <f aca="false">IF($C536="","",IFERROR(INDEX(Account_Mapping!$C:$C,MATCH($C536&amp;"",Account_Mapping!$A:$A,0))&amp;"",""))</f>
        <v/>
      </c>
      <c r="N536" s="24" t="str">
        <f aca="false">IF($K536&lt;&gt;"",$K536,$M536)</f>
        <v/>
      </c>
      <c r="O536" s="24" t="str">
        <f aca="false">IF($F536="","",IFERROR(INDEX(Counterparties!$C:$C,MATCH($F536&amp;"",Counterparties!$A:$A,0))&amp;"",""))</f>
        <v/>
      </c>
      <c r="P536" s="24" t="str">
        <f aca="false">IF($O536="","",IF($O536="CY","CY",IF(ISNUMBER(MATCH($O536,Lists!$A:$A,0)),"EU","3RD")))</f>
        <v/>
      </c>
      <c r="Q536" s="24" t="str">
        <f aca="false">IF($F536="","N",IFERROR(IF(INDEX(Counterparties!$E:$E,MATCH($F536&amp;"",Counterparties!$A:$A,0))="Y","Y","N"),"N"))</f>
        <v>N</v>
      </c>
      <c r="R536" s="25" t="n">
        <f aca="false">IF(OR($H536="",$H536="EUR"),1,IFERROR(INDEX(FX_Rates!$D:$D,MATCH($H536,FX_Rates!$A:$A,0)),""))</f>
        <v>1</v>
      </c>
      <c r="S536" s="26" t="str">
        <f aca="false">IF(AND($I536="",$J536=""),"",IF($J536&lt;&gt;"",$J536,IF(OR($R536="",$R536=0),"",ROUND($I536/$R536,2))))</f>
        <v/>
      </c>
      <c r="T536" s="24" t="str">
        <f aca="false">IF($N536="","",IFERROR(INDEX(VAT_Codes!$C:$C,MATCH($N536,VAT_Codes!$A:$A,0)),"")&amp;"")</f>
        <v/>
      </c>
      <c r="U536" s="26" t="n">
        <f aca="false">IF(OR($S536="",$T536="",$T536="None"),0,IF($T536="Output",-$S536,$S536))</f>
        <v>0</v>
      </c>
      <c r="V536" s="27" t="n">
        <f aca="false">IF($N536="",0,IFERROR(INDEX(VAT_Codes!$D:$D,MATCH($N536,VAT_Codes!$A:$A,0)),0))</f>
        <v>0</v>
      </c>
      <c r="W536" s="26" t="n">
        <f aca="false">IF($U536=0,0,IF(IFERROR(INDEX(VAT_Codes!$F:$F,MATCH($N536,VAT_Codes!$A:$A,0)),"N")="Y",$U536,IF($L536&lt;&gt;"",ROUND(ABS($L536)/IF(OR($R536="",$R536=0),1,$R536),2)*SIGN($U536),ROUND($U536*$V536,2))))</f>
        <v>0</v>
      </c>
      <c r="X536" s="24" t="str">
        <f aca="false">IF($N536="","",IFERROR(INDEX(VAT_Codes!$H:$H,MATCH($N536,VAT_Codes!$A:$A,0)),"")&amp;"")</f>
        <v/>
      </c>
      <c r="Y536" s="24" t="str">
        <f aca="false">IF($A536="","",(YEAR($A536)-YEAR(Settings!$C$8))*12+MONTH($A536)-MONTH(Settings!$C$8)+1)</f>
        <v/>
      </c>
      <c r="Z536" s="24" t="str">
        <f aca="false">IF(AND($C536="",$I536="",$J536=""),"",IF($N536="","NO VAT CODE",IF($T536="","UNKNOWN VAT CODE",IF($S536="","MISSING FX RATE",IF(OR($A536&lt;Settings!$C$8,$A536&gt;Settings!$C$9),"OUTSIDE PERIOD",IF(AND(IFERROR(INDEX(VAT_Codes!$E:$E,MATCH($N536,VAT_Codes!$A:$A,0)),"ANY")&lt;&gt;"ANY",$P536=""),"MISSING COUNTERPARTY COUNTRY",IF(AND(IFERROR(INDEX(VAT_Codes!$E:$E,MATCH($N536,VAT_Codes!$A:$A,0)),"ANY")&lt;&gt;"ANY",$P536&lt;&gt;IFERROR(INDEX(VAT_Codes!$E:$E,MATCH($N536,VAT_Codes!$A:$A,0)),"ANY")),"REGION MISMATCH","OK")))))))</f>
        <v/>
      </c>
    </row>
    <row r="537" customFormat="false" ht="15" hidden="false" customHeight="false" outlineLevel="0" collapsed="false">
      <c r="M537" s="24" t="str">
        <f aca="false">IF($C537="","",IFERROR(INDEX(Account_Mapping!$C:$C,MATCH($C537&amp;"",Account_Mapping!$A:$A,0))&amp;"",""))</f>
        <v/>
      </c>
      <c r="N537" s="24" t="str">
        <f aca="false">IF($K537&lt;&gt;"",$K537,$M537)</f>
        <v/>
      </c>
      <c r="O537" s="24" t="str">
        <f aca="false">IF($F537="","",IFERROR(INDEX(Counterparties!$C:$C,MATCH($F537&amp;"",Counterparties!$A:$A,0))&amp;"",""))</f>
        <v/>
      </c>
      <c r="P537" s="24" t="str">
        <f aca="false">IF($O537="","",IF($O537="CY","CY",IF(ISNUMBER(MATCH($O537,Lists!$A:$A,0)),"EU","3RD")))</f>
        <v/>
      </c>
      <c r="Q537" s="24" t="str">
        <f aca="false">IF($F537="","N",IFERROR(IF(INDEX(Counterparties!$E:$E,MATCH($F537&amp;"",Counterparties!$A:$A,0))="Y","Y","N"),"N"))</f>
        <v>N</v>
      </c>
      <c r="R537" s="25" t="n">
        <f aca="false">IF(OR($H537="",$H537="EUR"),1,IFERROR(INDEX(FX_Rates!$D:$D,MATCH($H537,FX_Rates!$A:$A,0)),""))</f>
        <v>1</v>
      </c>
      <c r="S537" s="26" t="str">
        <f aca="false">IF(AND($I537="",$J537=""),"",IF($J537&lt;&gt;"",$J537,IF(OR($R537="",$R537=0),"",ROUND($I537/$R537,2))))</f>
        <v/>
      </c>
      <c r="T537" s="24" t="str">
        <f aca="false">IF($N537="","",IFERROR(INDEX(VAT_Codes!$C:$C,MATCH($N537,VAT_Codes!$A:$A,0)),"")&amp;"")</f>
        <v/>
      </c>
      <c r="U537" s="26" t="n">
        <f aca="false">IF(OR($S537="",$T537="",$T537="None"),0,IF($T537="Output",-$S537,$S537))</f>
        <v>0</v>
      </c>
      <c r="V537" s="27" t="n">
        <f aca="false">IF($N537="",0,IFERROR(INDEX(VAT_Codes!$D:$D,MATCH($N537,VAT_Codes!$A:$A,0)),0))</f>
        <v>0</v>
      </c>
      <c r="W537" s="26" t="n">
        <f aca="false">IF($U537=0,0,IF(IFERROR(INDEX(VAT_Codes!$F:$F,MATCH($N537,VAT_Codes!$A:$A,0)),"N")="Y",$U537,IF($L537&lt;&gt;"",ROUND(ABS($L537)/IF(OR($R537="",$R537=0),1,$R537),2)*SIGN($U537),ROUND($U537*$V537,2))))</f>
        <v>0</v>
      </c>
      <c r="X537" s="24" t="str">
        <f aca="false">IF($N537="","",IFERROR(INDEX(VAT_Codes!$H:$H,MATCH($N537,VAT_Codes!$A:$A,0)),"")&amp;"")</f>
        <v/>
      </c>
      <c r="Y537" s="24" t="str">
        <f aca="false">IF($A537="","",(YEAR($A537)-YEAR(Settings!$C$8))*12+MONTH($A537)-MONTH(Settings!$C$8)+1)</f>
        <v/>
      </c>
      <c r="Z537" s="24" t="str">
        <f aca="false">IF(AND($C537="",$I537="",$J537=""),"",IF($N537="","NO VAT CODE",IF($T537="","UNKNOWN VAT CODE",IF($S537="","MISSING FX RATE",IF(OR($A537&lt;Settings!$C$8,$A537&gt;Settings!$C$9),"OUTSIDE PERIOD",IF(AND(IFERROR(INDEX(VAT_Codes!$E:$E,MATCH($N537,VAT_Codes!$A:$A,0)),"ANY")&lt;&gt;"ANY",$P537=""),"MISSING COUNTERPARTY COUNTRY",IF(AND(IFERROR(INDEX(VAT_Codes!$E:$E,MATCH($N537,VAT_Codes!$A:$A,0)),"ANY")&lt;&gt;"ANY",$P537&lt;&gt;IFERROR(INDEX(VAT_Codes!$E:$E,MATCH($N537,VAT_Codes!$A:$A,0)),"ANY")),"REGION MISMATCH","OK")))))))</f>
        <v/>
      </c>
    </row>
    <row r="538" customFormat="false" ht="15" hidden="false" customHeight="false" outlineLevel="0" collapsed="false">
      <c r="M538" s="24" t="str">
        <f aca="false">IF($C538="","",IFERROR(INDEX(Account_Mapping!$C:$C,MATCH($C538&amp;"",Account_Mapping!$A:$A,0))&amp;"",""))</f>
        <v/>
      </c>
      <c r="N538" s="24" t="str">
        <f aca="false">IF($K538&lt;&gt;"",$K538,$M538)</f>
        <v/>
      </c>
      <c r="O538" s="24" t="str">
        <f aca="false">IF($F538="","",IFERROR(INDEX(Counterparties!$C:$C,MATCH($F538&amp;"",Counterparties!$A:$A,0))&amp;"",""))</f>
        <v/>
      </c>
      <c r="P538" s="24" t="str">
        <f aca="false">IF($O538="","",IF($O538="CY","CY",IF(ISNUMBER(MATCH($O538,Lists!$A:$A,0)),"EU","3RD")))</f>
        <v/>
      </c>
      <c r="Q538" s="24" t="str">
        <f aca="false">IF($F538="","N",IFERROR(IF(INDEX(Counterparties!$E:$E,MATCH($F538&amp;"",Counterparties!$A:$A,0))="Y","Y","N"),"N"))</f>
        <v>N</v>
      </c>
      <c r="R538" s="25" t="n">
        <f aca="false">IF(OR($H538="",$H538="EUR"),1,IFERROR(INDEX(FX_Rates!$D:$D,MATCH($H538,FX_Rates!$A:$A,0)),""))</f>
        <v>1</v>
      </c>
      <c r="S538" s="26" t="str">
        <f aca="false">IF(AND($I538="",$J538=""),"",IF($J538&lt;&gt;"",$J538,IF(OR($R538="",$R538=0),"",ROUND($I538/$R538,2))))</f>
        <v/>
      </c>
      <c r="T538" s="24" t="str">
        <f aca="false">IF($N538="","",IFERROR(INDEX(VAT_Codes!$C:$C,MATCH($N538,VAT_Codes!$A:$A,0)),"")&amp;"")</f>
        <v/>
      </c>
      <c r="U538" s="26" t="n">
        <f aca="false">IF(OR($S538="",$T538="",$T538="None"),0,IF($T538="Output",-$S538,$S538))</f>
        <v>0</v>
      </c>
      <c r="V538" s="27" t="n">
        <f aca="false">IF($N538="",0,IFERROR(INDEX(VAT_Codes!$D:$D,MATCH($N538,VAT_Codes!$A:$A,0)),0))</f>
        <v>0</v>
      </c>
      <c r="W538" s="26" t="n">
        <f aca="false">IF($U538=0,0,IF(IFERROR(INDEX(VAT_Codes!$F:$F,MATCH($N538,VAT_Codes!$A:$A,0)),"N")="Y",$U538,IF($L538&lt;&gt;"",ROUND(ABS($L538)/IF(OR($R538="",$R538=0),1,$R538),2)*SIGN($U538),ROUND($U538*$V538,2))))</f>
        <v>0</v>
      </c>
      <c r="X538" s="24" t="str">
        <f aca="false">IF($N538="","",IFERROR(INDEX(VAT_Codes!$H:$H,MATCH($N538,VAT_Codes!$A:$A,0)),"")&amp;"")</f>
        <v/>
      </c>
      <c r="Y538" s="24" t="str">
        <f aca="false">IF($A538="","",(YEAR($A538)-YEAR(Settings!$C$8))*12+MONTH($A538)-MONTH(Settings!$C$8)+1)</f>
        <v/>
      </c>
      <c r="Z538" s="24" t="str">
        <f aca="false">IF(AND($C538="",$I538="",$J538=""),"",IF($N538="","NO VAT CODE",IF($T538="","UNKNOWN VAT CODE",IF($S538="","MISSING FX RATE",IF(OR($A538&lt;Settings!$C$8,$A538&gt;Settings!$C$9),"OUTSIDE PERIOD",IF(AND(IFERROR(INDEX(VAT_Codes!$E:$E,MATCH($N538,VAT_Codes!$A:$A,0)),"ANY")&lt;&gt;"ANY",$P538=""),"MISSING COUNTERPARTY COUNTRY",IF(AND(IFERROR(INDEX(VAT_Codes!$E:$E,MATCH($N538,VAT_Codes!$A:$A,0)),"ANY")&lt;&gt;"ANY",$P538&lt;&gt;IFERROR(INDEX(VAT_Codes!$E:$E,MATCH($N538,VAT_Codes!$A:$A,0)),"ANY")),"REGION MISMATCH","OK")))))))</f>
        <v/>
      </c>
    </row>
    <row r="539" customFormat="false" ht="15" hidden="false" customHeight="false" outlineLevel="0" collapsed="false">
      <c r="M539" s="24" t="str">
        <f aca="false">IF($C539="","",IFERROR(INDEX(Account_Mapping!$C:$C,MATCH($C539&amp;"",Account_Mapping!$A:$A,0))&amp;"",""))</f>
        <v/>
      </c>
      <c r="N539" s="24" t="str">
        <f aca="false">IF($K539&lt;&gt;"",$K539,$M539)</f>
        <v/>
      </c>
      <c r="O539" s="24" t="str">
        <f aca="false">IF($F539="","",IFERROR(INDEX(Counterparties!$C:$C,MATCH($F539&amp;"",Counterparties!$A:$A,0))&amp;"",""))</f>
        <v/>
      </c>
      <c r="P539" s="24" t="str">
        <f aca="false">IF($O539="","",IF($O539="CY","CY",IF(ISNUMBER(MATCH($O539,Lists!$A:$A,0)),"EU","3RD")))</f>
        <v/>
      </c>
      <c r="Q539" s="24" t="str">
        <f aca="false">IF($F539="","N",IFERROR(IF(INDEX(Counterparties!$E:$E,MATCH($F539&amp;"",Counterparties!$A:$A,0))="Y","Y","N"),"N"))</f>
        <v>N</v>
      </c>
      <c r="R539" s="25" t="n">
        <f aca="false">IF(OR($H539="",$H539="EUR"),1,IFERROR(INDEX(FX_Rates!$D:$D,MATCH($H539,FX_Rates!$A:$A,0)),""))</f>
        <v>1</v>
      </c>
      <c r="S539" s="26" t="str">
        <f aca="false">IF(AND($I539="",$J539=""),"",IF($J539&lt;&gt;"",$J539,IF(OR($R539="",$R539=0),"",ROUND($I539/$R539,2))))</f>
        <v/>
      </c>
      <c r="T539" s="24" t="str">
        <f aca="false">IF($N539="","",IFERROR(INDEX(VAT_Codes!$C:$C,MATCH($N539,VAT_Codes!$A:$A,0)),"")&amp;"")</f>
        <v/>
      </c>
      <c r="U539" s="26" t="n">
        <f aca="false">IF(OR($S539="",$T539="",$T539="None"),0,IF($T539="Output",-$S539,$S539))</f>
        <v>0</v>
      </c>
      <c r="V539" s="27" t="n">
        <f aca="false">IF($N539="",0,IFERROR(INDEX(VAT_Codes!$D:$D,MATCH($N539,VAT_Codes!$A:$A,0)),0))</f>
        <v>0</v>
      </c>
      <c r="W539" s="26" t="n">
        <f aca="false">IF($U539=0,0,IF(IFERROR(INDEX(VAT_Codes!$F:$F,MATCH($N539,VAT_Codes!$A:$A,0)),"N")="Y",$U539,IF($L539&lt;&gt;"",ROUND(ABS($L539)/IF(OR($R539="",$R539=0),1,$R539),2)*SIGN($U539),ROUND($U539*$V539,2))))</f>
        <v>0</v>
      </c>
      <c r="X539" s="24" t="str">
        <f aca="false">IF($N539="","",IFERROR(INDEX(VAT_Codes!$H:$H,MATCH($N539,VAT_Codes!$A:$A,0)),"")&amp;"")</f>
        <v/>
      </c>
      <c r="Y539" s="24" t="str">
        <f aca="false">IF($A539="","",(YEAR($A539)-YEAR(Settings!$C$8))*12+MONTH($A539)-MONTH(Settings!$C$8)+1)</f>
        <v/>
      </c>
      <c r="Z539" s="24" t="str">
        <f aca="false">IF(AND($C539="",$I539="",$J539=""),"",IF($N539="","NO VAT CODE",IF($T539="","UNKNOWN VAT CODE",IF($S539="","MISSING FX RATE",IF(OR($A539&lt;Settings!$C$8,$A539&gt;Settings!$C$9),"OUTSIDE PERIOD",IF(AND(IFERROR(INDEX(VAT_Codes!$E:$E,MATCH($N539,VAT_Codes!$A:$A,0)),"ANY")&lt;&gt;"ANY",$P539=""),"MISSING COUNTERPARTY COUNTRY",IF(AND(IFERROR(INDEX(VAT_Codes!$E:$E,MATCH($N539,VAT_Codes!$A:$A,0)),"ANY")&lt;&gt;"ANY",$P539&lt;&gt;IFERROR(INDEX(VAT_Codes!$E:$E,MATCH($N539,VAT_Codes!$A:$A,0)),"ANY")),"REGION MISMATCH","OK")))))))</f>
        <v/>
      </c>
    </row>
    <row r="540" customFormat="false" ht="15" hidden="false" customHeight="false" outlineLevel="0" collapsed="false">
      <c r="M540" s="24" t="str">
        <f aca="false">IF($C540="","",IFERROR(INDEX(Account_Mapping!$C:$C,MATCH($C540&amp;"",Account_Mapping!$A:$A,0))&amp;"",""))</f>
        <v/>
      </c>
      <c r="N540" s="24" t="str">
        <f aca="false">IF($K540&lt;&gt;"",$K540,$M540)</f>
        <v/>
      </c>
      <c r="O540" s="24" t="str">
        <f aca="false">IF($F540="","",IFERROR(INDEX(Counterparties!$C:$C,MATCH($F540&amp;"",Counterparties!$A:$A,0))&amp;"",""))</f>
        <v/>
      </c>
      <c r="P540" s="24" t="str">
        <f aca="false">IF($O540="","",IF($O540="CY","CY",IF(ISNUMBER(MATCH($O540,Lists!$A:$A,0)),"EU","3RD")))</f>
        <v/>
      </c>
      <c r="Q540" s="24" t="str">
        <f aca="false">IF($F540="","N",IFERROR(IF(INDEX(Counterparties!$E:$E,MATCH($F540&amp;"",Counterparties!$A:$A,0))="Y","Y","N"),"N"))</f>
        <v>N</v>
      </c>
      <c r="R540" s="25" t="n">
        <f aca="false">IF(OR($H540="",$H540="EUR"),1,IFERROR(INDEX(FX_Rates!$D:$D,MATCH($H540,FX_Rates!$A:$A,0)),""))</f>
        <v>1</v>
      </c>
      <c r="S540" s="26" t="str">
        <f aca="false">IF(AND($I540="",$J540=""),"",IF($J540&lt;&gt;"",$J540,IF(OR($R540="",$R540=0),"",ROUND($I540/$R540,2))))</f>
        <v/>
      </c>
      <c r="T540" s="24" t="str">
        <f aca="false">IF($N540="","",IFERROR(INDEX(VAT_Codes!$C:$C,MATCH($N540,VAT_Codes!$A:$A,0)),"")&amp;"")</f>
        <v/>
      </c>
      <c r="U540" s="26" t="n">
        <f aca="false">IF(OR($S540="",$T540="",$T540="None"),0,IF($T540="Output",-$S540,$S540))</f>
        <v>0</v>
      </c>
      <c r="V540" s="27" t="n">
        <f aca="false">IF($N540="",0,IFERROR(INDEX(VAT_Codes!$D:$D,MATCH($N540,VAT_Codes!$A:$A,0)),0))</f>
        <v>0</v>
      </c>
      <c r="W540" s="26" t="n">
        <f aca="false">IF($U540=0,0,IF(IFERROR(INDEX(VAT_Codes!$F:$F,MATCH($N540,VAT_Codes!$A:$A,0)),"N")="Y",$U540,IF($L540&lt;&gt;"",ROUND(ABS($L540)/IF(OR($R540="",$R540=0),1,$R540),2)*SIGN($U540),ROUND($U540*$V540,2))))</f>
        <v>0</v>
      </c>
      <c r="X540" s="24" t="str">
        <f aca="false">IF($N540="","",IFERROR(INDEX(VAT_Codes!$H:$H,MATCH($N540,VAT_Codes!$A:$A,0)),"")&amp;"")</f>
        <v/>
      </c>
      <c r="Y540" s="24" t="str">
        <f aca="false">IF($A540="","",(YEAR($A540)-YEAR(Settings!$C$8))*12+MONTH($A540)-MONTH(Settings!$C$8)+1)</f>
        <v/>
      </c>
      <c r="Z540" s="24" t="str">
        <f aca="false">IF(AND($C540="",$I540="",$J540=""),"",IF($N540="","NO VAT CODE",IF($T540="","UNKNOWN VAT CODE",IF($S540="","MISSING FX RATE",IF(OR($A540&lt;Settings!$C$8,$A540&gt;Settings!$C$9),"OUTSIDE PERIOD",IF(AND(IFERROR(INDEX(VAT_Codes!$E:$E,MATCH($N540,VAT_Codes!$A:$A,0)),"ANY")&lt;&gt;"ANY",$P540=""),"MISSING COUNTERPARTY COUNTRY",IF(AND(IFERROR(INDEX(VAT_Codes!$E:$E,MATCH($N540,VAT_Codes!$A:$A,0)),"ANY")&lt;&gt;"ANY",$P540&lt;&gt;IFERROR(INDEX(VAT_Codes!$E:$E,MATCH($N540,VAT_Codes!$A:$A,0)),"ANY")),"REGION MISMATCH","OK")))))))</f>
        <v/>
      </c>
    </row>
    <row r="541" customFormat="false" ht="15" hidden="false" customHeight="false" outlineLevel="0" collapsed="false">
      <c r="M541" s="24" t="str">
        <f aca="false">IF($C541="","",IFERROR(INDEX(Account_Mapping!$C:$C,MATCH($C541&amp;"",Account_Mapping!$A:$A,0))&amp;"",""))</f>
        <v/>
      </c>
      <c r="N541" s="24" t="str">
        <f aca="false">IF($K541&lt;&gt;"",$K541,$M541)</f>
        <v/>
      </c>
      <c r="O541" s="24" t="str">
        <f aca="false">IF($F541="","",IFERROR(INDEX(Counterparties!$C:$C,MATCH($F541&amp;"",Counterparties!$A:$A,0))&amp;"",""))</f>
        <v/>
      </c>
      <c r="P541" s="24" t="str">
        <f aca="false">IF($O541="","",IF($O541="CY","CY",IF(ISNUMBER(MATCH($O541,Lists!$A:$A,0)),"EU","3RD")))</f>
        <v/>
      </c>
      <c r="Q541" s="24" t="str">
        <f aca="false">IF($F541="","N",IFERROR(IF(INDEX(Counterparties!$E:$E,MATCH($F541&amp;"",Counterparties!$A:$A,0))="Y","Y","N"),"N"))</f>
        <v>N</v>
      </c>
      <c r="R541" s="25" t="n">
        <f aca="false">IF(OR($H541="",$H541="EUR"),1,IFERROR(INDEX(FX_Rates!$D:$D,MATCH($H541,FX_Rates!$A:$A,0)),""))</f>
        <v>1</v>
      </c>
      <c r="S541" s="26" t="str">
        <f aca="false">IF(AND($I541="",$J541=""),"",IF($J541&lt;&gt;"",$J541,IF(OR($R541="",$R541=0),"",ROUND($I541/$R541,2))))</f>
        <v/>
      </c>
      <c r="T541" s="24" t="str">
        <f aca="false">IF($N541="","",IFERROR(INDEX(VAT_Codes!$C:$C,MATCH($N541,VAT_Codes!$A:$A,0)),"")&amp;"")</f>
        <v/>
      </c>
      <c r="U541" s="26" t="n">
        <f aca="false">IF(OR($S541="",$T541="",$T541="None"),0,IF($T541="Output",-$S541,$S541))</f>
        <v>0</v>
      </c>
      <c r="V541" s="27" t="n">
        <f aca="false">IF($N541="",0,IFERROR(INDEX(VAT_Codes!$D:$D,MATCH($N541,VAT_Codes!$A:$A,0)),0))</f>
        <v>0</v>
      </c>
      <c r="W541" s="26" t="n">
        <f aca="false">IF($U541=0,0,IF(IFERROR(INDEX(VAT_Codes!$F:$F,MATCH($N541,VAT_Codes!$A:$A,0)),"N")="Y",$U541,IF($L541&lt;&gt;"",ROUND(ABS($L541)/IF(OR($R541="",$R541=0),1,$R541),2)*SIGN($U541),ROUND($U541*$V541,2))))</f>
        <v>0</v>
      </c>
      <c r="X541" s="24" t="str">
        <f aca="false">IF($N541="","",IFERROR(INDEX(VAT_Codes!$H:$H,MATCH($N541,VAT_Codes!$A:$A,0)),"")&amp;"")</f>
        <v/>
      </c>
      <c r="Y541" s="24" t="str">
        <f aca="false">IF($A541="","",(YEAR($A541)-YEAR(Settings!$C$8))*12+MONTH($A541)-MONTH(Settings!$C$8)+1)</f>
        <v/>
      </c>
      <c r="Z541" s="24" t="str">
        <f aca="false">IF(AND($C541="",$I541="",$J541=""),"",IF($N541="","NO VAT CODE",IF($T541="","UNKNOWN VAT CODE",IF($S541="","MISSING FX RATE",IF(OR($A541&lt;Settings!$C$8,$A541&gt;Settings!$C$9),"OUTSIDE PERIOD",IF(AND(IFERROR(INDEX(VAT_Codes!$E:$E,MATCH($N541,VAT_Codes!$A:$A,0)),"ANY")&lt;&gt;"ANY",$P541=""),"MISSING COUNTERPARTY COUNTRY",IF(AND(IFERROR(INDEX(VAT_Codes!$E:$E,MATCH($N541,VAT_Codes!$A:$A,0)),"ANY")&lt;&gt;"ANY",$P541&lt;&gt;IFERROR(INDEX(VAT_Codes!$E:$E,MATCH($N541,VAT_Codes!$A:$A,0)),"ANY")),"REGION MISMATCH","OK")))))))</f>
        <v/>
      </c>
    </row>
    <row r="542" customFormat="false" ht="15" hidden="false" customHeight="false" outlineLevel="0" collapsed="false">
      <c r="M542" s="24" t="str">
        <f aca="false">IF($C542="","",IFERROR(INDEX(Account_Mapping!$C:$C,MATCH($C542&amp;"",Account_Mapping!$A:$A,0))&amp;"",""))</f>
        <v/>
      </c>
      <c r="N542" s="24" t="str">
        <f aca="false">IF($K542&lt;&gt;"",$K542,$M542)</f>
        <v/>
      </c>
      <c r="O542" s="24" t="str">
        <f aca="false">IF($F542="","",IFERROR(INDEX(Counterparties!$C:$C,MATCH($F542&amp;"",Counterparties!$A:$A,0))&amp;"",""))</f>
        <v/>
      </c>
      <c r="P542" s="24" t="str">
        <f aca="false">IF($O542="","",IF($O542="CY","CY",IF(ISNUMBER(MATCH($O542,Lists!$A:$A,0)),"EU","3RD")))</f>
        <v/>
      </c>
      <c r="Q542" s="24" t="str">
        <f aca="false">IF($F542="","N",IFERROR(IF(INDEX(Counterparties!$E:$E,MATCH($F542&amp;"",Counterparties!$A:$A,0))="Y","Y","N"),"N"))</f>
        <v>N</v>
      </c>
      <c r="R542" s="25" t="n">
        <f aca="false">IF(OR($H542="",$H542="EUR"),1,IFERROR(INDEX(FX_Rates!$D:$D,MATCH($H542,FX_Rates!$A:$A,0)),""))</f>
        <v>1</v>
      </c>
      <c r="S542" s="26" t="str">
        <f aca="false">IF(AND($I542="",$J542=""),"",IF($J542&lt;&gt;"",$J542,IF(OR($R542="",$R542=0),"",ROUND($I542/$R542,2))))</f>
        <v/>
      </c>
      <c r="T542" s="24" t="str">
        <f aca="false">IF($N542="","",IFERROR(INDEX(VAT_Codes!$C:$C,MATCH($N542,VAT_Codes!$A:$A,0)),"")&amp;"")</f>
        <v/>
      </c>
      <c r="U542" s="26" t="n">
        <f aca="false">IF(OR($S542="",$T542="",$T542="None"),0,IF($T542="Output",-$S542,$S542))</f>
        <v>0</v>
      </c>
      <c r="V542" s="27" t="n">
        <f aca="false">IF($N542="",0,IFERROR(INDEX(VAT_Codes!$D:$D,MATCH($N542,VAT_Codes!$A:$A,0)),0))</f>
        <v>0</v>
      </c>
      <c r="W542" s="26" t="n">
        <f aca="false">IF($U542=0,0,IF(IFERROR(INDEX(VAT_Codes!$F:$F,MATCH($N542,VAT_Codes!$A:$A,0)),"N")="Y",$U542,IF($L542&lt;&gt;"",ROUND(ABS($L542)/IF(OR($R542="",$R542=0),1,$R542),2)*SIGN($U542),ROUND($U542*$V542,2))))</f>
        <v>0</v>
      </c>
      <c r="X542" s="24" t="str">
        <f aca="false">IF($N542="","",IFERROR(INDEX(VAT_Codes!$H:$H,MATCH($N542,VAT_Codes!$A:$A,0)),"")&amp;"")</f>
        <v/>
      </c>
      <c r="Y542" s="24" t="str">
        <f aca="false">IF($A542="","",(YEAR($A542)-YEAR(Settings!$C$8))*12+MONTH($A542)-MONTH(Settings!$C$8)+1)</f>
        <v/>
      </c>
      <c r="Z542" s="24" t="str">
        <f aca="false">IF(AND($C542="",$I542="",$J542=""),"",IF($N542="","NO VAT CODE",IF($T542="","UNKNOWN VAT CODE",IF($S542="","MISSING FX RATE",IF(OR($A542&lt;Settings!$C$8,$A542&gt;Settings!$C$9),"OUTSIDE PERIOD",IF(AND(IFERROR(INDEX(VAT_Codes!$E:$E,MATCH($N542,VAT_Codes!$A:$A,0)),"ANY")&lt;&gt;"ANY",$P542=""),"MISSING COUNTERPARTY COUNTRY",IF(AND(IFERROR(INDEX(VAT_Codes!$E:$E,MATCH($N542,VAT_Codes!$A:$A,0)),"ANY")&lt;&gt;"ANY",$P542&lt;&gt;IFERROR(INDEX(VAT_Codes!$E:$E,MATCH($N542,VAT_Codes!$A:$A,0)),"ANY")),"REGION MISMATCH","OK")))))))</f>
        <v/>
      </c>
    </row>
    <row r="543" customFormat="false" ht="15" hidden="false" customHeight="false" outlineLevel="0" collapsed="false">
      <c r="M543" s="24" t="str">
        <f aca="false">IF($C543="","",IFERROR(INDEX(Account_Mapping!$C:$C,MATCH($C543&amp;"",Account_Mapping!$A:$A,0))&amp;"",""))</f>
        <v/>
      </c>
      <c r="N543" s="24" t="str">
        <f aca="false">IF($K543&lt;&gt;"",$K543,$M543)</f>
        <v/>
      </c>
      <c r="O543" s="24" t="str">
        <f aca="false">IF($F543="","",IFERROR(INDEX(Counterparties!$C:$C,MATCH($F543&amp;"",Counterparties!$A:$A,0))&amp;"",""))</f>
        <v/>
      </c>
      <c r="P543" s="24" t="str">
        <f aca="false">IF($O543="","",IF($O543="CY","CY",IF(ISNUMBER(MATCH($O543,Lists!$A:$A,0)),"EU","3RD")))</f>
        <v/>
      </c>
      <c r="Q543" s="24" t="str">
        <f aca="false">IF($F543="","N",IFERROR(IF(INDEX(Counterparties!$E:$E,MATCH($F543&amp;"",Counterparties!$A:$A,0))="Y","Y","N"),"N"))</f>
        <v>N</v>
      </c>
      <c r="R543" s="25" t="n">
        <f aca="false">IF(OR($H543="",$H543="EUR"),1,IFERROR(INDEX(FX_Rates!$D:$D,MATCH($H543,FX_Rates!$A:$A,0)),""))</f>
        <v>1</v>
      </c>
      <c r="S543" s="26" t="str">
        <f aca="false">IF(AND($I543="",$J543=""),"",IF($J543&lt;&gt;"",$J543,IF(OR($R543="",$R543=0),"",ROUND($I543/$R543,2))))</f>
        <v/>
      </c>
      <c r="T543" s="24" t="str">
        <f aca="false">IF($N543="","",IFERROR(INDEX(VAT_Codes!$C:$C,MATCH($N543,VAT_Codes!$A:$A,0)),"")&amp;"")</f>
        <v/>
      </c>
      <c r="U543" s="26" t="n">
        <f aca="false">IF(OR($S543="",$T543="",$T543="None"),0,IF($T543="Output",-$S543,$S543))</f>
        <v>0</v>
      </c>
      <c r="V543" s="27" t="n">
        <f aca="false">IF($N543="",0,IFERROR(INDEX(VAT_Codes!$D:$D,MATCH($N543,VAT_Codes!$A:$A,0)),0))</f>
        <v>0</v>
      </c>
      <c r="W543" s="26" t="n">
        <f aca="false">IF($U543=0,0,IF(IFERROR(INDEX(VAT_Codes!$F:$F,MATCH($N543,VAT_Codes!$A:$A,0)),"N")="Y",$U543,IF($L543&lt;&gt;"",ROUND(ABS($L543)/IF(OR($R543="",$R543=0),1,$R543),2)*SIGN($U543),ROUND($U543*$V543,2))))</f>
        <v>0</v>
      </c>
      <c r="X543" s="24" t="str">
        <f aca="false">IF($N543="","",IFERROR(INDEX(VAT_Codes!$H:$H,MATCH($N543,VAT_Codes!$A:$A,0)),"")&amp;"")</f>
        <v/>
      </c>
      <c r="Y543" s="24" t="str">
        <f aca="false">IF($A543="","",(YEAR($A543)-YEAR(Settings!$C$8))*12+MONTH($A543)-MONTH(Settings!$C$8)+1)</f>
        <v/>
      </c>
      <c r="Z543" s="24" t="str">
        <f aca="false">IF(AND($C543="",$I543="",$J543=""),"",IF($N543="","NO VAT CODE",IF($T543="","UNKNOWN VAT CODE",IF($S543="","MISSING FX RATE",IF(OR($A543&lt;Settings!$C$8,$A543&gt;Settings!$C$9),"OUTSIDE PERIOD",IF(AND(IFERROR(INDEX(VAT_Codes!$E:$E,MATCH($N543,VAT_Codes!$A:$A,0)),"ANY")&lt;&gt;"ANY",$P543=""),"MISSING COUNTERPARTY COUNTRY",IF(AND(IFERROR(INDEX(VAT_Codes!$E:$E,MATCH($N543,VAT_Codes!$A:$A,0)),"ANY")&lt;&gt;"ANY",$P543&lt;&gt;IFERROR(INDEX(VAT_Codes!$E:$E,MATCH($N543,VAT_Codes!$A:$A,0)),"ANY")),"REGION MISMATCH","OK")))))))</f>
        <v/>
      </c>
    </row>
    <row r="544" customFormat="false" ht="15" hidden="false" customHeight="false" outlineLevel="0" collapsed="false">
      <c r="M544" s="24" t="str">
        <f aca="false">IF($C544="","",IFERROR(INDEX(Account_Mapping!$C:$C,MATCH($C544&amp;"",Account_Mapping!$A:$A,0))&amp;"",""))</f>
        <v/>
      </c>
      <c r="N544" s="24" t="str">
        <f aca="false">IF($K544&lt;&gt;"",$K544,$M544)</f>
        <v/>
      </c>
      <c r="O544" s="24" t="str">
        <f aca="false">IF($F544="","",IFERROR(INDEX(Counterparties!$C:$C,MATCH($F544&amp;"",Counterparties!$A:$A,0))&amp;"",""))</f>
        <v/>
      </c>
      <c r="P544" s="24" t="str">
        <f aca="false">IF($O544="","",IF($O544="CY","CY",IF(ISNUMBER(MATCH($O544,Lists!$A:$A,0)),"EU","3RD")))</f>
        <v/>
      </c>
      <c r="Q544" s="24" t="str">
        <f aca="false">IF($F544="","N",IFERROR(IF(INDEX(Counterparties!$E:$E,MATCH($F544&amp;"",Counterparties!$A:$A,0))="Y","Y","N"),"N"))</f>
        <v>N</v>
      </c>
      <c r="R544" s="25" t="n">
        <f aca="false">IF(OR($H544="",$H544="EUR"),1,IFERROR(INDEX(FX_Rates!$D:$D,MATCH($H544,FX_Rates!$A:$A,0)),""))</f>
        <v>1</v>
      </c>
      <c r="S544" s="26" t="str">
        <f aca="false">IF(AND($I544="",$J544=""),"",IF($J544&lt;&gt;"",$J544,IF(OR($R544="",$R544=0),"",ROUND($I544/$R544,2))))</f>
        <v/>
      </c>
      <c r="T544" s="24" t="str">
        <f aca="false">IF($N544="","",IFERROR(INDEX(VAT_Codes!$C:$C,MATCH($N544,VAT_Codes!$A:$A,0)),"")&amp;"")</f>
        <v/>
      </c>
      <c r="U544" s="26" t="n">
        <f aca="false">IF(OR($S544="",$T544="",$T544="None"),0,IF($T544="Output",-$S544,$S544))</f>
        <v>0</v>
      </c>
      <c r="V544" s="27" t="n">
        <f aca="false">IF($N544="",0,IFERROR(INDEX(VAT_Codes!$D:$D,MATCH($N544,VAT_Codes!$A:$A,0)),0))</f>
        <v>0</v>
      </c>
      <c r="W544" s="26" t="n">
        <f aca="false">IF($U544=0,0,IF(IFERROR(INDEX(VAT_Codes!$F:$F,MATCH($N544,VAT_Codes!$A:$A,0)),"N")="Y",$U544,IF($L544&lt;&gt;"",ROUND(ABS($L544)/IF(OR($R544="",$R544=0),1,$R544),2)*SIGN($U544),ROUND($U544*$V544,2))))</f>
        <v>0</v>
      </c>
      <c r="X544" s="24" t="str">
        <f aca="false">IF($N544="","",IFERROR(INDEX(VAT_Codes!$H:$H,MATCH($N544,VAT_Codes!$A:$A,0)),"")&amp;"")</f>
        <v/>
      </c>
      <c r="Y544" s="24" t="str">
        <f aca="false">IF($A544="","",(YEAR($A544)-YEAR(Settings!$C$8))*12+MONTH($A544)-MONTH(Settings!$C$8)+1)</f>
        <v/>
      </c>
      <c r="Z544" s="24" t="str">
        <f aca="false">IF(AND($C544="",$I544="",$J544=""),"",IF($N544="","NO VAT CODE",IF($T544="","UNKNOWN VAT CODE",IF($S544="","MISSING FX RATE",IF(OR($A544&lt;Settings!$C$8,$A544&gt;Settings!$C$9),"OUTSIDE PERIOD",IF(AND(IFERROR(INDEX(VAT_Codes!$E:$E,MATCH($N544,VAT_Codes!$A:$A,0)),"ANY")&lt;&gt;"ANY",$P544=""),"MISSING COUNTERPARTY COUNTRY",IF(AND(IFERROR(INDEX(VAT_Codes!$E:$E,MATCH($N544,VAT_Codes!$A:$A,0)),"ANY")&lt;&gt;"ANY",$P544&lt;&gt;IFERROR(INDEX(VAT_Codes!$E:$E,MATCH($N544,VAT_Codes!$A:$A,0)),"ANY")),"REGION MISMATCH","OK")))))))</f>
        <v/>
      </c>
    </row>
    <row r="545" customFormat="false" ht="15" hidden="false" customHeight="false" outlineLevel="0" collapsed="false">
      <c r="M545" s="24" t="str">
        <f aca="false">IF($C545="","",IFERROR(INDEX(Account_Mapping!$C:$C,MATCH($C545&amp;"",Account_Mapping!$A:$A,0))&amp;"",""))</f>
        <v/>
      </c>
      <c r="N545" s="24" t="str">
        <f aca="false">IF($K545&lt;&gt;"",$K545,$M545)</f>
        <v/>
      </c>
      <c r="O545" s="24" t="str">
        <f aca="false">IF($F545="","",IFERROR(INDEX(Counterparties!$C:$C,MATCH($F545&amp;"",Counterparties!$A:$A,0))&amp;"",""))</f>
        <v/>
      </c>
      <c r="P545" s="24" t="str">
        <f aca="false">IF($O545="","",IF($O545="CY","CY",IF(ISNUMBER(MATCH($O545,Lists!$A:$A,0)),"EU","3RD")))</f>
        <v/>
      </c>
      <c r="Q545" s="24" t="str">
        <f aca="false">IF($F545="","N",IFERROR(IF(INDEX(Counterparties!$E:$E,MATCH($F545&amp;"",Counterparties!$A:$A,0))="Y","Y","N"),"N"))</f>
        <v>N</v>
      </c>
      <c r="R545" s="25" t="n">
        <f aca="false">IF(OR($H545="",$H545="EUR"),1,IFERROR(INDEX(FX_Rates!$D:$D,MATCH($H545,FX_Rates!$A:$A,0)),""))</f>
        <v>1</v>
      </c>
      <c r="S545" s="26" t="str">
        <f aca="false">IF(AND($I545="",$J545=""),"",IF($J545&lt;&gt;"",$J545,IF(OR($R545="",$R545=0),"",ROUND($I545/$R545,2))))</f>
        <v/>
      </c>
      <c r="T545" s="24" t="str">
        <f aca="false">IF($N545="","",IFERROR(INDEX(VAT_Codes!$C:$C,MATCH($N545,VAT_Codes!$A:$A,0)),"")&amp;"")</f>
        <v/>
      </c>
      <c r="U545" s="26" t="n">
        <f aca="false">IF(OR($S545="",$T545="",$T545="None"),0,IF($T545="Output",-$S545,$S545))</f>
        <v>0</v>
      </c>
      <c r="V545" s="27" t="n">
        <f aca="false">IF($N545="",0,IFERROR(INDEX(VAT_Codes!$D:$D,MATCH($N545,VAT_Codes!$A:$A,0)),0))</f>
        <v>0</v>
      </c>
      <c r="W545" s="26" t="n">
        <f aca="false">IF($U545=0,0,IF(IFERROR(INDEX(VAT_Codes!$F:$F,MATCH($N545,VAT_Codes!$A:$A,0)),"N")="Y",$U545,IF($L545&lt;&gt;"",ROUND(ABS($L545)/IF(OR($R545="",$R545=0),1,$R545),2)*SIGN($U545),ROUND($U545*$V545,2))))</f>
        <v>0</v>
      </c>
      <c r="X545" s="24" t="str">
        <f aca="false">IF($N545="","",IFERROR(INDEX(VAT_Codes!$H:$H,MATCH($N545,VAT_Codes!$A:$A,0)),"")&amp;"")</f>
        <v/>
      </c>
      <c r="Y545" s="24" t="str">
        <f aca="false">IF($A545="","",(YEAR($A545)-YEAR(Settings!$C$8))*12+MONTH($A545)-MONTH(Settings!$C$8)+1)</f>
        <v/>
      </c>
      <c r="Z545" s="24" t="str">
        <f aca="false">IF(AND($C545="",$I545="",$J545=""),"",IF($N545="","NO VAT CODE",IF($T545="","UNKNOWN VAT CODE",IF($S545="","MISSING FX RATE",IF(OR($A545&lt;Settings!$C$8,$A545&gt;Settings!$C$9),"OUTSIDE PERIOD",IF(AND(IFERROR(INDEX(VAT_Codes!$E:$E,MATCH($N545,VAT_Codes!$A:$A,0)),"ANY")&lt;&gt;"ANY",$P545=""),"MISSING COUNTERPARTY COUNTRY",IF(AND(IFERROR(INDEX(VAT_Codes!$E:$E,MATCH($N545,VAT_Codes!$A:$A,0)),"ANY")&lt;&gt;"ANY",$P545&lt;&gt;IFERROR(INDEX(VAT_Codes!$E:$E,MATCH($N545,VAT_Codes!$A:$A,0)),"ANY")),"REGION MISMATCH","OK")))))))</f>
        <v/>
      </c>
    </row>
    <row r="546" customFormat="false" ht="15" hidden="false" customHeight="false" outlineLevel="0" collapsed="false">
      <c r="M546" s="24" t="str">
        <f aca="false">IF($C546="","",IFERROR(INDEX(Account_Mapping!$C:$C,MATCH($C546&amp;"",Account_Mapping!$A:$A,0))&amp;"",""))</f>
        <v/>
      </c>
      <c r="N546" s="24" t="str">
        <f aca="false">IF($K546&lt;&gt;"",$K546,$M546)</f>
        <v/>
      </c>
      <c r="O546" s="24" t="str">
        <f aca="false">IF($F546="","",IFERROR(INDEX(Counterparties!$C:$C,MATCH($F546&amp;"",Counterparties!$A:$A,0))&amp;"",""))</f>
        <v/>
      </c>
      <c r="P546" s="24" t="str">
        <f aca="false">IF($O546="","",IF($O546="CY","CY",IF(ISNUMBER(MATCH($O546,Lists!$A:$A,0)),"EU","3RD")))</f>
        <v/>
      </c>
      <c r="Q546" s="24" t="str">
        <f aca="false">IF($F546="","N",IFERROR(IF(INDEX(Counterparties!$E:$E,MATCH($F546&amp;"",Counterparties!$A:$A,0))="Y","Y","N"),"N"))</f>
        <v>N</v>
      </c>
      <c r="R546" s="25" t="n">
        <f aca="false">IF(OR($H546="",$H546="EUR"),1,IFERROR(INDEX(FX_Rates!$D:$D,MATCH($H546,FX_Rates!$A:$A,0)),""))</f>
        <v>1</v>
      </c>
      <c r="S546" s="26" t="str">
        <f aca="false">IF(AND($I546="",$J546=""),"",IF($J546&lt;&gt;"",$J546,IF(OR($R546="",$R546=0),"",ROUND($I546/$R546,2))))</f>
        <v/>
      </c>
      <c r="T546" s="24" t="str">
        <f aca="false">IF($N546="","",IFERROR(INDEX(VAT_Codes!$C:$C,MATCH($N546,VAT_Codes!$A:$A,0)),"")&amp;"")</f>
        <v/>
      </c>
      <c r="U546" s="26" t="n">
        <f aca="false">IF(OR($S546="",$T546="",$T546="None"),0,IF($T546="Output",-$S546,$S546))</f>
        <v>0</v>
      </c>
      <c r="V546" s="27" t="n">
        <f aca="false">IF($N546="",0,IFERROR(INDEX(VAT_Codes!$D:$D,MATCH($N546,VAT_Codes!$A:$A,0)),0))</f>
        <v>0</v>
      </c>
      <c r="W546" s="26" t="n">
        <f aca="false">IF($U546=0,0,IF(IFERROR(INDEX(VAT_Codes!$F:$F,MATCH($N546,VAT_Codes!$A:$A,0)),"N")="Y",$U546,IF($L546&lt;&gt;"",ROUND(ABS($L546)/IF(OR($R546="",$R546=0),1,$R546),2)*SIGN($U546),ROUND($U546*$V546,2))))</f>
        <v>0</v>
      </c>
      <c r="X546" s="24" t="str">
        <f aca="false">IF($N546="","",IFERROR(INDEX(VAT_Codes!$H:$H,MATCH($N546,VAT_Codes!$A:$A,0)),"")&amp;"")</f>
        <v/>
      </c>
      <c r="Y546" s="24" t="str">
        <f aca="false">IF($A546="","",(YEAR($A546)-YEAR(Settings!$C$8))*12+MONTH($A546)-MONTH(Settings!$C$8)+1)</f>
        <v/>
      </c>
      <c r="Z546" s="24" t="str">
        <f aca="false">IF(AND($C546="",$I546="",$J546=""),"",IF($N546="","NO VAT CODE",IF($T546="","UNKNOWN VAT CODE",IF($S546="","MISSING FX RATE",IF(OR($A546&lt;Settings!$C$8,$A546&gt;Settings!$C$9),"OUTSIDE PERIOD",IF(AND(IFERROR(INDEX(VAT_Codes!$E:$E,MATCH($N546,VAT_Codes!$A:$A,0)),"ANY")&lt;&gt;"ANY",$P546=""),"MISSING COUNTERPARTY COUNTRY",IF(AND(IFERROR(INDEX(VAT_Codes!$E:$E,MATCH($N546,VAT_Codes!$A:$A,0)),"ANY")&lt;&gt;"ANY",$P546&lt;&gt;IFERROR(INDEX(VAT_Codes!$E:$E,MATCH($N546,VAT_Codes!$A:$A,0)),"ANY")),"REGION MISMATCH","OK")))))))</f>
        <v/>
      </c>
    </row>
    <row r="547" customFormat="false" ht="15" hidden="false" customHeight="false" outlineLevel="0" collapsed="false">
      <c r="M547" s="24" t="str">
        <f aca="false">IF($C547="","",IFERROR(INDEX(Account_Mapping!$C:$C,MATCH($C547&amp;"",Account_Mapping!$A:$A,0))&amp;"",""))</f>
        <v/>
      </c>
      <c r="N547" s="24" t="str">
        <f aca="false">IF($K547&lt;&gt;"",$K547,$M547)</f>
        <v/>
      </c>
      <c r="O547" s="24" t="str">
        <f aca="false">IF($F547="","",IFERROR(INDEX(Counterparties!$C:$C,MATCH($F547&amp;"",Counterparties!$A:$A,0))&amp;"",""))</f>
        <v/>
      </c>
      <c r="P547" s="24" t="str">
        <f aca="false">IF($O547="","",IF($O547="CY","CY",IF(ISNUMBER(MATCH($O547,Lists!$A:$A,0)),"EU","3RD")))</f>
        <v/>
      </c>
      <c r="Q547" s="24" t="str">
        <f aca="false">IF($F547="","N",IFERROR(IF(INDEX(Counterparties!$E:$E,MATCH($F547&amp;"",Counterparties!$A:$A,0))="Y","Y","N"),"N"))</f>
        <v>N</v>
      </c>
      <c r="R547" s="25" t="n">
        <f aca="false">IF(OR($H547="",$H547="EUR"),1,IFERROR(INDEX(FX_Rates!$D:$D,MATCH($H547,FX_Rates!$A:$A,0)),""))</f>
        <v>1</v>
      </c>
      <c r="S547" s="26" t="str">
        <f aca="false">IF(AND($I547="",$J547=""),"",IF($J547&lt;&gt;"",$J547,IF(OR($R547="",$R547=0),"",ROUND($I547/$R547,2))))</f>
        <v/>
      </c>
      <c r="T547" s="24" t="str">
        <f aca="false">IF($N547="","",IFERROR(INDEX(VAT_Codes!$C:$C,MATCH($N547,VAT_Codes!$A:$A,0)),"")&amp;"")</f>
        <v/>
      </c>
      <c r="U547" s="26" t="n">
        <f aca="false">IF(OR($S547="",$T547="",$T547="None"),0,IF($T547="Output",-$S547,$S547))</f>
        <v>0</v>
      </c>
      <c r="V547" s="27" t="n">
        <f aca="false">IF($N547="",0,IFERROR(INDEX(VAT_Codes!$D:$D,MATCH($N547,VAT_Codes!$A:$A,0)),0))</f>
        <v>0</v>
      </c>
      <c r="W547" s="26" t="n">
        <f aca="false">IF($U547=0,0,IF(IFERROR(INDEX(VAT_Codes!$F:$F,MATCH($N547,VAT_Codes!$A:$A,0)),"N")="Y",$U547,IF($L547&lt;&gt;"",ROUND(ABS($L547)/IF(OR($R547="",$R547=0),1,$R547),2)*SIGN($U547),ROUND($U547*$V547,2))))</f>
        <v>0</v>
      </c>
      <c r="X547" s="24" t="str">
        <f aca="false">IF($N547="","",IFERROR(INDEX(VAT_Codes!$H:$H,MATCH($N547,VAT_Codes!$A:$A,0)),"")&amp;"")</f>
        <v/>
      </c>
      <c r="Y547" s="24" t="str">
        <f aca="false">IF($A547="","",(YEAR($A547)-YEAR(Settings!$C$8))*12+MONTH($A547)-MONTH(Settings!$C$8)+1)</f>
        <v/>
      </c>
      <c r="Z547" s="24" t="str">
        <f aca="false">IF(AND($C547="",$I547="",$J547=""),"",IF($N547="","NO VAT CODE",IF($T547="","UNKNOWN VAT CODE",IF($S547="","MISSING FX RATE",IF(OR($A547&lt;Settings!$C$8,$A547&gt;Settings!$C$9),"OUTSIDE PERIOD",IF(AND(IFERROR(INDEX(VAT_Codes!$E:$E,MATCH($N547,VAT_Codes!$A:$A,0)),"ANY")&lt;&gt;"ANY",$P547=""),"MISSING COUNTERPARTY COUNTRY",IF(AND(IFERROR(INDEX(VAT_Codes!$E:$E,MATCH($N547,VAT_Codes!$A:$A,0)),"ANY")&lt;&gt;"ANY",$P547&lt;&gt;IFERROR(INDEX(VAT_Codes!$E:$E,MATCH($N547,VAT_Codes!$A:$A,0)),"ANY")),"REGION MISMATCH","OK")))))))</f>
        <v/>
      </c>
    </row>
    <row r="548" customFormat="false" ht="15" hidden="false" customHeight="false" outlineLevel="0" collapsed="false">
      <c r="M548" s="24" t="str">
        <f aca="false">IF($C548="","",IFERROR(INDEX(Account_Mapping!$C:$C,MATCH($C548&amp;"",Account_Mapping!$A:$A,0))&amp;"",""))</f>
        <v/>
      </c>
      <c r="N548" s="24" t="str">
        <f aca="false">IF($K548&lt;&gt;"",$K548,$M548)</f>
        <v/>
      </c>
      <c r="O548" s="24" t="str">
        <f aca="false">IF($F548="","",IFERROR(INDEX(Counterparties!$C:$C,MATCH($F548&amp;"",Counterparties!$A:$A,0))&amp;"",""))</f>
        <v/>
      </c>
      <c r="P548" s="24" t="str">
        <f aca="false">IF($O548="","",IF($O548="CY","CY",IF(ISNUMBER(MATCH($O548,Lists!$A:$A,0)),"EU","3RD")))</f>
        <v/>
      </c>
      <c r="Q548" s="24" t="str">
        <f aca="false">IF($F548="","N",IFERROR(IF(INDEX(Counterparties!$E:$E,MATCH($F548&amp;"",Counterparties!$A:$A,0))="Y","Y","N"),"N"))</f>
        <v>N</v>
      </c>
      <c r="R548" s="25" t="n">
        <f aca="false">IF(OR($H548="",$H548="EUR"),1,IFERROR(INDEX(FX_Rates!$D:$D,MATCH($H548,FX_Rates!$A:$A,0)),""))</f>
        <v>1</v>
      </c>
      <c r="S548" s="26" t="str">
        <f aca="false">IF(AND($I548="",$J548=""),"",IF($J548&lt;&gt;"",$J548,IF(OR($R548="",$R548=0),"",ROUND($I548/$R548,2))))</f>
        <v/>
      </c>
      <c r="T548" s="24" t="str">
        <f aca="false">IF($N548="","",IFERROR(INDEX(VAT_Codes!$C:$C,MATCH($N548,VAT_Codes!$A:$A,0)),"")&amp;"")</f>
        <v/>
      </c>
      <c r="U548" s="26" t="n">
        <f aca="false">IF(OR($S548="",$T548="",$T548="None"),0,IF($T548="Output",-$S548,$S548))</f>
        <v>0</v>
      </c>
      <c r="V548" s="27" t="n">
        <f aca="false">IF($N548="",0,IFERROR(INDEX(VAT_Codes!$D:$D,MATCH($N548,VAT_Codes!$A:$A,0)),0))</f>
        <v>0</v>
      </c>
      <c r="W548" s="26" t="n">
        <f aca="false">IF($U548=0,0,IF(IFERROR(INDEX(VAT_Codes!$F:$F,MATCH($N548,VAT_Codes!$A:$A,0)),"N")="Y",$U548,IF($L548&lt;&gt;"",ROUND(ABS($L548)/IF(OR($R548="",$R548=0),1,$R548),2)*SIGN($U548),ROUND($U548*$V548,2))))</f>
        <v>0</v>
      </c>
      <c r="X548" s="24" t="str">
        <f aca="false">IF($N548="","",IFERROR(INDEX(VAT_Codes!$H:$H,MATCH($N548,VAT_Codes!$A:$A,0)),"")&amp;"")</f>
        <v/>
      </c>
      <c r="Y548" s="24" t="str">
        <f aca="false">IF($A548="","",(YEAR($A548)-YEAR(Settings!$C$8))*12+MONTH($A548)-MONTH(Settings!$C$8)+1)</f>
        <v/>
      </c>
      <c r="Z548" s="24" t="str">
        <f aca="false">IF(AND($C548="",$I548="",$J548=""),"",IF($N548="","NO VAT CODE",IF($T548="","UNKNOWN VAT CODE",IF($S548="","MISSING FX RATE",IF(OR($A548&lt;Settings!$C$8,$A548&gt;Settings!$C$9),"OUTSIDE PERIOD",IF(AND(IFERROR(INDEX(VAT_Codes!$E:$E,MATCH($N548,VAT_Codes!$A:$A,0)),"ANY")&lt;&gt;"ANY",$P548=""),"MISSING COUNTERPARTY COUNTRY",IF(AND(IFERROR(INDEX(VAT_Codes!$E:$E,MATCH($N548,VAT_Codes!$A:$A,0)),"ANY")&lt;&gt;"ANY",$P548&lt;&gt;IFERROR(INDEX(VAT_Codes!$E:$E,MATCH($N548,VAT_Codes!$A:$A,0)),"ANY")),"REGION MISMATCH","OK")))))))</f>
        <v/>
      </c>
    </row>
    <row r="549" customFormat="false" ht="15" hidden="false" customHeight="false" outlineLevel="0" collapsed="false">
      <c r="M549" s="24" t="str">
        <f aca="false">IF($C549="","",IFERROR(INDEX(Account_Mapping!$C:$C,MATCH($C549&amp;"",Account_Mapping!$A:$A,0))&amp;"",""))</f>
        <v/>
      </c>
      <c r="N549" s="24" t="str">
        <f aca="false">IF($K549&lt;&gt;"",$K549,$M549)</f>
        <v/>
      </c>
      <c r="O549" s="24" t="str">
        <f aca="false">IF($F549="","",IFERROR(INDEX(Counterparties!$C:$C,MATCH($F549&amp;"",Counterparties!$A:$A,0))&amp;"",""))</f>
        <v/>
      </c>
      <c r="P549" s="24" t="str">
        <f aca="false">IF($O549="","",IF($O549="CY","CY",IF(ISNUMBER(MATCH($O549,Lists!$A:$A,0)),"EU","3RD")))</f>
        <v/>
      </c>
      <c r="Q549" s="24" t="str">
        <f aca="false">IF($F549="","N",IFERROR(IF(INDEX(Counterparties!$E:$E,MATCH($F549&amp;"",Counterparties!$A:$A,0))="Y","Y","N"),"N"))</f>
        <v>N</v>
      </c>
      <c r="R549" s="25" t="n">
        <f aca="false">IF(OR($H549="",$H549="EUR"),1,IFERROR(INDEX(FX_Rates!$D:$D,MATCH($H549,FX_Rates!$A:$A,0)),""))</f>
        <v>1</v>
      </c>
      <c r="S549" s="26" t="str">
        <f aca="false">IF(AND($I549="",$J549=""),"",IF($J549&lt;&gt;"",$J549,IF(OR($R549="",$R549=0),"",ROUND($I549/$R549,2))))</f>
        <v/>
      </c>
      <c r="T549" s="24" t="str">
        <f aca="false">IF($N549="","",IFERROR(INDEX(VAT_Codes!$C:$C,MATCH($N549,VAT_Codes!$A:$A,0)),"")&amp;"")</f>
        <v/>
      </c>
      <c r="U549" s="26" t="n">
        <f aca="false">IF(OR($S549="",$T549="",$T549="None"),0,IF($T549="Output",-$S549,$S549))</f>
        <v>0</v>
      </c>
      <c r="V549" s="27" t="n">
        <f aca="false">IF($N549="",0,IFERROR(INDEX(VAT_Codes!$D:$D,MATCH($N549,VAT_Codes!$A:$A,0)),0))</f>
        <v>0</v>
      </c>
      <c r="W549" s="26" t="n">
        <f aca="false">IF($U549=0,0,IF(IFERROR(INDEX(VAT_Codes!$F:$F,MATCH($N549,VAT_Codes!$A:$A,0)),"N")="Y",$U549,IF($L549&lt;&gt;"",ROUND(ABS($L549)/IF(OR($R549="",$R549=0),1,$R549),2)*SIGN($U549),ROUND($U549*$V549,2))))</f>
        <v>0</v>
      </c>
      <c r="X549" s="24" t="str">
        <f aca="false">IF($N549="","",IFERROR(INDEX(VAT_Codes!$H:$H,MATCH($N549,VAT_Codes!$A:$A,0)),"")&amp;"")</f>
        <v/>
      </c>
      <c r="Y549" s="24" t="str">
        <f aca="false">IF($A549="","",(YEAR($A549)-YEAR(Settings!$C$8))*12+MONTH($A549)-MONTH(Settings!$C$8)+1)</f>
        <v/>
      </c>
      <c r="Z549" s="24" t="str">
        <f aca="false">IF(AND($C549="",$I549="",$J549=""),"",IF($N549="","NO VAT CODE",IF($T549="","UNKNOWN VAT CODE",IF($S549="","MISSING FX RATE",IF(OR($A549&lt;Settings!$C$8,$A549&gt;Settings!$C$9),"OUTSIDE PERIOD",IF(AND(IFERROR(INDEX(VAT_Codes!$E:$E,MATCH($N549,VAT_Codes!$A:$A,0)),"ANY")&lt;&gt;"ANY",$P549=""),"MISSING COUNTERPARTY COUNTRY",IF(AND(IFERROR(INDEX(VAT_Codes!$E:$E,MATCH($N549,VAT_Codes!$A:$A,0)),"ANY")&lt;&gt;"ANY",$P549&lt;&gt;IFERROR(INDEX(VAT_Codes!$E:$E,MATCH($N549,VAT_Codes!$A:$A,0)),"ANY")),"REGION MISMATCH","OK")))))))</f>
        <v/>
      </c>
    </row>
    <row r="550" customFormat="false" ht="15" hidden="false" customHeight="false" outlineLevel="0" collapsed="false">
      <c r="M550" s="24" t="str">
        <f aca="false">IF($C550="","",IFERROR(INDEX(Account_Mapping!$C:$C,MATCH($C550&amp;"",Account_Mapping!$A:$A,0))&amp;"",""))</f>
        <v/>
      </c>
      <c r="N550" s="24" t="str">
        <f aca="false">IF($K550&lt;&gt;"",$K550,$M550)</f>
        <v/>
      </c>
      <c r="O550" s="24" t="str">
        <f aca="false">IF($F550="","",IFERROR(INDEX(Counterparties!$C:$C,MATCH($F550&amp;"",Counterparties!$A:$A,0))&amp;"",""))</f>
        <v/>
      </c>
      <c r="P550" s="24" t="str">
        <f aca="false">IF($O550="","",IF($O550="CY","CY",IF(ISNUMBER(MATCH($O550,Lists!$A:$A,0)),"EU","3RD")))</f>
        <v/>
      </c>
      <c r="Q550" s="24" t="str">
        <f aca="false">IF($F550="","N",IFERROR(IF(INDEX(Counterparties!$E:$E,MATCH($F550&amp;"",Counterparties!$A:$A,0))="Y","Y","N"),"N"))</f>
        <v>N</v>
      </c>
      <c r="R550" s="25" t="n">
        <f aca="false">IF(OR($H550="",$H550="EUR"),1,IFERROR(INDEX(FX_Rates!$D:$D,MATCH($H550,FX_Rates!$A:$A,0)),""))</f>
        <v>1</v>
      </c>
      <c r="S550" s="26" t="str">
        <f aca="false">IF(AND($I550="",$J550=""),"",IF($J550&lt;&gt;"",$J550,IF(OR($R550="",$R550=0),"",ROUND($I550/$R550,2))))</f>
        <v/>
      </c>
      <c r="T550" s="24" t="str">
        <f aca="false">IF($N550="","",IFERROR(INDEX(VAT_Codes!$C:$C,MATCH($N550,VAT_Codes!$A:$A,0)),"")&amp;"")</f>
        <v/>
      </c>
      <c r="U550" s="26" t="n">
        <f aca="false">IF(OR($S550="",$T550="",$T550="None"),0,IF($T550="Output",-$S550,$S550))</f>
        <v>0</v>
      </c>
      <c r="V550" s="27" t="n">
        <f aca="false">IF($N550="",0,IFERROR(INDEX(VAT_Codes!$D:$D,MATCH($N550,VAT_Codes!$A:$A,0)),0))</f>
        <v>0</v>
      </c>
      <c r="W550" s="26" t="n">
        <f aca="false">IF($U550=0,0,IF(IFERROR(INDEX(VAT_Codes!$F:$F,MATCH($N550,VAT_Codes!$A:$A,0)),"N")="Y",$U550,IF($L550&lt;&gt;"",ROUND(ABS($L550)/IF(OR($R550="",$R550=0),1,$R550),2)*SIGN($U550),ROUND($U550*$V550,2))))</f>
        <v>0</v>
      </c>
      <c r="X550" s="24" t="str">
        <f aca="false">IF($N550="","",IFERROR(INDEX(VAT_Codes!$H:$H,MATCH($N550,VAT_Codes!$A:$A,0)),"")&amp;"")</f>
        <v/>
      </c>
      <c r="Y550" s="24" t="str">
        <f aca="false">IF($A550="","",(YEAR($A550)-YEAR(Settings!$C$8))*12+MONTH($A550)-MONTH(Settings!$C$8)+1)</f>
        <v/>
      </c>
      <c r="Z550" s="24" t="str">
        <f aca="false">IF(AND($C550="",$I550="",$J550=""),"",IF($N550="","NO VAT CODE",IF($T550="","UNKNOWN VAT CODE",IF($S550="","MISSING FX RATE",IF(OR($A550&lt;Settings!$C$8,$A550&gt;Settings!$C$9),"OUTSIDE PERIOD",IF(AND(IFERROR(INDEX(VAT_Codes!$E:$E,MATCH($N550,VAT_Codes!$A:$A,0)),"ANY")&lt;&gt;"ANY",$P550=""),"MISSING COUNTERPARTY COUNTRY",IF(AND(IFERROR(INDEX(VAT_Codes!$E:$E,MATCH($N550,VAT_Codes!$A:$A,0)),"ANY")&lt;&gt;"ANY",$P550&lt;&gt;IFERROR(INDEX(VAT_Codes!$E:$E,MATCH($N550,VAT_Codes!$A:$A,0)),"ANY")),"REGION MISMATCH","OK")))))))</f>
        <v/>
      </c>
    </row>
    <row r="551" customFormat="false" ht="15" hidden="false" customHeight="false" outlineLevel="0" collapsed="false">
      <c r="M551" s="24" t="str">
        <f aca="false">IF($C551="","",IFERROR(INDEX(Account_Mapping!$C:$C,MATCH($C551&amp;"",Account_Mapping!$A:$A,0))&amp;"",""))</f>
        <v/>
      </c>
      <c r="N551" s="24" t="str">
        <f aca="false">IF($K551&lt;&gt;"",$K551,$M551)</f>
        <v/>
      </c>
      <c r="O551" s="24" t="str">
        <f aca="false">IF($F551="","",IFERROR(INDEX(Counterparties!$C:$C,MATCH($F551&amp;"",Counterparties!$A:$A,0))&amp;"",""))</f>
        <v/>
      </c>
      <c r="P551" s="24" t="str">
        <f aca="false">IF($O551="","",IF($O551="CY","CY",IF(ISNUMBER(MATCH($O551,Lists!$A:$A,0)),"EU","3RD")))</f>
        <v/>
      </c>
      <c r="Q551" s="24" t="str">
        <f aca="false">IF($F551="","N",IFERROR(IF(INDEX(Counterparties!$E:$E,MATCH($F551&amp;"",Counterparties!$A:$A,0))="Y","Y","N"),"N"))</f>
        <v>N</v>
      </c>
      <c r="R551" s="25" t="n">
        <f aca="false">IF(OR($H551="",$H551="EUR"),1,IFERROR(INDEX(FX_Rates!$D:$D,MATCH($H551,FX_Rates!$A:$A,0)),""))</f>
        <v>1</v>
      </c>
      <c r="S551" s="26" t="str">
        <f aca="false">IF(AND($I551="",$J551=""),"",IF($J551&lt;&gt;"",$J551,IF(OR($R551="",$R551=0),"",ROUND($I551/$R551,2))))</f>
        <v/>
      </c>
      <c r="T551" s="24" t="str">
        <f aca="false">IF($N551="","",IFERROR(INDEX(VAT_Codes!$C:$C,MATCH($N551,VAT_Codes!$A:$A,0)),"")&amp;"")</f>
        <v/>
      </c>
      <c r="U551" s="26" t="n">
        <f aca="false">IF(OR($S551="",$T551="",$T551="None"),0,IF($T551="Output",-$S551,$S551))</f>
        <v>0</v>
      </c>
      <c r="V551" s="27" t="n">
        <f aca="false">IF($N551="",0,IFERROR(INDEX(VAT_Codes!$D:$D,MATCH($N551,VAT_Codes!$A:$A,0)),0))</f>
        <v>0</v>
      </c>
      <c r="W551" s="26" t="n">
        <f aca="false">IF($U551=0,0,IF(IFERROR(INDEX(VAT_Codes!$F:$F,MATCH($N551,VAT_Codes!$A:$A,0)),"N")="Y",$U551,IF($L551&lt;&gt;"",ROUND(ABS($L551)/IF(OR($R551="",$R551=0),1,$R551),2)*SIGN($U551),ROUND($U551*$V551,2))))</f>
        <v>0</v>
      </c>
      <c r="X551" s="24" t="str">
        <f aca="false">IF($N551="","",IFERROR(INDEX(VAT_Codes!$H:$H,MATCH($N551,VAT_Codes!$A:$A,0)),"")&amp;"")</f>
        <v/>
      </c>
      <c r="Y551" s="24" t="str">
        <f aca="false">IF($A551="","",(YEAR($A551)-YEAR(Settings!$C$8))*12+MONTH($A551)-MONTH(Settings!$C$8)+1)</f>
        <v/>
      </c>
      <c r="Z551" s="24" t="str">
        <f aca="false">IF(AND($C551="",$I551="",$J551=""),"",IF($N551="","NO VAT CODE",IF($T551="","UNKNOWN VAT CODE",IF($S551="","MISSING FX RATE",IF(OR($A551&lt;Settings!$C$8,$A551&gt;Settings!$C$9),"OUTSIDE PERIOD",IF(AND(IFERROR(INDEX(VAT_Codes!$E:$E,MATCH($N551,VAT_Codes!$A:$A,0)),"ANY")&lt;&gt;"ANY",$P551=""),"MISSING COUNTERPARTY COUNTRY",IF(AND(IFERROR(INDEX(VAT_Codes!$E:$E,MATCH($N551,VAT_Codes!$A:$A,0)),"ANY")&lt;&gt;"ANY",$P551&lt;&gt;IFERROR(INDEX(VAT_Codes!$E:$E,MATCH($N551,VAT_Codes!$A:$A,0)),"ANY")),"REGION MISMATCH","OK")))))))</f>
        <v/>
      </c>
    </row>
    <row r="552" customFormat="false" ht="15" hidden="false" customHeight="false" outlineLevel="0" collapsed="false">
      <c r="M552" s="24" t="str">
        <f aca="false">IF($C552="","",IFERROR(INDEX(Account_Mapping!$C:$C,MATCH($C552&amp;"",Account_Mapping!$A:$A,0))&amp;"",""))</f>
        <v/>
      </c>
      <c r="N552" s="24" t="str">
        <f aca="false">IF($K552&lt;&gt;"",$K552,$M552)</f>
        <v/>
      </c>
      <c r="O552" s="24" t="str">
        <f aca="false">IF($F552="","",IFERROR(INDEX(Counterparties!$C:$C,MATCH($F552&amp;"",Counterparties!$A:$A,0))&amp;"",""))</f>
        <v/>
      </c>
      <c r="P552" s="24" t="str">
        <f aca="false">IF($O552="","",IF($O552="CY","CY",IF(ISNUMBER(MATCH($O552,Lists!$A:$A,0)),"EU","3RD")))</f>
        <v/>
      </c>
      <c r="Q552" s="24" t="str">
        <f aca="false">IF($F552="","N",IFERROR(IF(INDEX(Counterparties!$E:$E,MATCH($F552&amp;"",Counterparties!$A:$A,0))="Y","Y","N"),"N"))</f>
        <v>N</v>
      </c>
      <c r="R552" s="25" t="n">
        <f aca="false">IF(OR($H552="",$H552="EUR"),1,IFERROR(INDEX(FX_Rates!$D:$D,MATCH($H552,FX_Rates!$A:$A,0)),""))</f>
        <v>1</v>
      </c>
      <c r="S552" s="26" t="str">
        <f aca="false">IF(AND($I552="",$J552=""),"",IF($J552&lt;&gt;"",$J552,IF(OR($R552="",$R552=0),"",ROUND($I552/$R552,2))))</f>
        <v/>
      </c>
      <c r="T552" s="24" t="str">
        <f aca="false">IF($N552="","",IFERROR(INDEX(VAT_Codes!$C:$C,MATCH($N552,VAT_Codes!$A:$A,0)),"")&amp;"")</f>
        <v/>
      </c>
      <c r="U552" s="26" t="n">
        <f aca="false">IF(OR($S552="",$T552="",$T552="None"),0,IF($T552="Output",-$S552,$S552))</f>
        <v>0</v>
      </c>
      <c r="V552" s="27" t="n">
        <f aca="false">IF($N552="",0,IFERROR(INDEX(VAT_Codes!$D:$D,MATCH($N552,VAT_Codes!$A:$A,0)),0))</f>
        <v>0</v>
      </c>
      <c r="W552" s="26" t="n">
        <f aca="false">IF($U552=0,0,IF(IFERROR(INDEX(VAT_Codes!$F:$F,MATCH($N552,VAT_Codes!$A:$A,0)),"N")="Y",$U552,IF($L552&lt;&gt;"",ROUND(ABS($L552)/IF(OR($R552="",$R552=0),1,$R552),2)*SIGN($U552),ROUND($U552*$V552,2))))</f>
        <v>0</v>
      </c>
      <c r="X552" s="24" t="str">
        <f aca="false">IF($N552="","",IFERROR(INDEX(VAT_Codes!$H:$H,MATCH($N552,VAT_Codes!$A:$A,0)),"")&amp;"")</f>
        <v/>
      </c>
      <c r="Y552" s="24" t="str">
        <f aca="false">IF($A552="","",(YEAR($A552)-YEAR(Settings!$C$8))*12+MONTH($A552)-MONTH(Settings!$C$8)+1)</f>
        <v/>
      </c>
      <c r="Z552" s="24" t="str">
        <f aca="false">IF(AND($C552="",$I552="",$J552=""),"",IF($N552="","NO VAT CODE",IF($T552="","UNKNOWN VAT CODE",IF($S552="","MISSING FX RATE",IF(OR($A552&lt;Settings!$C$8,$A552&gt;Settings!$C$9),"OUTSIDE PERIOD",IF(AND(IFERROR(INDEX(VAT_Codes!$E:$E,MATCH($N552,VAT_Codes!$A:$A,0)),"ANY")&lt;&gt;"ANY",$P552=""),"MISSING COUNTERPARTY COUNTRY",IF(AND(IFERROR(INDEX(VAT_Codes!$E:$E,MATCH($N552,VAT_Codes!$A:$A,0)),"ANY")&lt;&gt;"ANY",$P552&lt;&gt;IFERROR(INDEX(VAT_Codes!$E:$E,MATCH($N552,VAT_Codes!$A:$A,0)),"ANY")),"REGION MISMATCH","OK")))))))</f>
        <v/>
      </c>
    </row>
    <row r="553" customFormat="false" ht="15" hidden="false" customHeight="false" outlineLevel="0" collapsed="false">
      <c r="M553" s="24" t="str">
        <f aca="false">IF($C553="","",IFERROR(INDEX(Account_Mapping!$C:$C,MATCH($C553&amp;"",Account_Mapping!$A:$A,0))&amp;"",""))</f>
        <v/>
      </c>
      <c r="N553" s="24" t="str">
        <f aca="false">IF($K553&lt;&gt;"",$K553,$M553)</f>
        <v/>
      </c>
      <c r="O553" s="24" t="str">
        <f aca="false">IF($F553="","",IFERROR(INDEX(Counterparties!$C:$C,MATCH($F553&amp;"",Counterparties!$A:$A,0))&amp;"",""))</f>
        <v/>
      </c>
      <c r="P553" s="24" t="str">
        <f aca="false">IF($O553="","",IF($O553="CY","CY",IF(ISNUMBER(MATCH($O553,Lists!$A:$A,0)),"EU","3RD")))</f>
        <v/>
      </c>
      <c r="Q553" s="24" t="str">
        <f aca="false">IF($F553="","N",IFERROR(IF(INDEX(Counterparties!$E:$E,MATCH($F553&amp;"",Counterparties!$A:$A,0))="Y","Y","N"),"N"))</f>
        <v>N</v>
      </c>
      <c r="R553" s="25" t="n">
        <f aca="false">IF(OR($H553="",$H553="EUR"),1,IFERROR(INDEX(FX_Rates!$D:$D,MATCH($H553,FX_Rates!$A:$A,0)),""))</f>
        <v>1</v>
      </c>
      <c r="S553" s="26" t="str">
        <f aca="false">IF(AND($I553="",$J553=""),"",IF($J553&lt;&gt;"",$J553,IF(OR($R553="",$R553=0),"",ROUND($I553/$R553,2))))</f>
        <v/>
      </c>
      <c r="T553" s="24" t="str">
        <f aca="false">IF($N553="","",IFERROR(INDEX(VAT_Codes!$C:$C,MATCH($N553,VAT_Codes!$A:$A,0)),"")&amp;"")</f>
        <v/>
      </c>
      <c r="U553" s="26" t="n">
        <f aca="false">IF(OR($S553="",$T553="",$T553="None"),0,IF($T553="Output",-$S553,$S553))</f>
        <v>0</v>
      </c>
      <c r="V553" s="27" t="n">
        <f aca="false">IF($N553="",0,IFERROR(INDEX(VAT_Codes!$D:$D,MATCH($N553,VAT_Codes!$A:$A,0)),0))</f>
        <v>0</v>
      </c>
      <c r="W553" s="26" t="n">
        <f aca="false">IF($U553=0,0,IF(IFERROR(INDEX(VAT_Codes!$F:$F,MATCH($N553,VAT_Codes!$A:$A,0)),"N")="Y",$U553,IF($L553&lt;&gt;"",ROUND(ABS($L553)/IF(OR($R553="",$R553=0),1,$R553),2)*SIGN($U553),ROUND($U553*$V553,2))))</f>
        <v>0</v>
      </c>
      <c r="X553" s="24" t="str">
        <f aca="false">IF($N553="","",IFERROR(INDEX(VAT_Codes!$H:$H,MATCH($N553,VAT_Codes!$A:$A,0)),"")&amp;"")</f>
        <v/>
      </c>
      <c r="Y553" s="24" t="str">
        <f aca="false">IF($A553="","",(YEAR($A553)-YEAR(Settings!$C$8))*12+MONTH($A553)-MONTH(Settings!$C$8)+1)</f>
        <v/>
      </c>
      <c r="Z553" s="24" t="str">
        <f aca="false">IF(AND($C553="",$I553="",$J553=""),"",IF($N553="","NO VAT CODE",IF($T553="","UNKNOWN VAT CODE",IF($S553="","MISSING FX RATE",IF(OR($A553&lt;Settings!$C$8,$A553&gt;Settings!$C$9),"OUTSIDE PERIOD",IF(AND(IFERROR(INDEX(VAT_Codes!$E:$E,MATCH($N553,VAT_Codes!$A:$A,0)),"ANY")&lt;&gt;"ANY",$P553=""),"MISSING COUNTERPARTY COUNTRY",IF(AND(IFERROR(INDEX(VAT_Codes!$E:$E,MATCH($N553,VAT_Codes!$A:$A,0)),"ANY")&lt;&gt;"ANY",$P553&lt;&gt;IFERROR(INDEX(VAT_Codes!$E:$E,MATCH($N553,VAT_Codes!$A:$A,0)),"ANY")),"REGION MISMATCH","OK")))))))</f>
        <v/>
      </c>
    </row>
    <row r="554" customFormat="false" ht="15" hidden="false" customHeight="false" outlineLevel="0" collapsed="false">
      <c r="M554" s="24" t="str">
        <f aca="false">IF($C554="","",IFERROR(INDEX(Account_Mapping!$C:$C,MATCH($C554&amp;"",Account_Mapping!$A:$A,0))&amp;"",""))</f>
        <v/>
      </c>
      <c r="N554" s="24" t="str">
        <f aca="false">IF($K554&lt;&gt;"",$K554,$M554)</f>
        <v/>
      </c>
      <c r="O554" s="24" t="str">
        <f aca="false">IF($F554="","",IFERROR(INDEX(Counterparties!$C:$C,MATCH($F554&amp;"",Counterparties!$A:$A,0))&amp;"",""))</f>
        <v/>
      </c>
      <c r="P554" s="24" t="str">
        <f aca="false">IF($O554="","",IF($O554="CY","CY",IF(ISNUMBER(MATCH($O554,Lists!$A:$A,0)),"EU","3RD")))</f>
        <v/>
      </c>
      <c r="Q554" s="24" t="str">
        <f aca="false">IF($F554="","N",IFERROR(IF(INDEX(Counterparties!$E:$E,MATCH($F554&amp;"",Counterparties!$A:$A,0))="Y","Y","N"),"N"))</f>
        <v>N</v>
      </c>
      <c r="R554" s="25" t="n">
        <f aca="false">IF(OR($H554="",$H554="EUR"),1,IFERROR(INDEX(FX_Rates!$D:$D,MATCH($H554,FX_Rates!$A:$A,0)),""))</f>
        <v>1</v>
      </c>
      <c r="S554" s="26" t="str">
        <f aca="false">IF(AND($I554="",$J554=""),"",IF($J554&lt;&gt;"",$J554,IF(OR($R554="",$R554=0),"",ROUND($I554/$R554,2))))</f>
        <v/>
      </c>
      <c r="T554" s="24" t="str">
        <f aca="false">IF($N554="","",IFERROR(INDEX(VAT_Codes!$C:$C,MATCH($N554,VAT_Codes!$A:$A,0)),"")&amp;"")</f>
        <v/>
      </c>
      <c r="U554" s="26" t="n">
        <f aca="false">IF(OR($S554="",$T554="",$T554="None"),0,IF($T554="Output",-$S554,$S554))</f>
        <v>0</v>
      </c>
      <c r="V554" s="27" t="n">
        <f aca="false">IF($N554="",0,IFERROR(INDEX(VAT_Codes!$D:$D,MATCH($N554,VAT_Codes!$A:$A,0)),0))</f>
        <v>0</v>
      </c>
      <c r="W554" s="26" t="n">
        <f aca="false">IF($U554=0,0,IF(IFERROR(INDEX(VAT_Codes!$F:$F,MATCH($N554,VAT_Codes!$A:$A,0)),"N")="Y",$U554,IF($L554&lt;&gt;"",ROUND(ABS($L554)/IF(OR($R554="",$R554=0),1,$R554),2)*SIGN($U554),ROUND($U554*$V554,2))))</f>
        <v>0</v>
      </c>
      <c r="X554" s="24" t="str">
        <f aca="false">IF($N554="","",IFERROR(INDEX(VAT_Codes!$H:$H,MATCH($N554,VAT_Codes!$A:$A,0)),"")&amp;"")</f>
        <v/>
      </c>
      <c r="Y554" s="24" t="str">
        <f aca="false">IF($A554="","",(YEAR($A554)-YEAR(Settings!$C$8))*12+MONTH($A554)-MONTH(Settings!$C$8)+1)</f>
        <v/>
      </c>
      <c r="Z554" s="24" t="str">
        <f aca="false">IF(AND($C554="",$I554="",$J554=""),"",IF($N554="","NO VAT CODE",IF($T554="","UNKNOWN VAT CODE",IF($S554="","MISSING FX RATE",IF(OR($A554&lt;Settings!$C$8,$A554&gt;Settings!$C$9),"OUTSIDE PERIOD",IF(AND(IFERROR(INDEX(VAT_Codes!$E:$E,MATCH($N554,VAT_Codes!$A:$A,0)),"ANY")&lt;&gt;"ANY",$P554=""),"MISSING COUNTERPARTY COUNTRY",IF(AND(IFERROR(INDEX(VAT_Codes!$E:$E,MATCH($N554,VAT_Codes!$A:$A,0)),"ANY")&lt;&gt;"ANY",$P554&lt;&gt;IFERROR(INDEX(VAT_Codes!$E:$E,MATCH($N554,VAT_Codes!$A:$A,0)),"ANY")),"REGION MISMATCH","OK")))))))</f>
        <v/>
      </c>
    </row>
    <row r="555" customFormat="false" ht="15" hidden="false" customHeight="false" outlineLevel="0" collapsed="false">
      <c r="M555" s="24" t="str">
        <f aca="false">IF($C555="","",IFERROR(INDEX(Account_Mapping!$C:$C,MATCH($C555&amp;"",Account_Mapping!$A:$A,0))&amp;"",""))</f>
        <v/>
      </c>
      <c r="N555" s="24" t="str">
        <f aca="false">IF($K555&lt;&gt;"",$K555,$M555)</f>
        <v/>
      </c>
      <c r="O555" s="24" t="str">
        <f aca="false">IF($F555="","",IFERROR(INDEX(Counterparties!$C:$C,MATCH($F555&amp;"",Counterparties!$A:$A,0))&amp;"",""))</f>
        <v/>
      </c>
      <c r="P555" s="24" t="str">
        <f aca="false">IF($O555="","",IF($O555="CY","CY",IF(ISNUMBER(MATCH($O555,Lists!$A:$A,0)),"EU","3RD")))</f>
        <v/>
      </c>
      <c r="Q555" s="24" t="str">
        <f aca="false">IF($F555="","N",IFERROR(IF(INDEX(Counterparties!$E:$E,MATCH($F555&amp;"",Counterparties!$A:$A,0))="Y","Y","N"),"N"))</f>
        <v>N</v>
      </c>
      <c r="R555" s="25" t="n">
        <f aca="false">IF(OR($H555="",$H555="EUR"),1,IFERROR(INDEX(FX_Rates!$D:$D,MATCH($H555,FX_Rates!$A:$A,0)),""))</f>
        <v>1</v>
      </c>
      <c r="S555" s="26" t="str">
        <f aca="false">IF(AND($I555="",$J555=""),"",IF($J555&lt;&gt;"",$J555,IF(OR($R555="",$R555=0),"",ROUND($I555/$R555,2))))</f>
        <v/>
      </c>
      <c r="T555" s="24" t="str">
        <f aca="false">IF($N555="","",IFERROR(INDEX(VAT_Codes!$C:$C,MATCH($N555,VAT_Codes!$A:$A,0)),"")&amp;"")</f>
        <v/>
      </c>
      <c r="U555" s="26" t="n">
        <f aca="false">IF(OR($S555="",$T555="",$T555="None"),0,IF($T555="Output",-$S555,$S555))</f>
        <v>0</v>
      </c>
      <c r="V555" s="27" t="n">
        <f aca="false">IF($N555="",0,IFERROR(INDEX(VAT_Codes!$D:$D,MATCH($N555,VAT_Codes!$A:$A,0)),0))</f>
        <v>0</v>
      </c>
      <c r="W555" s="26" t="n">
        <f aca="false">IF($U555=0,0,IF(IFERROR(INDEX(VAT_Codes!$F:$F,MATCH($N555,VAT_Codes!$A:$A,0)),"N")="Y",$U555,IF($L555&lt;&gt;"",ROUND(ABS($L555)/IF(OR($R555="",$R555=0),1,$R555),2)*SIGN($U555),ROUND($U555*$V555,2))))</f>
        <v>0</v>
      </c>
      <c r="X555" s="24" t="str">
        <f aca="false">IF($N555="","",IFERROR(INDEX(VAT_Codes!$H:$H,MATCH($N555,VAT_Codes!$A:$A,0)),"")&amp;"")</f>
        <v/>
      </c>
      <c r="Y555" s="24" t="str">
        <f aca="false">IF($A555="","",(YEAR($A555)-YEAR(Settings!$C$8))*12+MONTH($A555)-MONTH(Settings!$C$8)+1)</f>
        <v/>
      </c>
      <c r="Z555" s="24" t="str">
        <f aca="false">IF(AND($C555="",$I555="",$J555=""),"",IF($N555="","NO VAT CODE",IF($T555="","UNKNOWN VAT CODE",IF($S555="","MISSING FX RATE",IF(OR($A555&lt;Settings!$C$8,$A555&gt;Settings!$C$9),"OUTSIDE PERIOD",IF(AND(IFERROR(INDEX(VAT_Codes!$E:$E,MATCH($N555,VAT_Codes!$A:$A,0)),"ANY")&lt;&gt;"ANY",$P555=""),"MISSING COUNTERPARTY COUNTRY",IF(AND(IFERROR(INDEX(VAT_Codes!$E:$E,MATCH($N555,VAT_Codes!$A:$A,0)),"ANY")&lt;&gt;"ANY",$P555&lt;&gt;IFERROR(INDEX(VAT_Codes!$E:$E,MATCH($N555,VAT_Codes!$A:$A,0)),"ANY")),"REGION MISMATCH","OK")))))))</f>
        <v/>
      </c>
    </row>
    <row r="556" customFormat="false" ht="15" hidden="false" customHeight="false" outlineLevel="0" collapsed="false">
      <c r="M556" s="24" t="str">
        <f aca="false">IF($C556="","",IFERROR(INDEX(Account_Mapping!$C:$C,MATCH($C556&amp;"",Account_Mapping!$A:$A,0))&amp;"",""))</f>
        <v/>
      </c>
      <c r="N556" s="24" t="str">
        <f aca="false">IF($K556&lt;&gt;"",$K556,$M556)</f>
        <v/>
      </c>
      <c r="O556" s="24" t="str">
        <f aca="false">IF($F556="","",IFERROR(INDEX(Counterparties!$C:$C,MATCH($F556&amp;"",Counterparties!$A:$A,0))&amp;"",""))</f>
        <v/>
      </c>
      <c r="P556" s="24" t="str">
        <f aca="false">IF($O556="","",IF($O556="CY","CY",IF(ISNUMBER(MATCH($O556,Lists!$A:$A,0)),"EU","3RD")))</f>
        <v/>
      </c>
      <c r="Q556" s="24" t="str">
        <f aca="false">IF($F556="","N",IFERROR(IF(INDEX(Counterparties!$E:$E,MATCH($F556&amp;"",Counterparties!$A:$A,0))="Y","Y","N"),"N"))</f>
        <v>N</v>
      </c>
      <c r="R556" s="25" t="n">
        <f aca="false">IF(OR($H556="",$H556="EUR"),1,IFERROR(INDEX(FX_Rates!$D:$D,MATCH($H556,FX_Rates!$A:$A,0)),""))</f>
        <v>1</v>
      </c>
      <c r="S556" s="26" t="str">
        <f aca="false">IF(AND($I556="",$J556=""),"",IF($J556&lt;&gt;"",$J556,IF(OR($R556="",$R556=0),"",ROUND($I556/$R556,2))))</f>
        <v/>
      </c>
      <c r="T556" s="24" t="str">
        <f aca="false">IF($N556="","",IFERROR(INDEX(VAT_Codes!$C:$C,MATCH($N556,VAT_Codes!$A:$A,0)),"")&amp;"")</f>
        <v/>
      </c>
      <c r="U556" s="26" t="n">
        <f aca="false">IF(OR($S556="",$T556="",$T556="None"),0,IF($T556="Output",-$S556,$S556))</f>
        <v>0</v>
      </c>
      <c r="V556" s="27" t="n">
        <f aca="false">IF($N556="",0,IFERROR(INDEX(VAT_Codes!$D:$D,MATCH($N556,VAT_Codes!$A:$A,0)),0))</f>
        <v>0</v>
      </c>
      <c r="W556" s="26" t="n">
        <f aca="false">IF($U556=0,0,IF(IFERROR(INDEX(VAT_Codes!$F:$F,MATCH($N556,VAT_Codes!$A:$A,0)),"N")="Y",$U556,IF($L556&lt;&gt;"",ROUND(ABS($L556)/IF(OR($R556="",$R556=0),1,$R556),2)*SIGN($U556),ROUND($U556*$V556,2))))</f>
        <v>0</v>
      </c>
      <c r="X556" s="24" t="str">
        <f aca="false">IF($N556="","",IFERROR(INDEX(VAT_Codes!$H:$H,MATCH($N556,VAT_Codes!$A:$A,0)),"")&amp;"")</f>
        <v/>
      </c>
      <c r="Y556" s="24" t="str">
        <f aca="false">IF($A556="","",(YEAR($A556)-YEAR(Settings!$C$8))*12+MONTH($A556)-MONTH(Settings!$C$8)+1)</f>
        <v/>
      </c>
      <c r="Z556" s="24" t="str">
        <f aca="false">IF(AND($C556="",$I556="",$J556=""),"",IF($N556="","NO VAT CODE",IF($T556="","UNKNOWN VAT CODE",IF($S556="","MISSING FX RATE",IF(OR($A556&lt;Settings!$C$8,$A556&gt;Settings!$C$9),"OUTSIDE PERIOD",IF(AND(IFERROR(INDEX(VAT_Codes!$E:$E,MATCH($N556,VAT_Codes!$A:$A,0)),"ANY")&lt;&gt;"ANY",$P556=""),"MISSING COUNTERPARTY COUNTRY",IF(AND(IFERROR(INDEX(VAT_Codes!$E:$E,MATCH($N556,VAT_Codes!$A:$A,0)),"ANY")&lt;&gt;"ANY",$P556&lt;&gt;IFERROR(INDEX(VAT_Codes!$E:$E,MATCH($N556,VAT_Codes!$A:$A,0)),"ANY")),"REGION MISMATCH","OK")))))))</f>
        <v/>
      </c>
    </row>
    <row r="557" customFormat="false" ht="15" hidden="false" customHeight="false" outlineLevel="0" collapsed="false">
      <c r="M557" s="24" t="str">
        <f aca="false">IF($C557="","",IFERROR(INDEX(Account_Mapping!$C:$C,MATCH($C557&amp;"",Account_Mapping!$A:$A,0))&amp;"",""))</f>
        <v/>
      </c>
      <c r="N557" s="24" t="str">
        <f aca="false">IF($K557&lt;&gt;"",$K557,$M557)</f>
        <v/>
      </c>
      <c r="O557" s="24" t="str">
        <f aca="false">IF($F557="","",IFERROR(INDEX(Counterparties!$C:$C,MATCH($F557&amp;"",Counterparties!$A:$A,0))&amp;"",""))</f>
        <v/>
      </c>
      <c r="P557" s="24" t="str">
        <f aca="false">IF($O557="","",IF($O557="CY","CY",IF(ISNUMBER(MATCH($O557,Lists!$A:$A,0)),"EU","3RD")))</f>
        <v/>
      </c>
      <c r="Q557" s="24" t="str">
        <f aca="false">IF($F557="","N",IFERROR(IF(INDEX(Counterparties!$E:$E,MATCH($F557&amp;"",Counterparties!$A:$A,0))="Y","Y","N"),"N"))</f>
        <v>N</v>
      </c>
      <c r="R557" s="25" t="n">
        <f aca="false">IF(OR($H557="",$H557="EUR"),1,IFERROR(INDEX(FX_Rates!$D:$D,MATCH($H557,FX_Rates!$A:$A,0)),""))</f>
        <v>1</v>
      </c>
      <c r="S557" s="26" t="str">
        <f aca="false">IF(AND($I557="",$J557=""),"",IF($J557&lt;&gt;"",$J557,IF(OR($R557="",$R557=0),"",ROUND($I557/$R557,2))))</f>
        <v/>
      </c>
      <c r="T557" s="24" t="str">
        <f aca="false">IF($N557="","",IFERROR(INDEX(VAT_Codes!$C:$C,MATCH($N557,VAT_Codes!$A:$A,0)),"")&amp;"")</f>
        <v/>
      </c>
      <c r="U557" s="26" t="n">
        <f aca="false">IF(OR($S557="",$T557="",$T557="None"),0,IF($T557="Output",-$S557,$S557))</f>
        <v>0</v>
      </c>
      <c r="V557" s="27" t="n">
        <f aca="false">IF($N557="",0,IFERROR(INDEX(VAT_Codes!$D:$D,MATCH($N557,VAT_Codes!$A:$A,0)),0))</f>
        <v>0</v>
      </c>
      <c r="W557" s="26" t="n">
        <f aca="false">IF($U557=0,0,IF(IFERROR(INDEX(VAT_Codes!$F:$F,MATCH($N557,VAT_Codes!$A:$A,0)),"N")="Y",$U557,IF($L557&lt;&gt;"",ROUND(ABS($L557)/IF(OR($R557="",$R557=0),1,$R557),2)*SIGN($U557),ROUND($U557*$V557,2))))</f>
        <v>0</v>
      </c>
      <c r="X557" s="24" t="str">
        <f aca="false">IF($N557="","",IFERROR(INDEX(VAT_Codes!$H:$H,MATCH($N557,VAT_Codes!$A:$A,0)),"")&amp;"")</f>
        <v/>
      </c>
      <c r="Y557" s="24" t="str">
        <f aca="false">IF($A557="","",(YEAR($A557)-YEAR(Settings!$C$8))*12+MONTH($A557)-MONTH(Settings!$C$8)+1)</f>
        <v/>
      </c>
      <c r="Z557" s="24" t="str">
        <f aca="false">IF(AND($C557="",$I557="",$J557=""),"",IF($N557="","NO VAT CODE",IF($T557="","UNKNOWN VAT CODE",IF($S557="","MISSING FX RATE",IF(OR($A557&lt;Settings!$C$8,$A557&gt;Settings!$C$9),"OUTSIDE PERIOD",IF(AND(IFERROR(INDEX(VAT_Codes!$E:$E,MATCH($N557,VAT_Codes!$A:$A,0)),"ANY")&lt;&gt;"ANY",$P557=""),"MISSING COUNTERPARTY COUNTRY",IF(AND(IFERROR(INDEX(VAT_Codes!$E:$E,MATCH($N557,VAT_Codes!$A:$A,0)),"ANY")&lt;&gt;"ANY",$P557&lt;&gt;IFERROR(INDEX(VAT_Codes!$E:$E,MATCH($N557,VAT_Codes!$A:$A,0)),"ANY")),"REGION MISMATCH","OK")))))))</f>
        <v/>
      </c>
    </row>
    <row r="558" customFormat="false" ht="15" hidden="false" customHeight="false" outlineLevel="0" collapsed="false">
      <c r="M558" s="24" t="str">
        <f aca="false">IF($C558="","",IFERROR(INDEX(Account_Mapping!$C:$C,MATCH($C558&amp;"",Account_Mapping!$A:$A,0))&amp;"",""))</f>
        <v/>
      </c>
      <c r="N558" s="24" t="str">
        <f aca="false">IF($K558&lt;&gt;"",$K558,$M558)</f>
        <v/>
      </c>
      <c r="O558" s="24" t="str">
        <f aca="false">IF($F558="","",IFERROR(INDEX(Counterparties!$C:$C,MATCH($F558&amp;"",Counterparties!$A:$A,0))&amp;"",""))</f>
        <v/>
      </c>
      <c r="P558" s="24" t="str">
        <f aca="false">IF($O558="","",IF($O558="CY","CY",IF(ISNUMBER(MATCH($O558,Lists!$A:$A,0)),"EU","3RD")))</f>
        <v/>
      </c>
      <c r="Q558" s="24" t="str">
        <f aca="false">IF($F558="","N",IFERROR(IF(INDEX(Counterparties!$E:$E,MATCH($F558&amp;"",Counterparties!$A:$A,0))="Y","Y","N"),"N"))</f>
        <v>N</v>
      </c>
      <c r="R558" s="25" t="n">
        <f aca="false">IF(OR($H558="",$H558="EUR"),1,IFERROR(INDEX(FX_Rates!$D:$D,MATCH($H558,FX_Rates!$A:$A,0)),""))</f>
        <v>1</v>
      </c>
      <c r="S558" s="26" t="str">
        <f aca="false">IF(AND($I558="",$J558=""),"",IF($J558&lt;&gt;"",$J558,IF(OR($R558="",$R558=0),"",ROUND($I558/$R558,2))))</f>
        <v/>
      </c>
      <c r="T558" s="24" t="str">
        <f aca="false">IF($N558="","",IFERROR(INDEX(VAT_Codes!$C:$C,MATCH($N558,VAT_Codes!$A:$A,0)),"")&amp;"")</f>
        <v/>
      </c>
      <c r="U558" s="26" t="n">
        <f aca="false">IF(OR($S558="",$T558="",$T558="None"),0,IF($T558="Output",-$S558,$S558))</f>
        <v>0</v>
      </c>
      <c r="V558" s="27" t="n">
        <f aca="false">IF($N558="",0,IFERROR(INDEX(VAT_Codes!$D:$D,MATCH($N558,VAT_Codes!$A:$A,0)),0))</f>
        <v>0</v>
      </c>
      <c r="W558" s="26" t="n">
        <f aca="false">IF($U558=0,0,IF(IFERROR(INDEX(VAT_Codes!$F:$F,MATCH($N558,VAT_Codes!$A:$A,0)),"N")="Y",$U558,IF($L558&lt;&gt;"",ROUND(ABS($L558)/IF(OR($R558="",$R558=0),1,$R558),2)*SIGN($U558),ROUND($U558*$V558,2))))</f>
        <v>0</v>
      </c>
      <c r="X558" s="24" t="str">
        <f aca="false">IF($N558="","",IFERROR(INDEX(VAT_Codes!$H:$H,MATCH($N558,VAT_Codes!$A:$A,0)),"")&amp;"")</f>
        <v/>
      </c>
      <c r="Y558" s="24" t="str">
        <f aca="false">IF($A558="","",(YEAR($A558)-YEAR(Settings!$C$8))*12+MONTH($A558)-MONTH(Settings!$C$8)+1)</f>
        <v/>
      </c>
      <c r="Z558" s="24" t="str">
        <f aca="false">IF(AND($C558="",$I558="",$J558=""),"",IF($N558="","NO VAT CODE",IF($T558="","UNKNOWN VAT CODE",IF($S558="","MISSING FX RATE",IF(OR($A558&lt;Settings!$C$8,$A558&gt;Settings!$C$9),"OUTSIDE PERIOD",IF(AND(IFERROR(INDEX(VAT_Codes!$E:$E,MATCH($N558,VAT_Codes!$A:$A,0)),"ANY")&lt;&gt;"ANY",$P558=""),"MISSING COUNTERPARTY COUNTRY",IF(AND(IFERROR(INDEX(VAT_Codes!$E:$E,MATCH($N558,VAT_Codes!$A:$A,0)),"ANY")&lt;&gt;"ANY",$P558&lt;&gt;IFERROR(INDEX(VAT_Codes!$E:$E,MATCH($N558,VAT_Codes!$A:$A,0)),"ANY")),"REGION MISMATCH","OK")))))))</f>
        <v/>
      </c>
    </row>
    <row r="559" customFormat="false" ht="15" hidden="false" customHeight="false" outlineLevel="0" collapsed="false">
      <c r="M559" s="24" t="str">
        <f aca="false">IF($C559="","",IFERROR(INDEX(Account_Mapping!$C:$C,MATCH($C559&amp;"",Account_Mapping!$A:$A,0))&amp;"",""))</f>
        <v/>
      </c>
      <c r="N559" s="24" t="str">
        <f aca="false">IF($K559&lt;&gt;"",$K559,$M559)</f>
        <v/>
      </c>
      <c r="O559" s="24" t="str">
        <f aca="false">IF($F559="","",IFERROR(INDEX(Counterparties!$C:$C,MATCH($F559&amp;"",Counterparties!$A:$A,0))&amp;"",""))</f>
        <v/>
      </c>
      <c r="P559" s="24" t="str">
        <f aca="false">IF($O559="","",IF($O559="CY","CY",IF(ISNUMBER(MATCH($O559,Lists!$A:$A,0)),"EU","3RD")))</f>
        <v/>
      </c>
      <c r="Q559" s="24" t="str">
        <f aca="false">IF($F559="","N",IFERROR(IF(INDEX(Counterparties!$E:$E,MATCH($F559&amp;"",Counterparties!$A:$A,0))="Y","Y","N"),"N"))</f>
        <v>N</v>
      </c>
      <c r="R559" s="25" t="n">
        <f aca="false">IF(OR($H559="",$H559="EUR"),1,IFERROR(INDEX(FX_Rates!$D:$D,MATCH($H559,FX_Rates!$A:$A,0)),""))</f>
        <v>1</v>
      </c>
      <c r="S559" s="26" t="str">
        <f aca="false">IF(AND($I559="",$J559=""),"",IF($J559&lt;&gt;"",$J559,IF(OR($R559="",$R559=0),"",ROUND($I559/$R559,2))))</f>
        <v/>
      </c>
      <c r="T559" s="24" t="str">
        <f aca="false">IF($N559="","",IFERROR(INDEX(VAT_Codes!$C:$C,MATCH($N559,VAT_Codes!$A:$A,0)),"")&amp;"")</f>
        <v/>
      </c>
      <c r="U559" s="26" t="n">
        <f aca="false">IF(OR($S559="",$T559="",$T559="None"),0,IF($T559="Output",-$S559,$S559))</f>
        <v>0</v>
      </c>
      <c r="V559" s="27" t="n">
        <f aca="false">IF($N559="",0,IFERROR(INDEX(VAT_Codes!$D:$D,MATCH($N559,VAT_Codes!$A:$A,0)),0))</f>
        <v>0</v>
      </c>
      <c r="W559" s="26" t="n">
        <f aca="false">IF($U559=0,0,IF(IFERROR(INDEX(VAT_Codes!$F:$F,MATCH($N559,VAT_Codes!$A:$A,0)),"N")="Y",$U559,IF($L559&lt;&gt;"",ROUND(ABS($L559)/IF(OR($R559="",$R559=0),1,$R559),2)*SIGN($U559),ROUND($U559*$V559,2))))</f>
        <v>0</v>
      </c>
      <c r="X559" s="24" t="str">
        <f aca="false">IF($N559="","",IFERROR(INDEX(VAT_Codes!$H:$H,MATCH($N559,VAT_Codes!$A:$A,0)),"")&amp;"")</f>
        <v/>
      </c>
      <c r="Y559" s="24" t="str">
        <f aca="false">IF($A559="","",(YEAR($A559)-YEAR(Settings!$C$8))*12+MONTH($A559)-MONTH(Settings!$C$8)+1)</f>
        <v/>
      </c>
      <c r="Z559" s="24" t="str">
        <f aca="false">IF(AND($C559="",$I559="",$J559=""),"",IF($N559="","NO VAT CODE",IF($T559="","UNKNOWN VAT CODE",IF($S559="","MISSING FX RATE",IF(OR($A559&lt;Settings!$C$8,$A559&gt;Settings!$C$9),"OUTSIDE PERIOD",IF(AND(IFERROR(INDEX(VAT_Codes!$E:$E,MATCH($N559,VAT_Codes!$A:$A,0)),"ANY")&lt;&gt;"ANY",$P559=""),"MISSING COUNTERPARTY COUNTRY",IF(AND(IFERROR(INDEX(VAT_Codes!$E:$E,MATCH($N559,VAT_Codes!$A:$A,0)),"ANY")&lt;&gt;"ANY",$P559&lt;&gt;IFERROR(INDEX(VAT_Codes!$E:$E,MATCH($N559,VAT_Codes!$A:$A,0)),"ANY")),"REGION MISMATCH","OK")))))))</f>
        <v/>
      </c>
    </row>
    <row r="560" customFormat="false" ht="15" hidden="false" customHeight="false" outlineLevel="0" collapsed="false">
      <c r="M560" s="24" t="str">
        <f aca="false">IF($C560="","",IFERROR(INDEX(Account_Mapping!$C:$C,MATCH($C560&amp;"",Account_Mapping!$A:$A,0))&amp;"",""))</f>
        <v/>
      </c>
      <c r="N560" s="24" t="str">
        <f aca="false">IF($K560&lt;&gt;"",$K560,$M560)</f>
        <v/>
      </c>
      <c r="O560" s="24" t="str">
        <f aca="false">IF($F560="","",IFERROR(INDEX(Counterparties!$C:$C,MATCH($F560&amp;"",Counterparties!$A:$A,0))&amp;"",""))</f>
        <v/>
      </c>
      <c r="P560" s="24" t="str">
        <f aca="false">IF($O560="","",IF($O560="CY","CY",IF(ISNUMBER(MATCH($O560,Lists!$A:$A,0)),"EU","3RD")))</f>
        <v/>
      </c>
      <c r="Q560" s="24" t="str">
        <f aca="false">IF($F560="","N",IFERROR(IF(INDEX(Counterparties!$E:$E,MATCH($F560&amp;"",Counterparties!$A:$A,0))="Y","Y","N"),"N"))</f>
        <v>N</v>
      </c>
      <c r="R560" s="25" t="n">
        <f aca="false">IF(OR($H560="",$H560="EUR"),1,IFERROR(INDEX(FX_Rates!$D:$D,MATCH($H560,FX_Rates!$A:$A,0)),""))</f>
        <v>1</v>
      </c>
      <c r="S560" s="26" t="str">
        <f aca="false">IF(AND($I560="",$J560=""),"",IF($J560&lt;&gt;"",$J560,IF(OR($R560="",$R560=0),"",ROUND($I560/$R560,2))))</f>
        <v/>
      </c>
      <c r="T560" s="24" t="str">
        <f aca="false">IF($N560="","",IFERROR(INDEX(VAT_Codes!$C:$C,MATCH($N560,VAT_Codes!$A:$A,0)),"")&amp;"")</f>
        <v/>
      </c>
      <c r="U560" s="26" t="n">
        <f aca="false">IF(OR($S560="",$T560="",$T560="None"),0,IF($T560="Output",-$S560,$S560))</f>
        <v>0</v>
      </c>
      <c r="V560" s="27" t="n">
        <f aca="false">IF($N560="",0,IFERROR(INDEX(VAT_Codes!$D:$D,MATCH($N560,VAT_Codes!$A:$A,0)),0))</f>
        <v>0</v>
      </c>
      <c r="W560" s="26" t="n">
        <f aca="false">IF($U560=0,0,IF(IFERROR(INDEX(VAT_Codes!$F:$F,MATCH($N560,VAT_Codes!$A:$A,0)),"N")="Y",$U560,IF($L560&lt;&gt;"",ROUND(ABS($L560)/IF(OR($R560="",$R560=0),1,$R560),2)*SIGN($U560),ROUND($U560*$V560,2))))</f>
        <v>0</v>
      </c>
      <c r="X560" s="24" t="str">
        <f aca="false">IF($N560="","",IFERROR(INDEX(VAT_Codes!$H:$H,MATCH($N560,VAT_Codes!$A:$A,0)),"")&amp;"")</f>
        <v/>
      </c>
      <c r="Y560" s="24" t="str">
        <f aca="false">IF($A560="","",(YEAR($A560)-YEAR(Settings!$C$8))*12+MONTH($A560)-MONTH(Settings!$C$8)+1)</f>
        <v/>
      </c>
      <c r="Z560" s="24" t="str">
        <f aca="false">IF(AND($C560="",$I560="",$J560=""),"",IF($N560="","NO VAT CODE",IF($T560="","UNKNOWN VAT CODE",IF($S560="","MISSING FX RATE",IF(OR($A560&lt;Settings!$C$8,$A560&gt;Settings!$C$9),"OUTSIDE PERIOD",IF(AND(IFERROR(INDEX(VAT_Codes!$E:$E,MATCH($N560,VAT_Codes!$A:$A,0)),"ANY")&lt;&gt;"ANY",$P560=""),"MISSING COUNTERPARTY COUNTRY",IF(AND(IFERROR(INDEX(VAT_Codes!$E:$E,MATCH($N560,VAT_Codes!$A:$A,0)),"ANY")&lt;&gt;"ANY",$P560&lt;&gt;IFERROR(INDEX(VAT_Codes!$E:$E,MATCH($N560,VAT_Codes!$A:$A,0)),"ANY")),"REGION MISMATCH","OK")))))))</f>
        <v/>
      </c>
    </row>
    <row r="561" customFormat="false" ht="15" hidden="false" customHeight="false" outlineLevel="0" collapsed="false">
      <c r="M561" s="24" t="str">
        <f aca="false">IF($C561="","",IFERROR(INDEX(Account_Mapping!$C:$C,MATCH($C561&amp;"",Account_Mapping!$A:$A,0))&amp;"",""))</f>
        <v/>
      </c>
      <c r="N561" s="24" t="str">
        <f aca="false">IF($K561&lt;&gt;"",$K561,$M561)</f>
        <v/>
      </c>
      <c r="O561" s="24" t="str">
        <f aca="false">IF($F561="","",IFERROR(INDEX(Counterparties!$C:$C,MATCH($F561&amp;"",Counterparties!$A:$A,0))&amp;"",""))</f>
        <v/>
      </c>
      <c r="P561" s="24" t="str">
        <f aca="false">IF($O561="","",IF($O561="CY","CY",IF(ISNUMBER(MATCH($O561,Lists!$A:$A,0)),"EU","3RD")))</f>
        <v/>
      </c>
      <c r="Q561" s="24" t="str">
        <f aca="false">IF($F561="","N",IFERROR(IF(INDEX(Counterparties!$E:$E,MATCH($F561&amp;"",Counterparties!$A:$A,0))="Y","Y","N"),"N"))</f>
        <v>N</v>
      </c>
      <c r="R561" s="25" t="n">
        <f aca="false">IF(OR($H561="",$H561="EUR"),1,IFERROR(INDEX(FX_Rates!$D:$D,MATCH($H561,FX_Rates!$A:$A,0)),""))</f>
        <v>1</v>
      </c>
      <c r="S561" s="26" t="str">
        <f aca="false">IF(AND($I561="",$J561=""),"",IF($J561&lt;&gt;"",$J561,IF(OR($R561="",$R561=0),"",ROUND($I561/$R561,2))))</f>
        <v/>
      </c>
      <c r="T561" s="24" t="str">
        <f aca="false">IF($N561="","",IFERROR(INDEX(VAT_Codes!$C:$C,MATCH($N561,VAT_Codes!$A:$A,0)),"")&amp;"")</f>
        <v/>
      </c>
      <c r="U561" s="26" t="n">
        <f aca="false">IF(OR($S561="",$T561="",$T561="None"),0,IF($T561="Output",-$S561,$S561))</f>
        <v>0</v>
      </c>
      <c r="V561" s="27" t="n">
        <f aca="false">IF($N561="",0,IFERROR(INDEX(VAT_Codes!$D:$D,MATCH($N561,VAT_Codes!$A:$A,0)),0))</f>
        <v>0</v>
      </c>
      <c r="W561" s="26" t="n">
        <f aca="false">IF($U561=0,0,IF(IFERROR(INDEX(VAT_Codes!$F:$F,MATCH($N561,VAT_Codes!$A:$A,0)),"N")="Y",$U561,IF($L561&lt;&gt;"",ROUND(ABS($L561)/IF(OR($R561="",$R561=0),1,$R561),2)*SIGN($U561),ROUND($U561*$V561,2))))</f>
        <v>0</v>
      </c>
      <c r="X561" s="24" t="str">
        <f aca="false">IF($N561="","",IFERROR(INDEX(VAT_Codes!$H:$H,MATCH($N561,VAT_Codes!$A:$A,0)),"")&amp;"")</f>
        <v/>
      </c>
      <c r="Y561" s="24" t="str">
        <f aca="false">IF($A561="","",(YEAR($A561)-YEAR(Settings!$C$8))*12+MONTH($A561)-MONTH(Settings!$C$8)+1)</f>
        <v/>
      </c>
      <c r="Z561" s="24" t="str">
        <f aca="false">IF(AND($C561="",$I561="",$J561=""),"",IF($N561="","NO VAT CODE",IF($T561="","UNKNOWN VAT CODE",IF($S561="","MISSING FX RATE",IF(OR($A561&lt;Settings!$C$8,$A561&gt;Settings!$C$9),"OUTSIDE PERIOD",IF(AND(IFERROR(INDEX(VAT_Codes!$E:$E,MATCH($N561,VAT_Codes!$A:$A,0)),"ANY")&lt;&gt;"ANY",$P561=""),"MISSING COUNTERPARTY COUNTRY",IF(AND(IFERROR(INDEX(VAT_Codes!$E:$E,MATCH($N561,VAT_Codes!$A:$A,0)),"ANY")&lt;&gt;"ANY",$P561&lt;&gt;IFERROR(INDEX(VAT_Codes!$E:$E,MATCH($N561,VAT_Codes!$A:$A,0)),"ANY")),"REGION MISMATCH","OK")))))))</f>
        <v/>
      </c>
    </row>
    <row r="562" customFormat="false" ht="15" hidden="false" customHeight="false" outlineLevel="0" collapsed="false">
      <c r="M562" s="24" t="str">
        <f aca="false">IF($C562="","",IFERROR(INDEX(Account_Mapping!$C:$C,MATCH($C562&amp;"",Account_Mapping!$A:$A,0))&amp;"",""))</f>
        <v/>
      </c>
      <c r="N562" s="24" t="str">
        <f aca="false">IF($K562&lt;&gt;"",$K562,$M562)</f>
        <v/>
      </c>
      <c r="O562" s="24" t="str">
        <f aca="false">IF($F562="","",IFERROR(INDEX(Counterparties!$C:$C,MATCH($F562&amp;"",Counterparties!$A:$A,0))&amp;"",""))</f>
        <v/>
      </c>
      <c r="P562" s="24" t="str">
        <f aca="false">IF($O562="","",IF($O562="CY","CY",IF(ISNUMBER(MATCH($O562,Lists!$A:$A,0)),"EU","3RD")))</f>
        <v/>
      </c>
      <c r="Q562" s="24" t="str">
        <f aca="false">IF($F562="","N",IFERROR(IF(INDEX(Counterparties!$E:$E,MATCH($F562&amp;"",Counterparties!$A:$A,0))="Y","Y","N"),"N"))</f>
        <v>N</v>
      </c>
      <c r="R562" s="25" t="n">
        <f aca="false">IF(OR($H562="",$H562="EUR"),1,IFERROR(INDEX(FX_Rates!$D:$D,MATCH($H562,FX_Rates!$A:$A,0)),""))</f>
        <v>1</v>
      </c>
      <c r="S562" s="26" t="str">
        <f aca="false">IF(AND($I562="",$J562=""),"",IF($J562&lt;&gt;"",$J562,IF(OR($R562="",$R562=0),"",ROUND($I562/$R562,2))))</f>
        <v/>
      </c>
      <c r="T562" s="24" t="str">
        <f aca="false">IF($N562="","",IFERROR(INDEX(VAT_Codes!$C:$C,MATCH($N562,VAT_Codes!$A:$A,0)),"")&amp;"")</f>
        <v/>
      </c>
      <c r="U562" s="26" t="n">
        <f aca="false">IF(OR($S562="",$T562="",$T562="None"),0,IF($T562="Output",-$S562,$S562))</f>
        <v>0</v>
      </c>
      <c r="V562" s="27" t="n">
        <f aca="false">IF($N562="",0,IFERROR(INDEX(VAT_Codes!$D:$D,MATCH($N562,VAT_Codes!$A:$A,0)),0))</f>
        <v>0</v>
      </c>
      <c r="W562" s="26" t="n">
        <f aca="false">IF($U562=0,0,IF(IFERROR(INDEX(VAT_Codes!$F:$F,MATCH($N562,VAT_Codes!$A:$A,0)),"N")="Y",$U562,IF($L562&lt;&gt;"",ROUND(ABS($L562)/IF(OR($R562="",$R562=0),1,$R562),2)*SIGN($U562),ROUND($U562*$V562,2))))</f>
        <v>0</v>
      </c>
      <c r="X562" s="24" t="str">
        <f aca="false">IF($N562="","",IFERROR(INDEX(VAT_Codes!$H:$H,MATCH($N562,VAT_Codes!$A:$A,0)),"")&amp;"")</f>
        <v/>
      </c>
      <c r="Y562" s="24" t="str">
        <f aca="false">IF($A562="","",(YEAR($A562)-YEAR(Settings!$C$8))*12+MONTH($A562)-MONTH(Settings!$C$8)+1)</f>
        <v/>
      </c>
      <c r="Z562" s="24" t="str">
        <f aca="false">IF(AND($C562="",$I562="",$J562=""),"",IF($N562="","NO VAT CODE",IF($T562="","UNKNOWN VAT CODE",IF($S562="","MISSING FX RATE",IF(OR($A562&lt;Settings!$C$8,$A562&gt;Settings!$C$9),"OUTSIDE PERIOD",IF(AND(IFERROR(INDEX(VAT_Codes!$E:$E,MATCH($N562,VAT_Codes!$A:$A,0)),"ANY")&lt;&gt;"ANY",$P562=""),"MISSING COUNTERPARTY COUNTRY",IF(AND(IFERROR(INDEX(VAT_Codes!$E:$E,MATCH($N562,VAT_Codes!$A:$A,0)),"ANY")&lt;&gt;"ANY",$P562&lt;&gt;IFERROR(INDEX(VAT_Codes!$E:$E,MATCH($N562,VAT_Codes!$A:$A,0)),"ANY")),"REGION MISMATCH","OK")))))))</f>
        <v/>
      </c>
    </row>
    <row r="563" customFormat="false" ht="15" hidden="false" customHeight="false" outlineLevel="0" collapsed="false">
      <c r="M563" s="24" t="str">
        <f aca="false">IF($C563="","",IFERROR(INDEX(Account_Mapping!$C:$C,MATCH($C563&amp;"",Account_Mapping!$A:$A,0))&amp;"",""))</f>
        <v/>
      </c>
      <c r="N563" s="24" t="str">
        <f aca="false">IF($K563&lt;&gt;"",$K563,$M563)</f>
        <v/>
      </c>
      <c r="O563" s="24" t="str">
        <f aca="false">IF($F563="","",IFERROR(INDEX(Counterparties!$C:$C,MATCH($F563&amp;"",Counterparties!$A:$A,0))&amp;"",""))</f>
        <v/>
      </c>
      <c r="P563" s="24" t="str">
        <f aca="false">IF($O563="","",IF($O563="CY","CY",IF(ISNUMBER(MATCH($O563,Lists!$A:$A,0)),"EU","3RD")))</f>
        <v/>
      </c>
      <c r="Q563" s="24" t="str">
        <f aca="false">IF($F563="","N",IFERROR(IF(INDEX(Counterparties!$E:$E,MATCH($F563&amp;"",Counterparties!$A:$A,0))="Y","Y","N"),"N"))</f>
        <v>N</v>
      </c>
      <c r="R563" s="25" t="n">
        <f aca="false">IF(OR($H563="",$H563="EUR"),1,IFERROR(INDEX(FX_Rates!$D:$D,MATCH($H563,FX_Rates!$A:$A,0)),""))</f>
        <v>1</v>
      </c>
      <c r="S563" s="26" t="str">
        <f aca="false">IF(AND($I563="",$J563=""),"",IF($J563&lt;&gt;"",$J563,IF(OR($R563="",$R563=0),"",ROUND($I563/$R563,2))))</f>
        <v/>
      </c>
      <c r="T563" s="24" t="str">
        <f aca="false">IF($N563="","",IFERROR(INDEX(VAT_Codes!$C:$C,MATCH($N563,VAT_Codes!$A:$A,0)),"")&amp;"")</f>
        <v/>
      </c>
      <c r="U563" s="26" t="n">
        <f aca="false">IF(OR($S563="",$T563="",$T563="None"),0,IF($T563="Output",-$S563,$S563))</f>
        <v>0</v>
      </c>
      <c r="V563" s="27" t="n">
        <f aca="false">IF($N563="",0,IFERROR(INDEX(VAT_Codes!$D:$D,MATCH($N563,VAT_Codes!$A:$A,0)),0))</f>
        <v>0</v>
      </c>
      <c r="W563" s="26" t="n">
        <f aca="false">IF($U563=0,0,IF(IFERROR(INDEX(VAT_Codes!$F:$F,MATCH($N563,VAT_Codes!$A:$A,0)),"N")="Y",$U563,IF($L563&lt;&gt;"",ROUND(ABS($L563)/IF(OR($R563="",$R563=0),1,$R563),2)*SIGN($U563),ROUND($U563*$V563,2))))</f>
        <v>0</v>
      </c>
      <c r="X563" s="24" t="str">
        <f aca="false">IF($N563="","",IFERROR(INDEX(VAT_Codes!$H:$H,MATCH($N563,VAT_Codes!$A:$A,0)),"")&amp;"")</f>
        <v/>
      </c>
      <c r="Y563" s="24" t="str">
        <f aca="false">IF($A563="","",(YEAR($A563)-YEAR(Settings!$C$8))*12+MONTH($A563)-MONTH(Settings!$C$8)+1)</f>
        <v/>
      </c>
      <c r="Z563" s="24" t="str">
        <f aca="false">IF(AND($C563="",$I563="",$J563=""),"",IF($N563="","NO VAT CODE",IF($T563="","UNKNOWN VAT CODE",IF($S563="","MISSING FX RATE",IF(OR($A563&lt;Settings!$C$8,$A563&gt;Settings!$C$9),"OUTSIDE PERIOD",IF(AND(IFERROR(INDEX(VAT_Codes!$E:$E,MATCH($N563,VAT_Codes!$A:$A,0)),"ANY")&lt;&gt;"ANY",$P563=""),"MISSING COUNTERPARTY COUNTRY",IF(AND(IFERROR(INDEX(VAT_Codes!$E:$E,MATCH($N563,VAT_Codes!$A:$A,0)),"ANY")&lt;&gt;"ANY",$P563&lt;&gt;IFERROR(INDEX(VAT_Codes!$E:$E,MATCH($N563,VAT_Codes!$A:$A,0)),"ANY")),"REGION MISMATCH","OK")))))))</f>
        <v/>
      </c>
    </row>
    <row r="564" customFormat="false" ht="15" hidden="false" customHeight="false" outlineLevel="0" collapsed="false">
      <c r="M564" s="24" t="str">
        <f aca="false">IF($C564="","",IFERROR(INDEX(Account_Mapping!$C:$C,MATCH($C564&amp;"",Account_Mapping!$A:$A,0))&amp;"",""))</f>
        <v/>
      </c>
      <c r="N564" s="24" t="str">
        <f aca="false">IF($K564&lt;&gt;"",$K564,$M564)</f>
        <v/>
      </c>
      <c r="O564" s="24" t="str">
        <f aca="false">IF($F564="","",IFERROR(INDEX(Counterparties!$C:$C,MATCH($F564&amp;"",Counterparties!$A:$A,0))&amp;"",""))</f>
        <v/>
      </c>
      <c r="P564" s="24" t="str">
        <f aca="false">IF($O564="","",IF($O564="CY","CY",IF(ISNUMBER(MATCH($O564,Lists!$A:$A,0)),"EU","3RD")))</f>
        <v/>
      </c>
      <c r="Q564" s="24" t="str">
        <f aca="false">IF($F564="","N",IFERROR(IF(INDEX(Counterparties!$E:$E,MATCH($F564&amp;"",Counterparties!$A:$A,0))="Y","Y","N"),"N"))</f>
        <v>N</v>
      </c>
      <c r="R564" s="25" t="n">
        <f aca="false">IF(OR($H564="",$H564="EUR"),1,IFERROR(INDEX(FX_Rates!$D:$D,MATCH($H564,FX_Rates!$A:$A,0)),""))</f>
        <v>1</v>
      </c>
      <c r="S564" s="26" t="str">
        <f aca="false">IF(AND($I564="",$J564=""),"",IF($J564&lt;&gt;"",$J564,IF(OR($R564="",$R564=0),"",ROUND($I564/$R564,2))))</f>
        <v/>
      </c>
      <c r="T564" s="24" t="str">
        <f aca="false">IF($N564="","",IFERROR(INDEX(VAT_Codes!$C:$C,MATCH($N564,VAT_Codes!$A:$A,0)),"")&amp;"")</f>
        <v/>
      </c>
      <c r="U564" s="26" t="n">
        <f aca="false">IF(OR($S564="",$T564="",$T564="None"),0,IF($T564="Output",-$S564,$S564))</f>
        <v>0</v>
      </c>
      <c r="V564" s="27" t="n">
        <f aca="false">IF($N564="",0,IFERROR(INDEX(VAT_Codes!$D:$D,MATCH($N564,VAT_Codes!$A:$A,0)),0))</f>
        <v>0</v>
      </c>
      <c r="W564" s="26" t="n">
        <f aca="false">IF($U564=0,0,IF(IFERROR(INDEX(VAT_Codes!$F:$F,MATCH($N564,VAT_Codes!$A:$A,0)),"N")="Y",$U564,IF($L564&lt;&gt;"",ROUND(ABS($L564)/IF(OR($R564="",$R564=0),1,$R564),2)*SIGN($U564),ROUND($U564*$V564,2))))</f>
        <v>0</v>
      </c>
      <c r="X564" s="24" t="str">
        <f aca="false">IF($N564="","",IFERROR(INDEX(VAT_Codes!$H:$H,MATCH($N564,VAT_Codes!$A:$A,0)),"")&amp;"")</f>
        <v/>
      </c>
      <c r="Y564" s="24" t="str">
        <f aca="false">IF($A564="","",(YEAR($A564)-YEAR(Settings!$C$8))*12+MONTH($A564)-MONTH(Settings!$C$8)+1)</f>
        <v/>
      </c>
      <c r="Z564" s="24" t="str">
        <f aca="false">IF(AND($C564="",$I564="",$J564=""),"",IF($N564="","NO VAT CODE",IF($T564="","UNKNOWN VAT CODE",IF($S564="","MISSING FX RATE",IF(OR($A564&lt;Settings!$C$8,$A564&gt;Settings!$C$9),"OUTSIDE PERIOD",IF(AND(IFERROR(INDEX(VAT_Codes!$E:$E,MATCH($N564,VAT_Codes!$A:$A,0)),"ANY")&lt;&gt;"ANY",$P564=""),"MISSING COUNTERPARTY COUNTRY",IF(AND(IFERROR(INDEX(VAT_Codes!$E:$E,MATCH($N564,VAT_Codes!$A:$A,0)),"ANY")&lt;&gt;"ANY",$P564&lt;&gt;IFERROR(INDEX(VAT_Codes!$E:$E,MATCH($N564,VAT_Codes!$A:$A,0)),"ANY")),"REGION MISMATCH","OK")))))))</f>
        <v/>
      </c>
    </row>
    <row r="565" customFormat="false" ht="15" hidden="false" customHeight="false" outlineLevel="0" collapsed="false">
      <c r="M565" s="24" t="str">
        <f aca="false">IF($C565="","",IFERROR(INDEX(Account_Mapping!$C:$C,MATCH($C565&amp;"",Account_Mapping!$A:$A,0))&amp;"",""))</f>
        <v/>
      </c>
      <c r="N565" s="24" t="str">
        <f aca="false">IF($K565&lt;&gt;"",$K565,$M565)</f>
        <v/>
      </c>
      <c r="O565" s="24" t="str">
        <f aca="false">IF($F565="","",IFERROR(INDEX(Counterparties!$C:$C,MATCH($F565&amp;"",Counterparties!$A:$A,0))&amp;"",""))</f>
        <v/>
      </c>
      <c r="P565" s="24" t="str">
        <f aca="false">IF($O565="","",IF($O565="CY","CY",IF(ISNUMBER(MATCH($O565,Lists!$A:$A,0)),"EU","3RD")))</f>
        <v/>
      </c>
      <c r="Q565" s="24" t="str">
        <f aca="false">IF($F565="","N",IFERROR(IF(INDEX(Counterparties!$E:$E,MATCH($F565&amp;"",Counterparties!$A:$A,0))="Y","Y","N"),"N"))</f>
        <v>N</v>
      </c>
      <c r="R565" s="25" t="n">
        <f aca="false">IF(OR($H565="",$H565="EUR"),1,IFERROR(INDEX(FX_Rates!$D:$D,MATCH($H565,FX_Rates!$A:$A,0)),""))</f>
        <v>1</v>
      </c>
      <c r="S565" s="26" t="str">
        <f aca="false">IF(AND($I565="",$J565=""),"",IF($J565&lt;&gt;"",$J565,IF(OR($R565="",$R565=0),"",ROUND($I565/$R565,2))))</f>
        <v/>
      </c>
      <c r="T565" s="24" t="str">
        <f aca="false">IF($N565="","",IFERROR(INDEX(VAT_Codes!$C:$C,MATCH($N565,VAT_Codes!$A:$A,0)),"")&amp;"")</f>
        <v/>
      </c>
      <c r="U565" s="26" t="n">
        <f aca="false">IF(OR($S565="",$T565="",$T565="None"),0,IF($T565="Output",-$S565,$S565))</f>
        <v>0</v>
      </c>
      <c r="V565" s="27" t="n">
        <f aca="false">IF($N565="",0,IFERROR(INDEX(VAT_Codes!$D:$D,MATCH($N565,VAT_Codes!$A:$A,0)),0))</f>
        <v>0</v>
      </c>
      <c r="W565" s="26" t="n">
        <f aca="false">IF($U565=0,0,IF(IFERROR(INDEX(VAT_Codes!$F:$F,MATCH($N565,VAT_Codes!$A:$A,0)),"N")="Y",$U565,IF($L565&lt;&gt;"",ROUND(ABS($L565)/IF(OR($R565="",$R565=0),1,$R565),2)*SIGN($U565),ROUND($U565*$V565,2))))</f>
        <v>0</v>
      </c>
      <c r="X565" s="24" t="str">
        <f aca="false">IF($N565="","",IFERROR(INDEX(VAT_Codes!$H:$H,MATCH($N565,VAT_Codes!$A:$A,0)),"")&amp;"")</f>
        <v/>
      </c>
      <c r="Y565" s="24" t="str">
        <f aca="false">IF($A565="","",(YEAR($A565)-YEAR(Settings!$C$8))*12+MONTH($A565)-MONTH(Settings!$C$8)+1)</f>
        <v/>
      </c>
      <c r="Z565" s="24" t="str">
        <f aca="false">IF(AND($C565="",$I565="",$J565=""),"",IF($N565="","NO VAT CODE",IF($T565="","UNKNOWN VAT CODE",IF($S565="","MISSING FX RATE",IF(OR($A565&lt;Settings!$C$8,$A565&gt;Settings!$C$9),"OUTSIDE PERIOD",IF(AND(IFERROR(INDEX(VAT_Codes!$E:$E,MATCH($N565,VAT_Codes!$A:$A,0)),"ANY")&lt;&gt;"ANY",$P565=""),"MISSING COUNTERPARTY COUNTRY",IF(AND(IFERROR(INDEX(VAT_Codes!$E:$E,MATCH($N565,VAT_Codes!$A:$A,0)),"ANY")&lt;&gt;"ANY",$P565&lt;&gt;IFERROR(INDEX(VAT_Codes!$E:$E,MATCH($N565,VAT_Codes!$A:$A,0)),"ANY")),"REGION MISMATCH","OK")))))))</f>
        <v/>
      </c>
    </row>
    <row r="566" customFormat="false" ht="15" hidden="false" customHeight="false" outlineLevel="0" collapsed="false">
      <c r="M566" s="24" t="str">
        <f aca="false">IF($C566="","",IFERROR(INDEX(Account_Mapping!$C:$C,MATCH($C566&amp;"",Account_Mapping!$A:$A,0))&amp;"",""))</f>
        <v/>
      </c>
      <c r="N566" s="24" t="str">
        <f aca="false">IF($K566&lt;&gt;"",$K566,$M566)</f>
        <v/>
      </c>
      <c r="O566" s="24" t="str">
        <f aca="false">IF($F566="","",IFERROR(INDEX(Counterparties!$C:$C,MATCH($F566&amp;"",Counterparties!$A:$A,0))&amp;"",""))</f>
        <v/>
      </c>
      <c r="P566" s="24" t="str">
        <f aca="false">IF($O566="","",IF($O566="CY","CY",IF(ISNUMBER(MATCH($O566,Lists!$A:$A,0)),"EU","3RD")))</f>
        <v/>
      </c>
      <c r="Q566" s="24" t="str">
        <f aca="false">IF($F566="","N",IFERROR(IF(INDEX(Counterparties!$E:$E,MATCH($F566&amp;"",Counterparties!$A:$A,0))="Y","Y","N"),"N"))</f>
        <v>N</v>
      </c>
      <c r="R566" s="25" t="n">
        <f aca="false">IF(OR($H566="",$H566="EUR"),1,IFERROR(INDEX(FX_Rates!$D:$D,MATCH($H566,FX_Rates!$A:$A,0)),""))</f>
        <v>1</v>
      </c>
      <c r="S566" s="26" t="str">
        <f aca="false">IF(AND($I566="",$J566=""),"",IF($J566&lt;&gt;"",$J566,IF(OR($R566="",$R566=0),"",ROUND($I566/$R566,2))))</f>
        <v/>
      </c>
      <c r="T566" s="24" t="str">
        <f aca="false">IF($N566="","",IFERROR(INDEX(VAT_Codes!$C:$C,MATCH($N566,VAT_Codes!$A:$A,0)),"")&amp;"")</f>
        <v/>
      </c>
      <c r="U566" s="26" t="n">
        <f aca="false">IF(OR($S566="",$T566="",$T566="None"),0,IF($T566="Output",-$S566,$S566))</f>
        <v>0</v>
      </c>
      <c r="V566" s="27" t="n">
        <f aca="false">IF($N566="",0,IFERROR(INDEX(VAT_Codes!$D:$D,MATCH($N566,VAT_Codes!$A:$A,0)),0))</f>
        <v>0</v>
      </c>
      <c r="W566" s="26" t="n">
        <f aca="false">IF($U566=0,0,IF(IFERROR(INDEX(VAT_Codes!$F:$F,MATCH($N566,VAT_Codes!$A:$A,0)),"N")="Y",$U566,IF($L566&lt;&gt;"",ROUND(ABS($L566)/IF(OR($R566="",$R566=0),1,$R566),2)*SIGN($U566),ROUND($U566*$V566,2))))</f>
        <v>0</v>
      </c>
      <c r="X566" s="24" t="str">
        <f aca="false">IF($N566="","",IFERROR(INDEX(VAT_Codes!$H:$H,MATCH($N566,VAT_Codes!$A:$A,0)),"")&amp;"")</f>
        <v/>
      </c>
      <c r="Y566" s="24" t="str">
        <f aca="false">IF($A566="","",(YEAR($A566)-YEAR(Settings!$C$8))*12+MONTH($A566)-MONTH(Settings!$C$8)+1)</f>
        <v/>
      </c>
      <c r="Z566" s="24" t="str">
        <f aca="false">IF(AND($C566="",$I566="",$J566=""),"",IF($N566="","NO VAT CODE",IF($T566="","UNKNOWN VAT CODE",IF($S566="","MISSING FX RATE",IF(OR($A566&lt;Settings!$C$8,$A566&gt;Settings!$C$9),"OUTSIDE PERIOD",IF(AND(IFERROR(INDEX(VAT_Codes!$E:$E,MATCH($N566,VAT_Codes!$A:$A,0)),"ANY")&lt;&gt;"ANY",$P566=""),"MISSING COUNTERPARTY COUNTRY",IF(AND(IFERROR(INDEX(VAT_Codes!$E:$E,MATCH($N566,VAT_Codes!$A:$A,0)),"ANY")&lt;&gt;"ANY",$P566&lt;&gt;IFERROR(INDEX(VAT_Codes!$E:$E,MATCH($N566,VAT_Codes!$A:$A,0)),"ANY")),"REGION MISMATCH","OK")))))))</f>
        <v/>
      </c>
    </row>
    <row r="567" customFormat="false" ht="15" hidden="false" customHeight="false" outlineLevel="0" collapsed="false">
      <c r="M567" s="24" t="str">
        <f aca="false">IF($C567="","",IFERROR(INDEX(Account_Mapping!$C:$C,MATCH($C567&amp;"",Account_Mapping!$A:$A,0))&amp;"",""))</f>
        <v/>
      </c>
      <c r="N567" s="24" t="str">
        <f aca="false">IF($K567&lt;&gt;"",$K567,$M567)</f>
        <v/>
      </c>
      <c r="O567" s="24" t="str">
        <f aca="false">IF($F567="","",IFERROR(INDEX(Counterparties!$C:$C,MATCH($F567&amp;"",Counterparties!$A:$A,0))&amp;"",""))</f>
        <v/>
      </c>
      <c r="P567" s="24" t="str">
        <f aca="false">IF($O567="","",IF($O567="CY","CY",IF(ISNUMBER(MATCH($O567,Lists!$A:$A,0)),"EU","3RD")))</f>
        <v/>
      </c>
      <c r="Q567" s="24" t="str">
        <f aca="false">IF($F567="","N",IFERROR(IF(INDEX(Counterparties!$E:$E,MATCH($F567&amp;"",Counterparties!$A:$A,0))="Y","Y","N"),"N"))</f>
        <v>N</v>
      </c>
      <c r="R567" s="25" t="n">
        <f aca="false">IF(OR($H567="",$H567="EUR"),1,IFERROR(INDEX(FX_Rates!$D:$D,MATCH($H567,FX_Rates!$A:$A,0)),""))</f>
        <v>1</v>
      </c>
      <c r="S567" s="26" t="str">
        <f aca="false">IF(AND($I567="",$J567=""),"",IF($J567&lt;&gt;"",$J567,IF(OR($R567="",$R567=0),"",ROUND($I567/$R567,2))))</f>
        <v/>
      </c>
      <c r="T567" s="24" t="str">
        <f aca="false">IF($N567="","",IFERROR(INDEX(VAT_Codes!$C:$C,MATCH($N567,VAT_Codes!$A:$A,0)),"")&amp;"")</f>
        <v/>
      </c>
      <c r="U567" s="26" t="n">
        <f aca="false">IF(OR($S567="",$T567="",$T567="None"),0,IF($T567="Output",-$S567,$S567))</f>
        <v>0</v>
      </c>
      <c r="V567" s="27" t="n">
        <f aca="false">IF($N567="",0,IFERROR(INDEX(VAT_Codes!$D:$D,MATCH($N567,VAT_Codes!$A:$A,0)),0))</f>
        <v>0</v>
      </c>
      <c r="W567" s="26" t="n">
        <f aca="false">IF($U567=0,0,IF(IFERROR(INDEX(VAT_Codes!$F:$F,MATCH($N567,VAT_Codes!$A:$A,0)),"N")="Y",$U567,IF($L567&lt;&gt;"",ROUND(ABS($L567)/IF(OR($R567="",$R567=0),1,$R567),2)*SIGN($U567),ROUND($U567*$V567,2))))</f>
        <v>0</v>
      </c>
      <c r="X567" s="24" t="str">
        <f aca="false">IF($N567="","",IFERROR(INDEX(VAT_Codes!$H:$H,MATCH($N567,VAT_Codes!$A:$A,0)),"")&amp;"")</f>
        <v/>
      </c>
      <c r="Y567" s="24" t="str">
        <f aca="false">IF($A567="","",(YEAR($A567)-YEAR(Settings!$C$8))*12+MONTH($A567)-MONTH(Settings!$C$8)+1)</f>
        <v/>
      </c>
      <c r="Z567" s="24" t="str">
        <f aca="false">IF(AND($C567="",$I567="",$J567=""),"",IF($N567="","NO VAT CODE",IF($T567="","UNKNOWN VAT CODE",IF($S567="","MISSING FX RATE",IF(OR($A567&lt;Settings!$C$8,$A567&gt;Settings!$C$9),"OUTSIDE PERIOD",IF(AND(IFERROR(INDEX(VAT_Codes!$E:$E,MATCH($N567,VAT_Codes!$A:$A,0)),"ANY")&lt;&gt;"ANY",$P567=""),"MISSING COUNTERPARTY COUNTRY",IF(AND(IFERROR(INDEX(VAT_Codes!$E:$E,MATCH($N567,VAT_Codes!$A:$A,0)),"ANY")&lt;&gt;"ANY",$P567&lt;&gt;IFERROR(INDEX(VAT_Codes!$E:$E,MATCH($N567,VAT_Codes!$A:$A,0)),"ANY")),"REGION MISMATCH","OK")))))))</f>
        <v/>
      </c>
    </row>
    <row r="568" customFormat="false" ht="15" hidden="false" customHeight="false" outlineLevel="0" collapsed="false">
      <c r="M568" s="24" t="str">
        <f aca="false">IF($C568="","",IFERROR(INDEX(Account_Mapping!$C:$C,MATCH($C568&amp;"",Account_Mapping!$A:$A,0))&amp;"",""))</f>
        <v/>
      </c>
      <c r="N568" s="24" t="str">
        <f aca="false">IF($K568&lt;&gt;"",$K568,$M568)</f>
        <v/>
      </c>
      <c r="O568" s="24" t="str">
        <f aca="false">IF($F568="","",IFERROR(INDEX(Counterparties!$C:$C,MATCH($F568&amp;"",Counterparties!$A:$A,0))&amp;"",""))</f>
        <v/>
      </c>
      <c r="P568" s="24" t="str">
        <f aca="false">IF($O568="","",IF($O568="CY","CY",IF(ISNUMBER(MATCH($O568,Lists!$A:$A,0)),"EU","3RD")))</f>
        <v/>
      </c>
      <c r="Q568" s="24" t="str">
        <f aca="false">IF($F568="","N",IFERROR(IF(INDEX(Counterparties!$E:$E,MATCH($F568&amp;"",Counterparties!$A:$A,0))="Y","Y","N"),"N"))</f>
        <v>N</v>
      </c>
      <c r="R568" s="25" t="n">
        <f aca="false">IF(OR($H568="",$H568="EUR"),1,IFERROR(INDEX(FX_Rates!$D:$D,MATCH($H568,FX_Rates!$A:$A,0)),""))</f>
        <v>1</v>
      </c>
      <c r="S568" s="26" t="str">
        <f aca="false">IF(AND($I568="",$J568=""),"",IF($J568&lt;&gt;"",$J568,IF(OR($R568="",$R568=0),"",ROUND($I568/$R568,2))))</f>
        <v/>
      </c>
      <c r="T568" s="24" t="str">
        <f aca="false">IF($N568="","",IFERROR(INDEX(VAT_Codes!$C:$C,MATCH($N568,VAT_Codes!$A:$A,0)),"")&amp;"")</f>
        <v/>
      </c>
      <c r="U568" s="26" t="n">
        <f aca="false">IF(OR($S568="",$T568="",$T568="None"),0,IF($T568="Output",-$S568,$S568))</f>
        <v>0</v>
      </c>
      <c r="V568" s="27" t="n">
        <f aca="false">IF($N568="",0,IFERROR(INDEX(VAT_Codes!$D:$D,MATCH($N568,VAT_Codes!$A:$A,0)),0))</f>
        <v>0</v>
      </c>
      <c r="W568" s="26" t="n">
        <f aca="false">IF($U568=0,0,IF(IFERROR(INDEX(VAT_Codes!$F:$F,MATCH($N568,VAT_Codes!$A:$A,0)),"N")="Y",$U568,IF($L568&lt;&gt;"",ROUND(ABS($L568)/IF(OR($R568="",$R568=0),1,$R568),2)*SIGN($U568),ROUND($U568*$V568,2))))</f>
        <v>0</v>
      </c>
      <c r="X568" s="24" t="str">
        <f aca="false">IF($N568="","",IFERROR(INDEX(VAT_Codes!$H:$H,MATCH($N568,VAT_Codes!$A:$A,0)),"")&amp;"")</f>
        <v/>
      </c>
      <c r="Y568" s="24" t="str">
        <f aca="false">IF($A568="","",(YEAR($A568)-YEAR(Settings!$C$8))*12+MONTH($A568)-MONTH(Settings!$C$8)+1)</f>
        <v/>
      </c>
      <c r="Z568" s="24" t="str">
        <f aca="false">IF(AND($C568="",$I568="",$J568=""),"",IF($N568="","NO VAT CODE",IF($T568="","UNKNOWN VAT CODE",IF($S568="","MISSING FX RATE",IF(OR($A568&lt;Settings!$C$8,$A568&gt;Settings!$C$9),"OUTSIDE PERIOD",IF(AND(IFERROR(INDEX(VAT_Codes!$E:$E,MATCH($N568,VAT_Codes!$A:$A,0)),"ANY")&lt;&gt;"ANY",$P568=""),"MISSING COUNTERPARTY COUNTRY",IF(AND(IFERROR(INDEX(VAT_Codes!$E:$E,MATCH($N568,VAT_Codes!$A:$A,0)),"ANY")&lt;&gt;"ANY",$P568&lt;&gt;IFERROR(INDEX(VAT_Codes!$E:$E,MATCH($N568,VAT_Codes!$A:$A,0)),"ANY")),"REGION MISMATCH","OK")))))))</f>
        <v/>
      </c>
    </row>
    <row r="569" customFormat="false" ht="15" hidden="false" customHeight="false" outlineLevel="0" collapsed="false">
      <c r="M569" s="24" t="str">
        <f aca="false">IF($C569="","",IFERROR(INDEX(Account_Mapping!$C:$C,MATCH($C569&amp;"",Account_Mapping!$A:$A,0))&amp;"",""))</f>
        <v/>
      </c>
      <c r="N569" s="24" t="str">
        <f aca="false">IF($K569&lt;&gt;"",$K569,$M569)</f>
        <v/>
      </c>
      <c r="O569" s="24" t="str">
        <f aca="false">IF($F569="","",IFERROR(INDEX(Counterparties!$C:$C,MATCH($F569&amp;"",Counterparties!$A:$A,0))&amp;"",""))</f>
        <v/>
      </c>
      <c r="P569" s="24" t="str">
        <f aca="false">IF($O569="","",IF($O569="CY","CY",IF(ISNUMBER(MATCH($O569,Lists!$A:$A,0)),"EU","3RD")))</f>
        <v/>
      </c>
      <c r="Q569" s="24" t="str">
        <f aca="false">IF($F569="","N",IFERROR(IF(INDEX(Counterparties!$E:$E,MATCH($F569&amp;"",Counterparties!$A:$A,0))="Y","Y","N"),"N"))</f>
        <v>N</v>
      </c>
      <c r="R569" s="25" t="n">
        <f aca="false">IF(OR($H569="",$H569="EUR"),1,IFERROR(INDEX(FX_Rates!$D:$D,MATCH($H569,FX_Rates!$A:$A,0)),""))</f>
        <v>1</v>
      </c>
      <c r="S569" s="26" t="str">
        <f aca="false">IF(AND($I569="",$J569=""),"",IF($J569&lt;&gt;"",$J569,IF(OR($R569="",$R569=0),"",ROUND($I569/$R569,2))))</f>
        <v/>
      </c>
      <c r="T569" s="24" t="str">
        <f aca="false">IF($N569="","",IFERROR(INDEX(VAT_Codes!$C:$C,MATCH($N569,VAT_Codes!$A:$A,0)),"")&amp;"")</f>
        <v/>
      </c>
      <c r="U569" s="26" t="n">
        <f aca="false">IF(OR($S569="",$T569="",$T569="None"),0,IF($T569="Output",-$S569,$S569))</f>
        <v>0</v>
      </c>
      <c r="V569" s="27" t="n">
        <f aca="false">IF($N569="",0,IFERROR(INDEX(VAT_Codes!$D:$D,MATCH($N569,VAT_Codes!$A:$A,0)),0))</f>
        <v>0</v>
      </c>
      <c r="W569" s="26" t="n">
        <f aca="false">IF($U569=0,0,IF(IFERROR(INDEX(VAT_Codes!$F:$F,MATCH($N569,VAT_Codes!$A:$A,0)),"N")="Y",$U569,IF($L569&lt;&gt;"",ROUND(ABS($L569)/IF(OR($R569="",$R569=0),1,$R569),2)*SIGN($U569),ROUND($U569*$V569,2))))</f>
        <v>0</v>
      </c>
      <c r="X569" s="24" t="str">
        <f aca="false">IF($N569="","",IFERROR(INDEX(VAT_Codes!$H:$H,MATCH($N569,VAT_Codes!$A:$A,0)),"")&amp;"")</f>
        <v/>
      </c>
      <c r="Y569" s="24" t="str">
        <f aca="false">IF($A569="","",(YEAR($A569)-YEAR(Settings!$C$8))*12+MONTH($A569)-MONTH(Settings!$C$8)+1)</f>
        <v/>
      </c>
      <c r="Z569" s="24" t="str">
        <f aca="false">IF(AND($C569="",$I569="",$J569=""),"",IF($N569="","NO VAT CODE",IF($T569="","UNKNOWN VAT CODE",IF($S569="","MISSING FX RATE",IF(OR($A569&lt;Settings!$C$8,$A569&gt;Settings!$C$9),"OUTSIDE PERIOD",IF(AND(IFERROR(INDEX(VAT_Codes!$E:$E,MATCH($N569,VAT_Codes!$A:$A,0)),"ANY")&lt;&gt;"ANY",$P569=""),"MISSING COUNTERPARTY COUNTRY",IF(AND(IFERROR(INDEX(VAT_Codes!$E:$E,MATCH($N569,VAT_Codes!$A:$A,0)),"ANY")&lt;&gt;"ANY",$P569&lt;&gt;IFERROR(INDEX(VAT_Codes!$E:$E,MATCH($N569,VAT_Codes!$A:$A,0)),"ANY")),"REGION MISMATCH","OK")))))))</f>
        <v/>
      </c>
    </row>
    <row r="570" customFormat="false" ht="15" hidden="false" customHeight="false" outlineLevel="0" collapsed="false">
      <c r="M570" s="24" t="str">
        <f aca="false">IF($C570="","",IFERROR(INDEX(Account_Mapping!$C:$C,MATCH($C570&amp;"",Account_Mapping!$A:$A,0))&amp;"",""))</f>
        <v/>
      </c>
      <c r="N570" s="24" t="str">
        <f aca="false">IF($K570&lt;&gt;"",$K570,$M570)</f>
        <v/>
      </c>
      <c r="O570" s="24" t="str">
        <f aca="false">IF($F570="","",IFERROR(INDEX(Counterparties!$C:$C,MATCH($F570&amp;"",Counterparties!$A:$A,0))&amp;"",""))</f>
        <v/>
      </c>
      <c r="P570" s="24" t="str">
        <f aca="false">IF($O570="","",IF($O570="CY","CY",IF(ISNUMBER(MATCH($O570,Lists!$A:$A,0)),"EU","3RD")))</f>
        <v/>
      </c>
      <c r="Q570" s="24" t="str">
        <f aca="false">IF($F570="","N",IFERROR(IF(INDEX(Counterparties!$E:$E,MATCH($F570&amp;"",Counterparties!$A:$A,0))="Y","Y","N"),"N"))</f>
        <v>N</v>
      </c>
      <c r="R570" s="25" t="n">
        <f aca="false">IF(OR($H570="",$H570="EUR"),1,IFERROR(INDEX(FX_Rates!$D:$D,MATCH($H570,FX_Rates!$A:$A,0)),""))</f>
        <v>1</v>
      </c>
      <c r="S570" s="26" t="str">
        <f aca="false">IF(AND($I570="",$J570=""),"",IF($J570&lt;&gt;"",$J570,IF(OR($R570="",$R570=0),"",ROUND($I570/$R570,2))))</f>
        <v/>
      </c>
      <c r="T570" s="24" t="str">
        <f aca="false">IF($N570="","",IFERROR(INDEX(VAT_Codes!$C:$C,MATCH($N570,VAT_Codes!$A:$A,0)),"")&amp;"")</f>
        <v/>
      </c>
      <c r="U570" s="26" t="n">
        <f aca="false">IF(OR($S570="",$T570="",$T570="None"),0,IF($T570="Output",-$S570,$S570))</f>
        <v>0</v>
      </c>
      <c r="V570" s="27" t="n">
        <f aca="false">IF($N570="",0,IFERROR(INDEX(VAT_Codes!$D:$D,MATCH($N570,VAT_Codes!$A:$A,0)),0))</f>
        <v>0</v>
      </c>
      <c r="W570" s="26" t="n">
        <f aca="false">IF($U570=0,0,IF(IFERROR(INDEX(VAT_Codes!$F:$F,MATCH($N570,VAT_Codes!$A:$A,0)),"N")="Y",$U570,IF($L570&lt;&gt;"",ROUND(ABS($L570)/IF(OR($R570="",$R570=0),1,$R570),2)*SIGN($U570),ROUND($U570*$V570,2))))</f>
        <v>0</v>
      </c>
      <c r="X570" s="24" t="str">
        <f aca="false">IF($N570="","",IFERROR(INDEX(VAT_Codes!$H:$H,MATCH($N570,VAT_Codes!$A:$A,0)),"")&amp;"")</f>
        <v/>
      </c>
      <c r="Y570" s="24" t="str">
        <f aca="false">IF($A570="","",(YEAR($A570)-YEAR(Settings!$C$8))*12+MONTH($A570)-MONTH(Settings!$C$8)+1)</f>
        <v/>
      </c>
      <c r="Z570" s="24" t="str">
        <f aca="false">IF(AND($C570="",$I570="",$J570=""),"",IF($N570="","NO VAT CODE",IF($T570="","UNKNOWN VAT CODE",IF($S570="","MISSING FX RATE",IF(OR($A570&lt;Settings!$C$8,$A570&gt;Settings!$C$9),"OUTSIDE PERIOD",IF(AND(IFERROR(INDEX(VAT_Codes!$E:$E,MATCH($N570,VAT_Codes!$A:$A,0)),"ANY")&lt;&gt;"ANY",$P570=""),"MISSING COUNTERPARTY COUNTRY",IF(AND(IFERROR(INDEX(VAT_Codes!$E:$E,MATCH($N570,VAT_Codes!$A:$A,0)),"ANY")&lt;&gt;"ANY",$P570&lt;&gt;IFERROR(INDEX(VAT_Codes!$E:$E,MATCH($N570,VAT_Codes!$A:$A,0)),"ANY")),"REGION MISMATCH","OK")))))))</f>
        <v/>
      </c>
    </row>
    <row r="571" customFormat="false" ht="15" hidden="false" customHeight="false" outlineLevel="0" collapsed="false">
      <c r="M571" s="24" t="str">
        <f aca="false">IF($C571="","",IFERROR(INDEX(Account_Mapping!$C:$C,MATCH($C571&amp;"",Account_Mapping!$A:$A,0))&amp;"",""))</f>
        <v/>
      </c>
      <c r="N571" s="24" t="str">
        <f aca="false">IF($K571&lt;&gt;"",$K571,$M571)</f>
        <v/>
      </c>
      <c r="O571" s="24" t="str">
        <f aca="false">IF($F571="","",IFERROR(INDEX(Counterparties!$C:$C,MATCH($F571&amp;"",Counterparties!$A:$A,0))&amp;"",""))</f>
        <v/>
      </c>
      <c r="P571" s="24" t="str">
        <f aca="false">IF($O571="","",IF($O571="CY","CY",IF(ISNUMBER(MATCH($O571,Lists!$A:$A,0)),"EU","3RD")))</f>
        <v/>
      </c>
      <c r="Q571" s="24" t="str">
        <f aca="false">IF($F571="","N",IFERROR(IF(INDEX(Counterparties!$E:$E,MATCH($F571&amp;"",Counterparties!$A:$A,0))="Y","Y","N"),"N"))</f>
        <v>N</v>
      </c>
      <c r="R571" s="25" t="n">
        <f aca="false">IF(OR($H571="",$H571="EUR"),1,IFERROR(INDEX(FX_Rates!$D:$D,MATCH($H571,FX_Rates!$A:$A,0)),""))</f>
        <v>1</v>
      </c>
      <c r="S571" s="26" t="str">
        <f aca="false">IF(AND($I571="",$J571=""),"",IF($J571&lt;&gt;"",$J571,IF(OR($R571="",$R571=0),"",ROUND($I571/$R571,2))))</f>
        <v/>
      </c>
      <c r="T571" s="24" t="str">
        <f aca="false">IF($N571="","",IFERROR(INDEX(VAT_Codes!$C:$C,MATCH($N571,VAT_Codes!$A:$A,0)),"")&amp;"")</f>
        <v/>
      </c>
      <c r="U571" s="26" t="n">
        <f aca="false">IF(OR($S571="",$T571="",$T571="None"),0,IF($T571="Output",-$S571,$S571))</f>
        <v>0</v>
      </c>
      <c r="V571" s="27" t="n">
        <f aca="false">IF($N571="",0,IFERROR(INDEX(VAT_Codes!$D:$D,MATCH($N571,VAT_Codes!$A:$A,0)),0))</f>
        <v>0</v>
      </c>
      <c r="W571" s="26" t="n">
        <f aca="false">IF($U571=0,0,IF(IFERROR(INDEX(VAT_Codes!$F:$F,MATCH($N571,VAT_Codes!$A:$A,0)),"N")="Y",$U571,IF($L571&lt;&gt;"",ROUND(ABS($L571)/IF(OR($R571="",$R571=0),1,$R571),2)*SIGN($U571),ROUND($U571*$V571,2))))</f>
        <v>0</v>
      </c>
      <c r="X571" s="24" t="str">
        <f aca="false">IF($N571="","",IFERROR(INDEX(VAT_Codes!$H:$H,MATCH($N571,VAT_Codes!$A:$A,0)),"")&amp;"")</f>
        <v/>
      </c>
      <c r="Y571" s="24" t="str">
        <f aca="false">IF($A571="","",(YEAR($A571)-YEAR(Settings!$C$8))*12+MONTH($A571)-MONTH(Settings!$C$8)+1)</f>
        <v/>
      </c>
      <c r="Z571" s="24" t="str">
        <f aca="false">IF(AND($C571="",$I571="",$J571=""),"",IF($N571="","NO VAT CODE",IF($T571="","UNKNOWN VAT CODE",IF($S571="","MISSING FX RATE",IF(OR($A571&lt;Settings!$C$8,$A571&gt;Settings!$C$9),"OUTSIDE PERIOD",IF(AND(IFERROR(INDEX(VAT_Codes!$E:$E,MATCH($N571,VAT_Codes!$A:$A,0)),"ANY")&lt;&gt;"ANY",$P571=""),"MISSING COUNTERPARTY COUNTRY",IF(AND(IFERROR(INDEX(VAT_Codes!$E:$E,MATCH($N571,VAT_Codes!$A:$A,0)),"ANY")&lt;&gt;"ANY",$P571&lt;&gt;IFERROR(INDEX(VAT_Codes!$E:$E,MATCH($N571,VAT_Codes!$A:$A,0)),"ANY")),"REGION MISMATCH","OK")))))))</f>
        <v/>
      </c>
    </row>
    <row r="572" customFormat="false" ht="15" hidden="false" customHeight="false" outlineLevel="0" collapsed="false">
      <c r="M572" s="24" t="str">
        <f aca="false">IF($C572="","",IFERROR(INDEX(Account_Mapping!$C:$C,MATCH($C572&amp;"",Account_Mapping!$A:$A,0))&amp;"",""))</f>
        <v/>
      </c>
      <c r="N572" s="24" t="str">
        <f aca="false">IF($K572&lt;&gt;"",$K572,$M572)</f>
        <v/>
      </c>
      <c r="O572" s="24" t="str">
        <f aca="false">IF($F572="","",IFERROR(INDEX(Counterparties!$C:$C,MATCH($F572&amp;"",Counterparties!$A:$A,0))&amp;"",""))</f>
        <v/>
      </c>
      <c r="P572" s="24" t="str">
        <f aca="false">IF($O572="","",IF($O572="CY","CY",IF(ISNUMBER(MATCH($O572,Lists!$A:$A,0)),"EU","3RD")))</f>
        <v/>
      </c>
      <c r="Q572" s="24" t="str">
        <f aca="false">IF($F572="","N",IFERROR(IF(INDEX(Counterparties!$E:$E,MATCH($F572&amp;"",Counterparties!$A:$A,0))="Y","Y","N"),"N"))</f>
        <v>N</v>
      </c>
      <c r="R572" s="25" t="n">
        <f aca="false">IF(OR($H572="",$H572="EUR"),1,IFERROR(INDEX(FX_Rates!$D:$D,MATCH($H572,FX_Rates!$A:$A,0)),""))</f>
        <v>1</v>
      </c>
      <c r="S572" s="26" t="str">
        <f aca="false">IF(AND($I572="",$J572=""),"",IF($J572&lt;&gt;"",$J572,IF(OR($R572="",$R572=0),"",ROUND($I572/$R572,2))))</f>
        <v/>
      </c>
      <c r="T572" s="24" t="str">
        <f aca="false">IF($N572="","",IFERROR(INDEX(VAT_Codes!$C:$C,MATCH($N572,VAT_Codes!$A:$A,0)),"")&amp;"")</f>
        <v/>
      </c>
      <c r="U572" s="26" t="n">
        <f aca="false">IF(OR($S572="",$T572="",$T572="None"),0,IF($T572="Output",-$S572,$S572))</f>
        <v>0</v>
      </c>
      <c r="V572" s="27" t="n">
        <f aca="false">IF($N572="",0,IFERROR(INDEX(VAT_Codes!$D:$D,MATCH($N572,VAT_Codes!$A:$A,0)),0))</f>
        <v>0</v>
      </c>
      <c r="W572" s="26" t="n">
        <f aca="false">IF($U572=0,0,IF(IFERROR(INDEX(VAT_Codes!$F:$F,MATCH($N572,VAT_Codes!$A:$A,0)),"N")="Y",$U572,IF($L572&lt;&gt;"",ROUND(ABS($L572)/IF(OR($R572="",$R572=0),1,$R572),2)*SIGN($U572),ROUND($U572*$V572,2))))</f>
        <v>0</v>
      </c>
      <c r="X572" s="24" t="str">
        <f aca="false">IF($N572="","",IFERROR(INDEX(VAT_Codes!$H:$H,MATCH($N572,VAT_Codes!$A:$A,0)),"")&amp;"")</f>
        <v/>
      </c>
      <c r="Y572" s="24" t="str">
        <f aca="false">IF($A572="","",(YEAR($A572)-YEAR(Settings!$C$8))*12+MONTH($A572)-MONTH(Settings!$C$8)+1)</f>
        <v/>
      </c>
      <c r="Z572" s="24" t="str">
        <f aca="false">IF(AND($C572="",$I572="",$J572=""),"",IF($N572="","NO VAT CODE",IF($T572="","UNKNOWN VAT CODE",IF($S572="","MISSING FX RATE",IF(OR($A572&lt;Settings!$C$8,$A572&gt;Settings!$C$9),"OUTSIDE PERIOD",IF(AND(IFERROR(INDEX(VAT_Codes!$E:$E,MATCH($N572,VAT_Codes!$A:$A,0)),"ANY")&lt;&gt;"ANY",$P572=""),"MISSING COUNTERPARTY COUNTRY",IF(AND(IFERROR(INDEX(VAT_Codes!$E:$E,MATCH($N572,VAT_Codes!$A:$A,0)),"ANY")&lt;&gt;"ANY",$P572&lt;&gt;IFERROR(INDEX(VAT_Codes!$E:$E,MATCH($N572,VAT_Codes!$A:$A,0)),"ANY")),"REGION MISMATCH","OK")))))))</f>
        <v/>
      </c>
    </row>
    <row r="573" customFormat="false" ht="15" hidden="false" customHeight="false" outlineLevel="0" collapsed="false">
      <c r="M573" s="24" t="str">
        <f aca="false">IF($C573="","",IFERROR(INDEX(Account_Mapping!$C:$C,MATCH($C573&amp;"",Account_Mapping!$A:$A,0))&amp;"",""))</f>
        <v/>
      </c>
      <c r="N573" s="24" t="str">
        <f aca="false">IF($K573&lt;&gt;"",$K573,$M573)</f>
        <v/>
      </c>
      <c r="O573" s="24" t="str">
        <f aca="false">IF($F573="","",IFERROR(INDEX(Counterparties!$C:$C,MATCH($F573&amp;"",Counterparties!$A:$A,0))&amp;"",""))</f>
        <v/>
      </c>
      <c r="P573" s="24" t="str">
        <f aca="false">IF($O573="","",IF($O573="CY","CY",IF(ISNUMBER(MATCH($O573,Lists!$A:$A,0)),"EU","3RD")))</f>
        <v/>
      </c>
      <c r="Q573" s="24" t="str">
        <f aca="false">IF($F573="","N",IFERROR(IF(INDEX(Counterparties!$E:$E,MATCH($F573&amp;"",Counterparties!$A:$A,0))="Y","Y","N"),"N"))</f>
        <v>N</v>
      </c>
      <c r="R573" s="25" t="n">
        <f aca="false">IF(OR($H573="",$H573="EUR"),1,IFERROR(INDEX(FX_Rates!$D:$D,MATCH($H573,FX_Rates!$A:$A,0)),""))</f>
        <v>1</v>
      </c>
      <c r="S573" s="26" t="str">
        <f aca="false">IF(AND($I573="",$J573=""),"",IF($J573&lt;&gt;"",$J573,IF(OR($R573="",$R573=0),"",ROUND($I573/$R573,2))))</f>
        <v/>
      </c>
      <c r="T573" s="24" t="str">
        <f aca="false">IF($N573="","",IFERROR(INDEX(VAT_Codes!$C:$C,MATCH($N573,VAT_Codes!$A:$A,0)),"")&amp;"")</f>
        <v/>
      </c>
      <c r="U573" s="26" t="n">
        <f aca="false">IF(OR($S573="",$T573="",$T573="None"),0,IF($T573="Output",-$S573,$S573))</f>
        <v>0</v>
      </c>
      <c r="V573" s="27" t="n">
        <f aca="false">IF($N573="",0,IFERROR(INDEX(VAT_Codes!$D:$D,MATCH($N573,VAT_Codes!$A:$A,0)),0))</f>
        <v>0</v>
      </c>
      <c r="W573" s="26" t="n">
        <f aca="false">IF($U573=0,0,IF(IFERROR(INDEX(VAT_Codes!$F:$F,MATCH($N573,VAT_Codes!$A:$A,0)),"N")="Y",$U573,IF($L573&lt;&gt;"",ROUND(ABS($L573)/IF(OR($R573="",$R573=0),1,$R573),2)*SIGN($U573),ROUND($U573*$V573,2))))</f>
        <v>0</v>
      </c>
      <c r="X573" s="24" t="str">
        <f aca="false">IF($N573="","",IFERROR(INDEX(VAT_Codes!$H:$H,MATCH($N573,VAT_Codes!$A:$A,0)),"")&amp;"")</f>
        <v/>
      </c>
      <c r="Y573" s="24" t="str">
        <f aca="false">IF($A573="","",(YEAR($A573)-YEAR(Settings!$C$8))*12+MONTH($A573)-MONTH(Settings!$C$8)+1)</f>
        <v/>
      </c>
      <c r="Z573" s="24" t="str">
        <f aca="false">IF(AND($C573="",$I573="",$J573=""),"",IF($N573="","NO VAT CODE",IF($T573="","UNKNOWN VAT CODE",IF($S573="","MISSING FX RATE",IF(OR($A573&lt;Settings!$C$8,$A573&gt;Settings!$C$9),"OUTSIDE PERIOD",IF(AND(IFERROR(INDEX(VAT_Codes!$E:$E,MATCH($N573,VAT_Codes!$A:$A,0)),"ANY")&lt;&gt;"ANY",$P573=""),"MISSING COUNTERPARTY COUNTRY",IF(AND(IFERROR(INDEX(VAT_Codes!$E:$E,MATCH($N573,VAT_Codes!$A:$A,0)),"ANY")&lt;&gt;"ANY",$P573&lt;&gt;IFERROR(INDEX(VAT_Codes!$E:$E,MATCH($N573,VAT_Codes!$A:$A,0)),"ANY")),"REGION MISMATCH","OK")))))))</f>
        <v/>
      </c>
    </row>
    <row r="574" customFormat="false" ht="15" hidden="false" customHeight="false" outlineLevel="0" collapsed="false">
      <c r="M574" s="24" t="str">
        <f aca="false">IF($C574="","",IFERROR(INDEX(Account_Mapping!$C:$C,MATCH($C574&amp;"",Account_Mapping!$A:$A,0))&amp;"",""))</f>
        <v/>
      </c>
      <c r="N574" s="24" t="str">
        <f aca="false">IF($K574&lt;&gt;"",$K574,$M574)</f>
        <v/>
      </c>
      <c r="O574" s="24" t="str">
        <f aca="false">IF($F574="","",IFERROR(INDEX(Counterparties!$C:$C,MATCH($F574&amp;"",Counterparties!$A:$A,0))&amp;"",""))</f>
        <v/>
      </c>
      <c r="P574" s="24" t="str">
        <f aca="false">IF($O574="","",IF($O574="CY","CY",IF(ISNUMBER(MATCH($O574,Lists!$A:$A,0)),"EU","3RD")))</f>
        <v/>
      </c>
      <c r="Q574" s="24" t="str">
        <f aca="false">IF($F574="","N",IFERROR(IF(INDEX(Counterparties!$E:$E,MATCH($F574&amp;"",Counterparties!$A:$A,0))="Y","Y","N"),"N"))</f>
        <v>N</v>
      </c>
      <c r="R574" s="25" t="n">
        <f aca="false">IF(OR($H574="",$H574="EUR"),1,IFERROR(INDEX(FX_Rates!$D:$D,MATCH($H574,FX_Rates!$A:$A,0)),""))</f>
        <v>1</v>
      </c>
      <c r="S574" s="26" t="str">
        <f aca="false">IF(AND($I574="",$J574=""),"",IF($J574&lt;&gt;"",$J574,IF(OR($R574="",$R574=0),"",ROUND($I574/$R574,2))))</f>
        <v/>
      </c>
      <c r="T574" s="24" t="str">
        <f aca="false">IF($N574="","",IFERROR(INDEX(VAT_Codes!$C:$C,MATCH($N574,VAT_Codes!$A:$A,0)),"")&amp;"")</f>
        <v/>
      </c>
      <c r="U574" s="26" t="n">
        <f aca="false">IF(OR($S574="",$T574="",$T574="None"),0,IF($T574="Output",-$S574,$S574))</f>
        <v>0</v>
      </c>
      <c r="V574" s="27" t="n">
        <f aca="false">IF($N574="",0,IFERROR(INDEX(VAT_Codes!$D:$D,MATCH($N574,VAT_Codes!$A:$A,0)),0))</f>
        <v>0</v>
      </c>
      <c r="W574" s="26" t="n">
        <f aca="false">IF($U574=0,0,IF(IFERROR(INDEX(VAT_Codes!$F:$F,MATCH($N574,VAT_Codes!$A:$A,0)),"N")="Y",$U574,IF($L574&lt;&gt;"",ROUND(ABS($L574)/IF(OR($R574="",$R574=0),1,$R574),2)*SIGN($U574),ROUND($U574*$V574,2))))</f>
        <v>0</v>
      </c>
      <c r="X574" s="24" t="str">
        <f aca="false">IF($N574="","",IFERROR(INDEX(VAT_Codes!$H:$H,MATCH($N574,VAT_Codes!$A:$A,0)),"")&amp;"")</f>
        <v/>
      </c>
      <c r="Y574" s="24" t="str">
        <f aca="false">IF($A574="","",(YEAR($A574)-YEAR(Settings!$C$8))*12+MONTH($A574)-MONTH(Settings!$C$8)+1)</f>
        <v/>
      </c>
      <c r="Z574" s="24" t="str">
        <f aca="false">IF(AND($C574="",$I574="",$J574=""),"",IF($N574="","NO VAT CODE",IF($T574="","UNKNOWN VAT CODE",IF($S574="","MISSING FX RATE",IF(OR($A574&lt;Settings!$C$8,$A574&gt;Settings!$C$9),"OUTSIDE PERIOD",IF(AND(IFERROR(INDEX(VAT_Codes!$E:$E,MATCH($N574,VAT_Codes!$A:$A,0)),"ANY")&lt;&gt;"ANY",$P574=""),"MISSING COUNTERPARTY COUNTRY",IF(AND(IFERROR(INDEX(VAT_Codes!$E:$E,MATCH($N574,VAT_Codes!$A:$A,0)),"ANY")&lt;&gt;"ANY",$P574&lt;&gt;IFERROR(INDEX(VAT_Codes!$E:$E,MATCH($N574,VAT_Codes!$A:$A,0)),"ANY")),"REGION MISMATCH","OK")))))))</f>
        <v/>
      </c>
    </row>
    <row r="575" customFormat="false" ht="15" hidden="false" customHeight="false" outlineLevel="0" collapsed="false">
      <c r="M575" s="24" t="str">
        <f aca="false">IF($C575="","",IFERROR(INDEX(Account_Mapping!$C:$C,MATCH($C575&amp;"",Account_Mapping!$A:$A,0))&amp;"",""))</f>
        <v/>
      </c>
      <c r="N575" s="24" t="str">
        <f aca="false">IF($K575&lt;&gt;"",$K575,$M575)</f>
        <v/>
      </c>
      <c r="O575" s="24" t="str">
        <f aca="false">IF($F575="","",IFERROR(INDEX(Counterparties!$C:$C,MATCH($F575&amp;"",Counterparties!$A:$A,0))&amp;"",""))</f>
        <v/>
      </c>
      <c r="P575" s="24" t="str">
        <f aca="false">IF($O575="","",IF($O575="CY","CY",IF(ISNUMBER(MATCH($O575,Lists!$A:$A,0)),"EU","3RD")))</f>
        <v/>
      </c>
      <c r="Q575" s="24" t="str">
        <f aca="false">IF($F575="","N",IFERROR(IF(INDEX(Counterparties!$E:$E,MATCH($F575&amp;"",Counterparties!$A:$A,0))="Y","Y","N"),"N"))</f>
        <v>N</v>
      </c>
      <c r="R575" s="25" t="n">
        <f aca="false">IF(OR($H575="",$H575="EUR"),1,IFERROR(INDEX(FX_Rates!$D:$D,MATCH($H575,FX_Rates!$A:$A,0)),""))</f>
        <v>1</v>
      </c>
      <c r="S575" s="26" t="str">
        <f aca="false">IF(AND($I575="",$J575=""),"",IF($J575&lt;&gt;"",$J575,IF(OR($R575="",$R575=0),"",ROUND($I575/$R575,2))))</f>
        <v/>
      </c>
      <c r="T575" s="24" t="str">
        <f aca="false">IF($N575="","",IFERROR(INDEX(VAT_Codes!$C:$C,MATCH($N575,VAT_Codes!$A:$A,0)),"")&amp;"")</f>
        <v/>
      </c>
      <c r="U575" s="26" t="n">
        <f aca="false">IF(OR($S575="",$T575="",$T575="None"),0,IF($T575="Output",-$S575,$S575))</f>
        <v>0</v>
      </c>
      <c r="V575" s="27" t="n">
        <f aca="false">IF($N575="",0,IFERROR(INDEX(VAT_Codes!$D:$D,MATCH($N575,VAT_Codes!$A:$A,0)),0))</f>
        <v>0</v>
      </c>
      <c r="W575" s="26" t="n">
        <f aca="false">IF($U575=0,0,IF(IFERROR(INDEX(VAT_Codes!$F:$F,MATCH($N575,VAT_Codes!$A:$A,0)),"N")="Y",$U575,IF($L575&lt;&gt;"",ROUND(ABS($L575)/IF(OR($R575="",$R575=0),1,$R575),2)*SIGN($U575),ROUND($U575*$V575,2))))</f>
        <v>0</v>
      </c>
      <c r="X575" s="24" t="str">
        <f aca="false">IF($N575="","",IFERROR(INDEX(VAT_Codes!$H:$H,MATCH($N575,VAT_Codes!$A:$A,0)),"")&amp;"")</f>
        <v/>
      </c>
      <c r="Y575" s="24" t="str">
        <f aca="false">IF($A575="","",(YEAR($A575)-YEAR(Settings!$C$8))*12+MONTH($A575)-MONTH(Settings!$C$8)+1)</f>
        <v/>
      </c>
      <c r="Z575" s="24" t="str">
        <f aca="false">IF(AND($C575="",$I575="",$J575=""),"",IF($N575="","NO VAT CODE",IF($T575="","UNKNOWN VAT CODE",IF($S575="","MISSING FX RATE",IF(OR($A575&lt;Settings!$C$8,$A575&gt;Settings!$C$9),"OUTSIDE PERIOD",IF(AND(IFERROR(INDEX(VAT_Codes!$E:$E,MATCH($N575,VAT_Codes!$A:$A,0)),"ANY")&lt;&gt;"ANY",$P575=""),"MISSING COUNTERPARTY COUNTRY",IF(AND(IFERROR(INDEX(VAT_Codes!$E:$E,MATCH($N575,VAT_Codes!$A:$A,0)),"ANY")&lt;&gt;"ANY",$P575&lt;&gt;IFERROR(INDEX(VAT_Codes!$E:$E,MATCH($N575,VAT_Codes!$A:$A,0)),"ANY")),"REGION MISMATCH","OK")))))))</f>
        <v/>
      </c>
    </row>
    <row r="576" customFormat="false" ht="15" hidden="false" customHeight="false" outlineLevel="0" collapsed="false">
      <c r="M576" s="24" t="str">
        <f aca="false">IF($C576="","",IFERROR(INDEX(Account_Mapping!$C:$C,MATCH($C576&amp;"",Account_Mapping!$A:$A,0))&amp;"",""))</f>
        <v/>
      </c>
      <c r="N576" s="24" t="str">
        <f aca="false">IF($K576&lt;&gt;"",$K576,$M576)</f>
        <v/>
      </c>
      <c r="O576" s="24" t="str">
        <f aca="false">IF($F576="","",IFERROR(INDEX(Counterparties!$C:$C,MATCH($F576&amp;"",Counterparties!$A:$A,0))&amp;"",""))</f>
        <v/>
      </c>
      <c r="P576" s="24" t="str">
        <f aca="false">IF($O576="","",IF($O576="CY","CY",IF(ISNUMBER(MATCH($O576,Lists!$A:$A,0)),"EU","3RD")))</f>
        <v/>
      </c>
      <c r="Q576" s="24" t="str">
        <f aca="false">IF($F576="","N",IFERROR(IF(INDEX(Counterparties!$E:$E,MATCH($F576&amp;"",Counterparties!$A:$A,0))="Y","Y","N"),"N"))</f>
        <v>N</v>
      </c>
      <c r="R576" s="25" t="n">
        <f aca="false">IF(OR($H576="",$H576="EUR"),1,IFERROR(INDEX(FX_Rates!$D:$D,MATCH($H576,FX_Rates!$A:$A,0)),""))</f>
        <v>1</v>
      </c>
      <c r="S576" s="26" t="str">
        <f aca="false">IF(AND($I576="",$J576=""),"",IF($J576&lt;&gt;"",$J576,IF(OR($R576="",$R576=0),"",ROUND($I576/$R576,2))))</f>
        <v/>
      </c>
      <c r="T576" s="24" t="str">
        <f aca="false">IF($N576="","",IFERROR(INDEX(VAT_Codes!$C:$C,MATCH($N576,VAT_Codes!$A:$A,0)),"")&amp;"")</f>
        <v/>
      </c>
      <c r="U576" s="26" t="n">
        <f aca="false">IF(OR($S576="",$T576="",$T576="None"),0,IF($T576="Output",-$S576,$S576))</f>
        <v>0</v>
      </c>
      <c r="V576" s="27" t="n">
        <f aca="false">IF($N576="",0,IFERROR(INDEX(VAT_Codes!$D:$D,MATCH($N576,VAT_Codes!$A:$A,0)),0))</f>
        <v>0</v>
      </c>
      <c r="W576" s="26" t="n">
        <f aca="false">IF($U576=0,0,IF(IFERROR(INDEX(VAT_Codes!$F:$F,MATCH($N576,VAT_Codes!$A:$A,0)),"N")="Y",$U576,IF($L576&lt;&gt;"",ROUND(ABS($L576)/IF(OR($R576="",$R576=0),1,$R576),2)*SIGN($U576),ROUND($U576*$V576,2))))</f>
        <v>0</v>
      </c>
      <c r="X576" s="24" t="str">
        <f aca="false">IF($N576="","",IFERROR(INDEX(VAT_Codes!$H:$H,MATCH($N576,VAT_Codes!$A:$A,0)),"")&amp;"")</f>
        <v/>
      </c>
      <c r="Y576" s="24" t="str">
        <f aca="false">IF($A576="","",(YEAR($A576)-YEAR(Settings!$C$8))*12+MONTH($A576)-MONTH(Settings!$C$8)+1)</f>
        <v/>
      </c>
      <c r="Z576" s="24" t="str">
        <f aca="false">IF(AND($C576="",$I576="",$J576=""),"",IF($N576="","NO VAT CODE",IF($T576="","UNKNOWN VAT CODE",IF($S576="","MISSING FX RATE",IF(OR($A576&lt;Settings!$C$8,$A576&gt;Settings!$C$9),"OUTSIDE PERIOD",IF(AND(IFERROR(INDEX(VAT_Codes!$E:$E,MATCH($N576,VAT_Codes!$A:$A,0)),"ANY")&lt;&gt;"ANY",$P576=""),"MISSING COUNTERPARTY COUNTRY",IF(AND(IFERROR(INDEX(VAT_Codes!$E:$E,MATCH($N576,VAT_Codes!$A:$A,0)),"ANY")&lt;&gt;"ANY",$P576&lt;&gt;IFERROR(INDEX(VAT_Codes!$E:$E,MATCH($N576,VAT_Codes!$A:$A,0)),"ANY")),"REGION MISMATCH","OK")))))))</f>
        <v/>
      </c>
    </row>
    <row r="577" customFormat="false" ht="15" hidden="false" customHeight="false" outlineLevel="0" collapsed="false">
      <c r="M577" s="24" t="str">
        <f aca="false">IF($C577="","",IFERROR(INDEX(Account_Mapping!$C:$C,MATCH($C577&amp;"",Account_Mapping!$A:$A,0))&amp;"",""))</f>
        <v/>
      </c>
      <c r="N577" s="24" t="str">
        <f aca="false">IF($K577&lt;&gt;"",$K577,$M577)</f>
        <v/>
      </c>
      <c r="O577" s="24" t="str">
        <f aca="false">IF($F577="","",IFERROR(INDEX(Counterparties!$C:$C,MATCH($F577&amp;"",Counterparties!$A:$A,0))&amp;"",""))</f>
        <v/>
      </c>
      <c r="P577" s="24" t="str">
        <f aca="false">IF($O577="","",IF($O577="CY","CY",IF(ISNUMBER(MATCH($O577,Lists!$A:$A,0)),"EU","3RD")))</f>
        <v/>
      </c>
      <c r="Q577" s="24" t="str">
        <f aca="false">IF($F577="","N",IFERROR(IF(INDEX(Counterparties!$E:$E,MATCH($F577&amp;"",Counterparties!$A:$A,0))="Y","Y","N"),"N"))</f>
        <v>N</v>
      </c>
      <c r="R577" s="25" t="n">
        <f aca="false">IF(OR($H577="",$H577="EUR"),1,IFERROR(INDEX(FX_Rates!$D:$D,MATCH($H577,FX_Rates!$A:$A,0)),""))</f>
        <v>1</v>
      </c>
      <c r="S577" s="26" t="str">
        <f aca="false">IF(AND($I577="",$J577=""),"",IF($J577&lt;&gt;"",$J577,IF(OR($R577="",$R577=0),"",ROUND($I577/$R577,2))))</f>
        <v/>
      </c>
      <c r="T577" s="24" t="str">
        <f aca="false">IF($N577="","",IFERROR(INDEX(VAT_Codes!$C:$C,MATCH($N577,VAT_Codes!$A:$A,0)),"")&amp;"")</f>
        <v/>
      </c>
      <c r="U577" s="26" t="n">
        <f aca="false">IF(OR($S577="",$T577="",$T577="None"),0,IF($T577="Output",-$S577,$S577))</f>
        <v>0</v>
      </c>
      <c r="V577" s="27" t="n">
        <f aca="false">IF($N577="",0,IFERROR(INDEX(VAT_Codes!$D:$D,MATCH($N577,VAT_Codes!$A:$A,0)),0))</f>
        <v>0</v>
      </c>
      <c r="W577" s="26" t="n">
        <f aca="false">IF($U577=0,0,IF(IFERROR(INDEX(VAT_Codes!$F:$F,MATCH($N577,VAT_Codes!$A:$A,0)),"N")="Y",$U577,IF($L577&lt;&gt;"",ROUND(ABS($L577)/IF(OR($R577="",$R577=0),1,$R577),2)*SIGN($U577),ROUND($U577*$V577,2))))</f>
        <v>0</v>
      </c>
      <c r="X577" s="24" t="str">
        <f aca="false">IF($N577="","",IFERROR(INDEX(VAT_Codes!$H:$H,MATCH($N577,VAT_Codes!$A:$A,0)),"")&amp;"")</f>
        <v/>
      </c>
      <c r="Y577" s="24" t="str">
        <f aca="false">IF($A577="","",(YEAR($A577)-YEAR(Settings!$C$8))*12+MONTH($A577)-MONTH(Settings!$C$8)+1)</f>
        <v/>
      </c>
      <c r="Z577" s="24" t="str">
        <f aca="false">IF(AND($C577="",$I577="",$J577=""),"",IF($N577="","NO VAT CODE",IF($T577="","UNKNOWN VAT CODE",IF($S577="","MISSING FX RATE",IF(OR($A577&lt;Settings!$C$8,$A577&gt;Settings!$C$9),"OUTSIDE PERIOD",IF(AND(IFERROR(INDEX(VAT_Codes!$E:$E,MATCH($N577,VAT_Codes!$A:$A,0)),"ANY")&lt;&gt;"ANY",$P577=""),"MISSING COUNTERPARTY COUNTRY",IF(AND(IFERROR(INDEX(VAT_Codes!$E:$E,MATCH($N577,VAT_Codes!$A:$A,0)),"ANY")&lt;&gt;"ANY",$P577&lt;&gt;IFERROR(INDEX(VAT_Codes!$E:$E,MATCH($N577,VAT_Codes!$A:$A,0)),"ANY")),"REGION MISMATCH","OK")))))))</f>
        <v/>
      </c>
    </row>
    <row r="578" customFormat="false" ht="15" hidden="false" customHeight="false" outlineLevel="0" collapsed="false">
      <c r="M578" s="24" t="str">
        <f aca="false">IF($C578="","",IFERROR(INDEX(Account_Mapping!$C:$C,MATCH($C578&amp;"",Account_Mapping!$A:$A,0))&amp;"",""))</f>
        <v/>
      </c>
      <c r="N578" s="24" t="str">
        <f aca="false">IF($K578&lt;&gt;"",$K578,$M578)</f>
        <v/>
      </c>
      <c r="O578" s="24" t="str">
        <f aca="false">IF($F578="","",IFERROR(INDEX(Counterparties!$C:$C,MATCH($F578&amp;"",Counterparties!$A:$A,0))&amp;"",""))</f>
        <v/>
      </c>
      <c r="P578" s="24" t="str">
        <f aca="false">IF($O578="","",IF($O578="CY","CY",IF(ISNUMBER(MATCH($O578,Lists!$A:$A,0)),"EU","3RD")))</f>
        <v/>
      </c>
      <c r="Q578" s="24" t="str">
        <f aca="false">IF($F578="","N",IFERROR(IF(INDEX(Counterparties!$E:$E,MATCH($F578&amp;"",Counterparties!$A:$A,0))="Y","Y","N"),"N"))</f>
        <v>N</v>
      </c>
      <c r="R578" s="25" t="n">
        <f aca="false">IF(OR($H578="",$H578="EUR"),1,IFERROR(INDEX(FX_Rates!$D:$D,MATCH($H578,FX_Rates!$A:$A,0)),""))</f>
        <v>1</v>
      </c>
      <c r="S578" s="26" t="str">
        <f aca="false">IF(AND($I578="",$J578=""),"",IF($J578&lt;&gt;"",$J578,IF(OR($R578="",$R578=0),"",ROUND($I578/$R578,2))))</f>
        <v/>
      </c>
      <c r="T578" s="24" t="str">
        <f aca="false">IF($N578="","",IFERROR(INDEX(VAT_Codes!$C:$C,MATCH($N578,VAT_Codes!$A:$A,0)),"")&amp;"")</f>
        <v/>
      </c>
      <c r="U578" s="26" t="n">
        <f aca="false">IF(OR($S578="",$T578="",$T578="None"),0,IF($T578="Output",-$S578,$S578))</f>
        <v>0</v>
      </c>
      <c r="V578" s="27" t="n">
        <f aca="false">IF($N578="",0,IFERROR(INDEX(VAT_Codes!$D:$D,MATCH($N578,VAT_Codes!$A:$A,0)),0))</f>
        <v>0</v>
      </c>
      <c r="W578" s="26" t="n">
        <f aca="false">IF($U578=0,0,IF(IFERROR(INDEX(VAT_Codes!$F:$F,MATCH($N578,VAT_Codes!$A:$A,0)),"N")="Y",$U578,IF($L578&lt;&gt;"",ROUND(ABS($L578)/IF(OR($R578="",$R578=0),1,$R578),2)*SIGN($U578),ROUND($U578*$V578,2))))</f>
        <v>0</v>
      </c>
      <c r="X578" s="24" t="str">
        <f aca="false">IF($N578="","",IFERROR(INDEX(VAT_Codes!$H:$H,MATCH($N578,VAT_Codes!$A:$A,0)),"")&amp;"")</f>
        <v/>
      </c>
      <c r="Y578" s="24" t="str">
        <f aca="false">IF($A578="","",(YEAR($A578)-YEAR(Settings!$C$8))*12+MONTH($A578)-MONTH(Settings!$C$8)+1)</f>
        <v/>
      </c>
      <c r="Z578" s="24" t="str">
        <f aca="false">IF(AND($C578="",$I578="",$J578=""),"",IF($N578="","NO VAT CODE",IF($T578="","UNKNOWN VAT CODE",IF($S578="","MISSING FX RATE",IF(OR($A578&lt;Settings!$C$8,$A578&gt;Settings!$C$9),"OUTSIDE PERIOD",IF(AND(IFERROR(INDEX(VAT_Codes!$E:$E,MATCH($N578,VAT_Codes!$A:$A,0)),"ANY")&lt;&gt;"ANY",$P578=""),"MISSING COUNTERPARTY COUNTRY",IF(AND(IFERROR(INDEX(VAT_Codes!$E:$E,MATCH($N578,VAT_Codes!$A:$A,0)),"ANY")&lt;&gt;"ANY",$P578&lt;&gt;IFERROR(INDEX(VAT_Codes!$E:$E,MATCH($N578,VAT_Codes!$A:$A,0)),"ANY")),"REGION MISMATCH","OK")))))))</f>
        <v/>
      </c>
    </row>
    <row r="579" customFormat="false" ht="15" hidden="false" customHeight="false" outlineLevel="0" collapsed="false">
      <c r="M579" s="24" t="str">
        <f aca="false">IF($C579="","",IFERROR(INDEX(Account_Mapping!$C:$C,MATCH($C579&amp;"",Account_Mapping!$A:$A,0))&amp;"",""))</f>
        <v/>
      </c>
      <c r="N579" s="24" t="str">
        <f aca="false">IF($K579&lt;&gt;"",$K579,$M579)</f>
        <v/>
      </c>
      <c r="O579" s="24" t="str">
        <f aca="false">IF($F579="","",IFERROR(INDEX(Counterparties!$C:$C,MATCH($F579&amp;"",Counterparties!$A:$A,0))&amp;"",""))</f>
        <v/>
      </c>
      <c r="P579" s="24" t="str">
        <f aca="false">IF($O579="","",IF($O579="CY","CY",IF(ISNUMBER(MATCH($O579,Lists!$A:$A,0)),"EU","3RD")))</f>
        <v/>
      </c>
      <c r="Q579" s="24" t="str">
        <f aca="false">IF($F579="","N",IFERROR(IF(INDEX(Counterparties!$E:$E,MATCH($F579&amp;"",Counterparties!$A:$A,0))="Y","Y","N"),"N"))</f>
        <v>N</v>
      </c>
      <c r="R579" s="25" t="n">
        <f aca="false">IF(OR($H579="",$H579="EUR"),1,IFERROR(INDEX(FX_Rates!$D:$D,MATCH($H579,FX_Rates!$A:$A,0)),""))</f>
        <v>1</v>
      </c>
      <c r="S579" s="26" t="str">
        <f aca="false">IF(AND($I579="",$J579=""),"",IF($J579&lt;&gt;"",$J579,IF(OR($R579="",$R579=0),"",ROUND($I579/$R579,2))))</f>
        <v/>
      </c>
      <c r="T579" s="24" t="str">
        <f aca="false">IF($N579="","",IFERROR(INDEX(VAT_Codes!$C:$C,MATCH($N579,VAT_Codes!$A:$A,0)),"")&amp;"")</f>
        <v/>
      </c>
      <c r="U579" s="26" t="n">
        <f aca="false">IF(OR($S579="",$T579="",$T579="None"),0,IF($T579="Output",-$S579,$S579))</f>
        <v>0</v>
      </c>
      <c r="V579" s="27" t="n">
        <f aca="false">IF($N579="",0,IFERROR(INDEX(VAT_Codes!$D:$D,MATCH($N579,VAT_Codes!$A:$A,0)),0))</f>
        <v>0</v>
      </c>
      <c r="W579" s="26" t="n">
        <f aca="false">IF($U579=0,0,IF(IFERROR(INDEX(VAT_Codes!$F:$F,MATCH($N579,VAT_Codes!$A:$A,0)),"N")="Y",$U579,IF($L579&lt;&gt;"",ROUND(ABS($L579)/IF(OR($R579="",$R579=0),1,$R579),2)*SIGN($U579),ROUND($U579*$V579,2))))</f>
        <v>0</v>
      </c>
      <c r="X579" s="24" t="str">
        <f aca="false">IF($N579="","",IFERROR(INDEX(VAT_Codes!$H:$H,MATCH($N579,VAT_Codes!$A:$A,0)),"")&amp;"")</f>
        <v/>
      </c>
      <c r="Y579" s="24" t="str">
        <f aca="false">IF($A579="","",(YEAR($A579)-YEAR(Settings!$C$8))*12+MONTH($A579)-MONTH(Settings!$C$8)+1)</f>
        <v/>
      </c>
      <c r="Z579" s="24" t="str">
        <f aca="false">IF(AND($C579="",$I579="",$J579=""),"",IF($N579="","NO VAT CODE",IF($T579="","UNKNOWN VAT CODE",IF($S579="","MISSING FX RATE",IF(OR($A579&lt;Settings!$C$8,$A579&gt;Settings!$C$9),"OUTSIDE PERIOD",IF(AND(IFERROR(INDEX(VAT_Codes!$E:$E,MATCH($N579,VAT_Codes!$A:$A,0)),"ANY")&lt;&gt;"ANY",$P579=""),"MISSING COUNTERPARTY COUNTRY",IF(AND(IFERROR(INDEX(VAT_Codes!$E:$E,MATCH($N579,VAT_Codes!$A:$A,0)),"ANY")&lt;&gt;"ANY",$P579&lt;&gt;IFERROR(INDEX(VAT_Codes!$E:$E,MATCH($N579,VAT_Codes!$A:$A,0)),"ANY")),"REGION MISMATCH","OK")))))))</f>
        <v/>
      </c>
    </row>
    <row r="580" customFormat="false" ht="15" hidden="false" customHeight="false" outlineLevel="0" collapsed="false">
      <c r="M580" s="24" t="str">
        <f aca="false">IF($C580="","",IFERROR(INDEX(Account_Mapping!$C:$C,MATCH($C580&amp;"",Account_Mapping!$A:$A,0))&amp;"",""))</f>
        <v/>
      </c>
      <c r="N580" s="24" t="str">
        <f aca="false">IF($K580&lt;&gt;"",$K580,$M580)</f>
        <v/>
      </c>
      <c r="O580" s="24" t="str">
        <f aca="false">IF($F580="","",IFERROR(INDEX(Counterparties!$C:$C,MATCH($F580&amp;"",Counterparties!$A:$A,0))&amp;"",""))</f>
        <v/>
      </c>
      <c r="P580" s="24" t="str">
        <f aca="false">IF($O580="","",IF($O580="CY","CY",IF(ISNUMBER(MATCH($O580,Lists!$A:$A,0)),"EU","3RD")))</f>
        <v/>
      </c>
      <c r="Q580" s="24" t="str">
        <f aca="false">IF($F580="","N",IFERROR(IF(INDEX(Counterparties!$E:$E,MATCH($F580&amp;"",Counterparties!$A:$A,0))="Y","Y","N"),"N"))</f>
        <v>N</v>
      </c>
      <c r="R580" s="25" t="n">
        <f aca="false">IF(OR($H580="",$H580="EUR"),1,IFERROR(INDEX(FX_Rates!$D:$D,MATCH($H580,FX_Rates!$A:$A,0)),""))</f>
        <v>1</v>
      </c>
      <c r="S580" s="26" t="str">
        <f aca="false">IF(AND($I580="",$J580=""),"",IF($J580&lt;&gt;"",$J580,IF(OR($R580="",$R580=0),"",ROUND($I580/$R580,2))))</f>
        <v/>
      </c>
      <c r="T580" s="24" t="str">
        <f aca="false">IF($N580="","",IFERROR(INDEX(VAT_Codes!$C:$C,MATCH($N580,VAT_Codes!$A:$A,0)),"")&amp;"")</f>
        <v/>
      </c>
      <c r="U580" s="26" t="n">
        <f aca="false">IF(OR($S580="",$T580="",$T580="None"),0,IF($T580="Output",-$S580,$S580))</f>
        <v>0</v>
      </c>
      <c r="V580" s="27" t="n">
        <f aca="false">IF($N580="",0,IFERROR(INDEX(VAT_Codes!$D:$D,MATCH($N580,VAT_Codes!$A:$A,0)),0))</f>
        <v>0</v>
      </c>
      <c r="W580" s="26" t="n">
        <f aca="false">IF($U580=0,0,IF(IFERROR(INDEX(VAT_Codes!$F:$F,MATCH($N580,VAT_Codes!$A:$A,0)),"N")="Y",$U580,IF($L580&lt;&gt;"",ROUND(ABS($L580)/IF(OR($R580="",$R580=0),1,$R580),2)*SIGN($U580),ROUND($U580*$V580,2))))</f>
        <v>0</v>
      </c>
      <c r="X580" s="24" t="str">
        <f aca="false">IF($N580="","",IFERROR(INDEX(VAT_Codes!$H:$H,MATCH($N580,VAT_Codes!$A:$A,0)),"")&amp;"")</f>
        <v/>
      </c>
      <c r="Y580" s="24" t="str">
        <f aca="false">IF($A580="","",(YEAR($A580)-YEAR(Settings!$C$8))*12+MONTH($A580)-MONTH(Settings!$C$8)+1)</f>
        <v/>
      </c>
      <c r="Z580" s="24" t="str">
        <f aca="false">IF(AND($C580="",$I580="",$J580=""),"",IF($N580="","NO VAT CODE",IF($T580="","UNKNOWN VAT CODE",IF($S580="","MISSING FX RATE",IF(OR($A580&lt;Settings!$C$8,$A580&gt;Settings!$C$9),"OUTSIDE PERIOD",IF(AND(IFERROR(INDEX(VAT_Codes!$E:$E,MATCH($N580,VAT_Codes!$A:$A,0)),"ANY")&lt;&gt;"ANY",$P580=""),"MISSING COUNTERPARTY COUNTRY",IF(AND(IFERROR(INDEX(VAT_Codes!$E:$E,MATCH($N580,VAT_Codes!$A:$A,0)),"ANY")&lt;&gt;"ANY",$P580&lt;&gt;IFERROR(INDEX(VAT_Codes!$E:$E,MATCH($N580,VAT_Codes!$A:$A,0)),"ANY")),"REGION MISMATCH","OK")))))))</f>
        <v/>
      </c>
    </row>
    <row r="581" customFormat="false" ht="15" hidden="false" customHeight="false" outlineLevel="0" collapsed="false">
      <c r="M581" s="24" t="str">
        <f aca="false">IF($C581="","",IFERROR(INDEX(Account_Mapping!$C:$C,MATCH($C581&amp;"",Account_Mapping!$A:$A,0))&amp;"",""))</f>
        <v/>
      </c>
      <c r="N581" s="24" t="str">
        <f aca="false">IF($K581&lt;&gt;"",$K581,$M581)</f>
        <v/>
      </c>
      <c r="O581" s="24" t="str">
        <f aca="false">IF($F581="","",IFERROR(INDEX(Counterparties!$C:$C,MATCH($F581&amp;"",Counterparties!$A:$A,0))&amp;"",""))</f>
        <v/>
      </c>
      <c r="P581" s="24" t="str">
        <f aca="false">IF($O581="","",IF($O581="CY","CY",IF(ISNUMBER(MATCH($O581,Lists!$A:$A,0)),"EU","3RD")))</f>
        <v/>
      </c>
      <c r="Q581" s="24" t="str">
        <f aca="false">IF($F581="","N",IFERROR(IF(INDEX(Counterparties!$E:$E,MATCH($F581&amp;"",Counterparties!$A:$A,0))="Y","Y","N"),"N"))</f>
        <v>N</v>
      </c>
      <c r="R581" s="25" t="n">
        <f aca="false">IF(OR($H581="",$H581="EUR"),1,IFERROR(INDEX(FX_Rates!$D:$D,MATCH($H581,FX_Rates!$A:$A,0)),""))</f>
        <v>1</v>
      </c>
      <c r="S581" s="26" t="str">
        <f aca="false">IF(AND($I581="",$J581=""),"",IF($J581&lt;&gt;"",$J581,IF(OR($R581="",$R581=0),"",ROUND($I581/$R581,2))))</f>
        <v/>
      </c>
      <c r="T581" s="24" t="str">
        <f aca="false">IF($N581="","",IFERROR(INDEX(VAT_Codes!$C:$C,MATCH($N581,VAT_Codes!$A:$A,0)),"")&amp;"")</f>
        <v/>
      </c>
      <c r="U581" s="26" t="n">
        <f aca="false">IF(OR($S581="",$T581="",$T581="None"),0,IF($T581="Output",-$S581,$S581))</f>
        <v>0</v>
      </c>
      <c r="V581" s="27" t="n">
        <f aca="false">IF($N581="",0,IFERROR(INDEX(VAT_Codes!$D:$D,MATCH($N581,VAT_Codes!$A:$A,0)),0))</f>
        <v>0</v>
      </c>
      <c r="W581" s="26" t="n">
        <f aca="false">IF($U581=0,0,IF(IFERROR(INDEX(VAT_Codes!$F:$F,MATCH($N581,VAT_Codes!$A:$A,0)),"N")="Y",$U581,IF($L581&lt;&gt;"",ROUND(ABS($L581)/IF(OR($R581="",$R581=0),1,$R581),2)*SIGN($U581),ROUND($U581*$V581,2))))</f>
        <v>0</v>
      </c>
      <c r="X581" s="24" t="str">
        <f aca="false">IF($N581="","",IFERROR(INDEX(VAT_Codes!$H:$H,MATCH($N581,VAT_Codes!$A:$A,0)),"")&amp;"")</f>
        <v/>
      </c>
      <c r="Y581" s="24" t="str">
        <f aca="false">IF($A581="","",(YEAR($A581)-YEAR(Settings!$C$8))*12+MONTH($A581)-MONTH(Settings!$C$8)+1)</f>
        <v/>
      </c>
      <c r="Z581" s="24" t="str">
        <f aca="false">IF(AND($C581="",$I581="",$J581=""),"",IF($N581="","NO VAT CODE",IF($T581="","UNKNOWN VAT CODE",IF($S581="","MISSING FX RATE",IF(OR($A581&lt;Settings!$C$8,$A581&gt;Settings!$C$9),"OUTSIDE PERIOD",IF(AND(IFERROR(INDEX(VAT_Codes!$E:$E,MATCH($N581,VAT_Codes!$A:$A,0)),"ANY")&lt;&gt;"ANY",$P581=""),"MISSING COUNTERPARTY COUNTRY",IF(AND(IFERROR(INDEX(VAT_Codes!$E:$E,MATCH($N581,VAT_Codes!$A:$A,0)),"ANY")&lt;&gt;"ANY",$P581&lt;&gt;IFERROR(INDEX(VAT_Codes!$E:$E,MATCH($N581,VAT_Codes!$A:$A,0)),"ANY")),"REGION MISMATCH","OK")))))))</f>
        <v/>
      </c>
    </row>
    <row r="582" customFormat="false" ht="15" hidden="false" customHeight="false" outlineLevel="0" collapsed="false">
      <c r="M582" s="24" t="str">
        <f aca="false">IF($C582="","",IFERROR(INDEX(Account_Mapping!$C:$C,MATCH($C582&amp;"",Account_Mapping!$A:$A,0))&amp;"",""))</f>
        <v/>
      </c>
      <c r="N582" s="24" t="str">
        <f aca="false">IF($K582&lt;&gt;"",$K582,$M582)</f>
        <v/>
      </c>
      <c r="O582" s="24" t="str">
        <f aca="false">IF($F582="","",IFERROR(INDEX(Counterparties!$C:$C,MATCH($F582&amp;"",Counterparties!$A:$A,0))&amp;"",""))</f>
        <v/>
      </c>
      <c r="P582" s="24" t="str">
        <f aca="false">IF($O582="","",IF($O582="CY","CY",IF(ISNUMBER(MATCH($O582,Lists!$A:$A,0)),"EU","3RD")))</f>
        <v/>
      </c>
      <c r="Q582" s="24" t="str">
        <f aca="false">IF($F582="","N",IFERROR(IF(INDEX(Counterparties!$E:$E,MATCH($F582&amp;"",Counterparties!$A:$A,0))="Y","Y","N"),"N"))</f>
        <v>N</v>
      </c>
      <c r="R582" s="25" t="n">
        <f aca="false">IF(OR($H582="",$H582="EUR"),1,IFERROR(INDEX(FX_Rates!$D:$D,MATCH($H582,FX_Rates!$A:$A,0)),""))</f>
        <v>1</v>
      </c>
      <c r="S582" s="26" t="str">
        <f aca="false">IF(AND($I582="",$J582=""),"",IF($J582&lt;&gt;"",$J582,IF(OR($R582="",$R582=0),"",ROUND($I582/$R582,2))))</f>
        <v/>
      </c>
      <c r="T582" s="24" t="str">
        <f aca="false">IF($N582="","",IFERROR(INDEX(VAT_Codes!$C:$C,MATCH($N582,VAT_Codes!$A:$A,0)),"")&amp;"")</f>
        <v/>
      </c>
      <c r="U582" s="26" t="n">
        <f aca="false">IF(OR($S582="",$T582="",$T582="None"),0,IF($T582="Output",-$S582,$S582))</f>
        <v>0</v>
      </c>
      <c r="V582" s="27" t="n">
        <f aca="false">IF($N582="",0,IFERROR(INDEX(VAT_Codes!$D:$D,MATCH($N582,VAT_Codes!$A:$A,0)),0))</f>
        <v>0</v>
      </c>
      <c r="W582" s="26" t="n">
        <f aca="false">IF($U582=0,0,IF(IFERROR(INDEX(VAT_Codes!$F:$F,MATCH($N582,VAT_Codes!$A:$A,0)),"N")="Y",$U582,IF($L582&lt;&gt;"",ROUND(ABS($L582)/IF(OR($R582="",$R582=0),1,$R582),2)*SIGN($U582),ROUND($U582*$V582,2))))</f>
        <v>0</v>
      </c>
      <c r="X582" s="24" t="str">
        <f aca="false">IF($N582="","",IFERROR(INDEX(VAT_Codes!$H:$H,MATCH($N582,VAT_Codes!$A:$A,0)),"")&amp;"")</f>
        <v/>
      </c>
      <c r="Y582" s="24" t="str">
        <f aca="false">IF($A582="","",(YEAR($A582)-YEAR(Settings!$C$8))*12+MONTH($A582)-MONTH(Settings!$C$8)+1)</f>
        <v/>
      </c>
      <c r="Z582" s="24" t="str">
        <f aca="false">IF(AND($C582="",$I582="",$J582=""),"",IF($N582="","NO VAT CODE",IF($T582="","UNKNOWN VAT CODE",IF($S582="","MISSING FX RATE",IF(OR($A582&lt;Settings!$C$8,$A582&gt;Settings!$C$9),"OUTSIDE PERIOD",IF(AND(IFERROR(INDEX(VAT_Codes!$E:$E,MATCH($N582,VAT_Codes!$A:$A,0)),"ANY")&lt;&gt;"ANY",$P582=""),"MISSING COUNTERPARTY COUNTRY",IF(AND(IFERROR(INDEX(VAT_Codes!$E:$E,MATCH($N582,VAT_Codes!$A:$A,0)),"ANY")&lt;&gt;"ANY",$P582&lt;&gt;IFERROR(INDEX(VAT_Codes!$E:$E,MATCH($N582,VAT_Codes!$A:$A,0)),"ANY")),"REGION MISMATCH","OK")))))))</f>
        <v/>
      </c>
    </row>
    <row r="583" customFormat="false" ht="15" hidden="false" customHeight="false" outlineLevel="0" collapsed="false">
      <c r="M583" s="24" t="str">
        <f aca="false">IF($C583="","",IFERROR(INDEX(Account_Mapping!$C:$C,MATCH($C583&amp;"",Account_Mapping!$A:$A,0))&amp;"",""))</f>
        <v/>
      </c>
      <c r="N583" s="24" t="str">
        <f aca="false">IF($K583&lt;&gt;"",$K583,$M583)</f>
        <v/>
      </c>
      <c r="O583" s="24" t="str">
        <f aca="false">IF($F583="","",IFERROR(INDEX(Counterparties!$C:$C,MATCH($F583&amp;"",Counterparties!$A:$A,0))&amp;"",""))</f>
        <v/>
      </c>
      <c r="P583" s="24" t="str">
        <f aca="false">IF($O583="","",IF($O583="CY","CY",IF(ISNUMBER(MATCH($O583,Lists!$A:$A,0)),"EU","3RD")))</f>
        <v/>
      </c>
      <c r="Q583" s="24" t="str">
        <f aca="false">IF($F583="","N",IFERROR(IF(INDEX(Counterparties!$E:$E,MATCH($F583&amp;"",Counterparties!$A:$A,0))="Y","Y","N"),"N"))</f>
        <v>N</v>
      </c>
      <c r="R583" s="25" t="n">
        <f aca="false">IF(OR($H583="",$H583="EUR"),1,IFERROR(INDEX(FX_Rates!$D:$D,MATCH($H583,FX_Rates!$A:$A,0)),""))</f>
        <v>1</v>
      </c>
      <c r="S583" s="26" t="str">
        <f aca="false">IF(AND($I583="",$J583=""),"",IF($J583&lt;&gt;"",$J583,IF(OR($R583="",$R583=0),"",ROUND($I583/$R583,2))))</f>
        <v/>
      </c>
      <c r="T583" s="24" t="str">
        <f aca="false">IF($N583="","",IFERROR(INDEX(VAT_Codes!$C:$C,MATCH($N583,VAT_Codes!$A:$A,0)),"")&amp;"")</f>
        <v/>
      </c>
      <c r="U583" s="26" t="n">
        <f aca="false">IF(OR($S583="",$T583="",$T583="None"),0,IF($T583="Output",-$S583,$S583))</f>
        <v>0</v>
      </c>
      <c r="V583" s="27" t="n">
        <f aca="false">IF($N583="",0,IFERROR(INDEX(VAT_Codes!$D:$D,MATCH($N583,VAT_Codes!$A:$A,0)),0))</f>
        <v>0</v>
      </c>
      <c r="W583" s="26" t="n">
        <f aca="false">IF($U583=0,0,IF(IFERROR(INDEX(VAT_Codes!$F:$F,MATCH($N583,VAT_Codes!$A:$A,0)),"N")="Y",$U583,IF($L583&lt;&gt;"",ROUND(ABS($L583)/IF(OR($R583="",$R583=0),1,$R583),2)*SIGN($U583),ROUND($U583*$V583,2))))</f>
        <v>0</v>
      </c>
      <c r="X583" s="24" t="str">
        <f aca="false">IF($N583="","",IFERROR(INDEX(VAT_Codes!$H:$H,MATCH($N583,VAT_Codes!$A:$A,0)),"")&amp;"")</f>
        <v/>
      </c>
      <c r="Y583" s="24" t="str">
        <f aca="false">IF($A583="","",(YEAR($A583)-YEAR(Settings!$C$8))*12+MONTH($A583)-MONTH(Settings!$C$8)+1)</f>
        <v/>
      </c>
      <c r="Z583" s="24" t="str">
        <f aca="false">IF(AND($C583="",$I583="",$J583=""),"",IF($N583="","NO VAT CODE",IF($T583="","UNKNOWN VAT CODE",IF($S583="","MISSING FX RATE",IF(OR($A583&lt;Settings!$C$8,$A583&gt;Settings!$C$9),"OUTSIDE PERIOD",IF(AND(IFERROR(INDEX(VAT_Codes!$E:$E,MATCH($N583,VAT_Codes!$A:$A,0)),"ANY")&lt;&gt;"ANY",$P583=""),"MISSING COUNTERPARTY COUNTRY",IF(AND(IFERROR(INDEX(VAT_Codes!$E:$E,MATCH($N583,VAT_Codes!$A:$A,0)),"ANY")&lt;&gt;"ANY",$P583&lt;&gt;IFERROR(INDEX(VAT_Codes!$E:$E,MATCH($N583,VAT_Codes!$A:$A,0)),"ANY")),"REGION MISMATCH","OK")))))))</f>
        <v/>
      </c>
    </row>
    <row r="584" customFormat="false" ht="15" hidden="false" customHeight="false" outlineLevel="0" collapsed="false">
      <c r="M584" s="24" t="str">
        <f aca="false">IF($C584="","",IFERROR(INDEX(Account_Mapping!$C:$C,MATCH($C584&amp;"",Account_Mapping!$A:$A,0))&amp;"",""))</f>
        <v/>
      </c>
      <c r="N584" s="24" t="str">
        <f aca="false">IF($K584&lt;&gt;"",$K584,$M584)</f>
        <v/>
      </c>
      <c r="O584" s="24" t="str">
        <f aca="false">IF($F584="","",IFERROR(INDEX(Counterparties!$C:$C,MATCH($F584&amp;"",Counterparties!$A:$A,0))&amp;"",""))</f>
        <v/>
      </c>
      <c r="P584" s="24" t="str">
        <f aca="false">IF($O584="","",IF($O584="CY","CY",IF(ISNUMBER(MATCH($O584,Lists!$A:$A,0)),"EU","3RD")))</f>
        <v/>
      </c>
      <c r="Q584" s="24" t="str">
        <f aca="false">IF($F584="","N",IFERROR(IF(INDEX(Counterparties!$E:$E,MATCH($F584&amp;"",Counterparties!$A:$A,0))="Y","Y","N"),"N"))</f>
        <v>N</v>
      </c>
      <c r="R584" s="25" t="n">
        <f aca="false">IF(OR($H584="",$H584="EUR"),1,IFERROR(INDEX(FX_Rates!$D:$D,MATCH($H584,FX_Rates!$A:$A,0)),""))</f>
        <v>1</v>
      </c>
      <c r="S584" s="26" t="str">
        <f aca="false">IF(AND($I584="",$J584=""),"",IF($J584&lt;&gt;"",$J584,IF(OR($R584="",$R584=0),"",ROUND($I584/$R584,2))))</f>
        <v/>
      </c>
      <c r="T584" s="24" t="str">
        <f aca="false">IF($N584="","",IFERROR(INDEX(VAT_Codes!$C:$C,MATCH($N584,VAT_Codes!$A:$A,0)),"")&amp;"")</f>
        <v/>
      </c>
      <c r="U584" s="26" t="n">
        <f aca="false">IF(OR($S584="",$T584="",$T584="None"),0,IF($T584="Output",-$S584,$S584))</f>
        <v>0</v>
      </c>
      <c r="V584" s="27" t="n">
        <f aca="false">IF($N584="",0,IFERROR(INDEX(VAT_Codes!$D:$D,MATCH($N584,VAT_Codes!$A:$A,0)),0))</f>
        <v>0</v>
      </c>
      <c r="W584" s="26" t="n">
        <f aca="false">IF($U584=0,0,IF(IFERROR(INDEX(VAT_Codes!$F:$F,MATCH($N584,VAT_Codes!$A:$A,0)),"N")="Y",$U584,IF($L584&lt;&gt;"",ROUND(ABS($L584)/IF(OR($R584="",$R584=0),1,$R584),2)*SIGN($U584),ROUND($U584*$V584,2))))</f>
        <v>0</v>
      </c>
      <c r="X584" s="24" t="str">
        <f aca="false">IF($N584="","",IFERROR(INDEX(VAT_Codes!$H:$H,MATCH($N584,VAT_Codes!$A:$A,0)),"")&amp;"")</f>
        <v/>
      </c>
      <c r="Y584" s="24" t="str">
        <f aca="false">IF($A584="","",(YEAR($A584)-YEAR(Settings!$C$8))*12+MONTH($A584)-MONTH(Settings!$C$8)+1)</f>
        <v/>
      </c>
      <c r="Z584" s="24" t="str">
        <f aca="false">IF(AND($C584="",$I584="",$J584=""),"",IF($N584="","NO VAT CODE",IF($T584="","UNKNOWN VAT CODE",IF($S584="","MISSING FX RATE",IF(OR($A584&lt;Settings!$C$8,$A584&gt;Settings!$C$9),"OUTSIDE PERIOD",IF(AND(IFERROR(INDEX(VAT_Codes!$E:$E,MATCH($N584,VAT_Codes!$A:$A,0)),"ANY")&lt;&gt;"ANY",$P584=""),"MISSING COUNTERPARTY COUNTRY",IF(AND(IFERROR(INDEX(VAT_Codes!$E:$E,MATCH($N584,VAT_Codes!$A:$A,0)),"ANY")&lt;&gt;"ANY",$P584&lt;&gt;IFERROR(INDEX(VAT_Codes!$E:$E,MATCH($N584,VAT_Codes!$A:$A,0)),"ANY")),"REGION MISMATCH","OK")))))))</f>
        <v/>
      </c>
    </row>
    <row r="585" customFormat="false" ht="15" hidden="false" customHeight="false" outlineLevel="0" collapsed="false">
      <c r="M585" s="24" t="str">
        <f aca="false">IF($C585="","",IFERROR(INDEX(Account_Mapping!$C:$C,MATCH($C585&amp;"",Account_Mapping!$A:$A,0))&amp;"",""))</f>
        <v/>
      </c>
      <c r="N585" s="24" t="str">
        <f aca="false">IF($K585&lt;&gt;"",$K585,$M585)</f>
        <v/>
      </c>
      <c r="O585" s="24" t="str">
        <f aca="false">IF($F585="","",IFERROR(INDEX(Counterparties!$C:$C,MATCH($F585&amp;"",Counterparties!$A:$A,0))&amp;"",""))</f>
        <v/>
      </c>
      <c r="P585" s="24" t="str">
        <f aca="false">IF($O585="","",IF($O585="CY","CY",IF(ISNUMBER(MATCH($O585,Lists!$A:$A,0)),"EU","3RD")))</f>
        <v/>
      </c>
      <c r="Q585" s="24" t="str">
        <f aca="false">IF($F585="","N",IFERROR(IF(INDEX(Counterparties!$E:$E,MATCH($F585&amp;"",Counterparties!$A:$A,0))="Y","Y","N"),"N"))</f>
        <v>N</v>
      </c>
      <c r="R585" s="25" t="n">
        <f aca="false">IF(OR($H585="",$H585="EUR"),1,IFERROR(INDEX(FX_Rates!$D:$D,MATCH($H585,FX_Rates!$A:$A,0)),""))</f>
        <v>1</v>
      </c>
      <c r="S585" s="26" t="str">
        <f aca="false">IF(AND($I585="",$J585=""),"",IF($J585&lt;&gt;"",$J585,IF(OR($R585="",$R585=0),"",ROUND($I585/$R585,2))))</f>
        <v/>
      </c>
      <c r="T585" s="24" t="str">
        <f aca="false">IF($N585="","",IFERROR(INDEX(VAT_Codes!$C:$C,MATCH($N585,VAT_Codes!$A:$A,0)),"")&amp;"")</f>
        <v/>
      </c>
      <c r="U585" s="26" t="n">
        <f aca="false">IF(OR($S585="",$T585="",$T585="None"),0,IF($T585="Output",-$S585,$S585))</f>
        <v>0</v>
      </c>
      <c r="V585" s="27" t="n">
        <f aca="false">IF($N585="",0,IFERROR(INDEX(VAT_Codes!$D:$D,MATCH($N585,VAT_Codes!$A:$A,0)),0))</f>
        <v>0</v>
      </c>
      <c r="W585" s="26" t="n">
        <f aca="false">IF($U585=0,0,IF(IFERROR(INDEX(VAT_Codes!$F:$F,MATCH($N585,VAT_Codes!$A:$A,0)),"N")="Y",$U585,IF($L585&lt;&gt;"",ROUND(ABS($L585)/IF(OR($R585="",$R585=0),1,$R585),2)*SIGN($U585),ROUND($U585*$V585,2))))</f>
        <v>0</v>
      </c>
      <c r="X585" s="24" t="str">
        <f aca="false">IF($N585="","",IFERROR(INDEX(VAT_Codes!$H:$H,MATCH($N585,VAT_Codes!$A:$A,0)),"")&amp;"")</f>
        <v/>
      </c>
      <c r="Y585" s="24" t="str">
        <f aca="false">IF($A585="","",(YEAR($A585)-YEAR(Settings!$C$8))*12+MONTH($A585)-MONTH(Settings!$C$8)+1)</f>
        <v/>
      </c>
      <c r="Z585" s="24" t="str">
        <f aca="false">IF(AND($C585="",$I585="",$J585=""),"",IF($N585="","NO VAT CODE",IF($T585="","UNKNOWN VAT CODE",IF($S585="","MISSING FX RATE",IF(OR($A585&lt;Settings!$C$8,$A585&gt;Settings!$C$9),"OUTSIDE PERIOD",IF(AND(IFERROR(INDEX(VAT_Codes!$E:$E,MATCH($N585,VAT_Codes!$A:$A,0)),"ANY")&lt;&gt;"ANY",$P585=""),"MISSING COUNTERPARTY COUNTRY",IF(AND(IFERROR(INDEX(VAT_Codes!$E:$E,MATCH($N585,VAT_Codes!$A:$A,0)),"ANY")&lt;&gt;"ANY",$P585&lt;&gt;IFERROR(INDEX(VAT_Codes!$E:$E,MATCH($N585,VAT_Codes!$A:$A,0)),"ANY")),"REGION MISMATCH","OK")))))))</f>
        <v/>
      </c>
    </row>
    <row r="586" customFormat="false" ht="15" hidden="false" customHeight="false" outlineLevel="0" collapsed="false">
      <c r="M586" s="24" t="str">
        <f aca="false">IF($C586="","",IFERROR(INDEX(Account_Mapping!$C:$C,MATCH($C586&amp;"",Account_Mapping!$A:$A,0))&amp;"",""))</f>
        <v/>
      </c>
      <c r="N586" s="24" t="str">
        <f aca="false">IF($K586&lt;&gt;"",$K586,$M586)</f>
        <v/>
      </c>
      <c r="O586" s="24" t="str">
        <f aca="false">IF($F586="","",IFERROR(INDEX(Counterparties!$C:$C,MATCH($F586&amp;"",Counterparties!$A:$A,0))&amp;"",""))</f>
        <v/>
      </c>
      <c r="P586" s="24" t="str">
        <f aca="false">IF($O586="","",IF($O586="CY","CY",IF(ISNUMBER(MATCH($O586,Lists!$A:$A,0)),"EU","3RD")))</f>
        <v/>
      </c>
      <c r="Q586" s="24" t="str">
        <f aca="false">IF($F586="","N",IFERROR(IF(INDEX(Counterparties!$E:$E,MATCH($F586&amp;"",Counterparties!$A:$A,0))="Y","Y","N"),"N"))</f>
        <v>N</v>
      </c>
      <c r="R586" s="25" t="n">
        <f aca="false">IF(OR($H586="",$H586="EUR"),1,IFERROR(INDEX(FX_Rates!$D:$D,MATCH($H586,FX_Rates!$A:$A,0)),""))</f>
        <v>1</v>
      </c>
      <c r="S586" s="26" t="str">
        <f aca="false">IF(AND($I586="",$J586=""),"",IF($J586&lt;&gt;"",$J586,IF(OR($R586="",$R586=0),"",ROUND($I586/$R586,2))))</f>
        <v/>
      </c>
      <c r="T586" s="24" t="str">
        <f aca="false">IF($N586="","",IFERROR(INDEX(VAT_Codes!$C:$C,MATCH($N586,VAT_Codes!$A:$A,0)),"")&amp;"")</f>
        <v/>
      </c>
      <c r="U586" s="26" t="n">
        <f aca="false">IF(OR($S586="",$T586="",$T586="None"),0,IF($T586="Output",-$S586,$S586))</f>
        <v>0</v>
      </c>
      <c r="V586" s="27" t="n">
        <f aca="false">IF($N586="",0,IFERROR(INDEX(VAT_Codes!$D:$D,MATCH($N586,VAT_Codes!$A:$A,0)),0))</f>
        <v>0</v>
      </c>
      <c r="W586" s="26" t="n">
        <f aca="false">IF($U586=0,0,IF(IFERROR(INDEX(VAT_Codes!$F:$F,MATCH($N586,VAT_Codes!$A:$A,0)),"N")="Y",$U586,IF($L586&lt;&gt;"",ROUND(ABS($L586)/IF(OR($R586="",$R586=0),1,$R586),2)*SIGN($U586),ROUND($U586*$V586,2))))</f>
        <v>0</v>
      </c>
      <c r="X586" s="24" t="str">
        <f aca="false">IF($N586="","",IFERROR(INDEX(VAT_Codes!$H:$H,MATCH($N586,VAT_Codes!$A:$A,0)),"")&amp;"")</f>
        <v/>
      </c>
      <c r="Y586" s="24" t="str">
        <f aca="false">IF($A586="","",(YEAR($A586)-YEAR(Settings!$C$8))*12+MONTH($A586)-MONTH(Settings!$C$8)+1)</f>
        <v/>
      </c>
      <c r="Z586" s="24" t="str">
        <f aca="false">IF(AND($C586="",$I586="",$J586=""),"",IF($N586="","NO VAT CODE",IF($T586="","UNKNOWN VAT CODE",IF($S586="","MISSING FX RATE",IF(OR($A586&lt;Settings!$C$8,$A586&gt;Settings!$C$9),"OUTSIDE PERIOD",IF(AND(IFERROR(INDEX(VAT_Codes!$E:$E,MATCH($N586,VAT_Codes!$A:$A,0)),"ANY")&lt;&gt;"ANY",$P586=""),"MISSING COUNTERPARTY COUNTRY",IF(AND(IFERROR(INDEX(VAT_Codes!$E:$E,MATCH($N586,VAT_Codes!$A:$A,0)),"ANY")&lt;&gt;"ANY",$P586&lt;&gt;IFERROR(INDEX(VAT_Codes!$E:$E,MATCH($N586,VAT_Codes!$A:$A,0)),"ANY")),"REGION MISMATCH","OK")))))))</f>
        <v/>
      </c>
    </row>
    <row r="587" customFormat="false" ht="15" hidden="false" customHeight="false" outlineLevel="0" collapsed="false">
      <c r="M587" s="24" t="str">
        <f aca="false">IF($C587="","",IFERROR(INDEX(Account_Mapping!$C:$C,MATCH($C587&amp;"",Account_Mapping!$A:$A,0))&amp;"",""))</f>
        <v/>
      </c>
      <c r="N587" s="24" t="str">
        <f aca="false">IF($K587&lt;&gt;"",$K587,$M587)</f>
        <v/>
      </c>
      <c r="O587" s="24" t="str">
        <f aca="false">IF($F587="","",IFERROR(INDEX(Counterparties!$C:$C,MATCH($F587&amp;"",Counterparties!$A:$A,0))&amp;"",""))</f>
        <v/>
      </c>
      <c r="P587" s="24" t="str">
        <f aca="false">IF($O587="","",IF($O587="CY","CY",IF(ISNUMBER(MATCH($O587,Lists!$A:$A,0)),"EU","3RD")))</f>
        <v/>
      </c>
      <c r="Q587" s="24" t="str">
        <f aca="false">IF($F587="","N",IFERROR(IF(INDEX(Counterparties!$E:$E,MATCH($F587&amp;"",Counterparties!$A:$A,0))="Y","Y","N"),"N"))</f>
        <v>N</v>
      </c>
      <c r="R587" s="25" t="n">
        <f aca="false">IF(OR($H587="",$H587="EUR"),1,IFERROR(INDEX(FX_Rates!$D:$D,MATCH($H587,FX_Rates!$A:$A,0)),""))</f>
        <v>1</v>
      </c>
      <c r="S587" s="26" t="str">
        <f aca="false">IF(AND($I587="",$J587=""),"",IF($J587&lt;&gt;"",$J587,IF(OR($R587="",$R587=0),"",ROUND($I587/$R587,2))))</f>
        <v/>
      </c>
      <c r="T587" s="24" t="str">
        <f aca="false">IF($N587="","",IFERROR(INDEX(VAT_Codes!$C:$C,MATCH($N587,VAT_Codes!$A:$A,0)),"")&amp;"")</f>
        <v/>
      </c>
      <c r="U587" s="26" t="n">
        <f aca="false">IF(OR($S587="",$T587="",$T587="None"),0,IF($T587="Output",-$S587,$S587))</f>
        <v>0</v>
      </c>
      <c r="V587" s="27" t="n">
        <f aca="false">IF($N587="",0,IFERROR(INDEX(VAT_Codes!$D:$D,MATCH($N587,VAT_Codes!$A:$A,0)),0))</f>
        <v>0</v>
      </c>
      <c r="W587" s="26" t="n">
        <f aca="false">IF($U587=0,0,IF(IFERROR(INDEX(VAT_Codes!$F:$F,MATCH($N587,VAT_Codes!$A:$A,0)),"N")="Y",$U587,IF($L587&lt;&gt;"",ROUND(ABS($L587)/IF(OR($R587="",$R587=0),1,$R587),2)*SIGN($U587),ROUND($U587*$V587,2))))</f>
        <v>0</v>
      </c>
      <c r="X587" s="24" t="str">
        <f aca="false">IF($N587="","",IFERROR(INDEX(VAT_Codes!$H:$H,MATCH($N587,VAT_Codes!$A:$A,0)),"")&amp;"")</f>
        <v/>
      </c>
      <c r="Y587" s="24" t="str">
        <f aca="false">IF($A587="","",(YEAR($A587)-YEAR(Settings!$C$8))*12+MONTH($A587)-MONTH(Settings!$C$8)+1)</f>
        <v/>
      </c>
      <c r="Z587" s="24" t="str">
        <f aca="false">IF(AND($C587="",$I587="",$J587=""),"",IF($N587="","NO VAT CODE",IF($T587="","UNKNOWN VAT CODE",IF($S587="","MISSING FX RATE",IF(OR($A587&lt;Settings!$C$8,$A587&gt;Settings!$C$9),"OUTSIDE PERIOD",IF(AND(IFERROR(INDEX(VAT_Codes!$E:$E,MATCH($N587,VAT_Codes!$A:$A,0)),"ANY")&lt;&gt;"ANY",$P587=""),"MISSING COUNTERPARTY COUNTRY",IF(AND(IFERROR(INDEX(VAT_Codes!$E:$E,MATCH($N587,VAT_Codes!$A:$A,0)),"ANY")&lt;&gt;"ANY",$P587&lt;&gt;IFERROR(INDEX(VAT_Codes!$E:$E,MATCH($N587,VAT_Codes!$A:$A,0)),"ANY")),"REGION MISMATCH","OK")))))))</f>
        <v/>
      </c>
    </row>
    <row r="588" customFormat="false" ht="15" hidden="false" customHeight="false" outlineLevel="0" collapsed="false">
      <c r="M588" s="24" t="str">
        <f aca="false">IF($C588="","",IFERROR(INDEX(Account_Mapping!$C:$C,MATCH($C588&amp;"",Account_Mapping!$A:$A,0))&amp;"",""))</f>
        <v/>
      </c>
      <c r="N588" s="24" t="str">
        <f aca="false">IF($K588&lt;&gt;"",$K588,$M588)</f>
        <v/>
      </c>
      <c r="O588" s="24" t="str">
        <f aca="false">IF($F588="","",IFERROR(INDEX(Counterparties!$C:$C,MATCH($F588&amp;"",Counterparties!$A:$A,0))&amp;"",""))</f>
        <v/>
      </c>
      <c r="P588" s="24" t="str">
        <f aca="false">IF($O588="","",IF($O588="CY","CY",IF(ISNUMBER(MATCH($O588,Lists!$A:$A,0)),"EU","3RD")))</f>
        <v/>
      </c>
      <c r="Q588" s="24" t="str">
        <f aca="false">IF($F588="","N",IFERROR(IF(INDEX(Counterparties!$E:$E,MATCH($F588&amp;"",Counterparties!$A:$A,0))="Y","Y","N"),"N"))</f>
        <v>N</v>
      </c>
      <c r="R588" s="25" t="n">
        <f aca="false">IF(OR($H588="",$H588="EUR"),1,IFERROR(INDEX(FX_Rates!$D:$D,MATCH($H588,FX_Rates!$A:$A,0)),""))</f>
        <v>1</v>
      </c>
      <c r="S588" s="26" t="str">
        <f aca="false">IF(AND($I588="",$J588=""),"",IF($J588&lt;&gt;"",$J588,IF(OR($R588="",$R588=0),"",ROUND($I588/$R588,2))))</f>
        <v/>
      </c>
      <c r="T588" s="24" t="str">
        <f aca="false">IF($N588="","",IFERROR(INDEX(VAT_Codes!$C:$C,MATCH($N588,VAT_Codes!$A:$A,0)),"")&amp;"")</f>
        <v/>
      </c>
      <c r="U588" s="26" t="n">
        <f aca="false">IF(OR($S588="",$T588="",$T588="None"),0,IF($T588="Output",-$S588,$S588))</f>
        <v>0</v>
      </c>
      <c r="V588" s="27" t="n">
        <f aca="false">IF($N588="",0,IFERROR(INDEX(VAT_Codes!$D:$D,MATCH($N588,VAT_Codes!$A:$A,0)),0))</f>
        <v>0</v>
      </c>
      <c r="W588" s="26" t="n">
        <f aca="false">IF($U588=0,0,IF(IFERROR(INDEX(VAT_Codes!$F:$F,MATCH($N588,VAT_Codes!$A:$A,0)),"N")="Y",$U588,IF($L588&lt;&gt;"",ROUND(ABS($L588)/IF(OR($R588="",$R588=0),1,$R588),2)*SIGN($U588),ROUND($U588*$V588,2))))</f>
        <v>0</v>
      </c>
      <c r="X588" s="24" t="str">
        <f aca="false">IF($N588="","",IFERROR(INDEX(VAT_Codes!$H:$H,MATCH($N588,VAT_Codes!$A:$A,0)),"")&amp;"")</f>
        <v/>
      </c>
      <c r="Y588" s="24" t="str">
        <f aca="false">IF($A588="","",(YEAR($A588)-YEAR(Settings!$C$8))*12+MONTH($A588)-MONTH(Settings!$C$8)+1)</f>
        <v/>
      </c>
      <c r="Z588" s="24" t="str">
        <f aca="false">IF(AND($C588="",$I588="",$J588=""),"",IF($N588="","NO VAT CODE",IF($T588="","UNKNOWN VAT CODE",IF($S588="","MISSING FX RATE",IF(OR($A588&lt;Settings!$C$8,$A588&gt;Settings!$C$9),"OUTSIDE PERIOD",IF(AND(IFERROR(INDEX(VAT_Codes!$E:$E,MATCH($N588,VAT_Codes!$A:$A,0)),"ANY")&lt;&gt;"ANY",$P588=""),"MISSING COUNTERPARTY COUNTRY",IF(AND(IFERROR(INDEX(VAT_Codes!$E:$E,MATCH($N588,VAT_Codes!$A:$A,0)),"ANY")&lt;&gt;"ANY",$P588&lt;&gt;IFERROR(INDEX(VAT_Codes!$E:$E,MATCH($N588,VAT_Codes!$A:$A,0)),"ANY")),"REGION MISMATCH","OK")))))))</f>
        <v/>
      </c>
    </row>
    <row r="589" customFormat="false" ht="15" hidden="false" customHeight="false" outlineLevel="0" collapsed="false">
      <c r="M589" s="24" t="str">
        <f aca="false">IF($C589="","",IFERROR(INDEX(Account_Mapping!$C:$C,MATCH($C589&amp;"",Account_Mapping!$A:$A,0))&amp;"",""))</f>
        <v/>
      </c>
      <c r="N589" s="24" t="str">
        <f aca="false">IF($K589&lt;&gt;"",$K589,$M589)</f>
        <v/>
      </c>
      <c r="O589" s="24" t="str">
        <f aca="false">IF($F589="","",IFERROR(INDEX(Counterparties!$C:$C,MATCH($F589&amp;"",Counterparties!$A:$A,0))&amp;"",""))</f>
        <v/>
      </c>
      <c r="P589" s="24" t="str">
        <f aca="false">IF($O589="","",IF($O589="CY","CY",IF(ISNUMBER(MATCH($O589,Lists!$A:$A,0)),"EU","3RD")))</f>
        <v/>
      </c>
      <c r="Q589" s="24" t="str">
        <f aca="false">IF($F589="","N",IFERROR(IF(INDEX(Counterparties!$E:$E,MATCH($F589&amp;"",Counterparties!$A:$A,0))="Y","Y","N"),"N"))</f>
        <v>N</v>
      </c>
      <c r="R589" s="25" t="n">
        <f aca="false">IF(OR($H589="",$H589="EUR"),1,IFERROR(INDEX(FX_Rates!$D:$D,MATCH($H589,FX_Rates!$A:$A,0)),""))</f>
        <v>1</v>
      </c>
      <c r="S589" s="26" t="str">
        <f aca="false">IF(AND($I589="",$J589=""),"",IF($J589&lt;&gt;"",$J589,IF(OR($R589="",$R589=0),"",ROUND($I589/$R589,2))))</f>
        <v/>
      </c>
      <c r="T589" s="24" t="str">
        <f aca="false">IF($N589="","",IFERROR(INDEX(VAT_Codes!$C:$C,MATCH($N589,VAT_Codes!$A:$A,0)),"")&amp;"")</f>
        <v/>
      </c>
      <c r="U589" s="26" t="n">
        <f aca="false">IF(OR($S589="",$T589="",$T589="None"),0,IF($T589="Output",-$S589,$S589))</f>
        <v>0</v>
      </c>
      <c r="V589" s="27" t="n">
        <f aca="false">IF($N589="",0,IFERROR(INDEX(VAT_Codes!$D:$D,MATCH($N589,VAT_Codes!$A:$A,0)),0))</f>
        <v>0</v>
      </c>
      <c r="W589" s="26" t="n">
        <f aca="false">IF($U589=0,0,IF(IFERROR(INDEX(VAT_Codes!$F:$F,MATCH($N589,VAT_Codes!$A:$A,0)),"N")="Y",$U589,IF($L589&lt;&gt;"",ROUND(ABS($L589)/IF(OR($R589="",$R589=0),1,$R589),2)*SIGN($U589),ROUND($U589*$V589,2))))</f>
        <v>0</v>
      </c>
      <c r="X589" s="24" t="str">
        <f aca="false">IF($N589="","",IFERROR(INDEX(VAT_Codes!$H:$H,MATCH($N589,VAT_Codes!$A:$A,0)),"")&amp;"")</f>
        <v/>
      </c>
      <c r="Y589" s="24" t="str">
        <f aca="false">IF($A589="","",(YEAR($A589)-YEAR(Settings!$C$8))*12+MONTH($A589)-MONTH(Settings!$C$8)+1)</f>
        <v/>
      </c>
      <c r="Z589" s="24" t="str">
        <f aca="false">IF(AND($C589="",$I589="",$J589=""),"",IF($N589="","NO VAT CODE",IF($T589="","UNKNOWN VAT CODE",IF($S589="","MISSING FX RATE",IF(OR($A589&lt;Settings!$C$8,$A589&gt;Settings!$C$9),"OUTSIDE PERIOD",IF(AND(IFERROR(INDEX(VAT_Codes!$E:$E,MATCH($N589,VAT_Codes!$A:$A,0)),"ANY")&lt;&gt;"ANY",$P589=""),"MISSING COUNTERPARTY COUNTRY",IF(AND(IFERROR(INDEX(VAT_Codes!$E:$E,MATCH($N589,VAT_Codes!$A:$A,0)),"ANY")&lt;&gt;"ANY",$P589&lt;&gt;IFERROR(INDEX(VAT_Codes!$E:$E,MATCH($N589,VAT_Codes!$A:$A,0)),"ANY")),"REGION MISMATCH","OK")))))))</f>
        <v/>
      </c>
    </row>
    <row r="590" customFormat="false" ht="15" hidden="false" customHeight="false" outlineLevel="0" collapsed="false">
      <c r="M590" s="24" t="str">
        <f aca="false">IF($C590="","",IFERROR(INDEX(Account_Mapping!$C:$C,MATCH($C590&amp;"",Account_Mapping!$A:$A,0))&amp;"",""))</f>
        <v/>
      </c>
      <c r="N590" s="24" t="str">
        <f aca="false">IF($K590&lt;&gt;"",$K590,$M590)</f>
        <v/>
      </c>
      <c r="O590" s="24" t="str">
        <f aca="false">IF($F590="","",IFERROR(INDEX(Counterparties!$C:$C,MATCH($F590&amp;"",Counterparties!$A:$A,0))&amp;"",""))</f>
        <v/>
      </c>
      <c r="P590" s="24" t="str">
        <f aca="false">IF($O590="","",IF($O590="CY","CY",IF(ISNUMBER(MATCH($O590,Lists!$A:$A,0)),"EU","3RD")))</f>
        <v/>
      </c>
      <c r="Q590" s="24" t="str">
        <f aca="false">IF($F590="","N",IFERROR(IF(INDEX(Counterparties!$E:$E,MATCH($F590&amp;"",Counterparties!$A:$A,0))="Y","Y","N"),"N"))</f>
        <v>N</v>
      </c>
      <c r="R590" s="25" t="n">
        <f aca="false">IF(OR($H590="",$H590="EUR"),1,IFERROR(INDEX(FX_Rates!$D:$D,MATCH($H590,FX_Rates!$A:$A,0)),""))</f>
        <v>1</v>
      </c>
      <c r="S590" s="26" t="str">
        <f aca="false">IF(AND($I590="",$J590=""),"",IF($J590&lt;&gt;"",$J590,IF(OR($R590="",$R590=0),"",ROUND($I590/$R590,2))))</f>
        <v/>
      </c>
      <c r="T590" s="24" t="str">
        <f aca="false">IF($N590="","",IFERROR(INDEX(VAT_Codes!$C:$C,MATCH($N590,VAT_Codes!$A:$A,0)),"")&amp;"")</f>
        <v/>
      </c>
      <c r="U590" s="26" t="n">
        <f aca="false">IF(OR($S590="",$T590="",$T590="None"),0,IF($T590="Output",-$S590,$S590))</f>
        <v>0</v>
      </c>
      <c r="V590" s="27" t="n">
        <f aca="false">IF($N590="",0,IFERROR(INDEX(VAT_Codes!$D:$D,MATCH($N590,VAT_Codes!$A:$A,0)),0))</f>
        <v>0</v>
      </c>
      <c r="W590" s="26" t="n">
        <f aca="false">IF($U590=0,0,IF(IFERROR(INDEX(VAT_Codes!$F:$F,MATCH($N590,VAT_Codes!$A:$A,0)),"N")="Y",$U590,IF($L590&lt;&gt;"",ROUND(ABS($L590)/IF(OR($R590="",$R590=0),1,$R590),2)*SIGN($U590),ROUND($U590*$V590,2))))</f>
        <v>0</v>
      </c>
      <c r="X590" s="24" t="str">
        <f aca="false">IF($N590="","",IFERROR(INDEX(VAT_Codes!$H:$H,MATCH($N590,VAT_Codes!$A:$A,0)),"")&amp;"")</f>
        <v/>
      </c>
      <c r="Y590" s="24" t="str">
        <f aca="false">IF($A590="","",(YEAR($A590)-YEAR(Settings!$C$8))*12+MONTH($A590)-MONTH(Settings!$C$8)+1)</f>
        <v/>
      </c>
      <c r="Z590" s="24" t="str">
        <f aca="false">IF(AND($C590="",$I590="",$J590=""),"",IF($N590="","NO VAT CODE",IF($T590="","UNKNOWN VAT CODE",IF($S590="","MISSING FX RATE",IF(OR($A590&lt;Settings!$C$8,$A590&gt;Settings!$C$9),"OUTSIDE PERIOD",IF(AND(IFERROR(INDEX(VAT_Codes!$E:$E,MATCH($N590,VAT_Codes!$A:$A,0)),"ANY")&lt;&gt;"ANY",$P590=""),"MISSING COUNTERPARTY COUNTRY",IF(AND(IFERROR(INDEX(VAT_Codes!$E:$E,MATCH($N590,VAT_Codes!$A:$A,0)),"ANY")&lt;&gt;"ANY",$P590&lt;&gt;IFERROR(INDEX(VAT_Codes!$E:$E,MATCH($N590,VAT_Codes!$A:$A,0)),"ANY")),"REGION MISMATCH","OK")))))))</f>
        <v/>
      </c>
    </row>
    <row r="591" customFormat="false" ht="15" hidden="false" customHeight="false" outlineLevel="0" collapsed="false">
      <c r="M591" s="24" t="str">
        <f aca="false">IF($C591="","",IFERROR(INDEX(Account_Mapping!$C:$C,MATCH($C591&amp;"",Account_Mapping!$A:$A,0))&amp;"",""))</f>
        <v/>
      </c>
      <c r="N591" s="24" t="str">
        <f aca="false">IF($K591&lt;&gt;"",$K591,$M591)</f>
        <v/>
      </c>
      <c r="O591" s="24" t="str">
        <f aca="false">IF($F591="","",IFERROR(INDEX(Counterparties!$C:$C,MATCH($F591&amp;"",Counterparties!$A:$A,0))&amp;"",""))</f>
        <v/>
      </c>
      <c r="P591" s="24" t="str">
        <f aca="false">IF($O591="","",IF($O591="CY","CY",IF(ISNUMBER(MATCH($O591,Lists!$A:$A,0)),"EU","3RD")))</f>
        <v/>
      </c>
      <c r="Q591" s="24" t="str">
        <f aca="false">IF($F591="","N",IFERROR(IF(INDEX(Counterparties!$E:$E,MATCH($F591&amp;"",Counterparties!$A:$A,0))="Y","Y","N"),"N"))</f>
        <v>N</v>
      </c>
      <c r="R591" s="25" t="n">
        <f aca="false">IF(OR($H591="",$H591="EUR"),1,IFERROR(INDEX(FX_Rates!$D:$D,MATCH($H591,FX_Rates!$A:$A,0)),""))</f>
        <v>1</v>
      </c>
      <c r="S591" s="26" t="str">
        <f aca="false">IF(AND($I591="",$J591=""),"",IF($J591&lt;&gt;"",$J591,IF(OR($R591="",$R591=0),"",ROUND($I591/$R591,2))))</f>
        <v/>
      </c>
      <c r="T591" s="24" t="str">
        <f aca="false">IF($N591="","",IFERROR(INDEX(VAT_Codes!$C:$C,MATCH($N591,VAT_Codes!$A:$A,0)),"")&amp;"")</f>
        <v/>
      </c>
      <c r="U591" s="26" t="n">
        <f aca="false">IF(OR($S591="",$T591="",$T591="None"),0,IF($T591="Output",-$S591,$S591))</f>
        <v>0</v>
      </c>
      <c r="V591" s="27" t="n">
        <f aca="false">IF($N591="",0,IFERROR(INDEX(VAT_Codes!$D:$D,MATCH($N591,VAT_Codes!$A:$A,0)),0))</f>
        <v>0</v>
      </c>
      <c r="W591" s="26" t="n">
        <f aca="false">IF($U591=0,0,IF(IFERROR(INDEX(VAT_Codes!$F:$F,MATCH($N591,VAT_Codes!$A:$A,0)),"N")="Y",$U591,IF($L591&lt;&gt;"",ROUND(ABS($L591)/IF(OR($R591="",$R591=0),1,$R591),2)*SIGN($U591),ROUND($U591*$V591,2))))</f>
        <v>0</v>
      </c>
      <c r="X591" s="24" t="str">
        <f aca="false">IF($N591="","",IFERROR(INDEX(VAT_Codes!$H:$H,MATCH($N591,VAT_Codes!$A:$A,0)),"")&amp;"")</f>
        <v/>
      </c>
      <c r="Y591" s="24" t="str">
        <f aca="false">IF($A591="","",(YEAR($A591)-YEAR(Settings!$C$8))*12+MONTH($A591)-MONTH(Settings!$C$8)+1)</f>
        <v/>
      </c>
      <c r="Z591" s="24" t="str">
        <f aca="false">IF(AND($C591="",$I591="",$J591=""),"",IF($N591="","NO VAT CODE",IF($T591="","UNKNOWN VAT CODE",IF($S591="","MISSING FX RATE",IF(OR($A591&lt;Settings!$C$8,$A591&gt;Settings!$C$9),"OUTSIDE PERIOD",IF(AND(IFERROR(INDEX(VAT_Codes!$E:$E,MATCH($N591,VAT_Codes!$A:$A,0)),"ANY")&lt;&gt;"ANY",$P591=""),"MISSING COUNTERPARTY COUNTRY",IF(AND(IFERROR(INDEX(VAT_Codes!$E:$E,MATCH($N591,VAT_Codes!$A:$A,0)),"ANY")&lt;&gt;"ANY",$P591&lt;&gt;IFERROR(INDEX(VAT_Codes!$E:$E,MATCH($N591,VAT_Codes!$A:$A,0)),"ANY")),"REGION MISMATCH","OK")))))))</f>
        <v/>
      </c>
    </row>
    <row r="592" customFormat="false" ht="15" hidden="false" customHeight="false" outlineLevel="0" collapsed="false">
      <c r="M592" s="24" t="str">
        <f aca="false">IF($C592="","",IFERROR(INDEX(Account_Mapping!$C:$C,MATCH($C592&amp;"",Account_Mapping!$A:$A,0))&amp;"",""))</f>
        <v/>
      </c>
      <c r="N592" s="24" t="str">
        <f aca="false">IF($K592&lt;&gt;"",$K592,$M592)</f>
        <v/>
      </c>
      <c r="O592" s="24" t="str">
        <f aca="false">IF($F592="","",IFERROR(INDEX(Counterparties!$C:$C,MATCH($F592&amp;"",Counterparties!$A:$A,0))&amp;"",""))</f>
        <v/>
      </c>
      <c r="P592" s="24" t="str">
        <f aca="false">IF($O592="","",IF($O592="CY","CY",IF(ISNUMBER(MATCH($O592,Lists!$A:$A,0)),"EU","3RD")))</f>
        <v/>
      </c>
      <c r="Q592" s="24" t="str">
        <f aca="false">IF($F592="","N",IFERROR(IF(INDEX(Counterparties!$E:$E,MATCH($F592&amp;"",Counterparties!$A:$A,0))="Y","Y","N"),"N"))</f>
        <v>N</v>
      </c>
      <c r="R592" s="25" t="n">
        <f aca="false">IF(OR($H592="",$H592="EUR"),1,IFERROR(INDEX(FX_Rates!$D:$D,MATCH($H592,FX_Rates!$A:$A,0)),""))</f>
        <v>1</v>
      </c>
      <c r="S592" s="26" t="str">
        <f aca="false">IF(AND($I592="",$J592=""),"",IF($J592&lt;&gt;"",$J592,IF(OR($R592="",$R592=0),"",ROUND($I592/$R592,2))))</f>
        <v/>
      </c>
      <c r="T592" s="24" t="str">
        <f aca="false">IF($N592="","",IFERROR(INDEX(VAT_Codes!$C:$C,MATCH($N592,VAT_Codes!$A:$A,0)),"")&amp;"")</f>
        <v/>
      </c>
      <c r="U592" s="26" t="n">
        <f aca="false">IF(OR($S592="",$T592="",$T592="None"),0,IF($T592="Output",-$S592,$S592))</f>
        <v>0</v>
      </c>
      <c r="V592" s="27" t="n">
        <f aca="false">IF($N592="",0,IFERROR(INDEX(VAT_Codes!$D:$D,MATCH($N592,VAT_Codes!$A:$A,0)),0))</f>
        <v>0</v>
      </c>
      <c r="W592" s="26" t="n">
        <f aca="false">IF($U592=0,0,IF(IFERROR(INDEX(VAT_Codes!$F:$F,MATCH($N592,VAT_Codes!$A:$A,0)),"N")="Y",$U592,IF($L592&lt;&gt;"",ROUND(ABS($L592)/IF(OR($R592="",$R592=0),1,$R592),2)*SIGN($U592),ROUND($U592*$V592,2))))</f>
        <v>0</v>
      </c>
      <c r="X592" s="24" t="str">
        <f aca="false">IF($N592="","",IFERROR(INDEX(VAT_Codes!$H:$H,MATCH($N592,VAT_Codes!$A:$A,0)),"")&amp;"")</f>
        <v/>
      </c>
      <c r="Y592" s="24" t="str">
        <f aca="false">IF($A592="","",(YEAR($A592)-YEAR(Settings!$C$8))*12+MONTH($A592)-MONTH(Settings!$C$8)+1)</f>
        <v/>
      </c>
      <c r="Z592" s="24" t="str">
        <f aca="false">IF(AND($C592="",$I592="",$J592=""),"",IF($N592="","NO VAT CODE",IF($T592="","UNKNOWN VAT CODE",IF($S592="","MISSING FX RATE",IF(OR($A592&lt;Settings!$C$8,$A592&gt;Settings!$C$9),"OUTSIDE PERIOD",IF(AND(IFERROR(INDEX(VAT_Codes!$E:$E,MATCH($N592,VAT_Codes!$A:$A,0)),"ANY")&lt;&gt;"ANY",$P592=""),"MISSING COUNTERPARTY COUNTRY",IF(AND(IFERROR(INDEX(VAT_Codes!$E:$E,MATCH($N592,VAT_Codes!$A:$A,0)),"ANY")&lt;&gt;"ANY",$P592&lt;&gt;IFERROR(INDEX(VAT_Codes!$E:$E,MATCH($N592,VAT_Codes!$A:$A,0)),"ANY")),"REGION MISMATCH","OK")))))))</f>
        <v/>
      </c>
    </row>
    <row r="593" customFormat="false" ht="15" hidden="false" customHeight="false" outlineLevel="0" collapsed="false">
      <c r="M593" s="24" t="str">
        <f aca="false">IF($C593="","",IFERROR(INDEX(Account_Mapping!$C:$C,MATCH($C593&amp;"",Account_Mapping!$A:$A,0))&amp;"",""))</f>
        <v/>
      </c>
      <c r="N593" s="24" t="str">
        <f aca="false">IF($K593&lt;&gt;"",$K593,$M593)</f>
        <v/>
      </c>
      <c r="O593" s="24" t="str">
        <f aca="false">IF($F593="","",IFERROR(INDEX(Counterparties!$C:$C,MATCH($F593&amp;"",Counterparties!$A:$A,0))&amp;"",""))</f>
        <v/>
      </c>
      <c r="P593" s="24" t="str">
        <f aca="false">IF($O593="","",IF($O593="CY","CY",IF(ISNUMBER(MATCH($O593,Lists!$A:$A,0)),"EU","3RD")))</f>
        <v/>
      </c>
      <c r="Q593" s="24" t="str">
        <f aca="false">IF($F593="","N",IFERROR(IF(INDEX(Counterparties!$E:$E,MATCH($F593&amp;"",Counterparties!$A:$A,0))="Y","Y","N"),"N"))</f>
        <v>N</v>
      </c>
      <c r="R593" s="25" t="n">
        <f aca="false">IF(OR($H593="",$H593="EUR"),1,IFERROR(INDEX(FX_Rates!$D:$D,MATCH($H593,FX_Rates!$A:$A,0)),""))</f>
        <v>1</v>
      </c>
      <c r="S593" s="26" t="str">
        <f aca="false">IF(AND($I593="",$J593=""),"",IF($J593&lt;&gt;"",$J593,IF(OR($R593="",$R593=0),"",ROUND($I593/$R593,2))))</f>
        <v/>
      </c>
      <c r="T593" s="24" t="str">
        <f aca="false">IF($N593="","",IFERROR(INDEX(VAT_Codes!$C:$C,MATCH($N593,VAT_Codes!$A:$A,0)),"")&amp;"")</f>
        <v/>
      </c>
      <c r="U593" s="26" t="n">
        <f aca="false">IF(OR($S593="",$T593="",$T593="None"),0,IF($T593="Output",-$S593,$S593))</f>
        <v>0</v>
      </c>
      <c r="V593" s="27" t="n">
        <f aca="false">IF($N593="",0,IFERROR(INDEX(VAT_Codes!$D:$D,MATCH($N593,VAT_Codes!$A:$A,0)),0))</f>
        <v>0</v>
      </c>
      <c r="W593" s="26" t="n">
        <f aca="false">IF($U593=0,0,IF(IFERROR(INDEX(VAT_Codes!$F:$F,MATCH($N593,VAT_Codes!$A:$A,0)),"N")="Y",$U593,IF($L593&lt;&gt;"",ROUND(ABS($L593)/IF(OR($R593="",$R593=0),1,$R593),2)*SIGN($U593),ROUND($U593*$V593,2))))</f>
        <v>0</v>
      </c>
      <c r="X593" s="24" t="str">
        <f aca="false">IF($N593="","",IFERROR(INDEX(VAT_Codes!$H:$H,MATCH($N593,VAT_Codes!$A:$A,0)),"")&amp;"")</f>
        <v/>
      </c>
      <c r="Y593" s="24" t="str">
        <f aca="false">IF($A593="","",(YEAR($A593)-YEAR(Settings!$C$8))*12+MONTH($A593)-MONTH(Settings!$C$8)+1)</f>
        <v/>
      </c>
      <c r="Z593" s="24" t="str">
        <f aca="false">IF(AND($C593="",$I593="",$J593=""),"",IF($N593="","NO VAT CODE",IF($T593="","UNKNOWN VAT CODE",IF($S593="","MISSING FX RATE",IF(OR($A593&lt;Settings!$C$8,$A593&gt;Settings!$C$9),"OUTSIDE PERIOD",IF(AND(IFERROR(INDEX(VAT_Codes!$E:$E,MATCH($N593,VAT_Codes!$A:$A,0)),"ANY")&lt;&gt;"ANY",$P593=""),"MISSING COUNTERPARTY COUNTRY",IF(AND(IFERROR(INDEX(VAT_Codes!$E:$E,MATCH($N593,VAT_Codes!$A:$A,0)),"ANY")&lt;&gt;"ANY",$P593&lt;&gt;IFERROR(INDEX(VAT_Codes!$E:$E,MATCH($N593,VAT_Codes!$A:$A,0)),"ANY")),"REGION MISMATCH","OK")))))))</f>
        <v/>
      </c>
    </row>
    <row r="594" customFormat="false" ht="15" hidden="false" customHeight="false" outlineLevel="0" collapsed="false">
      <c r="M594" s="24" t="str">
        <f aca="false">IF($C594="","",IFERROR(INDEX(Account_Mapping!$C:$C,MATCH($C594&amp;"",Account_Mapping!$A:$A,0))&amp;"",""))</f>
        <v/>
      </c>
      <c r="N594" s="24" t="str">
        <f aca="false">IF($K594&lt;&gt;"",$K594,$M594)</f>
        <v/>
      </c>
      <c r="O594" s="24" t="str">
        <f aca="false">IF($F594="","",IFERROR(INDEX(Counterparties!$C:$C,MATCH($F594&amp;"",Counterparties!$A:$A,0))&amp;"",""))</f>
        <v/>
      </c>
      <c r="P594" s="24" t="str">
        <f aca="false">IF($O594="","",IF($O594="CY","CY",IF(ISNUMBER(MATCH($O594,Lists!$A:$A,0)),"EU","3RD")))</f>
        <v/>
      </c>
      <c r="Q594" s="24" t="str">
        <f aca="false">IF($F594="","N",IFERROR(IF(INDEX(Counterparties!$E:$E,MATCH($F594&amp;"",Counterparties!$A:$A,0))="Y","Y","N"),"N"))</f>
        <v>N</v>
      </c>
      <c r="R594" s="25" t="n">
        <f aca="false">IF(OR($H594="",$H594="EUR"),1,IFERROR(INDEX(FX_Rates!$D:$D,MATCH($H594,FX_Rates!$A:$A,0)),""))</f>
        <v>1</v>
      </c>
      <c r="S594" s="26" t="str">
        <f aca="false">IF(AND($I594="",$J594=""),"",IF($J594&lt;&gt;"",$J594,IF(OR($R594="",$R594=0),"",ROUND($I594/$R594,2))))</f>
        <v/>
      </c>
      <c r="T594" s="24" t="str">
        <f aca="false">IF($N594="","",IFERROR(INDEX(VAT_Codes!$C:$C,MATCH($N594,VAT_Codes!$A:$A,0)),"")&amp;"")</f>
        <v/>
      </c>
      <c r="U594" s="26" t="n">
        <f aca="false">IF(OR($S594="",$T594="",$T594="None"),0,IF($T594="Output",-$S594,$S594))</f>
        <v>0</v>
      </c>
      <c r="V594" s="27" t="n">
        <f aca="false">IF($N594="",0,IFERROR(INDEX(VAT_Codes!$D:$D,MATCH($N594,VAT_Codes!$A:$A,0)),0))</f>
        <v>0</v>
      </c>
      <c r="W594" s="26" t="n">
        <f aca="false">IF($U594=0,0,IF(IFERROR(INDEX(VAT_Codes!$F:$F,MATCH($N594,VAT_Codes!$A:$A,0)),"N")="Y",$U594,IF($L594&lt;&gt;"",ROUND(ABS($L594)/IF(OR($R594="",$R594=0),1,$R594),2)*SIGN($U594),ROUND($U594*$V594,2))))</f>
        <v>0</v>
      </c>
      <c r="X594" s="24" t="str">
        <f aca="false">IF($N594="","",IFERROR(INDEX(VAT_Codes!$H:$H,MATCH($N594,VAT_Codes!$A:$A,0)),"")&amp;"")</f>
        <v/>
      </c>
      <c r="Y594" s="24" t="str">
        <f aca="false">IF($A594="","",(YEAR($A594)-YEAR(Settings!$C$8))*12+MONTH($A594)-MONTH(Settings!$C$8)+1)</f>
        <v/>
      </c>
      <c r="Z594" s="24" t="str">
        <f aca="false">IF(AND($C594="",$I594="",$J594=""),"",IF($N594="","NO VAT CODE",IF($T594="","UNKNOWN VAT CODE",IF($S594="","MISSING FX RATE",IF(OR($A594&lt;Settings!$C$8,$A594&gt;Settings!$C$9),"OUTSIDE PERIOD",IF(AND(IFERROR(INDEX(VAT_Codes!$E:$E,MATCH($N594,VAT_Codes!$A:$A,0)),"ANY")&lt;&gt;"ANY",$P594=""),"MISSING COUNTERPARTY COUNTRY",IF(AND(IFERROR(INDEX(VAT_Codes!$E:$E,MATCH($N594,VAT_Codes!$A:$A,0)),"ANY")&lt;&gt;"ANY",$P594&lt;&gt;IFERROR(INDEX(VAT_Codes!$E:$E,MATCH($N594,VAT_Codes!$A:$A,0)),"ANY")),"REGION MISMATCH","OK")))))))</f>
        <v/>
      </c>
    </row>
    <row r="595" customFormat="false" ht="15" hidden="false" customHeight="false" outlineLevel="0" collapsed="false">
      <c r="M595" s="24" t="str">
        <f aca="false">IF($C595="","",IFERROR(INDEX(Account_Mapping!$C:$C,MATCH($C595&amp;"",Account_Mapping!$A:$A,0))&amp;"",""))</f>
        <v/>
      </c>
      <c r="N595" s="24" t="str">
        <f aca="false">IF($K595&lt;&gt;"",$K595,$M595)</f>
        <v/>
      </c>
      <c r="O595" s="24" t="str">
        <f aca="false">IF($F595="","",IFERROR(INDEX(Counterparties!$C:$C,MATCH($F595&amp;"",Counterparties!$A:$A,0))&amp;"",""))</f>
        <v/>
      </c>
      <c r="P595" s="24" t="str">
        <f aca="false">IF($O595="","",IF($O595="CY","CY",IF(ISNUMBER(MATCH($O595,Lists!$A:$A,0)),"EU","3RD")))</f>
        <v/>
      </c>
      <c r="Q595" s="24" t="str">
        <f aca="false">IF($F595="","N",IFERROR(IF(INDEX(Counterparties!$E:$E,MATCH($F595&amp;"",Counterparties!$A:$A,0))="Y","Y","N"),"N"))</f>
        <v>N</v>
      </c>
      <c r="R595" s="25" t="n">
        <f aca="false">IF(OR($H595="",$H595="EUR"),1,IFERROR(INDEX(FX_Rates!$D:$D,MATCH($H595,FX_Rates!$A:$A,0)),""))</f>
        <v>1</v>
      </c>
      <c r="S595" s="26" t="str">
        <f aca="false">IF(AND($I595="",$J595=""),"",IF($J595&lt;&gt;"",$J595,IF(OR($R595="",$R595=0),"",ROUND($I595/$R595,2))))</f>
        <v/>
      </c>
      <c r="T595" s="24" t="str">
        <f aca="false">IF($N595="","",IFERROR(INDEX(VAT_Codes!$C:$C,MATCH($N595,VAT_Codes!$A:$A,0)),"")&amp;"")</f>
        <v/>
      </c>
      <c r="U595" s="26" t="n">
        <f aca="false">IF(OR($S595="",$T595="",$T595="None"),0,IF($T595="Output",-$S595,$S595))</f>
        <v>0</v>
      </c>
      <c r="V595" s="27" t="n">
        <f aca="false">IF($N595="",0,IFERROR(INDEX(VAT_Codes!$D:$D,MATCH($N595,VAT_Codes!$A:$A,0)),0))</f>
        <v>0</v>
      </c>
      <c r="W595" s="26" t="n">
        <f aca="false">IF($U595=0,0,IF(IFERROR(INDEX(VAT_Codes!$F:$F,MATCH($N595,VAT_Codes!$A:$A,0)),"N")="Y",$U595,IF($L595&lt;&gt;"",ROUND(ABS($L595)/IF(OR($R595="",$R595=0),1,$R595),2)*SIGN($U595),ROUND($U595*$V595,2))))</f>
        <v>0</v>
      </c>
      <c r="X595" s="24" t="str">
        <f aca="false">IF($N595="","",IFERROR(INDEX(VAT_Codes!$H:$H,MATCH($N595,VAT_Codes!$A:$A,0)),"")&amp;"")</f>
        <v/>
      </c>
      <c r="Y595" s="24" t="str">
        <f aca="false">IF($A595="","",(YEAR($A595)-YEAR(Settings!$C$8))*12+MONTH($A595)-MONTH(Settings!$C$8)+1)</f>
        <v/>
      </c>
      <c r="Z595" s="24" t="str">
        <f aca="false">IF(AND($C595="",$I595="",$J595=""),"",IF($N595="","NO VAT CODE",IF($T595="","UNKNOWN VAT CODE",IF($S595="","MISSING FX RATE",IF(OR($A595&lt;Settings!$C$8,$A595&gt;Settings!$C$9),"OUTSIDE PERIOD",IF(AND(IFERROR(INDEX(VAT_Codes!$E:$E,MATCH($N595,VAT_Codes!$A:$A,0)),"ANY")&lt;&gt;"ANY",$P595=""),"MISSING COUNTERPARTY COUNTRY",IF(AND(IFERROR(INDEX(VAT_Codes!$E:$E,MATCH($N595,VAT_Codes!$A:$A,0)),"ANY")&lt;&gt;"ANY",$P595&lt;&gt;IFERROR(INDEX(VAT_Codes!$E:$E,MATCH($N595,VAT_Codes!$A:$A,0)),"ANY")),"REGION MISMATCH","OK")))))))</f>
        <v/>
      </c>
    </row>
    <row r="596" customFormat="false" ht="15" hidden="false" customHeight="false" outlineLevel="0" collapsed="false">
      <c r="M596" s="24" t="str">
        <f aca="false">IF($C596="","",IFERROR(INDEX(Account_Mapping!$C:$C,MATCH($C596&amp;"",Account_Mapping!$A:$A,0))&amp;"",""))</f>
        <v/>
      </c>
      <c r="N596" s="24" t="str">
        <f aca="false">IF($K596&lt;&gt;"",$K596,$M596)</f>
        <v/>
      </c>
      <c r="O596" s="24" t="str">
        <f aca="false">IF($F596="","",IFERROR(INDEX(Counterparties!$C:$C,MATCH($F596&amp;"",Counterparties!$A:$A,0))&amp;"",""))</f>
        <v/>
      </c>
      <c r="P596" s="24" t="str">
        <f aca="false">IF($O596="","",IF($O596="CY","CY",IF(ISNUMBER(MATCH($O596,Lists!$A:$A,0)),"EU","3RD")))</f>
        <v/>
      </c>
      <c r="Q596" s="24" t="str">
        <f aca="false">IF($F596="","N",IFERROR(IF(INDEX(Counterparties!$E:$E,MATCH($F596&amp;"",Counterparties!$A:$A,0))="Y","Y","N"),"N"))</f>
        <v>N</v>
      </c>
      <c r="R596" s="25" t="n">
        <f aca="false">IF(OR($H596="",$H596="EUR"),1,IFERROR(INDEX(FX_Rates!$D:$D,MATCH($H596,FX_Rates!$A:$A,0)),""))</f>
        <v>1</v>
      </c>
      <c r="S596" s="26" t="str">
        <f aca="false">IF(AND($I596="",$J596=""),"",IF($J596&lt;&gt;"",$J596,IF(OR($R596="",$R596=0),"",ROUND($I596/$R596,2))))</f>
        <v/>
      </c>
      <c r="T596" s="24" t="str">
        <f aca="false">IF($N596="","",IFERROR(INDEX(VAT_Codes!$C:$C,MATCH($N596,VAT_Codes!$A:$A,0)),"")&amp;"")</f>
        <v/>
      </c>
      <c r="U596" s="26" t="n">
        <f aca="false">IF(OR($S596="",$T596="",$T596="None"),0,IF($T596="Output",-$S596,$S596))</f>
        <v>0</v>
      </c>
      <c r="V596" s="27" t="n">
        <f aca="false">IF($N596="",0,IFERROR(INDEX(VAT_Codes!$D:$D,MATCH($N596,VAT_Codes!$A:$A,0)),0))</f>
        <v>0</v>
      </c>
      <c r="W596" s="26" t="n">
        <f aca="false">IF($U596=0,0,IF(IFERROR(INDEX(VAT_Codes!$F:$F,MATCH($N596,VAT_Codes!$A:$A,0)),"N")="Y",$U596,IF($L596&lt;&gt;"",ROUND(ABS($L596)/IF(OR($R596="",$R596=0),1,$R596),2)*SIGN($U596),ROUND($U596*$V596,2))))</f>
        <v>0</v>
      </c>
      <c r="X596" s="24" t="str">
        <f aca="false">IF($N596="","",IFERROR(INDEX(VAT_Codes!$H:$H,MATCH($N596,VAT_Codes!$A:$A,0)),"")&amp;"")</f>
        <v/>
      </c>
      <c r="Y596" s="24" t="str">
        <f aca="false">IF($A596="","",(YEAR($A596)-YEAR(Settings!$C$8))*12+MONTH($A596)-MONTH(Settings!$C$8)+1)</f>
        <v/>
      </c>
      <c r="Z596" s="24" t="str">
        <f aca="false">IF(AND($C596="",$I596="",$J596=""),"",IF($N596="","NO VAT CODE",IF($T596="","UNKNOWN VAT CODE",IF($S596="","MISSING FX RATE",IF(OR($A596&lt;Settings!$C$8,$A596&gt;Settings!$C$9),"OUTSIDE PERIOD",IF(AND(IFERROR(INDEX(VAT_Codes!$E:$E,MATCH($N596,VAT_Codes!$A:$A,0)),"ANY")&lt;&gt;"ANY",$P596=""),"MISSING COUNTERPARTY COUNTRY",IF(AND(IFERROR(INDEX(VAT_Codes!$E:$E,MATCH($N596,VAT_Codes!$A:$A,0)),"ANY")&lt;&gt;"ANY",$P596&lt;&gt;IFERROR(INDEX(VAT_Codes!$E:$E,MATCH($N596,VAT_Codes!$A:$A,0)),"ANY")),"REGION MISMATCH","OK")))))))</f>
        <v/>
      </c>
    </row>
    <row r="597" customFormat="false" ht="15" hidden="false" customHeight="false" outlineLevel="0" collapsed="false">
      <c r="M597" s="24" t="str">
        <f aca="false">IF($C597="","",IFERROR(INDEX(Account_Mapping!$C:$C,MATCH($C597&amp;"",Account_Mapping!$A:$A,0))&amp;"",""))</f>
        <v/>
      </c>
      <c r="N597" s="24" t="str">
        <f aca="false">IF($K597&lt;&gt;"",$K597,$M597)</f>
        <v/>
      </c>
      <c r="O597" s="24" t="str">
        <f aca="false">IF($F597="","",IFERROR(INDEX(Counterparties!$C:$C,MATCH($F597&amp;"",Counterparties!$A:$A,0))&amp;"",""))</f>
        <v/>
      </c>
      <c r="P597" s="24" t="str">
        <f aca="false">IF($O597="","",IF($O597="CY","CY",IF(ISNUMBER(MATCH($O597,Lists!$A:$A,0)),"EU","3RD")))</f>
        <v/>
      </c>
      <c r="Q597" s="24" t="str">
        <f aca="false">IF($F597="","N",IFERROR(IF(INDEX(Counterparties!$E:$E,MATCH($F597&amp;"",Counterparties!$A:$A,0))="Y","Y","N"),"N"))</f>
        <v>N</v>
      </c>
      <c r="R597" s="25" t="n">
        <f aca="false">IF(OR($H597="",$H597="EUR"),1,IFERROR(INDEX(FX_Rates!$D:$D,MATCH($H597,FX_Rates!$A:$A,0)),""))</f>
        <v>1</v>
      </c>
      <c r="S597" s="26" t="str">
        <f aca="false">IF(AND($I597="",$J597=""),"",IF($J597&lt;&gt;"",$J597,IF(OR($R597="",$R597=0),"",ROUND($I597/$R597,2))))</f>
        <v/>
      </c>
      <c r="T597" s="24" t="str">
        <f aca="false">IF($N597="","",IFERROR(INDEX(VAT_Codes!$C:$C,MATCH($N597,VAT_Codes!$A:$A,0)),"")&amp;"")</f>
        <v/>
      </c>
      <c r="U597" s="26" t="n">
        <f aca="false">IF(OR($S597="",$T597="",$T597="None"),0,IF($T597="Output",-$S597,$S597))</f>
        <v>0</v>
      </c>
      <c r="V597" s="27" t="n">
        <f aca="false">IF($N597="",0,IFERROR(INDEX(VAT_Codes!$D:$D,MATCH($N597,VAT_Codes!$A:$A,0)),0))</f>
        <v>0</v>
      </c>
      <c r="W597" s="26" t="n">
        <f aca="false">IF($U597=0,0,IF(IFERROR(INDEX(VAT_Codes!$F:$F,MATCH($N597,VAT_Codes!$A:$A,0)),"N")="Y",$U597,IF($L597&lt;&gt;"",ROUND(ABS($L597)/IF(OR($R597="",$R597=0),1,$R597),2)*SIGN($U597),ROUND($U597*$V597,2))))</f>
        <v>0</v>
      </c>
      <c r="X597" s="24" t="str">
        <f aca="false">IF($N597="","",IFERROR(INDEX(VAT_Codes!$H:$H,MATCH($N597,VAT_Codes!$A:$A,0)),"")&amp;"")</f>
        <v/>
      </c>
      <c r="Y597" s="24" t="str">
        <f aca="false">IF($A597="","",(YEAR($A597)-YEAR(Settings!$C$8))*12+MONTH($A597)-MONTH(Settings!$C$8)+1)</f>
        <v/>
      </c>
      <c r="Z597" s="24" t="str">
        <f aca="false">IF(AND($C597="",$I597="",$J597=""),"",IF($N597="","NO VAT CODE",IF($T597="","UNKNOWN VAT CODE",IF($S597="","MISSING FX RATE",IF(OR($A597&lt;Settings!$C$8,$A597&gt;Settings!$C$9),"OUTSIDE PERIOD",IF(AND(IFERROR(INDEX(VAT_Codes!$E:$E,MATCH($N597,VAT_Codes!$A:$A,0)),"ANY")&lt;&gt;"ANY",$P597=""),"MISSING COUNTERPARTY COUNTRY",IF(AND(IFERROR(INDEX(VAT_Codes!$E:$E,MATCH($N597,VAT_Codes!$A:$A,0)),"ANY")&lt;&gt;"ANY",$P597&lt;&gt;IFERROR(INDEX(VAT_Codes!$E:$E,MATCH($N597,VAT_Codes!$A:$A,0)),"ANY")),"REGION MISMATCH","OK")))))))</f>
        <v/>
      </c>
    </row>
    <row r="598" customFormat="false" ht="15" hidden="false" customHeight="false" outlineLevel="0" collapsed="false">
      <c r="M598" s="24" t="str">
        <f aca="false">IF($C598="","",IFERROR(INDEX(Account_Mapping!$C:$C,MATCH($C598&amp;"",Account_Mapping!$A:$A,0))&amp;"",""))</f>
        <v/>
      </c>
      <c r="N598" s="24" t="str">
        <f aca="false">IF($K598&lt;&gt;"",$K598,$M598)</f>
        <v/>
      </c>
      <c r="O598" s="24" t="str">
        <f aca="false">IF($F598="","",IFERROR(INDEX(Counterparties!$C:$C,MATCH($F598&amp;"",Counterparties!$A:$A,0))&amp;"",""))</f>
        <v/>
      </c>
      <c r="P598" s="24" t="str">
        <f aca="false">IF($O598="","",IF($O598="CY","CY",IF(ISNUMBER(MATCH($O598,Lists!$A:$A,0)),"EU","3RD")))</f>
        <v/>
      </c>
      <c r="Q598" s="24" t="str">
        <f aca="false">IF($F598="","N",IFERROR(IF(INDEX(Counterparties!$E:$E,MATCH($F598&amp;"",Counterparties!$A:$A,0))="Y","Y","N"),"N"))</f>
        <v>N</v>
      </c>
      <c r="R598" s="25" t="n">
        <f aca="false">IF(OR($H598="",$H598="EUR"),1,IFERROR(INDEX(FX_Rates!$D:$D,MATCH($H598,FX_Rates!$A:$A,0)),""))</f>
        <v>1</v>
      </c>
      <c r="S598" s="26" t="str">
        <f aca="false">IF(AND($I598="",$J598=""),"",IF($J598&lt;&gt;"",$J598,IF(OR($R598="",$R598=0),"",ROUND($I598/$R598,2))))</f>
        <v/>
      </c>
      <c r="T598" s="24" t="str">
        <f aca="false">IF($N598="","",IFERROR(INDEX(VAT_Codes!$C:$C,MATCH($N598,VAT_Codes!$A:$A,0)),"")&amp;"")</f>
        <v/>
      </c>
      <c r="U598" s="26" t="n">
        <f aca="false">IF(OR($S598="",$T598="",$T598="None"),0,IF($T598="Output",-$S598,$S598))</f>
        <v>0</v>
      </c>
      <c r="V598" s="27" t="n">
        <f aca="false">IF($N598="",0,IFERROR(INDEX(VAT_Codes!$D:$D,MATCH($N598,VAT_Codes!$A:$A,0)),0))</f>
        <v>0</v>
      </c>
      <c r="W598" s="26" t="n">
        <f aca="false">IF($U598=0,0,IF(IFERROR(INDEX(VAT_Codes!$F:$F,MATCH($N598,VAT_Codes!$A:$A,0)),"N")="Y",$U598,IF($L598&lt;&gt;"",ROUND(ABS($L598)/IF(OR($R598="",$R598=0),1,$R598),2)*SIGN($U598),ROUND($U598*$V598,2))))</f>
        <v>0</v>
      </c>
      <c r="X598" s="24" t="str">
        <f aca="false">IF($N598="","",IFERROR(INDEX(VAT_Codes!$H:$H,MATCH($N598,VAT_Codes!$A:$A,0)),"")&amp;"")</f>
        <v/>
      </c>
      <c r="Y598" s="24" t="str">
        <f aca="false">IF($A598="","",(YEAR($A598)-YEAR(Settings!$C$8))*12+MONTH($A598)-MONTH(Settings!$C$8)+1)</f>
        <v/>
      </c>
      <c r="Z598" s="24" t="str">
        <f aca="false">IF(AND($C598="",$I598="",$J598=""),"",IF($N598="","NO VAT CODE",IF($T598="","UNKNOWN VAT CODE",IF($S598="","MISSING FX RATE",IF(OR($A598&lt;Settings!$C$8,$A598&gt;Settings!$C$9),"OUTSIDE PERIOD",IF(AND(IFERROR(INDEX(VAT_Codes!$E:$E,MATCH($N598,VAT_Codes!$A:$A,0)),"ANY")&lt;&gt;"ANY",$P598=""),"MISSING COUNTERPARTY COUNTRY",IF(AND(IFERROR(INDEX(VAT_Codes!$E:$E,MATCH($N598,VAT_Codes!$A:$A,0)),"ANY")&lt;&gt;"ANY",$P598&lt;&gt;IFERROR(INDEX(VAT_Codes!$E:$E,MATCH($N598,VAT_Codes!$A:$A,0)),"ANY")),"REGION MISMATCH","OK")))))))</f>
        <v/>
      </c>
    </row>
    <row r="599" customFormat="false" ht="15" hidden="false" customHeight="false" outlineLevel="0" collapsed="false">
      <c r="M599" s="24" t="str">
        <f aca="false">IF($C599="","",IFERROR(INDEX(Account_Mapping!$C:$C,MATCH($C599&amp;"",Account_Mapping!$A:$A,0))&amp;"",""))</f>
        <v/>
      </c>
      <c r="N599" s="24" t="str">
        <f aca="false">IF($K599&lt;&gt;"",$K599,$M599)</f>
        <v/>
      </c>
      <c r="O599" s="24" t="str">
        <f aca="false">IF($F599="","",IFERROR(INDEX(Counterparties!$C:$C,MATCH($F599&amp;"",Counterparties!$A:$A,0))&amp;"",""))</f>
        <v/>
      </c>
      <c r="P599" s="24" t="str">
        <f aca="false">IF($O599="","",IF($O599="CY","CY",IF(ISNUMBER(MATCH($O599,Lists!$A:$A,0)),"EU","3RD")))</f>
        <v/>
      </c>
      <c r="Q599" s="24" t="str">
        <f aca="false">IF($F599="","N",IFERROR(IF(INDEX(Counterparties!$E:$E,MATCH($F599&amp;"",Counterparties!$A:$A,0))="Y","Y","N"),"N"))</f>
        <v>N</v>
      </c>
      <c r="R599" s="25" t="n">
        <f aca="false">IF(OR($H599="",$H599="EUR"),1,IFERROR(INDEX(FX_Rates!$D:$D,MATCH($H599,FX_Rates!$A:$A,0)),""))</f>
        <v>1</v>
      </c>
      <c r="S599" s="26" t="str">
        <f aca="false">IF(AND($I599="",$J599=""),"",IF($J599&lt;&gt;"",$J599,IF(OR($R599="",$R599=0),"",ROUND($I599/$R599,2))))</f>
        <v/>
      </c>
      <c r="T599" s="24" t="str">
        <f aca="false">IF($N599="","",IFERROR(INDEX(VAT_Codes!$C:$C,MATCH($N599,VAT_Codes!$A:$A,0)),"")&amp;"")</f>
        <v/>
      </c>
      <c r="U599" s="26" t="n">
        <f aca="false">IF(OR($S599="",$T599="",$T599="None"),0,IF($T599="Output",-$S599,$S599))</f>
        <v>0</v>
      </c>
      <c r="V599" s="27" t="n">
        <f aca="false">IF($N599="",0,IFERROR(INDEX(VAT_Codes!$D:$D,MATCH($N599,VAT_Codes!$A:$A,0)),0))</f>
        <v>0</v>
      </c>
      <c r="W599" s="26" t="n">
        <f aca="false">IF($U599=0,0,IF(IFERROR(INDEX(VAT_Codes!$F:$F,MATCH($N599,VAT_Codes!$A:$A,0)),"N")="Y",$U599,IF($L599&lt;&gt;"",ROUND(ABS($L599)/IF(OR($R599="",$R599=0),1,$R599),2)*SIGN($U599),ROUND($U599*$V599,2))))</f>
        <v>0</v>
      </c>
      <c r="X599" s="24" t="str">
        <f aca="false">IF($N599="","",IFERROR(INDEX(VAT_Codes!$H:$H,MATCH($N599,VAT_Codes!$A:$A,0)),"")&amp;"")</f>
        <v/>
      </c>
      <c r="Y599" s="24" t="str">
        <f aca="false">IF($A599="","",(YEAR($A599)-YEAR(Settings!$C$8))*12+MONTH($A599)-MONTH(Settings!$C$8)+1)</f>
        <v/>
      </c>
      <c r="Z599" s="24" t="str">
        <f aca="false">IF(AND($C599="",$I599="",$J599=""),"",IF($N599="","NO VAT CODE",IF($T599="","UNKNOWN VAT CODE",IF($S599="","MISSING FX RATE",IF(OR($A599&lt;Settings!$C$8,$A599&gt;Settings!$C$9),"OUTSIDE PERIOD",IF(AND(IFERROR(INDEX(VAT_Codes!$E:$E,MATCH($N599,VAT_Codes!$A:$A,0)),"ANY")&lt;&gt;"ANY",$P599=""),"MISSING COUNTERPARTY COUNTRY",IF(AND(IFERROR(INDEX(VAT_Codes!$E:$E,MATCH($N599,VAT_Codes!$A:$A,0)),"ANY")&lt;&gt;"ANY",$P599&lt;&gt;IFERROR(INDEX(VAT_Codes!$E:$E,MATCH($N599,VAT_Codes!$A:$A,0)),"ANY")),"REGION MISMATCH","OK")))))))</f>
        <v/>
      </c>
    </row>
    <row r="600" customFormat="false" ht="15" hidden="false" customHeight="false" outlineLevel="0" collapsed="false">
      <c r="M600" s="24" t="str">
        <f aca="false">IF($C600="","",IFERROR(INDEX(Account_Mapping!$C:$C,MATCH($C600&amp;"",Account_Mapping!$A:$A,0))&amp;"",""))</f>
        <v/>
      </c>
      <c r="N600" s="24" t="str">
        <f aca="false">IF($K600&lt;&gt;"",$K600,$M600)</f>
        <v/>
      </c>
      <c r="O600" s="24" t="str">
        <f aca="false">IF($F600="","",IFERROR(INDEX(Counterparties!$C:$C,MATCH($F600&amp;"",Counterparties!$A:$A,0))&amp;"",""))</f>
        <v/>
      </c>
      <c r="P600" s="24" t="str">
        <f aca="false">IF($O600="","",IF($O600="CY","CY",IF(ISNUMBER(MATCH($O600,Lists!$A:$A,0)),"EU","3RD")))</f>
        <v/>
      </c>
      <c r="Q600" s="24" t="str">
        <f aca="false">IF($F600="","N",IFERROR(IF(INDEX(Counterparties!$E:$E,MATCH($F600&amp;"",Counterparties!$A:$A,0))="Y","Y","N"),"N"))</f>
        <v>N</v>
      </c>
      <c r="R600" s="25" t="n">
        <f aca="false">IF(OR($H600="",$H600="EUR"),1,IFERROR(INDEX(FX_Rates!$D:$D,MATCH($H600,FX_Rates!$A:$A,0)),""))</f>
        <v>1</v>
      </c>
      <c r="S600" s="26" t="str">
        <f aca="false">IF(AND($I600="",$J600=""),"",IF($J600&lt;&gt;"",$J600,IF(OR($R600="",$R600=0),"",ROUND($I600/$R600,2))))</f>
        <v/>
      </c>
      <c r="T600" s="24" t="str">
        <f aca="false">IF($N600="","",IFERROR(INDEX(VAT_Codes!$C:$C,MATCH($N600,VAT_Codes!$A:$A,0)),"")&amp;"")</f>
        <v/>
      </c>
      <c r="U600" s="26" t="n">
        <f aca="false">IF(OR($S600="",$T600="",$T600="None"),0,IF($T600="Output",-$S600,$S600))</f>
        <v>0</v>
      </c>
      <c r="V600" s="27" t="n">
        <f aca="false">IF($N600="",0,IFERROR(INDEX(VAT_Codes!$D:$D,MATCH($N600,VAT_Codes!$A:$A,0)),0))</f>
        <v>0</v>
      </c>
      <c r="W600" s="26" t="n">
        <f aca="false">IF($U600=0,0,IF(IFERROR(INDEX(VAT_Codes!$F:$F,MATCH($N600,VAT_Codes!$A:$A,0)),"N")="Y",$U600,IF($L600&lt;&gt;"",ROUND(ABS($L600)/IF(OR($R600="",$R600=0),1,$R600),2)*SIGN($U600),ROUND($U600*$V600,2))))</f>
        <v>0</v>
      </c>
      <c r="X600" s="24" t="str">
        <f aca="false">IF($N600="","",IFERROR(INDEX(VAT_Codes!$H:$H,MATCH($N600,VAT_Codes!$A:$A,0)),"")&amp;"")</f>
        <v/>
      </c>
      <c r="Y600" s="24" t="str">
        <f aca="false">IF($A600="","",(YEAR($A600)-YEAR(Settings!$C$8))*12+MONTH($A600)-MONTH(Settings!$C$8)+1)</f>
        <v/>
      </c>
      <c r="Z600" s="24" t="str">
        <f aca="false">IF(AND($C600="",$I600="",$J600=""),"",IF($N600="","NO VAT CODE",IF($T600="","UNKNOWN VAT CODE",IF($S600="","MISSING FX RATE",IF(OR($A600&lt;Settings!$C$8,$A600&gt;Settings!$C$9),"OUTSIDE PERIOD",IF(AND(IFERROR(INDEX(VAT_Codes!$E:$E,MATCH($N600,VAT_Codes!$A:$A,0)),"ANY")&lt;&gt;"ANY",$P600=""),"MISSING COUNTERPARTY COUNTRY",IF(AND(IFERROR(INDEX(VAT_Codes!$E:$E,MATCH($N600,VAT_Codes!$A:$A,0)),"ANY")&lt;&gt;"ANY",$P600&lt;&gt;IFERROR(INDEX(VAT_Codes!$E:$E,MATCH($N600,VAT_Codes!$A:$A,0)),"ANY")),"REGION MISMATCH","OK")))))))</f>
        <v/>
      </c>
    </row>
    <row r="601" customFormat="false" ht="15" hidden="false" customHeight="false" outlineLevel="0" collapsed="false">
      <c r="M601" s="24" t="str">
        <f aca="false">IF($C601="","",IFERROR(INDEX(Account_Mapping!$C:$C,MATCH($C601&amp;"",Account_Mapping!$A:$A,0))&amp;"",""))</f>
        <v/>
      </c>
      <c r="N601" s="24" t="str">
        <f aca="false">IF($K601&lt;&gt;"",$K601,$M601)</f>
        <v/>
      </c>
      <c r="O601" s="24" t="str">
        <f aca="false">IF($F601="","",IFERROR(INDEX(Counterparties!$C:$C,MATCH($F601&amp;"",Counterparties!$A:$A,0))&amp;"",""))</f>
        <v/>
      </c>
      <c r="P601" s="24" t="str">
        <f aca="false">IF($O601="","",IF($O601="CY","CY",IF(ISNUMBER(MATCH($O601,Lists!$A:$A,0)),"EU","3RD")))</f>
        <v/>
      </c>
      <c r="Q601" s="24" t="str">
        <f aca="false">IF($F601="","N",IFERROR(IF(INDEX(Counterparties!$E:$E,MATCH($F601&amp;"",Counterparties!$A:$A,0))="Y","Y","N"),"N"))</f>
        <v>N</v>
      </c>
      <c r="R601" s="25" t="n">
        <f aca="false">IF(OR($H601="",$H601="EUR"),1,IFERROR(INDEX(FX_Rates!$D:$D,MATCH($H601,FX_Rates!$A:$A,0)),""))</f>
        <v>1</v>
      </c>
      <c r="S601" s="26" t="str">
        <f aca="false">IF(AND($I601="",$J601=""),"",IF($J601&lt;&gt;"",$J601,IF(OR($R601="",$R601=0),"",ROUND($I601/$R601,2))))</f>
        <v/>
      </c>
      <c r="T601" s="24" t="str">
        <f aca="false">IF($N601="","",IFERROR(INDEX(VAT_Codes!$C:$C,MATCH($N601,VAT_Codes!$A:$A,0)),"")&amp;"")</f>
        <v/>
      </c>
      <c r="U601" s="26" t="n">
        <f aca="false">IF(OR($S601="",$T601="",$T601="None"),0,IF($T601="Output",-$S601,$S601))</f>
        <v>0</v>
      </c>
      <c r="V601" s="27" t="n">
        <f aca="false">IF($N601="",0,IFERROR(INDEX(VAT_Codes!$D:$D,MATCH($N601,VAT_Codes!$A:$A,0)),0))</f>
        <v>0</v>
      </c>
      <c r="W601" s="26" t="n">
        <f aca="false">IF($U601=0,0,IF(IFERROR(INDEX(VAT_Codes!$F:$F,MATCH($N601,VAT_Codes!$A:$A,0)),"N")="Y",$U601,IF($L601&lt;&gt;"",ROUND(ABS($L601)/IF(OR($R601="",$R601=0),1,$R601),2)*SIGN($U601),ROUND($U601*$V601,2))))</f>
        <v>0</v>
      </c>
      <c r="X601" s="24" t="str">
        <f aca="false">IF($N601="","",IFERROR(INDEX(VAT_Codes!$H:$H,MATCH($N601,VAT_Codes!$A:$A,0)),"")&amp;"")</f>
        <v/>
      </c>
      <c r="Y601" s="24" t="str">
        <f aca="false">IF($A601="","",(YEAR($A601)-YEAR(Settings!$C$8))*12+MONTH($A601)-MONTH(Settings!$C$8)+1)</f>
        <v/>
      </c>
      <c r="Z601" s="24" t="str">
        <f aca="false">IF(AND($C601="",$I601="",$J601=""),"",IF($N601="","NO VAT CODE",IF($T601="","UNKNOWN VAT CODE",IF($S601="","MISSING FX RATE",IF(OR($A601&lt;Settings!$C$8,$A601&gt;Settings!$C$9),"OUTSIDE PERIOD",IF(AND(IFERROR(INDEX(VAT_Codes!$E:$E,MATCH($N601,VAT_Codes!$A:$A,0)),"ANY")&lt;&gt;"ANY",$P601=""),"MISSING COUNTERPARTY COUNTRY",IF(AND(IFERROR(INDEX(VAT_Codes!$E:$E,MATCH($N601,VAT_Codes!$A:$A,0)),"ANY")&lt;&gt;"ANY",$P601&lt;&gt;IFERROR(INDEX(VAT_Codes!$E:$E,MATCH($N601,VAT_Codes!$A:$A,0)),"ANY")),"REGION MISMATCH","OK")))))))</f>
        <v/>
      </c>
    </row>
    <row r="602" customFormat="false" ht="15" hidden="false" customHeight="false" outlineLevel="0" collapsed="false">
      <c r="M602" s="24" t="str">
        <f aca="false">IF($C602="","",IFERROR(INDEX(Account_Mapping!$C:$C,MATCH($C602&amp;"",Account_Mapping!$A:$A,0))&amp;"",""))</f>
        <v/>
      </c>
      <c r="N602" s="24" t="str">
        <f aca="false">IF($K602&lt;&gt;"",$K602,$M602)</f>
        <v/>
      </c>
      <c r="O602" s="24" t="str">
        <f aca="false">IF($F602="","",IFERROR(INDEX(Counterparties!$C:$C,MATCH($F602&amp;"",Counterparties!$A:$A,0))&amp;"",""))</f>
        <v/>
      </c>
      <c r="P602" s="24" t="str">
        <f aca="false">IF($O602="","",IF($O602="CY","CY",IF(ISNUMBER(MATCH($O602,Lists!$A:$A,0)),"EU","3RD")))</f>
        <v/>
      </c>
      <c r="Q602" s="24" t="str">
        <f aca="false">IF($F602="","N",IFERROR(IF(INDEX(Counterparties!$E:$E,MATCH($F602&amp;"",Counterparties!$A:$A,0))="Y","Y","N"),"N"))</f>
        <v>N</v>
      </c>
      <c r="R602" s="25" t="n">
        <f aca="false">IF(OR($H602="",$H602="EUR"),1,IFERROR(INDEX(FX_Rates!$D:$D,MATCH($H602,FX_Rates!$A:$A,0)),""))</f>
        <v>1</v>
      </c>
      <c r="S602" s="26" t="str">
        <f aca="false">IF(AND($I602="",$J602=""),"",IF($J602&lt;&gt;"",$J602,IF(OR($R602="",$R602=0),"",ROUND($I602/$R602,2))))</f>
        <v/>
      </c>
      <c r="T602" s="24" t="str">
        <f aca="false">IF($N602="","",IFERROR(INDEX(VAT_Codes!$C:$C,MATCH($N602,VAT_Codes!$A:$A,0)),"")&amp;"")</f>
        <v/>
      </c>
      <c r="U602" s="26" t="n">
        <f aca="false">IF(OR($S602="",$T602="",$T602="None"),0,IF($T602="Output",-$S602,$S602))</f>
        <v>0</v>
      </c>
      <c r="V602" s="27" t="n">
        <f aca="false">IF($N602="",0,IFERROR(INDEX(VAT_Codes!$D:$D,MATCH($N602,VAT_Codes!$A:$A,0)),0))</f>
        <v>0</v>
      </c>
      <c r="W602" s="26" t="n">
        <f aca="false">IF($U602=0,0,IF(IFERROR(INDEX(VAT_Codes!$F:$F,MATCH($N602,VAT_Codes!$A:$A,0)),"N")="Y",$U602,IF($L602&lt;&gt;"",ROUND(ABS($L602)/IF(OR($R602="",$R602=0),1,$R602),2)*SIGN($U602),ROUND($U602*$V602,2))))</f>
        <v>0</v>
      </c>
      <c r="X602" s="24" t="str">
        <f aca="false">IF($N602="","",IFERROR(INDEX(VAT_Codes!$H:$H,MATCH($N602,VAT_Codes!$A:$A,0)),"")&amp;"")</f>
        <v/>
      </c>
      <c r="Y602" s="24" t="str">
        <f aca="false">IF($A602="","",(YEAR($A602)-YEAR(Settings!$C$8))*12+MONTH($A602)-MONTH(Settings!$C$8)+1)</f>
        <v/>
      </c>
      <c r="Z602" s="24" t="str">
        <f aca="false">IF(AND($C602="",$I602="",$J602=""),"",IF($N602="","NO VAT CODE",IF($T602="","UNKNOWN VAT CODE",IF($S602="","MISSING FX RATE",IF(OR($A602&lt;Settings!$C$8,$A602&gt;Settings!$C$9),"OUTSIDE PERIOD",IF(AND(IFERROR(INDEX(VAT_Codes!$E:$E,MATCH($N602,VAT_Codes!$A:$A,0)),"ANY")&lt;&gt;"ANY",$P602=""),"MISSING COUNTERPARTY COUNTRY",IF(AND(IFERROR(INDEX(VAT_Codes!$E:$E,MATCH($N602,VAT_Codes!$A:$A,0)),"ANY")&lt;&gt;"ANY",$P602&lt;&gt;IFERROR(INDEX(VAT_Codes!$E:$E,MATCH($N602,VAT_Codes!$A:$A,0)),"ANY")),"REGION MISMATCH","OK")))))))</f>
        <v/>
      </c>
    </row>
    <row r="603" customFormat="false" ht="15" hidden="false" customHeight="false" outlineLevel="0" collapsed="false">
      <c r="M603" s="24" t="str">
        <f aca="false">IF($C603="","",IFERROR(INDEX(Account_Mapping!$C:$C,MATCH($C603&amp;"",Account_Mapping!$A:$A,0))&amp;"",""))</f>
        <v/>
      </c>
      <c r="N603" s="24" t="str">
        <f aca="false">IF($K603&lt;&gt;"",$K603,$M603)</f>
        <v/>
      </c>
      <c r="O603" s="24" t="str">
        <f aca="false">IF($F603="","",IFERROR(INDEX(Counterparties!$C:$C,MATCH($F603&amp;"",Counterparties!$A:$A,0))&amp;"",""))</f>
        <v/>
      </c>
      <c r="P603" s="24" t="str">
        <f aca="false">IF($O603="","",IF($O603="CY","CY",IF(ISNUMBER(MATCH($O603,Lists!$A:$A,0)),"EU","3RD")))</f>
        <v/>
      </c>
      <c r="Q603" s="24" t="str">
        <f aca="false">IF($F603="","N",IFERROR(IF(INDEX(Counterparties!$E:$E,MATCH($F603&amp;"",Counterparties!$A:$A,0))="Y","Y","N"),"N"))</f>
        <v>N</v>
      </c>
      <c r="R603" s="25" t="n">
        <f aca="false">IF(OR($H603="",$H603="EUR"),1,IFERROR(INDEX(FX_Rates!$D:$D,MATCH($H603,FX_Rates!$A:$A,0)),""))</f>
        <v>1</v>
      </c>
      <c r="S603" s="26" t="str">
        <f aca="false">IF(AND($I603="",$J603=""),"",IF($J603&lt;&gt;"",$J603,IF(OR($R603="",$R603=0),"",ROUND($I603/$R603,2))))</f>
        <v/>
      </c>
      <c r="T603" s="24" t="str">
        <f aca="false">IF($N603="","",IFERROR(INDEX(VAT_Codes!$C:$C,MATCH($N603,VAT_Codes!$A:$A,0)),"")&amp;"")</f>
        <v/>
      </c>
      <c r="U603" s="26" t="n">
        <f aca="false">IF(OR($S603="",$T603="",$T603="None"),0,IF($T603="Output",-$S603,$S603))</f>
        <v>0</v>
      </c>
      <c r="V603" s="27" t="n">
        <f aca="false">IF($N603="",0,IFERROR(INDEX(VAT_Codes!$D:$D,MATCH($N603,VAT_Codes!$A:$A,0)),0))</f>
        <v>0</v>
      </c>
      <c r="W603" s="26" t="n">
        <f aca="false">IF($U603=0,0,IF(IFERROR(INDEX(VAT_Codes!$F:$F,MATCH($N603,VAT_Codes!$A:$A,0)),"N")="Y",$U603,IF($L603&lt;&gt;"",ROUND(ABS($L603)/IF(OR($R603="",$R603=0),1,$R603),2)*SIGN($U603),ROUND($U603*$V603,2))))</f>
        <v>0</v>
      </c>
      <c r="X603" s="24" t="str">
        <f aca="false">IF($N603="","",IFERROR(INDEX(VAT_Codes!$H:$H,MATCH($N603,VAT_Codes!$A:$A,0)),"")&amp;"")</f>
        <v/>
      </c>
      <c r="Y603" s="24" t="str">
        <f aca="false">IF($A603="","",(YEAR($A603)-YEAR(Settings!$C$8))*12+MONTH($A603)-MONTH(Settings!$C$8)+1)</f>
        <v/>
      </c>
      <c r="Z603" s="24" t="str">
        <f aca="false">IF(AND($C603="",$I603="",$J603=""),"",IF($N603="","NO VAT CODE",IF($T603="","UNKNOWN VAT CODE",IF($S603="","MISSING FX RATE",IF(OR($A603&lt;Settings!$C$8,$A603&gt;Settings!$C$9),"OUTSIDE PERIOD",IF(AND(IFERROR(INDEX(VAT_Codes!$E:$E,MATCH($N603,VAT_Codes!$A:$A,0)),"ANY")&lt;&gt;"ANY",$P603=""),"MISSING COUNTERPARTY COUNTRY",IF(AND(IFERROR(INDEX(VAT_Codes!$E:$E,MATCH($N603,VAT_Codes!$A:$A,0)),"ANY")&lt;&gt;"ANY",$P603&lt;&gt;IFERROR(INDEX(VAT_Codes!$E:$E,MATCH($N603,VAT_Codes!$A:$A,0)),"ANY")),"REGION MISMATCH","OK")))))))</f>
        <v/>
      </c>
    </row>
    <row r="604" customFormat="false" ht="15" hidden="false" customHeight="false" outlineLevel="0" collapsed="false">
      <c r="M604" s="24" t="str">
        <f aca="false">IF($C604="","",IFERROR(INDEX(Account_Mapping!$C:$C,MATCH($C604&amp;"",Account_Mapping!$A:$A,0))&amp;"",""))</f>
        <v/>
      </c>
      <c r="N604" s="24" t="str">
        <f aca="false">IF($K604&lt;&gt;"",$K604,$M604)</f>
        <v/>
      </c>
      <c r="O604" s="24" t="str">
        <f aca="false">IF($F604="","",IFERROR(INDEX(Counterparties!$C:$C,MATCH($F604&amp;"",Counterparties!$A:$A,0))&amp;"",""))</f>
        <v/>
      </c>
      <c r="P604" s="24" t="str">
        <f aca="false">IF($O604="","",IF($O604="CY","CY",IF(ISNUMBER(MATCH($O604,Lists!$A:$A,0)),"EU","3RD")))</f>
        <v/>
      </c>
      <c r="Q604" s="24" t="str">
        <f aca="false">IF($F604="","N",IFERROR(IF(INDEX(Counterparties!$E:$E,MATCH($F604&amp;"",Counterparties!$A:$A,0))="Y","Y","N"),"N"))</f>
        <v>N</v>
      </c>
      <c r="R604" s="25" t="n">
        <f aca="false">IF(OR($H604="",$H604="EUR"),1,IFERROR(INDEX(FX_Rates!$D:$D,MATCH($H604,FX_Rates!$A:$A,0)),""))</f>
        <v>1</v>
      </c>
      <c r="S604" s="26" t="str">
        <f aca="false">IF(AND($I604="",$J604=""),"",IF($J604&lt;&gt;"",$J604,IF(OR($R604="",$R604=0),"",ROUND($I604/$R604,2))))</f>
        <v/>
      </c>
      <c r="T604" s="24" t="str">
        <f aca="false">IF($N604="","",IFERROR(INDEX(VAT_Codes!$C:$C,MATCH($N604,VAT_Codes!$A:$A,0)),"")&amp;"")</f>
        <v/>
      </c>
      <c r="U604" s="26" t="n">
        <f aca="false">IF(OR($S604="",$T604="",$T604="None"),0,IF($T604="Output",-$S604,$S604))</f>
        <v>0</v>
      </c>
      <c r="V604" s="27" t="n">
        <f aca="false">IF($N604="",0,IFERROR(INDEX(VAT_Codes!$D:$D,MATCH($N604,VAT_Codes!$A:$A,0)),0))</f>
        <v>0</v>
      </c>
      <c r="W604" s="26" t="n">
        <f aca="false">IF($U604=0,0,IF(IFERROR(INDEX(VAT_Codes!$F:$F,MATCH($N604,VAT_Codes!$A:$A,0)),"N")="Y",$U604,IF($L604&lt;&gt;"",ROUND(ABS($L604)/IF(OR($R604="",$R604=0),1,$R604),2)*SIGN($U604),ROUND($U604*$V604,2))))</f>
        <v>0</v>
      </c>
      <c r="X604" s="24" t="str">
        <f aca="false">IF($N604="","",IFERROR(INDEX(VAT_Codes!$H:$H,MATCH($N604,VAT_Codes!$A:$A,0)),"")&amp;"")</f>
        <v/>
      </c>
      <c r="Y604" s="24" t="str">
        <f aca="false">IF($A604="","",(YEAR($A604)-YEAR(Settings!$C$8))*12+MONTH($A604)-MONTH(Settings!$C$8)+1)</f>
        <v/>
      </c>
      <c r="Z604" s="24" t="str">
        <f aca="false">IF(AND($C604="",$I604="",$J604=""),"",IF($N604="","NO VAT CODE",IF($T604="","UNKNOWN VAT CODE",IF($S604="","MISSING FX RATE",IF(OR($A604&lt;Settings!$C$8,$A604&gt;Settings!$C$9),"OUTSIDE PERIOD",IF(AND(IFERROR(INDEX(VAT_Codes!$E:$E,MATCH($N604,VAT_Codes!$A:$A,0)),"ANY")&lt;&gt;"ANY",$P604=""),"MISSING COUNTERPARTY COUNTRY",IF(AND(IFERROR(INDEX(VAT_Codes!$E:$E,MATCH($N604,VAT_Codes!$A:$A,0)),"ANY")&lt;&gt;"ANY",$P604&lt;&gt;IFERROR(INDEX(VAT_Codes!$E:$E,MATCH($N604,VAT_Codes!$A:$A,0)),"ANY")),"REGION MISMATCH","OK")))))))</f>
        <v/>
      </c>
    </row>
    <row r="605" customFormat="false" ht="15" hidden="false" customHeight="false" outlineLevel="0" collapsed="false">
      <c r="M605" s="24" t="str">
        <f aca="false">IF($C605="","",IFERROR(INDEX(Account_Mapping!$C:$C,MATCH($C605&amp;"",Account_Mapping!$A:$A,0))&amp;"",""))</f>
        <v/>
      </c>
      <c r="N605" s="24" t="str">
        <f aca="false">IF($K605&lt;&gt;"",$K605,$M605)</f>
        <v/>
      </c>
      <c r="O605" s="24" t="str">
        <f aca="false">IF($F605="","",IFERROR(INDEX(Counterparties!$C:$C,MATCH($F605&amp;"",Counterparties!$A:$A,0))&amp;"",""))</f>
        <v/>
      </c>
      <c r="P605" s="24" t="str">
        <f aca="false">IF($O605="","",IF($O605="CY","CY",IF(ISNUMBER(MATCH($O605,Lists!$A:$A,0)),"EU","3RD")))</f>
        <v/>
      </c>
      <c r="Q605" s="24" t="str">
        <f aca="false">IF($F605="","N",IFERROR(IF(INDEX(Counterparties!$E:$E,MATCH($F605&amp;"",Counterparties!$A:$A,0))="Y","Y","N"),"N"))</f>
        <v>N</v>
      </c>
      <c r="R605" s="25" t="n">
        <f aca="false">IF(OR($H605="",$H605="EUR"),1,IFERROR(INDEX(FX_Rates!$D:$D,MATCH($H605,FX_Rates!$A:$A,0)),""))</f>
        <v>1</v>
      </c>
      <c r="S605" s="26" t="str">
        <f aca="false">IF(AND($I605="",$J605=""),"",IF($J605&lt;&gt;"",$J605,IF(OR($R605="",$R605=0),"",ROUND($I605/$R605,2))))</f>
        <v/>
      </c>
      <c r="T605" s="24" t="str">
        <f aca="false">IF($N605="","",IFERROR(INDEX(VAT_Codes!$C:$C,MATCH($N605,VAT_Codes!$A:$A,0)),"")&amp;"")</f>
        <v/>
      </c>
      <c r="U605" s="26" t="n">
        <f aca="false">IF(OR($S605="",$T605="",$T605="None"),0,IF($T605="Output",-$S605,$S605))</f>
        <v>0</v>
      </c>
      <c r="V605" s="27" t="n">
        <f aca="false">IF($N605="",0,IFERROR(INDEX(VAT_Codes!$D:$D,MATCH($N605,VAT_Codes!$A:$A,0)),0))</f>
        <v>0</v>
      </c>
      <c r="W605" s="26" t="n">
        <f aca="false">IF($U605=0,0,IF(IFERROR(INDEX(VAT_Codes!$F:$F,MATCH($N605,VAT_Codes!$A:$A,0)),"N")="Y",$U605,IF($L605&lt;&gt;"",ROUND(ABS($L605)/IF(OR($R605="",$R605=0),1,$R605),2)*SIGN($U605),ROUND($U605*$V605,2))))</f>
        <v>0</v>
      </c>
      <c r="X605" s="24" t="str">
        <f aca="false">IF($N605="","",IFERROR(INDEX(VAT_Codes!$H:$H,MATCH($N605,VAT_Codes!$A:$A,0)),"")&amp;"")</f>
        <v/>
      </c>
      <c r="Y605" s="24" t="str">
        <f aca="false">IF($A605="","",(YEAR($A605)-YEAR(Settings!$C$8))*12+MONTH($A605)-MONTH(Settings!$C$8)+1)</f>
        <v/>
      </c>
      <c r="Z605" s="24" t="str">
        <f aca="false">IF(AND($C605="",$I605="",$J605=""),"",IF($N605="","NO VAT CODE",IF($T605="","UNKNOWN VAT CODE",IF($S605="","MISSING FX RATE",IF(OR($A605&lt;Settings!$C$8,$A605&gt;Settings!$C$9),"OUTSIDE PERIOD",IF(AND(IFERROR(INDEX(VAT_Codes!$E:$E,MATCH($N605,VAT_Codes!$A:$A,0)),"ANY")&lt;&gt;"ANY",$P605=""),"MISSING COUNTERPARTY COUNTRY",IF(AND(IFERROR(INDEX(VAT_Codes!$E:$E,MATCH($N605,VAT_Codes!$A:$A,0)),"ANY")&lt;&gt;"ANY",$P605&lt;&gt;IFERROR(INDEX(VAT_Codes!$E:$E,MATCH($N605,VAT_Codes!$A:$A,0)),"ANY")),"REGION MISMATCH","OK")))))))</f>
        <v/>
      </c>
    </row>
    <row r="606" customFormat="false" ht="15" hidden="false" customHeight="false" outlineLevel="0" collapsed="false">
      <c r="M606" s="24" t="str">
        <f aca="false">IF($C606="","",IFERROR(INDEX(Account_Mapping!$C:$C,MATCH($C606&amp;"",Account_Mapping!$A:$A,0))&amp;"",""))</f>
        <v/>
      </c>
      <c r="N606" s="24" t="str">
        <f aca="false">IF($K606&lt;&gt;"",$K606,$M606)</f>
        <v/>
      </c>
      <c r="O606" s="24" t="str">
        <f aca="false">IF($F606="","",IFERROR(INDEX(Counterparties!$C:$C,MATCH($F606&amp;"",Counterparties!$A:$A,0))&amp;"",""))</f>
        <v/>
      </c>
      <c r="P606" s="24" t="str">
        <f aca="false">IF($O606="","",IF($O606="CY","CY",IF(ISNUMBER(MATCH($O606,Lists!$A:$A,0)),"EU","3RD")))</f>
        <v/>
      </c>
      <c r="Q606" s="24" t="str">
        <f aca="false">IF($F606="","N",IFERROR(IF(INDEX(Counterparties!$E:$E,MATCH($F606&amp;"",Counterparties!$A:$A,0))="Y","Y","N"),"N"))</f>
        <v>N</v>
      </c>
      <c r="R606" s="25" t="n">
        <f aca="false">IF(OR($H606="",$H606="EUR"),1,IFERROR(INDEX(FX_Rates!$D:$D,MATCH($H606,FX_Rates!$A:$A,0)),""))</f>
        <v>1</v>
      </c>
      <c r="S606" s="26" t="str">
        <f aca="false">IF(AND($I606="",$J606=""),"",IF($J606&lt;&gt;"",$J606,IF(OR($R606="",$R606=0),"",ROUND($I606/$R606,2))))</f>
        <v/>
      </c>
      <c r="T606" s="24" t="str">
        <f aca="false">IF($N606="","",IFERROR(INDEX(VAT_Codes!$C:$C,MATCH($N606,VAT_Codes!$A:$A,0)),"")&amp;"")</f>
        <v/>
      </c>
      <c r="U606" s="26" t="n">
        <f aca="false">IF(OR($S606="",$T606="",$T606="None"),0,IF($T606="Output",-$S606,$S606))</f>
        <v>0</v>
      </c>
      <c r="V606" s="27" t="n">
        <f aca="false">IF($N606="",0,IFERROR(INDEX(VAT_Codes!$D:$D,MATCH($N606,VAT_Codes!$A:$A,0)),0))</f>
        <v>0</v>
      </c>
      <c r="W606" s="26" t="n">
        <f aca="false">IF($U606=0,0,IF(IFERROR(INDEX(VAT_Codes!$F:$F,MATCH($N606,VAT_Codes!$A:$A,0)),"N")="Y",$U606,IF($L606&lt;&gt;"",ROUND(ABS($L606)/IF(OR($R606="",$R606=0),1,$R606),2)*SIGN($U606),ROUND($U606*$V606,2))))</f>
        <v>0</v>
      </c>
      <c r="X606" s="24" t="str">
        <f aca="false">IF($N606="","",IFERROR(INDEX(VAT_Codes!$H:$H,MATCH($N606,VAT_Codes!$A:$A,0)),"")&amp;"")</f>
        <v/>
      </c>
      <c r="Y606" s="24" t="str">
        <f aca="false">IF($A606="","",(YEAR($A606)-YEAR(Settings!$C$8))*12+MONTH($A606)-MONTH(Settings!$C$8)+1)</f>
        <v/>
      </c>
      <c r="Z606" s="24" t="str">
        <f aca="false">IF(AND($C606="",$I606="",$J606=""),"",IF($N606="","NO VAT CODE",IF($T606="","UNKNOWN VAT CODE",IF($S606="","MISSING FX RATE",IF(OR($A606&lt;Settings!$C$8,$A606&gt;Settings!$C$9),"OUTSIDE PERIOD",IF(AND(IFERROR(INDEX(VAT_Codes!$E:$E,MATCH($N606,VAT_Codes!$A:$A,0)),"ANY")&lt;&gt;"ANY",$P606=""),"MISSING COUNTERPARTY COUNTRY",IF(AND(IFERROR(INDEX(VAT_Codes!$E:$E,MATCH($N606,VAT_Codes!$A:$A,0)),"ANY")&lt;&gt;"ANY",$P606&lt;&gt;IFERROR(INDEX(VAT_Codes!$E:$E,MATCH($N606,VAT_Codes!$A:$A,0)),"ANY")),"REGION MISMATCH","OK")))))))</f>
        <v/>
      </c>
    </row>
    <row r="607" customFormat="false" ht="15" hidden="false" customHeight="false" outlineLevel="0" collapsed="false">
      <c r="M607" s="24" t="str">
        <f aca="false">IF($C607="","",IFERROR(INDEX(Account_Mapping!$C:$C,MATCH($C607&amp;"",Account_Mapping!$A:$A,0))&amp;"",""))</f>
        <v/>
      </c>
      <c r="N607" s="24" t="str">
        <f aca="false">IF($K607&lt;&gt;"",$K607,$M607)</f>
        <v/>
      </c>
      <c r="O607" s="24" t="str">
        <f aca="false">IF($F607="","",IFERROR(INDEX(Counterparties!$C:$C,MATCH($F607&amp;"",Counterparties!$A:$A,0))&amp;"",""))</f>
        <v/>
      </c>
      <c r="P607" s="24" t="str">
        <f aca="false">IF($O607="","",IF($O607="CY","CY",IF(ISNUMBER(MATCH($O607,Lists!$A:$A,0)),"EU","3RD")))</f>
        <v/>
      </c>
      <c r="Q607" s="24" t="str">
        <f aca="false">IF($F607="","N",IFERROR(IF(INDEX(Counterparties!$E:$E,MATCH($F607&amp;"",Counterparties!$A:$A,0))="Y","Y","N"),"N"))</f>
        <v>N</v>
      </c>
      <c r="R607" s="25" t="n">
        <f aca="false">IF(OR($H607="",$H607="EUR"),1,IFERROR(INDEX(FX_Rates!$D:$D,MATCH($H607,FX_Rates!$A:$A,0)),""))</f>
        <v>1</v>
      </c>
      <c r="S607" s="26" t="str">
        <f aca="false">IF(AND($I607="",$J607=""),"",IF($J607&lt;&gt;"",$J607,IF(OR($R607="",$R607=0),"",ROUND($I607/$R607,2))))</f>
        <v/>
      </c>
      <c r="T607" s="24" t="str">
        <f aca="false">IF($N607="","",IFERROR(INDEX(VAT_Codes!$C:$C,MATCH($N607,VAT_Codes!$A:$A,0)),"")&amp;"")</f>
        <v/>
      </c>
      <c r="U607" s="26" t="n">
        <f aca="false">IF(OR($S607="",$T607="",$T607="None"),0,IF($T607="Output",-$S607,$S607))</f>
        <v>0</v>
      </c>
      <c r="V607" s="27" t="n">
        <f aca="false">IF($N607="",0,IFERROR(INDEX(VAT_Codes!$D:$D,MATCH($N607,VAT_Codes!$A:$A,0)),0))</f>
        <v>0</v>
      </c>
      <c r="W607" s="26" t="n">
        <f aca="false">IF($U607=0,0,IF(IFERROR(INDEX(VAT_Codes!$F:$F,MATCH($N607,VAT_Codes!$A:$A,0)),"N")="Y",$U607,IF($L607&lt;&gt;"",ROUND(ABS($L607)/IF(OR($R607="",$R607=0),1,$R607),2)*SIGN($U607),ROUND($U607*$V607,2))))</f>
        <v>0</v>
      </c>
      <c r="X607" s="24" t="str">
        <f aca="false">IF($N607="","",IFERROR(INDEX(VAT_Codes!$H:$H,MATCH($N607,VAT_Codes!$A:$A,0)),"")&amp;"")</f>
        <v/>
      </c>
      <c r="Y607" s="24" t="str">
        <f aca="false">IF($A607="","",(YEAR($A607)-YEAR(Settings!$C$8))*12+MONTH($A607)-MONTH(Settings!$C$8)+1)</f>
        <v/>
      </c>
      <c r="Z607" s="24" t="str">
        <f aca="false">IF(AND($C607="",$I607="",$J607=""),"",IF($N607="","NO VAT CODE",IF($T607="","UNKNOWN VAT CODE",IF($S607="","MISSING FX RATE",IF(OR($A607&lt;Settings!$C$8,$A607&gt;Settings!$C$9),"OUTSIDE PERIOD",IF(AND(IFERROR(INDEX(VAT_Codes!$E:$E,MATCH($N607,VAT_Codes!$A:$A,0)),"ANY")&lt;&gt;"ANY",$P607=""),"MISSING COUNTERPARTY COUNTRY",IF(AND(IFERROR(INDEX(VAT_Codes!$E:$E,MATCH($N607,VAT_Codes!$A:$A,0)),"ANY")&lt;&gt;"ANY",$P607&lt;&gt;IFERROR(INDEX(VAT_Codes!$E:$E,MATCH($N607,VAT_Codes!$A:$A,0)),"ANY")),"REGION MISMATCH","OK")))))))</f>
        <v/>
      </c>
    </row>
    <row r="608" customFormat="false" ht="15" hidden="false" customHeight="false" outlineLevel="0" collapsed="false">
      <c r="M608" s="24" t="str">
        <f aca="false">IF($C608="","",IFERROR(INDEX(Account_Mapping!$C:$C,MATCH($C608&amp;"",Account_Mapping!$A:$A,0))&amp;"",""))</f>
        <v/>
      </c>
      <c r="N608" s="24" t="str">
        <f aca="false">IF($K608&lt;&gt;"",$K608,$M608)</f>
        <v/>
      </c>
      <c r="O608" s="24" t="str">
        <f aca="false">IF($F608="","",IFERROR(INDEX(Counterparties!$C:$C,MATCH($F608&amp;"",Counterparties!$A:$A,0))&amp;"",""))</f>
        <v/>
      </c>
      <c r="P608" s="24" t="str">
        <f aca="false">IF($O608="","",IF($O608="CY","CY",IF(ISNUMBER(MATCH($O608,Lists!$A:$A,0)),"EU","3RD")))</f>
        <v/>
      </c>
      <c r="Q608" s="24" t="str">
        <f aca="false">IF($F608="","N",IFERROR(IF(INDEX(Counterparties!$E:$E,MATCH($F608&amp;"",Counterparties!$A:$A,0))="Y","Y","N"),"N"))</f>
        <v>N</v>
      </c>
      <c r="R608" s="25" t="n">
        <f aca="false">IF(OR($H608="",$H608="EUR"),1,IFERROR(INDEX(FX_Rates!$D:$D,MATCH($H608,FX_Rates!$A:$A,0)),""))</f>
        <v>1</v>
      </c>
      <c r="S608" s="26" t="str">
        <f aca="false">IF(AND($I608="",$J608=""),"",IF($J608&lt;&gt;"",$J608,IF(OR($R608="",$R608=0),"",ROUND($I608/$R608,2))))</f>
        <v/>
      </c>
      <c r="T608" s="24" t="str">
        <f aca="false">IF($N608="","",IFERROR(INDEX(VAT_Codes!$C:$C,MATCH($N608,VAT_Codes!$A:$A,0)),"")&amp;"")</f>
        <v/>
      </c>
      <c r="U608" s="26" t="n">
        <f aca="false">IF(OR($S608="",$T608="",$T608="None"),0,IF($T608="Output",-$S608,$S608))</f>
        <v>0</v>
      </c>
      <c r="V608" s="27" t="n">
        <f aca="false">IF($N608="",0,IFERROR(INDEX(VAT_Codes!$D:$D,MATCH($N608,VAT_Codes!$A:$A,0)),0))</f>
        <v>0</v>
      </c>
      <c r="W608" s="26" t="n">
        <f aca="false">IF($U608=0,0,IF(IFERROR(INDEX(VAT_Codes!$F:$F,MATCH($N608,VAT_Codes!$A:$A,0)),"N")="Y",$U608,IF($L608&lt;&gt;"",ROUND(ABS($L608)/IF(OR($R608="",$R608=0),1,$R608),2)*SIGN($U608),ROUND($U608*$V608,2))))</f>
        <v>0</v>
      </c>
      <c r="X608" s="24" t="str">
        <f aca="false">IF($N608="","",IFERROR(INDEX(VAT_Codes!$H:$H,MATCH($N608,VAT_Codes!$A:$A,0)),"")&amp;"")</f>
        <v/>
      </c>
      <c r="Y608" s="24" t="str">
        <f aca="false">IF($A608="","",(YEAR($A608)-YEAR(Settings!$C$8))*12+MONTH($A608)-MONTH(Settings!$C$8)+1)</f>
        <v/>
      </c>
      <c r="Z608" s="24" t="str">
        <f aca="false">IF(AND($C608="",$I608="",$J608=""),"",IF($N608="","NO VAT CODE",IF($T608="","UNKNOWN VAT CODE",IF($S608="","MISSING FX RATE",IF(OR($A608&lt;Settings!$C$8,$A608&gt;Settings!$C$9),"OUTSIDE PERIOD",IF(AND(IFERROR(INDEX(VAT_Codes!$E:$E,MATCH($N608,VAT_Codes!$A:$A,0)),"ANY")&lt;&gt;"ANY",$P608=""),"MISSING COUNTERPARTY COUNTRY",IF(AND(IFERROR(INDEX(VAT_Codes!$E:$E,MATCH($N608,VAT_Codes!$A:$A,0)),"ANY")&lt;&gt;"ANY",$P608&lt;&gt;IFERROR(INDEX(VAT_Codes!$E:$E,MATCH($N608,VAT_Codes!$A:$A,0)),"ANY")),"REGION MISMATCH","OK")))))))</f>
        <v/>
      </c>
    </row>
    <row r="609" customFormat="false" ht="15" hidden="false" customHeight="false" outlineLevel="0" collapsed="false">
      <c r="M609" s="24" t="str">
        <f aca="false">IF($C609="","",IFERROR(INDEX(Account_Mapping!$C:$C,MATCH($C609&amp;"",Account_Mapping!$A:$A,0))&amp;"",""))</f>
        <v/>
      </c>
      <c r="N609" s="24" t="str">
        <f aca="false">IF($K609&lt;&gt;"",$K609,$M609)</f>
        <v/>
      </c>
      <c r="O609" s="24" t="str">
        <f aca="false">IF($F609="","",IFERROR(INDEX(Counterparties!$C:$C,MATCH($F609&amp;"",Counterparties!$A:$A,0))&amp;"",""))</f>
        <v/>
      </c>
      <c r="P609" s="24" t="str">
        <f aca="false">IF($O609="","",IF($O609="CY","CY",IF(ISNUMBER(MATCH($O609,Lists!$A:$A,0)),"EU","3RD")))</f>
        <v/>
      </c>
      <c r="Q609" s="24" t="str">
        <f aca="false">IF($F609="","N",IFERROR(IF(INDEX(Counterparties!$E:$E,MATCH($F609&amp;"",Counterparties!$A:$A,0))="Y","Y","N"),"N"))</f>
        <v>N</v>
      </c>
      <c r="R609" s="25" t="n">
        <f aca="false">IF(OR($H609="",$H609="EUR"),1,IFERROR(INDEX(FX_Rates!$D:$D,MATCH($H609,FX_Rates!$A:$A,0)),""))</f>
        <v>1</v>
      </c>
      <c r="S609" s="26" t="str">
        <f aca="false">IF(AND($I609="",$J609=""),"",IF($J609&lt;&gt;"",$J609,IF(OR($R609="",$R609=0),"",ROUND($I609/$R609,2))))</f>
        <v/>
      </c>
      <c r="T609" s="24" t="str">
        <f aca="false">IF($N609="","",IFERROR(INDEX(VAT_Codes!$C:$C,MATCH($N609,VAT_Codes!$A:$A,0)),"")&amp;"")</f>
        <v/>
      </c>
      <c r="U609" s="26" t="n">
        <f aca="false">IF(OR($S609="",$T609="",$T609="None"),0,IF($T609="Output",-$S609,$S609))</f>
        <v>0</v>
      </c>
      <c r="V609" s="27" t="n">
        <f aca="false">IF($N609="",0,IFERROR(INDEX(VAT_Codes!$D:$D,MATCH($N609,VAT_Codes!$A:$A,0)),0))</f>
        <v>0</v>
      </c>
      <c r="W609" s="26" t="n">
        <f aca="false">IF($U609=0,0,IF(IFERROR(INDEX(VAT_Codes!$F:$F,MATCH($N609,VAT_Codes!$A:$A,0)),"N")="Y",$U609,IF($L609&lt;&gt;"",ROUND(ABS($L609)/IF(OR($R609="",$R609=0),1,$R609),2)*SIGN($U609),ROUND($U609*$V609,2))))</f>
        <v>0</v>
      </c>
      <c r="X609" s="24" t="str">
        <f aca="false">IF($N609="","",IFERROR(INDEX(VAT_Codes!$H:$H,MATCH($N609,VAT_Codes!$A:$A,0)),"")&amp;"")</f>
        <v/>
      </c>
      <c r="Y609" s="24" t="str">
        <f aca="false">IF($A609="","",(YEAR($A609)-YEAR(Settings!$C$8))*12+MONTH($A609)-MONTH(Settings!$C$8)+1)</f>
        <v/>
      </c>
      <c r="Z609" s="24" t="str">
        <f aca="false">IF(AND($C609="",$I609="",$J609=""),"",IF($N609="","NO VAT CODE",IF($T609="","UNKNOWN VAT CODE",IF($S609="","MISSING FX RATE",IF(OR($A609&lt;Settings!$C$8,$A609&gt;Settings!$C$9),"OUTSIDE PERIOD",IF(AND(IFERROR(INDEX(VAT_Codes!$E:$E,MATCH($N609,VAT_Codes!$A:$A,0)),"ANY")&lt;&gt;"ANY",$P609=""),"MISSING COUNTERPARTY COUNTRY",IF(AND(IFERROR(INDEX(VAT_Codes!$E:$E,MATCH($N609,VAT_Codes!$A:$A,0)),"ANY")&lt;&gt;"ANY",$P609&lt;&gt;IFERROR(INDEX(VAT_Codes!$E:$E,MATCH($N609,VAT_Codes!$A:$A,0)),"ANY")),"REGION MISMATCH","OK")))))))</f>
        <v/>
      </c>
    </row>
    <row r="610" customFormat="false" ht="15" hidden="false" customHeight="false" outlineLevel="0" collapsed="false">
      <c r="M610" s="24" t="str">
        <f aca="false">IF($C610="","",IFERROR(INDEX(Account_Mapping!$C:$C,MATCH($C610&amp;"",Account_Mapping!$A:$A,0))&amp;"",""))</f>
        <v/>
      </c>
      <c r="N610" s="24" t="str">
        <f aca="false">IF($K610&lt;&gt;"",$K610,$M610)</f>
        <v/>
      </c>
      <c r="O610" s="24" t="str">
        <f aca="false">IF($F610="","",IFERROR(INDEX(Counterparties!$C:$C,MATCH($F610&amp;"",Counterparties!$A:$A,0))&amp;"",""))</f>
        <v/>
      </c>
      <c r="P610" s="24" t="str">
        <f aca="false">IF($O610="","",IF($O610="CY","CY",IF(ISNUMBER(MATCH($O610,Lists!$A:$A,0)),"EU","3RD")))</f>
        <v/>
      </c>
      <c r="Q610" s="24" t="str">
        <f aca="false">IF($F610="","N",IFERROR(IF(INDEX(Counterparties!$E:$E,MATCH($F610&amp;"",Counterparties!$A:$A,0))="Y","Y","N"),"N"))</f>
        <v>N</v>
      </c>
      <c r="R610" s="25" t="n">
        <f aca="false">IF(OR($H610="",$H610="EUR"),1,IFERROR(INDEX(FX_Rates!$D:$D,MATCH($H610,FX_Rates!$A:$A,0)),""))</f>
        <v>1</v>
      </c>
      <c r="S610" s="26" t="str">
        <f aca="false">IF(AND($I610="",$J610=""),"",IF($J610&lt;&gt;"",$J610,IF(OR($R610="",$R610=0),"",ROUND($I610/$R610,2))))</f>
        <v/>
      </c>
      <c r="T610" s="24" t="str">
        <f aca="false">IF($N610="","",IFERROR(INDEX(VAT_Codes!$C:$C,MATCH($N610,VAT_Codes!$A:$A,0)),"")&amp;"")</f>
        <v/>
      </c>
      <c r="U610" s="26" t="n">
        <f aca="false">IF(OR($S610="",$T610="",$T610="None"),0,IF($T610="Output",-$S610,$S610))</f>
        <v>0</v>
      </c>
      <c r="V610" s="27" t="n">
        <f aca="false">IF($N610="",0,IFERROR(INDEX(VAT_Codes!$D:$D,MATCH($N610,VAT_Codes!$A:$A,0)),0))</f>
        <v>0</v>
      </c>
      <c r="W610" s="26" t="n">
        <f aca="false">IF($U610=0,0,IF(IFERROR(INDEX(VAT_Codes!$F:$F,MATCH($N610,VAT_Codes!$A:$A,0)),"N")="Y",$U610,IF($L610&lt;&gt;"",ROUND(ABS($L610)/IF(OR($R610="",$R610=0),1,$R610),2)*SIGN($U610),ROUND($U610*$V610,2))))</f>
        <v>0</v>
      </c>
      <c r="X610" s="24" t="str">
        <f aca="false">IF($N610="","",IFERROR(INDEX(VAT_Codes!$H:$H,MATCH($N610,VAT_Codes!$A:$A,0)),"")&amp;"")</f>
        <v/>
      </c>
      <c r="Y610" s="24" t="str">
        <f aca="false">IF($A610="","",(YEAR($A610)-YEAR(Settings!$C$8))*12+MONTH($A610)-MONTH(Settings!$C$8)+1)</f>
        <v/>
      </c>
      <c r="Z610" s="24" t="str">
        <f aca="false">IF(AND($C610="",$I610="",$J610=""),"",IF($N610="","NO VAT CODE",IF($T610="","UNKNOWN VAT CODE",IF($S610="","MISSING FX RATE",IF(OR($A610&lt;Settings!$C$8,$A610&gt;Settings!$C$9),"OUTSIDE PERIOD",IF(AND(IFERROR(INDEX(VAT_Codes!$E:$E,MATCH($N610,VAT_Codes!$A:$A,0)),"ANY")&lt;&gt;"ANY",$P610=""),"MISSING COUNTERPARTY COUNTRY",IF(AND(IFERROR(INDEX(VAT_Codes!$E:$E,MATCH($N610,VAT_Codes!$A:$A,0)),"ANY")&lt;&gt;"ANY",$P610&lt;&gt;IFERROR(INDEX(VAT_Codes!$E:$E,MATCH($N610,VAT_Codes!$A:$A,0)),"ANY")),"REGION MISMATCH","OK")))))))</f>
        <v/>
      </c>
    </row>
    <row r="611" customFormat="false" ht="15" hidden="false" customHeight="false" outlineLevel="0" collapsed="false">
      <c r="M611" s="24" t="str">
        <f aca="false">IF($C611="","",IFERROR(INDEX(Account_Mapping!$C:$C,MATCH($C611&amp;"",Account_Mapping!$A:$A,0))&amp;"",""))</f>
        <v/>
      </c>
      <c r="N611" s="24" t="str">
        <f aca="false">IF($K611&lt;&gt;"",$K611,$M611)</f>
        <v/>
      </c>
      <c r="O611" s="24" t="str">
        <f aca="false">IF($F611="","",IFERROR(INDEX(Counterparties!$C:$C,MATCH($F611&amp;"",Counterparties!$A:$A,0))&amp;"",""))</f>
        <v/>
      </c>
      <c r="P611" s="24" t="str">
        <f aca="false">IF($O611="","",IF($O611="CY","CY",IF(ISNUMBER(MATCH($O611,Lists!$A:$A,0)),"EU","3RD")))</f>
        <v/>
      </c>
      <c r="Q611" s="24" t="str">
        <f aca="false">IF($F611="","N",IFERROR(IF(INDEX(Counterparties!$E:$E,MATCH($F611&amp;"",Counterparties!$A:$A,0))="Y","Y","N"),"N"))</f>
        <v>N</v>
      </c>
      <c r="R611" s="25" t="n">
        <f aca="false">IF(OR($H611="",$H611="EUR"),1,IFERROR(INDEX(FX_Rates!$D:$D,MATCH($H611,FX_Rates!$A:$A,0)),""))</f>
        <v>1</v>
      </c>
      <c r="S611" s="26" t="str">
        <f aca="false">IF(AND($I611="",$J611=""),"",IF($J611&lt;&gt;"",$J611,IF(OR($R611="",$R611=0),"",ROUND($I611/$R611,2))))</f>
        <v/>
      </c>
      <c r="T611" s="24" t="str">
        <f aca="false">IF($N611="","",IFERROR(INDEX(VAT_Codes!$C:$C,MATCH($N611,VAT_Codes!$A:$A,0)),"")&amp;"")</f>
        <v/>
      </c>
      <c r="U611" s="26" t="n">
        <f aca="false">IF(OR($S611="",$T611="",$T611="None"),0,IF($T611="Output",-$S611,$S611))</f>
        <v>0</v>
      </c>
      <c r="V611" s="27" t="n">
        <f aca="false">IF($N611="",0,IFERROR(INDEX(VAT_Codes!$D:$D,MATCH($N611,VAT_Codes!$A:$A,0)),0))</f>
        <v>0</v>
      </c>
      <c r="W611" s="26" t="n">
        <f aca="false">IF($U611=0,0,IF(IFERROR(INDEX(VAT_Codes!$F:$F,MATCH($N611,VAT_Codes!$A:$A,0)),"N")="Y",$U611,IF($L611&lt;&gt;"",ROUND(ABS($L611)/IF(OR($R611="",$R611=0),1,$R611),2)*SIGN($U611),ROUND($U611*$V611,2))))</f>
        <v>0</v>
      </c>
      <c r="X611" s="24" t="str">
        <f aca="false">IF($N611="","",IFERROR(INDEX(VAT_Codes!$H:$H,MATCH($N611,VAT_Codes!$A:$A,0)),"")&amp;"")</f>
        <v/>
      </c>
      <c r="Y611" s="24" t="str">
        <f aca="false">IF($A611="","",(YEAR($A611)-YEAR(Settings!$C$8))*12+MONTH($A611)-MONTH(Settings!$C$8)+1)</f>
        <v/>
      </c>
      <c r="Z611" s="24" t="str">
        <f aca="false">IF(AND($C611="",$I611="",$J611=""),"",IF($N611="","NO VAT CODE",IF($T611="","UNKNOWN VAT CODE",IF($S611="","MISSING FX RATE",IF(OR($A611&lt;Settings!$C$8,$A611&gt;Settings!$C$9),"OUTSIDE PERIOD",IF(AND(IFERROR(INDEX(VAT_Codes!$E:$E,MATCH($N611,VAT_Codes!$A:$A,0)),"ANY")&lt;&gt;"ANY",$P611=""),"MISSING COUNTERPARTY COUNTRY",IF(AND(IFERROR(INDEX(VAT_Codes!$E:$E,MATCH($N611,VAT_Codes!$A:$A,0)),"ANY")&lt;&gt;"ANY",$P611&lt;&gt;IFERROR(INDEX(VAT_Codes!$E:$E,MATCH($N611,VAT_Codes!$A:$A,0)),"ANY")),"REGION MISMATCH","OK")))))))</f>
        <v/>
      </c>
    </row>
    <row r="612" customFormat="false" ht="15" hidden="false" customHeight="false" outlineLevel="0" collapsed="false">
      <c r="M612" s="24" t="str">
        <f aca="false">IF($C612="","",IFERROR(INDEX(Account_Mapping!$C:$C,MATCH($C612&amp;"",Account_Mapping!$A:$A,0))&amp;"",""))</f>
        <v/>
      </c>
      <c r="N612" s="24" t="str">
        <f aca="false">IF($K612&lt;&gt;"",$K612,$M612)</f>
        <v/>
      </c>
      <c r="O612" s="24" t="str">
        <f aca="false">IF($F612="","",IFERROR(INDEX(Counterparties!$C:$C,MATCH($F612&amp;"",Counterparties!$A:$A,0))&amp;"",""))</f>
        <v/>
      </c>
      <c r="P612" s="24" t="str">
        <f aca="false">IF($O612="","",IF($O612="CY","CY",IF(ISNUMBER(MATCH($O612,Lists!$A:$A,0)),"EU","3RD")))</f>
        <v/>
      </c>
      <c r="Q612" s="24" t="str">
        <f aca="false">IF($F612="","N",IFERROR(IF(INDEX(Counterparties!$E:$E,MATCH($F612&amp;"",Counterparties!$A:$A,0))="Y","Y","N"),"N"))</f>
        <v>N</v>
      </c>
      <c r="R612" s="25" t="n">
        <f aca="false">IF(OR($H612="",$H612="EUR"),1,IFERROR(INDEX(FX_Rates!$D:$D,MATCH($H612,FX_Rates!$A:$A,0)),""))</f>
        <v>1</v>
      </c>
      <c r="S612" s="26" t="str">
        <f aca="false">IF(AND($I612="",$J612=""),"",IF($J612&lt;&gt;"",$J612,IF(OR($R612="",$R612=0),"",ROUND($I612/$R612,2))))</f>
        <v/>
      </c>
      <c r="T612" s="24" t="str">
        <f aca="false">IF($N612="","",IFERROR(INDEX(VAT_Codes!$C:$C,MATCH($N612,VAT_Codes!$A:$A,0)),"")&amp;"")</f>
        <v/>
      </c>
      <c r="U612" s="26" t="n">
        <f aca="false">IF(OR($S612="",$T612="",$T612="None"),0,IF($T612="Output",-$S612,$S612))</f>
        <v>0</v>
      </c>
      <c r="V612" s="27" t="n">
        <f aca="false">IF($N612="",0,IFERROR(INDEX(VAT_Codes!$D:$D,MATCH($N612,VAT_Codes!$A:$A,0)),0))</f>
        <v>0</v>
      </c>
      <c r="W612" s="26" t="n">
        <f aca="false">IF($U612=0,0,IF(IFERROR(INDEX(VAT_Codes!$F:$F,MATCH($N612,VAT_Codes!$A:$A,0)),"N")="Y",$U612,IF($L612&lt;&gt;"",ROUND(ABS($L612)/IF(OR($R612="",$R612=0),1,$R612),2)*SIGN($U612),ROUND($U612*$V612,2))))</f>
        <v>0</v>
      </c>
      <c r="X612" s="24" t="str">
        <f aca="false">IF($N612="","",IFERROR(INDEX(VAT_Codes!$H:$H,MATCH($N612,VAT_Codes!$A:$A,0)),"")&amp;"")</f>
        <v/>
      </c>
      <c r="Y612" s="24" t="str">
        <f aca="false">IF($A612="","",(YEAR($A612)-YEAR(Settings!$C$8))*12+MONTH($A612)-MONTH(Settings!$C$8)+1)</f>
        <v/>
      </c>
      <c r="Z612" s="24" t="str">
        <f aca="false">IF(AND($C612="",$I612="",$J612=""),"",IF($N612="","NO VAT CODE",IF($T612="","UNKNOWN VAT CODE",IF($S612="","MISSING FX RATE",IF(OR($A612&lt;Settings!$C$8,$A612&gt;Settings!$C$9),"OUTSIDE PERIOD",IF(AND(IFERROR(INDEX(VAT_Codes!$E:$E,MATCH($N612,VAT_Codes!$A:$A,0)),"ANY")&lt;&gt;"ANY",$P612=""),"MISSING COUNTERPARTY COUNTRY",IF(AND(IFERROR(INDEX(VAT_Codes!$E:$E,MATCH($N612,VAT_Codes!$A:$A,0)),"ANY")&lt;&gt;"ANY",$P612&lt;&gt;IFERROR(INDEX(VAT_Codes!$E:$E,MATCH($N612,VAT_Codes!$A:$A,0)),"ANY")),"REGION MISMATCH","OK")))))))</f>
        <v/>
      </c>
    </row>
    <row r="613" customFormat="false" ht="15" hidden="false" customHeight="false" outlineLevel="0" collapsed="false">
      <c r="M613" s="24" t="str">
        <f aca="false">IF($C613="","",IFERROR(INDEX(Account_Mapping!$C:$C,MATCH($C613&amp;"",Account_Mapping!$A:$A,0))&amp;"",""))</f>
        <v/>
      </c>
      <c r="N613" s="24" t="str">
        <f aca="false">IF($K613&lt;&gt;"",$K613,$M613)</f>
        <v/>
      </c>
      <c r="O613" s="24" t="str">
        <f aca="false">IF($F613="","",IFERROR(INDEX(Counterparties!$C:$C,MATCH($F613&amp;"",Counterparties!$A:$A,0))&amp;"",""))</f>
        <v/>
      </c>
      <c r="P613" s="24" t="str">
        <f aca="false">IF($O613="","",IF($O613="CY","CY",IF(ISNUMBER(MATCH($O613,Lists!$A:$A,0)),"EU","3RD")))</f>
        <v/>
      </c>
      <c r="Q613" s="24" t="str">
        <f aca="false">IF($F613="","N",IFERROR(IF(INDEX(Counterparties!$E:$E,MATCH($F613&amp;"",Counterparties!$A:$A,0))="Y","Y","N"),"N"))</f>
        <v>N</v>
      </c>
      <c r="R613" s="25" t="n">
        <f aca="false">IF(OR($H613="",$H613="EUR"),1,IFERROR(INDEX(FX_Rates!$D:$D,MATCH($H613,FX_Rates!$A:$A,0)),""))</f>
        <v>1</v>
      </c>
      <c r="S613" s="26" t="str">
        <f aca="false">IF(AND($I613="",$J613=""),"",IF($J613&lt;&gt;"",$J613,IF(OR($R613="",$R613=0),"",ROUND($I613/$R613,2))))</f>
        <v/>
      </c>
      <c r="T613" s="24" t="str">
        <f aca="false">IF($N613="","",IFERROR(INDEX(VAT_Codes!$C:$C,MATCH($N613,VAT_Codes!$A:$A,0)),"")&amp;"")</f>
        <v/>
      </c>
      <c r="U613" s="26" t="n">
        <f aca="false">IF(OR($S613="",$T613="",$T613="None"),0,IF($T613="Output",-$S613,$S613))</f>
        <v>0</v>
      </c>
      <c r="V613" s="27" t="n">
        <f aca="false">IF($N613="",0,IFERROR(INDEX(VAT_Codes!$D:$D,MATCH($N613,VAT_Codes!$A:$A,0)),0))</f>
        <v>0</v>
      </c>
      <c r="W613" s="26" t="n">
        <f aca="false">IF($U613=0,0,IF(IFERROR(INDEX(VAT_Codes!$F:$F,MATCH($N613,VAT_Codes!$A:$A,0)),"N")="Y",$U613,IF($L613&lt;&gt;"",ROUND(ABS($L613)/IF(OR($R613="",$R613=0),1,$R613),2)*SIGN($U613),ROUND($U613*$V613,2))))</f>
        <v>0</v>
      </c>
      <c r="X613" s="24" t="str">
        <f aca="false">IF($N613="","",IFERROR(INDEX(VAT_Codes!$H:$H,MATCH($N613,VAT_Codes!$A:$A,0)),"")&amp;"")</f>
        <v/>
      </c>
      <c r="Y613" s="24" t="str">
        <f aca="false">IF($A613="","",(YEAR($A613)-YEAR(Settings!$C$8))*12+MONTH($A613)-MONTH(Settings!$C$8)+1)</f>
        <v/>
      </c>
      <c r="Z613" s="24" t="str">
        <f aca="false">IF(AND($C613="",$I613="",$J613=""),"",IF($N613="","NO VAT CODE",IF($T613="","UNKNOWN VAT CODE",IF($S613="","MISSING FX RATE",IF(OR($A613&lt;Settings!$C$8,$A613&gt;Settings!$C$9),"OUTSIDE PERIOD",IF(AND(IFERROR(INDEX(VAT_Codes!$E:$E,MATCH($N613,VAT_Codes!$A:$A,0)),"ANY")&lt;&gt;"ANY",$P613=""),"MISSING COUNTERPARTY COUNTRY",IF(AND(IFERROR(INDEX(VAT_Codes!$E:$E,MATCH($N613,VAT_Codes!$A:$A,0)),"ANY")&lt;&gt;"ANY",$P613&lt;&gt;IFERROR(INDEX(VAT_Codes!$E:$E,MATCH($N613,VAT_Codes!$A:$A,0)),"ANY")),"REGION MISMATCH","OK")))))))</f>
        <v/>
      </c>
    </row>
    <row r="614" customFormat="false" ht="15" hidden="false" customHeight="false" outlineLevel="0" collapsed="false">
      <c r="M614" s="24" t="str">
        <f aca="false">IF($C614="","",IFERROR(INDEX(Account_Mapping!$C:$C,MATCH($C614&amp;"",Account_Mapping!$A:$A,0))&amp;"",""))</f>
        <v/>
      </c>
      <c r="N614" s="24" t="str">
        <f aca="false">IF($K614&lt;&gt;"",$K614,$M614)</f>
        <v/>
      </c>
      <c r="O614" s="24" t="str">
        <f aca="false">IF($F614="","",IFERROR(INDEX(Counterparties!$C:$C,MATCH($F614&amp;"",Counterparties!$A:$A,0))&amp;"",""))</f>
        <v/>
      </c>
      <c r="P614" s="24" t="str">
        <f aca="false">IF($O614="","",IF($O614="CY","CY",IF(ISNUMBER(MATCH($O614,Lists!$A:$A,0)),"EU","3RD")))</f>
        <v/>
      </c>
      <c r="Q614" s="24" t="str">
        <f aca="false">IF($F614="","N",IFERROR(IF(INDEX(Counterparties!$E:$E,MATCH($F614&amp;"",Counterparties!$A:$A,0))="Y","Y","N"),"N"))</f>
        <v>N</v>
      </c>
      <c r="R614" s="25" t="n">
        <f aca="false">IF(OR($H614="",$H614="EUR"),1,IFERROR(INDEX(FX_Rates!$D:$D,MATCH($H614,FX_Rates!$A:$A,0)),""))</f>
        <v>1</v>
      </c>
      <c r="S614" s="26" t="str">
        <f aca="false">IF(AND($I614="",$J614=""),"",IF($J614&lt;&gt;"",$J614,IF(OR($R614="",$R614=0),"",ROUND($I614/$R614,2))))</f>
        <v/>
      </c>
      <c r="T614" s="24" t="str">
        <f aca="false">IF($N614="","",IFERROR(INDEX(VAT_Codes!$C:$C,MATCH($N614,VAT_Codes!$A:$A,0)),"")&amp;"")</f>
        <v/>
      </c>
      <c r="U614" s="26" t="n">
        <f aca="false">IF(OR($S614="",$T614="",$T614="None"),0,IF($T614="Output",-$S614,$S614))</f>
        <v>0</v>
      </c>
      <c r="V614" s="27" t="n">
        <f aca="false">IF($N614="",0,IFERROR(INDEX(VAT_Codes!$D:$D,MATCH($N614,VAT_Codes!$A:$A,0)),0))</f>
        <v>0</v>
      </c>
      <c r="W614" s="26" t="n">
        <f aca="false">IF($U614=0,0,IF(IFERROR(INDEX(VAT_Codes!$F:$F,MATCH($N614,VAT_Codes!$A:$A,0)),"N")="Y",$U614,IF($L614&lt;&gt;"",ROUND(ABS($L614)/IF(OR($R614="",$R614=0),1,$R614),2)*SIGN($U614),ROUND($U614*$V614,2))))</f>
        <v>0</v>
      </c>
      <c r="X614" s="24" t="str">
        <f aca="false">IF($N614="","",IFERROR(INDEX(VAT_Codes!$H:$H,MATCH($N614,VAT_Codes!$A:$A,0)),"")&amp;"")</f>
        <v/>
      </c>
      <c r="Y614" s="24" t="str">
        <f aca="false">IF($A614="","",(YEAR($A614)-YEAR(Settings!$C$8))*12+MONTH($A614)-MONTH(Settings!$C$8)+1)</f>
        <v/>
      </c>
      <c r="Z614" s="24" t="str">
        <f aca="false">IF(AND($C614="",$I614="",$J614=""),"",IF($N614="","NO VAT CODE",IF($T614="","UNKNOWN VAT CODE",IF($S614="","MISSING FX RATE",IF(OR($A614&lt;Settings!$C$8,$A614&gt;Settings!$C$9),"OUTSIDE PERIOD",IF(AND(IFERROR(INDEX(VAT_Codes!$E:$E,MATCH($N614,VAT_Codes!$A:$A,0)),"ANY")&lt;&gt;"ANY",$P614=""),"MISSING COUNTERPARTY COUNTRY",IF(AND(IFERROR(INDEX(VAT_Codes!$E:$E,MATCH($N614,VAT_Codes!$A:$A,0)),"ANY")&lt;&gt;"ANY",$P614&lt;&gt;IFERROR(INDEX(VAT_Codes!$E:$E,MATCH($N614,VAT_Codes!$A:$A,0)),"ANY")),"REGION MISMATCH","OK")))))))</f>
        <v/>
      </c>
    </row>
    <row r="615" customFormat="false" ht="15" hidden="false" customHeight="false" outlineLevel="0" collapsed="false">
      <c r="M615" s="24" t="str">
        <f aca="false">IF($C615="","",IFERROR(INDEX(Account_Mapping!$C:$C,MATCH($C615&amp;"",Account_Mapping!$A:$A,0))&amp;"",""))</f>
        <v/>
      </c>
      <c r="N615" s="24" t="str">
        <f aca="false">IF($K615&lt;&gt;"",$K615,$M615)</f>
        <v/>
      </c>
      <c r="O615" s="24" t="str">
        <f aca="false">IF($F615="","",IFERROR(INDEX(Counterparties!$C:$C,MATCH($F615&amp;"",Counterparties!$A:$A,0))&amp;"",""))</f>
        <v/>
      </c>
      <c r="P615" s="24" t="str">
        <f aca="false">IF($O615="","",IF($O615="CY","CY",IF(ISNUMBER(MATCH($O615,Lists!$A:$A,0)),"EU","3RD")))</f>
        <v/>
      </c>
      <c r="Q615" s="24" t="str">
        <f aca="false">IF($F615="","N",IFERROR(IF(INDEX(Counterparties!$E:$E,MATCH($F615&amp;"",Counterparties!$A:$A,0))="Y","Y","N"),"N"))</f>
        <v>N</v>
      </c>
      <c r="R615" s="25" t="n">
        <f aca="false">IF(OR($H615="",$H615="EUR"),1,IFERROR(INDEX(FX_Rates!$D:$D,MATCH($H615,FX_Rates!$A:$A,0)),""))</f>
        <v>1</v>
      </c>
      <c r="S615" s="26" t="str">
        <f aca="false">IF(AND($I615="",$J615=""),"",IF($J615&lt;&gt;"",$J615,IF(OR($R615="",$R615=0),"",ROUND($I615/$R615,2))))</f>
        <v/>
      </c>
      <c r="T615" s="24" t="str">
        <f aca="false">IF($N615="","",IFERROR(INDEX(VAT_Codes!$C:$C,MATCH($N615,VAT_Codes!$A:$A,0)),"")&amp;"")</f>
        <v/>
      </c>
      <c r="U615" s="26" t="n">
        <f aca="false">IF(OR($S615="",$T615="",$T615="None"),0,IF($T615="Output",-$S615,$S615))</f>
        <v>0</v>
      </c>
      <c r="V615" s="27" t="n">
        <f aca="false">IF($N615="",0,IFERROR(INDEX(VAT_Codes!$D:$D,MATCH($N615,VAT_Codes!$A:$A,0)),0))</f>
        <v>0</v>
      </c>
      <c r="W615" s="26" t="n">
        <f aca="false">IF($U615=0,0,IF(IFERROR(INDEX(VAT_Codes!$F:$F,MATCH($N615,VAT_Codes!$A:$A,0)),"N")="Y",$U615,IF($L615&lt;&gt;"",ROUND(ABS($L615)/IF(OR($R615="",$R615=0),1,$R615),2)*SIGN($U615),ROUND($U615*$V615,2))))</f>
        <v>0</v>
      </c>
      <c r="X615" s="24" t="str">
        <f aca="false">IF($N615="","",IFERROR(INDEX(VAT_Codes!$H:$H,MATCH($N615,VAT_Codes!$A:$A,0)),"")&amp;"")</f>
        <v/>
      </c>
      <c r="Y615" s="24" t="str">
        <f aca="false">IF($A615="","",(YEAR($A615)-YEAR(Settings!$C$8))*12+MONTH($A615)-MONTH(Settings!$C$8)+1)</f>
        <v/>
      </c>
      <c r="Z615" s="24" t="str">
        <f aca="false">IF(AND($C615="",$I615="",$J615=""),"",IF($N615="","NO VAT CODE",IF($T615="","UNKNOWN VAT CODE",IF($S615="","MISSING FX RATE",IF(OR($A615&lt;Settings!$C$8,$A615&gt;Settings!$C$9),"OUTSIDE PERIOD",IF(AND(IFERROR(INDEX(VAT_Codes!$E:$E,MATCH($N615,VAT_Codes!$A:$A,0)),"ANY")&lt;&gt;"ANY",$P615=""),"MISSING COUNTERPARTY COUNTRY",IF(AND(IFERROR(INDEX(VAT_Codes!$E:$E,MATCH($N615,VAT_Codes!$A:$A,0)),"ANY")&lt;&gt;"ANY",$P615&lt;&gt;IFERROR(INDEX(VAT_Codes!$E:$E,MATCH($N615,VAT_Codes!$A:$A,0)),"ANY")),"REGION MISMATCH","OK")))))))</f>
        <v/>
      </c>
    </row>
    <row r="616" customFormat="false" ht="15" hidden="false" customHeight="false" outlineLevel="0" collapsed="false">
      <c r="M616" s="24" t="str">
        <f aca="false">IF($C616="","",IFERROR(INDEX(Account_Mapping!$C:$C,MATCH($C616&amp;"",Account_Mapping!$A:$A,0))&amp;"",""))</f>
        <v/>
      </c>
      <c r="N616" s="24" t="str">
        <f aca="false">IF($K616&lt;&gt;"",$K616,$M616)</f>
        <v/>
      </c>
      <c r="O616" s="24" t="str">
        <f aca="false">IF($F616="","",IFERROR(INDEX(Counterparties!$C:$C,MATCH($F616&amp;"",Counterparties!$A:$A,0))&amp;"",""))</f>
        <v/>
      </c>
      <c r="P616" s="24" t="str">
        <f aca="false">IF($O616="","",IF($O616="CY","CY",IF(ISNUMBER(MATCH($O616,Lists!$A:$A,0)),"EU","3RD")))</f>
        <v/>
      </c>
      <c r="Q616" s="24" t="str">
        <f aca="false">IF($F616="","N",IFERROR(IF(INDEX(Counterparties!$E:$E,MATCH($F616&amp;"",Counterparties!$A:$A,0))="Y","Y","N"),"N"))</f>
        <v>N</v>
      </c>
      <c r="R616" s="25" t="n">
        <f aca="false">IF(OR($H616="",$H616="EUR"),1,IFERROR(INDEX(FX_Rates!$D:$D,MATCH($H616,FX_Rates!$A:$A,0)),""))</f>
        <v>1</v>
      </c>
      <c r="S616" s="26" t="str">
        <f aca="false">IF(AND($I616="",$J616=""),"",IF($J616&lt;&gt;"",$J616,IF(OR($R616="",$R616=0),"",ROUND($I616/$R616,2))))</f>
        <v/>
      </c>
      <c r="T616" s="24" t="str">
        <f aca="false">IF($N616="","",IFERROR(INDEX(VAT_Codes!$C:$C,MATCH($N616,VAT_Codes!$A:$A,0)),"")&amp;"")</f>
        <v/>
      </c>
      <c r="U616" s="26" t="n">
        <f aca="false">IF(OR($S616="",$T616="",$T616="None"),0,IF($T616="Output",-$S616,$S616))</f>
        <v>0</v>
      </c>
      <c r="V616" s="27" t="n">
        <f aca="false">IF($N616="",0,IFERROR(INDEX(VAT_Codes!$D:$D,MATCH($N616,VAT_Codes!$A:$A,0)),0))</f>
        <v>0</v>
      </c>
      <c r="W616" s="26" t="n">
        <f aca="false">IF($U616=0,0,IF(IFERROR(INDEX(VAT_Codes!$F:$F,MATCH($N616,VAT_Codes!$A:$A,0)),"N")="Y",$U616,IF($L616&lt;&gt;"",ROUND(ABS($L616)/IF(OR($R616="",$R616=0),1,$R616),2)*SIGN($U616),ROUND($U616*$V616,2))))</f>
        <v>0</v>
      </c>
      <c r="X616" s="24" t="str">
        <f aca="false">IF($N616="","",IFERROR(INDEX(VAT_Codes!$H:$H,MATCH($N616,VAT_Codes!$A:$A,0)),"")&amp;"")</f>
        <v/>
      </c>
      <c r="Y616" s="24" t="str">
        <f aca="false">IF($A616="","",(YEAR($A616)-YEAR(Settings!$C$8))*12+MONTH($A616)-MONTH(Settings!$C$8)+1)</f>
        <v/>
      </c>
      <c r="Z616" s="24" t="str">
        <f aca="false">IF(AND($C616="",$I616="",$J616=""),"",IF($N616="","NO VAT CODE",IF($T616="","UNKNOWN VAT CODE",IF($S616="","MISSING FX RATE",IF(OR($A616&lt;Settings!$C$8,$A616&gt;Settings!$C$9),"OUTSIDE PERIOD",IF(AND(IFERROR(INDEX(VAT_Codes!$E:$E,MATCH($N616,VAT_Codes!$A:$A,0)),"ANY")&lt;&gt;"ANY",$P616=""),"MISSING COUNTERPARTY COUNTRY",IF(AND(IFERROR(INDEX(VAT_Codes!$E:$E,MATCH($N616,VAT_Codes!$A:$A,0)),"ANY")&lt;&gt;"ANY",$P616&lt;&gt;IFERROR(INDEX(VAT_Codes!$E:$E,MATCH($N616,VAT_Codes!$A:$A,0)),"ANY")),"REGION MISMATCH","OK")))))))</f>
        <v/>
      </c>
    </row>
    <row r="617" customFormat="false" ht="15" hidden="false" customHeight="false" outlineLevel="0" collapsed="false">
      <c r="M617" s="24" t="str">
        <f aca="false">IF($C617="","",IFERROR(INDEX(Account_Mapping!$C:$C,MATCH($C617&amp;"",Account_Mapping!$A:$A,0))&amp;"",""))</f>
        <v/>
      </c>
      <c r="N617" s="24" t="str">
        <f aca="false">IF($K617&lt;&gt;"",$K617,$M617)</f>
        <v/>
      </c>
      <c r="O617" s="24" t="str">
        <f aca="false">IF($F617="","",IFERROR(INDEX(Counterparties!$C:$C,MATCH($F617&amp;"",Counterparties!$A:$A,0))&amp;"",""))</f>
        <v/>
      </c>
      <c r="P617" s="24" t="str">
        <f aca="false">IF($O617="","",IF($O617="CY","CY",IF(ISNUMBER(MATCH($O617,Lists!$A:$A,0)),"EU","3RD")))</f>
        <v/>
      </c>
      <c r="Q617" s="24" t="str">
        <f aca="false">IF($F617="","N",IFERROR(IF(INDEX(Counterparties!$E:$E,MATCH($F617&amp;"",Counterparties!$A:$A,0))="Y","Y","N"),"N"))</f>
        <v>N</v>
      </c>
      <c r="R617" s="25" t="n">
        <f aca="false">IF(OR($H617="",$H617="EUR"),1,IFERROR(INDEX(FX_Rates!$D:$D,MATCH($H617,FX_Rates!$A:$A,0)),""))</f>
        <v>1</v>
      </c>
      <c r="S617" s="26" t="str">
        <f aca="false">IF(AND($I617="",$J617=""),"",IF($J617&lt;&gt;"",$J617,IF(OR($R617="",$R617=0),"",ROUND($I617/$R617,2))))</f>
        <v/>
      </c>
      <c r="T617" s="24" t="str">
        <f aca="false">IF($N617="","",IFERROR(INDEX(VAT_Codes!$C:$C,MATCH($N617,VAT_Codes!$A:$A,0)),"")&amp;"")</f>
        <v/>
      </c>
      <c r="U617" s="26" t="n">
        <f aca="false">IF(OR($S617="",$T617="",$T617="None"),0,IF($T617="Output",-$S617,$S617))</f>
        <v>0</v>
      </c>
      <c r="V617" s="27" t="n">
        <f aca="false">IF($N617="",0,IFERROR(INDEX(VAT_Codes!$D:$D,MATCH($N617,VAT_Codes!$A:$A,0)),0))</f>
        <v>0</v>
      </c>
      <c r="W617" s="26" t="n">
        <f aca="false">IF($U617=0,0,IF(IFERROR(INDEX(VAT_Codes!$F:$F,MATCH($N617,VAT_Codes!$A:$A,0)),"N")="Y",$U617,IF($L617&lt;&gt;"",ROUND(ABS($L617)/IF(OR($R617="",$R617=0),1,$R617),2)*SIGN($U617),ROUND($U617*$V617,2))))</f>
        <v>0</v>
      </c>
      <c r="X617" s="24" t="str">
        <f aca="false">IF($N617="","",IFERROR(INDEX(VAT_Codes!$H:$H,MATCH($N617,VAT_Codes!$A:$A,0)),"")&amp;"")</f>
        <v/>
      </c>
      <c r="Y617" s="24" t="str">
        <f aca="false">IF($A617="","",(YEAR($A617)-YEAR(Settings!$C$8))*12+MONTH($A617)-MONTH(Settings!$C$8)+1)</f>
        <v/>
      </c>
      <c r="Z617" s="24" t="str">
        <f aca="false">IF(AND($C617="",$I617="",$J617=""),"",IF($N617="","NO VAT CODE",IF($T617="","UNKNOWN VAT CODE",IF($S617="","MISSING FX RATE",IF(OR($A617&lt;Settings!$C$8,$A617&gt;Settings!$C$9),"OUTSIDE PERIOD",IF(AND(IFERROR(INDEX(VAT_Codes!$E:$E,MATCH($N617,VAT_Codes!$A:$A,0)),"ANY")&lt;&gt;"ANY",$P617=""),"MISSING COUNTERPARTY COUNTRY",IF(AND(IFERROR(INDEX(VAT_Codes!$E:$E,MATCH($N617,VAT_Codes!$A:$A,0)),"ANY")&lt;&gt;"ANY",$P617&lt;&gt;IFERROR(INDEX(VAT_Codes!$E:$E,MATCH($N617,VAT_Codes!$A:$A,0)),"ANY")),"REGION MISMATCH","OK")))))))</f>
        <v/>
      </c>
    </row>
    <row r="618" customFormat="false" ht="15" hidden="false" customHeight="false" outlineLevel="0" collapsed="false">
      <c r="M618" s="24" t="str">
        <f aca="false">IF($C618="","",IFERROR(INDEX(Account_Mapping!$C:$C,MATCH($C618&amp;"",Account_Mapping!$A:$A,0))&amp;"",""))</f>
        <v/>
      </c>
      <c r="N618" s="24" t="str">
        <f aca="false">IF($K618&lt;&gt;"",$K618,$M618)</f>
        <v/>
      </c>
      <c r="O618" s="24" t="str">
        <f aca="false">IF($F618="","",IFERROR(INDEX(Counterparties!$C:$C,MATCH($F618&amp;"",Counterparties!$A:$A,0))&amp;"",""))</f>
        <v/>
      </c>
      <c r="P618" s="24" t="str">
        <f aca="false">IF($O618="","",IF($O618="CY","CY",IF(ISNUMBER(MATCH($O618,Lists!$A:$A,0)),"EU","3RD")))</f>
        <v/>
      </c>
      <c r="Q618" s="24" t="str">
        <f aca="false">IF($F618="","N",IFERROR(IF(INDEX(Counterparties!$E:$E,MATCH($F618&amp;"",Counterparties!$A:$A,0))="Y","Y","N"),"N"))</f>
        <v>N</v>
      </c>
      <c r="R618" s="25" t="n">
        <f aca="false">IF(OR($H618="",$H618="EUR"),1,IFERROR(INDEX(FX_Rates!$D:$D,MATCH($H618,FX_Rates!$A:$A,0)),""))</f>
        <v>1</v>
      </c>
      <c r="S618" s="26" t="str">
        <f aca="false">IF(AND($I618="",$J618=""),"",IF($J618&lt;&gt;"",$J618,IF(OR($R618="",$R618=0),"",ROUND($I618/$R618,2))))</f>
        <v/>
      </c>
      <c r="T618" s="24" t="str">
        <f aca="false">IF($N618="","",IFERROR(INDEX(VAT_Codes!$C:$C,MATCH($N618,VAT_Codes!$A:$A,0)),"")&amp;"")</f>
        <v/>
      </c>
      <c r="U618" s="26" t="n">
        <f aca="false">IF(OR($S618="",$T618="",$T618="None"),0,IF($T618="Output",-$S618,$S618))</f>
        <v>0</v>
      </c>
      <c r="V618" s="27" t="n">
        <f aca="false">IF($N618="",0,IFERROR(INDEX(VAT_Codes!$D:$D,MATCH($N618,VAT_Codes!$A:$A,0)),0))</f>
        <v>0</v>
      </c>
      <c r="W618" s="26" t="n">
        <f aca="false">IF($U618=0,0,IF(IFERROR(INDEX(VAT_Codes!$F:$F,MATCH($N618,VAT_Codes!$A:$A,0)),"N")="Y",$U618,IF($L618&lt;&gt;"",ROUND(ABS($L618)/IF(OR($R618="",$R618=0),1,$R618),2)*SIGN($U618),ROUND($U618*$V618,2))))</f>
        <v>0</v>
      </c>
      <c r="X618" s="24" t="str">
        <f aca="false">IF($N618="","",IFERROR(INDEX(VAT_Codes!$H:$H,MATCH($N618,VAT_Codes!$A:$A,0)),"")&amp;"")</f>
        <v/>
      </c>
      <c r="Y618" s="24" t="str">
        <f aca="false">IF($A618="","",(YEAR($A618)-YEAR(Settings!$C$8))*12+MONTH($A618)-MONTH(Settings!$C$8)+1)</f>
        <v/>
      </c>
      <c r="Z618" s="24" t="str">
        <f aca="false">IF(AND($C618="",$I618="",$J618=""),"",IF($N618="","NO VAT CODE",IF($T618="","UNKNOWN VAT CODE",IF($S618="","MISSING FX RATE",IF(OR($A618&lt;Settings!$C$8,$A618&gt;Settings!$C$9),"OUTSIDE PERIOD",IF(AND(IFERROR(INDEX(VAT_Codes!$E:$E,MATCH($N618,VAT_Codes!$A:$A,0)),"ANY")&lt;&gt;"ANY",$P618=""),"MISSING COUNTERPARTY COUNTRY",IF(AND(IFERROR(INDEX(VAT_Codes!$E:$E,MATCH($N618,VAT_Codes!$A:$A,0)),"ANY")&lt;&gt;"ANY",$P618&lt;&gt;IFERROR(INDEX(VAT_Codes!$E:$E,MATCH($N618,VAT_Codes!$A:$A,0)),"ANY")),"REGION MISMATCH","OK")))))))</f>
        <v/>
      </c>
    </row>
    <row r="619" customFormat="false" ht="15" hidden="false" customHeight="false" outlineLevel="0" collapsed="false">
      <c r="M619" s="24" t="str">
        <f aca="false">IF($C619="","",IFERROR(INDEX(Account_Mapping!$C:$C,MATCH($C619&amp;"",Account_Mapping!$A:$A,0))&amp;"",""))</f>
        <v/>
      </c>
      <c r="N619" s="24" t="str">
        <f aca="false">IF($K619&lt;&gt;"",$K619,$M619)</f>
        <v/>
      </c>
      <c r="O619" s="24" t="str">
        <f aca="false">IF($F619="","",IFERROR(INDEX(Counterparties!$C:$C,MATCH($F619&amp;"",Counterparties!$A:$A,0))&amp;"",""))</f>
        <v/>
      </c>
      <c r="P619" s="24" t="str">
        <f aca="false">IF($O619="","",IF($O619="CY","CY",IF(ISNUMBER(MATCH($O619,Lists!$A:$A,0)),"EU","3RD")))</f>
        <v/>
      </c>
      <c r="Q619" s="24" t="str">
        <f aca="false">IF($F619="","N",IFERROR(IF(INDEX(Counterparties!$E:$E,MATCH($F619&amp;"",Counterparties!$A:$A,0))="Y","Y","N"),"N"))</f>
        <v>N</v>
      </c>
      <c r="R619" s="25" t="n">
        <f aca="false">IF(OR($H619="",$H619="EUR"),1,IFERROR(INDEX(FX_Rates!$D:$D,MATCH($H619,FX_Rates!$A:$A,0)),""))</f>
        <v>1</v>
      </c>
      <c r="S619" s="26" t="str">
        <f aca="false">IF(AND($I619="",$J619=""),"",IF($J619&lt;&gt;"",$J619,IF(OR($R619="",$R619=0),"",ROUND($I619/$R619,2))))</f>
        <v/>
      </c>
      <c r="T619" s="24" t="str">
        <f aca="false">IF($N619="","",IFERROR(INDEX(VAT_Codes!$C:$C,MATCH($N619,VAT_Codes!$A:$A,0)),"")&amp;"")</f>
        <v/>
      </c>
      <c r="U619" s="26" t="n">
        <f aca="false">IF(OR($S619="",$T619="",$T619="None"),0,IF($T619="Output",-$S619,$S619))</f>
        <v>0</v>
      </c>
      <c r="V619" s="27" t="n">
        <f aca="false">IF($N619="",0,IFERROR(INDEX(VAT_Codes!$D:$D,MATCH($N619,VAT_Codes!$A:$A,0)),0))</f>
        <v>0</v>
      </c>
      <c r="W619" s="26" t="n">
        <f aca="false">IF($U619=0,0,IF(IFERROR(INDEX(VAT_Codes!$F:$F,MATCH($N619,VAT_Codes!$A:$A,0)),"N")="Y",$U619,IF($L619&lt;&gt;"",ROUND(ABS($L619)/IF(OR($R619="",$R619=0),1,$R619),2)*SIGN($U619),ROUND($U619*$V619,2))))</f>
        <v>0</v>
      </c>
      <c r="X619" s="24" t="str">
        <f aca="false">IF($N619="","",IFERROR(INDEX(VAT_Codes!$H:$H,MATCH($N619,VAT_Codes!$A:$A,0)),"")&amp;"")</f>
        <v/>
      </c>
      <c r="Y619" s="24" t="str">
        <f aca="false">IF($A619="","",(YEAR($A619)-YEAR(Settings!$C$8))*12+MONTH($A619)-MONTH(Settings!$C$8)+1)</f>
        <v/>
      </c>
      <c r="Z619" s="24" t="str">
        <f aca="false">IF(AND($C619="",$I619="",$J619=""),"",IF($N619="","NO VAT CODE",IF($T619="","UNKNOWN VAT CODE",IF($S619="","MISSING FX RATE",IF(OR($A619&lt;Settings!$C$8,$A619&gt;Settings!$C$9),"OUTSIDE PERIOD",IF(AND(IFERROR(INDEX(VAT_Codes!$E:$E,MATCH($N619,VAT_Codes!$A:$A,0)),"ANY")&lt;&gt;"ANY",$P619=""),"MISSING COUNTERPARTY COUNTRY",IF(AND(IFERROR(INDEX(VAT_Codes!$E:$E,MATCH($N619,VAT_Codes!$A:$A,0)),"ANY")&lt;&gt;"ANY",$P619&lt;&gt;IFERROR(INDEX(VAT_Codes!$E:$E,MATCH($N619,VAT_Codes!$A:$A,0)),"ANY")),"REGION MISMATCH","OK")))))))</f>
        <v/>
      </c>
    </row>
    <row r="620" customFormat="false" ht="15" hidden="false" customHeight="false" outlineLevel="0" collapsed="false">
      <c r="M620" s="24" t="str">
        <f aca="false">IF($C620="","",IFERROR(INDEX(Account_Mapping!$C:$C,MATCH($C620&amp;"",Account_Mapping!$A:$A,0))&amp;"",""))</f>
        <v/>
      </c>
      <c r="N620" s="24" t="str">
        <f aca="false">IF($K620&lt;&gt;"",$K620,$M620)</f>
        <v/>
      </c>
      <c r="O620" s="24" t="str">
        <f aca="false">IF($F620="","",IFERROR(INDEX(Counterparties!$C:$C,MATCH($F620&amp;"",Counterparties!$A:$A,0))&amp;"",""))</f>
        <v/>
      </c>
      <c r="P620" s="24" t="str">
        <f aca="false">IF($O620="","",IF($O620="CY","CY",IF(ISNUMBER(MATCH($O620,Lists!$A:$A,0)),"EU","3RD")))</f>
        <v/>
      </c>
      <c r="Q620" s="24" t="str">
        <f aca="false">IF($F620="","N",IFERROR(IF(INDEX(Counterparties!$E:$E,MATCH($F620&amp;"",Counterparties!$A:$A,0))="Y","Y","N"),"N"))</f>
        <v>N</v>
      </c>
      <c r="R620" s="25" t="n">
        <f aca="false">IF(OR($H620="",$H620="EUR"),1,IFERROR(INDEX(FX_Rates!$D:$D,MATCH($H620,FX_Rates!$A:$A,0)),""))</f>
        <v>1</v>
      </c>
      <c r="S620" s="26" t="str">
        <f aca="false">IF(AND($I620="",$J620=""),"",IF($J620&lt;&gt;"",$J620,IF(OR($R620="",$R620=0),"",ROUND($I620/$R620,2))))</f>
        <v/>
      </c>
      <c r="T620" s="24" t="str">
        <f aca="false">IF($N620="","",IFERROR(INDEX(VAT_Codes!$C:$C,MATCH($N620,VAT_Codes!$A:$A,0)),"")&amp;"")</f>
        <v/>
      </c>
      <c r="U620" s="26" t="n">
        <f aca="false">IF(OR($S620="",$T620="",$T620="None"),0,IF($T620="Output",-$S620,$S620))</f>
        <v>0</v>
      </c>
      <c r="V620" s="27" t="n">
        <f aca="false">IF($N620="",0,IFERROR(INDEX(VAT_Codes!$D:$D,MATCH($N620,VAT_Codes!$A:$A,0)),0))</f>
        <v>0</v>
      </c>
      <c r="W620" s="26" t="n">
        <f aca="false">IF($U620=0,0,IF(IFERROR(INDEX(VAT_Codes!$F:$F,MATCH($N620,VAT_Codes!$A:$A,0)),"N")="Y",$U620,IF($L620&lt;&gt;"",ROUND(ABS($L620)/IF(OR($R620="",$R620=0),1,$R620),2)*SIGN($U620),ROUND($U620*$V620,2))))</f>
        <v>0</v>
      </c>
      <c r="X620" s="24" t="str">
        <f aca="false">IF($N620="","",IFERROR(INDEX(VAT_Codes!$H:$H,MATCH($N620,VAT_Codes!$A:$A,0)),"")&amp;"")</f>
        <v/>
      </c>
      <c r="Y620" s="24" t="str">
        <f aca="false">IF($A620="","",(YEAR($A620)-YEAR(Settings!$C$8))*12+MONTH($A620)-MONTH(Settings!$C$8)+1)</f>
        <v/>
      </c>
      <c r="Z620" s="24" t="str">
        <f aca="false">IF(AND($C620="",$I620="",$J620=""),"",IF($N620="","NO VAT CODE",IF($T620="","UNKNOWN VAT CODE",IF($S620="","MISSING FX RATE",IF(OR($A620&lt;Settings!$C$8,$A620&gt;Settings!$C$9),"OUTSIDE PERIOD",IF(AND(IFERROR(INDEX(VAT_Codes!$E:$E,MATCH($N620,VAT_Codes!$A:$A,0)),"ANY")&lt;&gt;"ANY",$P620=""),"MISSING COUNTERPARTY COUNTRY",IF(AND(IFERROR(INDEX(VAT_Codes!$E:$E,MATCH($N620,VAT_Codes!$A:$A,0)),"ANY")&lt;&gt;"ANY",$P620&lt;&gt;IFERROR(INDEX(VAT_Codes!$E:$E,MATCH($N620,VAT_Codes!$A:$A,0)),"ANY")),"REGION MISMATCH","OK")))))))</f>
        <v/>
      </c>
    </row>
    <row r="621" customFormat="false" ht="15" hidden="false" customHeight="false" outlineLevel="0" collapsed="false">
      <c r="M621" s="24" t="str">
        <f aca="false">IF($C621="","",IFERROR(INDEX(Account_Mapping!$C:$C,MATCH($C621&amp;"",Account_Mapping!$A:$A,0))&amp;"",""))</f>
        <v/>
      </c>
      <c r="N621" s="24" t="str">
        <f aca="false">IF($K621&lt;&gt;"",$K621,$M621)</f>
        <v/>
      </c>
      <c r="O621" s="24" t="str">
        <f aca="false">IF($F621="","",IFERROR(INDEX(Counterparties!$C:$C,MATCH($F621&amp;"",Counterparties!$A:$A,0))&amp;"",""))</f>
        <v/>
      </c>
      <c r="P621" s="24" t="str">
        <f aca="false">IF($O621="","",IF($O621="CY","CY",IF(ISNUMBER(MATCH($O621,Lists!$A:$A,0)),"EU","3RD")))</f>
        <v/>
      </c>
      <c r="Q621" s="24" t="str">
        <f aca="false">IF($F621="","N",IFERROR(IF(INDEX(Counterparties!$E:$E,MATCH($F621&amp;"",Counterparties!$A:$A,0))="Y","Y","N"),"N"))</f>
        <v>N</v>
      </c>
      <c r="R621" s="25" t="n">
        <f aca="false">IF(OR($H621="",$H621="EUR"),1,IFERROR(INDEX(FX_Rates!$D:$D,MATCH($H621,FX_Rates!$A:$A,0)),""))</f>
        <v>1</v>
      </c>
      <c r="S621" s="26" t="str">
        <f aca="false">IF(AND($I621="",$J621=""),"",IF($J621&lt;&gt;"",$J621,IF(OR($R621="",$R621=0),"",ROUND($I621/$R621,2))))</f>
        <v/>
      </c>
      <c r="T621" s="24" t="str">
        <f aca="false">IF($N621="","",IFERROR(INDEX(VAT_Codes!$C:$C,MATCH($N621,VAT_Codes!$A:$A,0)),"")&amp;"")</f>
        <v/>
      </c>
      <c r="U621" s="26" t="n">
        <f aca="false">IF(OR($S621="",$T621="",$T621="None"),0,IF($T621="Output",-$S621,$S621))</f>
        <v>0</v>
      </c>
      <c r="V621" s="27" t="n">
        <f aca="false">IF($N621="",0,IFERROR(INDEX(VAT_Codes!$D:$D,MATCH($N621,VAT_Codes!$A:$A,0)),0))</f>
        <v>0</v>
      </c>
      <c r="W621" s="26" t="n">
        <f aca="false">IF($U621=0,0,IF(IFERROR(INDEX(VAT_Codes!$F:$F,MATCH($N621,VAT_Codes!$A:$A,0)),"N")="Y",$U621,IF($L621&lt;&gt;"",ROUND(ABS($L621)/IF(OR($R621="",$R621=0),1,$R621),2)*SIGN($U621),ROUND($U621*$V621,2))))</f>
        <v>0</v>
      </c>
      <c r="X621" s="24" t="str">
        <f aca="false">IF($N621="","",IFERROR(INDEX(VAT_Codes!$H:$H,MATCH($N621,VAT_Codes!$A:$A,0)),"")&amp;"")</f>
        <v/>
      </c>
      <c r="Y621" s="24" t="str">
        <f aca="false">IF($A621="","",(YEAR($A621)-YEAR(Settings!$C$8))*12+MONTH($A621)-MONTH(Settings!$C$8)+1)</f>
        <v/>
      </c>
      <c r="Z621" s="24" t="str">
        <f aca="false">IF(AND($C621="",$I621="",$J621=""),"",IF($N621="","NO VAT CODE",IF($T621="","UNKNOWN VAT CODE",IF($S621="","MISSING FX RATE",IF(OR($A621&lt;Settings!$C$8,$A621&gt;Settings!$C$9),"OUTSIDE PERIOD",IF(AND(IFERROR(INDEX(VAT_Codes!$E:$E,MATCH($N621,VAT_Codes!$A:$A,0)),"ANY")&lt;&gt;"ANY",$P621=""),"MISSING COUNTERPARTY COUNTRY",IF(AND(IFERROR(INDEX(VAT_Codes!$E:$E,MATCH($N621,VAT_Codes!$A:$A,0)),"ANY")&lt;&gt;"ANY",$P621&lt;&gt;IFERROR(INDEX(VAT_Codes!$E:$E,MATCH($N621,VAT_Codes!$A:$A,0)),"ANY")),"REGION MISMATCH","OK")))))))</f>
        <v/>
      </c>
    </row>
    <row r="622" customFormat="false" ht="15" hidden="false" customHeight="false" outlineLevel="0" collapsed="false">
      <c r="M622" s="24" t="str">
        <f aca="false">IF($C622="","",IFERROR(INDEX(Account_Mapping!$C:$C,MATCH($C622&amp;"",Account_Mapping!$A:$A,0))&amp;"",""))</f>
        <v/>
      </c>
      <c r="N622" s="24" t="str">
        <f aca="false">IF($K622&lt;&gt;"",$K622,$M622)</f>
        <v/>
      </c>
      <c r="O622" s="24" t="str">
        <f aca="false">IF($F622="","",IFERROR(INDEX(Counterparties!$C:$C,MATCH($F622&amp;"",Counterparties!$A:$A,0))&amp;"",""))</f>
        <v/>
      </c>
      <c r="P622" s="24" t="str">
        <f aca="false">IF($O622="","",IF($O622="CY","CY",IF(ISNUMBER(MATCH($O622,Lists!$A:$A,0)),"EU","3RD")))</f>
        <v/>
      </c>
      <c r="Q622" s="24" t="str">
        <f aca="false">IF($F622="","N",IFERROR(IF(INDEX(Counterparties!$E:$E,MATCH($F622&amp;"",Counterparties!$A:$A,0))="Y","Y","N"),"N"))</f>
        <v>N</v>
      </c>
      <c r="R622" s="25" t="n">
        <f aca="false">IF(OR($H622="",$H622="EUR"),1,IFERROR(INDEX(FX_Rates!$D:$D,MATCH($H622,FX_Rates!$A:$A,0)),""))</f>
        <v>1</v>
      </c>
      <c r="S622" s="26" t="str">
        <f aca="false">IF(AND($I622="",$J622=""),"",IF($J622&lt;&gt;"",$J622,IF(OR($R622="",$R622=0),"",ROUND($I622/$R622,2))))</f>
        <v/>
      </c>
      <c r="T622" s="24" t="str">
        <f aca="false">IF($N622="","",IFERROR(INDEX(VAT_Codes!$C:$C,MATCH($N622,VAT_Codes!$A:$A,0)),"")&amp;"")</f>
        <v/>
      </c>
      <c r="U622" s="26" t="n">
        <f aca="false">IF(OR($S622="",$T622="",$T622="None"),0,IF($T622="Output",-$S622,$S622))</f>
        <v>0</v>
      </c>
      <c r="V622" s="27" t="n">
        <f aca="false">IF($N622="",0,IFERROR(INDEX(VAT_Codes!$D:$D,MATCH($N622,VAT_Codes!$A:$A,0)),0))</f>
        <v>0</v>
      </c>
      <c r="W622" s="26" t="n">
        <f aca="false">IF($U622=0,0,IF(IFERROR(INDEX(VAT_Codes!$F:$F,MATCH($N622,VAT_Codes!$A:$A,0)),"N")="Y",$U622,IF($L622&lt;&gt;"",ROUND(ABS($L622)/IF(OR($R622="",$R622=0),1,$R622),2)*SIGN($U622),ROUND($U622*$V622,2))))</f>
        <v>0</v>
      </c>
      <c r="X622" s="24" t="str">
        <f aca="false">IF($N622="","",IFERROR(INDEX(VAT_Codes!$H:$H,MATCH($N622,VAT_Codes!$A:$A,0)),"")&amp;"")</f>
        <v/>
      </c>
      <c r="Y622" s="24" t="str">
        <f aca="false">IF($A622="","",(YEAR($A622)-YEAR(Settings!$C$8))*12+MONTH($A622)-MONTH(Settings!$C$8)+1)</f>
        <v/>
      </c>
      <c r="Z622" s="24" t="str">
        <f aca="false">IF(AND($C622="",$I622="",$J622=""),"",IF($N622="","NO VAT CODE",IF($T622="","UNKNOWN VAT CODE",IF($S622="","MISSING FX RATE",IF(OR($A622&lt;Settings!$C$8,$A622&gt;Settings!$C$9),"OUTSIDE PERIOD",IF(AND(IFERROR(INDEX(VAT_Codes!$E:$E,MATCH($N622,VAT_Codes!$A:$A,0)),"ANY")&lt;&gt;"ANY",$P622=""),"MISSING COUNTERPARTY COUNTRY",IF(AND(IFERROR(INDEX(VAT_Codes!$E:$E,MATCH($N622,VAT_Codes!$A:$A,0)),"ANY")&lt;&gt;"ANY",$P622&lt;&gt;IFERROR(INDEX(VAT_Codes!$E:$E,MATCH($N622,VAT_Codes!$A:$A,0)),"ANY")),"REGION MISMATCH","OK")))))))</f>
        <v/>
      </c>
    </row>
    <row r="623" customFormat="false" ht="15" hidden="false" customHeight="false" outlineLevel="0" collapsed="false">
      <c r="M623" s="24" t="str">
        <f aca="false">IF($C623="","",IFERROR(INDEX(Account_Mapping!$C:$C,MATCH($C623&amp;"",Account_Mapping!$A:$A,0))&amp;"",""))</f>
        <v/>
      </c>
      <c r="N623" s="24" t="str">
        <f aca="false">IF($K623&lt;&gt;"",$K623,$M623)</f>
        <v/>
      </c>
      <c r="O623" s="24" t="str">
        <f aca="false">IF($F623="","",IFERROR(INDEX(Counterparties!$C:$C,MATCH($F623&amp;"",Counterparties!$A:$A,0))&amp;"",""))</f>
        <v/>
      </c>
      <c r="P623" s="24" t="str">
        <f aca="false">IF($O623="","",IF($O623="CY","CY",IF(ISNUMBER(MATCH($O623,Lists!$A:$A,0)),"EU","3RD")))</f>
        <v/>
      </c>
      <c r="Q623" s="24" t="str">
        <f aca="false">IF($F623="","N",IFERROR(IF(INDEX(Counterparties!$E:$E,MATCH($F623&amp;"",Counterparties!$A:$A,0))="Y","Y","N"),"N"))</f>
        <v>N</v>
      </c>
      <c r="R623" s="25" t="n">
        <f aca="false">IF(OR($H623="",$H623="EUR"),1,IFERROR(INDEX(FX_Rates!$D:$D,MATCH($H623,FX_Rates!$A:$A,0)),""))</f>
        <v>1</v>
      </c>
      <c r="S623" s="26" t="str">
        <f aca="false">IF(AND($I623="",$J623=""),"",IF($J623&lt;&gt;"",$J623,IF(OR($R623="",$R623=0),"",ROUND($I623/$R623,2))))</f>
        <v/>
      </c>
      <c r="T623" s="24" t="str">
        <f aca="false">IF($N623="","",IFERROR(INDEX(VAT_Codes!$C:$C,MATCH($N623,VAT_Codes!$A:$A,0)),"")&amp;"")</f>
        <v/>
      </c>
      <c r="U623" s="26" t="n">
        <f aca="false">IF(OR($S623="",$T623="",$T623="None"),0,IF($T623="Output",-$S623,$S623))</f>
        <v>0</v>
      </c>
      <c r="V623" s="27" t="n">
        <f aca="false">IF($N623="",0,IFERROR(INDEX(VAT_Codes!$D:$D,MATCH($N623,VAT_Codes!$A:$A,0)),0))</f>
        <v>0</v>
      </c>
      <c r="W623" s="26" t="n">
        <f aca="false">IF($U623=0,0,IF(IFERROR(INDEX(VAT_Codes!$F:$F,MATCH($N623,VAT_Codes!$A:$A,0)),"N")="Y",$U623,IF($L623&lt;&gt;"",ROUND(ABS($L623)/IF(OR($R623="",$R623=0),1,$R623),2)*SIGN($U623),ROUND($U623*$V623,2))))</f>
        <v>0</v>
      </c>
      <c r="X623" s="24" t="str">
        <f aca="false">IF($N623="","",IFERROR(INDEX(VAT_Codes!$H:$H,MATCH($N623,VAT_Codes!$A:$A,0)),"")&amp;"")</f>
        <v/>
      </c>
      <c r="Y623" s="24" t="str">
        <f aca="false">IF($A623="","",(YEAR($A623)-YEAR(Settings!$C$8))*12+MONTH($A623)-MONTH(Settings!$C$8)+1)</f>
        <v/>
      </c>
      <c r="Z623" s="24" t="str">
        <f aca="false">IF(AND($C623="",$I623="",$J623=""),"",IF($N623="","NO VAT CODE",IF($T623="","UNKNOWN VAT CODE",IF($S623="","MISSING FX RATE",IF(OR($A623&lt;Settings!$C$8,$A623&gt;Settings!$C$9),"OUTSIDE PERIOD",IF(AND(IFERROR(INDEX(VAT_Codes!$E:$E,MATCH($N623,VAT_Codes!$A:$A,0)),"ANY")&lt;&gt;"ANY",$P623=""),"MISSING COUNTERPARTY COUNTRY",IF(AND(IFERROR(INDEX(VAT_Codes!$E:$E,MATCH($N623,VAT_Codes!$A:$A,0)),"ANY")&lt;&gt;"ANY",$P623&lt;&gt;IFERROR(INDEX(VAT_Codes!$E:$E,MATCH($N623,VAT_Codes!$A:$A,0)),"ANY")),"REGION MISMATCH","OK")))))))</f>
        <v/>
      </c>
    </row>
    <row r="624" customFormat="false" ht="15" hidden="false" customHeight="false" outlineLevel="0" collapsed="false">
      <c r="M624" s="24" t="str">
        <f aca="false">IF($C624="","",IFERROR(INDEX(Account_Mapping!$C:$C,MATCH($C624&amp;"",Account_Mapping!$A:$A,0))&amp;"",""))</f>
        <v/>
      </c>
      <c r="N624" s="24" t="str">
        <f aca="false">IF($K624&lt;&gt;"",$K624,$M624)</f>
        <v/>
      </c>
      <c r="O624" s="24" t="str">
        <f aca="false">IF($F624="","",IFERROR(INDEX(Counterparties!$C:$C,MATCH($F624&amp;"",Counterparties!$A:$A,0))&amp;"",""))</f>
        <v/>
      </c>
      <c r="P624" s="24" t="str">
        <f aca="false">IF($O624="","",IF($O624="CY","CY",IF(ISNUMBER(MATCH($O624,Lists!$A:$A,0)),"EU","3RD")))</f>
        <v/>
      </c>
      <c r="Q624" s="24" t="str">
        <f aca="false">IF($F624="","N",IFERROR(IF(INDEX(Counterparties!$E:$E,MATCH($F624&amp;"",Counterparties!$A:$A,0))="Y","Y","N"),"N"))</f>
        <v>N</v>
      </c>
      <c r="R624" s="25" t="n">
        <f aca="false">IF(OR($H624="",$H624="EUR"),1,IFERROR(INDEX(FX_Rates!$D:$D,MATCH($H624,FX_Rates!$A:$A,0)),""))</f>
        <v>1</v>
      </c>
      <c r="S624" s="26" t="str">
        <f aca="false">IF(AND($I624="",$J624=""),"",IF($J624&lt;&gt;"",$J624,IF(OR($R624="",$R624=0),"",ROUND($I624/$R624,2))))</f>
        <v/>
      </c>
      <c r="T624" s="24" t="str">
        <f aca="false">IF($N624="","",IFERROR(INDEX(VAT_Codes!$C:$C,MATCH($N624,VAT_Codes!$A:$A,0)),"")&amp;"")</f>
        <v/>
      </c>
      <c r="U624" s="26" t="n">
        <f aca="false">IF(OR($S624="",$T624="",$T624="None"),0,IF($T624="Output",-$S624,$S624))</f>
        <v>0</v>
      </c>
      <c r="V624" s="27" t="n">
        <f aca="false">IF($N624="",0,IFERROR(INDEX(VAT_Codes!$D:$D,MATCH($N624,VAT_Codes!$A:$A,0)),0))</f>
        <v>0</v>
      </c>
      <c r="W624" s="26" t="n">
        <f aca="false">IF($U624=0,0,IF(IFERROR(INDEX(VAT_Codes!$F:$F,MATCH($N624,VAT_Codes!$A:$A,0)),"N")="Y",$U624,IF($L624&lt;&gt;"",ROUND(ABS($L624)/IF(OR($R624="",$R624=0),1,$R624),2)*SIGN($U624),ROUND($U624*$V624,2))))</f>
        <v>0</v>
      </c>
      <c r="X624" s="24" t="str">
        <f aca="false">IF($N624="","",IFERROR(INDEX(VAT_Codes!$H:$H,MATCH($N624,VAT_Codes!$A:$A,0)),"")&amp;"")</f>
        <v/>
      </c>
      <c r="Y624" s="24" t="str">
        <f aca="false">IF($A624="","",(YEAR($A624)-YEAR(Settings!$C$8))*12+MONTH($A624)-MONTH(Settings!$C$8)+1)</f>
        <v/>
      </c>
      <c r="Z624" s="24" t="str">
        <f aca="false">IF(AND($C624="",$I624="",$J624=""),"",IF($N624="","NO VAT CODE",IF($T624="","UNKNOWN VAT CODE",IF($S624="","MISSING FX RATE",IF(OR($A624&lt;Settings!$C$8,$A624&gt;Settings!$C$9),"OUTSIDE PERIOD",IF(AND(IFERROR(INDEX(VAT_Codes!$E:$E,MATCH($N624,VAT_Codes!$A:$A,0)),"ANY")&lt;&gt;"ANY",$P624=""),"MISSING COUNTERPARTY COUNTRY",IF(AND(IFERROR(INDEX(VAT_Codes!$E:$E,MATCH($N624,VAT_Codes!$A:$A,0)),"ANY")&lt;&gt;"ANY",$P624&lt;&gt;IFERROR(INDEX(VAT_Codes!$E:$E,MATCH($N624,VAT_Codes!$A:$A,0)),"ANY")),"REGION MISMATCH","OK")))))))</f>
        <v/>
      </c>
    </row>
    <row r="625" customFormat="false" ht="15" hidden="false" customHeight="false" outlineLevel="0" collapsed="false">
      <c r="M625" s="24" t="str">
        <f aca="false">IF($C625="","",IFERROR(INDEX(Account_Mapping!$C:$C,MATCH($C625&amp;"",Account_Mapping!$A:$A,0))&amp;"",""))</f>
        <v/>
      </c>
      <c r="N625" s="24" t="str">
        <f aca="false">IF($K625&lt;&gt;"",$K625,$M625)</f>
        <v/>
      </c>
      <c r="O625" s="24" t="str">
        <f aca="false">IF($F625="","",IFERROR(INDEX(Counterparties!$C:$C,MATCH($F625&amp;"",Counterparties!$A:$A,0))&amp;"",""))</f>
        <v/>
      </c>
      <c r="P625" s="24" t="str">
        <f aca="false">IF($O625="","",IF($O625="CY","CY",IF(ISNUMBER(MATCH($O625,Lists!$A:$A,0)),"EU","3RD")))</f>
        <v/>
      </c>
      <c r="Q625" s="24" t="str">
        <f aca="false">IF($F625="","N",IFERROR(IF(INDEX(Counterparties!$E:$E,MATCH($F625&amp;"",Counterparties!$A:$A,0))="Y","Y","N"),"N"))</f>
        <v>N</v>
      </c>
      <c r="R625" s="25" t="n">
        <f aca="false">IF(OR($H625="",$H625="EUR"),1,IFERROR(INDEX(FX_Rates!$D:$D,MATCH($H625,FX_Rates!$A:$A,0)),""))</f>
        <v>1</v>
      </c>
      <c r="S625" s="26" t="str">
        <f aca="false">IF(AND($I625="",$J625=""),"",IF($J625&lt;&gt;"",$J625,IF(OR($R625="",$R625=0),"",ROUND($I625/$R625,2))))</f>
        <v/>
      </c>
      <c r="T625" s="24" t="str">
        <f aca="false">IF($N625="","",IFERROR(INDEX(VAT_Codes!$C:$C,MATCH($N625,VAT_Codes!$A:$A,0)),"")&amp;"")</f>
        <v/>
      </c>
      <c r="U625" s="26" t="n">
        <f aca="false">IF(OR($S625="",$T625="",$T625="None"),0,IF($T625="Output",-$S625,$S625))</f>
        <v>0</v>
      </c>
      <c r="V625" s="27" t="n">
        <f aca="false">IF($N625="",0,IFERROR(INDEX(VAT_Codes!$D:$D,MATCH($N625,VAT_Codes!$A:$A,0)),0))</f>
        <v>0</v>
      </c>
      <c r="W625" s="26" t="n">
        <f aca="false">IF($U625=0,0,IF(IFERROR(INDEX(VAT_Codes!$F:$F,MATCH($N625,VAT_Codes!$A:$A,0)),"N")="Y",$U625,IF($L625&lt;&gt;"",ROUND(ABS($L625)/IF(OR($R625="",$R625=0),1,$R625),2)*SIGN($U625),ROUND($U625*$V625,2))))</f>
        <v>0</v>
      </c>
      <c r="X625" s="24" t="str">
        <f aca="false">IF($N625="","",IFERROR(INDEX(VAT_Codes!$H:$H,MATCH($N625,VAT_Codes!$A:$A,0)),"")&amp;"")</f>
        <v/>
      </c>
      <c r="Y625" s="24" t="str">
        <f aca="false">IF($A625="","",(YEAR($A625)-YEAR(Settings!$C$8))*12+MONTH($A625)-MONTH(Settings!$C$8)+1)</f>
        <v/>
      </c>
      <c r="Z625" s="24" t="str">
        <f aca="false">IF(AND($C625="",$I625="",$J625=""),"",IF($N625="","NO VAT CODE",IF($T625="","UNKNOWN VAT CODE",IF($S625="","MISSING FX RATE",IF(OR($A625&lt;Settings!$C$8,$A625&gt;Settings!$C$9),"OUTSIDE PERIOD",IF(AND(IFERROR(INDEX(VAT_Codes!$E:$E,MATCH($N625,VAT_Codes!$A:$A,0)),"ANY")&lt;&gt;"ANY",$P625=""),"MISSING COUNTERPARTY COUNTRY",IF(AND(IFERROR(INDEX(VAT_Codes!$E:$E,MATCH($N625,VAT_Codes!$A:$A,0)),"ANY")&lt;&gt;"ANY",$P625&lt;&gt;IFERROR(INDEX(VAT_Codes!$E:$E,MATCH($N625,VAT_Codes!$A:$A,0)),"ANY")),"REGION MISMATCH","OK")))))))</f>
        <v/>
      </c>
    </row>
    <row r="626" customFormat="false" ht="15" hidden="false" customHeight="false" outlineLevel="0" collapsed="false">
      <c r="M626" s="24" t="str">
        <f aca="false">IF($C626="","",IFERROR(INDEX(Account_Mapping!$C:$C,MATCH($C626&amp;"",Account_Mapping!$A:$A,0))&amp;"",""))</f>
        <v/>
      </c>
      <c r="N626" s="24" t="str">
        <f aca="false">IF($K626&lt;&gt;"",$K626,$M626)</f>
        <v/>
      </c>
      <c r="O626" s="24" t="str">
        <f aca="false">IF($F626="","",IFERROR(INDEX(Counterparties!$C:$C,MATCH($F626&amp;"",Counterparties!$A:$A,0))&amp;"",""))</f>
        <v/>
      </c>
      <c r="P626" s="24" t="str">
        <f aca="false">IF($O626="","",IF($O626="CY","CY",IF(ISNUMBER(MATCH($O626,Lists!$A:$A,0)),"EU","3RD")))</f>
        <v/>
      </c>
      <c r="Q626" s="24" t="str">
        <f aca="false">IF($F626="","N",IFERROR(IF(INDEX(Counterparties!$E:$E,MATCH($F626&amp;"",Counterparties!$A:$A,0))="Y","Y","N"),"N"))</f>
        <v>N</v>
      </c>
      <c r="R626" s="25" t="n">
        <f aca="false">IF(OR($H626="",$H626="EUR"),1,IFERROR(INDEX(FX_Rates!$D:$D,MATCH($H626,FX_Rates!$A:$A,0)),""))</f>
        <v>1</v>
      </c>
      <c r="S626" s="26" t="str">
        <f aca="false">IF(AND($I626="",$J626=""),"",IF($J626&lt;&gt;"",$J626,IF(OR($R626="",$R626=0),"",ROUND($I626/$R626,2))))</f>
        <v/>
      </c>
      <c r="T626" s="24" t="str">
        <f aca="false">IF($N626="","",IFERROR(INDEX(VAT_Codes!$C:$C,MATCH($N626,VAT_Codes!$A:$A,0)),"")&amp;"")</f>
        <v/>
      </c>
      <c r="U626" s="26" t="n">
        <f aca="false">IF(OR($S626="",$T626="",$T626="None"),0,IF($T626="Output",-$S626,$S626))</f>
        <v>0</v>
      </c>
      <c r="V626" s="27" t="n">
        <f aca="false">IF($N626="",0,IFERROR(INDEX(VAT_Codes!$D:$D,MATCH($N626,VAT_Codes!$A:$A,0)),0))</f>
        <v>0</v>
      </c>
      <c r="W626" s="26" t="n">
        <f aca="false">IF($U626=0,0,IF(IFERROR(INDEX(VAT_Codes!$F:$F,MATCH($N626,VAT_Codes!$A:$A,0)),"N")="Y",$U626,IF($L626&lt;&gt;"",ROUND(ABS($L626)/IF(OR($R626="",$R626=0),1,$R626),2)*SIGN($U626),ROUND($U626*$V626,2))))</f>
        <v>0</v>
      </c>
      <c r="X626" s="24" t="str">
        <f aca="false">IF($N626="","",IFERROR(INDEX(VAT_Codes!$H:$H,MATCH($N626,VAT_Codes!$A:$A,0)),"")&amp;"")</f>
        <v/>
      </c>
      <c r="Y626" s="24" t="str">
        <f aca="false">IF($A626="","",(YEAR($A626)-YEAR(Settings!$C$8))*12+MONTH($A626)-MONTH(Settings!$C$8)+1)</f>
        <v/>
      </c>
      <c r="Z626" s="24" t="str">
        <f aca="false">IF(AND($C626="",$I626="",$J626=""),"",IF($N626="","NO VAT CODE",IF($T626="","UNKNOWN VAT CODE",IF($S626="","MISSING FX RATE",IF(OR($A626&lt;Settings!$C$8,$A626&gt;Settings!$C$9),"OUTSIDE PERIOD",IF(AND(IFERROR(INDEX(VAT_Codes!$E:$E,MATCH($N626,VAT_Codes!$A:$A,0)),"ANY")&lt;&gt;"ANY",$P626=""),"MISSING COUNTERPARTY COUNTRY",IF(AND(IFERROR(INDEX(VAT_Codes!$E:$E,MATCH($N626,VAT_Codes!$A:$A,0)),"ANY")&lt;&gt;"ANY",$P626&lt;&gt;IFERROR(INDEX(VAT_Codes!$E:$E,MATCH($N626,VAT_Codes!$A:$A,0)),"ANY")),"REGION MISMATCH","OK")))))))</f>
        <v/>
      </c>
    </row>
    <row r="627" customFormat="false" ht="15" hidden="false" customHeight="false" outlineLevel="0" collapsed="false">
      <c r="M627" s="24" t="str">
        <f aca="false">IF($C627="","",IFERROR(INDEX(Account_Mapping!$C:$C,MATCH($C627&amp;"",Account_Mapping!$A:$A,0))&amp;"",""))</f>
        <v/>
      </c>
      <c r="N627" s="24" t="str">
        <f aca="false">IF($K627&lt;&gt;"",$K627,$M627)</f>
        <v/>
      </c>
      <c r="O627" s="24" t="str">
        <f aca="false">IF($F627="","",IFERROR(INDEX(Counterparties!$C:$C,MATCH($F627&amp;"",Counterparties!$A:$A,0))&amp;"",""))</f>
        <v/>
      </c>
      <c r="P627" s="24" t="str">
        <f aca="false">IF($O627="","",IF($O627="CY","CY",IF(ISNUMBER(MATCH($O627,Lists!$A:$A,0)),"EU","3RD")))</f>
        <v/>
      </c>
      <c r="Q627" s="24" t="str">
        <f aca="false">IF($F627="","N",IFERROR(IF(INDEX(Counterparties!$E:$E,MATCH($F627&amp;"",Counterparties!$A:$A,0))="Y","Y","N"),"N"))</f>
        <v>N</v>
      </c>
      <c r="R627" s="25" t="n">
        <f aca="false">IF(OR($H627="",$H627="EUR"),1,IFERROR(INDEX(FX_Rates!$D:$D,MATCH($H627,FX_Rates!$A:$A,0)),""))</f>
        <v>1</v>
      </c>
      <c r="S627" s="26" t="str">
        <f aca="false">IF(AND($I627="",$J627=""),"",IF($J627&lt;&gt;"",$J627,IF(OR($R627="",$R627=0),"",ROUND($I627/$R627,2))))</f>
        <v/>
      </c>
      <c r="T627" s="24" t="str">
        <f aca="false">IF($N627="","",IFERROR(INDEX(VAT_Codes!$C:$C,MATCH($N627,VAT_Codes!$A:$A,0)),"")&amp;"")</f>
        <v/>
      </c>
      <c r="U627" s="26" t="n">
        <f aca="false">IF(OR($S627="",$T627="",$T627="None"),0,IF($T627="Output",-$S627,$S627))</f>
        <v>0</v>
      </c>
      <c r="V627" s="27" t="n">
        <f aca="false">IF($N627="",0,IFERROR(INDEX(VAT_Codes!$D:$D,MATCH($N627,VAT_Codes!$A:$A,0)),0))</f>
        <v>0</v>
      </c>
      <c r="W627" s="26" t="n">
        <f aca="false">IF($U627=0,0,IF(IFERROR(INDEX(VAT_Codes!$F:$F,MATCH($N627,VAT_Codes!$A:$A,0)),"N")="Y",$U627,IF($L627&lt;&gt;"",ROUND(ABS($L627)/IF(OR($R627="",$R627=0),1,$R627),2)*SIGN($U627),ROUND($U627*$V627,2))))</f>
        <v>0</v>
      </c>
      <c r="X627" s="24" t="str">
        <f aca="false">IF($N627="","",IFERROR(INDEX(VAT_Codes!$H:$H,MATCH($N627,VAT_Codes!$A:$A,0)),"")&amp;"")</f>
        <v/>
      </c>
      <c r="Y627" s="24" t="str">
        <f aca="false">IF($A627="","",(YEAR($A627)-YEAR(Settings!$C$8))*12+MONTH($A627)-MONTH(Settings!$C$8)+1)</f>
        <v/>
      </c>
      <c r="Z627" s="24" t="str">
        <f aca="false">IF(AND($C627="",$I627="",$J627=""),"",IF($N627="","NO VAT CODE",IF($T627="","UNKNOWN VAT CODE",IF($S627="","MISSING FX RATE",IF(OR($A627&lt;Settings!$C$8,$A627&gt;Settings!$C$9),"OUTSIDE PERIOD",IF(AND(IFERROR(INDEX(VAT_Codes!$E:$E,MATCH($N627,VAT_Codes!$A:$A,0)),"ANY")&lt;&gt;"ANY",$P627=""),"MISSING COUNTERPARTY COUNTRY",IF(AND(IFERROR(INDEX(VAT_Codes!$E:$E,MATCH($N627,VAT_Codes!$A:$A,0)),"ANY")&lt;&gt;"ANY",$P627&lt;&gt;IFERROR(INDEX(VAT_Codes!$E:$E,MATCH($N627,VAT_Codes!$A:$A,0)),"ANY")),"REGION MISMATCH","OK")))))))</f>
        <v/>
      </c>
    </row>
    <row r="628" customFormat="false" ht="15" hidden="false" customHeight="false" outlineLevel="0" collapsed="false">
      <c r="M628" s="24" t="str">
        <f aca="false">IF($C628="","",IFERROR(INDEX(Account_Mapping!$C:$C,MATCH($C628&amp;"",Account_Mapping!$A:$A,0))&amp;"",""))</f>
        <v/>
      </c>
      <c r="N628" s="24" t="str">
        <f aca="false">IF($K628&lt;&gt;"",$K628,$M628)</f>
        <v/>
      </c>
      <c r="O628" s="24" t="str">
        <f aca="false">IF($F628="","",IFERROR(INDEX(Counterparties!$C:$C,MATCH($F628&amp;"",Counterparties!$A:$A,0))&amp;"",""))</f>
        <v/>
      </c>
      <c r="P628" s="24" t="str">
        <f aca="false">IF($O628="","",IF($O628="CY","CY",IF(ISNUMBER(MATCH($O628,Lists!$A:$A,0)),"EU","3RD")))</f>
        <v/>
      </c>
      <c r="Q628" s="24" t="str">
        <f aca="false">IF($F628="","N",IFERROR(IF(INDEX(Counterparties!$E:$E,MATCH($F628&amp;"",Counterparties!$A:$A,0))="Y","Y","N"),"N"))</f>
        <v>N</v>
      </c>
      <c r="R628" s="25" t="n">
        <f aca="false">IF(OR($H628="",$H628="EUR"),1,IFERROR(INDEX(FX_Rates!$D:$D,MATCH($H628,FX_Rates!$A:$A,0)),""))</f>
        <v>1</v>
      </c>
      <c r="S628" s="26" t="str">
        <f aca="false">IF(AND($I628="",$J628=""),"",IF($J628&lt;&gt;"",$J628,IF(OR($R628="",$R628=0),"",ROUND($I628/$R628,2))))</f>
        <v/>
      </c>
      <c r="T628" s="24" t="str">
        <f aca="false">IF($N628="","",IFERROR(INDEX(VAT_Codes!$C:$C,MATCH($N628,VAT_Codes!$A:$A,0)),"")&amp;"")</f>
        <v/>
      </c>
      <c r="U628" s="26" t="n">
        <f aca="false">IF(OR($S628="",$T628="",$T628="None"),0,IF($T628="Output",-$S628,$S628))</f>
        <v>0</v>
      </c>
      <c r="V628" s="27" t="n">
        <f aca="false">IF($N628="",0,IFERROR(INDEX(VAT_Codes!$D:$D,MATCH($N628,VAT_Codes!$A:$A,0)),0))</f>
        <v>0</v>
      </c>
      <c r="W628" s="26" t="n">
        <f aca="false">IF($U628=0,0,IF(IFERROR(INDEX(VAT_Codes!$F:$F,MATCH($N628,VAT_Codes!$A:$A,0)),"N")="Y",$U628,IF($L628&lt;&gt;"",ROUND(ABS($L628)/IF(OR($R628="",$R628=0),1,$R628),2)*SIGN($U628),ROUND($U628*$V628,2))))</f>
        <v>0</v>
      </c>
      <c r="X628" s="24" t="str">
        <f aca="false">IF($N628="","",IFERROR(INDEX(VAT_Codes!$H:$H,MATCH($N628,VAT_Codes!$A:$A,0)),"")&amp;"")</f>
        <v/>
      </c>
      <c r="Y628" s="24" t="str">
        <f aca="false">IF($A628="","",(YEAR($A628)-YEAR(Settings!$C$8))*12+MONTH($A628)-MONTH(Settings!$C$8)+1)</f>
        <v/>
      </c>
      <c r="Z628" s="24" t="str">
        <f aca="false">IF(AND($C628="",$I628="",$J628=""),"",IF($N628="","NO VAT CODE",IF($T628="","UNKNOWN VAT CODE",IF($S628="","MISSING FX RATE",IF(OR($A628&lt;Settings!$C$8,$A628&gt;Settings!$C$9),"OUTSIDE PERIOD",IF(AND(IFERROR(INDEX(VAT_Codes!$E:$E,MATCH($N628,VAT_Codes!$A:$A,0)),"ANY")&lt;&gt;"ANY",$P628=""),"MISSING COUNTERPARTY COUNTRY",IF(AND(IFERROR(INDEX(VAT_Codes!$E:$E,MATCH($N628,VAT_Codes!$A:$A,0)),"ANY")&lt;&gt;"ANY",$P628&lt;&gt;IFERROR(INDEX(VAT_Codes!$E:$E,MATCH($N628,VAT_Codes!$A:$A,0)),"ANY")),"REGION MISMATCH","OK")))))))</f>
        <v/>
      </c>
    </row>
    <row r="629" customFormat="false" ht="15" hidden="false" customHeight="false" outlineLevel="0" collapsed="false">
      <c r="M629" s="24" t="str">
        <f aca="false">IF($C629="","",IFERROR(INDEX(Account_Mapping!$C:$C,MATCH($C629&amp;"",Account_Mapping!$A:$A,0))&amp;"",""))</f>
        <v/>
      </c>
      <c r="N629" s="24" t="str">
        <f aca="false">IF($K629&lt;&gt;"",$K629,$M629)</f>
        <v/>
      </c>
      <c r="O629" s="24" t="str">
        <f aca="false">IF($F629="","",IFERROR(INDEX(Counterparties!$C:$C,MATCH($F629&amp;"",Counterparties!$A:$A,0))&amp;"",""))</f>
        <v/>
      </c>
      <c r="P629" s="24" t="str">
        <f aca="false">IF($O629="","",IF($O629="CY","CY",IF(ISNUMBER(MATCH($O629,Lists!$A:$A,0)),"EU","3RD")))</f>
        <v/>
      </c>
      <c r="Q629" s="24" t="str">
        <f aca="false">IF($F629="","N",IFERROR(IF(INDEX(Counterparties!$E:$E,MATCH($F629&amp;"",Counterparties!$A:$A,0))="Y","Y","N"),"N"))</f>
        <v>N</v>
      </c>
      <c r="R629" s="25" t="n">
        <f aca="false">IF(OR($H629="",$H629="EUR"),1,IFERROR(INDEX(FX_Rates!$D:$D,MATCH($H629,FX_Rates!$A:$A,0)),""))</f>
        <v>1</v>
      </c>
      <c r="S629" s="26" t="str">
        <f aca="false">IF(AND($I629="",$J629=""),"",IF($J629&lt;&gt;"",$J629,IF(OR($R629="",$R629=0),"",ROUND($I629/$R629,2))))</f>
        <v/>
      </c>
      <c r="T629" s="24" t="str">
        <f aca="false">IF($N629="","",IFERROR(INDEX(VAT_Codes!$C:$C,MATCH($N629,VAT_Codes!$A:$A,0)),"")&amp;"")</f>
        <v/>
      </c>
      <c r="U629" s="26" t="n">
        <f aca="false">IF(OR($S629="",$T629="",$T629="None"),0,IF($T629="Output",-$S629,$S629))</f>
        <v>0</v>
      </c>
      <c r="V629" s="27" t="n">
        <f aca="false">IF($N629="",0,IFERROR(INDEX(VAT_Codes!$D:$D,MATCH($N629,VAT_Codes!$A:$A,0)),0))</f>
        <v>0</v>
      </c>
      <c r="W629" s="26" t="n">
        <f aca="false">IF($U629=0,0,IF(IFERROR(INDEX(VAT_Codes!$F:$F,MATCH($N629,VAT_Codes!$A:$A,0)),"N")="Y",$U629,IF($L629&lt;&gt;"",ROUND(ABS($L629)/IF(OR($R629="",$R629=0),1,$R629),2)*SIGN($U629),ROUND($U629*$V629,2))))</f>
        <v>0</v>
      </c>
      <c r="X629" s="24" t="str">
        <f aca="false">IF($N629="","",IFERROR(INDEX(VAT_Codes!$H:$H,MATCH($N629,VAT_Codes!$A:$A,0)),"")&amp;"")</f>
        <v/>
      </c>
      <c r="Y629" s="24" t="str">
        <f aca="false">IF($A629="","",(YEAR($A629)-YEAR(Settings!$C$8))*12+MONTH($A629)-MONTH(Settings!$C$8)+1)</f>
        <v/>
      </c>
      <c r="Z629" s="24" t="str">
        <f aca="false">IF(AND($C629="",$I629="",$J629=""),"",IF($N629="","NO VAT CODE",IF($T629="","UNKNOWN VAT CODE",IF($S629="","MISSING FX RATE",IF(OR($A629&lt;Settings!$C$8,$A629&gt;Settings!$C$9),"OUTSIDE PERIOD",IF(AND(IFERROR(INDEX(VAT_Codes!$E:$E,MATCH($N629,VAT_Codes!$A:$A,0)),"ANY")&lt;&gt;"ANY",$P629=""),"MISSING COUNTERPARTY COUNTRY",IF(AND(IFERROR(INDEX(VAT_Codes!$E:$E,MATCH($N629,VAT_Codes!$A:$A,0)),"ANY")&lt;&gt;"ANY",$P629&lt;&gt;IFERROR(INDEX(VAT_Codes!$E:$E,MATCH($N629,VAT_Codes!$A:$A,0)),"ANY")),"REGION MISMATCH","OK")))))))</f>
        <v/>
      </c>
    </row>
    <row r="630" customFormat="false" ht="15" hidden="false" customHeight="false" outlineLevel="0" collapsed="false">
      <c r="M630" s="24" t="str">
        <f aca="false">IF($C630="","",IFERROR(INDEX(Account_Mapping!$C:$C,MATCH($C630&amp;"",Account_Mapping!$A:$A,0))&amp;"",""))</f>
        <v/>
      </c>
      <c r="N630" s="24" t="str">
        <f aca="false">IF($K630&lt;&gt;"",$K630,$M630)</f>
        <v/>
      </c>
      <c r="O630" s="24" t="str">
        <f aca="false">IF($F630="","",IFERROR(INDEX(Counterparties!$C:$C,MATCH($F630&amp;"",Counterparties!$A:$A,0))&amp;"",""))</f>
        <v/>
      </c>
      <c r="P630" s="24" t="str">
        <f aca="false">IF($O630="","",IF($O630="CY","CY",IF(ISNUMBER(MATCH($O630,Lists!$A:$A,0)),"EU","3RD")))</f>
        <v/>
      </c>
      <c r="Q630" s="24" t="str">
        <f aca="false">IF($F630="","N",IFERROR(IF(INDEX(Counterparties!$E:$E,MATCH($F630&amp;"",Counterparties!$A:$A,0))="Y","Y","N"),"N"))</f>
        <v>N</v>
      </c>
      <c r="R630" s="25" t="n">
        <f aca="false">IF(OR($H630="",$H630="EUR"),1,IFERROR(INDEX(FX_Rates!$D:$D,MATCH($H630,FX_Rates!$A:$A,0)),""))</f>
        <v>1</v>
      </c>
      <c r="S630" s="26" t="str">
        <f aca="false">IF(AND($I630="",$J630=""),"",IF($J630&lt;&gt;"",$J630,IF(OR($R630="",$R630=0),"",ROUND($I630/$R630,2))))</f>
        <v/>
      </c>
      <c r="T630" s="24" t="str">
        <f aca="false">IF($N630="","",IFERROR(INDEX(VAT_Codes!$C:$C,MATCH($N630,VAT_Codes!$A:$A,0)),"")&amp;"")</f>
        <v/>
      </c>
      <c r="U630" s="26" t="n">
        <f aca="false">IF(OR($S630="",$T630="",$T630="None"),0,IF($T630="Output",-$S630,$S630))</f>
        <v>0</v>
      </c>
      <c r="V630" s="27" t="n">
        <f aca="false">IF($N630="",0,IFERROR(INDEX(VAT_Codes!$D:$D,MATCH($N630,VAT_Codes!$A:$A,0)),0))</f>
        <v>0</v>
      </c>
      <c r="W630" s="26" t="n">
        <f aca="false">IF($U630=0,0,IF(IFERROR(INDEX(VAT_Codes!$F:$F,MATCH($N630,VAT_Codes!$A:$A,0)),"N")="Y",$U630,IF($L630&lt;&gt;"",ROUND(ABS($L630)/IF(OR($R630="",$R630=0),1,$R630),2)*SIGN($U630),ROUND($U630*$V630,2))))</f>
        <v>0</v>
      </c>
      <c r="X630" s="24" t="str">
        <f aca="false">IF($N630="","",IFERROR(INDEX(VAT_Codes!$H:$H,MATCH($N630,VAT_Codes!$A:$A,0)),"")&amp;"")</f>
        <v/>
      </c>
      <c r="Y630" s="24" t="str">
        <f aca="false">IF($A630="","",(YEAR($A630)-YEAR(Settings!$C$8))*12+MONTH($A630)-MONTH(Settings!$C$8)+1)</f>
        <v/>
      </c>
      <c r="Z630" s="24" t="str">
        <f aca="false">IF(AND($C630="",$I630="",$J630=""),"",IF($N630="","NO VAT CODE",IF($T630="","UNKNOWN VAT CODE",IF($S630="","MISSING FX RATE",IF(OR($A630&lt;Settings!$C$8,$A630&gt;Settings!$C$9),"OUTSIDE PERIOD",IF(AND(IFERROR(INDEX(VAT_Codes!$E:$E,MATCH($N630,VAT_Codes!$A:$A,0)),"ANY")&lt;&gt;"ANY",$P630=""),"MISSING COUNTERPARTY COUNTRY",IF(AND(IFERROR(INDEX(VAT_Codes!$E:$E,MATCH($N630,VAT_Codes!$A:$A,0)),"ANY")&lt;&gt;"ANY",$P630&lt;&gt;IFERROR(INDEX(VAT_Codes!$E:$E,MATCH($N630,VAT_Codes!$A:$A,0)),"ANY")),"REGION MISMATCH","OK")))))))</f>
        <v/>
      </c>
    </row>
    <row r="631" customFormat="false" ht="15" hidden="false" customHeight="false" outlineLevel="0" collapsed="false">
      <c r="M631" s="24" t="str">
        <f aca="false">IF($C631="","",IFERROR(INDEX(Account_Mapping!$C:$C,MATCH($C631&amp;"",Account_Mapping!$A:$A,0))&amp;"",""))</f>
        <v/>
      </c>
      <c r="N631" s="24" t="str">
        <f aca="false">IF($K631&lt;&gt;"",$K631,$M631)</f>
        <v/>
      </c>
      <c r="O631" s="24" t="str">
        <f aca="false">IF($F631="","",IFERROR(INDEX(Counterparties!$C:$C,MATCH($F631&amp;"",Counterparties!$A:$A,0))&amp;"",""))</f>
        <v/>
      </c>
      <c r="P631" s="24" t="str">
        <f aca="false">IF($O631="","",IF($O631="CY","CY",IF(ISNUMBER(MATCH($O631,Lists!$A:$A,0)),"EU","3RD")))</f>
        <v/>
      </c>
      <c r="Q631" s="24" t="str">
        <f aca="false">IF($F631="","N",IFERROR(IF(INDEX(Counterparties!$E:$E,MATCH($F631&amp;"",Counterparties!$A:$A,0))="Y","Y","N"),"N"))</f>
        <v>N</v>
      </c>
      <c r="R631" s="25" t="n">
        <f aca="false">IF(OR($H631="",$H631="EUR"),1,IFERROR(INDEX(FX_Rates!$D:$D,MATCH($H631,FX_Rates!$A:$A,0)),""))</f>
        <v>1</v>
      </c>
      <c r="S631" s="26" t="str">
        <f aca="false">IF(AND($I631="",$J631=""),"",IF($J631&lt;&gt;"",$J631,IF(OR($R631="",$R631=0),"",ROUND($I631/$R631,2))))</f>
        <v/>
      </c>
      <c r="T631" s="24" t="str">
        <f aca="false">IF($N631="","",IFERROR(INDEX(VAT_Codes!$C:$C,MATCH($N631,VAT_Codes!$A:$A,0)),"")&amp;"")</f>
        <v/>
      </c>
      <c r="U631" s="26" t="n">
        <f aca="false">IF(OR($S631="",$T631="",$T631="None"),0,IF($T631="Output",-$S631,$S631))</f>
        <v>0</v>
      </c>
      <c r="V631" s="27" t="n">
        <f aca="false">IF($N631="",0,IFERROR(INDEX(VAT_Codes!$D:$D,MATCH($N631,VAT_Codes!$A:$A,0)),0))</f>
        <v>0</v>
      </c>
      <c r="W631" s="26" t="n">
        <f aca="false">IF($U631=0,0,IF(IFERROR(INDEX(VAT_Codes!$F:$F,MATCH($N631,VAT_Codes!$A:$A,0)),"N")="Y",$U631,IF($L631&lt;&gt;"",ROUND(ABS($L631)/IF(OR($R631="",$R631=0),1,$R631),2)*SIGN($U631),ROUND($U631*$V631,2))))</f>
        <v>0</v>
      </c>
      <c r="X631" s="24" t="str">
        <f aca="false">IF($N631="","",IFERROR(INDEX(VAT_Codes!$H:$H,MATCH($N631,VAT_Codes!$A:$A,0)),"")&amp;"")</f>
        <v/>
      </c>
      <c r="Y631" s="24" t="str">
        <f aca="false">IF($A631="","",(YEAR($A631)-YEAR(Settings!$C$8))*12+MONTH($A631)-MONTH(Settings!$C$8)+1)</f>
        <v/>
      </c>
      <c r="Z631" s="24" t="str">
        <f aca="false">IF(AND($C631="",$I631="",$J631=""),"",IF($N631="","NO VAT CODE",IF($T631="","UNKNOWN VAT CODE",IF($S631="","MISSING FX RATE",IF(OR($A631&lt;Settings!$C$8,$A631&gt;Settings!$C$9),"OUTSIDE PERIOD",IF(AND(IFERROR(INDEX(VAT_Codes!$E:$E,MATCH($N631,VAT_Codes!$A:$A,0)),"ANY")&lt;&gt;"ANY",$P631=""),"MISSING COUNTERPARTY COUNTRY",IF(AND(IFERROR(INDEX(VAT_Codes!$E:$E,MATCH($N631,VAT_Codes!$A:$A,0)),"ANY")&lt;&gt;"ANY",$P631&lt;&gt;IFERROR(INDEX(VAT_Codes!$E:$E,MATCH($N631,VAT_Codes!$A:$A,0)),"ANY")),"REGION MISMATCH","OK")))))))</f>
        <v/>
      </c>
    </row>
    <row r="632" customFormat="false" ht="15" hidden="false" customHeight="false" outlineLevel="0" collapsed="false">
      <c r="M632" s="24" t="str">
        <f aca="false">IF($C632="","",IFERROR(INDEX(Account_Mapping!$C:$C,MATCH($C632&amp;"",Account_Mapping!$A:$A,0))&amp;"",""))</f>
        <v/>
      </c>
      <c r="N632" s="24" t="str">
        <f aca="false">IF($K632&lt;&gt;"",$K632,$M632)</f>
        <v/>
      </c>
      <c r="O632" s="24" t="str">
        <f aca="false">IF($F632="","",IFERROR(INDEX(Counterparties!$C:$C,MATCH($F632&amp;"",Counterparties!$A:$A,0))&amp;"",""))</f>
        <v/>
      </c>
      <c r="P632" s="24" t="str">
        <f aca="false">IF($O632="","",IF($O632="CY","CY",IF(ISNUMBER(MATCH($O632,Lists!$A:$A,0)),"EU","3RD")))</f>
        <v/>
      </c>
      <c r="Q632" s="24" t="str">
        <f aca="false">IF($F632="","N",IFERROR(IF(INDEX(Counterparties!$E:$E,MATCH($F632&amp;"",Counterparties!$A:$A,0))="Y","Y","N"),"N"))</f>
        <v>N</v>
      </c>
      <c r="R632" s="25" t="n">
        <f aca="false">IF(OR($H632="",$H632="EUR"),1,IFERROR(INDEX(FX_Rates!$D:$D,MATCH($H632,FX_Rates!$A:$A,0)),""))</f>
        <v>1</v>
      </c>
      <c r="S632" s="26" t="str">
        <f aca="false">IF(AND($I632="",$J632=""),"",IF($J632&lt;&gt;"",$J632,IF(OR($R632="",$R632=0),"",ROUND($I632/$R632,2))))</f>
        <v/>
      </c>
      <c r="T632" s="24" t="str">
        <f aca="false">IF($N632="","",IFERROR(INDEX(VAT_Codes!$C:$C,MATCH($N632,VAT_Codes!$A:$A,0)),"")&amp;"")</f>
        <v/>
      </c>
      <c r="U632" s="26" t="n">
        <f aca="false">IF(OR($S632="",$T632="",$T632="None"),0,IF($T632="Output",-$S632,$S632))</f>
        <v>0</v>
      </c>
      <c r="V632" s="27" t="n">
        <f aca="false">IF($N632="",0,IFERROR(INDEX(VAT_Codes!$D:$D,MATCH($N632,VAT_Codes!$A:$A,0)),0))</f>
        <v>0</v>
      </c>
      <c r="W632" s="26" t="n">
        <f aca="false">IF($U632=0,0,IF(IFERROR(INDEX(VAT_Codes!$F:$F,MATCH($N632,VAT_Codes!$A:$A,0)),"N")="Y",$U632,IF($L632&lt;&gt;"",ROUND(ABS($L632)/IF(OR($R632="",$R632=0),1,$R632),2)*SIGN($U632),ROUND($U632*$V632,2))))</f>
        <v>0</v>
      </c>
      <c r="X632" s="24" t="str">
        <f aca="false">IF($N632="","",IFERROR(INDEX(VAT_Codes!$H:$H,MATCH($N632,VAT_Codes!$A:$A,0)),"")&amp;"")</f>
        <v/>
      </c>
      <c r="Y632" s="24" t="str">
        <f aca="false">IF($A632="","",(YEAR($A632)-YEAR(Settings!$C$8))*12+MONTH($A632)-MONTH(Settings!$C$8)+1)</f>
        <v/>
      </c>
      <c r="Z632" s="24" t="str">
        <f aca="false">IF(AND($C632="",$I632="",$J632=""),"",IF($N632="","NO VAT CODE",IF($T632="","UNKNOWN VAT CODE",IF($S632="","MISSING FX RATE",IF(OR($A632&lt;Settings!$C$8,$A632&gt;Settings!$C$9),"OUTSIDE PERIOD",IF(AND(IFERROR(INDEX(VAT_Codes!$E:$E,MATCH($N632,VAT_Codes!$A:$A,0)),"ANY")&lt;&gt;"ANY",$P632=""),"MISSING COUNTERPARTY COUNTRY",IF(AND(IFERROR(INDEX(VAT_Codes!$E:$E,MATCH($N632,VAT_Codes!$A:$A,0)),"ANY")&lt;&gt;"ANY",$P632&lt;&gt;IFERROR(INDEX(VAT_Codes!$E:$E,MATCH($N632,VAT_Codes!$A:$A,0)),"ANY")),"REGION MISMATCH","OK")))))))</f>
        <v/>
      </c>
    </row>
    <row r="633" customFormat="false" ht="15" hidden="false" customHeight="false" outlineLevel="0" collapsed="false">
      <c r="M633" s="24" t="str">
        <f aca="false">IF($C633="","",IFERROR(INDEX(Account_Mapping!$C:$C,MATCH($C633&amp;"",Account_Mapping!$A:$A,0))&amp;"",""))</f>
        <v/>
      </c>
      <c r="N633" s="24" t="str">
        <f aca="false">IF($K633&lt;&gt;"",$K633,$M633)</f>
        <v/>
      </c>
      <c r="O633" s="24" t="str">
        <f aca="false">IF($F633="","",IFERROR(INDEX(Counterparties!$C:$C,MATCH($F633&amp;"",Counterparties!$A:$A,0))&amp;"",""))</f>
        <v/>
      </c>
      <c r="P633" s="24" t="str">
        <f aca="false">IF($O633="","",IF($O633="CY","CY",IF(ISNUMBER(MATCH($O633,Lists!$A:$A,0)),"EU","3RD")))</f>
        <v/>
      </c>
      <c r="Q633" s="24" t="str">
        <f aca="false">IF($F633="","N",IFERROR(IF(INDEX(Counterparties!$E:$E,MATCH($F633&amp;"",Counterparties!$A:$A,0))="Y","Y","N"),"N"))</f>
        <v>N</v>
      </c>
      <c r="R633" s="25" t="n">
        <f aca="false">IF(OR($H633="",$H633="EUR"),1,IFERROR(INDEX(FX_Rates!$D:$D,MATCH($H633,FX_Rates!$A:$A,0)),""))</f>
        <v>1</v>
      </c>
      <c r="S633" s="26" t="str">
        <f aca="false">IF(AND($I633="",$J633=""),"",IF($J633&lt;&gt;"",$J633,IF(OR($R633="",$R633=0),"",ROUND($I633/$R633,2))))</f>
        <v/>
      </c>
      <c r="T633" s="24" t="str">
        <f aca="false">IF($N633="","",IFERROR(INDEX(VAT_Codes!$C:$C,MATCH($N633,VAT_Codes!$A:$A,0)),"")&amp;"")</f>
        <v/>
      </c>
      <c r="U633" s="26" t="n">
        <f aca="false">IF(OR($S633="",$T633="",$T633="None"),0,IF($T633="Output",-$S633,$S633))</f>
        <v>0</v>
      </c>
      <c r="V633" s="27" t="n">
        <f aca="false">IF($N633="",0,IFERROR(INDEX(VAT_Codes!$D:$D,MATCH($N633,VAT_Codes!$A:$A,0)),0))</f>
        <v>0</v>
      </c>
      <c r="W633" s="26" t="n">
        <f aca="false">IF($U633=0,0,IF(IFERROR(INDEX(VAT_Codes!$F:$F,MATCH($N633,VAT_Codes!$A:$A,0)),"N")="Y",$U633,IF($L633&lt;&gt;"",ROUND(ABS($L633)/IF(OR($R633="",$R633=0),1,$R633),2)*SIGN($U633),ROUND($U633*$V633,2))))</f>
        <v>0</v>
      </c>
      <c r="X633" s="24" t="str">
        <f aca="false">IF($N633="","",IFERROR(INDEX(VAT_Codes!$H:$H,MATCH($N633,VAT_Codes!$A:$A,0)),"")&amp;"")</f>
        <v/>
      </c>
      <c r="Y633" s="24" t="str">
        <f aca="false">IF($A633="","",(YEAR($A633)-YEAR(Settings!$C$8))*12+MONTH($A633)-MONTH(Settings!$C$8)+1)</f>
        <v/>
      </c>
      <c r="Z633" s="24" t="str">
        <f aca="false">IF(AND($C633="",$I633="",$J633=""),"",IF($N633="","NO VAT CODE",IF($T633="","UNKNOWN VAT CODE",IF($S633="","MISSING FX RATE",IF(OR($A633&lt;Settings!$C$8,$A633&gt;Settings!$C$9),"OUTSIDE PERIOD",IF(AND(IFERROR(INDEX(VAT_Codes!$E:$E,MATCH($N633,VAT_Codes!$A:$A,0)),"ANY")&lt;&gt;"ANY",$P633=""),"MISSING COUNTERPARTY COUNTRY",IF(AND(IFERROR(INDEX(VAT_Codes!$E:$E,MATCH($N633,VAT_Codes!$A:$A,0)),"ANY")&lt;&gt;"ANY",$P633&lt;&gt;IFERROR(INDEX(VAT_Codes!$E:$E,MATCH($N633,VAT_Codes!$A:$A,0)),"ANY")),"REGION MISMATCH","OK")))))))</f>
        <v/>
      </c>
    </row>
    <row r="634" customFormat="false" ht="15" hidden="false" customHeight="false" outlineLevel="0" collapsed="false">
      <c r="M634" s="24" t="str">
        <f aca="false">IF($C634="","",IFERROR(INDEX(Account_Mapping!$C:$C,MATCH($C634&amp;"",Account_Mapping!$A:$A,0))&amp;"",""))</f>
        <v/>
      </c>
      <c r="N634" s="24" t="str">
        <f aca="false">IF($K634&lt;&gt;"",$K634,$M634)</f>
        <v/>
      </c>
      <c r="O634" s="24" t="str">
        <f aca="false">IF($F634="","",IFERROR(INDEX(Counterparties!$C:$C,MATCH($F634&amp;"",Counterparties!$A:$A,0))&amp;"",""))</f>
        <v/>
      </c>
      <c r="P634" s="24" t="str">
        <f aca="false">IF($O634="","",IF($O634="CY","CY",IF(ISNUMBER(MATCH($O634,Lists!$A:$A,0)),"EU","3RD")))</f>
        <v/>
      </c>
      <c r="Q634" s="24" t="str">
        <f aca="false">IF($F634="","N",IFERROR(IF(INDEX(Counterparties!$E:$E,MATCH($F634&amp;"",Counterparties!$A:$A,0))="Y","Y","N"),"N"))</f>
        <v>N</v>
      </c>
      <c r="R634" s="25" t="n">
        <f aca="false">IF(OR($H634="",$H634="EUR"),1,IFERROR(INDEX(FX_Rates!$D:$D,MATCH($H634,FX_Rates!$A:$A,0)),""))</f>
        <v>1</v>
      </c>
      <c r="S634" s="26" t="str">
        <f aca="false">IF(AND($I634="",$J634=""),"",IF($J634&lt;&gt;"",$J634,IF(OR($R634="",$R634=0),"",ROUND($I634/$R634,2))))</f>
        <v/>
      </c>
      <c r="T634" s="24" t="str">
        <f aca="false">IF($N634="","",IFERROR(INDEX(VAT_Codes!$C:$C,MATCH($N634,VAT_Codes!$A:$A,0)),"")&amp;"")</f>
        <v/>
      </c>
      <c r="U634" s="26" t="n">
        <f aca="false">IF(OR($S634="",$T634="",$T634="None"),0,IF($T634="Output",-$S634,$S634))</f>
        <v>0</v>
      </c>
      <c r="V634" s="27" t="n">
        <f aca="false">IF($N634="",0,IFERROR(INDEX(VAT_Codes!$D:$D,MATCH($N634,VAT_Codes!$A:$A,0)),0))</f>
        <v>0</v>
      </c>
      <c r="W634" s="26" t="n">
        <f aca="false">IF($U634=0,0,IF(IFERROR(INDEX(VAT_Codes!$F:$F,MATCH($N634,VAT_Codes!$A:$A,0)),"N")="Y",$U634,IF($L634&lt;&gt;"",ROUND(ABS($L634)/IF(OR($R634="",$R634=0),1,$R634),2)*SIGN($U634),ROUND($U634*$V634,2))))</f>
        <v>0</v>
      </c>
      <c r="X634" s="24" t="str">
        <f aca="false">IF($N634="","",IFERROR(INDEX(VAT_Codes!$H:$H,MATCH($N634,VAT_Codes!$A:$A,0)),"")&amp;"")</f>
        <v/>
      </c>
      <c r="Y634" s="24" t="str">
        <f aca="false">IF($A634="","",(YEAR($A634)-YEAR(Settings!$C$8))*12+MONTH($A634)-MONTH(Settings!$C$8)+1)</f>
        <v/>
      </c>
      <c r="Z634" s="24" t="str">
        <f aca="false">IF(AND($C634="",$I634="",$J634=""),"",IF($N634="","NO VAT CODE",IF($T634="","UNKNOWN VAT CODE",IF($S634="","MISSING FX RATE",IF(OR($A634&lt;Settings!$C$8,$A634&gt;Settings!$C$9),"OUTSIDE PERIOD",IF(AND(IFERROR(INDEX(VAT_Codes!$E:$E,MATCH($N634,VAT_Codes!$A:$A,0)),"ANY")&lt;&gt;"ANY",$P634=""),"MISSING COUNTERPARTY COUNTRY",IF(AND(IFERROR(INDEX(VAT_Codes!$E:$E,MATCH($N634,VAT_Codes!$A:$A,0)),"ANY")&lt;&gt;"ANY",$P634&lt;&gt;IFERROR(INDEX(VAT_Codes!$E:$E,MATCH($N634,VAT_Codes!$A:$A,0)),"ANY")),"REGION MISMATCH","OK")))))))</f>
        <v/>
      </c>
    </row>
    <row r="635" customFormat="false" ht="15" hidden="false" customHeight="false" outlineLevel="0" collapsed="false">
      <c r="M635" s="24" t="str">
        <f aca="false">IF($C635="","",IFERROR(INDEX(Account_Mapping!$C:$C,MATCH($C635&amp;"",Account_Mapping!$A:$A,0))&amp;"",""))</f>
        <v/>
      </c>
      <c r="N635" s="24" t="str">
        <f aca="false">IF($K635&lt;&gt;"",$K635,$M635)</f>
        <v/>
      </c>
      <c r="O635" s="24" t="str">
        <f aca="false">IF($F635="","",IFERROR(INDEX(Counterparties!$C:$C,MATCH($F635&amp;"",Counterparties!$A:$A,0))&amp;"",""))</f>
        <v/>
      </c>
      <c r="P635" s="24" t="str">
        <f aca="false">IF($O635="","",IF($O635="CY","CY",IF(ISNUMBER(MATCH($O635,Lists!$A:$A,0)),"EU","3RD")))</f>
        <v/>
      </c>
      <c r="Q635" s="24" t="str">
        <f aca="false">IF($F635="","N",IFERROR(IF(INDEX(Counterparties!$E:$E,MATCH($F635&amp;"",Counterparties!$A:$A,0))="Y","Y","N"),"N"))</f>
        <v>N</v>
      </c>
      <c r="R635" s="25" t="n">
        <f aca="false">IF(OR($H635="",$H635="EUR"),1,IFERROR(INDEX(FX_Rates!$D:$D,MATCH($H635,FX_Rates!$A:$A,0)),""))</f>
        <v>1</v>
      </c>
      <c r="S635" s="26" t="str">
        <f aca="false">IF(AND($I635="",$J635=""),"",IF($J635&lt;&gt;"",$J635,IF(OR($R635="",$R635=0),"",ROUND($I635/$R635,2))))</f>
        <v/>
      </c>
      <c r="T635" s="24" t="str">
        <f aca="false">IF($N635="","",IFERROR(INDEX(VAT_Codes!$C:$C,MATCH($N635,VAT_Codes!$A:$A,0)),"")&amp;"")</f>
        <v/>
      </c>
      <c r="U635" s="26" t="n">
        <f aca="false">IF(OR($S635="",$T635="",$T635="None"),0,IF($T635="Output",-$S635,$S635))</f>
        <v>0</v>
      </c>
      <c r="V635" s="27" t="n">
        <f aca="false">IF($N635="",0,IFERROR(INDEX(VAT_Codes!$D:$D,MATCH($N635,VAT_Codes!$A:$A,0)),0))</f>
        <v>0</v>
      </c>
      <c r="W635" s="26" t="n">
        <f aca="false">IF($U635=0,0,IF(IFERROR(INDEX(VAT_Codes!$F:$F,MATCH($N635,VAT_Codes!$A:$A,0)),"N")="Y",$U635,IF($L635&lt;&gt;"",ROUND(ABS($L635)/IF(OR($R635="",$R635=0),1,$R635),2)*SIGN($U635),ROUND($U635*$V635,2))))</f>
        <v>0</v>
      </c>
      <c r="X635" s="24" t="str">
        <f aca="false">IF($N635="","",IFERROR(INDEX(VAT_Codes!$H:$H,MATCH($N635,VAT_Codes!$A:$A,0)),"")&amp;"")</f>
        <v/>
      </c>
      <c r="Y635" s="24" t="str">
        <f aca="false">IF($A635="","",(YEAR($A635)-YEAR(Settings!$C$8))*12+MONTH($A635)-MONTH(Settings!$C$8)+1)</f>
        <v/>
      </c>
      <c r="Z635" s="24" t="str">
        <f aca="false">IF(AND($C635="",$I635="",$J635=""),"",IF($N635="","NO VAT CODE",IF($T635="","UNKNOWN VAT CODE",IF($S635="","MISSING FX RATE",IF(OR($A635&lt;Settings!$C$8,$A635&gt;Settings!$C$9),"OUTSIDE PERIOD",IF(AND(IFERROR(INDEX(VAT_Codes!$E:$E,MATCH($N635,VAT_Codes!$A:$A,0)),"ANY")&lt;&gt;"ANY",$P635=""),"MISSING COUNTERPARTY COUNTRY",IF(AND(IFERROR(INDEX(VAT_Codes!$E:$E,MATCH($N635,VAT_Codes!$A:$A,0)),"ANY")&lt;&gt;"ANY",$P635&lt;&gt;IFERROR(INDEX(VAT_Codes!$E:$E,MATCH($N635,VAT_Codes!$A:$A,0)),"ANY")),"REGION MISMATCH","OK")))))))</f>
        <v/>
      </c>
    </row>
    <row r="636" customFormat="false" ht="15" hidden="false" customHeight="false" outlineLevel="0" collapsed="false">
      <c r="M636" s="24" t="str">
        <f aca="false">IF($C636="","",IFERROR(INDEX(Account_Mapping!$C:$C,MATCH($C636&amp;"",Account_Mapping!$A:$A,0))&amp;"",""))</f>
        <v/>
      </c>
      <c r="N636" s="24" t="str">
        <f aca="false">IF($K636&lt;&gt;"",$K636,$M636)</f>
        <v/>
      </c>
      <c r="O636" s="24" t="str">
        <f aca="false">IF($F636="","",IFERROR(INDEX(Counterparties!$C:$C,MATCH($F636&amp;"",Counterparties!$A:$A,0))&amp;"",""))</f>
        <v/>
      </c>
      <c r="P636" s="24" t="str">
        <f aca="false">IF($O636="","",IF($O636="CY","CY",IF(ISNUMBER(MATCH($O636,Lists!$A:$A,0)),"EU","3RD")))</f>
        <v/>
      </c>
      <c r="Q636" s="24" t="str">
        <f aca="false">IF($F636="","N",IFERROR(IF(INDEX(Counterparties!$E:$E,MATCH($F636&amp;"",Counterparties!$A:$A,0))="Y","Y","N"),"N"))</f>
        <v>N</v>
      </c>
      <c r="R636" s="25" t="n">
        <f aca="false">IF(OR($H636="",$H636="EUR"),1,IFERROR(INDEX(FX_Rates!$D:$D,MATCH($H636,FX_Rates!$A:$A,0)),""))</f>
        <v>1</v>
      </c>
      <c r="S636" s="26" t="str">
        <f aca="false">IF(AND($I636="",$J636=""),"",IF($J636&lt;&gt;"",$J636,IF(OR($R636="",$R636=0),"",ROUND($I636/$R636,2))))</f>
        <v/>
      </c>
      <c r="T636" s="24" t="str">
        <f aca="false">IF($N636="","",IFERROR(INDEX(VAT_Codes!$C:$C,MATCH($N636,VAT_Codes!$A:$A,0)),"")&amp;"")</f>
        <v/>
      </c>
      <c r="U636" s="26" t="n">
        <f aca="false">IF(OR($S636="",$T636="",$T636="None"),0,IF($T636="Output",-$S636,$S636))</f>
        <v>0</v>
      </c>
      <c r="V636" s="27" t="n">
        <f aca="false">IF($N636="",0,IFERROR(INDEX(VAT_Codes!$D:$D,MATCH($N636,VAT_Codes!$A:$A,0)),0))</f>
        <v>0</v>
      </c>
      <c r="W636" s="26" t="n">
        <f aca="false">IF($U636=0,0,IF(IFERROR(INDEX(VAT_Codes!$F:$F,MATCH($N636,VAT_Codes!$A:$A,0)),"N")="Y",$U636,IF($L636&lt;&gt;"",ROUND(ABS($L636)/IF(OR($R636="",$R636=0),1,$R636),2)*SIGN($U636),ROUND($U636*$V636,2))))</f>
        <v>0</v>
      </c>
      <c r="X636" s="24" t="str">
        <f aca="false">IF($N636="","",IFERROR(INDEX(VAT_Codes!$H:$H,MATCH($N636,VAT_Codes!$A:$A,0)),"")&amp;"")</f>
        <v/>
      </c>
      <c r="Y636" s="24" t="str">
        <f aca="false">IF($A636="","",(YEAR($A636)-YEAR(Settings!$C$8))*12+MONTH($A636)-MONTH(Settings!$C$8)+1)</f>
        <v/>
      </c>
      <c r="Z636" s="24" t="str">
        <f aca="false">IF(AND($C636="",$I636="",$J636=""),"",IF($N636="","NO VAT CODE",IF($T636="","UNKNOWN VAT CODE",IF($S636="","MISSING FX RATE",IF(OR($A636&lt;Settings!$C$8,$A636&gt;Settings!$C$9),"OUTSIDE PERIOD",IF(AND(IFERROR(INDEX(VAT_Codes!$E:$E,MATCH($N636,VAT_Codes!$A:$A,0)),"ANY")&lt;&gt;"ANY",$P636=""),"MISSING COUNTERPARTY COUNTRY",IF(AND(IFERROR(INDEX(VAT_Codes!$E:$E,MATCH($N636,VAT_Codes!$A:$A,0)),"ANY")&lt;&gt;"ANY",$P636&lt;&gt;IFERROR(INDEX(VAT_Codes!$E:$E,MATCH($N636,VAT_Codes!$A:$A,0)),"ANY")),"REGION MISMATCH","OK")))))))</f>
        <v/>
      </c>
    </row>
    <row r="637" customFormat="false" ht="15" hidden="false" customHeight="false" outlineLevel="0" collapsed="false">
      <c r="M637" s="24" t="str">
        <f aca="false">IF($C637="","",IFERROR(INDEX(Account_Mapping!$C:$C,MATCH($C637&amp;"",Account_Mapping!$A:$A,0))&amp;"",""))</f>
        <v/>
      </c>
      <c r="N637" s="24" t="str">
        <f aca="false">IF($K637&lt;&gt;"",$K637,$M637)</f>
        <v/>
      </c>
      <c r="O637" s="24" t="str">
        <f aca="false">IF($F637="","",IFERROR(INDEX(Counterparties!$C:$C,MATCH($F637&amp;"",Counterparties!$A:$A,0))&amp;"",""))</f>
        <v/>
      </c>
      <c r="P637" s="24" t="str">
        <f aca="false">IF($O637="","",IF($O637="CY","CY",IF(ISNUMBER(MATCH($O637,Lists!$A:$A,0)),"EU","3RD")))</f>
        <v/>
      </c>
      <c r="Q637" s="24" t="str">
        <f aca="false">IF($F637="","N",IFERROR(IF(INDEX(Counterparties!$E:$E,MATCH($F637&amp;"",Counterparties!$A:$A,0))="Y","Y","N"),"N"))</f>
        <v>N</v>
      </c>
      <c r="R637" s="25" t="n">
        <f aca="false">IF(OR($H637="",$H637="EUR"),1,IFERROR(INDEX(FX_Rates!$D:$D,MATCH($H637,FX_Rates!$A:$A,0)),""))</f>
        <v>1</v>
      </c>
      <c r="S637" s="26" t="str">
        <f aca="false">IF(AND($I637="",$J637=""),"",IF($J637&lt;&gt;"",$J637,IF(OR($R637="",$R637=0),"",ROUND($I637/$R637,2))))</f>
        <v/>
      </c>
      <c r="T637" s="24" t="str">
        <f aca="false">IF($N637="","",IFERROR(INDEX(VAT_Codes!$C:$C,MATCH($N637,VAT_Codes!$A:$A,0)),"")&amp;"")</f>
        <v/>
      </c>
      <c r="U637" s="26" t="n">
        <f aca="false">IF(OR($S637="",$T637="",$T637="None"),0,IF($T637="Output",-$S637,$S637))</f>
        <v>0</v>
      </c>
      <c r="V637" s="27" t="n">
        <f aca="false">IF($N637="",0,IFERROR(INDEX(VAT_Codes!$D:$D,MATCH($N637,VAT_Codes!$A:$A,0)),0))</f>
        <v>0</v>
      </c>
      <c r="W637" s="26" t="n">
        <f aca="false">IF($U637=0,0,IF(IFERROR(INDEX(VAT_Codes!$F:$F,MATCH($N637,VAT_Codes!$A:$A,0)),"N")="Y",$U637,IF($L637&lt;&gt;"",ROUND(ABS($L637)/IF(OR($R637="",$R637=0),1,$R637),2)*SIGN($U637),ROUND($U637*$V637,2))))</f>
        <v>0</v>
      </c>
      <c r="X637" s="24" t="str">
        <f aca="false">IF($N637="","",IFERROR(INDEX(VAT_Codes!$H:$H,MATCH($N637,VAT_Codes!$A:$A,0)),"")&amp;"")</f>
        <v/>
      </c>
      <c r="Y637" s="24" t="str">
        <f aca="false">IF($A637="","",(YEAR($A637)-YEAR(Settings!$C$8))*12+MONTH($A637)-MONTH(Settings!$C$8)+1)</f>
        <v/>
      </c>
      <c r="Z637" s="24" t="str">
        <f aca="false">IF(AND($C637="",$I637="",$J637=""),"",IF($N637="","NO VAT CODE",IF($T637="","UNKNOWN VAT CODE",IF($S637="","MISSING FX RATE",IF(OR($A637&lt;Settings!$C$8,$A637&gt;Settings!$C$9),"OUTSIDE PERIOD",IF(AND(IFERROR(INDEX(VAT_Codes!$E:$E,MATCH($N637,VAT_Codes!$A:$A,0)),"ANY")&lt;&gt;"ANY",$P637=""),"MISSING COUNTERPARTY COUNTRY",IF(AND(IFERROR(INDEX(VAT_Codes!$E:$E,MATCH($N637,VAT_Codes!$A:$A,0)),"ANY")&lt;&gt;"ANY",$P637&lt;&gt;IFERROR(INDEX(VAT_Codes!$E:$E,MATCH($N637,VAT_Codes!$A:$A,0)),"ANY")),"REGION MISMATCH","OK")))))))</f>
        <v/>
      </c>
    </row>
    <row r="638" customFormat="false" ht="15" hidden="false" customHeight="false" outlineLevel="0" collapsed="false">
      <c r="M638" s="24" t="str">
        <f aca="false">IF($C638="","",IFERROR(INDEX(Account_Mapping!$C:$C,MATCH($C638&amp;"",Account_Mapping!$A:$A,0))&amp;"",""))</f>
        <v/>
      </c>
      <c r="N638" s="24" t="str">
        <f aca="false">IF($K638&lt;&gt;"",$K638,$M638)</f>
        <v/>
      </c>
      <c r="O638" s="24" t="str">
        <f aca="false">IF($F638="","",IFERROR(INDEX(Counterparties!$C:$C,MATCH($F638&amp;"",Counterparties!$A:$A,0))&amp;"",""))</f>
        <v/>
      </c>
      <c r="P638" s="24" t="str">
        <f aca="false">IF($O638="","",IF($O638="CY","CY",IF(ISNUMBER(MATCH($O638,Lists!$A:$A,0)),"EU","3RD")))</f>
        <v/>
      </c>
      <c r="Q638" s="24" t="str">
        <f aca="false">IF($F638="","N",IFERROR(IF(INDEX(Counterparties!$E:$E,MATCH($F638&amp;"",Counterparties!$A:$A,0))="Y","Y","N"),"N"))</f>
        <v>N</v>
      </c>
      <c r="R638" s="25" t="n">
        <f aca="false">IF(OR($H638="",$H638="EUR"),1,IFERROR(INDEX(FX_Rates!$D:$D,MATCH($H638,FX_Rates!$A:$A,0)),""))</f>
        <v>1</v>
      </c>
      <c r="S638" s="26" t="str">
        <f aca="false">IF(AND($I638="",$J638=""),"",IF($J638&lt;&gt;"",$J638,IF(OR($R638="",$R638=0),"",ROUND($I638/$R638,2))))</f>
        <v/>
      </c>
      <c r="T638" s="24" t="str">
        <f aca="false">IF($N638="","",IFERROR(INDEX(VAT_Codes!$C:$C,MATCH($N638,VAT_Codes!$A:$A,0)),"")&amp;"")</f>
        <v/>
      </c>
      <c r="U638" s="26" t="n">
        <f aca="false">IF(OR($S638="",$T638="",$T638="None"),0,IF($T638="Output",-$S638,$S638))</f>
        <v>0</v>
      </c>
      <c r="V638" s="27" t="n">
        <f aca="false">IF($N638="",0,IFERROR(INDEX(VAT_Codes!$D:$D,MATCH($N638,VAT_Codes!$A:$A,0)),0))</f>
        <v>0</v>
      </c>
      <c r="W638" s="26" t="n">
        <f aca="false">IF($U638=0,0,IF(IFERROR(INDEX(VAT_Codes!$F:$F,MATCH($N638,VAT_Codes!$A:$A,0)),"N")="Y",$U638,IF($L638&lt;&gt;"",ROUND(ABS($L638)/IF(OR($R638="",$R638=0),1,$R638),2)*SIGN($U638),ROUND($U638*$V638,2))))</f>
        <v>0</v>
      </c>
      <c r="X638" s="24" t="str">
        <f aca="false">IF($N638="","",IFERROR(INDEX(VAT_Codes!$H:$H,MATCH($N638,VAT_Codes!$A:$A,0)),"")&amp;"")</f>
        <v/>
      </c>
      <c r="Y638" s="24" t="str">
        <f aca="false">IF($A638="","",(YEAR($A638)-YEAR(Settings!$C$8))*12+MONTH($A638)-MONTH(Settings!$C$8)+1)</f>
        <v/>
      </c>
      <c r="Z638" s="24" t="str">
        <f aca="false">IF(AND($C638="",$I638="",$J638=""),"",IF($N638="","NO VAT CODE",IF($T638="","UNKNOWN VAT CODE",IF($S638="","MISSING FX RATE",IF(OR($A638&lt;Settings!$C$8,$A638&gt;Settings!$C$9),"OUTSIDE PERIOD",IF(AND(IFERROR(INDEX(VAT_Codes!$E:$E,MATCH($N638,VAT_Codes!$A:$A,0)),"ANY")&lt;&gt;"ANY",$P638=""),"MISSING COUNTERPARTY COUNTRY",IF(AND(IFERROR(INDEX(VAT_Codes!$E:$E,MATCH($N638,VAT_Codes!$A:$A,0)),"ANY")&lt;&gt;"ANY",$P638&lt;&gt;IFERROR(INDEX(VAT_Codes!$E:$E,MATCH($N638,VAT_Codes!$A:$A,0)),"ANY")),"REGION MISMATCH","OK")))))))</f>
        <v/>
      </c>
    </row>
    <row r="639" customFormat="false" ht="15" hidden="false" customHeight="false" outlineLevel="0" collapsed="false">
      <c r="M639" s="24" t="str">
        <f aca="false">IF($C639="","",IFERROR(INDEX(Account_Mapping!$C:$C,MATCH($C639&amp;"",Account_Mapping!$A:$A,0))&amp;"",""))</f>
        <v/>
      </c>
      <c r="N639" s="24" t="str">
        <f aca="false">IF($K639&lt;&gt;"",$K639,$M639)</f>
        <v/>
      </c>
      <c r="O639" s="24" t="str">
        <f aca="false">IF($F639="","",IFERROR(INDEX(Counterparties!$C:$C,MATCH($F639&amp;"",Counterparties!$A:$A,0))&amp;"",""))</f>
        <v/>
      </c>
      <c r="P639" s="24" t="str">
        <f aca="false">IF($O639="","",IF($O639="CY","CY",IF(ISNUMBER(MATCH($O639,Lists!$A:$A,0)),"EU","3RD")))</f>
        <v/>
      </c>
      <c r="Q639" s="24" t="str">
        <f aca="false">IF($F639="","N",IFERROR(IF(INDEX(Counterparties!$E:$E,MATCH($F639&amp;"",Counterparties!$A:$A,0))="Y","Y","N"),"N"))</f>
        <v>N</v>
      </c>
      <c r="R639" s="25" t="n">
        <f aca="false">IF(OR($H639="",$H639="EUR"),1,IFERROR(INDEX(FX_Rates!$D:$D,MATCH($H639,FX_Rates!$A:$A,0)),""))</f>
        <v>1</v>
      </c>
      <c r="S639" s="26" t="str">
        <f aca="false">IF(AND($I639="",$J639=""),"",IF($J639&lt;&gt;"",$J639,IF(OR($R639="",$R639=0),"",ROUND($I639/$R639,2))))</f>
        <v/>
      </c>
      <c r="T639" s="24" t="str">
        <f aca="false">IF($N639="","",IFERROR(INDEX(VAT_Codes!$C:$C,MATCH($N639,VAT_Codes!$A:$A,0)),"")&amp;"")</f>
        <v/>
      </c>
      <c r="U639" s="26" t="n">
        <f aca="false">IF(OR($S639="",$T639="",$T639="None"),0,IF($T639="Output",-$S639,$S639))</f>
        <v>0</v>
      </c>
      <c r="V639" s="27" t="n">
        <f aca="false">IF($N639="",0,IFERROR(INDEX(VAT_Codes!$D:$D,MATCH($N639,VAT_Codes!$A:$A,0)),0))</f>
        <v>0</v>
      </c>
      <c r="W639" s="26" t="n">
        <f aca="false">IF($U639=0,0,IF(IFERROR(INDEX(VAT_Codes!$F:$F,MATCH($N639,VAT_Codes!$A:$A,0)),"N")="Y",$U639,IF($L639&lt;&gt;"",ROUND(ABS($L639)/IF(OR($R639="",$R639=0),1,$R639),2)*SIGN($U639),ROUND($U639*$V639,2))))</f>
        <v>0</v>
      </c>
      <c r="X639" s="24" t="str">
        <f aca="false">IF($N639="","",IFERROR(INDEX(VAT_Codes!$H:$H,MATCH($N639,VAT_Codes!$A:$A,0)),"")&amp;"")</f>
        <v/>
      </c>
      <c r="Y639" s="24" t="str">
        <f aca="false">IF($A639="","",(YEAR($A639)-YEAR(Settings!$C$8))*12+MONTH($A639)-MONTH(Settings!$C$8)+1)</f>
        <v/>
      </c>
      <c r="Z639" s="24" t="str">
        <f aca="false">IF(AND($C639="",$I639="",$J639=""),"",IF($N639="","NO VAT CODE",IF($T639="","UNKNOWN VAT CODE",IF($S639="","MISSING FX RATE",IF(OR($A639&lt;Settings!$C$8,$A639&gt;Settings!$C$9),"OUTSIDE PERIOD",IF(AND(IFERROR(INDEX(VAT_Codes!$E:$E,MATCH($N639,VAT_Codes!$A:$A,0)),"ANY")&lt;&gt;"ANY",$P639=""),"MISSING COUNTERPARTY COUNTRY",IF(AND(IFERROR(INDEX(VAT_Codes!$E:$E,MATCH($N639,VAT_Codes!$A:$A,0)),"ANY")&lt;&gt;"ANY",$P639&lt;&gt;IFERROR(INDEX(VAT_Codes!$E:$E,MATCH($N639,VAT_Codes!$A:$A,0)),"ANY")),"REGION MISMATCH","OK")))))))</f>
        <v/>
      </c>
    </row>
    <row r="640" customFormat="false" ht="15" hidden="false" customHeight="false" outlineLevel="0" collapsed="false">
      <c r="M640" s="24" t="str">
        <f aca="false">IF($C640="","",IFERROR(INDEX(Account_Mapping!$C:$C,MATCH($C640&amp;"",Account_Mapping!$A:$A,0))&amp;"",""))</f>
        <v/>
      </c>
      <c r="N640" s="24" t="str">
        <f aca="false">IF($K640&lt;&gt;"",$K640,$M640)</f>
        <v/>
      </c>
      <c r="O640" s="24" t="str">
        <f aca="false">IF($F640="","",IFERROR(INDEX(Counterparties!$C:$C,MATCH($F640&amp;"",Counterparties!$A:$A,0))&amp;"",""))</f>
        <v/>
      </c>
      <c r="P640" s="24" t="str">
        <f aca="false">IF($O640="","",IF($O640="CY","CY",IF(ISNUMBER(MATCH($O640,Lists!$A:$A,0)),"EU","3RD")))</f>
        <v/>
      </c>
      <c r="Q640" s="24" t="str">
        <f aca="false">IF($F640="","N",IFERROR(IF(INDEX(Counterparties!$E:$E,MATCH($F640&amp;"",Counterparties!$A:$A,0))="Y","Y","N"),"N"))</f>
        <v>N</v>
      </c>
      <c r="R640" s="25" t="n">
        <f aca="false">IF(OR($H640="",$H640="EUR"),1,IFERROR(INDEX(FX_Rates!$D:$D,MATCH($H640,FX_Rates!$A:$A,0)),""))</f>
        <v>1</v>
      </c>
      <c r="S640" s="26" t="str">
        <f aca="false">IF(AND($I640="",$J640=""),"",IF($J640&lt;&gt;"",$J640,IF(OR($R640="",$R640=0),"",ROUND($I640/$R640,2))))</f>
        <v/>
      </c>
      <c r="T640" s="24" t="str">
        <f aca="false">IF($N640="","",IFERROR(INDEX(VAT_Codes!$C:$C,MATCH($N640,VAT_Codes!$A:$A,0)),"")&amp;"")</f>
        <v/>
      </c>
      <c r="U640" s="26" t="n">
        <f aca="false">IF(OR($S640="",$T640="",$T640="None"),0,IF($T640="Output",-$S640,$S640))</f>
        <v>0</v>
      </c>
      <c r="V640" s="27" t="n">
        <f aca="false">IF($N640="",0,IFERROR(INDEX(VAT_Codes!$D:$D,MATCH($N640,VAT_Codes!$A:$A,0)),0))</f>
        <v>0</v>
      </c>
      <c r="W640" s="26" t="n">
        <f aca="false">IF($U640=0,0,IF(IFERROR(INDEX(VAT_Codes!$F:$F,MATCH($N640,VAT_Codes!$A:$A,0)),"N")="Y",$U640,IF($L640&lt;&gt;"",ROUND(ABS($L640)/IF(OR($R640="",$R640=0),1,$R640),2)*SIGN($U640),ROUND($U640*$V640,2))))</f>
        <v>0</v>
      </c>
      <c r="X640" s="24" t="str">
        <f aca="false">IF($N640="","",IFERROR(INDEX(VAT_Codes!$H:$H,MATCH($N640,VAT_Codes!$A:$A,0)),"")&amp;"")</f>
        <v/>
      </c>
      <c r="Y640" s="24" t="str">
        <f aca="false">IF($A640="","",(YEAR($A640)-YEAR(Settings!$C$8))*12+MONTH($A640)-MONTH(Settings!$C$8)+1)</f>
        <v/>
      </c>
      <c r="Z640" s="24" t="str">
        <f aca="false">IF(AND($C640="",$I640="",$J640=""),"",IF($N640="","NO VAT CODE",IF($T640="","UNKNOWN VAT CODE",IF($S640="","MISSING FX RATE",IF(OR($A640&lt;Settings!$C$8,$A640&gt;Settings!$C$9),"OUTSIDE PERIOD",IF(AND(IFERROR(INDEX(VAT_Codes!$E:$E,MATCH($N640,VAT_Codes!$A:$A,0)),"ANY")&lt;&gt;"ANY",$P640=""),"MISSING COUNTERPARTY COUNTRY",IF(AND(IFERROR(INDEX(VAT_Codes!$E:$E,MATCH($N640,VAT_Codes!$A:$A,0)),"ANY")&lt;&gt;"ANY",$P640&lt;&gt;IFERROR(INDEX(VAT_Codes!$E:$E,MATCH($N640,VAT_Codes!$A:$A,0)),"ANY")),"REGION MISMATCH","OK")))))))</f>
        <v/>
      </c>
    </row>
    <row r="641" customFormat="false" ht="15" hidden="false" customHeight="false" outlineLevel="0" collapsed="false">
      <c r="M641" s="24" t="str">
        <f aca="false">IF($C641="","",IFERROR(INDEX(Account_Mapping!$C:$C,MATCH($C641&amp;"",Account_Mapping!$A:$A,0))&amp;"",""))</f>
        <v/>
      </c>
      <c r="N641" s="24" t="str">
        <f aca="false">IF($K641&lt;&gt;"",$K641,$M641)</f>
        <v/>
      </c>
      <c r="O641" s="24" t="str">
        <f aca="false">IF($F641="","",IFERROR(INDEX(Counterparties!$C:$C,MATCH($F641&amp;"",Counterparties!$A:$A,0))&amp;"",""))</f>
        <v/>
      </c>
      <c r="P641" s="24" t="str">
        <f aca="false">IF($O641="","",IF($O641="CY","CY",IF(ISNUMBER(MATCH($O641,Lists!$A:$A,0)),"EU","3RD")))</f>
        <v/>
      </c>
      <c r="Q641" s="24" t="str">
        <f aca="false">IF($F641="","N",IFERROR(IF(INDEX(Counterparties!$E:$E,MATCH($F641&amp;"",Counterparties!$A:$A,0))="Y","Y","N"),"N"))</f>
        <v>N</v>
      </c>
      <c r="R641" s="25" t="n">
        <f aca="false">IF(OR($H641="",$H641="EUR"),1,IFERROR(INDEX(FX_Rates!$D:$D,MATCH($H641,FX_Rates!$A:$A,0)),""))</f>
        <v>1</v>
      </c>
      <c r="S641" s="26" t="str">
        <f aca="false">IF(AND($I641="",$J641=""),"",IF($J641&lt;&gt;"",$J641,IF(OR($R641="",$R641=0),"",ROUND($I641/$R641,2))))</f>
        <v/>
      </c>
      <c r="T641" s="24" t="str">
        <f aca="false">IF($N641="","",IFERROR(INDEX(VAT_Codes!$C:$C,MATCH($N641,VAT_Codes!$A:$A,0)),"")&amp;"")</f>
        <v/>
      </c>
      <c r="U641" s="26" t="n">
        <f aca="false">IF(OR($S641="",$T641="",$T641="None"),0,IF($T641="Output",-$S641,$S641))</f>
        <v>0</v>
      </c>
      <c r="V641" s="27" t="n">
        <f aca="false">IF($N641="",0,IFERROR(INDEX(VAT_Codes!$D:$D,MATCH($N641,VAT_Codes!$A:$A,0)),0))</f>
        <v>0</v>
      </c>
      <c r="W641" s="26" t="n">
        <f aca="false">IF($U641=0,0,IF(IFERROR(INDEX(VAT_Codes!$F:$F,MATCH($N641,VAT_Codes!$A:$A,0)),"N")="Y",$U641,IF($L641&lt;&gt;"",ROUND(ABS($L641)/IF(OR($R641="",$R641=0),1,$R641),2)*SIGN($U641),ROUND($U641*$V641,2))))</f>
        <v>0</v>
      </c>
      <c r="X641" s="24" t="str">
        <f aca="false">IF($N641="","",IFERROR(INDEX(VAT_Codes!$H:$H,MATCH($N641,VAT_Codes!$A:$A,0)),"")&amp;"")</f>
        <v/>
      </c>
      <c r="Y641" s="24" t="str">
        <f aca="false">IF($A641="","",(YEAR($A641)-YEAR(Settings!$C$8))*12+MONTH($A641)-MONTH(Settings!$C$8)+1)</f>
        <v/>
      </c>
      <c r="Z641" s="24" t="str">
        <f aca="false">IF(AND($C641="",$I641="",$J641=""),"",IF($N641="","NO VAT CODE",IF($T641="","UNKNOWN VAT CODE",IF($S641="","MISSING FX RATE",IF(OR($A641&lt;Settings!$C$8,$A641&gt;Settings!$C$9),"OUTSIDE PERIOD",IF(AND(IFERROR(INDEX(VAT_Codes!$E:$E,MATCH($N641,VAT_Codes!$A:$A,0)),"ANY")&lt;&gt;"ANY",$P641=""),"MISSING COUNTERPARTY COUNTRY",IF(AND(IFERROR(INDEX(VAT_Codes!$E:$E,MATCH($N641,VAT_Codes!$A:$A,0)),"ANY")&lt;&gt;"ANY",$P641&lt;&gt;IFERROR(INDEX(VAT_Codes!$E:$E,MATCH($N641,VAT_Codes!$A:$A,0)),"ANY")),"REGION MISMATCH","OK")))))))</f>
        <v/>
      </c>
    </row>
    <row r="642" customFormat="false" ht="15" hidden="false" customHeight="false" outlineLevel="0" collapsed="false">
      <c r="M642" s="24" t="str">
        <f aca="false">IF($C642="","",IFERROR(INDEX(Account_Mapping!$C:$C,MATCH($C642&amp;"",Account_Mapping!$A:$A,0))&amp;"",""))</f>
        <v/>
      </c>
      <c r="N642" s="24" t="str">
        <f aca="false">IF($K642&lt;&gt;"",$K642,$M642)</f>
        <v/>
      </c>
      <c r="O642" s="24" t="str">
        <f aca="false">IF($F642="","",IFERROR(INDEX(Counterparties!$C:$C,MATCH($F642&amp;"",Counterparties!$A:$A,0))&amp;"",""))</f>
        <v/>
      </c>
      <c r="P642" s="24" t="str">
        <f aca="false">IF($O642="","",IF($O642="CY","CY",IF(ISNUMBER(MATCH($O642,Lists!$A:$A,0)),"EU","3RD")))</f>
        <v/>
      </c>
      <c r="Q642" s="24" t="str">
        <f aca="false">IF($F642="","N",IFERROR(IF(INDEX(Counterparties!$E:$E,MATCH($F642&amp;"",Counterparties!$A:$A,0))="Y","Y","N"),"N"))</f>
        <v>N</v>
      </c>
      <c r="R642" s="25" t="n">
        <f aca="false">IF(OR($H642="",$H642="EUR"),1,IFERROR(INDEX(FX_Rates!$D:$D,MATCH($H642,FX_Rates!$A:$A,0)),""))</f>
        <v>1</v>
      </c>
      <c r="S642" s="26" t="str">
        <f aca="false">IF(AND($I642="",$J642=""),"",IF($J642&lt;&gt;"",$J642,IF(OR($R642="",$R642=0),"",ROUND($I642/$R642,2))))</f>
        <v/>
      </c>
      <c r="T642" s="24" t="str">
        <f aca="false">IF($N642="","",IFERROR(INDEX(VAT_Codes!$C:$C,MATCH($N642,VAT_Codes!$A:$A,0)),"")&amp;"")</f>
        <v/>
      </c>
      <c r="U642" s="26" t="n">
        <f aca="false">IF(OR($S642="",$T642="",$T642="None"),0,IF($T642="Output",-$S642,$S642))</f>
        <v>0</v>
      </c>
      <c r="V642" s="27" t="n">
        <f aca="false">IF($N642="",0,IFERROR(INDEX(VAT_Codes!$D:$D,MATCH($N642,VAT_Codes!$A:$A,0)),0))</f>
        <v>0</v>
      </c>
      <c r="W642" s="26" t="n">
        <f aca="false">IF($U642=0,0,IF(IFERROR(INDEX(VAT_Codes!$F:$F,MATCH($N642,VAT_Codes!$A:$A,0)),"N")="Y",$U642,IF($L642&lt;&gt;"",ROUND(ABS($L642)/IF(OR($R642="",$R642=0),1,$R642),2)*SIGN($U642),ROUND($U642*$V642,2))))</f>
        <v>0</v>
      </c>
      <c r="X642" s="24" t="str">
        <f aca="false">IF($N642="","",IFERROR(INDEX(VAT_Codes!$H:$H,MATCH($N642,VAT_Codes!$A:$A,0)),"")&amp;"")</f>
        <v/>
      </c>
      <c r="Y642" s="24" t="str">
        <f aca="false">IF($A642="","",(YEAR($A642)-YEAR(Settings!$C$8))*12+MONTH($A642)-MONTH(Settings!$C$8)+1)</f>
        <v/>
      </c>
      <c r="Z642" s="24" t="str">
        <f aca="false">IF(AND($C642="",$I642="",$J642=""),"",IF($N642="","NO VAT CODE",IF($T642="","UNKNOWN VAT CODE",IF($S642="","MISSING FX RATE",IF(OR($A642&lt;Settings!$C$8,$A642&gt;Settings!$C$9),"OUTSIDE PERIOD",IF(AND(IFERROR(INDEX(VAT_Codes!$E:$E,MATCH($N642,VAT_Codes!$A:$A,0)),"ANY")&lt;&gt;"ANY",$P642=""),"MISSING COUNTERPARTY COUNTRY",IF(AND(IFERROR(INDEX(VAT_Codes!$E:$E,MATCH($N642,VAT_Codes!$A:$A,0)),"ANY")&lt;&gt;"ANY",$P642&lt;&gt;IFERROR(INDEX(VAT_Codes!$E:$E,MATCH($N642,VAT_Codes!$A:$A,0)),"ANY")),"REGION MISMATCH","OK")))))))</f>
        <v/>
      </c>
    </row>
    <row r="643" customFormat="false" ht="15" hidden="false" customHeight="false" outlineLevel="0" collapsed="false">
      <c r="M643" s="24" t="str">
        <f aca="false">IF($C643="","",IFERROR(INDEX(Account_Mapping!$C:$C,MATCH($C643&amp;"",Account_Mapping!$A:$A,0))&amp;"",""))</f>
        <v/>
      </c>
      <c r="N643" s="24" t="str">
        <f aca="false">IF($K643&lt;&gt;"",$K643,$M643)</f>
        <v/>
      </c>
      <c r="O643" s="24" t="str">
        <f aca="false">IF($F643="","",IFERROR(INDEX(Counterparties!$C:$C,MATCH($F643&amp;"",Counterparties!$A:$A,0))&amp;"",""))</f>
        <v/>
      </c>
      <c r="P643" s="24" t="str">
        <f aca="false">IF($O643="","",IF($O643="CY","CY",IF(ISNUMBER(MATCH($O643,Lists!$A:$A,0)),"EU","3RD")))</f>
        <v/>
      </c>
      <c r="Q643" s="24" t="str">
        <f aca="false">IF($F643="","N",IFERROR(IF(INDEX(Counterparties!$E:$E,MATCH($F643&amp;"",Counterparties!$A:$A,0))="Y","Y","N"),"N"))</f>
        <v>N</v>
      </c>
      <c r="R643" s="25" t="n">
        <f aca="false">IF(OR($H643="",$H643="EUR"),1,IFERROR(INDEX(FX_Rates!$D:$D,MATCH($H643,FX_Rates!$A:$A,0)),""))</f>
        <v>1</v>
      </c>
      <c r="S643" s="26" t="str">
        <f aca="false">IF(AND($I643="",$J643=""),"",IF($J643&lt;&gt;"",$J643,IF(OR($R643="",$R643=0),"",ROUND($I643/$R643,2))))</f>
        <v/>
      </c>
      <c r="T643" s="24" t="str">
        <f aca="false">IF($N643="","",IFERROR(INDEX(VAT_Codes!$C:$C,MATCH($N643,VAT_Codes!$A:$A,0)),"")&amp;"")</f>
        <v/>
      </c>
      <c r="U643" s="26" t="n">
        <f aca="false">IF(OR($S643="",$T643="",$T643="None"),0,IF($T643="Output",-$S643,$S643))</f>
        <v>0</v>
      </c>
      <c r="V643" s="27" t="n">
        <f aca="false">IF($N643="",0,IFERROR(INDEX(VAT_Codes!$D:$D,MATCH($N643,VAT_Codes!$A:$A,0)),0))</f>
        <v>0</v>
      </c>
      <c r="W643" s="26" t="n">
        <f aca="false">IF($U643=0,0,IF(IFERROR(INDEX(VAT_Codes!$F:$F,MATCH($N643,VAT_Codes!$A:$A,0)),"N")="Y",$U643,IF($L643&lt;&gt;"",ROUND(ABS($L643)/IF(OR($R643="",$R643=0),1,$R643),2)*SIGN($U643),ROUND($U643*$V643,2))))</f>
        <v>0</v>
      </c>
      <c r="X643" s="24" t="str">
        <f aca="false">IF($N643="","",IFERROR(INDEX(VAT_Codes!$H:$H,MATCH($N643,VAT_Codes!$A:$A,0)),"")&amp;"")</f>
        <v/>
      </c>
      <c r="Y643" s="24" t="str">
        <f aca="false">IF($A643="","",(YEAR($A643)-YEAR(Settings!$C$8))*12+MONTH($A643)-MONTH(Settings!$C$8)+1)</f>
        <v/>
      </c>
      <c r="Z643" s="24" t="str">
        <f aca="false">IF(AND($C643="",$I643="",$J643=""),"",IF($N643="","NO VAT CODE",IF($T643="","UNKNOWN VAT CODE",IF($S643="","MISSING FX RATE",IF(OR($A643&lt;Settings!$C$8,$A643&gt;Settings!$C$9),"OUTSIDE PERIOD",IF(AND(IFERROR(INDEX(VAT_Codes!$E:$E,MATCH($N643,VAT_Codes!$A:$A,0)),"ANY")&lt;&gt;"ANY",$P643=""),"MISSING COUNTERPARTY COUNTRY",IF(AND(IFERROR(INDEX(VAT_Codes!$E:$E,MATCH($N643,VAT_Codes!$A:$A,0)),"ANY")&lt;&gt;"ANY",$P643&lt;&gt;IFERROR(INDEX(VAT_Codes!$E:$E,MATCH($N643,VAT_Codes!$A:$A,0)),"ANY")),"REGION MISMATCH","OK")))))))</f>
        <v/>
      </c>
    </row>
    <row r="644" customFormat="false" ht="15" hidden="false" customHeight="false" outlineLevel="0" collapsed="false">
      <c r="M644" s="24" t="str">
        <f aca="false">IF($C644="","",IFERROR(INDEX(Account_Mapping!$C:$C,MATCH($C644&amp;"",Account_Mapping!$A:$A,0))&amp;"",""))</f>
        <v/>
      </c>
      <c r="N644" s="24" t="str">
        <f aca="false">IF($K644&lt;&gt;"",$K644,$M644)</f>
        <v/>
      </c>
      <c r="O644" s="24" t="str">
        <f aca="false">IF($F644="","",IFERROR(INDEX(Counterparties!$C:$C,MATCH($F644&amp;"",Counterparties!$A:$A,0))&amp;"",""))</f>
        <v/>
      </c>
      <c r="P644" s="24" t="str">
        <f aca="false">IF($O644="","",IF($O644="CY","CY",IF(ISNUMBER(MATCH($O644,Lists!$A:$A,0)),"EU","3RD")))</f>
        <v/>
      </c>
      <c r="Q644" s="24" t="str">
        <f aca="false">IF($F644="","N",IFERROR(IF(INDEX(Counterparties!$E:$E,MATCH($F644&amp;"",Counterparties!$A:$A,0))="Y","Y","N"),"N"))</f>
        <v>N</v>
      </c>
      <c r="R644" s="25" t="n">
        <f aca="false">IF(OR($H644="",$H644="EUR"),1,IFERROR(INDEX(FX_Rates!$D:$D,MATCH($H644,FX_Rates!$A:$A,0)),""))</f>
        <v>1</v>
      </c>
      <c r="S644" s="26" t="str">
        <f aca="false">IF(AND($I644="",$J644=""),"",IF($J644&lt;&gt;"",$J644,IF(OR($R644="",$R644=0),"",ROUND($I644/$R644,2))))</f>
        <v/>
      </c>
      <c r="T644" s="24" t="str">
        <f aca="false">IF($N644="","",IFERROR(INDEX(VAT_Codes!$C:$C,MATCH($N644,VAT_Codes!$A:$A,0)),"")&amp;"")</f>
        <v/>
      </c>
      <c r="U644" s="26" t="n">
        <f aca="false">IF(OR($S644="",$T644="",$T644="None"),0,IF($T644="Output",-$S644,$S644))</f>
        <v>0</v>
      </c>
      <c r="V644" s="27" t="n">
        <f aca="false">IF($N644="",0,IFERROR(INDEX(VAT_Codes!$D:$D,MATCH($N644,VAT_Codes!$A:$A,0)),0))</f>
        <v>0</v>
      </c>
      <c r="W644" s="26" t="n">
        <f aca="false">IF($U644=0,0,IF(IFERROR(INDEX(VAT_Codes!$F:$F,MATCH($N644,VAT_Codes!$A:$A,0)),"N")="Y",$U644,IF($L644&lt;&gt;"",ROUND(ABS($L644)/IF(OR($R644="",$R644=0),1,$R644),2)*SIGN($U644),ROUND($U644*$V644,2))))</f>
        <v>0</v>
      </c>
      <c r="X644" s="24" t="str">
        <f aca="false">IF($N644="","",IFERROR(INDEX(VAT_Codes!$H:$H,MATCH($N644,VAT_Codes!$A:$A,0)),"")&amp;"")</f>
        <v/>
      </c>
      <c r="Y644" s="24" t="str">
        <f aca="false">IF($A644="","",(YEAR($A644)-YEAR(Settings!$C$8))*12+MONTH($A644)-MONTH(Settings!$C$8)+1)</f>
        <v/>
      </c>
      <c r="Z644" s="24" t="str">
        <f aca="false">IF(AND($C644="",$I644="",$J644=""),"",IF($N644="","NO VAT CODE",IF($T644="","UNKNOWN VAT CODE",IF($S644="","MISSING FX RATE",IF(OR($A644&lt;Settings!$C$8,$A644&gt;Settings!$C$9),"OUTSIDE PERIOD",IF(AND(IFERROR(INDEX(VAT_Codes!$E:$E,MATCH($N644,VAT_Codes!$A:$A,0)),"ANY")&lt;&gt;"ANY",$P644=""),"MISSING COUNTERPARTY COUNTRY",IF(AND(IFERROR(INDEX(VAT_Codes!$E:$E,MATCH($N644,VAT_Codes!$A:$A,0)),"ANY")&lt;&gt;"ANY",$P644&lt;&gt;IFERROR(INDEX(VAT_Codes!$E:$E,MATCH($N644,VAT_Codes!$A:$A,0)),"ANY")),"REGION MISMATCH","OK")))))))</f>
        <v/>
      </c>
    </row>
    <row r="645" customFormat="false" ht="15" hidden="false" customHeight="false" outlineLevel="0" collapsed="false">
      <c r="M645" s="24" t="str">
        <f aca="false">IF($C645="","",IFERROR(INDEX(Account_Mapping!$C:$C,MATCH($C645&amp;"",Account_Mapping!$A:$A,0))&amp;"",""))</f>
        <v/>
      </c>
      <c r="N645" s="24" t="str">
        <f aca="false">IF($K645&lt;&gt;"",$K645,$M645)</f>
        <v/>
      </c>
      <c r="O645" s="24" t="str">
        <f aca="false">IF($F645="","",IFERROR(INDEX(Counterparties!$C:$C,MATCH($F645&amp;"",Counterparties!$A:$A,0))&amp;"",""))</f>
        <v/>
      </c>
      <c r="P645" s="24" t="str">
        <f aca="false">IF($O645="","",IF($O645="CY","CY",IF(ISNUMBER(MATCH($O645,Lists!$A:$A,0)),"EU","3RD")))</f>
        <v/>
      </c>
      <c r="Q645" s="24" t="str">
        <f aca="false">IF($F645="","N",IFERROR(IF(INDEX(Counterparties!$E:$E,MATCH($F645&amp;"",Counterparties!$A:$A,0))="Y","Y","N"),"N"))</f>
        <v>N</v>
      </c>
      <c r="R645" s="25" t="n">
        <f aca="false">IF(OR($H645="",$H645="EUR"),1,IFERROR(INDEX(FX_Rates!$D:$D,MATCH($H645,FX_Rates!$A:$A,0)),""))</f>
        <v>1</v>
      </c>
      <c r="S645" s="26" t="str">
        <f aca="false">IF(AND($I645="",$J645=""),"",IF($J645&lt;&gt;"",$J645,IF(OR($R645="",$R645=0),"",ROUND($I645/$R645,2))))</f>
        <v/>
      </c>
      <c r="T645" s="24" t="str">
        <f aca="false">IF($N645="","",IFERROR(INDEX(VAT_Codes!$C:$C,MATCH($N645,VAT_Codes!$A:$A,0)),"")&amp;"")</f>
        <v/>
      </c>
      <c r="U645" s="26" t="n">
        <f aca="false">IF(OR($S645="",$T645="",$T645="None"),0,IF($T645="Output",-$S645,$S645))</f>
        <v>0</v>
      </c>
      <c r="V645" s="27" t="n">
        <f aca="false">IF($N645="",0,IFERROR(INDEX(VAT_Codes!$D:$D,MATCH($N645,VAT_Codes!$A:$A,0)),0))</f>
        <v>0</v>
      </c>
      <c r="W645" s="26" t="n">
        <f aca="false">IF($U645=0,0,IF(IFERROR(INDEX(VAT_Codes!$F:$F,MATCH($N645,VAT_Codes!$A:$A,0)),"N")="Y",$U645,IF($L645&lt;&gt;"",ROUND(ABS($L645)/IF(OR($R645="",$R645=0),1,$R645),2)*SIGN($U645),ROUND($U645*$V645,2))))</f>
        <v>0</v>
      </c>
      <c r="X645" s="24" t="str">
        <f aca="false">IF($N645="","",IFERROR(INDEX(VAT_Codes!$H:$H,MATCH($N645,VAT_Codes!$A:$A,0)),"")&amp;"")</f>
        <v/>
      </c>
      <c r="Y645" s="24" t="str">
        <f aca="false">IF($A645="","",(YEAR($A645)-YEAR(Settings!$C$8))*12+MONTH($A645)-MONTH(Settings!$C$8)+1)</f>
        <v/>
      </c>
      <c r="Z645" s="24" t="str">
        <f aca="false">IF(AND($C645="",$I645="",$J645=""),"",IF($N645="","NO VAT CODE",IF($T645="","UNKNOWN VAT CODE",IF($S645="","MISSING FX RATE",IF(OR($A645&lt;Settings!$C$8,$A645&gt;Settings!$C$9),"OUTSIDE PERIOD",IF(AND(IFERROR(INDEX(VAT_Codes!$E:$E,MATCH($N645,VAT_Codes!$A:$A,0)),"ANY")&lt;&gt;"ANY",$P645=""),"MISSING COUNTERPARTY COUNTRY",IF(AND(IFERROR(INDEX(VAT_Codes!$E:$E,MATCH($N645,VAT_Codes!$A:$A,0)),"ANY")&lt;&gt;"ANY",$P645&lt;&gt;IFERROR(INDEX(VAT_Codes!$E:$E,MATCH($N645,VAT_Codes!$A:$A,0)),"ANY")),"REGION MISMATCH","OK")))))))</f>
        <v/>
      </c>
    </row>
    <row r="646" customFormat="false" ht="15" hidden="false" customHeight="false" outlineLevel="0" collapsed="false">
      <c r="M646" s="24" t="str">
        <f aca="false">IF($C646="","",IFERROR(INDEX(Account_Mapping!$C:$C,MATCH($C646&amp;"",Account_Mapping!$A:$A,0))&amp;"",""))</f>
        <v/>
      </c>
      <c r="N646" s="24" t="str">
        <f aca="false">IF($K646&lt;&gt;"",$K646,$M646)</f>
        <v/>
      </c>
      <c r="O646" s="24" t="str">
        <f aca="false">IF($F646="","",IFERROR(INDEX(Counterparties!$C:$C,MATCH($F646&amp;"",Counterparties!$A:$A,0))&amp;"",""))</f>
        <v/>
      </c>
      <c r="P646" s="24" t="str">
        <f aca="false">IF($O646="","",IF($O646="CY","CY",IF(ISNUMBER(MATCH($O646,Lists!$A:$A,0)),"EU","3RD")))</f>
        <v/>
      </c>
      <c r="Q646" s="24" t="str">
        <f aca="false">IF($F646="","N",IFERROR(IF(INDEX(Counterparties!$E:$E,MATCH($F646&amp;"",Counterparties!$A:$A,0))="Y","Y","N"),"N"))</f>
        <v>N</v>
      </c>
      <c r="R646" s="25" t="n">
        <f aca="false">IF(OR($H646="",$H646="EUR"),1,IFERROR(INDEX(FX_Rates!$D:$D,MATCH($H646,FX_Rates!$A:$A,0)),""))</f>
        <v>1</v>
      </c>
      <c r="S646" s="26" t="str">
        <f aca="false">IF(AND($I646="",$J646=""),"",IF($J646&lt;&gt;"",$J646,IF(OR($R646="",$R646=0),"",ROUND($I646/$R646,2))))</f>
        <v/>
      </c>
      <c r="T646" s="24" t="str">
        <f aca="false">IF($N646="","",IFERROR(INDEX(VAT_Codes!$C:$C,MATCH($N646,VAT_Codes!$A:$A,0)),"")&amp;"")</f>
        <v/>
      </c>
      <c r="U646" s="26" t="n">
        <f aca="false">IF(OR($S646="",$T646="",$T646="None"),0,IF($T646="Output",-$S646,$S646))</f>
        <v>0</v>
      </c>
      <c r="V646" s="27" t="n">
        <f aca="false">IF($N646="",0,IFERROR(INDEX(VAT_Codes!$D:$D,MATCH($N646,VAT_Codes!$A:$A,0)),0))</f>
        <v>0</v>
      </c>
      <c r="W646" s="26" t="n">
        <f aca="false">IF($U646=0,0,IF(IFERROR(INDEX(VAT_Codes!$F:$F,MATCH($N646,VAT_Codes!$A:$A,0)),"N")="Y",$U646,IF($L646&lt;&gt;"",ROUND(ABS($L646)/IF(OR($R646="",$R646=0),1,$R646),2)*SIGN($U646),ROUND($U646*$V646,2))))</f>
        <v>0</v>
      </c>
      <c r="X646" s="24" t="str">
        <f aca="false">IF($N646="","",IFERROR(INDEX(VAT_Codes!$H:$H,MATCH($N646,VAT_Codes!$A:$A,0)),"")&amp;"")</f>
        <v/>
      </c>
      <c r="Y646" s="24" t="str">
        <f aca="false">IF($A646="","",(YEAR($A646)-YEAR(Settings!$C$8))*12+MONTH($A646)-MONTH(Settings!$C$8)+1)</f>
        <v/>
      </c>
      <c r="Z646" s="24" t="str">
        <f aca="false">IF(AND($C646="",$I646="",$J646=""),"",IF($N646="","NO VAT CODE",IF($T646="","UNKNOWN VAT CODE",IF($S646="","MISSING FX RATE",IF(OR($A646&lt;Settings!$C$8,$A646&gt;Settings!$C$9),"OUTSIDE PERIOD",IF(AND(IFERROR(INDEX(VAT_Codes!$E:$E,MATCH($N646,VAT_Codes!$A:$A,0)),"ANY")&lt;&gt;"ANY",$P646=""),"MISSING COUNTERPARTY COUNTRY",IF(AND(IFERROR(INDEX(VAT_Codes!$E:$E,MATCH($N646,VAT_Codes!$A:$A,0)),"ANY")&lt;&gt;"ANY",$P646&lt;&gt;IFERROR(INDEX(VAT_Codes!$E:$E,MATCH($N646,VAT_Codes!$A:$A,0)),"ANY")),"REGION MISMATCH","OK")))))))</f>
        <v/>
      </c>
    </row>
    <row r="647" customFormat="false" ht="15" hidden="false" customHeight="false" outlineLevel="0" collapsed="false">
      <c r="M647" s="24" t="str">
        <f aca="false">IF($C647="","",IFERROR(INDEX(Account_Mapping!$C:$C,MATCH($C647&amp;"",Account_Mapping!$A:$A,0))&amp;"",""))</f>
        <v/>
      </c>
      <c r="N647" s="24" t="str">
        <f aca="false">IF($K647&lt;&gt;"",$K647,$M647)</f>
        <v/>
      </c>
      <c r="O647" s="24" t="str">
        <f aca="false">IF($F647="","",IFERROR(INDEX(Counterparties!$C:$C,MATCH($F647&amp;"",Counterparties!$A:$A,0))&amp;"",""))</f>
        <v/>
      </c>
      <c r="P647" s="24" t="str">
        <f aca="false">IF($O647="","",IF($O647="CY","CY",IF(ISNUMBER(MATCH($O647,Lists!$A:$A,0)),"EU","3RD")))</f>
        <v/>
      </c>
      <c r="Q647" s="24" t="str">
        <f aca="false">IF($F647="","N",IFERROR(IF(INDEX(Counterparties!$E:$E,MATCH($F647&amp;"",Counterparties!$A:$A,0))="Y","Y","N"),"N"))</f>
        <v>N</v>
      </c>
      <c r="R647" s="25" t="n">
        <f aca="false">IF(OR($H647="",$H647="EUR"),1,IFERROR(INDEX(FX_Rates!$D:$D,MATCH($H647,FX_Rates!$A:$A,0)),""))</f>
        <v>1</v>
      </c>
      <c r="S647" s="26" t="str">
        <f aca="false">IF(AND($I647="",$J647=""),"",IF($J647&lt;&gt;"",$J647,IF(OR($R647="",$R647=0),"",ROUND($I647/$R647,2))))</f>
        <v/>
      </c>
      <c r="T647" s="24" t="str">
        <f aca="false">IF($N647="","",IFERROR(INDEX(VAT_Codes!$C:$C,MATCH($N647,VAT_Codes!$A:$A,0)),"")&amp;"")</f>
        <v/>
      </c>
      <c r="U647" s="26" t="n">
        <f aca="false">IF(OR($S647="",$T647="",$T647="None"),0,IF($T647="Output",-$S647,$S647))</f>
        <v>0</v>
      </c>
      <c r="V647" s="27" t="n">
        <f aca="false">IF($N647="",0,IFERROR(INDEX(VAT_Codes!$D:$D,MATCH($N647,VAT_Codes!$A:$A,0)),0))</f>
        <v>0</v>
      </c>
      <c r="W647" s="26" t="n">
        <f aca="false">IF($U647=0,0,IF(IFERROR(INDEX(VAT_Codes!$F:$F,MATCH($N647,VAT_Codes!$A:$A,0)),"N")="Y",$U647,IF($L647&lt;&gt;"",ROUND(ABS($L647)/IF(OR($R647="",$R647=0),1,$R647),2)*SIGN($U647),ROUND($U647*$V647,2))))</f>
        <v>0</v>
      </c>
      <c r="X647" s="24" t="str">
        <f aca="false">IF($N647="","",IFERROR(INDEX(VAT_Codes!$H:$H,MATCH($N647,VAT_Codes!$A:$A,0)),"")&amp;"")</f>
        <v/>
      </c>
      <c r="Y647" s="24" t="str">
        <f aca="false">IF($A647="","",(YEAR($A647)-YEAR(Settings!$C$8))*12+MONTH($A647)-MONTH(Settings!$C$8)+1)</f>
        <v/>
      </c>
      <c r="Z647" s="24" t="str">
        <f aca="false">IF(AND($C647="",$I647="",$J647=""),"",IF($N647="","NO VAT CODE",IF($T647="","UNKNOWN VAT CODE",IF($S647="","MISSING FX RATE",IF(OR($A647&lt;Settings!$C$8,$A647&gt;Settings!$C$9),"OUTSIDE PERIOD",IF(AND(IFERROR(INDEX(VAT_Codes!$E:$E,MATCH($N647,VAT_Codes!$A:$A,0)),"ANY")&lt;&gt;"ANY",$P647=""),"MISSING COUNTERPARTY COUNTRY",IF(AND(IFERROR(INDEX(VAT_Codes!$E:$E,MATCH($N647,VAT_Codes!$A:$A,0)),"ANY")&lt;&gt;"ANY",$P647&lt;&gt;IFERROR(INDEX(VAT_Codes!$E:$E,MATCH($N647,VAT_Codes!$A:$A,0)),"ANY")),"REGION MISMATCH","OK")))))))</f>
        <v/>
      </c>
    </row>
    <row r="648" customFormat="false" ht="15" hidden="false" customHeight="false" outlineLevel="0" collapsed="false">
      <c r="M648" s="24" t="str">
        <f aca="false">IF($C648="","",IFERROR(INDEX(Account_Mapping!$C:$C,MATCH($C648&amp;"",Account_Mapping!$A:$A,0))&amp;"",""))</f>
        <v/>
      </c>
      <c r="N648" s="24" t="str">
        <f aca="false">IF($K648&lt;&gt;"",$K648,$M648)</f>
        <v/>
      </c>
      <c r="O648" s="24" t="str">
        <f aca="false">IF($F648="","",IFERROR(INDEX(Counterparties!$C:$C,MATCH($F648&amp;"",Counterparties!$A:$A,0))&amp;"",""))</f>
        <v/>
      </c>
      <c r="P648" s="24" t="str">
        <f aca="false">IF($O648="","",IF($O648="CY","CY",IF(ISNUMBER(MATCH($O648,Lists!$A:$A,0)),"EU","3RD")))</f>
        <v/>
      </c>
      <c r="Q648" s="24" t="str">
        <f aca="false">IF($F648="","N",IFERROR(IF(INDEX(Counterparties!$E:$E,MATCH($F648&amp;"",Counterparties!$A:$A,0))="Y","Y","N"),"N"))</f>
        <v>N</v>
      </c>
      <c r="R648" s="25" t="n">
        <f aca="false">IF(OR($H648="",$H648="EUR"),1,IFERROR(INDEX(FX_Rates!$D:$D,MATCH($H648,FX_Rates!$A:$A,0)),""))</f>
        <v>1</v>
      </c>
      <c r="S648" s="26" t="str">
        <f aca="false">IF(AND($I648="",$J648=""),"",IF($J648&lt;&gt;"",$J648,IF(OR($R648="",$R648=0),"",ROUND($I648/$R648,2))))</f>
        <v/>
      </c>
      <c r="T648" s="24" t="str">
        <f aca="false">IF($N648="","",IFERROR(INDEX(VAT_Codes!$C:$C,MATCH($N648,VAT_Codes!$A:$A,0)),"")&amp;"")</f>
        <v/>
      </c>
      <c r="U648" s="26" t="n">
        <f aca="false">IF(OR($S648="",$T648="",$T648="None"),0,IF($T648="Output",-$S648,$S648))</f>
        <v>0</v>
      </c>
      <c r="V648" s="27" t="n">
        <f aca="false">IF($N648="",0,IFERROR(INDEX(VAT_Codes!$D:$D,MATCH($N648,VAT_Codes!$A:$A,0)),0))</f>
        <v>0</v>
      </c>
      <c r="W648" s="26" t="n">
        <f aca="false">IF($U648=0,0,IF(IFERROR(INDEX(VAT_Codes!$F:$F,MATCH($N648,VAT_Codes!$A:$A,0)),"N")="Y",$U648,IF($L648&lt;&gt;"",ROUND(ABS($L648)/IF(OR($R648="",$R648=0),1,$R648),2)*SIGN($U648),ROUND($U648*$V648,2))))</f>
        <v>0</v>
      </c>
      <c r="X648" s="24" t="str">
        <f aca="false">IF($N648="","",IFERROR(INDEX(VAT_Codes!$H:$H,MATCH($N648,VAT_Codes!$A:$A,0)),"")&amp;"")</f>
        <v/>
      </c>
      <c r="Y648" s="24" t="str">
        <f aca="false">IF($A648="","",(YEAR($A648)-YEAR(Settings!$C$8))*12+MONTH($A648)-MONTH(Settings!$C$8)+1)</f>
        <v/>
      </c>
      <c r="Z648" s="24" t="str">
        <f aca="false">IF(AND($C648="",$I648="",$J648=""),"",IF($N648="","NO VAT CODE",IF($T648="","UNKNOWN VAT CODE",IF($S648="","MISSING FX RATE",IF(OR($A648&lt;Settings!$C$8,$A648&gt;Settings!$C$9),"OUTSIDE PERIOD",IF(AND(IFERROR(INDEX(VAT_Codes!$E:$E,MATCH($N648,VAT_Codes!$A:$A,0)),"ANY")&lt;&gt;"ANY",$P648=""),"MISSING COUNTERPARTY COUNTRY",IF(AND(IFERROR(INDEX(VAT_Codes!$E:$E,MATCH($N648,VAT_Codes!$A:$A,0)),"ANY")&lt;&gt;"ANY",$P648&lt;&gt;IFERROR(INDEX(VAT_Codes!$E:$E,MATCH($N648,VAT_Codes!$A:$A,0)),"ANY")),"REGION MISMATCH","OK")))))))</f>
        <v/>
      </c>
    </row>
    <row r="649" customFormat="false" ht="15" hidden="false" customHeight="false" outlineLevel="0" collapsed="false">
      <c r="M649" s="24" t="str">
        <f aca="false">IF($C649="","",IFERROR(INDEX(Account_Mapping!$C:$C,MATCH($C649&amp;"",Account_Mapping!$A:$A,0))&amp;"",""))</f>
        <v/>
      </c>
      <c r="N649" s="24" t="str">
        <f aca="false">IF($K649&lt;&gt;"",$K649,$M649)</f>
        <v/>
      </c>
      <c r="O649" s="24" t="str">
        <f aca="false">IF($F649="","",IFERROR(INDEX(Counterparties!$C:$C,MATCH($F649&amp;"",Counterparties!$A:$A,0))&amp;"",""))</f>
        <v/>
      </c>
      <c r="P649" s="24" t="str">
        <f aca="false">IF($O649="","",IF($O649="CY","CY",IF(ISNUMBER(MATCH($O649,Lists!$A:$A,0)),"EU","3RD")))</f>
        <v/>
      </c>
      <c r="Q649" s="24" t="str">
        <f aca="false">IF($F649="","N",IFERROR(IF(INDEX(Counterparties!$E:$E,MATCH($F649&amp;"",Counterparties!$A:$A,0))="Y","Y","N"),"N"))</f>
        <v>N</v>
      </c>
      <c r="R649" s="25" t="n">
        <f aca="false">IF(OR($H649="",$H649="EUR"),1,IFERROR(INDEX(FX_Rates!$D:$D,MATCH($H649,FX_Rates!$A:$A,0)),""))</f>
        <v>1</v>
      </c>
      <c r="S649" s="26" t="str">
        <f aca="false">IF(AND($I649="",$J649=""),"",IF($J649&lt;&gt;"",$J649,IF(OR($R649="",$R649=0),"",ROUND($I649/$R649,2))))</f>
        <v/>
      </c>
      <c r="T649" s="24" t="str">
        <f aca="false">IF($N649="","",IFERROR(INDEX(VAT_Codes!$C:$C,MATCH($N649,VAT_Codes!$A:$A,0)),"")&amp;"")</f>
        <v/>
      </c>
      <c r="U649" s="26" t="n">
        <f aca="false">IF(OR($S649="",$T649="",$T649="None"),0,IF($T649="Output",-$S649,$S649))</f>
        <v>0</v>
      </c>
      <c r="V649" s="27" t="n">
        <f aca="false">IF($N649="",0,IFERROR(INDEX(VAT_Codes!$D:$D,MATCH($N649,VAT_Codes!$A:$A,0)),0))</f>
        <v>0</v>
      </c>
      <c r="W649" s="26" t="n">
        <f aca="false">IF($U649=0,0,IF(IFERROR(INDEX(VAT_Codes!$F:$F,MATCH($N649,VAT_Codes!$A:$A,0)),"N")="Y",$U649,IF($L649&lt;&gt;"",ROUND(ABS($L649)/IF(OR($R649="",$R649=0),1,$R649),2)*SIGN($U649),ROUND($U649*$V649,2))))</f>
        <v>0</v>
      </c>
      <c r="X649" s="24" t="str">
        <f aca="false">IF($N649="","",IFERROR(INDEX(VAT_Codes!$H:$H,MATCH($N649,VAT_Codes!$A:$A,0)),"")&amp;"")</f>
        <v/>
      </c>
      <c r="Y649" s="24" t="str">
        <f aca="false">IF($A649="","",(YEAR($A649)-YEAR(Settings!$C$8))*12+MONTH($A649)-MONTH(Settings!$C$8)+1)</f>
        <v/>
      </c>
      <c r="Z649" s="24" t="str">
        <f aca="false">IF(AND($C649="",$I649="",$J649=""),"",IF($N649="","NO VAT CODE",IF($T649="","UNKNOWN VAT CODE",IF($S649="","MISSING FX RATE",IF(OR($A649&lt;Settings!$C$8,$A649&gt;Settings!$C$9),"OUTSIDE PERIOD",IF(AND(IFERROR(INDEX(VAT_Codes!$E:$E,MATCH($N649,VAT_Codes!$A:$A,0)),"ANY")&lt;&gt;"ANY",$P649=""),"MISSING COUNTERPARTY COUNTRY",IF(AND(IFERROR(INDEX(VAT_Codes!$E:$E,MATCH($N649,VAT_Codes!$A:$A,0)),"ANY")&lt;&gt;"ANY",$P649&lt;&gt;IFERROR(INDEX(VAT_Codes!$E:$E,MATCH($N649,VAT_Codes!$A:$A,0)),"ANY")),"REGION MISMATCH","OK")))))))</f>
        <v/>
      </c>
    </row>
    <row r="650" customFormat="false" ht="15" hidden="false" customHeight="false" outlineLevel="0" collapsed="false">
      <c r="M650" s="24" t="str">
        <f aca="false">IF($C650="","",IFERROR(INDEX(Account_Mapping!$C:$C,MATCH($C650&amp;"",Account_Mapping!$A:$A,0))&amp;"",""))</f>
        <v/>
      </c>
      <c r="N650" s="24" t="str">
        <f aca="false">IF($K650&lt;&gt;"",$K650,$M650)</f>
        <v/>
      </c>
      <c r="O650" s="24" t="str">
        <f aca="false">IF($F650="","",IFERROR(INDEX(Counterparties!$C:$C,MATCH($F650&amp;"",Counterparties!$A:$A,0))&amp;"",""))</f>
        <v/>
      </c>
      <c r="P650" s="24" t="str">
        <f aca="false">IF($O650="","",IF($O650="CY","CY",IF(ISNUMBER(MATCH($O650,Lists!$A:$A,0)),"EU","3RD")))</f>
        <v/>
      </c>
      <c r="Q650" s="24" t="str">
        <f aca="false">IF($F650="","N",IFERROR(IF(INDEX(Counterparties!$E:$E,MATCH($F650&amp;"",Counterparties!$A:$A,0))="Y","Y","N"),"N"))</f>
        <v>N</v>
      </c>
      <c r="R650" s="25" t="n">
        <f aca="false">IF(OR($H650="",$H650="EUR"),1,IFERROR(INDEX(FX_Rates!$D:$D,MATCH($H650,FX_Rates!$A:$A,0)),""))</f>
        <v>1</v>
      </c>
      <c r="S650" s="26" t="str">
        <f aca="false">IF(AND($I650="",$J650=""),"",IF($J650&lt;&gt;"",$J650,IF(OR($R650="",$R650=0),"",ROUND($I650/$R650,2))))</f>
        <v/>
      </c>
      <c r="T650" s="24" t="str">
        <f aca="false">IF($N650="","",IFERROR(INDEX(VAT_Codes!$C:$C,MATCH($N650,VAT_Codes!$A:$A,0)),"")&amp;"")</f>
        <v/>
      </c>
      <c r="U650" s="26" t="n">
        <f aca="false">IF(OR($S650="",$T650="",$T650="None"),0,IF($T650="Output",-$S650,$S650))</f>
        <v>0</v>
      </c>
      <c r="V650" s="27" t="n">
        <f aca="false">IF($N650="",0,IFERROR(INDEX(VAT_Codes!$D:$D,MATCH($N650,VAT_Codes!$A:$A,0)),0))</f>
        <v>0</v>
      </c>
      <c r="W650" s="26" t="n">
        <f aca="false">IF($U650=0,0,IF(IFERROR(INDEX(VAT_Codes!$F:$F,MATCH($N650,VAT_Codes!$A:$A,0)),"N")="Y",$U650,IF($L650&lt;&gt;"",ROUND(ABS($L650)/IF(OR($R650="",$R650=0),1,$R650),2)*SIGN($U650),ROUND($U650*$V650,2))))</f>
        <v>0</v>
      </c>
      <c r="X650" s="24" t="str">
        <f aca="false">IF($N650="","",IFERROR(INDEX(VAT_Codes!$H:$H,MATCH($N650,VAT_Codes!$A:$A,0)),"")&amp;"")</f>
        <v/>
      </c>
      <c r="Y650" s="24" t="str">
        <f aca="false">IF($A650="","",(YEAR($A650)-YEAR(Settings!$C$8))*12+MONTH($A650)-MONTH(Settings!$C$8)+1)</f>
        <v/>
      </c>
      <c r="Z650" s="24" t="str">
        <f aca="false">IF(AND($C650="",$I650="",$J650=""),"",IF($N650="","NO VAT CODE",IF($T650="","UNKNOWN VAT CODE",IF($S650="","MISSING FX RATE",IF(OR($A650&lt;Settings!$C$8,$A650&gt;Settings!$C$9),"OUTSIDE PERIOD",IF(AND(IFERROR(INDEX(VAT_Codes!$E:$E,MATCH($N650,VAT_Codes!$A:$A,0)),"ANY")&lt;&gt;"ANY",$P650=""),"MISSING COUNTERPARTY COUNTRY",IF(AND(IFERROR(INDEX(VAT_Codes!$E:$E,MATCH($N650,VAT_Codes!$A:$A,0)),"ANY")&lt;&gt;"ANY",$P650&lt;&gt;IFERROR(INDEX(VAT_Codes!$E:$E,MATCH($N650,VAT_Codes!$A:$A,0)),"ANY")),"REGION MISMATCH","OK")))))))</f>
        <v/>
      </c>
    </row>
    <row r="651" customFormat="false" ht="15" hidden="false" customHeight="false" outlineLevel="0" collapsed="false">
      <c r="M651" s="24" t="str">
        <f aca="false">IF($C651="","",IFERROR(INDEX(Account_Mapping!$C:$C,MATCH($C651&amp;"",Account_Mapping!$A:$A,0))&amp;"",""))</f>
        <v/>
      </c>
      <c r="N651" s="24" t="str">
        <f aca="false">IF($K651&lt;&gt;"",$K651,$M651)</f>
        <v/>
      </c>
      <c r="O651" s="24" t="str">
        <f aca="false">IF($F651="","",IFERROR(INDEX(Counterparties!$C:$C,MATCH($F651&amp;"",Counterparties!$A:$A,0))&amp;"",""))</f>
        <v/>
      </c>
      <c r="P651" s="24" t="str">
        <f aca="false">IF($O651="","",IF($O651="CY","CY",IF(ISNUMBER(MATCH($O651,Lists!$A:$A,0)),"EU","3RD")))</f>
        <v/>
      </c>
      <c r="Q651" s="24" t="str">
        <f aca="false">IF($F651="","N",IFERROR(IF(INDEX(Counterparties!$E:$E,MATCH($F651&amp;"",Counterparties!$A:$A,0))="Y","Y","N"),"N"))</f>
        <v>N</v>
      </c>
      <c r="R651" s="25" t="n">
        <f aca="false">IF(OR($H651="",$H651="EUR"),1,IFERROR(INDEX(FX_Rates!$D:$D,MATCH($H651,FX_Rates!$A:$A,0)),""))</f>
        <v>1</v>
      </c>
      <c r="S651" s="26" t="str">
        <f aca="false">IF(AND($I651="",$J651=""),"",IF($J651&lt;&gt;"",$J651,IF(OR($R651="",$R651=0),"",ROUND($I651/$R651,2))))</f>
        <v/>
      </c>
      <c r="T651" s="24" t="str">
        <f aca="false">IF($N651="","",IFERROR(INDEX(VAT_Codes!$C:$C,MATCH($N651,VAT_Codes!$A:$A,0)),"")&amp;"")</f>
        <v/>
      </c>
      <c r="U651" s="26" t="n">
        <f aca="false">IF(OR($S651="",$T651="",$T651="None"),0,IF($T651="Output",-$S651,$S651))</f>
        <v>0</v>
      </c>
      <c r="V651" s="27" t="n">
        <f aca="false">IF($N651="",0,IFERROR(INDEX(VAT_Codes!$D:$D,MATCH($N651,VAT_Codes!$A:$A,0)),0))</f>
        <v>0</v>
      </c>
      <c r="W651" s="26" t="n">
        <f aca="false">IF($U651=0,0,IF(IFERROR(INDEX(VAT_Codes!$F:$F,MATCH($N651,VAT_Codes!$A:$A,0)),"N")="Y",$U651,IF($L651&lt;&gt;"",ROUND(ABS($L651)/IF(OR($R651="",$R651=0),1,$R651),2)*SIGN($U651),ROUND($U651*$V651,2))))</f>
        <v>0</v>
      </c>
      <c r="X651" s="24" t="str">
        <f aca="false">IF($N651="","",IFERROR(INDEX(VAT_Codes!$H:$H,MATCH($N651,VAT_Codes!$A:$A,0)),"")&amp;"")</f>
        <v/>
      </c>
      <c r="Y651" s="24" t="str">
        <f aca="false">IF($A651="","",(YEAR($A651)-YEAR(Settings!$C$8))*12+MONTH($A651)-MONTH(Settings!$C$8)+1)</f>
        <v/>
      </c>
      <c r="Z651" s="24" t="str">
        <f aca="false">IF(AND($C651="",$I651="",$J651=""),"",IF($N651="","NO VAT CODE",IF($T651="","UNKNOWN VAT CODE",IF($S651="","MISSING FX RATE",IF(OR($A651&lt;Settings!$C$8,$A651&gt;Settings!$C$9),"OUTSIDE PERIOD",IF(AND(IFERROR(INDEX(VAT_Codes!$E:$E,MATCH($N651,VAT_Codes!$A:$A,0)),"ANY")&lt;&gt;"ANY",$P651=""),"MISSING COUNTERPARTY COUNTRY",IF(AND(IFERROR(INDEX(VAT_Codes!$E:$E,MATCH($N651,VAT_Codes!$A:$A,0)),"ANY")&lt;&gt;"ANY",$P651&lt;&gt;IFERROR(INDEX(VAT_Codes!$E:$E,MATCH($N651,VAT_Codes!$A:$A,0)),"ANY")),"REGION MISMATCH","OK")))))))</f>
        <v/>
      </c>
    </row>
    <row r="652" customFormat="false" ht="15" hidden="false" customHeight="false" outlineLevel="0" collapsed="false">
      <c r="M652" s="24" t="str">
        <f aca="false">IF($C652="","",IFERROR(INDEX(Account_Mapping!$C:$C,MATCH($C652&amp;"",Account_Mapping!$A:$A,0))&amp;"",""))</f>
        <v/>
      </c>
      <c r="N652" s="24" t="str">
        <f aca="false">IF($K652&lt;&gt;"",$K652,$M652)</f>
        <v/>
      </c>
      <c r="O652" s="24" t="str">
        <f aca="false">IF($F652="","",IFERROR(INDEX(Counterparties!$C:$C,MATCH($F652&amp;"",Counterparties!$A:$A,0))&amp;"",""))</f>
        <v/>
      </c>
      <c r="P652" s="24" t="str">
        <f aca="false">IF($O652="","",IF($O652="CY","CY",IF(ISNUMBER(MATCH($O652,Lists!$A:$A,0)),"EU","3RD")))</f>
        <v/>
      </c>
      <c r="Q652" s="24" t="str">
        <f aca="false">IF($F652="","N",IFERROR(IF(INDEX(Counterparties!$E:$E,MATCH($F652&amp;"",Counterparties!$A:$A,0))="Y","Y","N"),"N"))</f>
        <v>N</v>
      </c>
      <c r="R652" s="25" t="n">
        <f aca="false">IF(OR($H652="",$H652="EUR"),1,IFERROR(INDEX(FX_Rates!$D:$D,MATCH($H652,FX_Rates!$A:$A,0)),""))</f>
        <v>1</v>
      </c>
      <c r="S652" s="26" t="str">
        <f aca="false">IF(AND($I652="",$J652=""),"",IF($J652&lt;&gt;"",$J652,IF(OR($R652="",$R652=0),"",ROUND($I652/$R652,2))))</f>
        <v/>
      </c>
      <c r="T652" s="24" t="str">
        <f aca="false">IF($N652="","",IFERROR(INDEX(VAT_Codes!$C:$C,MATCH($N652,VAT_Codes!$A:$A,0)),"")&amp;"")</f>
        <v/>
      </c>
      <c r="U652" s="26" t="n">
        <f aca="false">IF(OR($S652="",$T652="",$T652="None"),0,IF($T652="Output",-$S652,$S652))</f>
        <v>0</v>
      </c>
      <c r="V652" s="27" t="n">
        <f aca="false">IF($N652="",0,IFERROR(INDEX(VAT_Codes!$D:$D,MATCH($N652,VAT_Codes!$A:$A,0)),0))</f>
        <v>0</v>
      </c>
      <c r="W652" s="26" t="n">
        <f aca="false">IF($U652=0,0,IF(IFERROR(INDEX(VAT_Codes!$F:$F,MATCH($N652,VAT_Codes!$A:$A,0)),"N")="Y",$U652,IF($L652&lt;&gt;"",ROUND(ABS($L652)/IF(OR($R652="",$R652=0),1,$R652),2)*SIGN($U652),ROUND($U652*$V652,2))))</f>
        <v>0</v>
      </c>
      <c r="X652" s="24" t="str">
        <f aca="false">IF($N652="","",IFERROR(INDEX(VAT_Codes!$H:$H,MATCH($N652,VAT_Codes!$A:$A,0)),"")&amp;"")</f>
        <v/>
      </c>
      <c r="Y652" s="24" t="str">
        <f aca="false">IF($A652="","",(YEAR($A652)-YEAR(Settings!$C$8))*12+MONTH($A652)-MONTH(Settings!$C$8)+1)</f>
        <v/>
      </c>
      <c r="Z652" s="24" t="str">
        <f aca="false">IF(AND($C652="",$I652="",$J652=""),"",IF($N652="","NO VAT CODE",IF($T652="","UNKNOWN VAT CODE",IF($S652="","MISSING FX RATE",IF(OR($A652&lt;Settings!$C$8,$A652&gt;Settings!$C$9),"OUTSIDE PERIOD",IF(AND(IFERROR(INDEX(VAT_Codes!$E:$E,MATCH($N652,VAT_Codes!$A:$A,0)),"ANY")&lt;&gt;"ANY",$P652=""),"MISSING COUNTERPARTY COUNTRY",IF(AND(IFERROR(INDEX(VAT_Codes!$E:$E,MATCH($N652,VAT_Codes!$A:$A,0)),"ANY")&lt;&gt;"ANY",$P652&lt;&gt;IFERROR(INDEX(VAT_Codes!$E:$E,MATCH($N652,VAT_Codes!$A:$A,0)),"ANY")),"REGION MISMATCH","OK")))))))</f>
        <v/>
      </c>
    </row>
    <row r="653" customFormat="false" ht="15" hidden="false" customHeight="false" outlineLevel="0" collapsed="false">
      <c r="M653" s="24" t="str">
        <f aca="false">IF($C653="","",IFERROR(INDEX(Account_Mapping!$C:$C,MATCH($C653&amp;"",Account_Mapping!$A:$A,0))&amp;"",""))</f>
        <v/>
      </c>
      <c r="N653" s="24" t="str">
        <f aca="false">IF($K653&lt;&gt;"",$K653,$M653)</f>
        <v/>
      </c>
      <c r="O653" s="24" t="str">
        <f aca="false">IF($F653="","",IFERROR(INDEX(Counterparties!$C:$C,MATCH($F653&amp;"",Counterparties!$A:$A,0))&amp;"",""))</f>
        <v/>
      </c>
      <c r="P653" s="24" t="str">
        <f aca="false">IF($O653="","",IF($O653="CY","CY",IF(ISNUMBER(MATCH($O653,Lists!$A:$A,0)),"EU","3RD")))</f>
        <v/>
      </c>
      <c r="Q653" s="24" t="str">
        <f aca="false">IF($F653="","N",IFERROR(IF(INDEX(Counterparties!$E:$E,MATCH($F653&amp;"",Counterparties!$A:$A,0))="Y","Y","N"),"N"))</f>
        <v>N</v>
      </c>
      <c r="R653" s="25" t="n">
        <f aca="false">IF(OR($H653="",$H653="EUR"),1,IFERROR(INDEX(FX_Rates!$D:$D,MATCH($H653,FX_Rates!$A:$A,0)),""))</f>
        <v>1</v>
      </c>
      <c r="S653" s="26" t="str">
        <f aca="false">IF(AND($I653="",$J653=""),"",IF($J653&lt;&gt;"",$J653,IF(OR($R653="",$R653=0),"",ROUND($I653/$R653,2))))</f>
        <v/>
      </c>
      <c r="T653" s="24" t="str">
        <f aca="false">IF($N653="","",IFERROR(INDEX(VAT_Codes!$C:$C,MATCH($N653,VAT_Codes!$A:$A,0)),"")&amp;"")</f>
        <v/>
      </c>
      <c r="U653" s="26" t="n">
        <f aca="false">IF(OR($S653="",$T653="",$T653="None"),0,IF($T653="Output",-$S653,$S653))</f>
        <v>0</v>
      </c>
      <c r="V653" s="27" t="n">
        <f aca="false">IF($N653="",0,IFERROR(INDEX(VAT_Codes!$D:$D,MATCH($N653,VAT_Codes!$A:$A,0)),0))</f>
        <v>0</v>
      </c>
      <c r="W653" s="26" t="n">
        <f aca="false">IF($U653=0,0,IF(IFERROR(INDEX(VAT_Codes!$F:$F,MATCH($N653,VAT_Codes!$A:$A,0)),"N")="Y",$U653,IF($L653&lt;&gt;"",ROUND(ABS($L653)/IF(OR($R653="",$R653=0),1,$R653),2)*SIGN($U653),ROUND($U653*$V653,2))))</f>
        <v>0</v>
      </c>
      <c r="X653" s="24" t="str">
        <f aca="false">IF($N653="","",IFERROR(INDEX(VAT_Codes!$H:$H,MATCH($N653,VAT_Codes!$A:$A,0)),"")&amp;"")</f>
        <v/>
      </c>
      <c r="Y653" s="24" t="str">
        <f aca="false">IF($A653="","",(YEAR($A653)-YEAR(Settings!$C$8))*12+MONTH($A653)-MONTH(Settings!$C$8)+1)</f>
        <v/>
      </c>
      <c r="Z653" s="24" t="str">
        <f aca="false">IF(AND($C653="",$I653="",$J653=""),"",IF($N653="","NO VAT CODE",IF($T653="","UNKNOWN VAT CODE",IF($S653="","MISSING FX RATE",IF(OR($A653&lt;Settings!$C$8,$A653&gt;Settings!$C$9),"OUTSIDE PERIOD",IF(AND(IFERROR(INDEX(VAT_Codes!$E:$E,MATCH($N653,VAT_Codes!$A:$A,0)),"ANY")&lt;&gt;"ANY",$P653=""),"MISSING COUNTERPARTY COUNTRY",IF(AND(IFERROR(INDEX(VAT_Codes!$E:$E,MATCH($N653,VAT_Codes!$A:$A,0)),"ANY")&lt;&gt;"ANY",$P653&lt;&gt;IFERROR(INDEX(VAT_Codes!$E:$E,MATCH($N653,VAT_Codes!$A:$A,0)),"ANY")),"REGION MISMATCH","OK")))))))</f>
        <v/>
      </c>
    </row>
    <row r="654" customFormat="false" ht="15" hidden="false" customHeight="false" outlineLevel="0" collapsed="false">
      <c r="M654" s="24" t="str">
        <f aca="false">IF($C654="","",IFERROR(INDEX(Account_Mapping!$C:$C,MATCH($C654&amp;"",Account_Mapping!$A:$A,0))&amp;"",""))</f>
        <v/>
      </c>
      <c r="N654" s="24" t="str">
        <f aca="false">IF($K654&lt;&gt;"",$K654,$M654)</f>
        <v/>
      </c>
      <c r="O654" s="24" t="str">
        <f aca="false">IF($F654="","",IFERROR(INDEX(Counterparties!$C:$C,MATCH($F654&amp;"",Counterparties!$A:$A,0))&amp;"",""))</f>
        <v/>
      </c>
      <c r="P654" s="24" t="str">
        <f aca="false">IF($O654="","",IF($O654="CY","CY",IF(ISNUMBER(MATCH($O654,Lists!$A:$A,0)),"EU","3RD")))</f>
        <v/>
      </c>
      <c r="Q654" s="24" t="str">
        <f aca="false">IF($F654="","N",IFERROR(IF(INDEX(Counterparties!$E:$E,MATCH($F654&amp;"",Counterparties!$A:$A,0))="Y","Y","N"),"N"))</f>
        <v>N</v>
      </c>
      <c r="R654" s="25" t="n">
        <f aca="false">IF(OR($H654="",$H654="EUR"),1,IFERROR(INDEX(FX_Rates!$D:$D,MATCH($H654,FX_Rates!$A:$A,0)),""))</f>
        <v>1</v>
      </c>
      <c r="S654" s="26" t="str">
        <f aca="false">IF(AND($I654="",$J654=""),"",IF($J654&lt;&gt;"",$J654,IF(OR($R654="",$R654=0),"",ROUND($I654/$R654,2))))</f>
        <v/>
      </c>
      <c r="T654" s="24" t="str">
        <f aca="false">IF($N654="","",IFERROR(INDEX(VAT_Codes!$C:$C,MATCH($N654,VAT_Codes!$A:$A,0)),"")&amp;"")</f>
        <v/>
      </c>
      <c r="U654" s="26" t="n">
        <f aca="false">IF(OR($S654="",$T654="",$T654="None"),0,IF($T654="Output",-$S654,$S654))</f>
        <v>0</v>
      </c>
      <c r="V654" s="27" t="n">
        <f aca="false">IF($N654="",0,IFERROR(INDEX(VAT_Codes!$D:$D,MATCH($N654,VAT_Codes!$A:$A,0)),0))</f>
        <v>0</v>
      </c>
      <c r="W654" s="26" t="n">
        <f aca="false">IF($U654=0,0,IF(IFERROR(INDEX(VAT_Codes!$F:$F,MATCH($N654,VAT_Codes!$A:$A,0)),"N")="Y",$U654,IF($L654&lt;&gt;"",ROUND(ABS($L654)/IF(OR($R654="",$R654=0),1,$R654),2)*SIGN($U654),ROUND($U654*$V654,2))))</f>
        <v>0</v>
      </c>
      <c r="X654" s="24" t="str">
        <f aca="false">IF($N654="","",IFERROR(INDEX(VAT_Codes!$H:$H,MATCH($N654,VAT_Codes!$A:$A,0)),"")&amp;"")</f>
        <v/>
      </c>
      <c r="Y654" s="24" t="str">
        <f aca="false">IF($A654="","",(YEAR($A654)-YEAR(Settings!$C$8))*12+MONTH($A654)-MONTH(Settings!$C$8)+1)</f>
        <v/>
      </c>
      <c r="Z654" s="24" t="str">
        <f aca="false">IF(AND($C654="",$I654="",$J654=""),"",IF($N654="","NO VAT CODE",IF($T654="","UNKNOWN VAT CODE",IF($S654="","MISSING FX RATE",IF(OR($A654&lt;Settings!$C$8,$A654&gt;Settings!$C$9),"OUTSIDE PERIOD",IF(AND(IFERROR(INDEX(VAT_Codes!$E:$E,MATCH($N654,VAT_Codes!$A:$A,0)),"ANY")&lt;&gt;"ANY",$P654=""),"MISSING COUNTERPARTY COUNTRY",IF(AND(IFERROR(INDEX(VAT_Codes!$E:$E,MATCH($N654,VAT_Codes!$A:$A,0)),"ANY")&lt;&gt;"ANY",$P654&lt;&gt;IFERROR(INDEX(VAT_Codes!$E:$E,MATCH($N654,VAT_Codes!$A:$A,0)),"ANY")),"REGION MISMATCH","OK")))))))</f>
        <v/>
      </c>
    </row>
    <row r="655" customFormat="false" ht="15" hidden="false" customHeight="false" outlineLevel="0" collapsed="false">
      <c r="M655" s="24" t="str">
        <f aca="false">IF($C655="","",IFERROR(INDEX(Account_Mapping!$C:$C,MATCH($C655&amp;"",Account_Mapping!$A:$A,0))&amp;"",""))</f>
        <v/>
      </c>
      <c r="N655" s="24" t="str">
        <f aca="false">IF($K655&lt;&gt;"",$K655,$M655)</f>
        <v/>
      </c>
      <c r="O655" s="24" t="str">
        <f aca="false">IF($F655="","",IFERROR(INDEX(Counterparties!$C:$C,MATCH($F655&amp;"",Counterparties!$A:$A,0))&amp;"",""))</f>
        <v/>
      </c>
      <c r="P655" s="24" t="str">
        <f aca="false">IF($O655="","",IF($O655="CY","CY",IF(ISNUMBER(MATCH($O655,Lists!$A:$A,0)),"EU","3RD")))</f>
        <v/>
      </c>
      <c r="Q655" s="24" t="str">
        <f aca="false">IF($F655="","N",IFERROR(IF(INDEX(Counterparties!$E:$E,MATCH($F655&amp;"",Counterparties!$A:$A,0))="Y","Y","N"),"N"))</f>
        <v>N</v>
      </c>
      <c r="R655" s="25" t="n">
        <f aca="false">IF(OR($H655="",$H655="EUR"),1,IFERROR(INDEX(FX_Rates!$D:$D,MATCH($H655,FX_Rates!$A:$A,0)),""))</f>
        <v>1</v>
      </c>
      <c r="S655" s="26" t="str">
        <f aca="false">IF(AND($I655="",$J655=""),"",IF($J655&lt;&gt;"",$J655,IF(OR($R655="",$R655=0),"",ROUND($I655/$R655,2))))</f>
        <v/>
      </c>
      <c r="T655" s="24" t="str">
        <f aca="false">IF($N655="","",IFERROR(INDEX(VAT_Codes!$C:$C,MATCH($N655,VAT_Codes!$A:$A,0)),"")&amp;"")</f>
        <v/>
      </c>
      <c r="U655" s="26" t="n">
        <f aca="false">IF(OR($S655="",$T655="",$T655="None"),0,IF($T655="Output",-$S655,$S655))</f>
        <v>0</v>
      </c>
      <c r="V655" s="27" t="n">
        <f aca="false">IF($N655="",0,IFERROR(INDEX(VAT_Codes!$D:$D,MATCH($N655,VAT_Codes!$A:$A,0)),0))</f>
        <v>0</v>
      </c>
      <c r="W655" s="26" t="n">
        <f aca="false">IF($U655=0,0,IF(IFERROR(INDEX(VAT_Codes!$F:$F,MATCH($N655,VAT_Codes!$A:$A,0)),"N")="Y",$U655,IF($L655&lt;&gt;"",ROUND(ABS($L655)/IF(OR($R655="",$R655=0),1,$R655),2)*SIGN($U655),ROUND($U655*$V655,2))))</f>
        <v>0</v>
      </c>
      <c r="X655" s="24" t="str">
        <f aca="false">IF($N655="","",IFERROR(INDEX(VAT_Codes!$H:$H,MATCH($N655,VAT_Codes!$A:$A,0)),"")&amp;"")</f>
        <v/>
      </c>
      <c r="Y655" s="24" t="str">
        <f aca="false">IF($A655="","",(YEAR($A655)-YEAR(Settings!$C$8))*12+MONTH($A655)-MONTH(Settings!$C$8)+1)</f>
        <v/>
      </c>
      <c r="Z655" s="24" t="str">
        <f aca="false">IF(AND($C655="",$I655="",$J655=""),"",IF($N655="","NO VAT CODE",IF($T655="","UNKNOWN VAT CODE",IF($S655="","MISSING FX RATE",IF(OR($A655&lt;Settings!$C$8,$A655&gt;Settings!$C$9),"OUTSIDE PERIOD",IF(AND(IFERROR(INDEX(VAT_Codes!$E:$E,MATCH($N655,VAT_Codes!$A:$A,0)),"ANY")&lt;&gt;"ANY",$P655=""),"MISSING COUNTERPARTY COUNTRY",IF(AND(IFERROR(INDEX(VAT_Codes!$E:$E,MATCH($N655,VAT_Codes!$A:$A,0)),"ANY")&lt;&gt;"ANY",$P655&lt;&gt;IFERROR(INDEX(VAT_Codes!$E:$E,MATCH($N655,VAT_Codes!$A:$A,0)),"ANY")),"REGION MISMATCH","OK")))))))</f>
        <v/>
      </c>
    </row>
    <row r="656" customFormat="false" ht="15" hidden="false" customHeight="false" outlineLevel="0" collapsed="false">
      <c r="M656" s="24" t="str">
        <f aca="false">IF($C656="","",IFERROR(INDEX(Account_Mapping!$C:$C,MATCH($C656&amp;"",Account_Mapping!$A:$A,0))&amp;"",""))</f>
        <v/>
      </c>
      <c r="N656" s="24" t="str">
        <f aca="false">IF($K656&lt;&gt;"",$K656,$M656)</f>
        <v/>
      </c>
      <c r="O656" s="24" t="str">
        <f aca="false">IF($F656="","",IFERROR(INDEX(Counterparties!$C:$C,MATCH($F656&amp;"",Counterparties!$A:$A,0))&amp;"",""))</f>
        <v/>
      </c>
      <c r="P656" s="24" t="str">
        <f aca="false">IF($O656="","",IF($O656="CY","CY",IF(ISNUMBER(MATCH($O656,Lists!$A:$A,0)),"EU","3RD")))</f>
        <v/>
      </c>
      <c r="Q656" s="24" t="str">
        <f aca="false">IF($F656="","N",IFERROR(IF(INDEX(Counterparties!$E:$E,MATCH($F656&amp;"",Counterparties!$A:$A,0))="Y","Y","N"),"N"))</f>
        <v>N</v>
      </c>
      <c r="R656" s="25" t="n">
        <f aca="false">IF(OR($H656="",$H656="EUR"),1,IFERROR(INDEX(FX_Rates!$D:$D,MATCH($H656,FX_Rates!$A:$A,0)),""))</f>
        <v>1</v>
      </c>
      <c r="S656" s="26" t="str">
        <f aca="false">IF(AND($I656="",$J656=""),"",IF($J656&lt;&gt;"",$J656,IF(OR($R656="",$R656=0),"",ROUND($I656/$R656,2))))</f>
        <v/>
      </c>
      <c r="T656" s="24" t="str">
        <f aca="false">IF($N656="","",IFERROR(INDEX(VAT_Codes!$C:$C,MATCH($N656,VAT_Codes!$A:$A,0)),"")&amp;"")</f>
        <v/>
      </c>
      <c r="U656" s="26" t="n">
        <f aca="false">IF(OR($S656="",$T656="",$T656="None"),0,IF($T656="Output",-$S656,$S656))</f>
        <v>0</v>
      </c>
      <c r="V656" s="27" t="n">
        <f aca="false">IF($N656="",0,IFERROR(INDEX(VAT_Codes!$D:$D,MATCH($N656,VAT_Codes!$A:$A,0)),0))</f>
        <v>0</v>
      </c>
      <c r="W656" s="26" t="n">
        <f aca="false">IF($U656=0,0,IF(IFERROR(INDEX(VAT_Codes!$F:$F,MATCH($N656,VAT_Codes!$A:$A,0)),"N")="Y",$U656,IF($L656&lt;&gt;"",ROUND(ABS($L656)/IF(OR($R656="",$R656=0),1,$R656),2)*SIGN($U656),ROUND($U656*$V656,2))))</f>
        <v>0</v>
      </c>
      <c r="X656" s="24" t="str">
        <f aca="false">IF($N656="","",IFERROR(INDEX(VAT_Codes!$H:$H,MATCH($N656,VAT_Codes!$A:$A,0)),"")&amp;"")</f>
        <v/>
      </c>
      <c r="Y656" s="24" t="str">
        <f aca="false">IF($A656="","",(YEAR($A656)-YEAR(Settings!$C$8))*12+MONTH($A656)-MONTH(Settings!$C$8)+1)</f>
        <v/>
      </c>
      <c r="Z656" s="24" t="str">
        <f aca="false">IF(AND($C656="",$I656="",$J656=""),"",IF($N656="","NO VAT CODE",IF($T656="","UNKNOWN VAT CODE",IF($S656="","MISSING FX RATE",IF(OR($A656&lt;Settings!$C$8,$A656&gt;Settings!$C$9),"OUTSIDE PERIOD",IF(AND(IFERROR(INDEX(VAT_Codes!$E:$E,MATCH($N656,VAT_Codes!$A:$A,0)),"ANY")&lt;&gt;"ANY",$P656=""),"MISSING COUNTERPARTY COUNTRY",IF(AND(IFERROR(INDEX(VAT_Codes!$E:$E,MATCH($N656,VAT_Codes!$A:$A,0)),"ANY")&lt;&gt;"ANY",$P656&lt;&gt;IFERROR(INDEX(VAT_Codes!$E:$E,MATCH($N656,VAT_Codes!$A:$A,0)),"ANY")),"REGION MISMATCH","OK")))))))</f>
        <v/>
      </c>
    </row>
    <row r="657" customFormat="false" ht="15" hidden="false" customHeight="false" outlineLevel="0" collapsed="false">
      <c r="M657" s="24" t="str">
        <f aca="false">IF($C657="","",IFERROR(INDEX(Account_Mapping!$C:$C,MATCH($C657&amp;"",Account_Mapping!$A:$A,0))&amp;"",""))</f>
        <v/>
      </c>
      <c r="N657" s="24" t="str">
        <f aca="false">IF($K657&lt;&gt;"",$K657,$M657)</f>
        <v/>
      </c>
      <c r="O657" s="24" t="str">
        <f aca="false">IF($F657="","",IFERROR(INDEX(Counterparties!$C:$C,MATCH($F657&amp;"",Counterparties!$A:$A,0))&amp;"",""))</f>
        <v/>
      </c>
      <c r="P657" s="24" t="str">
        <f aca="false">IF($O657="","",IF($O657="CY","CY",IF(ISNUMBER(MATCH($O657,Lists!$A:$A,0)),"EU","3RD")))</f>
        <v/>
      </c>
      <c r="Q657" s="24" t="str">
        <f aca="false">IF($F657="","N",IFERROR(IF(INDEX(Counterparties!$E:$E,MATCH($F657&amp;"",Counterparties!$A:$A,0))="Y","Y","N"),"N"))</f>
        <v>N</v>
      </c>
      <c r="R657" s="25" t="n">
        <f aca="false">IF(OR($H657="",$H657="EUR"),1,IFERROR(INDEX(FX_Rates!$D:$D,MATCH($H657,FX_Rates!$A:$A,0)),""))</f>
        <v>1</v>
      </c>
      <c r="S657" s="26" t="str">
        <f aca="false">IF(AND($I657="",$J657=""),"",IF($J657&lt;&gt;"",$J657,IF(OR($R657="",$R657=0),"",ROUND($I657/$R657,2))))</f>
        <v/>
      </c>
      <c r="T657" s="24" t="str">
        <f aca="false">IF($N657="","",IFERROR(INDEX(VAT_Codes!$C:$C,MATCH($N657,VAT_Codes!$A:$A,0)),"")&amp;"")</f>
        <v/>
      </c>
      <c r="U657" s="26" t="n">
        <f aca="false">IF(OR($S657="",$T657="",$T657="None"),0,IF($T657="Output",-$S657,$S657))</f>
        <v>0</v>
      </c>
      <c r="V657" s="27" t="n">
        <f aca="false">IF($N657="",0,IFERROR(INDEX(VAT_Codes!$D:$D,MATCH($N657,VAT_Codes!$A:$A,0)),0))</f>
        <v>0</v>
      </c>
      <c r="W657" s="26" t="n">
        <f aca="false">IF($U657=0,0,IF(IFERROR(INDEX(VAT_Codes!$F:$F,MATCH($N657,VAT_Codes!$A:$A,0)),"N")="Y",$U657,IF($L657&lt;&gt;"",ROUND(ABS($L657)/IF(OR($R657="",$R657=0),1,$R657),2)*SIGN($U657),ROUND($U657*$V657,2))))</f>
        <v>0</v>
      </c>
      <c r="X657" s="24" t="str">
        <f aca="false">IF($N657="","",IFERROR(INDEX(VAT_Codes!$H:$H,MATCH($N657,VAT_Codes!$A:$A,0)),"")&amp;"")</f>
        <v/>
      </c>
      <c r="Y657" s="24" t="str">
        <f aca="false">IF($A657="","",(YEAR($A657)-YEAR(Settings!$C$8))*12+MONTH($A657)-MONTH(Settings!$C$8)+1)</f>
        <v/>
      </c>
      <c r="Z657" s="24" t="str">
        <f aca="false">IF(AND($C657="",$I657="",$J657=""),"",IF($N657="","NO VAT CODE",IF($T657="","UNKNOWN VAT CODE",IF($S657="","MISSING FX RATE",IF(OR($A657&lt;Settings!$C$8,$A657&gt;Settings!$C$9),"OUTSIDE PERIOD",IF(AND(IFERROR(INDEX(VAT_Codes!$E:$E,MATCH($N657,VAT_Codes!$A:$A,0)),"ANY")&lt;&gt;"ANY",$P657=""),"MISSING COUNTERPARTY COUNTRY",IF(AND(IFERROR(INDEX(VAT_Codes!$E:$E,MATCH($N657,VAT_Codes!$A:$A,0)),"ANY")&lt;&gt;"ANY",$P657&lt;&gt;IFERROR(INDEX(VAT_Codes!$E:$E,MATCH($N657,VAT_Codes!$A:$A,0)),"ANY")),"REGION MISMATCH","OK")))))))</f>
        <v/>
      </c>
    </row>
    <row r="658" customFormat="false" ht="15" hidden="false" customHeight="false" outlineLevel="0" collapsed="false">
      <c r="M658" s="24" t="str">
        <f aca="false">IF($C658="","",IFERROR(INDEX(Account_Mapping!$C:$C,MATCH($C658&amp;"",Account_Mapping!$A:$A,0))&amp;"",""))</f>
        <v/>
      </c>
      <c r="N658" s="24" t="str">
        <f aca="false">IF($K658&lt;&gt;"",$K658,$M658)</f>
        <v/>
      </c>
      <c r="O658" s="24" t="str">
        <f aca="false">IF($F658="","",IFERROR(INDEX(Counterparties!$C:$C,MATCH($F658&amp;"",Counterparties!$A:$A,0))&amp;"",""))</f>
        <v/>
      </c>
      <c r="P658" s="24" t="str">
        <f aca="false">IF($O658="","",IF($O658="CY","CY",IF(ISNUMBER(MATCH($O658,Lists!$A:$A,0)),"EU","3RD")))</f>
        <v/>
      </c>
      <c r="Q658" s="24" t="str">
        <f aca="false">IF($F658="","N",IFERROR(IF(INDEX(Counterparties!$E:$E,MATCH($F658&amp;"",Counterparties!$A:$A,0))="Y","Y","N"),"N"))</f>
        <v>N</v>
      </c>
      <c r="R658" s="25" t="n">
        <f aca="false">IF(OR($H658="",$H658="EUR"),1,IFERROR(INDEX(FX_Rates!$D:$D,MATCH($H658,FX_Rates!$A:$A,0)),""))</f>
        <v>1</v>
      </c>
      <c r="S658" s="26" t="str">
        <f aca="false">IF(AND($I658="",$J658=""),"",IF($J658&lt;&gt;"",$J658,IF(OR($R658="",$R658=0),"",ROUND($I658/$R658,2))))</f>
        <v/>
      </c>
      <c r="T658" s="24" t="str">
        <f aca="false">IF($N658="","",IFERROR(INDEX(VAT_Codes!$C:$C,MATCH($N658,VAT_Codes!$A:$A,0)),"")&amp;"")</f>
        <v/>
      </c>
      <c r="U658" s="26" t="n">
        <f aca="false">IF(OR($S658="",$T658="",$T658="None"),0,IF($T658="Output",-$S658,$S658))</f>
        <v>0</v>
      </c>
      <c r="V658" s="27" t="n">
        <f aca="false">IF($N658="",0,IFERROR(INDEX(VAT_Codes!$D:$D,MATCH($N658,VAT_Codes!$A:$A,0)),0))</f>
        <v>0</v>
      </c>
      <c r="W658" s="26" t="n">
        <f aca="false">IF($U658=0,0,IF(IFERROR(INDEX(VAT_Codes!$F:$F,MATCH($N658,VAT_Codes!$A:$A,0)),"N")="Y",$U658,IF($L658&lt;&gt;"",ROUND(ABS($L658)/IF(OR($R658="",$R658=0),1,$R658),2)*SIGN($U658),ROUND($U658*$V658,2))))</f>
        <v>0</v>
      </c>
      <c r="X658" s="24" t="str">
        <f aca="false">IF($N658="","",IFERROR(INDEX(VAT_Codes!$H:$H,MATCH($N658,VAT_Codes!$A:$A,0)),"")&amp;"")</f>
        <v/>
      </c>
      <c r="Y658" s="24" t="str">
        <f aca="false">IF($A658="","",(YEAR($A658)-YEAR(Settings!$C$8))*12+MONTH($A658)-MONTH(Settings!$C$8)+1)</f>
        <v/>
      </c>
      <c r="Z658" s="24" t="str">
        <f aca="false">IF(AND($C658="",$I658="",$J658=""),"",IF($N658="","NO VAT CODE",IF($T658="","UNKNOWN VAT CODE",IF($S658="","MISSING FX RATE",IF(OR($A658&lt;Settings!$C$8,$A658&gt;Settings!$C$9),"OUTSIDE PERIOD",IF(AND(IFERROR(INDEX(VAT_Codes!$E:$E,MATCH($N658,VAT_Codes!$A:$A,0)),"ANY")&lt;&gt;"ANY",$P658=""),"MISSING COUNTERPARTY COUNTRY",IF(AND(IFERROR(INDEX(VAT_Codes!$E:$E,MATCH($N658,VAT_Codes!$A:$A,0)),"ANY")&lt;&gt;"ANY",$P658&lt;&gt;IFERROR(INDEX(VAT_Codes!$E:$E,MATCH($N658,VAT_Codes!$A:$A,0)),"ANY")),"REGION MISMATCH","OK")))))))</f>
        <v/>
      </c>
    </row>
    <row r="659" customFormat="false" ht="15" hidden="false" customHeight="false" outlineLevel="0" collapsed="false">
      <c r="M659" s="24" t="str">
        <f aca="false">IF($C659="","",IFERROR(INDEX(Account_Mapping!$C:$C,MATCH($C659&amp;"",Account_Mapping!$A:$A,0))&amp;"",""))</f>
        <v/>
      </c>
      <c r="N659" s="24" t="str">
        <f aca="false">IF($K659&lt;&gt;"",$K659,$M659)</f>
        <v/>
      </c>
      <c r="O659" s="24" t="str">
        <f aca="false">IF($F659="","",IFERROR(INDEX(Counterparties!$C:$C,MATCH($F659&amp;"",Counterparties!$A:$A,0))&amp;"",""))</f>
        <v/>
      </c>
      <c r="P659" s="24" t="str">
        <f aca="false">IF($O659="","",IF($O659="CY","CY",IF(ISNUMBER(MATCH($O659,Lists!$A:$A,0)),"EU","3RD")))</f>
        <v/>
      </c>
      <c r="Q659" s="24" t="str">
        <f aca="false">IF($F659="","N",IFERROR(IF(INDEX(Counterparties!$E:$E,MATCH($F659&amp;"",Counterparties!$A:$A,0))="Y","Y","N"),"N"))</f>
        <v>N</v>
      </c>
      <c r="R659" s="25" t="n">
        <f aca="false">IF(OR($H659="",$H659="EUR"),1,IFERROR(INDEX(FX_Rates!$D:$D,MATCH($H659,FX_Rates!$A:$A,0)),""))</f>
        <v>1</v>
      </c>
      <c r="S659" s="26" t="str">
        <f aca="false">IF(AND($I659="",$J659=""),"",IF($J659&lt;&gt;"",$J659,IF(OR($R659="",$R659=0),"",ROUND($I659/$R659,2))))</f>
        <v/>
      </c>
      <c r="T659" s="24" t="str">
        <f aca="false">IF($N659="","",IFERROR(INDEX(VAT_Codes!$C:$C,MATCH($N659,VAT_Codes!$A:$A,0)),"")&amp;"")</f>
        <v/>
      </c>
      <c r="U659" s="26" t="n">
        <f aca="false">IF(OR($S659="",$T659="",$T659="None"),0,IF($T659="Output",-$S659,$S659))</f>
        <v>0</v>
      </c>
      <c r="V659" s="27" t="n">
        <f aca="false">IF($N659="",0,IFERROR(INDEX(VAT_Codes!$D:$D,MATCH($N659,VAT_Codes!$A:$A,0)),0))</f>
        <v>0</v>
      </c>
      <c r="W659" s="26" t="n">
        <f aca="false">IF($U659=0,0,IF(IFERROR(INDEX(VAT_Codes!$F:$F,MATCH($N659,VAT_Codes!$A:$A,0)),"N")="Y",$U659,IF($L659&lt;&gt;"",ROUND(ABS($L659)/IF(OR($R659="",$R659=0),1,$R659),2)*SIGN($U659),ROUND($U659*$V659,2))))</f>
        <v>0</v>
      </c>
      <c r="X659" s="24" t="str">
        <f aca="false">IF($N659="","",IFERROR(INDEX(VAT_Codes!$H:$H,MATCH($N659,VAT_Codes!$A:$A,0)),"")&amp;"")</f>
        <v/>
      </c>
      <c r="Y659" s="24" t="str">
        <f aca="false">IF($A659="","",(YEAR($A659)-YEAR(Settings!$C$8))*12+MONTH($A659)-MONTH(Settings!$C$8)+1)</f>
        <v/>
      </c>
      <c r="Z659" s="24" t="str">
        <f aca="false">IF(AND($C659="",$I659="",$J659=""),"",IF($N659="","NO VAT CODE",IF($T659="","UNKNOWN VAT CODE",IF($S659="","MISSING FX RATE",IF(OR($A659&lt;Settings!$C$8,$A659&gt;Settings!$C$9),"OUTSIDE PERIOD",IF(AND(IFERROR(INDEX(VAT_Codes!$E:$E,MATCH($N659,VAT_Codes!$A:$A,0)),"ANY")&lt;&gt;"ANY",$P659=""),"MISSING COUNTERPARTY COUNTRY",IF(AND(IFERROR(INDEX(VAT_Codes!$E:$E,MATCH($N659,VAT_Codes!$A:$A,0)),"ANY")&lt;&gt;"ANY",$P659&lt;&gt;IFERROR(INDEX(VAT_Codes!$E:$E,MATCH($N659,VAT_Codes!$A:$A,0)),"ANY")),"REGION MISMATCH","OK")))))))</f>
        <v/>
      </c>
    </row>
    <row r="660" customFormat="false" ht="15" hidden="false" customHeight="false" outlineLevel="0" collapsed="false">
      <c r="M660" s="24" t="str">
        <f aca="false">IF($C660="","",IFERROR(INDEX(Account_Mapping!$C:$C,MATCH($C660&amp;"",Account_Mapping!$A:$A,0))&amp;"",""))</f>
        <v/>
      </c>
      <c r="N660" s="24" t="str">
        <f aca="false">IF($K660&lt;&gt;"",$K660,$M660)</f>
        <v/>
      </c>
      <c r="O660" s="24" t="str">
        <f aca="false">IF($F660="","",IFERROR(INDEX(Counterparties!$C:$C,MATCH($F660&amp;"",Counterparties!$A:$A,0))&amp;"",""))</f>
        <v/>
      </c>
      <c r="P660" s="24" t="str">
        <f aca="false">IF($O660="","",IF($O660="CY","CY",IF(ISNUMBER(MATCH($O660,Lists!$A:$A,0)),"EU","3RD")))</f>
        <v/>
      </c>
      <c r="Q660" s="24" t="str">
        <f aca="false">IF($F660="","N",IFERROR(IF(INDEX(Counterparties!$E:$E,MATCH($F660&amp;"",Counterparties!$A:$A,0))="Y","Y","N"),"N"))</f>
        <v>N</v>
      </c>
      <c r="R660" s="25" t="n">
        <f aca="false">IF(OR($H660="",$H660="EUR"),1,IFERROR(INDEX(FX_Rates!$D:$D,MATCH($H660,FX_Rates!$A:$A,0)),""))</f>
        <v>1</v>
      </c>
      <c r="S660" s="26" t="str">
        <f aca="false">IF(AND($I660="",$J660=""),"",IF($J660&lt;&gt;"",$J660,IF(OR($R660="",$R660=0),"",ROUND($I660/$R660,2))))</f>
        <v/>
      </c>
      <c r="T660" s="24" t="str">
        <f aca="false">IF($N660="","",IFERROR(INDEX(VAT_Codes!$C:$C,MATCH($N660,VAT_Codes!$A:$A,0)),"")&amp;"")</f>
        <v/>
      </c>
      <c r="U660" s="26" t="n">
        <f aca="false">IF(OR($S660="",$T660="",$T660="None"),0,IF($T660="Output",-$S660,$S660))</f>
        <v>0</v>
      </c>
      <c r="V660" s="27" t="n">
        <f aca="false">IF($N660="",0,IFERROR(INDEX(VAT_Codes!$D:$D,MATCH($N660,VAT_Codes!$A:$A,0)),0))</f>
        <v>0</v>
      </c>
      <c r="W660" s="26" t="n">
        <f aca="false">IF($U660=0,0,IF(IFERROR(INDEX(VAT_Codes!$F:$F,MATCH($N660,VAT_Codes!$A:$A,0)),"N")="Y",$U660,IF($L660&lt;&gt;"",ROUND(ABS($L660)/IF(OR($R660="",$R660=0),1,$R660),2)*SIGN($U660),ROUND($U660*$V660,2))))</f>
        <v>0</v>
      </c>
      <c r="X660" s="24" t="str">
        <f aca="false">IF($N660="","",IFERROR(INDEX(VAT_Codes!$H:$H,MATCH($N660,VAT_Codes!$A:$A,0)),"")&amp;"")</f>
        <v/>
      </c>
      <c r="Y660" s="24" t="str">
        <f aca="false">IF($A660="","",(YEAR($A660)-YEAR(Settings!$C$8))*12+MONTH($A660)-MONTH(Settings!$C$8)+1)</f>
        <v/>
      </c>
      <c r="Z660" s="24" t="str">
        <f aca="false">IF(AND($C660="",$I660="",$J660=""),"",IF($N660="","NO VAT CODE",IF($T660="","UNKNOWN VAT CODE",IF($S660="","MISSING FX RATE",IF(OR($A660&lt;Settings!$C$8,$A660&gt;Settings!$C$9),"OUTSIDE PERIOD",IF(AND(IFERROR(INDEX(VAT_Codes!$E:$E,MATCH($N660,VAT_Codes!$A:$A,0)),"ANY")&lt;&gt;"ANY",$P660=""),"MISSING COUNTERPARTY COUNTRY",IF(AND(IFERROR(INDEX(VAT_Codes!$E:$E,MATCH($N660,VAT_Codes!$A:$A,0)),"ANY")&lt;&gt;"ANY",$P660&lt;&gt;IFERROR(INDEX(VAT_Codes!$E:$E,MATCH($N660,VAT_Codes!$A:$A,0)),"ANY")),"REGION MISMATCH","OK")))))))</f>
        <v/>
      </c>
    </row>
    <row r="661" customFormat="false" ht="15" hidden="false" customHeight="false" outlineLevel="0" collapsed="false">
      <c r="M661" s="24" t="str">
        <f aca="false">IF($C661="","",IFERROR(INDEX(Account_Mapping!$C:$C,MATCH($C661&amp;"",Account_Mapping!$A:$A,0))&amp;"",""))</f>
        <v/>
      </c>
      <c r="N661" s="24" t="str">
        <f aca="false">IF($K661&lt;&gt;"",$K661,$M661)</f>
        <v/>
      </c>
      <c r="O661" s="24" t="str">
        <f aca="false">IF($F661="","",IFERROR(INDEX(Counterparties!$C:$C,MATCH($F661&amp;"",Counterparties!$A:$A,0))&amp;"",""))</f>
        <v/>
      </c>
      <c r="P661" s="24" t="str">
        <f aca="false">IF($O661="","",IF($O661="CY","CY",IF(ISNUMBER(MATCH($O661,Lists!$A:$A,0)),"EU","3RD")))</f>
        <v/>
      </c>
      <c r="Q661" s="24" t="str">
        <f aca="false">IF($F661="","N",IFERROR(IF(INDEX(Counterparties!$E:$E,MATCH($F661&amp;"",Counterparties!$A:$A,0))="Y","Y","N"),"N"))</f>
        <v>N</v>
      </c>
      <c r="R661" s="25" t="n">
        <f aca="false">IF(OR($H661="",$H661="EUR"),1,IFERROR(INDEX(FX_Rates!$D:$D,MATCH($H661,FX_Rates!$A:$A,0)),""))</f>
        <v>1</v>
      </c>
      <c r="S661" s="26" t="str">
        <f aca="false">IF(AND($I661="",$J661=""),"",IF($J661&lt;&gt;"",$J661,IF(OR($R661="",$R661=0),"",ROUND($I661/$R661,2))))</f>
        <v/>
      </c>
      <c r="T661" s="24" t="str">
        <f aca="false">IF($N661="","",IFERROR(INDEX(VAT_Codes!$C:$C,MATCH($N661,VAT_Codes!$A:$A,0)),"")&amp;"")</f>
        <v/>
      </c>
      <c r="U661" s="26" t="n">
        <f aca="false">IF(OR($S661="",$T661="",$T661="None"),0,IF($T661="Output",-$S661,$S661))</f>
        <v>0</v>
      </c>
      <c r="V661" s="27" t="n">
        <f aca="false">IF($N661="",0,IFERROR(INDEX(VAT_Codes!$D:$D,MATCH($N661,VAT_Codes!$A:$A,0)),0))</f>
        <v>0</v>
      </c>
      <c r="W661" s="26" t="n">
        <f aca="false">IF($U661=0,0,IF(IFERROR(INDEX(VAT_Codes!$F:$F,MATCH($N661,VAT_Codes!$A:$A,0)),"N")="Y",$U661,IF($L661&lt;&gt;"",ROUND(ABS($L661)/IF(OR($R661="",$R661=0),1,$R661),2)*SIGN($U661),ROUND($U661*$V661,2))))</f>
        <v>0</v>
      </c>
      <c r="X661" s="24" t="str">
        <f aca="false">IF($N661="","",IFERROR(INDEX(VAT_Codes!$H:$H,MATCH($N661,VAT_Codes!$A:$A,0)),"")&amp;"")</f>
        <v/>
      </c>
      <c r="Y661" s="24" t="str">
        <f aca="false">IF($A661="","",(YEAR($A661)-YEAR(Settings!$C$8))*12+MONTH($A661)-MONTH(Settings!$C$8)+1)</f>
        <v/>
      </c>
      <c r="Z661" s="24" t="str">
        <f aca="false">IF(AND($C661="",$I661="",$J661=""),"",IF($N661="","NO VAT CODE",IF($T661="","UNKNOWN VAT CODE",IF($S661="","MISSING FX RATE",IF(OR($A661&lt;Settings!$C$8,$A661&gt;Settings!$C$9),"OUTSIDE PERIOD",IF(AND(IFERROR(INDEX(VAT_Codes!$E:$E,MATCH($N661,VAT_Codes!$A:$A,0)),"ANY")&lt;&gt;"ANY",$P661=""),"MISSING COUNTERPARTY COUNTRY",IF(AND(IFERROR(INDEX(VAT_Codes!$E:$E,MATCH($N661,VAT_Codes!$A:$A,0)),"ANY")&lt;&gt;"ANY",$P661&lt;&gt;IFERROR(INDEX(VAT_Codes!$E:$E,MATCH($N661,VAT_Codes!$A:$A,0)),"ANY")),"REGION MISMATCH","OK")))))))</f>
        <v/>
      </c>
    </row>
    <row r="662" customFormat="false" ht="15" hidden="false" customHeight="false" outlineLevel="0" collapsed="false">
      <c r="M662" s="24" t="str">
        <f aca="false">IF($C662="","",IFERROR(INDEX(Account_Mapping!$C:$C,MATCH($C662&amp;"",Account_Mapping!$A:$A,0))&amp;"",""))</f>
        <v/>
      </c>
      <c r="N662" s="24" t="str">
        <f aca="false">IF($K662&lt;&gt;"",$K662,$M662)</f>
        <v/>
      </c>
      <c r="O662" s="24" t="str">
        <f aca="false">IF($F662="","",IFERROR(INDEX(Counterparties!$C:$C,MATCH($F662&amp;"",Counterparties!$A:$A,0))&amp;"",""))</f>
        <v/>
      </c>
      <c r="P662" s="24" t="str">
        <f aca="false">IF($O662="","",IF($O662="CY","CY",IF(ISNUMBER(MATCH($O662,Lists!$A:$A,0)),"EU","3RD")))</f>
        <v/>
      </c>
      <c r="Q662" s="24" t="str">
        <f aca="false">IF($F662="","N",IFERROR(IF(INDEX(Counterparties!$E:$E,MATCH($F662&amp;"",Counterparties!$A:$A,0))="Y","Y","N"),"N"))</f>
        <v>N</v>
      </c>
      <c r="R662" s="25" t="n">
        <f aca="false">IF(OR($H662="",$H662="EUR"),1,IFERROR(INDEX(FX_Rates!$D:$D,MATCH($H662,FX_Rates!$A:$A,0)),""))</f>
        <v>1</v>
      </c>
      <c r="S662" s="26" t="str">
        <f aca="false">IF(AND($I662="",$J662=""),"",IF($J662&lt;&gt;"",$J662,IF(OR($R662="",$R662=0),"",ROUND($I662/$R662,2))))</f>
        <v/>
      </c>
      <c r="T662" s="24" t="str">
        <f aca="false">IF($N662="","",IFERROR(INDEX(VAT_Codes!$C:$C,MATCH($N662,VAT_Codes!$A:$A,0)),"")&amp;"")</f>
        <v/>
      </c>
      <c r="U662" s="26" t="n">
        <f aca="false">IF(OR($S662="",$T662="",$T662="None"),0,IF($T662="Output",-$S662,$S662))</f>
        <v>0</v>
      </c>
      <c r="V662" s="27" t="n">
        <f aca="false">IF($N662="",0,IFERROR(INDEX(VAT_Codes!$D:$D,MATCH($N662,VAT_Codes!$A:$A,0)),0))</f>
        <v>0</v>
      </c>
      <c r="W662" s="26" t="n">
        <f aca="false">IF($U662=0,0,IF(IFERROR(INDEX(VAT_Codes!$F:$F,MATCH($N662,VAT_Codes!$A:$A,0)),"N")="Y",$U662,IF($L662&lt;&gt;"",ROUND(ABS($L662)/IF(OR($R662="",$R662=0),1,$R662),2)*SIGN($U662),ROUND($U662*$V662,2))))</f>
        <v>0</v>
      </c>
      <c r="X662" s="24" t="str">
        <f aca="false">IF($N662="","",IFERROR(INDEX(VAT_Codes!$H:$H,MATCH($N662,VAT_Codes!$A:$A,0)),"")&amp;"")</f>
        <v/>
      </c>
      <c r="Y662" s="24" t="str">
        <f aca="false">IF($A662="","",(YEAR($A662)-YEAR(Settings!$C$8))*12+MONTH($A662)-MONTH(Settings!$C$8)+1)</f>
        <v/>
      </c>
      <c r="Z662" s="24" t="str">
        <f aca="false">IF(AND($C662="",$I662="",$J662=""),"",IF($N662="","NO VAT CODE",IF($T662="","UNKNOWN VAT CODE",IF($S662="","MISSING FX RATE",IF(OR($A662&lt;Settings!$C$8,$A662&gt;Settings!$C$9),"OUTSIDE PERIOD",IF(AND(IFERROR(INDEX(VAT_Codes!$E:$E,MATCH($N662,VAT_Codes!$A:$A,0)),"ANY")&lt;&gt;"ANY",$P662=""),"MISSING COUNTERPARTY COUNTRY",IF(AND(IFERROR(INDEX(VAT_Codes!$E:$E,MATCH($N662,VAT_Codes!$A:$A,0)),"ANY")&lt;&gt;"ANY",$P662&lt;&gt;IFERROR(INDEX(VAT_Codes!$E:$E,MATCH($N662,VAT_Codes!$A:$A,0)),"ANY")),"REGION MISMATCH","OK")))))))</f>
        <v/>
      </c>
    </row>
    <row r="663" customFormat="false" ht="15" hidden="false" customHeight="false" outlineLevel="0" collapsed="false">
      <c r="M663" s="24" t="str">
        <f aca="false">IF($C663="","",IFERROR(INDEX(Account_Mapping!$C:$C,MATCH($C663&amp;"",Account_Mapping!$A:$A,0))&amp;"",""))</f>
        <v/>
      </c>
      <c r="N663" s="24" t="str">
        <f aca="false">IF($K663&lt;&gt;"",$K663,$M663)</f>
        <v/>
      </c>
      <c r="O663" s="24" t="str">
        <f aca="false">IF($F663="","",IFERROR(INDEX(Counterparties!$C:$C,MATCH($F663&amp;"",Counterparties!$A:$A,0))&amp;"",""))</f>
        <v/>
      </c>
      <c r="P663" s="24" t="str">
        <f aca="false">IF($O663="","",IF($O663="CY","CY",IF(ISNUMBER(MATCH($O663,Lists!$A:$A,0)),"EU","3RD")))</f>
        <v/>
      </c>
      <c r="Q663" s="24" t="str">
        <f aca="false">IF($F663="","N",IFERROR(IF(INDEX(Counterparties!$E:$E,MATCH($F663&amp;"",Counterparties!$A:$A,0))="Y","Y","N"),"N"))</f>
        <v>N</v>
      </c>
      <c r="R663" s="25" t="n">
        <f aca="false">IF(OR($H663="",$H663="EUR"),1,IFERROR(INDEX(FX_Rates!$D:$D,MATCH($H663,FX_Rates!$A:$A,0)),""))</f>
        <v>1</v>
      </c>
      <c r="S663" s="26" t="str">
        <f aca="false">IF(AND($I663="",$J663=""),"",IF($J663&lt;&gt;"",$J663,IF(OR($R663="",$R663=0),"",ROUND($I663/$R663,2))))</f>
        <v/>
      </c>
      <c r="T663" s="24" t="str">
        <f aca="false">IF($N663="","",IFERROR(INDEX(VAT_Codes!$C:$C,MATCH($N663,VAT_Codes!$A:$A,0)),"")&amp;"")</f>
        <v/>
      </c>
      <c r="U663" s="26" t="n">
        <f aca="false">IF(OR($S663="",$T663="",$T663="None"),0,IF($T663="Output",-$S663,$S663))</f>
        <v>0</v>
      </c>
      <c r="V663" s="27" t="n">
        <f aca="false">IF($N663="",0,IFERROR(INDEX(VAT_Codes!$D:$D,MATCH($N663,VAT_Codes!$A:$A,0)),0))</f>
        <v>0</v>
      </c>
      <c r="W663" s="26" t="n">
        <f aca="false">IF($U663=0,0,IF(IFERROR(INDEX(VAT_Codes!$F:$F,MATCH($N663,VAT_Codes!$A:$A,0)),"N")="Y",$U663,IF($L663&lt;&gt;"",ROUND(ABS($L663)/IF(OR($R663="",$R663=0),1,$R663),2)*SIGN($U663),ROUND($U663*$V663,2))))</f>
        <v>0</v>
      </c>
      <c r="X663" s="24" t="str">
        <f aca="false">IF($N663="","",IFERROR(INDEX(VAT_Codes!$H:$H,MATCH($N663,VAT_Codes!$A:$A,0)),"")&amp;"")</f>
        <v/>
      </c>
      <c r="Y663" s="24" t="str">
        <f aca="false">IF($A663="","",(YEAR($A663)-YEAR(Settings!$C$8))*12+MONTH($A663)-MONTH(Settings!$C$8)+1)</f>
        <v/>
      </c>
      <c r="Z663" s="24" t="str">
        <f aca="false">IF(AND($C663="",$I663="",$J663=""),"",IF($N663="","NO VAT CODE",IF($T663="","UNKNOWN VAT CODE",IF($S663="","MISSING FX RATE",IF(OR($A663&lt;Settings!$C$8,$A663&gt;Settings!$C$9),"OUTSIDE PERIOD",IF(AND(IFERROR(INDEX(VAT_Codes!$E:$E,MATCH($N663,VAT_Codes!$A:$A,0)),"ANY")&lt;&gt;"ANY",$P663=""),"MISSING COUNTERPARTY COUNTRY",IF(AND(IFERROR(INDEX(VAT_Codes!$E:$E,MATCH($N663,VAT_Codes!$A:$A,0)),"ANY")&lt;&gt;"ANY",$P663&lt;&gt;IFERROR(INDEX(VAT_Codes!$E:$E,MATCH($N663,VAT_Codes!$A:$A,0)),"ANY")),"REGION MISMATCH","OK")))))))</f>
        <v/>
      </c>
    </row>
    <row r="664" customFormat="false" ht="15" hidden="false" customHeight="false" outlineLevel="0" collapsed="false">
      <c r="M664" s="24" t="str">
        <f aca="false">IF($C664="","",IFERROR(INDEX(Account_Mapping!$C:$C,MATCH($C664&amp;"",Account_Mapping!$A:$A,0))&amp;"",""))</f>
        <v/>
      </c>
      <c r="N664" s="24" t="str">
        <f aca="false">IF($K664&lt;&gt;"",$K664,$M664)</f>
        <v/>
      </c>
      <c r="O664" s="24" t="str">
        <f aca="false">IF($F664="","",IFERROR(INDEX(Counterparties!$C:$C,MATCH($F664&amp;"",Counterparties!$A:$A,0))&amp;"",""))</f>
        <v/>
      </c>
      <c r="P664" s="24" t="str">
        <f aca="false">IF($O664="","",IF($O664="CY","CY",IF(ISNUMBER(MATCH($O664,Lists!$A:$A,0)),"EU","3RD")))</f>
        <v/>
      </c>
      <c r="Q664" s="24" t="str">
        <f aca="false">IF($F664="","N",IFERROR(IF(INDEX(Counterparties!$E:$E,MATCH($F664&amp;"",Counterparties!$A:$A,0))="Y","Y","N"),"N"))</f>
        <v>N</v>
      </c>
      <c r="R664" s="25" t="n">
        <f aca="false">IF(OR($H664="",$H664="EUR"),1,IFERROR(INDEX(FX_Rates!$D:$D,MATCH($H664,FX_Rates!$A:$A,0)),""))</f>
        <v>1</v>
      </c>
      <c r="S664" s="26" t="str">
        <f aca="false">IF(AND($I664="",$J664=""),"",IF($J664&lt;&gt;"",$J664,IF(OR($R664="",$R664=0),"",ROUND($I664/$R664,2))))</f>
        <v/>
      </c>
      <c r="T664" s="24" t="str">
        <f aca="false">IF($N664="","",IFERROR(INDEX(VAT_Codes!$C:$C,MATCH($N664,VAT_Codes!$A:$A,0)),"")&amp;"")</f>
        <v/>
      </c>
      <c r="U664" s="26" t="n">
        <f aca="false">IF(OR($S664="",$T664="",$T664="None"),0,IF($T664="Output",-$S664,$S664))</f>
        <v>0</v>
      </c>
      <c r="V664" s="27" t="n">
        <f aca="false">IF($N664="",0,IFERROR(INDEX(VAT_Codes!$D:$D,MATCH($N664,VAT_Codes!$A:$A,0)),0))</f>
        <v>0</v>
      </c>
      <c r="W664" s="26" t="n">
        <f aca="false">IF($U664=0,0,IF(IFERROR(INDEX(VAT_Codes!$F:$F,MATCH($N664,VAT_Codes!$A:$A,0)),"N")="Y",$U664,IF($L664&lt;&gt;"",ROUND(ABS($L664)/IF(OR($R664="",$R664=0),1,$R664),2)*SIGN($U664),ROUND($U664*$V664,2))))</f>
        <v>0</v>
      </c>
      <c r="X664" s="24" t="str">
        <f aca="false">IF($N664="","",IFERROR(INDEX(VAT_Codes!$H:$H,MATCH($N664,VAT_Codes!$A:$A,0)),"")&amp;"")</f>
        <v/>
      </c>
      <c r="Y664" s="24" t="str">
        <f aca="false">IF($A664="","",(YEAR($A664)-YEAR(Settings!$C$8))*12+MONTH($A664)-MONTH(Settings!$C$8)+1)</f>
        <v/>
      </c>
      <c r="Z664" s="24" t="str">
        <f aca="false">IF(AND($C664="",$I664="",$J664=""),"",IF($N664="","NO VAT CODE",IF($T664="","UNKNOWN VAT CODE",IF($S664="","MISSING FX RATE",IF(OR($A664&lt;Settings!$C$8,$A664&gt;Settings!$C$9),"OUTSIDE PERIOD",IF(AND(IFERROR(INDEX(VAT_Codes!$E:$E,MATCH($N664,VAT_Codes!$A:$A,0)),"ANY")&lt;&gt;"ANY",$P664=""),"MISSING COUNTERPARTY COUNTRY",IF(AND(IFERROR(INDEX(VAT_Codes!$E:$E,MATCH($N664,VAT_Codes!$A:$A,0)),"ANY")&lt;&gt;"ANY",$P664&lt;&gt;IFERROR(INDEX(VAT_Codes!$E:$E,MATCH($N664,VAT_Codes!$A:$A,0)),"ANY")),"REGION MISMATCH","OK")))))))</f>
        <v/>
      </c>
    </row>
    <row r="665" customFormat="false" ht="15" hidden="false" customHeight="false" outlineLevel="0" collapsed="false">
      <c r="M665" s="24" t="str">
        <f aca="false">IF($C665="","",IFERROR(INDEX(Account_Mapping!$C:$C,MATCH($C665&amp;"",Account_Mapping!$A:$A,0))&amp;"",""))</f>
        <v/>
      </c>
      <c r="N665" s="24" t="str">
        <f aca="false">IF($K665&lt;&gt;"",$K665,$M665)</f>
        <v/>
      </c>
      <c r="O665" s="24" t="str">
        <f aca="false">IF($F665="","",IFERROR(INDEX(Counterparties!$C:$C,MATCH($F665&amp;"",Counterparties!$A:$A,0))&amp;"",""))</f>
        <v/>
      </c>
      <c r="P665" s="24" t="str">
        <f aca="false">IF($O665="","",IF($O665="CY","CY",IF(ISNUMBER(MATCH($O665,Lists!$A:$A,0)),"EU","3RD")))</f>
        <v/>
      </c>
      <c r="Q665" s="24" t="str">
        <f aca="false">IF($F665="","N",IFERROR(IF(INDEX(Counterparties!$E:$E,MATCH($F665&amp;"",Counterparties!$A:$A,0))="Y","Y","N"),"N"))</f>
        <v>N</v>
      </c>
      <c r="R665" s="25" t="n">
        <f aca="false">IF(OR($H665="",$H665="EUR"),1,IFERROR(INDEX(FX_Rates!$D:$D,MATCH($H665,FX_Rates!$A:$A,0)),""))</f>
        <v>1</v>
      </c>
      <c r="S665" s="26" t="str">
        <f aca="false">IF(AND($I665="",$J665=""),"",IF($J665&lt;&gt;"",$J665,IF(OR($R665="",$R665=0),"",ROUND($I665/$R665,2))))</f>
        <v/>
      </c>
      <c r="T665" s="24" t="str">
        <f aca="false">IF($N665="","",IFERROR(INDEX(VAT_Codes!$C:$C,MATCH($N665,VAT_Codes!$A:$A,0)),"")&amp;"")</f>
        <v/>
      </c>
      <c r="U665" s="26" t="n">
        <f aca="false">IF(OR($S665="",$T665="",$T665="None"),0,IF($T665="Output",-$S665,$S665))</f>
        <v>0</v>
      </c>
      <c r="V665" s="27" t="n">
        <f aca="false">IF($N665="",0,IFERROR(INDEX(VAT_Codes!$D:$D,MATCH($N665,VAT_Codes!$A:$A,0)),0))</f>
        <v>0</v>
      </c>
      <c r="W665" s="26" t="n">
        <f aca="false">IF($U665=0,0,IF(IFERROR(INDEX(VAT_Codes!$F:$F,MATCH($N665,VAT_Codes!$A:$A,0)),"N")="Y",$U665,IF($L665&lt;&gt;"",ROUND(ABS($L665)/IF(OR($R665="",$R665=0),1,$R665),2)*SIGN($U665),ROUND($U665*$V665,2))))</f>
        <v>0</v>
      </c>
      <c r="X665" s="24" t="str">
        <f aca="false">IF($N665="","",IFERROR(INDEX(VAT_Codes!$H:$H,MATCH($N665,VAT_Codes!$A:$A,0)),"")&amp;"")</f>
        <v/>
      </c>
      <c r="Y665" s="24" t="str">
        <f aca="false">IF($A665="","",(YEAR($A665)-YEAR(Settings!$C$8))*12+MONTH($A665)-MONTH(Settings!$C$8)+1)</f>
        <v/>
      </c>
      <c r="Z665" s="24" t="str">
        <f aca="false">IF(AND($C665="",$I665="",$J665=""),"",IF($N665="","NO VAT CODE",IF($T665="","UNKNOWN VAT CODE",IF($S665="","MISSING FX RATE",IF(OR($A665&lt;Settings!$C$8,$A665&gt;Settings!$C$9),"OUTSIDE PERIOD",IF(AND(IFERROR(INDEX(VAT_Codes!$E:$E,MATCH($N665,VAT_Codes!$A:$A,0)),"ANY")&lt;&gt;"ANY",$P665=""),"MISSING COUNTERPARTY COUNTRY",IF(AND(IFERROR(INDEX(VAT_Codes!$E:$E,MATCH($N665,VAT_Codes!$A:$A,0)),"ANY")&lt;&gt;"ANY",$P665&lt;&gt;IFERROR(INDEX(VAT_Codes!$E:$E,MATCH($N665,VAT_Codes!$A:$A,0)),"ANY")),"REGION MISMATCH","OK")))))))</f>
        <v/>
      </c>
    </row>
    <row r="666" customFormat="false" ht="15" hidden="false" customHeight="false" outlineLevel="0" collapsed="false">
      <c r="M666" s="24" t="str">
        <f aca="false">IF($C666="","",IFERROR(INDEX(Account_Mapping!$C:$C,MATCH($C666&amp;"",Account_Mapping!$A:$A,0))&amp;"",""))</f>
        <v/>
      </c>
      <c r="N666" s="24" t="str">
        <f aca="false">IF($K666&lt;&gt;"",$K666,$M666)</f>
        <v/>
      </c>
      <c r="O666" s="24" t="str">
        <f aca="false">IF($F666="","",IFERROR(INDEX(Counterparties!$C:$C,MATCH($F666&amp;"",Counterparties!$A:$A,0))&amp;"",""))</f>
        <v/>
      </c>
      <c r="P666" s="24" t="str">
        <f aca="false">IF($O666="","",IF($O666="CY","CY",IF(ISNUMBER(MATCH($O666,Lists!$A:$A,0)),"EU","3RD")))</f>
        <v/>
      </c>
      <c r="Q666" s="24" t="str">
        <f aca="false">IF($F666="","N",IFERROR(IF(INDEX(Counterparties!$E:$E,MATCH($F666&amp;"",Counterparties!$A:$A,0))="Y","Y","N"),"N"))</f>
        <v>N</v>
      </c>
      <c r="R666" s="25" t="n">
        <f aca="false">IF(OR($H666="",$H666="EUR"),1,IFERROR(INDEX(FX_Rates!$D:$D,MATCH($H666,FX_Rates!$A:$A,0)),""))</f>
        <v>1</v>
      </c>
      <c r="S666" s="26" t="str">
        <f aca="false">IF(AND($I666="",$J666=""),"",IF($J666&lt;&gt;"",$J666,IF(OR($R666="",$R666=0),"",ROUND($I666/$R666,2))))</f>
        <v/>
      </c>
      <c r="T666" s="24" t="str">
        <f aca="false">IF($N666="","",IFERROR(INDEX(VAT_Codes!$C:$C,MATCH($N666,VAT_Codes!$A:$A,0)),"")&amp;"")</f>
        <v/>
      </c>
      <c r="U666" s="26" t="n">
        <f aca="false">IF(OR($S666="",$T666="",$T666="None"),0,IF($T666="Output",-$S666,$S666))</f>
        <v>0</v>
      </c>
      <c r="V666" s="27" t="n">
        <f aca="false">IF($N666="",0,IFERROR(INDEX(VAT_Codes!$D:$D,MATCH($N666,VAT_Codes!$A:$A,0)),0))</f>
        <v>0</v>
      </c>
      <c r="W666" s="26" t="n">
        <f aca="false">IF($U666=0,0,IF(IFERROR(INDEX(VAT_Codes!$F:$F,MATCH($N666,VAT_Codes!$A:$A,0)),"N")="Y",$U666,IF($L666&lt;&gt;"",ROUND(ABS($L666)/IF(OR($R666="",$R666=0),1,$R666),2)*SIGN($U666),ROUND($U666*$V666,2))))</f>
        <v>0</v>
      </c>
      <c r="X666" s="24" t="str">
        <f aca="false">IF($N666="","",IFERROR(INDEX(VAT_Codes!$H:$H,MATCH($N666,VAT_Codes!$A:$A,0)),"")&amp;"")</f>
        <v/>
      </c>
      <c r="Y666" s="24" t="str">
        <f aca="false">IF($A666="","",(YEAR($A666)-YEAR(Settings!$C$8))*12+MONTH($A666)-MONTH(Settings!$C$8)+1)</f>
        <v/>
      </c>
      <c r="Z666" s="24" t="str">
        <f aca="false">IF(AND($C666="",$I666="",$J666=""),"",IF($N666="","NO VAT CODE",IF($T666="","UNKNOWN VAT CODE",IF($S666="","MISSING FX RATE",IF(OR($A666&lt;Settings!$C$8,$A666&gt;Settings!$C$9),"OUTSIDE PERIOD",IF(AND(IFERROR(INDEX(VAT_Codes!$E:$E,MATCH($N666,VAT_Codes!$A:$A,0)),"ANY")&lt;&gt;"ANY",$P666=""),"MISSING COUNTERPARTY COUNTRY",IF(AND(IFERROR(INDEX(VAT_Codes!$E:$E,MATCH($N666,VAT_Codes!$A:$A,0)),"ANY")&lt;&gt;"ANY",$P666&lt;&gt;IFERROR(INDEX(VAT_Codes!$E:$E,MATCH($N666,VAT_Codes!$A:$A,0)),"ANY")),"REGION MISMATCH","OK")))))))</f>
        <v/>
      </c>
    </row>
    <row r="667" customFormat="false" ht="15" hidden="false" customHeight="false" outlineLevel="0" collapsed="false">
      <c r="M667" s="24" t="str">
        <f aca="false">IF($C667="","",IFERROR(INDEX(Account_Mapping!$C:$C,MATCH($C667&amp;"",Account_Mapping!$A:$A,0))&amp;"",""))</f>
        <v/>
      </c>
      <c r="N667" s="24" t="str">
        <f aca="false">IF($K667&lt;&gt;"",$K667,$M667)</f>
        <v/>
      </c>
      <c r="O667" s="24" t="str">
        <f aca="false">IF($F667="","",IFERROR(INDEX(Counterparties!$C:$C,MATCH($F667&amp;"",Counterparties!$A:$A,0))&amp;"",""))</f>
        <v/>
      </c>
      <c r="P667" s="24" t="str">
        <f aca="false">IF($O667="","",IF($O667="CY","CY",IF(ISNUMBER(MATCH($O667,Lists!$A:$A,0)),"EU","3RD")))</f>
        <v/>
      </c>
      <c r="Q667" s="24" t="str">
        <f aca="false">IF($F667="","N",IFERROR(IF(INDEX(Counterparties!$E:$E,MATCH($F667&amp;"",Counterparties!$A:$A,0))="Y","Y","N"),"N"))</f>
        <v>N</v>
      </c>
      <c r="R667" s="25" t="n">
        <f aca="false">IF(OR($H667="",$H667="EUR"),1,IFERROR(INDEX(FX_Rates!$D:$D,MATCH($H667,FX_Rates!$A:$A,0)),""))</f>
        <v>1</v>
      </c>
      <c r="S667" s="26" t="str">
        <f aca="false">IF(AND($I667="",$J667=""),"",IF($J667&lt;&gt;"",$J667,IF(OR($R667="",$R667=0),"",ROUND($I667/$R667,2))))</f>
        <v/>
      </c>
      <c r="T667" s="24" t="str">
        <f aca="false">IF($N667="","",IFERROR(INDEX(VAT_Codes!$C:$C,MATCH($N667,VAT_Codes!$A:$A,0)),"")&amp;"")</f>
        <v/>
      </c>
      <c r="U667" s="26" t="n">
        <f aca="false">IF(OR($S667="",$T667="",$T667="None"),0,IF($T667="Output",-$S667,$S667))</f>
        <v>0</v>
      </c>
      <c r="V667" s="27" t="n">
        <f aca="false">IF($N667="",0,IFERROR(INDEX(VAT_Codes!$D:$D,MATCH($N667,VAT_Codes!$A:$A,0)),0))</f>
        <v>0</v>
      </c>
      <c r="W667" s="26" t="n">
        <f aca="false">IF($U667=0,0,IF(IFERROR(INDEX(VAT_Codes!$F:$F,MATCH($N667,VAT_Codes!$A:$A,0)),"N")="Y",$U667,IF($L667&lt;&gt;"",ROUND(ABS($L667)/IF(OR($R667="",$R667=0),1,$R667),2)*SIGN($U667),ROUND($U667*$V667,2))))</f>
        <v>0</v>
      </c>
      <c r="X667" s="24" t="str">
        <f aca="false">IF($N667="","",IFERROR(INDEX(VAT_Codes!$H:$H,MATCH($N667,VAT_Codes!$A:$A,0)),"")&amp;"")</f>
        <v/>
      </c>
      <c r="Y667" s="24" t="str">
        <f aca="false">IF($A667="","",(YEAR($A667)-YEAR(Settings!$C$8))*12+MONTH($A667)-MONTH(Settings!$C$8)+1)</f>
        <v/>
      </c>
      <c r="Z667" s="24" t="str">
        <f aca="false">IF(AND($C667="",$I667="",$J667=""),"",IF($N667="","NO VAT CODE",IF($T667="","UNKNOWN VAT CODE",IF($S667="","MISSING FX RATE",IF(OR($A667&lt;Settings!$C$8,$A667&gt;Settings!$C$9),"OUTSIDE PERIOD",IF(AND(IFERROR(INDEX(VAT_Codes!$E:$E,MATCH($N667,VAT_Codes!$A:$A,0)),"ANY")&lt;&gt;"ANY",$P667=""),"MISSING COUNTERPARTY COUNTRY",IF(AND(IFERROR(INDEX(VAT_Codes!$E:$E,MATCH($N667,VAT_Codes!$A:$A,0)),"ANY")&lt;&gt;"ANY",$P667&lt;&gt;IFERROR(INDEX(VAT_Codes!$E:$E,MATCH($N667,VAT_Codes!$A:$A,0)),"ANY")),"REGION MISMATCH","OK")))))))</f>
        <v/>
      </c>
    </row>
    <row r="668" customFormat="false" ht="15" hidden="false" customHeight="false" outlineLevel="0" collapsed="false">
      <c r="M668" s="24" t="str">
        <f aca="false">IF($C668="","",IFERROR(INDEX(Account_Mapping!$C:$C,MATCH($C668&amp;"",Account_Mapping!$A:$A,0))&amp;"",""))</f>
        <v/>
      </c>
      <c r="N668" s="24" t="str">
        <f aca="false">IF($K668&lt;&gt;"",$K668,$M668)</f>
        <v/>
      </c>
      <c r="O668" s="24" t="str">
        <f aca="false">IF($F668="","",IFERROR(INDEX(Counterparties!$C:$C,MATCH($F668&amp;"",Counterparties!$A:$A,0))&amp;"",""))</f>
        <v/>
      </c>
      <c r="P668" s="24" t="str">
        <f aca="false">IF($O668="","",IF($O668="CY","CY",IF(ISNUMBER(MATCH($O668,Lists!$A:$A,0)),"EU","3RD")))</f>
        <v/>
      </c>
      <c r="Q668" s="24" t="str">
        <f aca="false">IF($F668="","N",IFERROR(IF(INDEX(Counterparties!$E:$E,MATCH($F668&amp;"",Counterparties!$A:$A,0))="Y","Y","N"),"N"))</f>
        <v>N</v>
      </c>
      <c r="R668" s="25" t="n">
        <f aca="false">IF(OR($H668="",$H668="EUR"),1,IFERROR(INDEX(FX_Rates!$D:$D,MATCH($H668,FX_Rates!$A:$A,0)),""))</f>
        <v>1</v>
      </c>
      <c r="S668" s="26" t="str">
        <f aca="false">IF(AND($I668="",$J668=""),"",IF($J668&lt;&gt;"",$J668,IF(OR($R668="",$R668=0),"",ROUND($I668/$R668,2))))</f>
        <v/>
      </c>
      <c r="T668" s="24" t="str">
        <f aca="false">IF($N668="","",IFERROR(INDEX(VAT_Codes!$C:$C,MATCH($N668,VAT_Codes!$A:$A,0)),"")&amp;"")</f>
        <v/>
      </c>
      <c r="U668" s="26" t="n">
        <f aca="false">IF(OR($S668="",$T668="",$T668="None"),0,IF($T668="Output",-$S668,$S668))</f>
        <v>0</v>
      </c>
      <c r="V668" s="27" t="n">
        <f aca="false">IF($N668="",0,IFERROR(INDEX(VAT_Codes!$D:$D,MATCH($N668,VAT_Codes!$A:$A,0)),0))</f>
        <v>0</v>
      </c>
      <c r="W668" s="26" t="n">
        <f aca="false">IF($U668=0,0,IF(IFERROR(INDEX(VAT_Codes!$F:$F,MATCH($N668,VAT_Codes!$A:$A,0)),"N")="Y",$U668,IF($L668&lt;&gt;"",ROUND(ABS($L668)/IF(OR($R668="",$R668=0),1,$R668),2)*SIGN($U668),ROUND($U668*$V668,2))))</f>
        <v>0</v>
      </c>
      <c r="X668" s="24" t="str">
        <f aca="false">IF($N668="","",IFERROR(INDEX(VAT_Codes!$H:$H,MATCH($N668,VAT_Codes!$A:$A,0)),"")&amp;"")</f>
        <v/>
      </c>
      <c r="Y668" s="24" t="str">
        <f aca="false">IF($A668="","",(YEAR($A668)-YEAR(Settings!$C$8))*12+MONTH($A668)-MONTH(Settings!$C$8)+1)</f>
        <v/>
      </c>
      <c r="Z668" s="24" t="str">
        <f aca="false">IF(AND($C668="",$I668="",$J668=""),"",IF($N668="","NO VAT CODE",IF($T668="","UNKNOWN VAT CODE",IF($S668="","MISSING FX RATE",IF(OR($A668&lt;Settings!$C$8,$A668&gt;Settings!$C$9),"OUTSIDE PERIOD",IF(AND(IFERROR(INDEX(VAT_Codes!$E:$E,MATCH($N668,VAT_Codes!$A:$A,0)),"ANY")&lt;&gt;"ANY",$P668=""),"MISSING COUNTERPARTY COUNTRY",IF(AND(IFERROR(INDEX(VAT_Codes!$E:$E,MATCH($N668,VAT_Codes!$A:$A,0)),"ANY")&lt;&gt;"ANY",$P668&lt;&gt;IFERROR(INDEX(VAT_Codes!$E:$E,MATCH($N668,VAT_Codes!$A:$A,0)),"ANY")),"REGION MISMATCH","OK")))))))</f>
        <v/>
      </c>
    </row>
    <row r="669" customFormat="false" ht="15" hidden="false" customHeight="false" outlineLevel="0" collapsed="false">
      <c r="M669" s="24" t="str">
        <f aca="false">IF($C669="","",IFERROR(INDEX(Account_Mapping!$C:$C,MATCH($C669&amp;"",Account_Mapping!$A:$A,0))&amp;"",""))</f>
        <v/>
      </c>
      <c r="N669" s="24" t="str">
        <f aca="false">IF($K669&lt;&gt;"",$K669,$M669)</f>
        <v/>
      </c>
      <c r="O669" s="24" t="str">
        <f aca="false">IF($F669="","",IFERROR(INDEX(Counterparties!$C:$C,MATCH($F669&amp;"",Counterparties!$A:$A,0))&amp;"",""))</f>
        <v/>
      </c>
      <c r="P669" s="24" t="str">
        <f aca="false">IF($O669="","",IF($O669="CY","CY",IF(ISNUMBER(MATCH($O669,Lists!$A:$A,0)),"EU","3RD")))</f>
        <v/>
      </c>
      <c r="Q669" s="24" t="str">
        <f aca="false">IF($F669="","N",IFERROR(IF(INDEX(Counterparties!$E:$E,MATCH($F669&amp;"",Counterparties!$A:$A,0))="Y","Y","N"),"N"))</f>
        <v>N</v>
      </c>
      <c r="R669" s="25" t="n">
        <f aca="false">IF(OR($H669="",$H669="EUR"),1,IFERROR(INDEX(FX_Rates!$D:$D,MATCH($H669,FX_Rates!$A:$A,0)),""))</f>
        <v>1</v>
      </c>
      <c r="S669" s="26" t="str">
        <f aca="false">IF(AND($I669="",$J669=""),"",IF($J669&lt;&gt;"",$J669,IF(OR($R669="",$R669=0),"",ROUND($I669/$R669,2))))</f>
        <v/>
      </c>
      <c r="T669" s="24" t="str">
        <f aca="false">IF($N669="","",IFERROR(INDEX(VAT_Codes!$C:$C,MATCH($N669,VAT_Codes!$A:$A,0)),"")&amp;"")</f>
        <v/>
      </c>
      <c r="U669" s="26" t="n">
        <f aca="false">IF(OR($S669="",$T669="",$T669="None"),0,IF($T669="Output",-$S669,$S669))</f>
        <v>0</v>
      </c>
      <c r="V669" s="27" t="n">
        <f aca="false">IF($N669="",0,IFERROR(INDEX(VAT_Codes!$D:$D,MATCH($N669,VAT_Codes!$A:$A,0)),0))</f>
        <v>0</v>
      </c>
      <c r="W669" s="26" t="n">
        <f aca="false">IF($U669=0,0,IF(IFERROR(INDEX(VAT_Codes!$F:$F,MATCH($N669,VAT_Codes!$A:$A,0)),"N")="Y",$U669,IF($L669&lt;&gt;"",ROUND(ABS($L669)/IF(OR($R669="",$R669=0),1,$R669),2)*SIGN($U669),ROUND($U669*$V669,2))))</f>
        <v>0</v>
      </c>
      <c r="X669" s="24" t="str">
        <f aca="false">IF($N669="","",IFERROR(INDEX(VAT_Codes!$H:$H,MATCH($N669,VAT_Codes!$A:$A,0)),"")&amp;"")</f>
        <v/>
      </c>
      <c r="Y669" s="24" t="str">
        <f aca="false">IF($A669="","",(YEAR($A669)-YEAR(Settings!$C$8))*12+MONTH($A669)-MONTH(Settings!$C$8)+1)</f>
        <v/>
      </c>
      <c r="Z669" s="24" t="str">
        <f aca="false">IF(AND($C669="",$I669="",$J669=""),"",IF($N669="","NO VAT CODE",IF($T669="","UNKNOWN VAT CODE",IF($S669="","MISSING FX RATE",IF(OR($A669&lt;Settings!$C$8,$A669&gt;Settings!$C$9),"OUTSIDE PERIOD",IF(AND(IFERROR(INDEX(VAT_Codes!$E:$E,MATCH($N669,VAT_Codes!$A:$A,0)),"ANY")&lt;&gt;"ANY",$P669=""),"MISSING COUNTERPARTY COUNTRY",IF(AND(IFERROR(INDEX(VAT_Codes!$E:$E,MATCH($N669,VAT_Codes!$A:$A,0)),"ANY")&lt;&gt;"ANY",$P669&lt;&gt;IFERROR(INDEX(VAT_Codes!$E:$E,MATCH($N669,VAT_Codes!$A:$A,0)),"ANY")),"REGION MISMATCH","OK")))))))</f>
        <v/>
      </c>
    </row>
    <row r="670" customFormat="false" ht="15" hidden="false" customHeight="false" outlineLevel="0" collapsed="false">
      <c r="M670" s="24" t="str">
        <f aca="false">IF($C670="","",IFERROR(INDEX(Account_Mapping!$C:$C,MATCH($C670&amp;"",Account_Mapping!$A:$A,0))&amp;"",""))</f>
        <v/>
      </c>
      <c r="N670" s="24" t="str">
        <f aca="false">IF($K670&lt;&gt;"",$K670,$M670)</f>
        <v/>
      </c>
      <c r="O670" s="24" t="str">
        <f aca="false">IF($F670="","",IFERROR(INDEX(Counterparties!$C:$C,MATCH($F670&amp;"",Counterparties!$A:$A,0))&amp;"",""))</f>
        <v/>
      </c>
      <c r="P670" s="24" t="str">
        <f aca="false">IF($O670="","",IF($O670="CY","CY",IF(ISNUMBER(MATCH($O670,Lists!$A:$A,0)),"EU","3RD")))</f>
        <v/>
      </c>
      <c r="Q670" s="24" t="str">
        <f aca="false">IF($F670="","N",IFERROR(IF(INDEX(Counterparties!$E:$E,MATCH($F670&amp;"",Counterparties!$A:$A,0))="Y","Y","N"),"N"))</f>
        <v>N</v>
      </c>
      <c r="R670" s="25" t="n">
        <f aca="false">IF(OR($H670="",$H670="EUR"),1,IFERROR(INDEX(FX_Rates!$D:$D,MATCH($H670,FX_Rates!$A:$A,0)),""))</f>
        <v>1</v>
      </c>
      <c r="S670" s="26" t="str">
        <f aca="false">IF(AND($I670="",$J670=""),"",IF($J670&lt;&gt;"",$J670,IF(OR($R670="",$R670=0),"",ROUND($I670/$R670,2))))</f>
        <v/>
      </c>
      <c r="T670" s="24" t="str">
        <f aca="false">IF($N670="","",IFERROR(INDEX(VAT_Codes!$C:$C,MATCH($N670,VAT_Codes!$A:$A,0)),"")&amp;"")</f>
        <v/>
      </c>
      <c r="U670" s="26" t="n">
        <f aca="false">IF(OR($S670="",$T670="",$T670="None"),0,IF($T670="Output",-$S670,$S670))</f>
        <v>0</v>
      </c>
      <c r="V670" s="27" t="n">
        <f aca="false">IF($N670="",0,IFERROR(INDEX(VAT_Codes!$D:$D,MATCH($N670,VAT_Codes!$A:$A,0)),0))</f>
        <v>0</v>
      </c>
      <c r="W670" s="26" t="n">
        <f aca="false">IF($U670=0,0,IF(IFERROR(INDEX(VAT_Codes!$F:$F,MATCH($N670,VAT_Codes!$A:$A,0)),"N")="Y",$U670,IF($L670&lt;&gt;"",ROUND(ABS($L670)/IF(OR($R670="",$R670=0),1,$R670),2)*SIGN($U670),ROUND($U670*$V670,2))))</f>
        <v>0</v>
      </c>
      <c r="X670" s="24" t="str">
        <f aca="false">IF($N670="","",IFERROR(INDEX(VAT_Codes!$H:$H,MATCH($N670,VAT_Codes!$A:$A,0)),"")&amp;"")</f>
        <v/>
      </c>
      <c r="Y670" s="24" t="str">
        <f aca="false">IF($A670="","",(YEAR($A670)-YEAR(Settings!$C$8))*12+MONTH($A670)-MONTH(Settings!$C$8)+1)</f>
        <v/>
      </c>
      <c r="Z670" s="24" t="str">
        <f aca="false">IF(AND($C670="",$I670="",$J670=""),"",IF($N670="","NO VAT CODE",IF($T670="","UNKNOWN VAT CODE",IF($S670="","MISSING FX RATE",IF(OR($A670&lt;Settings!$C$8,$A670&gt;Settings!$C$9),"OUTSIDE PERIOD",IF(AND(IFERROR(INDEX(VAT_Codes!$E:$E,MATCH($N670,VAT_Codes!$A:$A,0)),"ANY")&lt;&gt;"ANY",$P670=""),"MISSING COUNTERPARTY COUNTRY",IF(AND(IFERROR(INDEX(VAT_Codes!$E:$E,MATCH($N670,VAT_Codes!$A:$A,0)),"ANY")&lt;&gt;"ANY",$P670&lt;&gt;IFERROR(INDEX(VAT_Codes!$E:$E,MATCH($N670,VAT_Codes!$A:$A,0)),"ANY")),"REGION MISMATCH","OK")))))))</f>
        <v/>
      </c>
    </row>
    <row r="671" customFormat="false" ht="15" hidden="false" customHeight="false" outlineLevel="0" collapsed="false">
      <c r="M671" s="24" t="str">
        <f aca="false">IF($C671="","",IFERROR(INDEX(Account_Mapping!$C:$C,MATCH($C671&amp;"",Account_Mapping!$A:$A,0))&amp;"",""))</f>
        <v/>
      </c>
      <c r="N671" s="24" t="str">
        <f aca="false">IF($K671&lt;&gt;"",$K671,$M671)</f>
        <v/>
      </c>
      <c r="O671" s="24" t="str">
        <f aca="false">IF($F671="","",IFERROR(INDEX(Counterparties!$C:$C,MATCH($F671&amp;"",Counterparties!$A:$A,0))&amp;"",""))</f>
        <v/>
      </c>
      <c r="P671" s="24" t="str">
        <f aca="false">IF($O671="","",IF($O671="CY","CY",IF(ISNUMBER(MATCH($O671,Lists!$A:$A,0)),"EU","3RD")))</f>
        <v/>
      </c>
      <c r="Q671" s="24" t="str">
        <f aca="false">IF($F671="","N",IFERROR(IF(INDEX(Counterparties!$E:$E,MATCH($F671&amp;"",Counterparties!$A:$A,0))="Y","Y","N"),"N"))</f>
        <v>N</v>
      </c>
      <c r="R671" s="25" t="n">
        <f aca="false">IF(OR($H671="",$H671="EUR"),1,IFERROR(INDEX(FX_Rates!$D:$D,MATCH($H671,FX_Rates!$A:$A,0)),""))</f>
        <v>1</v>
      </c>
      <c r="S671" s="26" t="str">
        <f aca="false">IF(AND($I671="",$J671=""),"",IF($J671&lt;&gt;"",$J671,IF(OR($R671="",$R671=0),"",ROUND($I671/$R671,2))))</f>
        <v/>
      </c>
      <c r="T671" s="24" t="str">
        <f aca="false">IF($N671="","",IFERROR(INDEX(VAT_Codes!$C:$C,MATCH($N671,VAT_Codes!$A:$A,0)),"")&amp;"")</f>
        <v/>
      </c>
      <c r="U671" s="26" t="n">
        <f aca="false">IF(OR($S671="",$T671="",$T671="None"),0,IF($T671="Output",-$S671,$S671))</f>
        <v>0</v>
      </c>
      <c r="V671" s="27" t="n">
        <f aca="false">IF($N671="",0,IFERROR(INDEX(VAT_Codes!$D:$D,MATCH($N671,VAT_Codes!$A:$A,0)),0))</f>
        <v>0</v>
      </c>
      <c r="W671" s="26" t="n">
        <f aca="false">IF($U671=0,0,IF(IFERROR(INDEX(VAT_Codes!$F:$F,MATCH($N671,VAT_Codes!$A:$A,0)),"N")="Y",$U671,IF($L671&lt;&gt;"",ROUND(ABS($L671)/IF(OR($R671="",$R671=0),1,$R671),2)*SIGN($U671),ROUND($U671*$V671,2))))</f>
        <v>0</v>
      </c>
      <c r="X671" s="24" t="str">
        <f aca="false">IF($N671="","",IFERROR(INDEX(VAT_Codes!$H:$H,MATCH($N671,VAT_Codes!$A:$A,0)),"")&amp;"")</f>
        <v/>
      </c>
      <c r="Y671" s="24" t="str">
        <f aca="false">IF($A671="","",(YEAR($A671)-YEAR(Settings!$C$8))*12+MONTH($A671)-MONTH(Settings!$C$8)+1)</f>
        <v/>
      </c>
      <c r="Z671" s="24" t="str">
        <f aca="false">IF(AND($C671="",$I671="",$J671=""),"",IF($N671="","NO VAT CODE",IF($T671="","UNKNOWN VAT CODE",IF($S671="","MISSING FX RATE",IF(OR($A671&lt;Settings!$C$8,$A671&gt;Settings!$C$9),"OUTSIDE PERIOD",IF(AND(IFERROR(INDEX(VAT_Codes!$E:$E,MATCH($N671,VAT_Codes!$A:$A,0)),"ANY")&lt;&gt;"ANY",$P671=""),"MISSING COUNTERPARTY COUNTRY",IF(AND(IFERROR(INDEX(VAT_Codes!$E:$E,MATCH($N671,VAT_Codes!$A:$A,0)),"ANY")&lt;&gt;"ANY",$P671&lt;&gt;IFERROR(INDEX(VAT_Codes!$E:$E,MATCH($N671,VAT_Codes!$A:$A,0)),"ANY")),"REGION MISMATCH","OK")))))))</f>
        <v/>
      </c>
    </row>
    <row r="672" customFormat="false" ht="15" hidden="false" customHeight="false" outlineLevel="0" collapsed="false">
      <c r="M672" s="24" t="str">
        <f aca="false">IF($C672="","",IFERROR(INDEX(Account_Mapping!$C:$C,MATCH($C672&amp;"",Account_Mapping!$A:$A,0))&amp;"",""))</f>
        <v/>
      </c>
      <c r="N672" s="24" t="str">
        <f aca="false">IF($K672&lt;&gt;"",$K672,$M672)</f>
        <v/>
      </c>
      <c r="O672" s="24" t="str">
        <f aca="false">IF($F672="","",IFERROR(INDEX(Counterparties!$C:$C,MATCH($F672&amp;"",Counterparties!$A:$A,0))&amp;"",""))</f>
        <v/>
      </c>
      <c r="P672" s="24" t="str">
        <f aca="false">IF($O672="","",IF($O672="CY","CY",IF(ISNUMBER(MATCH($O672,Lists!$A:$A,0)),"EU","3RD")))</f>
        <v/>
      </c>
      <c r="Q672" s="24" t="str">
        <f aca="false">IF($F672="","N",IFERROR(IF(INDEX(Counterparties!$E:$E,MATCH($F672&amp;"",Counterparties!$A:$A,0))="Y","Y","N"),"N"))</f>
        <v>N</v>
      </c>
      <c r="R672" s="25" t="n">
        <f aca="false">IF(OR($H672="",$H672="EUR"),1,IFERROR(INDEX(FX_Rates!$D:$D,MATCH($H672,FX_Rates!$A:$A,0)),""))</f>
        <v>1</v>
      </c>
      <c r="S672" s="26" t="str">
        <f aca="false">IF(AND($I672="",$J672=""),"",IF($J672&lt;&gt;"",$J672,IF(OR($R672="",$R672=0),"",ROUND($I672/$R672,2))))</f>
        <v/>
      </c>
      <c r="T672" s="24" t="str">
        <f aca="false">IF($N672="","",IFERROR(INDEX(VAT_Codes!$C:$C,MATCH($N672,VAT_Codes!$A:$A,0)),"")&amp;"")</f>
        <v/>
      </c>
      <c r="U672" s="26" t="n">
        <f aca="false">IF(OR($S672="",$T672="",$T672="None"),0,IF($T672="Output",-$S672,$S672))</f>
        <v>0</v>
      </c>
      <c r="V672" s="27" t="n">
        <f aca="false">IF($N672="",0,IFERROR(INDEX(VAT_Codes!$D:$D,MATCH($N672,VAT_Codes!$A:$A,0)),0))</f>
        <v>0</v>
      </c>
      <c r="W672" s="26" t="n">
        <f aca="false">IF($U672=0,0,IF(IFERROR(INDEX(VAT_Codes!$F:$F,MATCH($N672,VAT_Codes!$A:$A,0)),"N")="Y",$U672,IF($L672&lt;&gt;"",ROUND(ABS($L672)/IF(OR($R672="",$R672=0),1,$R672),2)*SIGN($U672),ROUND($U672*$V672,2))))</f>
        <v>0</v>
      </c>
      <c r="X672" s="24" t="str">
        <f aca="false">IF($N672="","",IFERROR(INDEX(VAT_Codes!$H:$H,MATCH($N672,VAT_Codes!$A:$A,0)),"")&amp;"")</f>
        <v/>
      </c>
      <c r="Y672" s="24" t="str">
        <f aca="false">IF($A672="","",(YEAR($A672)-YEAR(Settings!$C$8))*12+MONTH($A672)-MONTH(Settings!$C$8)+1)</f>
        <v/>
      </c>
      <c r="Z672" s="24" t="str">
        <f aca="false">IF(AND($C672="",$I672="",$J672=""),"",IF($N672="","NO VAT CODE",IF($T672="","UNKNOWN VAT CODE",IF($S672="","MISSING FX RATE",IF(OR($A672&lt;Settings!$C$8,$A672&gt;Settings!$C$9),"OUTSIDE PERIOD",IF(AND(IFERROR(INDEX(VAT_Codes!$E:$E,MATCH($N672,VAT_Codes!$A:$A,0)),"ANY")&lt;&gt;"ANY",$P672=""),"MISSING COUNTERPARTY COUNTRY",IF(AND(IFERROR(INDEX(VAT_Codes!$E:$E,MATCH($N672,VAT_Codes!$A:$A,0)),"ANY")&lt;&gt;"ANY",$P672&lt;&gt;IFERROR(INDEX(VAT_Codes!$E:$E,MATCH($N672,VAT_Codes!$A:$A,0)),"ANY")),"REGION MISMATCH","OK")))))))</f>
        <v/>
      </c>
    </row>
    <row r="673" customFormat="false" ht="15" hidden="false" customHeight="false" outlineLevel="0" collapsed="false">
      <c r="M673" s="24" t="str">
        <f aca="false">IF($C673="","",IFERROR(INDEX(Account_Mapping!$C:$C,MATCH($C673&amp;"",Account_Mapping!$A:$A,0))&amp;"",""))</f>
        <v/>
      </c>
      <c r="N673" s="24" t="str">
        <f aca="false">IF($K673&lt;&gt;"",$K673,$M673)</f>
        <v/>
      </c>
      <c r="O673" s="24" t="str">
        <f aca="false">IF($F673="","",IFERROR(INDEX(Counterparties!$C:$C,MATCH($F673&amp;"",Counterparties!$A:$A,0))&amp;"",""))</f>
        <v/>
      </c>
      <c r="P673" s="24" t="str">
        <f aca="false">IF($O673="","",IF($O673="CY","CY",IF(ISNUMBER(MATCH($O673,Lists!$A:$A,0)),"EU","3RD")))</f>
        <v/>
      </c>
      <c r="Q673" s="24" t="str">
        <f aca="false">IF($F673="","N",IFERROR(IF(INDEX(Counterparties!$E:$E,MATCH($F673&amp;"",Counterparties!$A:$A,0))="Y","Y","N"),"N"))</f>
        <v>N</v>
      </c>
      <c r="R673" s="25" t="n">
        <f aca="false">IF(OR($H673="",$H673="EUR"),1,IFERROR(INDEX(FX_Rates!$D:$D,MATCH($H673,FX_Rates!$A:$A,0)),""))</f>
        <v>1</v>
      </c>
      <c r="S673" s="26" t="str">
        <f aca="false">IF(AND($I673="",$J673=""),"",IF($J673&lt;&gt;"",$J673,IF(OR($R673="",$R673=0),"",ROUND($I673/$R673,2))))</f>
        <v/>
      </c>
      <c r="T673" s="24" t="str">
        <f aca="false">IF($N673="","",IFERROR(INDEX(VAT_Codes!$C:$C,MATCH($N673,VAT_Codes!$A:$A,0)),"")&amp;"")</f>
        <v/>
      </c>
      <c r="U673" s="26" t="n">
        <f aca="false">IF(OR($S673="",$T673="",$T673="None"),0,IF($T673="Output",-$S673,$S673))</f>
        <v>0</v>
      </c>
      <c r="V673" s="27" t="n">
        <f aca="false">IF($N673="",0,IFERROR(INDEX(VAT_Codes!$D:$D,MATCH($N673,VAT_Codes!$A:$A,0)),0))</f>
        <v>0</v>
      </c>
      <c r="W673" s="26" t="n">
        <f aca="false">IF($U673=0,0,IF(IFERROR(INDEX(VAT_Codes!$F:$F,MATCH($N673,VAT_Codes!$A:$A,0)),"N")="Y",$U673,IF($L673&lt;&gt;"",ROUND(ABS($L673)/IF(OR($R673="",$R673=0),1,$R673),2)*SIGN($U673),ROUND($U673*$V673,2))))</f>
        <v>0</v>
      </c>
      <c r="X673" s="24" t="str">
        <f aca="false">IF($N673="","",IFERROR(INDEX(VAT_Codes!$H:$H,MATCH($N673,VAT_Codes!$A:$A,0)),"")&amp;"")</f>
        <v/>
      </c>
      <c r="Y673" s="24" t="str">
        <f aca="false">IF($A673="","",(YEAR($A673)-YEAR(Settings!$C$8))*12+MONTH($A673)-MONTH(Settings!$C$8)+1)</f>
        <v/>
      </c>
      <c r="Z673" s="24" t="str">
        <f aca="false">IF(AND($C673="",$I673="",$J673=""),"",IF($N673="","NO VAT CODE",IF($T673="","UNKNOWN VAT CODE",IF($S673="","MISSING FX RATE",IF(OR($A673&lt;Settings!$C$8,$A673&gt;Settings!$C$9),"OUTSIDE PERIOD",IF(AND(IFERROR(INDEX(VAT_Codes!$E:$E,MATCH($N673,VAT_Codes!$A:$A,0)),"ANY")&lt;&gt;"ANY",$P673=""),"MISSING COUNTERPARTY COUNTRY",IF(AND(IFERROR(INDEX(VAT_Codes!$E:$E,MATCH($N673,VAT_Codes!$A:$A,0)),"ANY")&lt;&gt;"ANY",$P673&lt;&gt;IFERROR(INDEX(VAT_Codes!$E:$E,MATCH($N673,VAT_Codes!$A:$A,0)),"ANY")),"REGION MISMATCH","OK")))))))</f>
        <v/>
      </c>
    </row>
    <row r="674" customFormat="false" ht="15" hidden="false" customHeight="false" outlineLevel="0" collapsed="false">
      <c r="M674" s="24" t="str">
        <f aca="false">IF($C674="","",IFERROR(INDEX(Account_Mapping!$C:$C,MATCH($C674&amp;"",Account_Mapping!$A:$A,0))&amp;"",""))</f>
        <v/>
      </c>
      <c r="N674" s="24" t="str">
        <f aca="false">IF($K674&lt;&gt;"",$K674,$M674)</f>
        <v/>
      </c>
      <c r="O674" s="24" t="str">
        <f aca="false">IF($F674="","",IFERROR(INDEX(Counterparties!$C:$C,MATCH($F674&amp;"",Counterparties!$A:$A,0))&amp;"",""))</f>
        <v/>
      </c>
      <c r="P674" s="24" t="str">
        <f aca="false">IF($O674="","",IF($O674="CY","CY",IF(ISNUMBER(MATCH($O674,Lists!$A:$A,0)),"EU","3RD")))</f>
        <v/>
      </c>
      <c r="Q674" s="24" t="str">
        <f aca="false">IF($F674="","N",IFERROR(IF(INDEX(Counterparties!$E:$E,MATCH($F674&amp;"",Counterparties!$A:$A,0))="Y","Y","N"),"N"))</f>
        <v>N</v>
      </c>
      <c r="R674" s="25" t="n">
        <f aca="false">IF(OR($H674="",$H674="EUR"),1,IFERROR(INDEX(FX_Rates!$D:$D,MATCH($H674,FX_Rates!$A:$A,0)),""))</f>
        <v>1</v>
      </c>
      <c r="S674" s="26" t="str">
        <f aca="false">IF(AND($I674="",$J674=""),"",IF($J674&lt;&gt;"",$J674,IF(OR($R674="",$R674=0),"",ROUND($I674/$R674,2))))</f>
        <v/>
      </c>
      <c r="T674" s="24" t="str">
        <f aca="false">IF($N674="","",IFERROR(INDEX(VAT_Codes!$C:$C,MATCH($N674,VAT_Codes!$A:$A,0)),"")&amp;"")</f>
        <v/>
      </c>
      <c r="U674" s="26" t="n">
        <f aca="false">IF(OR($S674="",$T674="",$T674="None"),0,IF($T674="Output",-$S674,$S674))</f>
        <v>0</v>
      </c>
      <c r="V674" s="27" t="n">
        <f aca="false">IF($N674="",0,IFERROR(INDEX(VAT_Codes!$D:$D,MATCH($N674,VAT_Codes!$A:$A,0)),0))</f>
        <v>0</v>
      </c>
      <c r="W674" s="26" t="n">
        <f aca="false">IF($U674=0,0,IF(IFERROR(INDEX(VAT_Codes!$F:$F,MATCH($N674,VAT_Codes!$A:$A,0)),"N")="Y",$U674,IF($L674&lt;&gt;"",ROUND(ABS($L674)/IF(OR($R674="",$R674=0),1,$R674),2)*SIGN($U674),ROUND($U674*$V674,2))))</f>
        <v>0</v>
      </c>
      <c r="X674" s="24" t="str">
        <f aca="false">IF($N674="","",IFERROR(INDEX(VAT_Codes!$H:$H,MATCH($N674,VAT_Codes!$A:$A,0)),"")&amp;"")</f>
        <v/>
      </c>
      <c r="Y674" s="24" t="str">
        <f aca="false">IF($A674="","",(YEAR($A674)-YEAR(Settings!$C$8))*12+MONTH($A674)-MONTH(Settings!$C$8)+1)</f>
        <v/>
      </c>
      <c r="Z674" s="24" t="str">
        <f aca="false">IF(AND($C674="",$I674="",$J674=""),"",IF($N674="","NO VAT CODE",IF($T674="","UNKNOWN VAT CODE",IF($S674="","MISSING FX RATE",IF(OR($A674&lt;Settings!$C$8,$A674&gt;Settings!$C$9),"OUTSIDE PERIOD",IF(AND(IFERROR(INDEX(VAT_Codes!$E:$E,MATCH($N674,VAT_Codes!$A:$A,0)),"ANY")&lt;&gt;"ANY",$P674=""),"MISSING COUNTERPARTY COUNTRY",IF(AND(IFERROR(INDEX(VAT_Codes!$E:$E,MATCH($N674,VAT_Codes!$A:$A,0)),"ANY")&lt;&gt;"ANY",$P674&lt;&gt;IFERROR(INDEX(VAT_Codes!$E:$E,MATCH($N674,VAT_Codes!$A:$A,0)),"ANY")),"REGION MISMATCH","OK")))))))</f>
        <v/>
      </c>
    </row>
    <row r="675" customFormat="false" ht="15" hidden="false" customHeight="false" outlineLevel="0" collapsed="false">
      <c r="M675" s="24" t="str">
        <f aca="false">IF($C675="","",IFERROR(INDEX(Account_Mapping!$C:$C,MATCH($C675&amp;"",Account_Mapping!$A:$A,0))&amp;"",""))</f>
        <v/>
      </c>
      <c r="N675" s="24" t="str">
        <f aca="false">IF($K675&lt;&gt;"",$K675,$M675)</f>
        <v/>
      </c>
      <c r="O675" s="24" t="str">
        <f aca="false">IF($F675="","",IFERROR(INDEX(Counterparties!$C:$C,MATCH($F675&amp;"",Counterparties!$A:$A,0))&amp;"",""))</f>
        <v/>
      </c>
      <c r="P675" s="24" t="str">
        <f aca="false">IF($O675="","",IF($O675="CY","CY",IF(ISNUMBER(MATCH($O675,Lists!$A:$A,0)),"EU","3RD")))</f>
        <v/>
      </c>
      <c r="Q675" s="24" t="str">
        <f aca="false">IF($F675="","N",IFERROR(IF(INDEX(Counterparties!$E:$E,MATCH($F675&amp;"",Counterparties!$A:$A,0))="Y","Y","N"),"N"))</f>
        <v>N</v>
      </c>
      <c r="R675" s="25" t="n">
        <f aca="false">IF(OR($H675="",$H675="EUR"),1,IFERROR(INDEX(FX_Rates!$D:$D,MATCH($H675,FX_Rates!$A:$A,0)),""))</f>
        <v>1</v>
      </c>
      <c r="S675" s="26" t="str">
        <f aca="false">IF(AND($I675="",$J675=""),"",IF($J675&lt;&gt;"",$J675,IF(OR($R675="",$R675=0),"",ROUND($I675/$R675,2))))</f>
        <v/>
      </c>
      <c r="T675" s="24" t="str">
        <f aca="false">IF($N675="","",IFERROR(INDEX(VAT_Codes!$C:$C,MATCH($N675,VAT_Codes!$A:$A,0)),"")&amp;"")</f>
        <v/>
      </c>
      <c r="U675" s="26" t="n">
        <f aca="false">IF(OR($S675="",$T675="",$T675="None"),0,IF($T675="Output",-$S675,$S675))</f>
        <v>0</v>
      </c>
      <c r="V675" s="27" t="n">
        <f aca="false">IF($N675="",0,IFERROR(INDEX(VAT_Codes!$D:$D,MATCH($N675,VAT_Codes!$A:$A,0)),0))</f>
        <v>0</v>
      </c>
      <c r="W675" s="26" t="n">
        <f aca="false">IF($U675=0,0,IF(IFERROR(INDEX(VAT_Codes!$F:$F,MATCH($N675,VAT_Codes!$A:$A,0)),"N")="Y",$U675,IF($L675&lt;&gt;"",ROUND(ABS($L675)/IF(OR($R675="",$R675=0),1,$R675),2)*SIGN($U675),ROUND($U675*$V675,2))))</f>
        <v>0</v>
      </c>
      <c r="X675" s="24" t="str">
        <f aca="false">IF($N675="","",IFERROR(INDEX(VAT_Codes!$H:$H,MATCH($N675,VAT_Codes!$A:$A,0)),"")&amp;"")</f>
        <v/>
      </c>
      <c r="Y675" s="24" t="str">
        <f aca="false">IF($A675="","",(YEAR($A675)-YEAR(Settings!$C$8))*12+MONTH($A675)-MONTH(Settings!$C$8)+1)</f>
        <v/>
      </c>
      <c r="Z675" s="24" t="str">
        <f aca="false">IF(AND($C675="",$I675="",$J675=""),"",IF($N675="","NO VAT CODE",IF($T675="","UNKNOWN VAT CODE",IF($S675="","MISSING FX RATE",IF(OR($A675&lt;Settings!$C$8,$A675&gt;Settings!$C$9),"OUTSIDE PERIOD",IF(AND(IFERROR(INDEX(VAT_Codes!$E:$E,MATCH($N675,VAT_Codes!$A:$A,0)),"ANY")&lt;&gt;"ANY",$P675=""),"MISSING COUNTERPARTY COUNTRY",IF(AND(IFERROR(INDEX(VAT_Codes!$E:$E,MATCH($N675,VAT_Codes!$A:$A,0)),"ANY")&lt;&gt;"ANY",$P675&lt;&gt;IFERROR(INDEX(VAT_Codes!$E:$E,MATCH($N675,VAT_Codes!$A:$A,0)),"ANY")),"REGION MISMATCH","OK")))))))</f>
        <v/>
      </c>
    </row>
    <row r="676" customFormat="false" ht="15" hidden="false" customHeight="false" outlineLevel="0" collapsed="false">
      <c r="M676" s="24" t="str">
        <f aca="false">IF($C676="","",IFERROR(INDEX(Account_Mapping!$C:$C,MATCH($C676&amp;"",Account_Mapping!$A:$A,0))&amp;"",""))</f>
        <v/>
      </c>
      <c r="N676" s="24" t="str">
        <f aca="false">IF($K676&lt;&gt;"",$K676,$M676)</f>
        <v/>
      </c>
      <c r="O676" s="24" t="str">
        <f aca="false">IF($F676="","",IFERROR(INDEX(Counterparties!$C:$C,MATCH($F676&amp;"",Counterparties!$A:$A,0))&amp;"",""))</f>
        <v/>
      </c>
      <c r="P676" s="24" t="str">
        <f aca="false">IF($O676="","",IF($O676="CY","CY",IF(ISNUMBER(MATCH($O676,Lists!$A:$A,0)),"EU","3RD")))</f>
        <v/>
      </c>
      <c r="Q676" s="24" t="str">
        <f aca="false">IF($F676="","N",IFERROR(IF(INDEX(Counterparties!$E:$E,MATCH($F676&amp;"",Counterparties!$A:$A,0))="Y","Y","N"),"N"))</f>
        <v>N</v>
      </c>
      <c r="R676" s="25" t="n">
        <f aca="false">IF(OR($H676="",$H676="EUR"),1,IFERROR(INDEX(FX_Rates!$D:$D,MATCH($H676,FX_Rates!$A:$A,0)),""))</f>
        <v>1</v>
      </c>
      <c r="S676" s="26" t="str">
        <f aca="false">IF(AND($I676="",$J676=""),"",IF($J676&lt;&gt;"",$J676,IF(OR($R676="",$R676=0),"",ROUND($I676/$R676,2))))</f>
        <v/>
      </c>
      <c r="T676" s="24" t="str">
        <f aca="false">IF($N676="","",IFERROR(INDEX(VAT_Codes!$C:$C,MATCH($N676,VAT_Codes!$A:$A,0)),"")&amp;"")</f>
        <v/>
      </c>
      <c r="U676" s="26" t="n">
        <f aca="false">IF(OR($S676="",$T676="",$T676="None"),0,IF($T676="Output",-$S676,$S676))</f>
        <v>0</v>
      </c>
      <c r="V676" s="27" t="n">
        <f aca="false">IF($N676="",0,IFERROR(INDEX(VAT_Codes!$D:$D,MATCH($N676,VAT_Codes!$A:$A,0)),0))</f>
        <v>0</v>
      </c>
      <c r="W676" s="26" t="n">
        <f aca="false">IF($U676=0,0,IF(IFERROR(INDEX(VAT_Codes!$F:$F,MATCH($N676,VAT_Codes!$A:$A,0)),"N")="Y",$U676,IF($L676&lt;&gt;"",ROUND(ABS($L676)/IF(OR($R676="",$R676=0),1,$R676),2)*SIGN($U676),ROUND($U676*$V676,2))))</f>
        <v>0</v>
      </c>
      <c r="X676" s="24" t="str">
        <f aca="false">IF($N676="","",IFERROR(INDEX(VAT_Codes!$H:$H,MATCH($N676,VAT_Codes!$A:$A,0)),"")&amp;"")</f>
        <v/>
      </c>
      <c r="Y676" s="24" t="str">
        <f aca="false">IF($A676="","",(YEAR($A676)-YEAR(Settings!$C$8))*12+MONTH($A676)-MONTH(Settings!$C$8)+1)</f>
        <v/>
      </c>
      <c r="Z676" s="24" t="str">
        <f aca="false">IF(AND($C676="",$I676="",$J676=""),"",IF($N676="","NO VAT CODE",IF($T676="","UNKNOWN VAT CODE",IF($S676="","MISSING FX RATE",IF(OR($A676&lt;Settings!$C$8,$A676&gt;Settings!$C$9),"OUTSIDE PERIOD",IF(AND(IFERROR(INDEX(VAT_Codes!$E:$E,MATCH($N676,VAT_Codes!$A:$A,0)),"ANY")&lt;&gt;"ANY",$P676=""),"MISSING COUNTERPARTY COUNTRY",IF(AND(IFERROR(INDEX(VAT_Codes!$E:$E,MATCH($N676,VAT_Codes!$A:$A,0)),"ANY")&lt;&gt;"ANY",$P676&lt;&gt;IFERROR(INDEX(VAT_Codes!$E:$E,MATCH($N676,VAT_Codes!$A:$A,0)),"ANY")),"REGION MISMATCH","OK")))))))</f>
        <v/>
      </c>
    </row>
    <row r="677" customFormat="false" ht="15" hidden="false" customHeight="false" outlineLevel="0" collapsed="false">
      <c r="M677" s="24" t="str">
        <f aca="false">IF($C677="","",IFERROR(INDEX(Account_Mapping!$C:$C,MATCH($C677&amp;"",Account_Mapping!$A:$A,0))&amp;"",""))</f>
        <v/>
      </c>
      <c r="N677" s="24" t="str">
        <f aca="false">IF($K677&lt;&gt;"",$K677,$M677)</f>
        <v/>
      </c>
      <c r="O677" s="24" t="str">
        <f aca="false">IF($F677="","",IFERROR(INDEX(Counterparties!$C:$C,MATCH($F677&amp;"",Counterparties!$A:$A,0))&amp;"",""))</f>
        <v/>
      </c>
      <c r="P677" s="24" t="str">
        <f aca="false">IF($O677="","",IF($O677="CY","CY",IF(ISNUMBER(MATCH($O677,Lists!$A:$A,0)),"EU","3RD")))</f>
        <v/>
      </c>
      <c r="Q677" s="24" t="str">
        <f aca="false">IF($F677="","N",IFERROR(IF(INDEX(Counterparties!$E:$E,MATCH($F677&amp;"",Counterparties!$A:$A,0))="Y","Y","N"),"N"))</f>
        <v>N</v>
      </c>
      <c r="R677" s="25" t="n">
        <f aca="false">IF(OR($H677="",$H677="EUR"),1,IFERROR(INDEX(FX_Rates!$D:$D,MATCH($H677,FX_Rates!$A:$A,0)),""))</f>
        <v>1</v>
      </c>
      <c r="S677" s="26" t="str">
        <f aca="false">IF(AND($I677="",$J677=""),"",IF($J677&lt;&gt;"",$J677,IF(OR($R677="",$R677=0),"",ROUND($I677/$R677,2))))</f>
        <v/>
      </c>
      <c r="T677" s="24" t="str">
        <f aca="false">IF($N677="","",IFERROR(INDEX(VAT_Codes!$C:$C,MATCH($N677,VAT_Codes!$A:$A,0)),"")&amp;"")</f>
        <v/>
      </c>
      <c r="U677" s="26" t="n">
        <f aca="false">IF(OR($S677="",$T677="",$T677="None"),0,IF($T677="Output",-$S677,$S677))</f>
        <v>0</v>
      </c>
      <c r="V677" s="27" t="n">
        <f aca="false">IF($N677="",0,IFERROR(INDEX(VAT_Codes!$D:$D,MATCH($N677,VAT_Codes!$A:$A,0)),0))</f>
        <v>0</v>
      </c>
      <c r="W677" s="26" t="n">
        <f aca="false">IF($U677=0,0,IF(IFERROR(INDEX(VAT_Codes!$F:$F,MATCH($N677,VAT_Codes!$A:$A,0)),"N")="Y",$U677,IF($L677&lt;&gt;"",ROUND(ABS($L677)/IF(OR($R677="",$R677=0),1,$R677),2)*SIGN($U677),ROUND($U677*$V677,2))))</f>
        <v>0</v>
      </c>
      <c r="X677" s="24" t="str">
        <f aca="false">IF($N677="","",IFERROR(INDEX(VAT_Codes!$H:$H,MATCH($N677,VAT_Codes!$A:$A,0)),"")&amp;"")</f>
        <v/>
      </c>
      <c r="Y677" s="24" t="str">
        <f aca="false">IF($A677="","",(YEAR($A677)-YEAR(Settings!$C$8))*12+MONTH($A677)-MONTH(Settings!$C$8)+1)</f>
        <v/>
      </c>
      <c r="Z677" s="24" t="str">
        <f aca="false">IF(AND($C677="",$I677="",$J677=""),"",IF($N677="","NO VAT CODE",IF($T677="","UNKNOWN VAT CODE",IF($S677="","MISSING FX RATE",IF(OR($A677&lt;Settings!$C$8,$A677&gt;Settings!$C$9),"OUTSIDE PERIOD",IF(AND(IFERROR(INDEX(VAT_Codes!$E:$E,MATCH($N677,VAT_Codes!$A:$A,0)),"ANY")&lt;&gt;"ANY",$P677=""),"MISSING COUNTERPARTY COUNTRY",IF(AND(IFERROR(INDEX(VAT_Codes!$E:$E,MATCH($N677,VAT_Codes!$A:$A,0)),"ANY")&lt;&gt;"ANY",$P677&lt;&gt;IFERROR(INDEX(VAT_Codes!$E:$E,MATCH($N677,VAT_Codes!$A:$A,0)),"ANY")),"REGION MISMATCH","OK")))))))</f>
        <v/>
      </c>
    </row>
    <row r="678" customFormat="false" ht="15" hidden="false" customHeight="false" outlineLevel="0" collapsed="false">
      <c r="M678" s="24" t="str">
        <f aca="false">IF($C678="","",IFERROR(INDEX(Account_Mapping!$C:$C,MATCH($C678&amp;"",Account_Mapping!$A:$A,0))&amp;"",""))</f>
        <v/>
      </c>
      <c r="N678" s="24" t="str">
        <f aca="false">IF($K678&lt;&gt;"",$K678,$M678)</f>
        <v/>
      </c>
      <c r="O678" s="24" t="str">
        <f aca="false">IF($F678="","",IFERROR(INDEX(Counterparties!$C:$C,MATCH($F678&amp;"",Counterparties!$A:$A,0))&amp;"",""))</f>
        <v/>
      </c>
      <c r="P678" s="24" t="str">
        <f aca="false">IF($O678="","",IF($O678="CY","CY",IF(ISNUMBER(MATCH($O678,Lists!$A:$A,0)),"EU","3RD")))</f>
        <v/>
      </c>
      <c r="Q678" s="24" t="str">
        <f aca="false">IF($F678="","N",IFERROR(IF(INDEX(Counterparties!$E:$E,MATCH($F678&amp;"",Counterparties!$A:$A,0))="Y","Y","N"),"N"))</f>
        <v>N</v>
      </c>
      <c r="R678" s="25" t="n">
        <f aca="false">IF(OR($H678="",$H678="EUR"),1,IFERROR(INDEX(FX_Rates!$D:$D,MATCH($H678,FX_Rates!$A:$A,0)),""))</f>
        <v>1</v>
      </c>
      <c r="S678" s="26" t="str">
        <f aca="false">IF(AND($I678="",$J678=""),"",IF($J678&lt;&gt;"",$J678,IF(OR($R678="",$R678=0),"",ROUND($I678/$R678,2))))</f>
        <v/>
      </c>
      <c r="T678" s="24" t="str">
        <f aca="false">IF($N678="","",IFERROR(INDEX(VAT_Codes!$C:$C,MATCH($N678,VAT_Codes!$A:$A,0)),"")&amp;"")</f>
        <v/>
      </c>
      <c r="U678" s="26" t="n">
        <f aca="false">IF(OR($S678="",$T678="",$T678="None"),0,IF($T678="Output",-$S678,$S678))</f>
        <v>0</v>
      </c>
      <c r="V678" s="27" t="n">
        <f aca="false">IF($N678="",0,IFERROR(INDEX(VAT_Codes!$D:$D,MATCH($N678,VAT_Codes!$A:$A,0)),0))</f>
        <v>0</v>
      </c>
      <c r="W678" s="26" t="n">
        <f aca="false">IF($U678=0,0,IF(IFERROR(INDEX(VAT_Codes!$F:$F,MATCH($N678,VAT_Codes!$A:$A,0)),"N")="Y",$U678,IF($L678&lt;&gt;"",ROUND(ABS($L678)/IF(OR($R678="",$R678=0),1,$R678),2)*SIGN($U678),ROUND($U678*$V678,2))))</f>
        <v>0</v>
      </c>
      <c r="X678" s="24" t="str">
        <f aca="false">IF($N678="","",IFERROR(INDEX(VAT_Codes!$H:$H,MATCH($N678,VAT_Codes!$A:$A,0)),"")&amp;"")</f>
        <v/>
      </c>
      <c r="Y678" s="24" t="str">
        <f aca="false">IF($A678="","",(YEAR($A678)-YEAR(Settings!$C$8))*12+MONTH($A678)-MONTH(Settings!$C$8)+1)</f>
        <v/>
      </c>
      <c r="Z678" s="24" t="str">
        <f aca="false">IF(AND($C678="",$I678="",$J678=""),"",IF($N678="","NO VAT CODE",IF($T678="","UNKNOWN VAT CODE",IF($S678="","MISSING FX RATE",IF(OR($A678&lt;Settings!$C$8,$A678&gt;Settings!$C$9),"OUTSIDE PERIOD",IF(AND(IFERROR(INDEX(VAT_Codes!$E:$E,MATCH($N678,VAT_Codes!$A:$A,0)),"ANY")&lt;&gt;"ANY",$P678=""),"MISSING COUNTERPARTY COUNTRY",IF(AND(IFERROR(INDEX(VAT_Codes!$E:$E,MATCH($N678,VAT_Codes!$A:$A,0)),"ANY")&lt;&gt;"ANY",$P678&lt;&gt;IFERROR(INDEX(VAT_Codes!$E:$E,MATCH($N678,VAT_Codes!$A:$A,0)),"ANY")),"REGION MISMATCH","OK")))))))</f>
        <v/>
      </c>
    </row>
    <row r="679" customFormat="false" ht="15" hidden="false" customHeight="false" outlineLevel="0" collapsed="false">
      <c r="M679" s="24" t="str">
        <f aca="false">IF($C679="","",IFERROR(INDEX(Account_Mapping!$C:$C,MATCH($C679&amp;"",Account_Mapping!$A:$A,0))&amp;"",""))</f>
        <v/>
      </c>
      <c r="N679" s="24" t="str">
        <f aca="false">IF($K679&lt;&gt;"",$K679,$M679)</f>
        <v/>
      </c>
      <c r="O679" s="24" t="str">
        <f aca="false">IF($F679="","",IFERROR(INDEX(Counterparties!$C:$C,MATCH($F679&amp;"",Counterparties!$A:$A,0))&amp;"",""))</f>
        <v/>
      </c>
      <c r="P679" s="24" t="str">
        <f aca="false">IF($O679="","",IF($O679="CY","CY",IF(ISNUMBER(MATCH($O679,Lists!$A:$A,0)),"EU","3RD")))</f>
        <v/>
      </c>
      <c r="Q679" s="24" t="str">
        <f aca="false">IF($F679="","N",IFERROR(IF(INDEX(Counterparties!$E:$E,MATCH($F679&amp;"",Counterparties!$A:$A,0))="Y","Y","N"),"N"))</f>
        <v>N</v>
      </c>
      <c r="R679" s="25" t="n">
        <f aca="false">IF(OR($H679="",$H679="EUR"),1,IFERROR(INDEX(FX_Rates!$D:$D,MATCH($H679,FX_Rates!$A:$A,0)),""))</f>
        <v>1</v>
      </c>
      <c r="S679" s="26" t="str">
        <f aca="false">IF(AND($I679="",$J679=""),"",IF($J679&lt;&gt;"",$J679,IF(OR($R679="",$R679=0),"",ROUND($I679/$R679,2))))</f>
        <v/>
      </c>
      <c r="T679" s="24" t="str">
        <f aca="false">IF($N679="","",IFERROR(INDEX(VAT_Codes!$C:$C,MATCH($N679,VAT_Codes!$A:$A,0)),"")&amp;"")</f>
        <v/>
      </c>
      <c r="U679" s="26" t="n">
        <f aca="false">IF(OR($S679="",$T679="",$T679="None"),0,IF($T679="Output",-$S679,$S679))</f>
        <v>0</v>
      </c>
      <c r="V679" s="27" t="n">
        <f aca="false">IF($N679="",0,IFERROR(INDEX(VAT_Codes!$D:$D,MATCH($N679,VAT_Codes!$A:$A,0)),0))</f>
        <v>0</v>
      </c>
      <c r="W679" s="26" t="n">
        <f aca="false">IF($U679=0,0,IF(IFERROR(INDEX(VAT_Codes!$F:$F,MATCH($N679,VAT_Codes!$A:$A,0)),"N")="Y",$U679,IF($L679&lt;&gt;"",ROUND(ABS($L679)/IF(OR($R679="",$R679=0),1,$R679),2)*SIGN($U679),ROUND($U679*$V679,2))))</f>
        <v>0</v>
      </c>
      <c r="X679" s="24" t="str">
        <f aca="false">IF($N679="","",IFERROR(INDEX(VAT_Codes!$H:$H,MATCH($N679,VAT_Codes!$A:$A,0)),"")&amp;"")</f>
        <v/>
      </c>
      <c r="Y679" s="24" t="str">
        <f aca="false">IF($A679="","",(YEAR($A679)-YEAR(Settings!$C$8))*12+MONTH($A679)-MONTH(Settings!$C$8)+1)</f>
        <v/>
      </c>
      <c r="Z679" s="24" t="str">
        <f aca="false">IF(AND($C679="",$I679="",$J679=""),"",IF($N679="","NO VAT CODE",IF($T679="","UNKNOWN VAT CODE",IF($S679="","MISSING FX RATE",IF(OR($A679&lt;Settings!$C$8,$A679&gt;Settings!$C$9),"OUTSIDE PERIOD",IF(AND(IFERROR(INDEX(VAT_Codes!$E:$E,MATCH($N679,VAT_Codes!$A:$A,0)),"ANY")&lt;&gt;"ANY",$P679=""),"MISSING COUNTERPARTY COUNTRY",IF(AND(IFERROR(INDEX(VAT_Codes!$E:$E,MATCH($N679,VAT_Codes!$A:$A,0)),"ANY")&lt;&gt;"ANY",$P679&lt;&gt;IFERROR(INDEX(VAT_Codes!$E:$E,MATCH($N679,VAT_Codes!$A:$A,0)),"ANY")),"REGION MISMATCH","OK")))))))</f>
        <v/>
      </c>
    </row>
    <row r="680" customFormat="false" ht="15" hidden="false" customHeight="false" outlineLevel="0" collapsed="false">
      <c r="M680" s="24" t="str">
        <f aca="false">IF($C680="","",IFERROR(INDEX(Account_Mapping!$C:$C,MATCH($C680&amp;"",Account_Mapping!$A:$A,0))&amp;"",""))</f>
        <v/>
      </c>
      <c r="N680" s="24" t="str">
        <f aca="false">IF($K680&lt;&gt;"",$K680,$M680)</f>
        <v/>
      </c>
      <c r="O680" s="24" t="str">
        <f aca="false">IF($F680="","",IFERROR(INDEX(Counterparties!$C:$C,MATCH($F680&amp;"",Counterparties!$A:$A,0))&amp;"",""))</f>
        <v/>
      </c>
      <c r="P680" s="24" t="str">
        <f aca="false">IF($O680="","",IF($O680="CY","CY",IF(ISNUMBER(MATCH($O680,Lists!$A:$A,0)),"EU","3RD")))</f>
        <v/>
      </c>
      <c r="Q680" s="24" t="str">
        <f aca="false">IF($F680="","N",IFERROR(IF(INDEX(Counterparties!$E:$E,MATCH($F680&amp;"",Counterparties!$A:$A,0))="Y","Y","N"),"N"))</f>
        <v>N</v>
      </c>
      <c r="R680" s="25" t="n">
        <f aca="false">IF(OR($H680="",$H680="EUR"),1,IFERROR(INDEX(FX_Rates!$D:$D,MATCH($H680,FX_Rates!$A:$A,0)),""))</f>
        <v>1</v>
      </c>
      <c r="S680" s="26" t="str">
        <f aca="false">IF(AND($I680="",$J680=""),"",IF($J680&lt;&gt;"",$J680,IF(OR($R680="",$R680=0),"",ROUND($I680/$R680,2))))</f>
        <v/>
      </c>
      <c r="T680" s="24" t="str">
        <f aca="false">IF($N680="","",IFERROR(INDEX(VAT_Codes!$C:$C,MATCH($N680,VAT_Codes!$A:$A,0)),"")&amp;"")</f>
        <v/>
      </c>
      <c r="U680" s="26" t="n">
        <f aca="false">IF(OR($S680="",$T680="",$T680="None"),0,IF($T680="Output",-$S680,$S680))</f>
        <v>0</v>
      </c>
      <c r="V680" s="27" t="n">
        <f aca="false">IF($N680="",0,IFERROR(INDEX(VAT_Codes!$D:$D,MATCH($N680,VAT_Codes!$A:$A,0)),0))</f>
        <v>0</v>
      </c>
      <c r="W680" s="26" t="n">
        <f aca="false">IF($U680=0,0,IF(IFERROR(INDEX(VAT_Codes!$F:$F,MATCH($N680,VAT_Codes!$A:$A,0)),"N")="Y",$U680,IF($L680&lt;&gt;"",ROUND(ABS($L680)/IF(OR($R680="",$R680=0),1,$R680),2)*SIGN($U680),ROUND($U680*$V680,2))))</f>
        <v>0</v>
      </c>
      <c r="X680" s="24" t="str">
        <f aca="false">IF($N680="","",IFERROR(INDEX(VAT_Codes!$H:$H,MATCH($N680,VAT_Codes!$A:$A,0)),"")&amp;"")</f>
        <v/>
      </c>
      <c r="Y680" s="24" t="str">
        <f aca="false">IF($A680="","",(YEAR($A680)-YEAR(Settings!$C$8))*12+MONTH($A680)-MONTH(Settings!$C$8)+1)</f>
        <v/>
      </c>
      <c r="Z680" s="24" t="str">
        <f aca="false">IF(AND($C680="",$I680="",$J680=""),"",IF($N680="","NO VAT CODE",IF($T680="","UNKNOWN VAT CODE",IF($S680="","MISSING FX RATE",IF(OR($A680&lt;Settings!$C$8,$A680&gt;Settings!$C$9),"OUTSIDE PERIOD",IF(AND(IFERROR(INDEX(VAT_Codes!$E:$E,MATCH($N680,VAT_Codes!$A:$A,0)),"ANY")&lt;&gt;"ANY",$P680=""),"MISSING COUNTERPARTY COUNTRY",IF(AND(IFERROR(INDEX(VAT_Codes!$E:$E,MATCH($N680,VAT_Codes!$A:$A,0)),"ANY")&lt;&gt;"ANY",$P680&lt;&gt;IFERROR(INDEX(VAT_Codes!$E:$E,MATCH($N680,VAT_Codes!$A:$A,0)),"ANY")),"REGION MISMATCH","OK")))))))</f>
        <v/>
      </c>
    </row>
    <row r="681" customFormat="false" ht="15" hidden="false" customHeight="false" outlineLevel="0" collapsed="false">
      <c r="M681" s="24" t="str">
        <f aca="false">IF($C681="","",IFERROR(INDEX(Account_Mapping!$C:$C,MATCH($C681&amp;"",Account_Mapping!$A:$A,0))&amp;"",""))</f>
        <v/>
      </c>
      <c r="N681" s="24" t="str">
        <f aca="false">IF($K681&lt;&gt;"",$K681,$M681)</f>
        <v/>
      </c>
      <c r="O681" s="24" t="str">
        <f aca="false">IF($F681="","",IFERROR(INDEX(Counterparties!$C:$C,MATCH($F681&amp;"",Counterparties!$A:$A,0))&amp;"",""))</f>
        <v/>
      </c>
      <c r="P681" s="24" t="str">
        <f aca="false">IF($O681="","",IF($O681="CY","CY",IF(ISNUMBER(MATCH($O681,Lists!$A:$A,0)),"EU","3RD")))</f>
        <v/>
      </c>
      <c r="Q681" s="24" t="str">
        <f aca="false">IF($F681="","N",IFERROR(IF(INDEX(Counterparties!$E:$E,MATCH($F681&amp;"",Counterparties!$A:$A,0))="Y","Y","N"),"N"))</f>
        <v>N</v>
      </c>
      <c r="R681" s="25" t="n">
        <f aca="false">IF(OR($H681="",$H681="EUR"),1,IFERROR(INDEX(FX_Rates!$D:$D,MATCH($H681,FX_Rates!$A:$A,0)),""))</f>
        <v>1</v>
      </c>
      <c r="S681" s="26" t="str">
        <f aca="false">IF(AND($I681="",$J681=""),"",IF($J681&lt;&gt;"",$J681,IF(OR($R681="",$R681=0),"",ROUND($I681/$R681,2))))</f>
        <v/>
      </c>
      <c r="T681" s="24" t="str">
        <f aca="false">IF($N681="","",IFERROR(INDEX(VAT_Codes!$C:$C,MATCH($N681,VAT_Codes!$A:$A,0)),"")&amp;"")</f>
        <v/>
      </c>
      <c r="U681" s="26" t="n">
        <f aca="false">IF(OR($S681="",$T681="",$T681="None"),0,IF($T681="Output",-$S681,$S681))</f>
        <v>0</v>
      </c>
      <c r="V681" s="27" t="n">
        <f aca="false">IF($N681="",0,IFERROR(INDEX(VAT_Codes!$D:$D,MATCH($N681,VAT_Codes!$A:$A,0)),0))</f>
        <v>0</v>
      </c>
      <c r="W681" s="26" t="n">
        <f aca="false">IF($U681=0,0,IF(IFERROR(INDEX(VAT_Codes!$F:$F,MATCH($N681,VAT_Codes!$A:$A,0)),"N")="Y",$U681,IF($L681&lt;&gt;"",ROUND(ABS($L681)/IF(OR($R681="",$R681=0),1,$R681),2)*SIGN($U681),ROUND($U681*$V681,2))))</f>
        <v>0</v>
      </c>
      <c r="X681" s="24" t="str">
        <f aca="false">IF($N681="","",IFERROR(INDEX(VAT_Codes!$H:$H,MATCH($N681,VAT_Codes!$A:$A,0)),"")&amp;"")</f>
        <v/>
      </c>
      <c r="Y681" s="24" t="str">
        <f aca="false">IF($A681="","",(YEAR($A681)-YEAR(Settings!$C$8))*12+MONTH($A681)-MONTH(Settings!$C$8)+1)</f>
        <v/>
      </c>
      <c r="Z681" s="24" t="str">
        <f aca="false">IF(AND($C681="",$I681="",$J681=""),"",IF($N681="","NO VAT CODE",IF($T681="","UNKNOWN VAT CODE",IF($S681="","MISSING FX RATE",IF(OR($A681&lt;Settings!$C$8,$A681&gt;Settings!$C$9),"OUTSIDE PERIOD",IF(AND(IFERROR(INDEX(VAT_Codes!$E:$E,MATCH($N681,VAT_Codes!$A:$A,0)),"ANY")&lt;&gt;"ANY",$P681=""),"MISSING COUNTERPARTY COUNTRY",IF(AND(IFERROR(INDEX(VAT_Codes!$E:$E,MATCH($N681,VAT_Codes!$A:$A,0)),"ANY")&lt;&gt;"ANY",$P681&lt;&gt;IFERROR(INDEX(VAT_Codes!$E:$E,MATCH($N681,VAT_Codes!$A:$A,0)),"ANY")),"REGION MISMATCH","OK")))))))</f>
        <v/>
      </c>
    </row>
    <row r="682" customFormat="false" ht="15" hidden="false" customHeight="false" outlineLevel="0" collapsed="false">
      <c r="M682" s="24" t="str">
        <f aca="false">IF($C682="","",IFERROR(INDEX(Account_Mapping!$C:$C,MATCH($C682&amp;"",Account_Mapping!$A:$A,0))&amp;"",""))</f>
        <v/>
      </c>
      <c r="N682" s="24" t="str">
        <f aca="false">IF($K682&lt;&gt;"",$K682,$M682)</f>
        <v/>
      </c>
      <c r="O682" s="24" t="str">
        <f aca="false">IF($F682="","",IFERROR(INDEX(Counterparties!$C:$C,MATCH($F682&amp;"",Counterparties!$A:$A,0))&amp;"",""))</f>
        <v/>
      </c>
      <c r="P682" s="24" t="str">
        <f aca="false">IF($O682="","",IF($O682="CY","CY",IF(ISNUMBER(MATCH($O682,Lists!$A:$A,0)),"EU","3RD")))</f>
        <v/>
      </c>
      <c r="Q682" s="24" t="str">
        <f aca="false">IF($F682="","N",IFERROR(IF(INDEX(Counterparties!$E:$E,MATCH($F682&amp;"",Counterparties!$A:$A,0))="Y","Y","N"),"N"))</f>
        <v>N</v>
      </c>
      <c r="R682" s="25" t="n">
        <f aca="false">IF(OR($H682="",$H682="EUR"),1,IFERROR(INDEX(FX_Rates!$D:$D,MATCH($H682,FX_Rates!$A:$A,0)),""))</f>
        <v>1</v>
      </c>
      <c r="S682" s="26" t="str">
        <f aca="false">IF(AND($I682="",$J682=""),"",IF($J682&lt;&gt;"",$J682,IF(OR($R682="",$R682=0),"",ROUND($I682/$R682,2))))</f>
        <v/>
      </c>
      <c r="T682" s="24" t="str">
        <f aca="false">IF($N682="","",IFERROR(INDEX(VAT_Codes!$C:$C,MATCH($N682,VAT_Codes!$A:$A,0)),"")&amp;"")</f>
        <v/>
      </c>
      <c r="U682" s="26" t="n">
        <f aca="false">IF(OR($S682="",$T682="",$T682="None"),0,IF($T682="Output",-$S682,$S682))</f>
        <v>0</v>
      </c>
      <c r="V682" s="27" t="n">
        <f aca="false">IF($N682="",0,IFERROR(INDEX(VAT_Codes!$D:$D,MATCH($N682,VAT_Codes!$A:$A,0)),0))</f>
        <v>0</v>
      </c>
      <c r="W682" s="26" t="n">
        <f aca="false">IF($U682=0,0,IF(IFERROR(INDEX(VAT_Codes!$F:$F,MATCH($N682,VAT_Codes!$A:$A,0)),"N")="Y",$U682,IF($L682&lt;&gt;"",ROUND(ABS($L682)/IF(OR($R682="",$R682=0),1,$R682),2)*SIGN($U682),ROUND($U682*$V682,2))))</f>
        <v>0</v>
      </c>
      <c r="X682" s="24" t="str">
        <f aca="false">IF($N682="","",IFERROR(INDEX(VAT_Codes!$H:$H,MATCH($N682,VAT_Codes!$A:$A,0)),"")&amp;"")</f>
        <v/>
      </c>
      <c r="Y682" s="24" t="str">
        <f aca="false">IF($A682="","",(YEAR($A682)-YEAR(Settings!$C$8))*12+MONTH($A682)-MONTH(Settings!$C$8)+1)</f>
        <v/>
      </c>
      <c r="Z682" s="24" t="str">
        <f aca="false">IF(AND($C682="",$I682="",$J682=""),"",IF($N682="","NO VAT CODE",IF($T682="","UNKNOWN VAT CODE",IF($S682="","MISSING FX RATE",IF(OR($A682&lt;Settings!$C$8,$A682&gt;Settings!$C$9),"OUTSIDE PERIOD",IF(AND(IFERROR(INDEX(VAT_Codes!$E:$E,MATCH($N682,VAT_Codes!$A:$A,0)),"ANY")&lt;&gt;"ANY",$P682=""),"MISSING COUNTERPARTY COUNTRY",IF(AND(IFERROR(INDEX(VAT_Codes!$E:$E,MATCH($N682,VAT_Codes!$A:$A,0)),"ANY")&lt;&gt;"ANY",$P682&lt;&gt;IFERROR(INDEX(VAT_Codes!$E:$E,MATCH($N682,VAT_Codes!$A:$A,0)),"ANY")),"REGION MISMATCH","OK")))))))</f>
        <v/>
      </c>
    </row>
    <row r="683" customFormat="false" ht="15" hidden="false" customHeight="false" outlineLevel="0" collapsed="false">
      <c r="M683" s="24" t="str">
        <f aca="false">IF($C683="","",IFERROR(INDEX(Account_Mapping!$C:$C,MATCH($C683&amp;"",Account_Mapping!$A:$A,0))&amp;"",""))</f>
        <v/>
      </c>
      <c r="N683" s="24" t="str">
        <f aca="false">IF($K683&lt;&gt;"",$K683,$M683)</f>
        <v/>
      </c>
      <c r="O683" s="24" t="str">
        <f aca="false">IF($F683="","",IFERROR(INDEX(Counterparties!$C:$C,MATCH($F683&amp;"",Counterparties!$A:$A,0))&amp;"",""))</f>
        <v/>
      </c>
      <c r="P683" s="24" t="str">
        <f aca="false">IF($O683="","",IF($O683="CY","CY",IF(ISNUMBER(MATCH($O683,Lists!$A:$A,0)),"EU","3RD")))</f>
        <v/>
      </c>
      <c r="Q683" s="24" t="str">
        <f aca="false">IF($F683="","N",IFERROR(IF(INDEX(Counterparties!$E:$E,MATCH($F683&amp;"",Counterparties!$A:$A,0))="Y","Y","N"),"N"))</f>
        <v>N</v>
      </c>
      <c r="R683" s="25" t="n">
        <f aca="false">IF(OR($H683="",$H683="EUR"),1,IFERROR(INDEX(FX_Rates!$D:$D,MATCH($H683,FX_Rates!$A:$A,0)),""))</f>
        <v>1</v>
      </c>
      <c r="S683" s="26" t="str">
        <f aca="false">IF(AND($I683="",$J683=""),"",IF($J683&lt;&gt;"",$J683,IF(OR($R683="",$R683=0),"",ROUND($I683/$R683,2))))</f>
        <v/>
      </c>
      <c r="T683" s="24" t="str">
        <f aca="false">IF($N683="","",IFERROR(INDEX(VAT_Codes!$C:$C,MATCH($N683,VAT_Codes!$A:$A,0)),"")&amp;"")</f>
        <v/>
      </c>
      <c r="U683" s="26" t="n">
        <f aca="false">IF(OR($S683="",$T683="",$T683="None"),0,IF($T683="Output",-$S683,$S683))</f>
        <v>0</v>
      </c>
      <c r="V683" s="27" t="n">
        <f aca="false">IF($N683="",0,IFERROR(INDEX(VAT_Codes!$D:$D,MATCH($N683,VAT_Codes!$A:$A,0)),0))</f>
        <v>0</v>
      </c>
      <c r="W683" s="26" t="n">
        <f aca="false">IF($U683=0,0,IF(IFERROR(INDEX(VAT_Codes!$F:$F,MATCH($N683,VAT_Codes!$A:$A,0)),"N")="Y",$U683,IF($L683&lt;&gt;"",ROUND(ABS($L683)/IF(OR($R683="",$R683=0),1,$R683),2)*SIGN($U683),ROUND($U683*$V683,2))))</f>
        <v>0</v>
      </c>
      <c r="X683" s="24" t="str">
        <f aca="false">IF($N683="","",IFERROR(INDEX(VAT_Codes!$H:$H,MATCH($N683,VAT_Codes!$A:$A,0)),"")&amp;"")</f>
        <v/>
      </c>
      <c r="Y683" s="24" t="str">
        <f aca="false">IF($A683="","",(YEAR($A683)-YEAR(Settings!$C$8))*12+MONTH($A683)-MONTH(Settings!$C$8)+1)</f>
        <v/>
      </c>
      <c r="Z683" s="24" t="str">
        <f aca="false">IF(AND($C683="",$I683="",$J683=""),"",IF($N683="","NO VAT CODE",IF($T683="","UNKNOWN VAT CODE",IF($S683="","MISSING FX RATE",IF(OR($A683&lt;Settings!$C$8,$A683&gt;Settings!$C$9),"OUTSIDE PERIOD",IF(AND(IFERROR(INDEX(VAT_Codes!$E:$E,MATCH($N683,VAT_Codes!$A:$A,0)),"ANY")&lt;&gt;"ANY",$P683=""),"MISSING COUNTERPARTY COUNTRY",IF(AND(IFERROR(INDEX(VAT_Codes!$E:$E,MATCH($N683,VAT_Codes!$A:$A,0)),"ANY")&lt;&gt;"ANY",$P683&lt;&gt;IFERROR(INDEX(VAT_Codes!$E:$E,MATCH($N683,VAT_Codes!$A:$A,0)),"ANY")),"REGION MISMATCH","OK")))))))</f>
        <v/>
      </c>
    </row>
    <row r="684" customFormat="false" ht="15" hidden="false" customHeight="false" outlineLevel="0" collapsed="false">
      <c r="M684" s="24" t="str">
        <f aca="false">IF($C684="","",IFERROR(INDEX(Account_Mapping!$C:$C,MATCH($C684&amp;"",Account_Mapping!$A:$A,0))&amp;"",""))</f>
        <v/>
      </c>
      <c r="N684" s="24" t="str">
        <f aca="false">IF($K684&lt;&gt;"",$K684,$M684)</f>
        <v/>
      </c>
      <c r="O684" s="24" t="str">
        <f aca="false">IF($F684="","",IFERROR(INDEX(Counterparties!$C:$C,MATCH($F684&amp;"",Counterparties!$A:$A,0))&amp;"",""))</f>
        <v/>
      </c>
      <c r="P684" s="24" t="str">
        <f aca="false">IF($O684="","",IF($O684="CY","CY",IF(ISNUMBER(MATCH($O684,Lists!$A:$A,0)),"EU","3RD")))</f>
        <v/>
      </c>
      <c r="Q684" s="24" t="str">
        <f aca="false">IF($F684="","N",IFERROR(IF(INDEX(Counterparties!$E:$E,MATCH($F684&amp;"",Counterparties!$A:$A,0))="Y","Y","N"),"N"))</f>
        <v>N</v>
      </c>
      <c r="R684" s="25" t="n">
        <f aca="false">IF(OR($H684="",$H684="EUR"),1,IFERROR(INDEX(FX_Rates!$D:$D,MATCH($H684,FX_Rates!$A:$A,0)),""))</f>
        <v>1</v>
      </c>
      <c r="S684" s="26" t="str">
        <f aca="false">IF(AND($I684="",$J684=""),"",IF($J684&lt;&gt;"",$J684,IF(OR($R684="",$R684=0),"",ROUND($I684/$R684,2))))</f>
        <v/>
      </c>
      <c r="T684" s="24" t="str">
        <f aca="false">IF($N684="","",IFERROR(INDEX(VAT_Codes!$C:$C,MATCH($N684,VAT_Codes!$A:$A,0)),"")&amp;"")</f>
        <v/>
      </c>
      <c r="U684" s="26" t="n">
        <f aca="false">IF(OR($S684="",$T684="",$T684="None"),0,IF($T684="Output",-$S684,$S684))</f>
        <v>0</v>
      </c>
      <c r="V684" s="27" t="n">
        <f aca="false">IF($N684="",0,IFERROR(INDEX(VAT_Codes!$D:$D,MATCH($N684,VAT_Codes!$A:$A,0)),0))</f>
        <v>0</v>
      </c>
      <c r="W684" s="26" t="n">
        <f aca="false">IF($U684=0,0,IF(IFERROR(INDEX(VAT_Codes!$F:$F,MATCH($N684,VAT_Codes!$A:$A,0)),"N")="Y",$U684,IF($L684&lt;&gt;"",ROUND(ABS($L684)/IF(OR($R684="",$R684=0),1,$R684),2)*SIGN($U684),ROUND($U684*$V684,2))))</f>
        <v>0</v>
      </c>
      <c r="X684" s="24" t="str">
        <f aca="false">IF($N684="","",IFERROR(INDEX(VAT_Codes!$H:$H,MATCH($N684,VAT_Codes!$A:$A,0)),"")&amp;"")</f>
        <v/>
      </c>
      <c r="Y684" s="24" t="str">
        <f aca="false">IF($A684="","",(YEAR($A684)-YEAR(Settings!$C$8))*12+MONTH($A684)-MONTH(Settings!$C$8)+1)</f>
        <v/>
      </c>
      <c r="Z684" s="24" t="str">
        <f aca="false">IF(AND($C684="",$I684="",$J684=""),"",IF($N684="","NO VAT CODE",IF($T684="","UNKNOWN VAT CODE",IF($S684="","MISSING FX RATE",IF(OR($A684&lt;Settings!$C$8,$A684&gt;Settings!$C$9),"OUTSIDE PERIOD",IF(AND(IFERROR(INDEX(VAT_Codes!$E:$E,MATCH($N684,VAT_Codes!$A:$A,0)),"ANY")&lt;&gt;"ANY",$P684=""),"MISSING COUNTERPARTY COUNTRY",IF(AND(IFERROR(INDEX(VAT_Codes!$E:$E,MATCH($N684,VAT_Codes!$A:$A,0)),"ANY")&lt;&gt;"ANY",$P684&lt;&gt;IFERROR(INDEX(VAT_Codes!$E:$E,MATCH($N684,VAT_Codes!$A:$A,0)),"ANY")),"REGION MISMATCH","OK")))))))</f>
        <v/>
      </c>
    </row>
    <row r="685" customFormat="false" ht="15" hidden="false" customHeight="false" outlineLevel="0" collapsed="false">
      <c r="M685" s="24" t="str">
        <f aca="false">IF($C685="","",IFERROR(INDEX(Account_Mapping!$C:$C,MATCH($C685&amp;"",Account_Mapping!$A:$A,0))&amp;"",""))</f>
        <v/>
      </c>
      <c r="N685" s="24" t="str">
        <f aca="false">IF($K685&lt;&gt;"",$K685,$M685)</f>
        <v/>
      </c>
      <c r="O685" s="24" t="str">
        <f aca="false">IF($F685="","",IFERROR(INDEX(Counterparties!$C:$C,MATCH($F685&amp;"",Counterparties!$A:$A,0))&amp;"",""))</f>
        <v/>
      </c>
      <c r="P685" s="24" t="str">
        <f aca="false">IF($O685="","",IF($O685="CY","CY",IF(ISNUMBER(MATCH($O685,Lists!$A:$A,0)),"EU","3RD")))</f>
        <v/>
      </c>
      <c r="Q685" s="24" t="str">
        <f aca="false">IF($F685="","N",IFERROR(IF(INDEX(Counterparties!$E:$E,MATCH($F685&amp;"",Counterparties!$A:$A,0))="Y","Y","N"),"N"))</f>
        <v>N</v>
      </c>
      <c r="R685" s="25" t="n">
        <f aca="false">IF(OR($H685="",$H685="EUR"),1,IFERROR(INDEX(FX_Rates!$D:$D,MATCH($H685,FX_Rates!$A:$A,0)),""))</f>
        <v>1</v>
      </c>
      <c r="S685" s="26" t="str">
        <f aca="false">IF(AND($I685="",$J685=""),"",IF($J685&lt;&gt;"",$J685,IF(OR($R685="",$R685=0),"",ROUND($I685/$R685,2))))</f>
        <v/>
      </c>
      <c r="T685" s="24" t="str">
        <f aca="false">IF($N685="","",IFERROR(INDEX(VAT_Codes!$C:$C,MATCH($N685,VAT_Codes!$A:$A,0)),"")&amp;"")</f>
        <v/>
      </c>
      <c r="U685" s="26" t="n">
        <f aca="false">IF(OR($S685="",$T685="",$T685="None"),0,IF($T685="Output",-$S685,$S685))</f>
        <v>0</v>
      </c>
      <c r="V685" s="27" t="n">
        <f aca="false">IF($N685="",0,IFERROR(INDEX(VAT_Codes!$D:$D,MATCH($N685,VAT_Codes!$A:$A,0)),0))</f>
        <v>0</v>
      </c>
      <c r="W685" s="26" t="n">
        <f aca="false">IF($U685=0,0,IF(IFERROR(INDEX(VAT_Codes!$F:$F,MATCH($N685,VAT_Codes!$A:$A,0)),"N")="Y",$U685,IF($L685&lt;&gt;"",ROUND(ABS($L685)/IF(OR($R685="",$R685=0),1,$R685),2)*SIGN($U685),ROUND($U685*$V685,2))))</f>
        <v>0</v>
      </c>
      <c r="X685" s="24" t="str">
        <f aca="false">IF($N685="","",IFERROR(INDEX(VAT_Codes!$H:$H,MATCH($N685,VAT_Codes!$A:$A,0)),"")&amp;"")</f>
        <v/>
      </c>
      <c r="Y685" s="24" t="str">
        <f aca="false">IF($A685="","",(YEAR($A685)-YEAR(Settings!$C$8))*12+MONTH($A685)-MONTH(Settings!$C$8)+1)</f>
        <v/>
      </c>
      <c r="Z685" s="24" t="str">
        <f aca="false">IF(AND($C685="",$I685="",$J685=""),"",IF($N685="","NO VAT CODE",IF($T685="","UNKNOWN VAT CODE",IF($S685="","MISSING FX RATE",IF(OR($A685&lt;Settings!$C$8,$A685&gt;Settings!$C$9),"OUTSIDE PERIOD",IF(AND(IFERROR(INDEX(VAT_Codes!$E:$E,MATCH($N685,VAT_Codes!$A:$A,0)),"ANY")&lt;&gt;"ANY",$P685=""),"MISSING COUNTERPARTY COUNTRY",IF(AND(IFERROR(INDEX(VAT_Codes!$E:$E,MATCH($N685,VAT_Codes!$A:$A,0)),"ANY")&lt;&gt;"ANY",$P685&lt;&gt;IFERROR(INDEX(VAT_Codes!$E:$E,MATCH($N685,VAT_Codes!$A:$A,0)),"ANY")),"REGION MISMATCH","OK")))))))</f>
        <v/>
      </c>
    </row>
    <row r="686" customFormat="false" ht="15" hidden="false" customHeight="false" outlineLevel="0" collapsed="false">
      <c r="M686" s="24" t="str">
        <f aca="false">IF($C686="","",IFERROR(INDEX(Account_Mapping!$C:$C,MATCH($C686&amp;"",Account_Mapping!$A:$A,0))&amp;"",""))</f>
        <v/>
      </c>
      <c r="N686" s="24" t="str">
        <f aca="false">IF($K686&lt;&gt;"",$K686,$M686)</f>
        <v/>
      </c>
      <c r="O686" s="24" t="str">
        <f aca="false">IF($F686="","",IFERROR(INDEX(Counterparties!$C:$C,MATCH($F686&amp;"",Counterparties!$A:$A,0))&amp;"",""))</f>
        <v/>
      </c>
      <c r="P686" s="24" t="str">
        <f aca="false">IF($O686="","",IF($O686="CY","CY",IF(ISNUMBER(MATCH($O686,Lists!$A:$A,0)),"EU","3RD")))</f>
        <v/>
      </c>
      <c r="Q686" s="24" t="str">
        <f aca="false">IF($F686="","N",IFERROR(IF(INDEX(Counterparties!$E:$E,MATCH($F686&amp;"",Counterparties!$A:$A,0))="Y","Y","N"),"N"))</f>
        <v>N</v>
      </c>
      <c r="R686" s="25" t="n">
        <f aca="false">IF(OR($H686="",$H686="EUR"),1,IFERROR(INDEX(FX_Rates!$D:$D,MATCH($H686,FX_Rates!$A:$A,0)),""))</f>
        <v>1</v>
      </c>
      <c r="S686" s="26" t="str">
        <f aca="false">IF(AND($I686="",$J686=""),"",IF($J686&lt;&gt;"",$J686,IF(OR($R686="",$R686=0),"",ROUND($I686/$R686,2))))</f>
        <v/>
      </c>
      <c r="T686" s="24" t="str">
        <f aca="false">IF($N686="","",IFERROR(INDEX(VAT_Codes!$C:$C,MATCH($N686,VAT_Codes!$A:$A,0)),"")&amp;"")</f>
        <v/>
      </c>
      <c r="U686" s="26" t="n">
        <f aca="false">IF(OR($S686="",$T686="",$T686="None"),0,IF($T686="Output",-$S686,$S686))</f>
        <v>0</v>
      </c>
      <c r="V686" s="27" t="n">
        <f aca="false">IF($N686="",0,IFERROR(INDEX(VAT_Codes!$D:$D,MATCH($N686,VAT_Codes!$A:$A,0)),0))</f>
        <v>0</v>
      </c>
      <c r="W686" s="26" t="n">
        <f aca="false">IF($U686=0,0,IF(IFERROR(INDEX(VAT_Codes!$F:$F,MATCH($N686,VAT_Codes!$A:$A,0)),"N")="Y",$U686,IF($L686&lt;&gt;"",ROUND(ABS($L686)/IF(OR($R686="",$R686=0),1,$R686),2)*SIGN($U686),ROUND($U686*$V686,2))))</f>
        <v>0</v>
      </c>
      <c r="X686" s="24" t="str">
        <f aca="false">IF($N686="","",IFERROR(INDEX(VAT_Codes!$H:$H,MATCH($N686,VAT_Codes!$A:$A,0)),"")&amp;"")</f>
        <v/>
      </c>
      <c r="Y686" s="24" t="str">
        <f aca="false">IF($A686="","",(YEAR($A686)-YEAR(Settings!$C$8))*12+MONTH($A686)-MONTH(Settings!$C$8)+1)</f>
        <v/>
      </c>
      <c r="Z686" s="24" t="str">
        <f aca="false">IF(AND($C686="",$I686="",$J686=""),"",IF($N686="","NO VAT CODE",IF($T686="","UNKNOWN VAT CODE",IF($S686="","MISSING FX RATE",IF(OR($A686&lt;Settings!$C$8,$A686&gt;Settings!$C$9),"OUTSIDE PERIOD",IF(AND(IFERROR(INDEX(VAT_Codes!$E:$E,MATCH($N686,VAT_Codes!$A:$A,0)),"ANY")&lt;&gt;"ANY",$P686=""),"MISSING COUNTERPARTY COUNTRY",IF(AND(IFERROR(INDEX(VAT_Codes!$E:$E,MATCH($N686,VAT_Codes!$A:$A,0)),"ANY")&lt;&gt;"ANY",$P686&lt;&gt;IFERROR(INDEX(VAT_Codes!$E:$E,MATCH($N686,VAT_Codes!$A:$A,0)),"ANY")),"REGION MISMATCH","OK")))))))</f>
        <v/>
      </c>
    </row>
    <row r="687" customFormat="false" ht="15" hidden="false" customHeight="false" outlineLevel="0" collapsed="false">
      <c r="M687" s="24" t="str">
        <f aca="false">IF($C687="","",IFERROR(INDEX(Account_Mapping!$C:$C,MATCH($C687&amp;"",Account_Mapping!$A:$A,0))&amp;"",""))</f>
        <v/>
      </c>
      <c r="N687" s="24" t="str">
        <f aca="false">IF($K687&lt;&gt;"",$K687,$M687)</f>
        <v/>
      </c>
      <c r="O687" s="24" t="str">
        <f aca="false">IF($F687="","",IFERROR(INDEX(Counterparties!$C:$C,MATCH($F687&amp;"",Counterparties!$A:$A,0))&amp;"",""))</f>
        <v/>
      </c>
      <c r="P687" s="24" t="str">
        <f aca="false">IF($O687="","",IF($O687="CY","CY",IF(ISNUMBER(MATCH($O687,Lists!$A:$A,0)),"EU","3RD")))</f>
        <v/>
      </c>
      <c r="Q687" s="24" t="str">
        <f aca="false">IF($F687="","N",IFERROR(IF(INDEX(Counterparties!$E:$E,MATCH($F687&amp;"",Counterparties!$A:$A,0))="Y","Y","N"),"N"))</f>
        <v>N</v>
      </c>
      <c r="R687" s="25" t="n">
        <f aca="false">IF(OR($H687="",$H687="EUR"),1,IFERROR(INDEX(FX_Rates!$D:$D,MATCH($H687,FX_Rates!$A:$A,0)),""))</f>
        <v>1</v>
      </c>
      <c r="S687" s="26" t="str">
        <f aca="false">IF(AND($I687="",$J687=""),"",IF($J687&lt;&gt;"",$J687,IF(OR($R687="",$R687=0),"",ROUND($I687/$R687,2))))</f>
        <v/>
      </c>
      <c r="T687" s="24" t="str">
        <f aca="false">IF($N687="","",IFERROR(INDEX(VAT_Codes!$C:$C,MATCH($N687,VAT_Codes!$A:$A,0)),"")&amp;"")</f>
        <v/>
      </c>
      <c r="U687" s="26" t="n">
        <f aca="false">IF(OR($S687="",$T687="",$T687="None"),0,IF($T687="Output",-$S687,$S687))</f>
        <v>0</v>
      </c>
      <c r="V687" s="27" t="n">
        <f aca="false">IF($N687="",0,IFERROR(INDEX(VAT_Codes!$D:$D,MATCH($N687,VAT_Codes!$A:$A,0)),0))</f>
        <v>0</v>
      </c>
      <c r="W687" s="26" t="n">
        <f aca="false">IF($U687=0,0,IF(IFERROR(INDEX(VAT_Codes!$F:$F,MATCH($N687,VAT_Codes!$A:$A,0)),"N")="Y",$U687,IF($L687&lt;&gt;"",ROUND(ABS($L687)/IF(OR($R687="",$R687=0),1,$R687),2)*SIGN($U687),ROUND($U687*$V687,2))))</f>
        <v>0</v>
      </c>
      <c r="X687" s="24" t="str">
        <f aca="false">IF($N687="","",IFERROR(INDEX(VAT_Codes!$H:$H,MATCH($N687,VAT_Codes!$A:$A,0)),"")&amp;"")</f>
        <v/>
      </c>
      <c r="Y687" s="24" t="str">
        <f aca="false">IF($A687="","",(YEAR($A687)-YEAR(Settings!$C$8))*12+MONTH($A687)-MONTH(Settings!$C$8)+1)</f>
        <v/>
      </c>
      <c r="Z687" s="24" t="str">
        <f aca="false">IF(AND($C687="",$I687="",$J687=""),"",IF($N687="","NO VAT CODE",IF($T687="","UNKNOWN VAT CODE",IF($S687="","MISSING FX RATE",IF(OR($A687&lt;Settings!$C$8,$A687&gt;Settings!$C$9),"OUTSIDE PERIOD",IF(AND(IFERROR(INDEX(VAT_Codes!$E:$E,MATCH($N687,VAT_Codes!$A:$A,0)),"ANY")&lt;&gt;"ANY",$P687=""),"MISSING COUNTERPARTY COUNTRY",IF(AND(IFERROR(INDEX(VAT_Codes!$E:$E,MATCH($N687,VAT_Codes!$A:$A,0)),"ANY")&lt;&gt;"ANY",$P687&lt;&gt;IFERROR(INDEX(VAT_Codes!$E:$E,MATCH($N687,VAT_Codes!$A:$A,0)),"ANY")),"REGION MISMATCH","OK")))))))</f>
        <v/>
      </c>
    </row>
    <row r="688" customFormat="false" ht="15" hidden="false" customHeight="false" outlineLevel="0" collapsed="false">
      <c r="M688" s="24" t="str">
        <f aca="false">IF($C688="","",IFERROR(INDEX(Account_Mapping!$C:$C,MATCH($C688&amp;"",Account_Mapping!$A:$A,0))&amp;"",""))</f>
        <v/>
      </c>
      <c r="N688" s="24" t="str">
        <f aca="false">IF($K688&lt;&gt;"",$K688,$M688)</f>
        <v/>
      </c>
      <c r="O688" s="24" t="str">
        <f aca="false">IF($F688="","",IFERROR(INDEX(Counterparties!$C:$C,MATCH($F688&amp;"",Counterparties!$A:$A,0))&amp;"",""))</f>
        <v/>
      </c>
      <c r="P688" s="24" t="str">
        <f aca="false">IF($O688="","",IF($O688="CY","CY",IF(ISNUMBER(MATCH($O688,Lists!$A:$A,0)),"EU","3RD")))</f>
        <v/>
      </c>
      <c r="Q688" s="24" t="str">
        <f aca="false">IF($F688="","N",IFERROR(IF(INDEX(Counterparties!$E:$E,MATCH($F688&amp;"",Counterparties!$A:$A,0))="Y","Y","N"),"N"))</f>
        <v>N</v>
      </c>
      <c r="R688" s="25" t="n">
        <f aca="false">IF(OR($H688="",$H688="EUR"),1,IFERROR(INDEX(FX_Rates!$D:$D,MATCH($H688,FX_Rates!$A:$A,0)),""))</f>
        <v>1</v>
      </c>
      <c r="S688" s="26" t="str">
        <f aca="false">IF(AND($I688="",$J688=""),"",IF($J688&lt;&gt;"",$J688,IF(OR($R688="",$R688=0),"",ROUND($I688/$R688,2))))</f>
        <v/>
      </c>
      <c r="T688" s="24" t="str">
        <f aca="false">IF($N688="","",IFERROR(INDEX(VAT_Codes!$C:$C,MATCH($N688,VAT_Codes!$A:$A,0)),"")&amp;"")</f>
        <v/>
      </c>
      <c r="U688" s="26" t="n">
        <f aca="false">IF(OR($S688="",$T688="",$T688="None"),0,IF($T688="Output",-$S688,$S688))</f>
        <v>0</v>
      </c>
      <c r="V688" s="27" t="n">
        <f aca="false">IF($N688="",0,IFERROR(INDEX(VAT_Codes!$D:$D,MATCH($N688,VAT_Codes!$A:$A,0)),0))</f>
        <v>0</v>
      </c>
      <c r="W688" s="26" t="n">
        <f aca="false">IF($U688=0,0,IF(IFERROR(INDEX(VAT_Codes!$F:$F,MATCH($N688,VAT_Codes!$A:$A,0)),"N")="Y",$U688,IF($L688&lt;&gt;"",ROUND(ABS($L688)/IF(OR($R688="",$R688=0),1,$R688),2)*SIGN($U688),ROUND($U688*$V688,2))))</f>
        <v>0</v>
      </c>
      <c r="X688" s="24" t="str">
        <f aca="false">IF($N688="","",IFERROR(INDEX(VAT_Codes!$H:$H,MATCH($N688,VAT_Codes!$A:$A,0)),"")&amp;"")</f>
        <v/>
      </c>
      <c r="Y688" s="24" t="str">
        <f aca="false">IF($A688="","",(YEAR($A688)-YEAR(Settings!$C$8))*12+MONTH($A688)-MONTH(Settings!$C$8)+1)</f>
        <v/>
      </c>
      <c r="Z688" s="24" t="str">
        <f aca="false">IF(AND($C688="",$I688="",$J688=""),"",IF($N688="","NO VAT CODE",IF($T688="","UNKNOWN VAT CODE",IF($S688="","MISSING FX RATE",IF(OR($A688&lt;Settings!$C$8,$A688&gt;Settings!$C$9),"OUTSIDE PERIOD",IF(AND(IFERROR(INDEX(VAT_Codes!$E:$E,MATCH($N688,VAT_Codes!$A:$A,0)),"ANY")&lt;&gt;"ANY",$P688=""),"MISSING COUNTERPARTY COUNTRY",IF(AND(IFERROR(INDEX(VAT_Codes!$E:$E,MATCH($N688,VAT_Codes!$A:$A,0)),"ANY")&lt;&gt;"ANY",$P688&lt;&gt;IFERROR(INDEX(VAT_Codes!$E:$E,MATCH($N688,VAT_Codes!$A:$A,0)),"ANY")),"REGION MISMATCH","OK")))))))</f>
        <v/>
      </c>
    </row>
    <row r="689" customFormat="false" ht="15" hidden="false" customHeight="false" outlineLevel="0" collapsed="false">
      <c r="M689" s="24" t="str">
        <f aca="false">IF($C689="","",IFERROR(INDEX(Account_Mapping!$C:$C,MATCH($C689&amp;"",Account_Mapping!$A:$A,0))&amp;"",""))</f>
        <v/>
      </c>
      <c r="N689" s="24" t="str">
        <f aca="false">IF($K689&lt;&gt;"",$K689,$M689)</f>
        <v/>
      </c>
      <c r="O689" s="24" t="str">
        <f aca="false">IF($F689="","",IFERROR(INDEX(Counterparties!$C:$C,MATCH($F689&amp;"",Counterparties!$A:$A,0))&amp;"",""))</f>
        <v/>
      </c>
      <c r="P689" s="24" t="str">
        <f aca="false">IF($O689="","",IF($O689="CY","CY",IF(ISNUMBER(MATCH($O689,Lists!$A:$A,0)),"EU","3RD")))</f>
        <v/>
      </c>
      <c r="Q689" s="24" t="str">
        <f aca="false">IF($F689="","N",IFERROR(IF(INDEX(Counterparties!$E:$E,MATCH($F689&amp;"",Counterparties!$A:$A,0))="Y","Y","N"),"N"))</f>
        <v>N</v>
      </c>
      <c r="R689" s="25" t="n">
        <f aca="false">IF(OR($H689="",$H689="EUR"),1,IFERROR(INDEX(FX_Rates!$D:$D,MATCH($H689,FX_Rates!$A:$A,0)),""))</f>
        <v>1</v>
      </c>
      <c r="S689" s="26" t="str">
        <f aca="false">IF(AND($I689="",$J689=""),"",IF($J689&lt;&gt;"",$J689,IF(OR($R689="",$R689=0),"",ROUND($I689/$R689,2))))</f>
        <v/>
      </c>
      <c r="T689" s="24" t="str">
        <f aca="false">IF($N689="","",IFERROR(INDEX(VAT_Codes!$C:$C,MATCH($N689,VAT_Codes!$A:$A,0)),"")&amp;"")</f>
        <v/>
      </c>
      <c r="U689" s="26" t="n">
        <f aca="false">IF(OR($S689="",$T689="",$T689="None"),0,IF($T689="Output",-$S689,$S689))</f>
        <v>0</v>
      </c>
      <c r="V689" s="27" t="n">
        <f aca="false">IF($N689="",0,IFERROR(INDEX(VAT_Codes!$D:$D,MATCH($N689,VAT_Codes!$A:$A,0)),0))</f>
        <v>0</v>
      </c>
      <c r="W689" s="26" t="n">
        <f aca="false">IF($U689=0,0,IF(IFERROR(INDEX(VAT_Codes!$F:$F,MATCH($N689,VAT_Codes!$A:$A,0)),"N")="Y",$U689,IF($L689&lt;&gt;"",ROUND(ABS($L689)/IF(OR($R689="",$R689=0),1,$R689),2)*SIGN($U689),ROUND($U689*$V689,2))))</f>
        <v>0</v>
      </c>
      <c r="X689" s="24" t="str">
        <f aca="false">IF($N689="","",IFERROR(INDEX(VAT_Codes!$H:$H,MATCH($N689,VAT_Codes!$A:$A,0)),"")&amp;"")</f>
        <v/>
      </c>
      <c r="Y689" s="24" t="str">
        <f aca="false">IF($A689="","",(YEAR($A689)-YEAR(Settings!$C$8))*12+MONTH($A689)-MONTH(Settings!$C$8)+1)</f>
        <v/>
      </c>
      <c r="Z689" s="24" t="str">
        <f aca="false">IF(AND($C689="",$I689="",$J689=""),"",IF($N689="","NO VAT CODE",IF($T689="","UNKNOWN VAT CODE",IF($S689="","MISSING FX RATE",IF(OR($A689&lt;Settings!$C$8,$A689&gt;Settings!$C$9),"OUTSIDE PERIOD",IF(AND(IFERROR(INDEX(VAT_Codes!$E:$E,MATCH($N689,VAT_Codes!$A:$A,0)),"ANY")&lt;&gt;"ANY",$P689=""),"MISSING COUNTERPARTY COUNTRY",IF(AND(IFERROR(INDEX(VAT_Codes!$E:$E,MATCH($N689,VAT_Codes!$A:$A,0)),"ANY")&lt;&gt;"ANY",$P689&lt;&gt;IFERROR(INDEX(VAT_Codes!$E:$E,MATCH($N689,VAT_Codes!$A:$A,0)),"ANY")),"REGION MISMATCH","OK")))))))</f>
        <v/>
      </c>
    </row>
    <row r="690" customFormat="false" ht="15" hidden="false" customHeight="false" outlineLevel="0" collapsed="false">
      <c r="M690" s="24" t="str">
        <f aca="false">IF($C690="","",IFERROR(INDEX(Account_Mapping!$C:$C,MATCH($C690&amp;"",Account_Mapping!$A:$A,0))&amp;"",""))</f>
        <v/>
      </c>
      <c r="N690" s="24" t="str">
        <f aca="false">IF($K690&lt;&gt;"",$K690,$M690)</f>
        <v/>
      </c>
      <c r="O690" s="24" t="str">
        <f aca="false">IF($F690="","",IFERROR(INDEX(Counterparties!$C:$C,MATCH($F690&amp;"",Counterparties!$A:$A,0))&amp;"",""))</f>
        <v/>
      </c>
      <c r="P690" s="24" t="str">
        <f aca="false">IF($O690="","",IF($O690="CY","CY",IF(ISNUMBER(MATCH($O690,Lists!$A:$A,0)),"EU","3RD")))</f>
        <v/>
      </c>
      <c r="Q690" s="24" t="str">
        <f aca="false">IF($F690="","N",IFERROR(IF(INDEX(Counterparties!$E:$E,MATCH($F690&amp;"",Counterparties!$A:$A,0))="Y","Y","N"),"N"))</f>
        <v>N</v>
      </c>
      <c r="R690" s="25" t="n">
        <f aca="false">IF(OR($H690="",$H690="EUR"),1,IFERROR(INDEX(FX_Rates!$D:$D,MATCH($H690,FX_Rates!$A:$A,0)),""))</f>
        <v>1</v>
      </c>
      <c r="S690" s="26" t="str">
        <f aca="false">IF(AND($I690="",$J690=""),"",IF($J690&lt;&gt;"",$J690,IF(OR($R690="",$R690=0),"",ROUND($I690/$R690,2))))</f>
        <v/>
      </c>
      <c r="T690" s="24" t="str">
        <f aca="false">IF($N690="","",IFERROR(INDEX(VAT_Codes!$C:$C,MATCH($N690,VAT_Codes!$A:$A,0)),"")&amp;"")</f>
        <v/>
      </c>
      <c r="U690" s="26" t="n">
        <f aca="false">IF(OR($S690="",$T690="",$T690="None"),0,IF($T690="Output",-$S690,$S690))</f>
        <v>0</v>
      </c>
      <c r="V690" s="27" t="n">
        <f aca="false">IF($N690="",0,IFERROR(INDEX(VAT_Codes!$D:$D,MATCH($N690,VAT_Codes!$A:$A,0)),0))</f>
        <v>0</v>
      </c>
      <c r="W690" s="26" t="n">
        <f aca="false">IF($U690=0,0,IF(IFERROR(INDEX(VAT_Codes!$F:$F,MATCH($N690,VAT_Codes!$A:$A,0)),"N")="Y",$U690,IF($L690&lt;&gt;"",ROUND(ABS($L690)/IF(OR($R690="",$R690=0),1,$R690),2)*SIGN($U690),ROUND($U690*$V690,2))))</f>
        <v>0</v>
      </c>
      <c r="X690" s="24" t="str">
        <f aca="false">IF($N690="","",IFERROR(INDEX(VAT_Codes!$H:$H,MATCH($N690,VAT_Codes!$A:$A,0)),"")&amp;"")</f>
        <v/>
      </c>
      <c r="Y690" s="24" t="str">
        <f aca="false">IF($A690="","",(YEAR($A690)-YEAR(Settings!$C$8))*12+MONTH($A690)-MONTH(Settings!$C$8)+1)</f>
        <v/>
      </c>
      <c r="Z690" s="24" t="str">
        <f aca="false">IF(AND($C690="",$I690="",$J690=""),"",IF($N690="","NO VAT CODE",IF($T690="","UNKNOWN VAT CODE",IF($S690="","MISSING FX RATE",IF(OR($A690&lt;Settings!$C$8,$A690&gt;Settings!$C$9),"OUTSIDE PERIOD",IF(AND(IFERROR(INDEX(VAT_Codes!$E:$E,MATCH($N690,VAT_Codes!$A:$A,0)),"ANY")&lt;&gt;"ANY",$P690=""),"MISSING COUNTERPARTY COUNTRY",IF(AND(IFERROR(INDEX(VAT_Codes!$E:$E,MATCH($N690,VAT_Codes!$A:$A,0)),"ANY")&lt;&gt;"ANY",$P690&lt;&gt;IFERROR(INDEX(VAT_Codes!$E:$E,MATCH($N690,VAT_Codes!$A:$A,0)),"ANY")),"REGION MISMATCH","OK")))))))</f>
        <v/>
      </c>
    </row>
    <row r="691" customFormat="false" ht="15" hidden="false" customHeight="false" outlineLevel="0" collapsed="false">
      <c r="M691" s="24" t="str">
        <f aca="false">IF($C691="","",IFERROR(INDEX(Account_Mapping!$C:$C,MATCH($C691&amp;"",Account_Mapping!$A:$A,0))&amp;"",""))</f>
        <v/>
      </c>
      <c r="N691" s="24" t="str">
        <f aca="false">IF($K691&lt;&gt;"",$K691,$M691)</f>
        <v/>
      </c>
      <c r="O691" s="24" t="str">
        <f aca="false">IF($F691="","",IFERROR(INDEX(Counterparties!$C:$C,MATCH($F691&amp;"",Counterparties!$A:$A,0))&amp;"",""))</f>
        <v/>
      </c>
      <c r="P691" s="24" t="str">
        <f aca="false">IF($O691="","",IF($O691="CY","CY",IF(ISNUMBER(MATCH($O691,Lists!$A:$A,0)),"EU","3RD")))</f>
        <v/>
      </c>
      <c r="Q691" s="24" t="str">
        <f aca="false">IF($F691="","N",IFERROR(IF(INDEX(Counterparties!$E:$E,MATCH($F691&amp;"",Counterparties!$A:$A,0))="Y","Y","N"),"N"))</f>
        <v>N</v>
      </c>
      <c r="R691" s="25" t="n">
        <f aca="false">IF(OR($H691="",$H691="EUR"),1,IFERROR(INDEX(FX_Rates!$D:$D,MATCH($H691,FX_Rates!$A:$A,0)),""))</f>
        <v>1</v>
      </c>
      <c r="S691" s="26" t="str">
        <f aca="false">IF(AND($I691="",$J691=""),"",IF($J691&lt;&gt;"",$J691,IF(OR($R691="",$R691=0),"",ROUND($I691/$R691,2))))</f>
        <v/>
      </c>
      <c r="T691" s="24" t="str">
        <f aca="false">IF($N691="","",IFERROR(INDEX(VAT_Codes!$C:$C,MATCH($N691,VAT_Codes!$A:$A,0)),"")&amp;"")</f>
        <v/>
      </c>
      <c r="U691" s="26" t="n">
        <f aca="false">IF(OR($S691="",$T691="",$T691="None"),0,IF($T691="Output",-$S691,$S691))</f>
        <v>0</v>
      </c>
      <c r="V691" s="27" t="n">
        <f aca="false">IF($N691="",0,IFERROR(INDEX(VAT_Codes!$D:$D,MATCH($N691,VAT_Codes!$A:$A,0)),0))</f>
        <v>0</v>
      </c>
      <c r="W691" s="26" t="n">
        <f aca="false">IF($U691=0,0,IF(IFERROR(INDEX(VAT_Codes!$F:$F,MATCH($N691,VAT_Codes!$A:$A,0)),"N")="Y",$U691,IF($L691&lt;&gt;"",ROUND(ABS($L691)/IF(OR($R691="",$R691=0),1,$R691),2)*SIGN($U691),ROUND($U691*$V691,2))))</f>
        <v>0</v>
      </c>
      <c r="X691" s="24" t="str">
        <f aca="false">IF($N691="","",IFERROR(INDEX(VAT_Codes!$H:$H,MATCH($N691,VAT_Codes!$A:$A,0)),"")&amp;"")</f>
        <v/>
      </c>
      <c r="Y691" s="24" t="str">
        <f aca="false">IF($A691="","",(YEAR($A691)-YEAR(Settings!$C$8))*12+MONTH($A691)-MONTH(Settings!$C$8)+1)</f>
        <v/>
      </c>
      <c r="Z691" s="24" t="str">
        <f aca="false">IF(AND($C691="",$I691="",$J691=""),"",IF($N691="","NO VAT CODE",IF($T691="","UNKNOWN VAT CODE",IF($S691="","MISSING FX RATE",IF(OR($A691&lt;Settings!$C$8,$A691&gt;Settings!$C$9),"OUTSIDE PERIOD",IF(AND(IFERROR(INDEX(VAT_Codes!$E:$E,MATCH($N691,VAT_Codes!$A:$A,0)),"ANY")&lt;&gt;"ANY",$P691=""),"MISSING COUNTERPARTY COUNTRY",IF(AND(IFERROR(INDEX(VAT_Codes!$E:$E,MATCH($N691,VAT_Codes!$A:$A,0)),"ANY")&lt;&gt;"ANY",$P691&lt;&gt;IFERROR(INDEX(VAT_Codes!$E:$E,MATCH($N691,VAT_Codes!$A:$A,0)),"ANY")),"REGION MISMATCH","OK")))))))</f>
        <v/>
      </c>
    </row>
    <row r="692" customFormat="false" ht="15" hidden="false" customHeight="false" outlineLevel="0" collapsed="false">
      <c r="M692" s="24" t="str">
        <f aca="false">IF($C692="","",IFERROR(INDEX(Account_Mapping!$C:$C,MATCH($C692&amp;"",Account_Mapping!$A:$A,0))&amp;"",""))</f>
        <v/>
      </c>
      <c r="N692" s="24" t="str">
        <f aca="false">IF($K692&lt;&gt;"",$K692,$M692)</f>
        <v/>
      </c>
      <c r="O692" s="24" t="str">
        <f aca="false">IF($F692="","",IFERROR(INDEX(Counterparties!$C:$C,MATCH($F692&amp;"",Counterparties!$A:$A,0))&amp;"",""))</f>
        <v/>
      </c>
      <c r="P692" s="24" t="str">
        <f aca="false">IF($O692="","",IF($O692="CY","CY",IF(ISNUMBER(MATCH($O692,Lists!$A:$A,0)),"EU","3RD")))</f>
        <v/>
      </c>
      <c r="Q692" s="24" t="str">
        <f aca="false">IF($F692="","N",IFERROR(IF(INDEX(Counterparties!$E:$E,MATCH($F692&amp;"",Counterparties!$A:$A,0))="Y","Y","N"),"N"))</f>
        <v>N</v>
      </c>
      <c r="R692" s="25" t="n">
        <f aca="false">IF(OR($H692="",$H692="EUR"),1,IFERROR(INDEX(FX_Rates!$D:$D,MATCH($H692,FX_Rates!$A:$A,0)),""))</f>
        <v>1</v>
      </c>
      <c r="S692" s="26" t="str">
        <f aca="false">IF(AND($I692="",$J692=""),"",IF($J692&lt;&gt;"",$J692,IF(OR($R692="",$R692=0),"",ROUND($I692/$R692,2))))</f>
        <v/>
      </c>
      <c r="T692" s="24" t="str">
        <f aca="false">IF($N692="","",IFERROR(INDEX(VAT_Codes!$C:$C,MATCH($N692,VAT_Codes!$A:$A,0)),"")&amp;"")</f>
        <v/>
      </c>
      <c r="U692" s="26" t="n">
        <f aca="false">IF(OR($S692="",$T692="",$T692="None"),0,IF($T692="Output",-$S692,$S692))</f>
        <v>0</v>
      </c>
      <c r="V692" s="27" t="n">
        <f aca="false">IF($N692="",0,IFERROR(INDEX(VAT_Codes!$D:$D,MATCH($N692,VAT_Codes!$A:$A,0)),0))</f>
        <v>0</v>
      </c>
      <c r="W692" s="26" t="n">
        <f aca="false">IF($U692=0,0,IF(IFERROR(INDEX(VAT_Codes!$F:$F,MATCH($N692,VAT_Codes!$A:$A,0)),"N")="Y",$U692,IF($L692&lt;&gt;"",ROUND(ABS($L692)/IF(OR($R692="",$R692=0),1,$R692),2)*SIGN($U692),ROUND($U692*$V692,2))))</f>
        <v>0</v>
      </c>
      <c r="X692" s="24" t="str">
        <f aca="false">IF($N692="","",IFERROR(INDEX(VAT_Codes!$H:$H,MATCH($N692,VAT_Codes!$A:$A,0)),"")&amp;"")</f>
        <v/>
      </c>
      <c r="Y692" s="24" t="str">
        <f aca="false">IF($A692="","",(YEAR($A692)-YEAR(Settings!$C$8))*12+MONTH($A692)-MONTH(Settings!$C$8)+1)</f>
        <v/>
      </c>
      <c r="Z692" s="24" t="str">
        <f aca="false">IF(AND($C692="",$I692="",$J692=""),"",IF($N692="","NO VAT CODE",IF($T692="","UNKNOWN VAT CODE",IF($S692="","MISSING FX RATE",IF(OR($A692&lt;Settings!$C$8,$A692&gt;Settings!$C$9),"OUTSIDE PERIOD",IF(AND(IFERROR(INDEX(VAT_Codes!$E:$E,MATCH($N692,VAT_Codes!$A:$A,0)),"ANY")&lt;&gt;"ANY",$P692=""),"MISSING COUNTERPARTY COUNTRY",IF(AND(IFERROR(INDEX(VAT_Codes!$E:$E,MATCH($N692,VAT_Codes!$A:$A,0)),"ANY")&lt;&gt;"ANY",$P692&lt;&gt;IFERROR(INDEX(VAT_Codes!$E:$E,MATCH($N692,VAT_Codes!$A:$A,0)),"ANY")),"REGION MISMATCH","OK")))))))</f>
        <v/>
      </c>
    </row>
    <row r="693" customFormat="false" ht="15" hidden="false" customHeight="false" outlineLevel="0" collapsed="false">
      <c r="M693" s="24" t="str">
        <f aca="false">IF($C693="","",IFERROR(INDEX(Account_Mapping!$C:$C,MATCH($C693&amp;"",Account_Mapping!$A:$A,0))&amp;"",""))</f>
        <v/>
      </c>
      <c r="N693" s="24" t="str">
        <f aca="false">IF($K693&lt;&gt;"",$K693,$M693)</f>
        <v/>
      </c>
      <c r="O693" s="24" t="str">
        <f aca="false">IF($F693="","",IFERROR(INDEX(Counterparties!$C:$C,MATCH($F693&amp;"",Counterparties!$A:$A,0))&amp;"",""))</f>
        <v/>
      </c>
      <c r="P693" s="24" t="str">
        <f aca="false">IF($O693="","",IF($O693="CY","CY",IF(ISNUMBER(MATCH($O693,Lists!$A:$A,0)),"EU","3RD")))</f>
        <v/>
      </c>
      <c r="Q693" s="24" t="str">
        <f aca="false">IF($F693="","N",IFERROR(IF(INDEX(Counterparties!$E:$E,MATCH($F693&amp;"",Counterparties!$A:$A,0))="Y","Y","N"),"N"))</f>
        <v>N</v>
      </c>
      <c r="R693" s="25" t="n">
        <f aca="false">IF(OR($H693="",$H693="EUR"),1,IFERROR(INDEX(FX_Rates!$D:$D,MATCH($H693,FX_Rates!$A:$A,0)),""))</f>
        <v>1</v>
      </c>
      <c r="S693" s="26" t="str">
        <f aca="false">IF(AND($I693="",$J693=""),"",IF($J693&lt;&gt;"",$J693,IF(OR($R693="",$R693=0),"",ROUND($I693/$R693,2))))</f>
        <v/>
      </c>
      <c r="T693" s="24" t="str">
        <f aca="false">IF($N693="","",IFERROR(INDEX(VAT_Codes!$C:$C,MATCH($N693,VAT_Codes!$A:$A,0)),"")&amp;"")</f>
        <v/>
      </c>
      <c r="U693" s="26" t="n">
        <f aca="false">IF(OR($S693="",$T693="",$T693="None"),0,IF($T693="Output",-$S693,$S693))</f>
        <v>0</v>
      </c>
      <c r="V693" s="27" t="n">
        <f aca="false">IF($N693="",0,IFERROR(INDEX(VAT_Codes!$D:$D,MATCH($N693,VAT_Codes!$A:$A,0)),0))</f>
        <v>0</v>
      </c>
      <c r="W693" s="26" t="n">
        <f aca="false">IF($U693=0,0,IF(IFERROR(INDEX(VAT_Codes!$F:$F,MATCH($N693,VAT_Codes!$A:$A,0)),"N")="Y",$U693,IF($L693&lt;&gt;"",ROUND(ABS($L693)/IF(OR($R693="",$R693=0),1,$R693),2)*SIGN($U693),ROUND($U693*$V693,2))))</f>
        <v>0</v>
      </c>
      <c r="X693" s="24" t="str">
        <f aca="false">IF($N693="","",IFERROR(INDEX(VAT_Codes!$H:$H,MATCH($N693,VAT_Codes!$A:$A,0)),"")&amp;"")</f>
        <v/>
      </c>
      <c r="Y693" s="24" t="str">
        <f aca="false">IF($A693="","",(YEAR($A693)-YEAR(Settings!$C$8))*12+MONTH($A693)-MONTH(Settings!$C$8)+1)</f>
        <v/>
      </c>
      <c r="Z693" s="24" t="str">
        <f aca="false">IF(AND($C693="",$I693="",$J693=""),"",IF($N693="","NO VAT CODE",IF($T693="","UNKNOWN VAT CODE",IF($S693="","MISSING FX RATE",IF(OR($A693&lt;Settings!$C$8,$A693&gt;Settings!$C$9),"OUTSIDE PERIOD",IF(AND(IFERROR(INDEX(VAT_Codes!$E:$E,MATCH($N693,VAT_Codes!$A:$A,0)),"ANY")&lt;&gt;"ANY",$P693=""),"MISSING COUNTERPARTY COUNTRY",IF(AND(IFERROR(INDEX(VAT_Codes!$E:$E,MATCH($N693,VAT_Codes!$A:$A,0)),"ANY")&lt;&gt;"ANY",$P693&lt;&gt;IFERROR(INDEX(VAT_Codes!$E:$E,MATCH($N693,VAT_Codes!$A:$A,0)),"ANY")),"REGION MISMATCH","OK")))))))</f>
        <v/>
      </c>
    </row>
    <row r="694" customFormat="false" ht="15" hidden="false" customHeight="false" outlineLevel="0" collapsed="false">
      <c r="M694" s="24" t="str">
        <f aca="false">IF($C694="","",IFERROR(INDEX(Account_Mapping!$C:$C,MATCH($C694&amp;"",Account_Mapping!$A:$A,0))&amp;"",""))</f>
        <v/>
      </c>
      <c r="N694" s="24" t="str">
        <f aca="false">IF($K694&lt;&gt;"",$K694,$M694)</f>
        <v/>
      </c>
      <c r="O694" s="24" t="str">
        <f aca="false">IF($F694="","",IFERROR(INDEX(Counterparties!$C:$C,MATCH($F694&amp;"",Counterparties!$A:$A,0))&amp;"",""))</f>
        <v/>
      </c>
      <c r="P694" s="24" t="str">
        <f aca="false">IF($O694="","",IF($O694="CY","CY",IF(ISNUMBER(MATCH($O694,Lists!$A:$A,0)),"EU","3RD")))</f>
        <v/>
      </c>
      <c r="Q694" s="24" t="str">
        <f aca="false">IF($F694="","N",IFERROR(IF(INDEX(Counterparties!$E:$E,MATCH($F694&amp;"",Counterparties!$A:$A,0))="Y","Y","N"),"N"))</f>
        <v>N</v>
      </c>
      <c r="R694" s="25" t="n">
        <f aca="false">IF(OR($H694="",$H694="EUR"),1,IFERROR(INDEX(FX_Rates!$D:$D,MATCH($H694,FX_Rates!$A:$A,0)),""))</f>
        <v>1</v>
      </c>
      <c r="S694" s="26" t="str">
        <f aca="false">IF(AND($I694="",$J694=""),"",IF($J694&lt;&gt;"",$J694,IF(OR($R694="",$R694=0),"",ROUND($I694/$R694,2))))</f>
        <v/>
      </c>
      <c r="T694" s="24" t="str">
        <f aca="false">IF($N694="","",IFERROR(INDEX(VAT_Codes!$C:$C,MATCH($N694,VAT_Codes!$A:$A,0)),"")&amp;"")</f>
        <v/>
      </c>
      <c r="U694" s="26" t="n">
        <f aca="false">IF(OR($S694="",$T694="",$T694="None"),0,IF($T694="Output",-$S694,$S694))</f>
        <v>0</v>
      </c>
      <c r="V694" s="27" t="n">
        <f aca="false">IF($N694="",0,IFERROR(INDEX(VAT_Codes!$D:$D,MATCH($N694,VAT_Codes!$A:$A,0)),0))</f>
        <v>0</v>
      </c>
      <c r="W694" s="26" t="n">
        <f aca="false">IF($U694=0,0,IF(IFERROR(INDEX(VAT_Codes!$F:$F,MATCH($N694,VAT_Codes!$A:$A,0)),"N")="Y",$U694,IF($L694&lt;&gt;"",ROUND(ABS($L694)/IF(OR($R694="",$R694=0),1,$R694),2)*SIGN($U694),ROUND($U694*$V694,2))))</f>
        <v>0</v>
      </c>
      <c r="X694" s="24" t="str">
        <f aca="false">IF($N694="","",IFERROR(INDEX(VAT_Codes!$H:$H,MATCH($N694,VAT_Codes!$A:$A,0)),"")&amp;"")</f>
        <v/>
      </c>
      <c r="Y694" s="24" t="str">
        <f aca="false">IF($A694="","",(YEAR($A694)-YEAR(Settings!$C$8))*12+MONTH($A694)-MONTH(Settings!$C$8)+1)</f>
        <v/>
      </c>
      <c r="Z694" s="24" t="str">
        <f aca="false">IF(AND($C694="",$I694="",$J694=""),"",IF($N694="","NO VAT CODE",IF($T694="","UNKNOWN VAT CODE",IF($S694="","MISSING FX RATE",IF(OR($A694&lt;Settings!$C$8,$A694&gt;Settings!$C$9),"OUTSIDE PERIOD",IF(AND(IFERROR(INDEX(VAT_Codes!$E:$E,MATCH($N694,VAT_Codes!$A:$A,0)),"ANY")&lt;&gt;"ANY",$P694=""),"MISSING COUNTERPARTY COUNTRY",IF(AND(IFERROR(INDEX(VAT_Codes!$E:$E,MATCH($N694,VAT_Codes!$A:$A,0)),"ANY")&lt;&gt;"ANY",$P694&lt;&gt;IFERROR(INDEX(VAT_Codes!$E:$E,MATCH($N694,VAT_Codes!$A:$A,0)),"ANY")),"REGION MISMATCH","OK")))))))</f>
        <v/>
      </c>
    </row>
    <row r="695" customFormat="false" ht="15" hidden="false" customHeight="false" outlineLevel="0" collapsed="false">
      <c r="M695" s="24" t="str">
        <f aca="false">IF($C695="","",IFERROR(INDEX(Account_Mapping!$C:$C,MATCH($C695&amp;"",Account_Mapping!$A:$A,0))&amp;"",""))</f>
        <v/>
      </c>
      <c r="N695" s="24" t="str">
        <f aca="false">IF($K695&lt;&gt;"",$K695,$M695)</f>
        <v/>
      </c>
      <c r="O695" s="24" t="str">
        <f aca="false">IF($F695="","",IFERROR(INDEX(Counterparties!$C:$C,MATCH($F695&amp;"",Counterparties!$A:$A,0))&amp;"",""))</f>
        <v/>
      </c>
      <c r="P695" s="24" t="str">
        <f aca="false">IF($O695="","",IF($O695="CY","CY",IF(ISNUMBER(MATCH($O695,Lists!$A:$A,0)),"EU","3RD")))</f>
        <v/>
      </c>
      <c r="Q695" s="24" t="str">
        <f aca="false">IF($F695="","N",IFERROR(IF(INDEX(Counterparties!$E:$E,MATCH($F695&amp;"",Counterparties!$A:$A,0))="Y","Y","N"),"N"))</f>
        <v>N</v>
      </c>
      <c r="R695" s="25" t="n">
        <f aca="false">IF(OR($H695="",$H695="EUR"),1,IFERROR(INDEX(FX_Rates!$D:$D,MATCH($H695,FX_Rates!$A:$A,0)),""))</f>
        <v>1</v>
      </c>
      <c r="S695" s="26" t="str">
        <f aca="false">IF(AND($I695="",$J695=""),"",IF($J695&lt;&gt;"",$J695,IF(OR($R695="",$R695=0),"",ROUND($I695/$R695,2))))</f>
        <v/>
      </c>
      <c r="T695" s="24" t="str">
        <f aca="false">IF($N695="","",IFERROR(INDEX(VAT_Codes!$C:$C,MATCH($N695,VAT_Codes!$A:$A,0)),"")&amp;"")</f>
        <v/>
      </c>
      <c r="U695" s="26" t="n">
        <f aca="false">IF(OR($S695="",$T695="",$T695="None"),0,IF($T695="Output",-$S695,$S695))</f>
        <v>0</v>
      </c>
      <c r="V695" s="27" t="n">
        <f aca="false">IF($N695="",0,IFERROR(INDEX(VAT_Codes!$D:$D,MATCH($N695,VAT_Codes!$A:$A,0)),0))</f>
        <v>0</v>
      </c>
      <c r="W695" s="26" t="n">
        <f aca="false">IF($U695=0,0,IF(IFERROR(INDEX(VAT_Codes!$F:$F,MATCH($N695,VAT_Codes!$A:$A,0)),"N")="Y",$U695,IF($L695&lt;&gt;"",ROUND(ABS($L695)/IF(OR($R695="",$R695=0),1,$R695),2)*SIGN($U695),ROUND($U695*$V695,2))))</f>
        <v>0</v>
      </c>
      <c r="X695" s="24" t="str">
        <f aca="false">IF($N695="","",IFERROR(INDEX(VAT_Codes!$H:$H,MATCH($N695,VAT_Codes!$A:$A,0)),"")&amp;"")</f>
        <v/>
      </c>
      <c r="Y695" s="24" t="str">
        <f aca="false">IF($A695="","",(YEAR($A695)-YEAR(Settings!$C$8))*12+MONTH($A695)-MONTH(Settings!$C$8)+1)</f>
        <v/>
      </c>
      <c r="Z695" s="24" t="str">
        <f aca="false">IF(AND($C695="",$I695="",$J695=""),"",IF($N695="","NO VAT CODE",IF($T695="","UNKNOWN VAT CODE",IF($S695="","MISSING FX RATE",IF(OR($A695&lt;Settings!$C$8,$A695&gt;Settings!$C$9),"OUTSIDE PERIOD",IF(AND(IFERROR(INDEX(VAT_Codes!$E:$E,MATCH($N695,VAT_Codes!$A:$A,0)),"ANY")&lt;&gt;"ANY",$P695=""),"MISSING COUNTERPARTY COUNTRY",IF(AND(IFERROR(INDEX(VAT_Codes!$E:$E,MATCH($N695,VAT_Codes!$A:$A,0)),"ANY")&lt;&gt;"ANY",$P695&lt;&gt;IFERROR(INDEX(VAT_Codes!$E:$E,MATCH($N695,VAT_Codes!$A:$A,0)),"ANY")),"REGION MISMATCH","OK")))))))</f>
        <v/>
      </c>
    </row>
    <row r="696" customFormat="false" ht="15" hidden="false" customHeight="false" outlineLevel="0" collapsed="false">
      <c r="M696" s="24" t="str">
        <f aca="false">IF($C696="","",IFERROR(INDEX(Account_Mapping!$C:$C,MATCH($C696&amp;"",Account_Mapping!$A:$A,0))&amp;"",""))</f>
        <v/>
      </c>
      <c r="N696" s="24" t="str">
        <f aca="false">IF($K696&lt;&gt;"",$K696,$M696)</f>
        <v/>
      </c>
      <c r="O696" s="24" t="str">
        <f aca="false">IF($F696="","",IFERROR(INDEX(Counterparties!$C:$C,MATCH($F696&amp;"",Counterparties!$A:$A,0))&amp;"",""))</f>
        <v/>
      </c>
      <c r="P696" s="24" t="str">
        <f aca="false">IF($O696="","",IF($O696="CY","CY",IF(ISNUMBER(MATCH($O696,Lists!$A:$A,0)),"EU","3RD")))</f>
        <v/>
      </c>
      <c r="Q696" s="24" t="str">
        <f aca="false">IF($F696="","N",IFERROR(IF(INDEX(Counterparties!$E:$E,MATCH($F696&amp;"",Counterparties!$A:$A,0))="Y","Y","N"),"N"))</f>
        <v>N</v>
      </c>
      <c r="R696" s="25" t="n">
        <f aca="false">IF(OR($H696="",$H696="EUR"),1,IFERROR(INDEX(FX_Rates!$D:$D,MATCH($H696,FX_Rates!$A:$A,0)),""))</f>
        <v>1</v>
      </c>
      <c r="S696" s="26" t="str">
        <f aca="false">IF(AND($I696="",$J696=""),"",IF($J696&lt;&gt;"",$J696,IF(OR($R696="",$R696=0),"",ROUND($I696/$R696,2))))</f>
        <v/>
      </c>
      <c r="T696" s="24" t="str">
        <f aca="false">IF($N696="","",IFERROR(INDEX(VAT_Codes!$C:$C,MATCH($N696,VAT_Codes!$A:$A,0)),"")&amp;"")</f>
        <v/>
      </c>
      <c r="U696" s="26" t="n">
        <f aca="false">IF(OR($S696="",$T696="",$T696="None"),0,IF($T696="Output",-$S696,$S696))</f>
        <v>0</v>
      </c>
      <c r="V696" s="27" t="n">
        <f aca="false">IF($N696="",0,IFERROR(INDEX(VAT_Codes!$D:$D,MATCH($N696,VAT_Codes!$A:$A,0)),0))</f>
        <v>0</v>
      </c>
      <c r="W696" s="26" t="n">
        <f aca="false">IF($U696=0,0,IF(IFERROR(INDEX(VAT_Codes!$F:$F,MATCH($N696,VAT_Codes!$A:$A,0)),"N")="Y",$U696,IF($L696&lt;&gt;"",ROUND(ABS($L696)/IF(OR($R696="",$R696=0),1,$R696),2)*SIGN($U696),ROUND($U696*$V696,2))))</f>
        <v>0</v>
      </c>
      <c r="X696" s="24" t="str">
        <f aca="false">IF($N696="","",IFERROR(INDEX(VAT_Codes!$H:$H,MATCH($N696,VAT_Codes!$A:$A,0)),"")&amp;"")</f>
        <v/>
      </c>
      <c r="Y696" s="24" t="str">
        <f aca="false">IF($A696="","",(YEAR($A696)-YEAR(Settings!$C$8))*12+MONTH($A696)-MONTH(Settings!$C$8)+1)</f>
        <v/>
      </c>
      <c r="Z696" s="24" t="str">
        <f aca="false">IF(AND($C696="",$I696="",$J696=""),"",IF($N696="","NO VAT CODE",IF($T696="","UNKNOWN VAT CODE",IF($S696="","MISSING FX RATE",IF(OR($A696&lt;Settings!$C$8,$A696&gt;Settings!$C$9),"OUTSIDE PERIOD",IF(AND(IFERROR(INDEX(VAT_Codes!$E:$E,MATCH($N696,VAT_Codes!$A:$A,0)),"ANY")&lt;&gt;"ANY",$P696=""),"MISSING COUNTERPARTY COUNTRY",IF(AND(IFERROR(INDEX(VAT_Codes!$E:$E,MATCH($N696,VAT_Codes!$A:$A,0)),"ANY")&lt;&gt;"ANY",$P696&lt;&gt;IFERROR(INDEX(VAT_Codes!$E:$E,MATCH($N696,VAT_Codes!$A:$A,0)),"ANY")),"REGION MISMATCH","OK")))))))</f>
        <v/>
      </c>
    </row>
    <row r="697" customFormat="false" ht="15" hidden="false" customHeight="false" outlineLevel="0" collapsed="false">
      <c r="M697" s="24" t="str">
        <f aca="false">IF($C697="","",IFERROR(INDEX(Account_Mapping!$C:$C,MATCH($C697&amp;"",Account_Mapping!$A:$A,0))&amp;"",""))</f>
        <v/>
      </c>
      <c r="N697" s="24" t="str">
        <f aca="false">IF($K697&lt;&gt;"",$K697,$M697)</f>
        <v/>
      </c>
      <c r="O697" s="24" t="str">
        <f aca="false">IF($F697="","",IFERROR(INDEX(Counterparties!$C:$C,MATCH($F697&amp;"",Counterparties!$A:$A,0))&amp;"",""))</f>
        <v/>
      </c>
      <c r="P697" s="24" t="str">
        <f aca="false">IF($O697="","",IF($O697="CY","CY",IF(ISNUMBER(MATCH($O697,Lists!$A:$A,0)),"EU","3RD")))</f>
        <v/>
      </c>
      <c r="Q697" s="24" t="str">
        <f aca="false">IF($F697="","N",IFERROR(IF(INDEX(Counterparties!$E:$E,MATCH($F697&amp;"",Counterparties!$A:$A,0))="Y","Y","N"),"N"))</f>
        <v>N</v>
      </c>
      <c r="R697" s="25" t="n">
        <f aca="false">IF(OR($H697="",$H697="EUR"),1,IFERROR(INDEX(FX_Rates!$D:$D,MATCH($H697,FX_Rates!$A:$A,0)),""))</f>
        <v>1</v>
      </c>
      <c r="S697" s="26" t="str">
        <f aca="false">IF(AND($I697="",$J697=""),"",IF($J697&lt;&gt;"",$J697,IF(OR($R697="",$R697=0),"",ROUND($I697/$R697,2))))</f>
        <v/>
      </c>
      <c r="T697" s="24" t="str">
        <f aca="false">IF($N697="","",IFERROR(INDEX(VAT_Codes!$C:$C,MATCH($N697,VAT_Codes!$A:$A,0)),"")&amp;"")</f>
        <v/>
      </c>
      <c r="U697" s="26" t="n">
        <f aca="false">IF(OR($S697="",$T697="",$T697="None"),0,IF($T697="Output",-$S697,$S697))</f>
        <v>0</v>
      </c>
      <c r="V697" s="27" t="n">
        <f aca="false">IF($N697="",0,IFERROR(INDEX(VAT_Codes!$D:$D,MATCH($N697,VAT_Codes!$A:$A,0)),0))</f>
        <v>0</v>
      </c>
      <c r="W697" s="26" t="n">
        <f aca="false">IF($U697=0,0,IF(IFERROR(INDEX(VAT_Codes!$F:$F,MATCH($N697,VAT_Codes!$A:$A,0)),"N")="Y",$U697,IF($L697&lt;&gt;"",ROUND(ABS($L697)/IF(OR($R697="",$R697=0),1,$R697),2)*SIGN($U697),ROUND($U697*$V697,2))))</f>
        <v>0</v>
      </c>
      <c r="X697" s="24" t="str">
        <f aca="false">IF($N697="","",IFERROR(INDEX(VAT_Codes!$H:$H,MATCH($N697,VAT_Codes!$A:$A,0)),"")&amp;"")</f>
        <v/>
      </c>
      <c r="Y697" s="24" t="str">
        <f aca="false">IF($A697="","",(YEAR($A697)-YEAR(Settings!$C$8))*12+MONTH($A697)-MONTH(Settings!$C$8)+1)</f>
        <v/>
      </c>
      <c r="Z697" s="24" t="str">
        <f aca="false">IF(AND($C697="",$I697="",$J697=""),"",IF($N697="","NO VAT CODE",IF($T697="","UNKNOWN VAT CODE",IF($S697="","MISSING FX RATE",IF(OR($A697&lt;Settings!$C$8,$A697&gt;Settings!$C$9),"OUTSIDE PERIOD",IF(AND(IFERROR(INDEX(VAT_Codes!$E:$E,MATCH($N697,VAT_Codes!$A:$A,0)),"ANY")&lt;&gt;"ANY",$P697=""),"MISSING COUNTERPARTY COUNTRY",IF(AND(IFERROR(INDEX(VAT_Codes!$E:$E,MATCH($N697,VAT_Codes!$A:$A,0)),"ANY")&lt;&gt;"ANY",$P697&lt;&gt;IFERROR(INDEX(VAT_Codes!$E:$E,MATCH($N697,VAT_Codes!$A:$A,0)),"ANY")),"REGION MISMATCH","OK")))))))</f>
        <v/>
      </c>
    </row>
    <row r="698" customFormat="false" ht="15" hidden="false" customHeight="false" outlineLevel="0" collapsed="false">
      <c r="M698" s="24" t="str">
        <f aca="false">IF($C698="","",IFERROR(INDEX(Account_Mapping!$C:$C,MATCH($C698&amp;"",Account_Mapping!$A:$A,0))&amp;"",""))</f>
        <v/>
      </c>
      <c r="N698" s="24" t="str">
        <f aca="false">IF($K698&lt;&gt;"",$K698,$M698)</f>
        <v/>
      </c>
      <c r="O698" s="24" t="str">
        <f aca="false">IF($F698="","",IFERROR(INDEX(Counterparties!$C:$C,MATCH($F698&amp;"",Counterparties!$A:$A,0))&amp;"",""))</f>
        <v/>
      </c>
      <c r="P698" s="24" t="str">
        <f aca="false">IF($O698="","",IF($O698="CY","CY",IF(ISNUMBER(MATCH($O698,Lists!$A:$A,0)),"EU","3RD")))</f>
        <v/>
      </c>
      <c r="Q698" s="24" t="str">
        <f aca="false">IF($F698="","N",IFERROR(IF(INDEX(Counterparties!$E:$E,MATCH($F698&amp;"",Counterparties!$A:$A,0))="Y","Y","N"),"N"))</f>
        <v>N</v>
      </c>
      <c r="R698" s="25" t="n">
        <f aca="false">IF(OR($H698="",$H698="EUR"),1,IFERROR(INDEX(FX_Rates!$D:$D,MATCH($H698,FX_Rates!$A:$A,0)),""))</f>
        <v>1</v>
      </c>
      <c r="S698" s="26" t="str">
        <f aca="false">IF(AND($I698="",$J698=""),"",IF($J698&lt;&gt;"",$J698,IF(OR($R698="",$R698=0),"",ROUND($I698/$R698,2))))</f>
        <v/>
      </c>
      <c r="T698" s="24" t="str">
        <f aca="false">IF($N698="","",IFERROR(INDEX(VAT_Codes!$C:$C,MATCH($N698,VAT_Codes!$A:$A,0)),"")&amp;"")</f>
        <v/>
      </c>
      <c r="U698" s="26" t="n">
        <f aca="false">IF(OR($S698="",$T698="",$T698="None"),0,IF($T698="Output",-$S698,$S698))</f>
        <v>0</v>
      </c>
      <c r="V698" s="27" t="n">
        <f aca="false">IF($N698="",0,IFERROR(INDEX(VAT_Codes!$D:$D,MATCH($N698,VAT_Codes!$A:$A,0)),0))</f>
        <v>0</v>
      </c>
      <c r="W698" s="26" t="n">
        <f aca="false">IF($U698=0,0,IF(IFERROR(INDEX(VAT_Codes!$F:$F,MATCH($N698,VAT_Codes!$A:$A,0)),"N")="Y",$U698,IF($L698&lt;&gt;"",ROUND(ABS($L698)/IF(OR($R698="",$R698=0),1,$R698),2)*SIGN($U698),ROUND($U698*$V698,2))))</f>
        <v>0</v>
      </c>
      <c r="X698" s="24" t="str">
        <f aca="false">IF($N698="","",IFERROR(INDEX(VAT_Codes!$H:$H,MATCH($N698,VAT_Codes!$A:$A,0)),"")&amp;"")</f>
        <v/>
      </c>
      <c r="Y698" s="24" t="str">
        <f aca="false">IF($A698="","",(YEAR($A698)-YEAR(Settings!$C$8))*12+MONTH($A698)-MONTH(Settings!$C$8)+1)</f>
        <v/>
      </c>
      <c r="Z698" s="24" t="str">
        <f aca="false">IF(AND($C698="",$I698="",$J698=""),"",IF($N698="","NO VAT CODE",IF($T698="","UNKNOWN VAT CODE",IF($S698="","MISSING FX RATE",IF(OR($A698&lt;Settings!$C$8,$A698&gt;Settings!$C$9),"OUTSIDE PERIOD",IF(AND(IFERROR(INDEX(VAT_Codes!$E:$E,MATCH($N698,VAT_Codes!$A:$A,0)),"ANY")&lt;&gt;"ANY",$P698=""),"MISSING COUNTERPARTY COUNTRY",IF(AND(IFERROR(INDEX(VAT_Codes!$E:$E,MATCH($N698,VAT_Codes!$A:$A,0)),"ANY")&lt;&gt;"ANY",$P698&lt;&gt;IFERROR(INDEX(VAT_Codes!$E:$E,MATCH($N698,VAT_Codes!$A:$A,0)),"ANY")),"REGION MISMATCH","OK")))))))</f>
        <v/>
      </c>
    </row>
    <row r="699" customFormat="false" ht="15" hidden="false" customHeight="false" outlineLevel="0" collapsed="false">
      <c r="M699" s="24" t="str">
        <f aca="false">IF($C699="","",IFERROR(INDEX(Account_Mapping!$C:$C,MATCH($C699&amp;"",Account_Mapping!$A:$A,0))&amp;"",""))</f>
        <v/>
      </c>
      <c r="N699" s="24" t="str">
        <f aca="false">IF($K699&lt;&gt;"",$K699,$M699)</f>
        <v/>
      </c>
      <c r="O699" s="24" t="str">
        <f aca="false">IF($F699="","",IFERROR(INDEX(Counterparties!$C:$C,MATCH($F699&amp;"",Counterparties!$A:$A,0))&amp;"",""))</f>
        <v/>
      </c>
      <c r="P699" s="24" t="str">
        <f aca="false">IF($O699="","",IF($O699="CY","CY",IF(ISNUMBER(MATCH($O699,Lists!$A:$A,0)),"EU","3RD")))</f>
        <v/>
      </c>
      <c r="Q699" s="24" t="str">
        <f aca="false">IF($F699="","N",IFERROR(IF(INDEX(Counterparties!$E:$E,MATCH($F699&amp;"",Counterparties!$A:$A,0))="Y","Y","N"),"N"))</f>
        <v>N</v>
      </c>
      <c r="R699" s="25" t="n">
        <f aca="false">IF(OR($H699="",$H699="EUR"),1,IFERROR(INDEX(FX_Rates!$D:$D,MATCH($H699,FX_Rates!$A:$A,0)),""))</f>
        <v>1</v>
      </c>
      <c r="S699" s="26" t="str">
        <f aca="false">IF(AND($I699="",$J699=""),"",IF($J699&lt;&gt;"",$J699,IF(OR($R699="",$R699=0),"",ROUND($I699/$R699,2))))</f>
        <v/>
      </c>
      <c r="T699" s="24" t="str">
        <f aca="false">IF($N699="","",IFERROR(INDEX(VAT_Codes!$C:$C,MATCH($N699,VAT_Codes!$A:$A,0)),"")&amp;"")</f>
        <v/>
      </c>
      <c r="U699" s="26" t="n">
        <f aca="false">IF(OR($S699="",$T699="",$T699="None"),0,IF($T699="Output",-$S699,$S699))</f>
        <v>0</v>
      </c>
      <c r="V699" s="27" t="n">
        <f aca="false">IF($N699="",0,IFERROR(INDEX(VAT_Codes!$D:$D,MATCH($N699,VAT_Codes!$A:$A,0)),0))</f>
        <v>0</v>
      </c>
      <c r="W699" s="26" t="n">
        <f aca="false">IF($U699=0,0,IF(IFERROR(INDEX(VAT_Codes!$F:$F,MATCH($N699,VAT_Codes!$A:$A,0)),"N")="Y",$U699,IF($L699&lt;&gt;"",ROUND(ABS($L699)/IF(OR($R699="",$R699=0),1,$R699),2)*SIGN($U699),ROUND($U699*$V699,2))))</f>
        <v>0</v>
      </c>
      <c r="X699" s="24" t="str">
        <f aca="false">IF($N699="","",IFERROR(INDEX(VAT_Codes!$H:$H,MATCH($N699,VAT_Codes!$A:$A,0)),"")&amp;"")</f>
        <v/>
      </c>
      <c r="Y699" s="24" t="str">
        <f aca="false">IF($A699="","",(YEAR($A699)-YEAR(Settings!$C$8))*12+MONTH($A699)-MONTH(Settings!$C$8)+1)</f>
        <v/>
      </c>
      <c r="Z699" s="24" t="str">
        <f aca="false">IF(AND($C699="",$I699="",$J699=""),"",IF($N699="","NO VAT CODE",IF($T699="","UNKNOWN VAT CODE",IF($S699="","MISSING FX RATE",IF(OR($A699&lt;Settings!$C$8,$A699&gt;Settings!$C$9),"OUTSIDE PERIOD",IF(AND(IFERROR(INDEX(VAT_Codes!$E:$E,MATCH($N699,VAT_Codes!$A:$A,0)),"ANY")&lt;&gt;"ANY",$P699=""),"MISSING COUNTERPARTY COUNTRY",IF(AND(IFERROR(INDEX(VAT_Codes!$E:$E,MATCH($N699,VAT_Codes!$A:$A,0)),"ANY")&lt;&gt;"ANY",$P699&lt;&gt;IFERROR(INDEX(VAT_Codes!$E:$E,MATCH($N699,VAT_Codes!$A:$A,0)),"ANY")),"REGION MISMATCH","OK")))))))</f>
        <v/>
      </c>
    </row>
    <row r="700" customFormat="false" ht="15" hidden="false" customHeight="false" outlineLevel="0" collapsed="false">
      <c r="M700" s="24" t="str">
        <f aca="false">IF($C700="","",IFERROR(INDEX(Account_Mapping!$C:$C,MATCH($C700&amp;"",Account_Mapping!$A:$A,0))&amp;"",""))</f>
        <v/>
      </c>
      <c r="N700" s="24" t="str">
        <f aca="false">IF($K700&lt;&gt;"",$K700,$M700)</f>
        <v/>
      </c>
      <c r="O700" s="24" t="str">
        <f aca="false">IF($F700="","",IFERROR(INDEX(Counterparties!$C:$C,MATCH($F700&amp;"",Counterparties!$A:$A,0))&amp;"",""))</f>
        <v/>
      </c>
      <c r="P700" s="24" t="str">
        <f aca="false">IF($O700="","",IF($O700="CY","CY",IF(ISNUMBER(MATCH($O700,Lists!$A:$A,0)),"EU","3RD")))</f>
        <v/>
      </c>
      <c r="Q700" s="24" t="str">
        <f aca="false">IF($F700="","N",IFERROR(IF(INDEX(Counterparties!$E:$E,MATCH($F700&amp;"",Counterparties!$A:$A,0))="Y","Y","N"),"N"))</f>
        <v>N</v>
      </c>
      <c r="R700" s="25" t="n">
        <f aca="false">IF(OR($H700="",$H700="EUR"),1,IFERROR(INDEX(FX_Rates!$D:$D,MATCH($H700,FX_Rates!$A:$A,0)),""))</f>
        <v>1</v>
      </c>
      <c r="S700" s="26" t="str">
        <f aca="false">IF(AND($I700="",$J700=""),"",IF($J700&lt;&gt;"",$J700,IF(OR($R700="",$R700=0),"",ROUND($I700/$R700,2))))</f>
        <v/>
      </c>
      <c r="T700" s="24" t="str">
        <f aca="false">IF($N700="","",IFERROR(INDEX(VAT_Codes!$C:$C,MATCH($N700,VAT_Codes!$A:$A,0)),"")&amp;"")</f>
        <v/>
      </c>
      <c r="U700" s="26" t="n">
        <f aca="false">IF(OR($S700="",$T700="",$T700="None"),0,IF($T700="Output",-$S700,$S700))</f>
        <v>0</v>
      </c>
      <c r="V700" s="27" t="n">
        <f aca="false">IF($N700="",0,IFERROR(INDEX(VAT_Codes!$D:$D,MATCH($N700,VAT_Codes!$A:$A,0)),0))</f>
        <v>0</v>
      </c>
      <c r="W700" s="26" t="n">
        <f aca="false">IF($U700=0,0,IF(IFERROR(INDEX(VAT_Codes!$F:$F,MATCH($N700,VAT_Codes!$A:$A,0)),"N")="Y",$U700,IF($L700&lt;&gt;"",ROUND(ABS($L700)/IF(OR($R700="",$R700=0),1,$R700),2)*SIGN($U700),ROUND($U700*$V700,2))))</f>
        <v>0</v>
      </c>
      <c r="X700" s="24" t="str">
        <f aca="false">IF($N700="","",IFERROR(INDEX(VAT_Codes!$H:$H,MATCH($N700,VAT_Codes!$A:$A,0)),"")&amp;"")</f>
        <v/>
      </c>
      <c r="Y700" s="24" t="str">
        <f aca="false">IF($A700="","",(YEAR($A700)-YEAR(Settings!$C$8))*12+MONTH($A700)-MONTH(Settings!$C$8)+1)</f>
        <v/>
      </c>
      <c r="Z700" s="24" t="str">
        <f aca="false">IF(AND($C700="",$I700="",$J700=""),"",IF($N700="","NO VAT CODE",IF($T700="","UNKNOWN VAT CODE",IF($S700="","MISSING FX RATE",IF(OR($A700&lt;Settings!$C$8,$A700&gt;Settings!$C$9),"OUTSIDE PERIOD",IF(AND(IFERROR(INDEX(VAT_Codes!$E:$E,MATCH($N700,VAT_Codes!$A:$A,0)),"ANY")&lt;&gt;"ANY",$P700=""),"MISSING COUNTERPARTY COUNTRY",IF(AND(IFERROR(INDEX(VAT_Codes!$E:$E,MATCH($N700,VAT_Codes!$A:$A,0)),"ANY")&lt;&gt;"ANY",$P700&lt;&gt;IFERROR(INDEX(VAT_Codes!$E:$E,MATCH($N700,VAT_Codes!$A:$A,0)),"ANY")),"REGION MISMATCH","OK")))))))</f>
        <v/>
      </c>
    </row>
    <row r="701" customFormat="false" ht="15" hidden="false" customHeight="false" outlineLevel="0" collapsed="false">
      <c r="M701" s="24" t="str">
        <f aca="false">IF($C701="","",IFERROR(INDEX(Account_Mapping!$C:$C,MATCH($C701&amp;"",Account_Mapping!$A:$A,0))&amp;"",""))</f>
        <v/>
      </c>
      <c r="N701" s="24" t="str">
        <f aca="false">IF($K701&lt;&gt;"",$K701,$M701)</f>
        <v/>
      </c>
      <c r="O701" s="24" t="str">
        <f aca="false">IF($F701="","",IFERROR(INDEX(Counterparties!$C:$C,MATCH($F701&amp;"",Counterparties!$A:$A,0))&amp;"",""))</f>
        <v/>
      </c>
      <c r="P701" s="24" t="str">
        <f aca="false">IF($O701="","",IF($O701="CY","CY",IF(ISNUMBER(MATCH($O701,Lists!$A:$A,0)),"EU","3RD")))</f>
        <v/>
      </c>
      <c r="Q701" s="24" t="str">
        <f aca="false">IF($F701="","N",IFERROR(IF(INDEX(Counterparties!$E:$E,MATCH($F701&amp;"",Counterparties!$A:$A,0))="Y","Y","N"),"N"))</f>
        <v>N</v>
      </c>
      <c r="R701" s="25" t="n">
        <f aca="false">IF(OR($H701="",$H701="EUR"),1,IFERROR(INDEX(FX_Rates!$D:$D,MATCH($H701,FX_Rates!$A:$A,0)),""))</f>
        <v>1</v>
      </c>
      <c r="S701" s="26" t="str">
        <f aca="false">IF(AND($I701="",$J701=""),"",IF($J701&lt;&gt;"",$J701,IF(OR($R701="",$R701=0),"",ROUND($I701/$R701,2))))</f>
        <v/>
      </c>
      <c r="T701" s="24" t="str">
        <f aca="false">IF($N701="","",IFERROR(INDEX(VAT_Codes!$C:$C,MATCH($N701,VAT_Codes!$A:$A,0)),"")&amp;"")</f>
        <v/>
      </c>
      <c r="U701" s="26" t="n">
        <f aca="false">IF(OR($S701="",$T701="",$T701="None"),0,IF($T701="Output",-$S701,$S701))</f>
        <v>0</v>
      </c>
      <c r="V701" s="27" t="n">
        <f aca="false">IF($N701="",0,IFERROR(INDEX(VAT_Codes!$D:$D,MATCH($N701,VAT_Codes!$A:$A,0)),0))</f>
        <v>0</v>
      </c>
      <c r="W701" s="26" t="n">
        <f aca="false">IF($U701=0,0,IF(IFERROR(INDEX(VAT_Codes!$F:$F,MATCH($N701,VAT_Codes!$A:$A,0)),"N")="Y",$U701,IF($L701&lt;&gt;"",ROUND(ABS($L701)/IF(OR($R701="",$R701=0),1,$R701),2)*SIGN($U701),ROUND($U701*$V701,2))))</f>
        <v>0</v>
      </c>
      <c r="X701" s="24" t="str">
        <f aca="false">IF($N701="","",IFERROR(INDEX(VAT_Codes!$H:$H,MATCH($N701,VAT_Codes!$A:$A,0)),"")&amp;"")</f>
        <v/>
      </c>
      <c r="Y701" s="24" t="str">
        <f aca="false">IF($A701="","",(YEAR($A701)-YEAR(Settings!$C$8))*12+MONTH($A701)-MONTH(Settings!$C$8)+1)</f>
        <v/>
      </c>
      <c r="Z701" s="24" t="str">
        <f aca="false">IF(AND($C701="",$I701="",$J701=""),"",IF($N701="","NO VAT CODE",IF($T701="","UNKNOWN VAT CODE",IF($S701="","MISSING FX RATE",IF(OR($A701&lt;Settings!$C$8,$A701&gt;Settings!$C$9),"OUTSIDE PERIOD",IF(AND(IFERROR(INDEX(VAT_Codes!$E:$E,MATCH($N701,VAT_Codes!$A:$A,0)),"ANY")&lt;&gt;"ANY",$P701=""),"MISSING COUNTERPARTY COUNTRY",IF(AND(IFERROR(INDEX(VAT_Codes!$E:$E,MATCH($N701,VAT_Codes!$A:$A,0)),"ANY")&lt;&gt;"ANY",$P701&lt;&gt;IFERROR(INDEX(VAT_Codes!$E:$E,MATCH($N701,VAT_Codes!$A:$A,0)),"ANY")),"REGION MISMATCH","OK")))))))</f>
        <v/>
      </c>
    </row>
    <row r="702" customFormat="false" ht="15" hidden="false" customHeight="false" outlineLevel="0" collapsed="false">
      <c r="M702" s="24" t="str">
        <f aca="false">IF($C702="","",IFERROR(INDEX(Account_Mapping!$C:$C,MATCH($C702&amp;"",Account_Mapping!$A:$A,0))&amp;"",""))</f>
        <v/>
      </c>
      <c r="N702" s="24" t="str">
        <f aca="false">IF($K702&lt;&gt;"",$K702,$M702)</f>
        <v/>
      </c>
      <c r="O702" s="24" t="str">
        <f aca="false">IF($F702="","",IFERROR(INDEX(Counterparties!$C:$C,MATCH($F702&amp;"",Counterparties!$A:$A,0))&amp;"",""))</f>
        <v/>
      </c>
      <c r="P702" s="24" t="str">
        <f aca="false">IF($O702="","",IF($O702="CY","CY",IF(ISNUMBER(MATCH($O702,Lists!$A:$A,0)),"EU","3RD")))</f>
        <v/>
      </c>
      <c r="Q702" s="24" t="str">
        <f aca="false">IF($F702="","N",IFERROR(IF(INDEX(Counterparties!$E:$E,MATCH($F702&amp;"",Counterparties!$A:$A,0))="Y","Y","N"),"N"))</f>
        <v>N</v>
      </c>
      <c r="R702" s="25" t="n">
        <f aca="false">IF(OR($H702="",$H702="EUR"),1,IFERROR(INDEX(FX_Rates!$D:$D,MATCH($H702,FX_Rates!$A:$A,0)),""))</f>
        <v>1</v>
      </c>
      <c r="S702" s="26" t="str">
        <f aca="false">IF(AND($I702="",$J702=""),"",IF($J702&lt;&gt;"",$J702,IF(OR($R702="",$R702=0),"",ROUND($I702/$R702,2))))</f>
        <v/>
      </c>
      <c r="T702" s="24" t="str">
        <f aca="false">IF($N702="","",IFERROR(INDEX(VAT_Codes!$C:$C,MATCH($N702,VAT_Codes!$A:$A,0)),"")&amp;"")</f>
        <v/>
      </c>
      <c r="U702" s="26" t="n">
        <f aca="false">IF(OR($S702="",$T702="",$T702="None"),0,IF($T702="Output",-$S702,$S702))</f>
        <v>0</v>
      </c>
      <c r="V702" s="27" t="n">
        <f aca="false">IF($N702="",0,IFERROR(INDEX(VAT_Codes!$D:$D,MATCH($N702,VAT_Codes!$A:$A,0)),0))</f>
        <v>0</v>
      </c>
      <c r="W702" s="26" t="n">
        <f aca="false">IF($U702=0,0,IF(IFERROR(INDEX(VAT_Codes!$F:$F,MATCH($N702,VAT_Codes!$A:$A,0)),"N")="Y",$U702,IF($L702&lt;&gt;"",ROUND(ABS($L702)/IF(OR($R702="",$R702=0),1,$R702),2)*SIGN($U702),ROUND($U702*$V702,2))))</f>
        <v>0</v>
      </c>
      <c r="X702" s="24" t="str">
        <f aca="false">IF($N702="","",IFERROR(INDEX(VAT_Codes!$H:$H,MATCH($N702,VAT_Codes!$A:$A,0)),"")&amp;"")</f>
        <v/>
      </c>
      <c r="Y702" s="24" t="str">
        <f aca="false">IF($A702="","",(YEAR($A702)-YEAR(Settings!$C$8))*12+MONTH($A702)-MONTH(Settings!$C$8)+1)</f>
        <v/>
      </c>
      <c r="Z702" s="24" t="str">
        <f aca="false">IF(AND($C702="",$I702="",$J702=""),"",IF($N702="","NO VAT CODE",IF($T702="","UNKNOWN VAT CODE",IF($S702="","MISSING FX RATE",IF(OR($A702&lt;Settings!$C$8,$A702&gt;Settings!$C$9),"OUTSIDE PERIOD",IF(AND(IFERROR(INDEX(VAT_Codes!$E:$E,MATCH($N702,VAT_Codes!$A:$A,0)),"ANY")&lt;&gt;"ANY",$P702=""),"MISSING COUNTERPARTY COUNTRY",IF(AND(IFERROR(INDEX(VAT_Codes!$E:$E,MATCH($N702,VAT_Codes!$A:$A,0)),"ANY")&lt;&gt;"ANY",$P702&lt;&gt;IFERROR(INDEX(VAT_Codes!$E:$E,MATCH($N702,VAT_Codes!$A:$A,0)),"ANY")),"REGION MISMATCH","OK")))))))</f>
        <v/>
      </c>
    </row>
    <row r="703" customFormat="false" ht="15" hidden="false" customHeight="false" outlineLevel="0" collapsed="false">
      <c r="M703" s="24" t="str">
        <f aca="false">IF($C703="","",IFERROR(INDEX(Account_Mapping!$C:$C,MATCH($C703&amp;"",Account_Mapping!$A:$A,0))&amp;"",""))</f>
        <v/>
      </c>
      <c r="N703" s="24" t="str">
        <f aca="false">IF($K703&lt;&gt;"",$K703,$M703)</f>
        <v/>
      </c>
      <c r="O703" s="24" t="str">
        <f aca="false">IF($F703="","",IFERROR(INDEX(Counterparties!$C:$C,MATCH($F703&amp;"",Counterparties!$A:$A,0))&amp;"",""))</f>
        <v/>
      </c>
      <c r="P703" s="24" t="str">
        <f aca="false">IF($O703="","",IF($O703="CY","CY",IF(ISNUMBER(MATCH($O703,Lists!$A:$A,0)),"EU","3RD")))</f>
        <v/>
      </c>
      <c r="Q703" s="24" t="str">
        <f aca="false">IF($F703="","N",IFERROR(IF(INDEX(Counterparties!$E:$E,MATCH($F703&amp;"",Counterparties!$A:$A,0))="Y","Y","N"),"N"))</f>
        <v>N</v>
      </c>
      <c r="R703" s="25" t="n">
        <f aca="false">IF(OR($H703="",$H703="EUR"),1,IFERROR(INDEX(FX_Rates!$D:$D,MATCH($H703,FX_Rates!$A:$A,0)),""))</f>
        <v>1</v>
      </c>
      <c r="S703" s="26" t="str">
        <f aca="false">IF(AND($I703="",$J703=""),"",IF($J703&lt;&gt;"",$J703,IF(OR($R703="",$R703=0),"",ROUND($I703/$R703,2))))</f>
        <v/>
      </c>
      <c r="T703" s="24" t="str">
        <f aca="false">IF($N703="","",IFERROR(INDEX(VAT_Codes!$C:$C,MATCH($N703,VAT_Codes!$A:$A,0)),"")&amp;"")</f>
        <v/>
      </c>
      <c r="U703" s="26" t="n">
        <f aca="false">IF(OR($S703="",$T703="",$T703="None"),0,IF($T703="Output",-$S703,$S703))</f>
        <v>0</v>
      </c>
      <c r="V703" s="27" t="n">
        <f aca="false">IF($N703="",0,IFERROR(INDEX(VAT_Codes!$D:$D,MATCH($N703,VAT_Codes!$A:$A,0)),0))</f>
        <v>0</v>
      </c>
      <c r="W703" s="26" t="n">
        <f aca="false">IF($U703=0,0,IF(IFERROR(INDEX(VAT_Codes!$F:$F,MATCH($N703,VAT_Codes!$A:$A,0)),"N")="Y",$U703,IF($L703&lt;&gt;"",ROUND(ABS($L703)/IF(OR($R703="",$R703=0),1,$R703),2)*SIGN($U703),ROUND($U703*$V703,2))))</f>
        <v>0</v>
      </c>
      <c r="X703" s="24" t="str">
        <f aca="false">IF($N703="","",IFERROR(INDEX(VAT_Codes!$H:$H,MATCH($N703,VAT_Codes!$A:$A,0)),"")&amp;"")</f>
        <v/>
      </c>
      <c r="Y703" s="24" t="str">
        <f aca="false">IF($A703="","",(YEAR($A703)-YEAR(Settings!$C$8))*12+MONTH($A703)-MONTH(Settings!$C$8)+1)</f>
        <v/>
      </c>
      <c r="Z703" s="24" t="str">
        <f aca="false">IF(AND($C703="",$I703="",$J703=""),"",IF($N703="","NO VAT CODE",IF($T703="","UNKNOWN VAT CODE",IF($S703="","MISSING FX RATE",IF(OR($A703&lt;Settings!$C$8,$A703&gt;Settings!$C$9),"OUTSIDE PERIOD",IF(AND(IFERROR(INDEX(VAT_Codes!$E:$E,MATCH($N703,VAT_Codes!$A:$A,0)),"ANY")&lt;&gt;"ANY",$P703=""),"MISSING COUNTERPARTY COUNTRY",IF(AND(IFERROR(INDEX(VAT_Codes!$E:$E,MATCH($N703,VAT_Codes!$A:$A,0)),"ANY")&lt;&gt;"ANY",$P703&lt;&gt;IFERROR(INDEX(VAT_Codes!$E:$E,MATCH($N703,VAT_Codes!$A:$A,0)),"ANY")),"REGION MISMATCH","OK")))))))</f>
        <v/>
      </c>
    </row>
    <row r="704" customFormat="false" ht="15" hidden="false" customHeight="false" outlineLevel="0" collapsed="false">
      <c r="M704" s="24" t="str">
        <f aca="false">IF($C704="","",IFERROR(INDEX(Account_Mapping!$C:$C,MATCH($C704&amp;"",Account_Mapping!$A:$A,0))&amp;"",""))</f>
        <v/>
      </c>
      <c r="N704" s="24" t="str">
        <f aca="false">IF($K704&lt;&gt;"",$K704,$M704)</f>
        <v/>
      </c>
      <c r="O704" s="24" t="str">
        <f aca="false">IF($F704="","",IFERROR(INDEX(Counterparties!$C:$C,MATCH($F704&amp;"",Counterparties!$A:$A,0))&amp;"",""))</f>
        <v/>
      </c>
      <c r="P704" s="24" t="str">
        <f aca="false">IF($O704="","",IF($O704="CY","CY",IF(ISNUMBER(MATCH($O704,Lists!$A:$A,0)),"EU","3RD")))</f>
        <v/>
      </c>
      <c r="Q704" s="24" t="str">
        <f aca="false">IF($F704="","N",IFERROR(IF(INDEX(Counterparties!$E:$E,MATCH($F704&amp;"",Counterparties!$A:$A,0))="Y","Y","N"),"N"))</f>
        <v>N</v>
      </c>
      <c r="R704" s="25" t="n">
        <f aca="false">IF(OR($H704="",$H704="EUR"),1,IFERROR(INDEX(FX_Rates!$D:$D,MATCH($H704,FX_Rates!$A:$A,0)),""))</f>
        <v>1</v>
      </c>
      <c r="S704" s="26" t="str">
        <f aca="false">IF(AND($I704="",$J704=""),"",IF($J704&lt;&gt;"",$J704,IF(OR($R704="",$R704=0),"",ROUND($I704/$R704,2))))</f>
        <v/>
      </c>
      <c r="T704" s="24" t="str">
        <f aca="false">IF($N704="","",IFERROR(INDEX(VAT_Codes!$C:$C,MATCH($N704,VAT_Codes!$A:$A,0)),"")&amp;"")</f>
        <v/>
      </c>
      <c r="U704" s="26" t="n">
        <f aca="false">IF(OR($S704="",$T704="",$T704="None"),0,IF($T704="Output",-$S704,$S704))</f>
        <v>0</v>
      </c>
      <c r="V704" s="27" t="n">
        <f aca="false">IF($N704="",0,IFERROR(INDEX(VAT_Codes!$D:$D,MATCH($N704,VAT_Codes!$A:$A,0)),0))</f>
        <v>0</v>
      </c>
      <c r="W704" s="26" t="n">
        <f aca="false">IF($U704=0,0,IF(IFERROR(INDEX(VAT_Codes!$F:$F,MATCH($N704,VAT_Codes!$A:$A,0)),"N")="Y",$U704,IF($L704&lt;&gt;"",ROUND(ABS($L704)/IF(OR($R704="",$R704=0),1,$R704),2)*SIGN($U704),ROUND($U704*$V704,2))))</f>
        <v>0</v>
      </c>
      <c r="X704" s="24" t="str">
        <f aca="false">IF($N704="","",IFERROR(INDEX(VAT_Codes!$H:$H,MATCH($N704,VAT_Codes!$A:$A,0)),"")&amp;"")</f>
        <v/>
      </c>
      <c r="Y704" s="24" t="str">
        <f aca="false">IF($A704="","",(YEAR($A704)-YEAR(Settings!$C$8))*12+MONTH($A704)-MONTH(Settings!$C$8)+1)</f>
        <v/>
      </c>
      <c r="Z704" s="24" t="str">
        <f aca="false">IF(AND($C704="",$I704="",$J704=""),"",IF($N704="","NO VAT CODE",IF($T704="","UNKNOWN VAT CODE",IF($S704="","MISSING FX RATE",IF(OR($A704&lt;Settings!$C$8,$A704&gt;Settings!$C$9),"OUTSIDE PERIOD",IF(AND(IFERROR(INDEX(VAT_Codes!$E:$E,MATCH($N704,VAT_Codes!$A:$A,0)),"ANY")&lt;&gt;"ANY",$P704=""),"MISSING COUNTERPARTY COUNTRY",IF(AND(IFERROR(INDEX(VAT_Codes!$E:$E,MATCH($N704,VAT_Codes!$A:$A,0)),"ANY")&lt;&gt;"ANY",$P704&lt;&gt;IFERROR(INDEX(VAT_Codes!$E:$E,MATCH($N704,VAT_Codes!$A:$A,0)),"ANY")),"REGION MISMATCH","OK")))))))</f>
        <v/>
      </c>
    </row>
    <row r="705" customFormat="false" ht="15" hidden="false" customHeight="false" outlineLevel="0" collapsed="false">
      <c r="M705" s="24" t="str">
        <f aca="false">IF($C705="","",IFERROR(INDEX(Account_Mapping!$C:$C,MATCH($C705&amp;"",Account_Mapping!$A:$A,0))&amp;"",""))</f>
        <v/>
      </c>
      <c r="N705" s="24" t="str">
        <f aca="false">IF($K705&lt;&gt;"",$K705,$M705)</f>
        <v/>
      </c>
      <c r="O705" s="24" t="str">
        <f aca="false">IF($F705="","",IFERROR(INDEX(Counterparties!$C:$C,MATCH($F705&amp;"",Counterparties!$A:$A,0))&amp;"",""))</f>
        <v/>
      </c>
      <c r="P705" s="24" t="str">
        <f aca="false">IF($O705="","",IF($O705="CY","CY",IF(ISNUMBER(MATCH($O705,Lists!$A:$A,0)),"EU","3RD")))</f>
        <v/>
      </c>
      <c r="Q705" s="24" t="str">
        <f aca="false">IF($F705="","N",IFERROR(IF(INDEX(Counterparties!$E:$E,MATCH($F705&amp;"",Counterparties!$A:$A,0))="Y","Y","N"),"N"))</f>
        <v>N</v>
      </c>
      <c r="R705" s="25" t="n">
        <f aca="false">IF(OR($H705="",$H705="EUR"),1,IFERROR(INDEX(FX_Rates!$D:$D,MATCH($H705,FX_Rates!$A:$A,0)),""))</f>
        <v>1</v>
      </c>
      <c r="S705" s="26" t="str">
        <f aca="false">IF(AND($I705="",$J705=""),"",IF($J705&lt;&gt;"",$J705,IF(OR($R705="",$R705=0),"",ROUND($I705/$R705,2))))</f>
        <v/>
      </c>
      <c r="T705" s="24" t="str">
        <f aca="false">IF($N705="","",IFERROR(INDEX(VAT_Codes!$C:$C,MATCH($N705,VAT_Codes!$A:$A,0)),"")&amp;"")</f>
        <v/>
      </c>
      <c r="U705" s="26" t="n">
        <f aca="false">IF(OR($S705="",$T705="",$T705="None"),0,IF($T705="Output",-$S705,$S705))</f>
        <v>0</v>
      </c>
      <c r="V705" s="27" t="n">
        <f aca="false">IF($N705="",0,IFERROR(INDEX(VAT_Codes!$D:$D,MATCH($N705,VAT_Codes!$A:$A,0)),0))</f>
        <v>0</v>
      </c>
      <c r="W705" s="26" t="n">
        <f aca="false">IF($U705=0,0,IF(IFERROR(INDEX(VAT_Codes!$F:$F,MATCH($N705,VAT_Codes!$A:$A,0)),"N")="Y",$U705,IF($L705&lt;&gt;"",ROUND(ABS($L705)/IF(OR($R705="",$R705=0),1,$R705),2)*SIGN($U705),ROUND($U705*$V705,2))))</f>
        <v>0</v>
      </c>
      <c r="X705" s="24" t="str">
        <f aca="false">IF($N705="","",IFERROR(INDEX(VAT_Codes!$H:$H,MATCH($N705,VAT_Codes!$A:$A,0)),"")&amp;"")</f>
        <v/>
      </c>
      <c r="Y705" s="24" t="str">
        <f aca="false">IF($A705="","",(YEAR($A705)-YEAR(Settings!$C$8))*12+MONTH($A705)-MONTH(Settings!$C$8)+1)</f>
        <v/>
      </c>
      <c r="Z705" s="24" t="str">
        <f aca="false">IF(AND($C705="",$I705="",$J705=""),"",IF($N705="","NO VAT CODE",IF($T705="","UNKNOWN VAT CODE",IF($S705="","MISSING FX RATE",IF(OR($A705&lt;Settings!$C$8,$A705&gt;Settings!$C$9),"OUTSIDE PERIOD",IF(AND(IFERROR(INDEX(VAT_Codes!$E:$E,MATCH($N705,VAT_Codes!$A:$A,0)),"ANY")&lt;&gt;"ANY",$P705=""),"MISSING COUNTERPARTY COUNTRY",IF(AND(IFERROR(INDEX(VAT_Codes!$E:$E,MATCH($N705,VAT_Codes!$A:$A,0)),"ANY")&lt;&gt;"ANY",$P705&lt;&gt;IFERROR(INDEX(VAT_Codes!$E:$E,MATCH($N705,VAT_Codes!$A:$A,0)),"ANY")),"REGION MISMATCH","OK")))))))</f>
        <v/>
      </c>
    </row>
    <row r="706" customFormat="false" ht="15" hidden="false" customHeight="false" outlineLevel="0" collapsed="false">
      <c r="M706" s="24" t="str">
        <f aca="false">IF($C706="","",IFERROR(INDEX(Account_Mapping!$C:$C,MATCH($C706&amp;"",Account_Mapping!$A:$A,0))&amp;"",""))</f>
        <v/>
      </c>
      <c r="N706" s="24" t="str">
        <f aca="false">IF($K706&lt;&gt;"",$K706,$M706)</f>
        <v/>
      </c>
      <c r="O706" s="24" t="str">
        <f aca="false">IF($F706="","",IFERROR(INDEX(Counterparties!$C:$C,MATCH($F706&amp;"",Counterparties!$A:$A,0))&amp;"",""))</f>
        <v/>
      </c>
      <c r="P706" s="24" t="str">
        <f aca="false">IF($O706="","",IF($O706="CY","CY",IF(ISNUMBER(MATCH($O706,Lists!$A:$A,0)),"EU","3RD")))</f>
        <v/>
      </c>
      <c r="Q706" s="24" t="str">
        <f aca="false">IF($F706="","N",IFERROR(IF(INDEX(Counterparties!$E:$E,MATCH($F706&amp;"",Counterparties!$A:$A,0))="Y","Y","N"),"N"))</f>
        <v>N</v>
      </c>
      <c r="R706" s="25" t="n">
        <f aca="false">IF(OR($H706="",$H706="EUR"),1,IFERROR(INDEX(FX_Rates!$D:$D,MATCH($H706,FX_Rates!$A:$A,0)),""))</f>
        <v>1</v>
      </c>
      <c r="S706" s="26" t="str">
        <f aca="false">IF(AND($I706="",$J706=""),"",IF($J706&lt;&gt;"",$J706,IF(OR($R706="",$R706=0),"",ROUND($I706/$R706,2))))</f>
        <v/>
      </c>
      <c r="T706" s="24" t="str">
        <f aca="false">IF($N706="","",IFERROR(INDEX(VAT_Codes!$C:$C,MATCH($N706,VAT_Codes!$A:$A,0)),"")&amp;"")</f>
        <v/>
      </c>
      <c r="U706" s="26" t="n">
        <f aca="false">IF(OR($S706="",$T706="",$T706="None"),0,IF($T706="Output",-$S706,$S706))</f>
        <v>0</v>
      </c>
      <c r="V706" s="27" t="n">
        <f aca="false">IF($N706="",0,IFERROR(INDEX(VAT_Codes!$D:$D,MATCH($N706,VAT_Codes!$A:$A,0)),0))</f>
        <v>0</v>
      </c>
      <c r="W706" s="26" t="n">
        <f aca="false">IF($U706=0,0,IF(IFERROR(INDEX(VAT_Codes!$F:$F,MATCH($N706,VAT_Codes!$A:$A,0)),"N")="Y",$U706,IF($L706&lt;&gt;"",ROUND(ABS($L706)/IF(OR($R706="",$R706=0),1,$R706),2)*SIGN($U706),ROUND($U706*$V706,2))))</f>
        <v>0</v>
      </c>
      <c r="X706" s="24" t="str">
        <f aca="false">IF($N706="","",IFERROR(INDEX(VAT_Codes!$H:$H,MATCH($N706,VAT_Codes!$A:$A,0)),"")&amp;"")</f>
        <v/>
      </c>
      <c r="Y706" s="24" t="str">
        <f aca="false">IF($A706="","",(YEAR($A706)-YEAR(Settings!$C$8))*12+MONTH($A706)-MONTH(Settings!$C$8)+1)</f>
        <v/>
      </c>
      <c r="Z706" s="24" t="str">
        <f aca="false">IF(AND($C706="",$I706="",$J706=""),"",IF($N706="","NO VAT CODE",IF($T706="","UNKNOWN VAT CODE",IF($S706="","MISSING FX RATE",IF(OR($A706&lt;Settings!$C$8,$A706&gt;Settings!$C$9),"OUTSIDE PERIOD",IF(AND(IFERROR(INDEX(VAT_Codes!$E:$E,MATCH($N706,VAT_Codes!$A:$A,0)),"ANY")&lt;&gt;"ANY",$P706=""),"MISSING COUNTERPARTY COUNTRY",IF(AND(IFERROR(INDEX(VAT_Codes!$E:$E,MATCH($N706,VAT_Codes!$A:$A,0)),"ANY")&lt;&gt;"ANY",$P706&lt;&gt;IFERROR(INDEX(VAT_Codes!$E:$E,MATCH($N706,VAT_Codes!$A:$A,0)),"ANY")),"REGION MISMATCH","OK")))))))</f>
        <v/>
      </c>
    </row>
    <row r="707" customFormat="false" ht="15" hidden="false" customHeight="false" outlineLevel="0" collapsed="false">
      <c r="M707" s="24" t="str">
        <f aca="false">IF($C707="","",IFERROR(INDEX(Account_Mapping!$C:$C,MATCH($C707&amp;"",Account_Mapping!$A:$A,0))&amp;"",""))</f>
        <v/>
      </c>
      <c r="N707" s="24" t="str">
        <f aca="false">IF($K707&lt;&gt;"",$K707,$M707)</f>
        <v/>
      </c>
      <c r="O707" s="24" t="str">
        <f aca="false">IF($F707="","",IFERROR(INDEX(Counterparties!$C:$C,MATCH($F707&amp;"",Counterparties!$A:$A,0))&amp;"",""))</f>
        <v/>
      </c>
      <c r="P707" s="24" t="str">
        <f aca="false">IF($O707="","",IF($O707="CY","CY",IF(ISNUMBER(MATCH($O707,Lists!$A:$A,0)),"EU","3RD")))</f>
        <v/>
      </c>
      <c r="Q707" s="24" t="str">
        <f aca="false">IF($F707="","N",IFERROR(IF(INDEX(Counterparties!$E:$E,MATCH($F707&amp;"",Counterparties!$A:$A,0))="Y","Y","N"),"N"))</f>
        <v>N</v>
      </c>
      <c r="R707" s="25" t="n">
        <f aca="false">IF(OR($H707="",$H707="EUR"),1,IFERROR(INDEX(FX_Rates!$D:$D,MATCH($H707,FX_Rates!$A:$A,0)),""))</f>
        <v>1</v>
      </c>
      <c r="S707" s="26" t="str">
        <f aca="false">IF(AND($I707="",$J707=""),"",IF($J707&lt;&gt;"",$J707,IF(OR($R707="",$R707=0),"",ROUND($I707/$R707,2))))</f>
        <v/>
      </c>
      <c r="T707" s="24" t="str">
        <f aca="false">IF($N707="","",IFERROR(INDEX(VAT_Codes!$C:$C,MATCH($N707,VAT_Codes!$A:$A,0)),"")&amp;"")</f>
        <v/>
      </c>
      <c r="U707" s="26" t="n">
        <f aca="false">IF(OR($S707="",$T707="",$T707="None"),0,IF($T707="Output",-$S707,$S707))</f>
        <v>0</v>
      </c>
      <c r="V707" s="27" t="n">
        <f aca="false">IF($N707="",0,IFERROR(INDEX(VAT_Codes!$D:$D,MATCH($N707,VAT_Codes!$A:$A,0)),0))</f>
        <v>0</v>
      </c>
      <c r="W707" s="26" t="n">
        <f aca="false">IF($U707=0,0,IF(IFERROR(INDEX(VAT_Codes!$F:$F,MATCH($N707,VAT_Codes!$A:$A,0)),"N")="Y",$U707,IF($L707&lt;&gt;"",ROUND(ABS($L707)/IF(OR($R707="",$R707=0),1,$R707),2)*SIGN($U707),ROUND($U707*$V707,2))))</f>
        <v>0</v>
      </c>
      <c r="X707" s="24" t="str">
        <f aca="false">IF($N707="","",IFERROR(INDEX(VAT_Codes!$H:$H,MATCH($N707,VAT_Codes!$A:$A,0)),"")&amp;"")</f>
        <v/>
      </c>
      <c r="Y707" s="24" t="str">
        <f aca="false">IF($A707="","",(YEAR($A707)-YEAR(Settings!$C$8))*12+MONTH($A707)-MONTH(Settings!$C$8)+1)</f>
        <v/>
      </c>
      <c r="Z707" s="24" t="str">
        <f aca="false">IF(AND($C707="",$I707="",$J707=""),"",IF($N707="","NO VAT CODE",IF($T707="","UNKNOWN VAT CODE",IF($S707="","MISSING FX RATE",IF(OR($A707&lt;Settings!$C$8,$A707&gt;Settings!$C$9),"OUTSIDE PERIOD",IF(AND(IFERROR(INDEX(VAT_Codes!$E:$E,MATCH($N707,VAT_Codes!$A:$A,0)),"ANY")&lt;&gt;"ANY",$P707=""),"MISSING COUNTERPARTY COUNTRY",IF(AND(IFERROR(INDEX(VAT_Codes!$E:$E,MATCH($N707,VAT_Codes!$A:$A,0)),"ANY")&lt;&gt;"ANY",$P707&lt;&gt;IFERROR(INDEX(VAT_Codes!$E:$E,MATCH($N707,VAT_Codes!$A:$A,0)),"ANY")),"REGION MISMATCH","OK")))))))</f>
        <v/>
      </c>
    </row>
    <row r="708" customFormat="false" ht="15" hidden="false" customHeight="false" outlineLevel="0" collapsed="false">
      <c r="M708" s="24" t="str">
        <f aca="false">IF($C708="","",IFERROR(INDEX(Account_Mapping!$C:$C,MATCH($C708&amp;"",Account_Mapping!$A:$A,0))&amp;"",""))</f>
        <v/>
      </c>
      <c r="N708" s="24" t="str">
        <f aca="false">IF($K708&lt;&gt;"",$K708,$M708)</f>
        <v/>
      </c>
      <c r="O708" s="24" t="str">
        <f aca="false">IF($F708="","",IFERROR(INDEX(Counterparties!$C:$C,MATCH($F708&amp;"",Counterparties!$A:$A,0))&amp;"",""))</f>
        <v/>
      </c>
      <c r="P708" s="24" t="str">
        <f aca="false">IF($O708="","",IF($O708="CY","CY",IF(ISNUMBER(MATCH($O708,Lists!$A:$A,0)),"EU","3RD")))</f>
        <v/>
      </c>
      <c r="Q708" s="24" t="str">
        <f aca="false">IF($F708="","N",IFERROR(IF(INDEX(Counterparties!$E:$E,MATCH($F708&amp;"",Counterparties!$A:$A,0))="Y","Y","N"),"N"))</f>
        <v>N</v>
      </c>
      <c r="R708" s="25" t="n">
        <f aca="false">IF(OR($H708="",$H708="EUR"),1,IFERROR(INDEX(FX_Rates!$D:$D,MATCH($H708,FX_Rates!$A:$A,0)),""))</f>
        <v>1</v>
      </c>
      <c r="S708" s="26" t="str">
        <f aca="false">IF(AND($I708="",$J708=""),"",IF($J708&lt;&gt;"",$J708,IF(OR($R708="",$R708=0),"",ROUND($I708/$R708,2))))</f>
        <v/>
      </c>
      <c r="T708" s="24" t="str">
        <f aca="false">IF($N708="","",IFERROR(INDEX(VAT_Codes!$C:$C,MATCH($N708,VAT_Codes!$A:$A,0)),"")&amp;"")</f>
        <v/>
      </c>
      <c r="U708" s="26" t="n">
        <f aca="false">IF(OR($S708="",$T708="",$T708="None"),0,IF($T708="Output",-$S708,$S708))</f>
        <v>0</v>
      </c>
      <c r="V708" s="27" t="n">
        <f aca="false">IF($N708="",0,IFERROR(INDEX(VAT_Codes!$D:$D,MATCH($N708,VAT_Codes!$A:$A,0)),0))</f>
        <v>0</v>
      </c>
      <c r="W708" s="26" t="n">
        <f aca="false">IF($U708=0,0,IF(IFERROR(INDEX(VAT_Codes!$F:$F,MATCH($N708,VAT_Codes!$A:$A,0)),"N")="Y",$U708,IF($L708&lt;&gt;"",ROUND(ABS($L708)/IF(OR($R708="",$R708=0),1,$R708),2)*SIGN($U708),ROUND($U708*$V708,2))))</f>
        <v>0</v>
      </c>
      <c r="X708" s="24" t="str">
        <f aca="false">IF($N708="","",IFERROR(INDEX(VAT_Codes!$H:$H,MATCH($N708,VAT_Codes!$A:$A,0)),"")&amp;"")</f>
        <v/>
      </c>
      <c r="Y708" s="24" t="str">
        <f aca="false">IF($A708="","",(YEAR($A708)-YEAR(Settings!$C$8))*12+MONTH($A708)-MONTH(Settings!$C$8)+1)</f>
        <v/>
      </c>
      <c r="Z708" s="24" t="str">
        <f aca="false">IF(AND($C708="",$I708="",$J708=""),"",IF($N708="","NO VAT CODE",IF($T708="","UNKNOWN VAT CODE",IF($S708="","MISSING FX RATE",IF(OR($A708&lt;Settings!$C$8,$A708&gt;Settings!$C$9),"OUTSIDE PERIOD",IF(AND(IFERROR(INDEX(VAT_Codes!$E:$E,MATCH($N708,VAT_Codes!$A:$A,0)),"ANY")&lt;&gt;"ANY",$P708=""),"MISSING COUNTERPARTY COUNTRY",IF(AND(IFERROR(INDEX(VAT_Codes!$E:$E,MATCH($N708,VAT_Codes!$A:$A,0)),"ANY")&lt;&gt;"ANY",$P708&lt;&gt;IFERROR(INDEX(VAT_Codes!$E:$E,MATCH($N708,VAT_Codes!$A:$A,0)),"ANY")),"REGION MISMATCH","OK")))))))</f>
        <v/>
      </c>
    </row>
    <row r="709" customFormat="false" ht="15" hidden="false" customHeight="false" outlineLevel="0" collapsed="false">
      <c r="M709" s="24" t="str">
        <f aca="false">IF($C709="","",IFERROR(INDEX(Account_Mapping!$C:$C,MATCH($C709&amp;"",Account_Mapping!$A:$A,0))&amp;"",""))</f>
        <v/>
      </c>
      <c r="N709" s="24" t="str">
        <f aca="false">IF($K709&lt;&gt;"",$K709,$M709)</f>
        <v/>
      </c>
      <c r="O709" s="24" t="str">
        <f aca="false">IF($F709="","",IFERROR(INDEX(Counterparties!$C:$C,MATCH($F709&amp;"",Counterparties!$A:$A,0))&amp;"",""))</f>
        <v/>
      </c>
      <c r="P709" s="24" t="str">
        <f aca="false">IF($O709="","",IF($O709="CY","CY",IF(ISNUMBER(MATCH($O709,Lists!$A:$A,0)),"EU","3RD")))</f>
        <v/>
      </c>
      <c r="Q709" s="24" t="str">
        <f aca="false">IF($F709="","N",IFERROR(IF(INDEX(Counterparties!$E:$E,MATCH($F709&amp;"",Counterparties!$A:$A,0))="Y","Y","N"),"N"))</f>
        <v>N</v>
      </c>
      <c r="R709" s="25" t="n">
        <f aca="false">IF(OR($H709="",$H709="EUR"),1,IFERROR(INDEX(FX_Rates!$D:$D,MATCH($H709,FX_Rates!$A:$A,0)),""))</f>
        <v>1</v>
      </c>
      <c r="S709" s="26" t="str">
        <f aca="false">IF(AND($I709="",$J709=""),"",IF($J709&lt;&gt;"",$J709,IF(OR($R709="",$R709=0),"",ROUND($I709/$R709,2))))</f>
        <v/>
      </c>
      <c r="T709" s="24" t="str">
        <f aca="false">IF($N709="","",IFERROR(INDEX(VAT_Codes!$C:$C,MATCH($N709,VAT_Codes!$A:$A,0)),"")&amp;"")</f>
        <v/>
      </c>
      <c r="U709" s="26" t="n">
        <f aca="false">IF(OR($S709="",$T709="",$T709="None"),0,IF($T709="Output",-$S709,$S709))</f>
        <v>0</v>
      </c>
      <c r="V709" s="27" t="n">
        <f aca="false">IF($N709="",0,IFERROR(INDEX(VAT_Codes!$D:$D,MATCH($N709,VAT_Codes!$A:$A,0)),0))</f>
        <v>0</v>
      </c>
      <c r="W709" s="26" t="n">
        <f aca="false">IF($U709=0,0,IF(IFERROR(INDEX(VAT_Codes!$F:$F,MATCH($N709,VAT_Codes!$A:$A,0)),"N")="Y",$U709,IF($L709&lt;&gt;"",ROUND(ABS($L709)/IF(OR($R709="",$R709=0),1,$R709),2)*SIGN($U709),ROUND($U709*$V709,2))))</f>
        <v>0</v>
      </c>
      <c r="X709" s="24" t="str">
        <f aca="false">IF($N709="","",IFERROR(INDEX(VAT_Codes!$H:$H,MATCH($N709,VAT_Codes!$A:$A,0)),"")&amp;"")</f>
        <v/>
      </c>
      <c r="Y709" s="24" t="str">
        <f aca="false">IF($A709="","",(YEAR($A709)-YEAR(Settings!$C$8))*12+MONTH($A709)-MONTH(Settings!$C$8)+1)</f>
        <v/>
      </c>
      <c r="Z709" s="24" t="str">
        <f aca="false">IF(AND($C709="",$I709="",$J709=""),"",IF($N709="","NO VAT CODE",IF($T709="","UNKNOWN VAT CODE",IF($S709="","MISSING FX RATE",IF(OR($A709&lt;Settings!$C$8,$A709&gt;Settings!$C$9),"OUTSIDE PERIOD",IF(AND(IFERROR(INDEX(VAT_Codes!$E:$E,MATCH($N709,VAT_Codes!$A:$A,0)),"ANY")&lt;&gt;"ANY",$P709=""),"MISSING COUNTERPARTY COUNTRY",IF(AND(IFERROR(INDEX(VAT_Codes!$E:$E,MATCH($N709,VAT_Codes!$A:$A,0)),"ANY")&lt;&gt;"ANY",$P709&lt;&gt;IFERROR(INDEX(VAT_Codes!$E:$E,MATCH($N709,VAT_Codes!$A:$A,0)),"ANY")),"REGION MISMATCH","OK")))))))</f>
        <v/>
      </c>
    </row>
    <row r="710" customFormat="false" ht="15" hidden="false" customHeight="false" outlineLevel="0" collapsed="false">
      <c r="M710" s="24" t="str">
        <f aca="false">IF($C710="","",IFERROR(INDEX(Account_Mapping!$C:$C,MATCH($C710&amp;"",Account_Mapping!$A:$A,0))&amp;"",""))</f>
        <v/>
      </c>
      <c r="N710" s="24" t="str">
        <f aca="false">IF($K710&lt;&gt;"",$K710,$M710)</f>
        <v/>
      </c>
      <c r="O710" s="24" t="str">
        <f aca="false">IF($F710="","",IFERROR(INDEX(Counterparties!$C:$C,MATCH($F710&amp;"",Counterparties!$A:$A,0))&amp;"",""))</f>
        <v/>
      </c>
      <c r="P710" s="24" t="str">
        <f aca="false">IF($O710="","",IF($O710="CY","CY",IF(ISNUMBER(MATCH($O710,Lists!$A:$A,0)),"EU","3RD")))</f>
        <v/>
      </c>
      <c r="Q710" s="24" t="str">
        <f aca="false">IF($F710="","N",IFERROR(IF(INDEX(Counterparties!$E:$E,MATCH($F710&amp;"",Counterparties!$A:$A,0))="Y","Y","N"),"N"))</f>
        <v>N</v>
      </c>
      <c r="R710" s="25" t="n">
        <f aca="false">IF(OR($H710="",$H710="EUR"),1,IFERROR(INDEX(FX_Rates!$D:$D,MATCH($H710,FX_Rates!$A:$A,0)),""))</f>
        <v>1</v>
      </c>
      <c r="S710" s="26" t="str">
        <f aca="false">IF(AND($I710="",$J710=""),"",IF($J710&lt;&gt;"",$J710,IF(OR($R710="",$R710=0),"",ROUND($I710/$R710,2))))</f>
        <v/>
      </c>
      <c r="T710" s="24" t="str">
        <f aca="false">IF($N710="","",IFERROR(INDEX(VAT_Codes!$C:$C,MATCH($N710,VAT_Codes!$A:$A,0)),"")&amp;"")</f>
        <v/>
      </c>
      <c r="U710" s="26" t="n">
        <f aca="false">IF(OR($S710="",$T710="",$T710="None"),0,IF($T710="Output",-$S710,$S710))</f>
        <v>0</v>
      </c>
      <c r="V710" s="27" t="n">
        <f aca="false">IF($N710="",0,IFERROR(INDEX(VAT_Codes!$D:$D,MATCH($N710,VAT_Codes!$A:$A,0)),0))</f>
        <v>0</v>
      </c>
      <c r="W710" s="26" t="n">
        <f aca="false">IF($U710=0,0,IF(IFERROR(INDEX(VAT_Codes!$F:$F,MATCH($N710,VAT_Codes!$A:$A,0)),"N")="Y",$U710,IF($L710&lt;&gt;"",ROUND(ABS($L710)/IF(OR($R710="",$R710=0),1,$R710),2)*SIGN($U710),ROUND($U710*$V710,2))))</f>
        <v>0</v>
      </c>
      <c r="X710" s="24" t="str">
        <f aca="false">IF($N710="","",IFERROR(INDEX(VAT_Codes!$H:$H,MATCH($N710,VAT_Codes!$A:$A,0)),"")&amp;"")</f>
        <v/>
      </c>
      <c r="Y710" s="24" t="str">
        <f aca="false">IF($A710="","",(YEAR($A710)-YEAR(Settings!$C$8))*12+MONTH($A710)-MONTH(Settings!$C$8)+1)</f>
        <v/>
      </c>
      <c r="Z710" s="24" t="str">
        <f aca="false">IF(AND($C710="",$I710="",$J710=""),"",IF($N710="","NO VAT CODE",IF($T710="","UNKNOWN VAT CODE",IF($S710="","MISSING FX RATE",IF(OR($A710&lt;Settings!$C$8,$A710&gt;Settings!$C$9),"OUTSIDE PERIOD",IF(AND(IFERROR(INDEX(VAT_Codes!$E:$E,MATCH($N710,VAT_Codes!$A:$A,0)),"ANY")&lt;&gt;"ANY",$P710=""),"MISSING COUNTERPARTY COUNTRY",IF(AND(IFERROR(INDEX(VAT_Codes!$E:$E,MATCH($N710,VAT_Codes!$A:$A,0)),"ANY")&lt;&gt;"ANY",$P710&lt;&gt;IFERROR(INDEX(VAT_Codes!$E:$E,MATCH($N710,VAT_Codes!$A:$A,0)),"ANY")),"REGION MISMATCH","OK")))))))</f>
        <v/>
      </c>
    </row>
    <row r="711" customFormat="false" ht="15" hidden="false" customHeight="false" outlineLevel="0" collapsed="false">
      <c r="M711" s="24" t="str">
        <f aca="false">IF($C711="","",IFERROR(INDEX(Account_Mapping!$C:$C,MATCH($C711&amp;"",Account_Mapping!$A:$A,0))&amp;"",""))</f>
        <v/>
      </c>
      <c r="N711" s="24" t="str">
        <f aca="false">IF($K711&lt;&gt;"",$K711,$M711)</f>
        <v/>
      </c>
      <c r="O711" s="24" t="str">
        <f aca="false">IF($F711="","",IFERROR(INDEX(Counterparties!$C:$C,MATCH($F711&amp;"",Counterparties!$A:$A,0))&amp;"",""))</f>
        <v/>
      </c>
      <c r="P711" s="24" t="str">
        <f aca="false">IF($O711="","",IF($O711="CY","CY",IF(ISNUMBER(MATCH($O711,Lists!$A:$A,0)),"EU","3RD")))</f>
        <v/>
      </c>
      <c r="Q711" s="24" t="str">
        <f aca="false">IF($F711="","N",IFERROR(IF(INDEX(Counterparties!$E:$E,MATCH($F711&amp;"",Counterparties!$A:$A,0))="Y","Y","N"),"N"))</f>
        <v>N</v>
      </c>
      <c r="R711" s="25" t="n">
        <f aca="false">IF(OR($H711="",$H711="EUR"),1,IFERROR(INDEX(FX_Rates!$D:$D,MATCH($H711,FX_Rates!$A:$A,0)),""))</f>
        <v>1</v>
      </c>
      <c r="S711" s="26" t="str">
        <f aca="false">IF(AND($I711="",$J711=""),"",IF($J711&lt;&gt;"",$J711,IF(OR($R711="",$R711=0),"",ROUND($I711/$R711,2))))</f>
        <v/>
      </c>
      <c r="T711" s="24" t="str">
        <f aca="false">IF($N711="","",IFERROR(INDEX(VAT_Codes!$C:$C,MATCH($N711,VAT_Codes!$A:$A,0)),"")&amp;"")</f>
        <v/>
      </c>
      <c r="U711" s="26" t="n">
        <f aca="false">IF(OR($S711="",$T711="",$T711="None"),0,IF($T711="Output",-$S711,$S711))</f>
        <v>0</v>
      </c>
      <c r="V711" s="27" t="n">
        <f aca="false">IF($N711="",0,IFERROR(INDEX(VAT_Codes!$D:$D,MATCH($N711,VAT_Codes!$A:$A,0)),0))</f>
        <v>0</v>
      </c>
      <c r="W711" s="26" t="n">
        <f aca="false">IF($U711=0,0,IF(IFERROR(INDEX(VAT_Codes!$F:$F,MATCH($N711,VAT_Codes!$A:$A,0)),"N")="Y",$U711,IF($L711&lt;&gt;"",ROUND(ABS($L711)/IF(OR($R711="",$R711=0),1,$R711),2)*SIGN($U711),ROUND($U711*$V711,2))))</f>
        <v>0</v>
      </c>
      <c r="X711" s="24" t="str">
        <f aca="false">IF($N711="","",IFERROR(INDEX(VAT_Codes!$H:$H,MATCH($N711,VAT_Codes!$A:$A,0)),"")&amp;"")</f>
        <v/>
      </c>
      <c r="Y711" s="24" t="str">
        <f aca="false">IF($A711="","",(YEAR($A711)-YEAR(Settings!$C$8))*12+MONTH($A711)-MONTH(Settings!$C$8)+1)</f>
        <v/>
      </c>
      <c r="Z711" s="24" t="str">
        <f aca="false">IF(AND($C711="",$I711="",$J711=""),"",IF($N711="","NO VAT CODE",IF($T711="","UNKNOWN VAT CODE",IF($S711="","MISSING FX RATE",IF(OR($A711&lt;Settings!$C$8,$A711&gt;Settings!$C$9),"OUTSIDE PERIOD",IF(AND(IFERROR(INDEX(VAT_Codes!$E:$E,MATCH($N711,VAT_Codes!$A:$A,0)),"ANY")&lt;&gt;"ANY",$P711=""),"MISSING COUNTERPARTY COUNTRY",IF(AND(IFERROR(INDEX(VAT_Codes!$E:$E,MATCH($N711,VAT_Codes!$A:$A,0)),"ANY")&lt;&gt;"ANY",$P711&lt;&gt;IFERROR(INDEX(VAT_Codes!$E:$E,MATCH($N711,VAT_Codes!$A:$A,0)),"ANY")),"REGION MISMATCH","OK")))))))</f>
        <v/>
      </c>
    </row>
    <row r="712" customFormat="false" ht="15" hidden="false" customHeight="false" outlineLevel="0" collapsed="false">
      <c r="M712" s="24" t="str">
        <f aca="false">IF($C712="","",IFERROR(INDEX(Account_Mapping!$C:$C,MATCH($C712&amp;"",Account_Mapping!$A:$A,0))&amp;"",""))</f>
        <v/>
      </c>
      <c r="N712" s="24" t="str">
        <f aca="false">IF($K712&lt;&gt;"",$K712,$M712)</f>
        <v/>
      </c>
      <c r="O712" s="24" t="str">
        <f aca="false">IF($F712="","",IFERROR(INDEX(Counterparties!$C:$C,MATCH($F712&amp;"",Counterparties!$A:$A,0))&amp;"",""))</f>
        <v/>
      </c>
      <c r="P712" s="24" t="str">
        <f aca="false">IF($O712="","",IF($O712="CY","CY",IF(ISNUMBER(MATCH($O712,Lists!$A:$A,0)),"EU","3RD")))</f>
        <v/>
      </c>
      <c r="Q712" s="24" t="str">
        <f aca="false">IF($F712="","N",IFERROR(IF(INDEX(Counterparties!$E:$E,MATCH($F712&amp;"",Counterparties!$A:$A,0))="Y","Y","N"),"N"))</f>
        <v>N</v>
      </c>
      <c r="R712" s="25" t="n">
        <f aca="false">IF(OR($H712="",$H712="EUR"),1,IFERROR(INDEX(FX_Rates!$D:$D,MATCH($H712,FX_Rates!$A:$A,0)),""))</f>
        <v>1</v>
      </c>
      <c r="S712" s="26" t="str">
        <f aca="false">IF(AND($I712="",$J712=""),"",IF($J712&lt;&gt;"",$J712,IF(OR($R712="",$R712=0),"",ROUND($I712/$R712,2))))</f>
        <v/>
      </c>
      <c r="T712" s="24" t="str">
        <f aca="false">IF($N712="","",IFERROR(INDEX(VAT_Codes!$C:$C,MATCH($N712,VAT_Codes!$A:$A,0)),"")&amp;"")</f>
        <v/>
      </c>
      <c r="U712" s="26" t="n">
        <f aca="false">IF(OR($S712="",$T712="",$T712="None"),0,IF($T712="Output",-$S712,$S712))</f>
        <v>0</v>
      </c>
      <c r="V712" s="27" t="n">
        <f aca="false">IF($N712="",0,IFERROR(INDEX(VAT_Codes!$D:$D,MATCH($N712,VAT_Codes!$A:$A,0)),0))</f>
        <v>0</v>
      </c>
      <c r="W712" s="26" t="n">
        <f aca="false">IF($U712=0,0,IF(IFERROR(INDEX(VAT_Codes!$F:$F,MATCH($N712,VAT_Codes!$A:$A,0)),"N")="Y",$U712,IF($L712&lt;&gt;"",ROUND(ABS($L712)/IF(OR($R712="",$R712=0),1,$R712),2)*SIGN($U712),ROUND($U712*$V712,2))))</f>
        <v>0</v>
      </c>
      <c r="X712" s="24" t="str">
        <f aca="false">IF($N712="","",IFERROR(INDEX(VAT_Codes!$H:$H,MATCH($N712,VAT_Codes!$A:$A,0)),"")&amp;"")</f>
        <v/>
      </c>
      <c r="Y712" s="24" t="str">
        <f aca="false">IF($A712="","",(YEAR($A712)-YEAR(Settings!$C$8))*12+MONTH($A712)-MONTH(Settings!$C$8)+1)</f>
        <v/>
      </c>
      <c r="Z712" s="24" t="str">
        <f aca="false">IF(AND($C712="",$I712="",$J712=""),"",IF($N712="","NO VAT CODE",IF($T712="","UNKNOWN VAT CODE",IF($S712="","MISSING FX RATE",IF(OR($A712&lt;Settings!$C$8,$A712&gt;Settings!$C$9),"OUTSIDE PERIOD",IF(AND(IFERROR(INDEX(VAT_Codes!$E:$E,MATCH($N712,VAT_Codes!$A:$A,0)),"ANY")&lt;&gt;"ANY",$P712=""),"MISSING COUNTERPARTY COUNTRY",IF(AND(IFERROR(INDEX(VAT_Codes!$E:$E,MATCH($N712,VAT_Codes!$A:$A,0)),"ANY")&lt;&gt;"ANY",$P712&lt;&gt;IFERROR(INDEX(VAT_Codes!$E:$E,MATCH($N712,VAT_Codes!$A:$A,0)),"ANY")),"REGION MISMATCH","OK")))))))</f>
        <v/>
      </c>
    </row>
    <row r="713" customFormat="false" ht="15" hidden="false" customHeight="false" outlineLevel="0" collapsed="false">
      <c r="M713" s="24" t="str">
        <f aca="false">IF($C713="","",IFERROR(INDEX(Account_Mapping!$C:$C,MATCH($C713&amp;"",Account_Mapping!$A:$A,0))&amp;"",""))</f>
        <v/>
      </c>
      <c r="N713" s="24" t="str">
        <f aca="false">IF($K713&lt;&gt;"",$K713,$M713)</f>
        <v/>
      </c>
      <c r="O713" s="24" t="str">
        <f aca="false">IF($F713="","",IFERROR(INDEX(Counterparties!$C:$C,MATCH($F713&amp;"",Counterparties!$A:$A,0))&amp;"",""))</f>
        <v/>
      </c>
      <c r="P713" s="24" t="str">
        <f aca="false">IF($O713="","",IF($O713="CY","CY",IF(ISNUMBER(MATCH($O713,Lists!$A:$A,0)),"EU","3RD")))</f>
        <v/>
      </c>
      <c r="Q713" s="24" t="str">
        <f aca="false">IF($F713="","N",IFERROR(IF(INDEX(Counterparties!$E:$E,MATCH($F713&amp;"",Counterparties!$A:$A,0))="Y","Y","N"),"N"))</f>
        <v>N</v>
      </c>
      <c r="R713" s="25" t="n">
        <f aca="false">IF(OR($H713="",$H713="EUR"),1,IFERROR(INDEX(FX_Rates!$D:$D,MATCH($H713,FX_Rates!$A:$A,0)),""))</f>
        <v>1</v>
      </c>
      <c r="S713" s="26" t="str">
        <f aca="false">IF(AND($I713="",$J713=""),"",IF($J713&lt;&gt;"",$J713,IF(OR($R713="",$R713=0),"",ROUND($I713/$R713,2))))</f>
        <v/>
      </c>
      <c r="T713" s="24" t="str">
        <f aca="false">IF($N713="","",IFERROR(INDEX(VAT_Codes!$C:$C,MATCH($N713,VAT_Codes!$A:$A,0)),"")&amp;"")</f>
        <v/>
      </c>
      <c r="U713" s="26" t="n">
        <f aca="false">IF(OR($S713="",$T713="",$T713="None"),0,IF($T713="Output",-$S713,$S713))</f>
        <v>0</v>
      </c>
      <c r="V713" s="27" t="n">
        <f aca="false">IF($N713="",0,IFERROR(INDEX(VAT_Codes!$D:$D,MATCH($N713,VAT_Codes!$A:$A,0)),0))</f>
        <v>0</v>
      </c>
      <c r="W713" s="26" t="n">
        <f aca="false">IF($U713=0,0,IF(IFERROR(INDEX(VAT_Codes!$F:$F,MATCH($N713,VAT_Codes!$A:$A,0)),"N")="Y",$U713,IF($L713&lt;&gt;"",ROUND(ABS($L713)/IF(OR($R713="",$R713=0),1,$R713),2)*SIGN($U713),ROUND($U713*$V713,2))))</f>
        <v>0</v>
      </c>
      <c r="X713" s="24" t="str">
        <f aca="false">IF($N713="","",IFERROR(INDEX(VAT_Codes!$H:$H,MATCH($N713,VAT_Codes!$A:$A,0)),"")&amp;"")</f>
        <v/>
      </c>
      <c r="Y713" s="24" t="str">
        <f aca="false">IF($A713="","",(YEAR($A713)-YEAR(Settings!$C$8))*12+MONTH($A713)-MONTH(Settings!$C$8)+1)</f>
        <v/>
      </c>
      <c r="Z713" s="24" t="str">
        <f aca="false">IF(AND($C713="",$I713="",$J713=""),"",IF($N713="","NO VAT CODE",IF($T713="","UNKNOWN VAT CODE",IF($S713="","MISSING FX RATE",IF(OR($A713&lt;Settings!$C$8,$A713&gt;Settings!$C$9),"OUTSIDE PERIOD",IF(AND(IFERROR(INDEX(VAT_Codes!$E:$E,MATCH($N713,VAT_Codes!$A:$A,0)),"ANY")&lt;&gt;"ANY",$P713=""),"MISSING COUNTERPARTY COUNTRY",IF(AND(IFERROR(INDEX(VAT_Codes!$E:$E,MATCH($N713,VAT_Codes!$A:$A,0)),"ANY")&lt;&gt;"ANY",$P713&lt;&gt;IFERROR(INDEX(VAT_Codes!$E:$E,MATCH($N713,VAT_Codes!$A:$A,0)),"ANY")),"REGION MISMATCH","OK")))))))</f>
        <v/>
      </c>
    </row>
    <row r="714" customFormat="false" ht="15" hidden="false" customHeight="false" outlineLevel="0" collapsed="false">
      <c r="M714" s="24" t="str">
        <f aca="false">IF($C714="","",IFERROR(INDEX(Account_Mapping!$C:$C,MATCH($C714&amp;"",Account_Mapping!$A:$A,0))&amp;"",""))</f>
        <v/>
      </c>
      <c r="N714" s="24" t="str">
        <f aca="false">IF($K714&lt;&gt;"",$K714,$M714)</f>
        <v/>
      </c>
      <c r="O714" s="24" t="str">
        <f aca="false">IF($F714="","",IFERROR(INDEX(Counterparties!$C:$C,MATCH($F714&amp;"",Counterparties!$A:$A,0))&amp;"",""))</f>
        <v/>
      </c>
      <c r="P714" s="24" t="str">
        <f aca="false">IF($O714="","",IF($O714="CY","CY",IF(ISNUMBER(MATCH($O714,Lists!$A:$A,0)),"EU","3RD")))</f>
        <v/>
      </c>
      <c r="Q714" s="24" t="str">
        <f aca="false">IF($F714="","N",IFERROR(IF(INDEX(Counterparties!$E:$E,MATCH($F714&amp;"",Counterparties!$A:$A,0))="Y","Y","N"),"N"))</f>
        <v>N</v>
      </c>
      <c r="R714" s="25" t="n">
        <f aca="false">IF(OR($H714="",$H714="EUR"),1,IFERROR(INDEX(FX_Rates!$D:$D,MATCH($H714,FX_Rates!$A:$A,0)),""))</f>
        <v>1</v>
      </c>
      <c r="S714" s="26" t="str">
        <f aca="false">IF(AND($I714="",$J714=""),"",IF($J714&lt;&gt;"",$J714,IF(OR($R714="",$R714=0),"",ROUND($I714/$R714,2))))</f>
        <v/>
      </c>
      <c r="T714" s="24" t="str">
        <f aca="false">IF($N714="","",IFERROR(INDEX(VAT_Codes!$C:$C,MATCH($N714,VAT_Codes!$A:$A,0)),"")&amp;"")</f>
        <v/>
      </c>
      <c r="U714" s="26" t="n">
        <f aca="false">IF(OR($S714="",$T714="",$T714="None"),0,IF($T714="Output",-$S714,$S714))</f>
        <v>0</v>
      </c>
      <c r="V714" s="27" t="n">
        <f aca="false">IF($N714="",0,IFERROR(INDEX(VAT_Codes!$D:$D,MATCH($N714,VAT_Codes!$A:$A,0)),0))</f>
        <v>0</v>
      </c>
      <c r="W714" s="26" t="n">
        <f aca="false">IF($U714=0,0,IF(IFERROR(INDEX(VAT_Codes!$F:$F,MATCH($N714,VAT_Codes!$A:$A,0)),"N")="Y",$U714,IF($L714&lt;&gt;"",ROUND(ABS($L714)/IF(OR($R714="",$R714=0),1,$R714),2)*SIGN($U714),ROUND($U714*$V714,2))))</f>
        <v>0</v>
      </c>
      <c r="X714" s="24" t="str">
        <f aca="false">IF($N714="","",IFERROR(INDEX(VAT_Codes!$H:$H,MATCH($N714,VAT_Codes!$A:$A,0)),"")&amp;"")</f>
        <v/>
      </c>
      <c r="Y714" s="24" t="str">
        <f aca="false">IF($A714="","",(YEAR($A714)-YEAR(Settings!$C$8))*12+MONTH($A714)-MONTH(Settings!$C$8)+1)</f>
        <v/>
      </c>
      <c r="Z714" s="24" t="str">
        <f aca="false">IF(AND($C714="",$I714="",$J714=""),"",IF($N714="","NO VAT CODE",IF($T714="","UNKNOWN VAT CODE",IF($S714="","MISSING FX RATE",IF(OR($A714&lt;Settings!$C$8,$A714&gt;Settings!$C$9),"OUTSIDE PERIOD",IF(AND(IFERROR(INDEX(VAT_Codes!$E:$E,MATCH($N714,VAT_Codes!$A:$A,0)),"ANY")&lt;&gt;"ANY",$P714=""),"MISSING COUNTERPARTY COUNTRY",IF(AND(IFERROR(INDEX(VAT_Codes!$E:$E,MATCH($N714,VAT_Codes!$A:$A,0)),"ANY")&lt;&gt;"ANY",$P714&lt;&gt;IFERROR(INDEX(VAT_Codes!$E:$E,MATCH($N714,VAT_Codes!$A:$A,0)),"ANY")),"REGION MISMATCH","OK")))))))</f>
        <v/>
      </c>
    </row>
    <row r="715" customFormat="false" ht="15" hidden="false" customHeight="false" outlineLevel="0" collapsed="false">
      <c r="M715" s="24" t="str">
        <f aca="false">IF($C715="","",IFERROR(INDEX(Account_Mapping!$C:$C,MATCH($C715&amp;"",Account_Mapping!$A:$A,0))&amp;"",""))</f>
        <v/>
      </c>
      <c r="N715" s="24" t="str">
        <f aca="false">IF($K715&lt;&gt;"",$K715,$M715)</f>
        <v/>
      </c>
      <c r="O715" s="24" t="str">
        <f aca="false">IF($F715="","",IFERROR(INDEX(Counterparties!$C:$C,MATCH($F715&amp;"",Counterparties!$A:$A,0))&amp;"",""))</f>
        <v/>
      </c>
      <c r="P715" s="24" t="str">
        <f aca="false">IF($O715="","",IF($O715="CY","CY",IF(ISNUMBER(MATCH($O715,Lists!$A:$A,0)),"EU","3RD")))</f>
        <v/>
      </c>
      <c r="Q715" s="24" t="str">
        <f aca="false">IF($F715="","N",IFERROR(IF(INDEX(Counterparties!$E:$E,MATCH($F715&amp;"",Counterparties!$A:$A,0))="Y","Y","N"),"N"))</f>
        <v>N</v>
      </c>
      <c r="R715" s="25" t="n">
        <f aca="false">IF(OR($H715="",$H715="EUR"),1,IFERROR(INDEX(FX_Rates!$D:$D,MATCH($H715,FX_Rates!$A:$A,0)),""))</f>
        <v>1</v>
      </c>
      <c r="S715" s="26" t="str">
        <f aca="false">IF(AND($I715="",$J715=""),"",IF($J715&lt;&gt;"",$J715,IF(OR($R715="",$R715=0),"",ROUND($I715/$R715,2))))</f>
        <v/>
      </c>
      <c r="T715" s="24" t="str">
        <f aca="false">IF($N715="","",IFERROR(INDEX(VAT_Codes!$C:$C,MATCH($N715,VAT_Codes!$A:$A,0)),"")&amp;"")</f>
        <v/>
      </c>
      <c r="U715" s="26" t="n">
        <f aca="false">IF(OR($S715="",$T715="",$T715="None"),0,IF($T715="Output",-$S715,$S715))</f>
        <v>0</v>
      </c>
      <c r="V715" s="27" t="n">
        <f aca="false">IF($N715="",0,IFERROR(INDEX(VAT_Codes!$D:$D,MATCH($N715,VAT_Codes!$A:$A,0)),0))</f>
        <v>0</v>
      </c>
      <c r="W715" s="26" t="n">
        <f aca="false">IF($U715=0,0,IF(IFERROR(INDEX(VAT_Codes!$F:$F,MATCH($N715,VAT_Codes!$A:$A,0)),"N")="Y",$U715,IF($L715&lt;&gt;"",ROUND(ABS($L715)/IF(OR($R715="",$R715=0),1,$R715),2)*SIGN($U715),ROUND($U715*$V715,2))))</f>
        <v>0</v>
      </c>
      <c r="X715" s="24" t="str">
        <f aca="false">IF($N715="","",IFERROR(INDEX(VAT_Codes!$H:$H,MATCH($N715,VAT_Codes!$A:$A,0)),"")&amp;"")</f>
        <v/>
      </c>
      <c r="Y715" s="24" t="str">
        <f aca="false">IF($A715="","",(YEAR($A715)-YEAR(Settings!$C$8))*12+MONTH($A715)-MONTH(Settings!$C$8)+1)</f>
        <v/>
      </c>
      <c r="Z715" s="24" t="str">
        <f aca="false">IF(AND($C715="",$I715="",$J715=""),"",IF($N715="","NO VAT CODE",IF($T715="","UNKNOWN VAT CODE",IF($S715="","MISSING FX RATE",IF(OR($A715&lt;Settings!$C$8,$A715&gt;Settings!$C$9),"OUTSIDE PERIOD",IF(AND(IFERROR(INDEX(VAT_Codes!$E:$E,MATCH($N715,VAT_Codes!$A:$A,0)),"ANY")&lt;&gt;"ANY",$P715=""),"MISSING COUNTERPARTY COUNTRY",IF(AND(IFERROR(INDEX(VAT_Codes!$E:$E,MATCH($N715,VAT_Codes!$A:$A,0)),"ANY")&lt;&gt;"ANY",$P715&lt;&gt;IFERROR(INDEX(VAT_Codes!$E:$E,MATCH($N715,VAT_Codes!$A:$A,0)),"ANY")),"REGION MISMATCH","OK")))))))</f>
        <v/>
      </c>
    </row>
    <row r="716" customFormat="false" ht="15" hidden="false" customHeight="false" outlineLevel="0" collapsed="false">
      <c r="M716" s="24" t="str">
        <f aca="false">IF($C716="","",IFERROR(INDEX(Account_Mapping!$C:$C,MATCH($C716&amp;"",Account_Mapping!$A:$A,0))&amp;"",""))</f>
        <v/>
      </c>
      <c r="N716" s="24" t="str">
        <f aca="false">IF($K716&lt;&gt;"",$K716,$M716)</f>
        <v/>
      </c>
      <c r="O716" s="24" t="str">
        <f aca="false">IF($F716="","",IFERROR(INDEX(Counterparties!$C:$C,MATCH($F716&amp;"",Counterparties!$A:$A,0))&amp;"",""))</f>
        <v/>
      </c>
      <c r="P716" s="24" t="str">
        <f aca="false">IF($O716="","",IF($O716="CY","CY",IF(ISNUMBER(MATCH($O716,Lists!$A:$A,0)),"EU","3RD")))</f>
        <v/>
      </c>
      <c r="Q716" s="24" t="str">
        <f aca="false">IF($F716="","N",IFERROR(IF(INDEX(Counterparties!$E:$E,MATCH($F716&amp;"",Counterparties!$A:$A,0))="Y","Y","N"),"N"))</f>
        <v>N</v>
      </c>
      <c r="R716" s="25" t="n">
        <f aca="false">IF(OR($H716="",$H716="EUR"),1,IFERROR(INDEX(FX_Rates!$D:$D,MATCH($H716,FX_Rates!$A:$A,0)),""))</f>
        <v>1</v>
      </c>
      <c r="S716" s="26" t="str">
        <f aca="false">IF(AND($I716="",$J716=""),"",IF($J716&lt;&gt;"",$J716,IF(OR($R716="",$R716=0),"",ROUND($I716/$R716,2))))</f>
        <v/>
      </c>
      <c r="T716" s="24" t="str">
        <f aca="false">IF($N716="","",IFERROR(INDEX(VAT_Codes!$C:$C,MATCH($N716,VAT_Codes!$A:$A,0)),"")&amp;"")</f>
        <v/>
      </c>
      <c r="U716" s="26" t="n">
        <f aca="false">IF(OR($S716="",$T716="",$T716="None"),0,IF($T716="Output",-$S716,$S716))</f>
        <v>0</v>
      </c>
      <c r="V716" s="27" t="n">
        <f aca="false">IF($N716="",0,IFERROR(INDEX(VAT_Codes!$D:$D,MATCH($N716,VAT_Codes!$A:$A,0)),0))</f>
        <v>0</v>
      </c>
      <c r="W716" s="26" t="n">
        <f aca="false">IF($U716=0,0,IF(IFERROR(INDEX(VAT_Codes!$F:$F,MATCH($N716,VAT_Codes!$A:$A,0)),"N")="Y",$U716,IF($L716&lt;&gt;"",ROUND(ABS($L716)/IF(OR($R716="",$R716=0),1,$R716),2)*SIGN($U716),ROUND($U716*$V716,2))))</f>
        <v>0</v>
      </c>
      <c r="X716" s="24" t="str">
        <f aca="false">IF($N716="","",IFERROR(INDEX(VAT_Codes!$H:$H,MATCH($N716,VAT_Codes!$A:$A,0)),"")&amp;"")</f>
        <v/>
      </c>
      <c r="Y716" s="24" t="str">
        <f aca="false">IF($A716="","",(YEAR($A716)-YEAR(Settings!$C$8))*12+MONTH($A716)-MONTH(Settings!$C$8)+1)</f>
        <v/>
      </c>
      <c r="Z716" s="24" t="str">
        <f aca="false">IF(AND($C716="",$I716="",$J716=""),"",IF($N716="","NO VAT CODE",IF($T716="","UNKNOWN VAT CODE",IF($S716="","MISSING FX RATE",IF(OR($A716&lt;Settings!$C$8,$A716&gt;Settings!$C$9),"OUTSIDE PERIOD",IF(AND(IFERROR(INDEX(VAT_Codes!$E:$E,MATCH($N716,VAT_Codes!$A:$A,0)),"ANY")&lt;&gt;"ANY",$P716=""),"MISSING COUNTERPARTY COUNTRY",IF(AND(IFERROR(INDEX(VAT_Codes!$E:$E,MATCH($N716,VAT_Codes!$A:$A,0)),"ANY")&lt;&gt;"ANY",$P716&lt;&gt;IFERROR(INDEX(VAT_Codes!$E:$E,MATCH($N716,VAT_Codes!$A:$A,0)),"ANY")),"REGION MISMATCH","OK")))))))</f>
        <v/>
      </c>
    </row>
    <row r="717" customFormat="false" ht="15" hidden="false" customHeight="false" outlineLevel="0" collapsed="false">
      <c r="M717" s="24" t="str">
        <f aca="false">IF($C717="","",IFERROR(INDEX(Account_Mapping!$C:$C,MATCH($C717&amp;"",Account_Mapping!$A:$A,0))&amp;"",""))</f>
        <v/>
      </c>
      <c r="N717" s="24" t="str">
        <f aca="false">IF($K717&lt;&gt;"",$K717,$M717)</f>
        <v/>
      </c>
      <c r="O717" s="24" t="str">
        <f aca="false">IF($F717="","",IFERROR(INDEX(Counterparties!$C:$C,MATCH($F717&amp;"",Counterparties!$A:$A,0))&amp;"",""))</f>
        <v/>
      </c>
      <c r="P717" s="24" t="str">
        <f aca="false">IF($O717="","",IF($O717="CY","CY",IF(ISNUMBER(MATCH($O717,Lists!$A:$A,0)),"EU","3RD")))</f>
        <v/>
      </c>
      <c r="Q717" s="24" t="str">
        <f aca="false">IF($F717="","N",IFERROR(IF(INDEX(Counterparties!$E:$E,MATCH($F717&amp;"",Counterparties!$A:$A,0))="Y","Y","N"),"N"))</f>
        <v>N</v>
      </c>
      <c r="R717" s="25" t="n">
        <f aca="false">IF(OR($H717="",$H717="EUR"),1,IFERROR(INDEX(FX_Rates!$D:$D,MATCH($H717,FX_Rates!$A:$A,0)),""))</f>
        <v>1</v>
      </c>
      <c r="S717" s="26" t="str">
        <f aca="false">IF(AND($I717="",$J717=""),"",IF($J717&lt;&gt;"",$J717,IF(OR($R717="",$R717=0),"",ROUND($I717/$R717,2))))</f>
        <v/>
      </c>
      <c r="T717" s="24" t="str">
        <f aca="false">IF($N717="","",IFERROR(INDEX(VAT_Codes!$C:$C,MATCH($N717,VAT_Codes!$A:$A,0)),"")&amp;"")</f>
        <v/>
      </c>
      <c r="U717" s="26" t="n">
        <f aca="false">IF(OR($S717="",$T717="",$T717="None"),0,IF($T717="Output",-$S717,$S717))</f>
        <v>0</v>
      </c>
      <c r="V717" s="27" t="n">
        <f aca="false">IF($N717="",0,IFERROR(INDEX(VAT_Codes!$D:$D,MATCH($N717,VAT_Codes!$A:$A,0)),0))</f>
        <v>0</v>
      </c>
      <c r="W717" s="26" t="n">
        <f aca="false">IF($U717=0,0,IF(IFERROR(INDEX(VAT_Codes!$F:$F,MATCH($N717,VAT_Codes!$A:$A,0)),"N")="Y",$U717,IF($L717&lt;&gt;"",ROUND(ABS($L717)/IF(OR($R717="",$R717=0),1,$R717),2)*SIGN($U717),ROUND($U717*$V717,2))))</f>
        <v>0</v>
      </c>
      <c r="X717" s="24" t="str">
        <f aca="false">IF($N717="","",IFERROR(INDEX(VAT_Codes!$H:$H,MATCH($N717,VAT_Codes!$A:$A,0)),"")&amp;"")</f>
        <v/>
      </c>
      <c r="Y717" s="24" t="str">
        <f aca="false">IF($A717="","",(YEAR($A717)-YEAR(Settings!$C$8))*12+MONTH($A717)-MONTH(Settings!$C$8)+1)</f>
        <v/>
      </c>
      <c r="Z717" s="24" t="str">
        <f aca="false">IF(AND($C717="",$I717="",$J717=""),"",IF($N717="","NO VAT CODE",IF($T717="","UNKNOWN VAT CODE",IF($S717="","MISSING FX RATE",IF(OR($A717&lt;Settings!$C$8,$A717&gt;Settings!$C$9),"OUTSIDE PERIOD",IF(AND(IFERROR(INDEX(VAT_Codes!$E:$E,MATCH($N717,VAT_Codes!$A:$A,0)),"ANY")&lt;&gt;"ANY",$P717=""),"MISSING COUNTERPARTY COUNTRY",IF(AND(IFERROR(INDEX(VAT_Codes!$E:$E,MATCH($N717,VAT_Codes!$A:$A,0)),"ANY")&lt;&gt;"ANY",$P717&lt;&gt;IFERROR(INDEX(VAT_Codes!$E:$E,MATCH($N717,VAT_Codes!$A:$A,0)),"ANY")),"REGION MISMATCH","OK")))))))</f>
        <v/>
      </c>
    </row>
    <row r="718" customFormat="false" ht="15" hidden="false" customHeight="false" outlineLevel="0" collapsed="false">
      <c r="M718" s="24" t="str">
        <f aca="false">IF($C718="","",IFERROR(INDEX(Account_Mapping!$C:$C,MATCH($C718&amp;"",Account_Mapping!$A:$A,0))&amp;"",""))</f>
        <v/>
      </c>
      <c r="N718" s="24" t="str">
        <f aca="false">IF($K718&lt;&gt;"",$K718,$M718)</f>
        <v/>
      </c>
      <c r="O718" s="24" t="str">
        <f aca="false">IF($F718="","",IFERROR(INDEX(Counterparties!$C:$C,MATCH($F718&amp;"",Counterparties!$A:$A,0))&amp;"",""))</f>
        <v/>
      </c>
      <c r="P718" s="24" t="str">
        <f aca="false">IF($O718="","",IF($O718="CY","CY",IF(ISNUMBER(MATCH($O718,Lists!$A:$A,0)),"EU","3RD")))</f>
        <v/>
      </c>
      <c r="Q718" s="24" t="str">
        <f aca="false">IF($F718="","N",IFERROR(IF(INDEX(Counterparties!$E:$E,MATCH($F718&amp;"",Counterparties!$A:$A,0))="Y","Y","N"),"N"))</f>
        <v>N</v>
      </c>
      <c r="R718" s="25" t="n">
        <f aca="false">IF(OR($H718="",$H718="EUR"),1,IFERROR(INDEX(FX_Rates!$D:$D,MATCH($H718,FX_Rates!$A:$A,0)),""))</f>
        <v>1</v>
      </c>
      <c r="S718" s="26" t="str">
        <f aca="false">IF(AND($I718="",$J718=""),"",IF($J718&lt;&gt;"",$J718,IF(OR($R718="",$R718=0),"",ROUND($I718/$R718,2))))</f>
        <v/>
      </c>
      <c r="T718" s="24" t="str">
        <f aca="false">IF($N718="","",IFERROR(INDEX(VAT_Codes!$C:$C,MATCH($N718,VAT_Codes!$A:$A,0)),"")&amp;"")</f>
        <v/>
      </c>
      <c r="U718" s="26" t="n">
        <f aca="false">IF(OR($S718="",$T718="",$T718="None"),0,IF($T718="Output",-$S718,$S718))</f>
        <v>0</v>
      </c>
      <c r="V718" s="27" t="n">
        <f aca="false">IF($N718="",0,IFERROR(INDEX(VAT_Codes!$D:$D,MATCH($N718,VAT_Codes!$A:$A,0)),0))</f>
        <v>0</v>
      </c>
      <c r="W718" s="26" t="n">
        <f aca="false">IF($U718=0,0,IF(IFERROR(INDEX(VAT_Codes!$F:$F,MATCH($N718,VAT_Codes!$A:$A,0)),"N")="Y",$U718,IF($L718&lt;&gt;"",ROUND(ABS($L718)/IF(OR($R718="",$R718=0),1,$R718),2)*SIGN($U718),ROUND($U718*$V718,2))))</f>
        <v>0</v>
      </c>
      <c r="X718" s="24" t="str">
        <f aca="false">IF($N718="","",IFERROR(INDEX(VAT_Codes!$H:$H,MATCH($N718,VAT_Codes!$A:$A,0)),"")&amp;"")</f>
        <v/>
      </c>
      <c r="Y718" s="24" t="str">
        <f aca="false">IF($A718="","",(YEAR($A718)-YEAR(Settings!$C$8))*12+MONTH($A718)-MONTH(Settings!$C$8)+1)</f>
        <v/>
      </c>
      <c r="Z718" s="24" t="str">
        <f aca="false">IF(AND($C718="",$I718="",$J718=""),"",IF($N718="","NO VAT CODE",IF($T718="","UNKNOWN VAT CODE",IF($S718="","MISSING FX RATE",IF(OR($A718&lt;Settings!$C$8,$A718&gt;Settings!$C$9),"OUTSIDE PERIOD",IF(AND(IFERROR(INDEX(VAT_Codes!$E:$E,MATCH($N718,VAT_Codes!$A:$A,0)),"ANY")&lt;&gt;"ANY",$P718=""),"MISSING COUNTERPARTY COUNTRY",IF(AND(IFERROR(INDEX(VAT_Codes!$E:$E,MATCH($N718,VAT_Codes!$A:$A,0)),"ANY")&lt;&gt;"ANY",$P718&lt;&gt;IFERROR(INDEX(VAT_Codes!$E:$E,MATCH($N718,VAT_Codes!$A:$A,0)),"ANY")),"REGION MISMATCH","OK")))))))</f>
        <v/>
      </c>
    </row>
    <row r="719" customFormat="false" ht="15" hidden="false" customHeight="false" outlineLevel="0" collapsed="false">
      <c r="M719" s="24" t="str">
        <f aca="false">IF($C719="","",IFERROR(INDEX(Account_Mapping!$C:$C,MATCH($C719&amp;"",Account_Mapping!$A:$A,0))&amp;"",""))</f>
        <v/>
      </c>
      <c r="N719" s="24" t="str">
        <f aca="false">IF($K719&lt;&gt;"",$K719,$M719)</f>
        <v/>
      </c>
      <c r="O719" s="24" t="str">
        <f aca="false">IF($F719="","",IFERROR(INDEX(Counterparties!$C:$C,MATCH($F719&amp;"",Counterparties!$A:$A,0))&amp;"",""))</f>
        <v/>
      </c>
      <c r="P719" s="24" t="str">
        <f aca="false">IF($O719="","",IF($O719="CY","CY",IF(ISNUMBER(MATCH($O719,Lists!$A:$A,0)),"EU","3RD")))</f>
        <v/>
      </c>
      <c r="Q719" s="24" t="str">
        <f aca="false">IF($F719="","N",IFERROR(IF(INDEX(Counterparties!$E:$E,MATCH($F719&amp;"",Counterparties!$A:$A,0))="Y","Y","N"),"N"))</f>
        <v>N</v>
      </c>
      <c r="R719" s="25" t="n">
        <f aca="false">IF(OR($H719="",$H719="EUR"),1,IFERROR(INDEX(FX_Rates!$D:$D,MATCH($H719,FX_Rates!$A:$A,0)),""))</f>
        <v>1</v>
      </c>
      <c r="S719" s="26" t="str">
        <f aca="false">IF(AND($I719="",$J719=""),"",IF($J719&lt;&gt;"",$J719,IF(OR($R719="",$R719=0),"",ROUND($I719/$R719,2))))</f>
        <v/>
      </c>
      <c r="T719" s="24" t="str">
        <f aca="false">IF($N719="","",IFERROR(INDEX(VAT_Codes!$C:$C,MATCH($N719,VAT_Codes!$A:$A,0)),"")&amp;"")</f>
        <v/>
      </c>
      <c r="U719" s="26" t="n">
        <f aca="false">IF(OR($S719="",$T719="",$T719="None"),0,IF($T719="Output",-$S719,$S719))</f>
        <v>0</v>
      </c>
      <c r="V719" s="27" t="n">
        <f aca="false">IF($N719="",0,IFERROR(INDEX(VAT_Codes!$D:$D,MATCH($N719,VAT_Codes!$A:$A,0)),0))</f>
        <v>0</v>
      </c>
      <c r="W719" s="26" t="n">
        <f aca="false">IF($U719=0,0,IF(IFERROR(INDEX(VAT_Codes!$F:$F,MATCH($N719,VAT_Codes!$A:$A,0)),"N")="Y",$U719,IF($L719&lt;&gt;"",ROUND(ABS($L719)/IF(OR($R719="",$R719=0),1,$R719),2)*SIGN($U719),ROUND($U719*$V719,2))))</f>
        <v>0</v>
      </c>
      <c r="X719" s="24" t="str">
        <f aca="false">IF($N719="","",IFERROR(INDEX(VAT_Codes!$H:$H,MATCH($N719,VAT_Codes!$A:$A,0)),"")&amp;"")</f>
        <v/>
      </c>
      <c r="Y719" s="24" t="str">
        <f aca="false">IF($A719="","",(YEAR($A719)-YEAR(Settings!$C$8))*12+MONTH($A719)-MONTH(Settings!$C$8)+1)</f>
        <v/>
      </c>
      <c r="Z719" s="24" t="str">
        <f aca="false">IF(AND($C719="",$I719="",$J719=""),"",IF($N719="","NO VAT CODE",IF($T719="","UNKNOWN VAT CODE",IF($S719="","MISSING FX RATE",IF(OR($A719&lt;Settings!$C$8,$A719&gt;Settings!$C$9),"OUTSIDE PERIOD",IF(AND(IFERROR(INDEX(VAT_Codes!$E:$E,MATCH($N719,VAT_Codes!$A:$A,0)),"ANY")&lt;&gt;"ANY",$P719=""),"MISSING COUNTERPARTY COUNTRY",IF(AND(IFERROR(INDEX(VAT_Codes!$E:$E,MATCH($N719,VAT_Codes!$A:$A,0)),"ANY")&lt;&gt;"ANY",$P719&lt;&gt;IFERROR(INDEX(VAT_Codes!$E:$E,MATCH($N719,VAT_Codes!$A:$A,0)),"ANY")),"REGION MISMATCH","OK")))))))</f>
        <v/>
      </c>
    </row>
    <row r="720" customFormat="false" ht="15" hidden="false" customHeight="false" outlineLevel="0" collapsed="false">
      <c r="M720" s="24" t="str">
        <f aca="false">IF($C720="","",IFERROR(INDEX(Account_Mapping!$C:$C,MATCH($C720&amp;"",Account_Mapping!$A:$A,0))&amp;"",""))</f>
        <v/>
      </c>
      <c r="N720" s="24" t="str">
        <f aca="false">IF($K720&lt;&gt;"",$K720,$M720)</f>
        <v/>
      </c>
      <c r="O720" s="24" t="str">
        <f aca="false">IF($F720="","",IFERROR(INDEX(Counterparties!$C:$C,MATCH($F720&amp;"",Counterparties!$A:$A,0))&amp;"",""))</f>
        <v/>
      </c>
      <c r="P720" s="24" t="str">
        <f aca="false">IF($O720="","",IF($O720="CY","CY",IF(ISNUMBER(MATCH($O720,Lists!$A:$A,0)),"EU","3RD")))</f>
        <v/>
      </c>
      <c r="Q720" s="24" t="str">
        <f aca="false">IF($F720="","N",IFERROR(IF(INDEX(Counterparties!$E:$E,MATCH($F720&amp;"",Counterparties!$A:$A,0))="Y","Y","N"),"N"))</f>
        <v>N</v>
      </c>
      <c r="R720" s="25" t="n">
        <f aca="false">IF(OR($H720="",$H720="EUR"),1,IFERROR(INDEX(FX_Rates!$D:$D,MATCH($H720,FX_Rates!$A:$A,0)),""))</f>
        <v>1</v>
      </c>
      <c r="S720" s="26" t="str">
        <f aca="false">IF(AND($I720="",$J720=""),"",IF($J720&lt;&gt;"",$J720,IF(OR($R720="",$R720=0),"",ROUND($I720/$R720,2))))</f>
        <v/>
      </c>
      <c r="T720" s="24" t="str">
        <f aca="false">IF($N720="","",IFERROR(INDEX(VAT_Codes!$C:$C,MATCH($N720,VAT_Codes!$A:$A,0)),"")&amp;"")</f>
        <v/>
      </c>
      <c r="U720" s="26" t="n">
        <f aca="false">IF(OR($S720="",$T720="",$T720="None"),0,IF($T720="Output",-$S720,$S720))</f>
        <v>0</v>
      </c>
      <c r="V720" s="27" t="n">
        <f aca="false">IF($N720="",0,IFERROR(INDEX(VAT_Codes!$D:$D,MATCH($N720,VAT_Codes!$A:$A,0)),0))</f>
        <v>0</v>
      </c>
      <c r="W720" s="26" t="n">
        <f aca="false">IF($U720=0,0,IF(IFERROR(INDEX(VAT_Codes!$F:$F,MATCH($N720,VAT_Codes!$A:$A,0)),"N")="Y",$U720,IF($L720&lt;&gt;"",ROUND(ABS($L720)/IF(OR($R720="",$R720=0),1,$R720),2)*SIGN($U720),ROUND($U720*$V720,2))))</f>
        <v>0</v>
      </c>
      <c r="X720" s="24" t="str">
        <f aca="false">IF($N720="","",IFERROR(INDEX(VAT_Codes!$H:$H,MATCH($N720,VAT_Codes!$A:$A,0)),"")&amp;"")</f>
        <v/>
      </c>
      <c r="Y720" s="24" t="str">
        <f aca="false">IF($A720="","",(YEAR($A720)-YEAR(Settings!$C$8))*12+MONTH($A720)-MONTH(Settings!$C$8)+1)</f>
        <v/>
      </c>
      <c r="Z720" s="24" t="str">
        <f aca="false">IF(AND($C720="",$I720="",$J720=""),"",IF($N720="","NO VAT CODE",IF($T720="","UNKNOWN VAT CODE",IF($S720="","MISSING FX RATE",IF(OR($A720&lt;Settings!$C$8,$A720&gt;Settings!$C$9),"OUTSIDE PERIOD",IF(AND(IFERROR(INDEX(VAT_Codes!$E:$E,MATCH($N720,VAT_Codes!$A:$A,0)),"ANY")&lt;&gt;"ANY",$P720=""),"MISSING COUNTERPARTY COUNTRY",IF(AND(IFERROR(INDEX(VAT_Codes!$E:$E,MATCH($N720,VAT_Codes!$A:$A,0)),"ANY")&lt;&gt;"ANY",$P720&lt;&gt;IFERROR(INDEX(VAT_Codes!$E:$E,MATCH($N720,VAT_Codes!$A:$A,0)),"ANY")),"REGION MISMATCH","OK")))))))</f>
        <v/>
      </c>
    </row>
    <row r="721" customFormat="false" ht="15" hidden="false" customHeight="false" outlineLevel="0" collapsed="false">
      <c r="M721" s="24" t="str">
        <f aca="false">IF($C721="","",IFERROR(INDEX(Account_Mapping!$C:$C,MATCH($C721&amp;"",Account_Mapping!$A:$A,0))&amp;"",""))</f>
        <v/>
      </c>
      <c r="N721" s="24" t="str">
        <f aca="false">IF($K721&lt;&gt;"",$K721,$M721)</f>
        <v/>
      </c>
      <c r="O721" s="24" t="str">
        <f aca="false">IF($F721="","",IFERROR(INDEX(Counterparties!$C:$C,MATCH($F721&amp;"",Counterparties!$A:$A,0))&amp;"",""))</f>
        <v/>
      </c>
      <c r="P721" s="24" t="str">
        <f aca="false">IF($O721="","",IF($O721="CY","CY",IF(ISNUMBER(MATCH($O721,Lists!$A:$A,0)),"EU","3RD")))</f>
        <v/>
      </c>
      <c r="Q721" s="24" t="str">
        <f aca="false">IF($F721="","N",IFERROR(IF(INDEX(Counterparties!$E:$E,MATCH($F721&amp;"",Counterparties!$A:$A,0))="Y","Y","N"),"N"))</f>
        <v>N</v>
      </c>
      <c r="R721" s="25" t="n">
        <f aca="false">IF(OR($H721="",$H721="EUR"),1,IFERROR(INDEX(FX_Rates!$D:$D,MATCH($H721,FX_Rates!$A:$A,0)),""))</f>
        <v>1</v>
      </c>
      <c r="S721" s="26" t="str">
        <f aca="false">IF(AND($I721="",$J721=""),"",IF($J721&lt;&gt;"",$J721,IF(OR($R721="",$R721=0),"",ROUND($I721/$R721,2))))</f>
        <v/>
      </c>
      <c r="T721" s="24" t="str">
        <f aca="false">IF($N721="","",IFERROR(INDEX(VAT_Codes!$C:$C,MATCH($N721,VAT_Codes!$A:$A,0)),"")&amp;"")</f>
        <v/>
      </c>
      <c r="U721" s="26" t="n">
        <f aca="false">IF(OR($S721="",$T721="",$T721="None"),0,IF($T721="Output",-$S721,$S721))</f>
        <v>0</v>
      </c>
      <c r="V721" s="27" t="n">
        <f aca="false">IF($N721="",0,IFERROR(INDEX(VAT_Codes!$D:$D,MATCH($N721,VAT_Codes!$A:$A,0)),0))</f>
        <v>0</v>
      </c>
      <c r="W721" s="26" t="n">
        <f aca="false">IF($U721=0,0,IF(IFERROR(INDEX(VAT_Codes!$F:$F,MATCH($N721,VAT_Codes!$A:$A,0)),"N")="Y",$U721,IF($L721&lt;&gt;"",ROUND(ABS($L721)/IF(OR($R721="",$R721=0),1,$R721),2)*SIGN($U721),ROUND($U721*$V721,2))))</f>
        <v>0</v>
      </c>
      <c r="X721" s="24" t="str">
        <f aca="false">IF($N721="","",IFERROR(INDEX(VAT_Codes!$H:$H,MATCH($N721,VAT_Codes!$A:$A,0)),"")&amp;"")</f>
        <v/>
      </c>
      <c r="Y721" s="24" t="str">
        <f aca="false">IF($A721="","",(YEAR($A721)-YEAR(Settings!$C$8))*12+MONTH($A721)-MONTH(Settings!$C$8)+1)</f>
        <v/>
      </c>
      <c r="Z721" s="24" t="str">
        <f aca="false">IF(AND($C721="",$I721="",$J721=""),"",IF($N721="","NO VAT CODE",IF($T721="","UNKNOWN VAT CODE",IF($S721="","MISSING FX RATE",IF(OR($A721&lt;Settings!$C$8,$A721&gt;Settings!$C$9),"OUTSIDE PERIOD",IF(AND(IFERROR(INDEX(VAT_Codes!$E:$E,MATCH($N721,VAT_Codes!$A:$A,0)),"ANY")&lt;&gt;"ANY",$P721=""),"MISSING COUNTERPARTY COUNTRY",IF(AND(IFERROR(INDEX(VAT_Codes!$E:$E,MATCH($N721,VAT_Codes!$A:$A,0)),"ANY")&lt;&gt;"ANY",$P721&lt;&gt;IFERROR(INDEX(VAT_Codes!$E:$E,MATCH($N721,VAT_Codes!$A:$A,0)),"ANY")),"REGION MISMATCH","OK")))))))</f>
        <v/>
      </c>
    </row>
    <row r="722" customFormat="false" ht="15" hidden="false" customHeight="false" outlineLevel="0" collapsed="false">
      <c r="M722" s="24" t="str">
        <f aca="false">IF($C722="","",IFERROR(INDEX(Account_Mapping!$C:$C,MATCH($C722&amp;"",Account_Mapping!$A:$A,0))&amp;"",""))</f>
        <v/>
      </c>
      <c r="N722" s="24" t="str">
        <f aca="false">IF($K722&lt;&gt;"",$K722,$M722)</f>
        <v/>
      </c>
      <c r="O722" s="24" t="str">
        <f aca="false">IF($F722="","",IFERROR(INDEX(Counterparties!$C:$C,MATCH($F722&amp;"",Counterparties!$A:$A,0))&amp;"",""))</f>
        <v/>
      </c>
      <c r="P722" s="24" t="str">
        <f aca="false">IF($O722="","",IF($O722="CY","CY",IF(ISNUMBER(MATCH($O722,Lists!$A:$A,0)),"EU","3RD")))</f>
        <v/>
      </c>
      <c r="Q722" s="24" t="str">
        <f aca="false">IF($F722="","N",IFERROR(IF(INDEX(Counterparties!$E:$E,MATCH($F722&amp;"",Counterparties!$A:$A,0))="Y","Y","N"),"N"))</f>
        <v>N</v>
      </c>
      <c r="R722" s="25" t="n">
        <f aca="false">IF(OR($H722="",$H722="EUR"),1,IFERROR(INDEX(FX_Rates!$D:$D,MATCH($H722,FX_Rates!$A:$A,0)),""))</f>
        <v>1</v>
      </c>
      <c r="S722" s="26" t="str">
        <f aca="false">IF(AND($I722="",$J722=""),"",IF($J722&lt;&gt;"",$J722,IF(OR($R722="",$R722=0),"",ROUND($I722/$R722,2))))</f>
        <v/>
      </c>
      <c r="T722" s="24" t="str">
        <f aca="false">IF($N722="","",IFERROR(INDEX(VAT_Codes!$C:$C,MATCH($N722,VAT_Codes!$A:$A,0)),"")&amp;"")</f>
        <v/>
      </c>
      <c r="U722" s="26" t="n">
        <f aca="false">IF(OR($S722="",$T722="",$T722="None"),0,IF($T722="Output",-$S722,$S722))</f>
        <v>0</v>
      </c>
      <c r="V722" s="27" t="n">
        <f aca="false">IF($N722="",0,IFERROR(INDEX(VAT_Codes!$D:$D,MATCH($N722,VAT_Codes!$A:$A,0)),0))</f>
        <v>0</v>
      </c>
      <c r="W722" s="26" t="n">
        <f aca="false">IF($U722=0,0,IF(IFERROR(INDEX(VAT_Codes!$F:$F,MATCH($N722,VAT_Codes!$A:$A,0)),"N")="Y",$U722,IF($L722&lt;&gt;"",ROUND(ABS($L722)/IF(OR($R722="",$R722=0),1,$R722),2)*SIGN($U722),ROUND($U722*$V722,2))))</f>
        <v>0</v>
      </c>
      <c r="X722" s="24" t="str">
        <f aca="false">IF($N722="","",IFERROR(INDEX(VAT_Codes!$H:$H,MATCH($N722,VAT_Codes!$A:$A,0)),"")&amp;"")</f>
        <v/>
      </c>
      <c r="Y722" s="24" t="str">
        <f aca="false">IF($A722="","",(YEAR($A722)-YEAR(Settings!$C$8))*12+MONTH($A722)-MONTH(Settings!$C$8)+1)</f>
        <v/>
      </c>
      <c r="Z722" s="24" t="str">
        <f aca="false">IF(AND($C722="",$I722="",$J722=""),"",IF($N722="","NO VAT CODE",IF($T722="","UNKNOWN VAT CODE",IF($S722="","MISSING FX RATE",IF(OR($A722&lt;Settings!$C$8,$A722&gt;Settings!$C$9),"OUTSIDE PERIOD",IF(AND(IFERROR(INDEX(VAT_Codes!$E:$E,MATCH($N722,VAT_Codes!$A:$A,0)),"ANY")&lt;&gt;"ANY",$P722=""),"MISSING COUNTERPARTY COUNTRY",IF(AND(IFERROR(INDEX(VAT_Codes!$E:$E,MATCH($N722,VAT_Codes!$A:$A,0)),"ANY")&lt;&gt;"ANY",$P722&lt;&gt;IFERROR(INDEX(VAT_Codes!$E:$E,MATCH($N722,VAT_Codes!$A:$A,0)),"ANY")),"REGION MISMATCH","OK")))))))</f>
        <v/>
      </c>
    </row>
    <row r="723" customFormat="false" ht="15" hidden="false" customHeight="false" outlineLevel="0" collapsed="false">
      <c r="M723" s="24" t="str">
        <f aca="false">IF($C723="","",IFERROR(INDEX(Account_Mapping!$C:$C,MATCH($C723&amp;"",Account_Mapping!$A:$A,0))&amp;"",""))</f>
        <v/>
      </c>
      <c r="N723" s="24" t="str">
        <f aca="false">IF($K723&lt;&gt;"",$K723,$M723)</f>
        <v/>
      </c>
      <c r="O723" s="24" t="str">
        <f aca="false">IF($F723="","",IFERROR(INDEX(Counterparties!$C:$C,MATCH($F723&amp;"",Counterparties!$A:$A,0))&amp;"",""))</f>
        <v/>
      </c>
      <c r="P723" s="24" t="str">
        <f aca="false">IF($O723="","",IF($O723="CY","CY",IF(ISNUMBER(MATCH($O723,Lists!$A:$A,0)),"EU","3RD")))</f>
        <v/>
      </c>
      <c r="Q723" s="24" t="str">
        <f aca="false">IF($F723="","N",IFERROR(IF(INDEX(Counterparties!$E:$E,MATCH($F723&amp;"",Counterparties!$A:$A,0))="Y","Y","N"),"N"))</f>
        <v>N</v>
      </c>
      <c r="R723" s="25" t="n">
        <f aca="false">IF(OR($H723="",$H723="EUR"),1,IFERROR(INDEX(FX_Rates!$D:$D,MATCH($H723,FX_Rates!$A:$A,0)),""))</f>
        <v>1</v>
      </c>
      <c r="S723" s="26" t="str">
        <f aca="false">IF(AND($I723="",$J723=""),"",IF($J723&lt;&gt;"",$J723,IF(OR($R723="",$R723=0),"",ROUND($I723/$R723,2))))</f>
        <v/>
      </c>
      <c r="T723" s="24" t="str">
        <f aca="false">IF($N723="","",IFERROR(INDEX(VAT_Codes!$C:$C,MATCH($N723,VAT_Codes!$A:$A,0)),"")&amp;"")</f>
        <v/>
      </c>
      <c r="U723" s="26" t="n">
        <f aca="false">IF(OR($S723="",$T723="",$T723="None"),0,IF($T723="Output",-$S723,$S723))</f>
        <v>0</v>
      </c>
      <c r="V723" s="27" t="n">
        <f aca="false">IF($N723="",0,IFERROR(INDEX(VAT_Codes!$D:$D,MATCH($N723,VAT_Codes!$A:$A,0)),0))</f>
        <v>0</v>
      </c>
      <c r="W723" s="26" t="n">
        <f aca="false">IF($U723=0,0,IF(IFERROR(INDEX(VAT_Codes!$F:$F,MATCH($N723,VAT_Codes!$A:$A,0)),"N")="Y",$U723,IF($L723&lt;&gt;"",ROUND(ABS($L723)/IF(OR($R723="",$R723=0),1,$R723),2)*SIGN($U723),ROUND($U723*$V723,2))))</f>
        <v>0</v>
      </c>
      <c r="X723" s="24" t="str">
        <f aca="false">IF($N723="","",IFERROR(INDEX(VAT_Codes!$H:$H,MATCH($N723,VAT_Codes!$A:$A,0)),"")&amp;"")</f>
        <v/>
      </c>
      <c r="Y723" s="24" t="str">
        <f aca="false">IF($A723="","",(YEAR($A723)-YEAR(Settings!$C$8))*12+MONTH($A723)-MONTH(Settings!$C$8)+1)</f>
        <v/>
      </c>
      <c r="Z723" s="24" t="str">
        <f aca="false">IF(AND($C723="",$I723="",$J723=""),"",IF($N723="","NO VAT CODE",IF($T723="","UNKNOWN VAT CODE",IF($S723="","MISSING FX RATE",IF(OR($A723&lt;Settings!$C$8,$A723&gt;Settings!$C$9),"OUTSIDE PERIOD",IF(AND(IFERROR(INDEX(VAT_Codes!$E:$E,MATCH($N723,VAT_Codes!$A:$A,0)),"ANY")&lt;&gt;"ANY",$P723=""),"MISSING COUNTERPARTY COUNTRY",IF(AND(IFERROR(INDEX(VAT_Codes!$E:$E,MATCH($N723,VAT_Codes!$A:$A,0)),"ANY")&lt;&gt;"ANY",$P723&lt;&gt;IFERROR(INDEX(VAT_Codes!$E:$E,MATCH($N723,VAT_Codes!$A:$A,0)),"ANY")),"REGION MISMATCH","OK")))))))</f>
        <v/>
      </c>
    </row>
    <row r="724" customFormat="false" ht="15" hidden="false" customHeight="false" outlineLevel="0" collapsed="false">
      <c r="M724" s="24" t="str">
        <f aca="false">IF($C724="","",IFERROR(INDEX(Account_Mapping!$C:$C,MATCH($C724&amp;"",Account_Mapping!$A:$A,0))&amp;"",""))</f>
        <v/>
      </c>
      <c r="N724" s="24" t="str">
        <f aca="false">IF($K724&lt;&gt;"",$K724,$M724)</f>
        <v/>
      </c>
      <c r="O724" s="24" t="str">
        <f aca="false">IF($F724="","",IFERROR(INDEX(Counterparties!$C:$C,MATCH($F724&amp;"",Counterparties!$A:$A,0))&amp;"",""))</f>
        <v/>
      </c>
      <c r="P724" s="24" t="str">
        <f aca="false">IF($O724="","",IF($O724="CY","CY",IF(ISNUMBER(MATCH($O724,Lists!$A:$A,0)),"EU","3RD")))</f>
        <v/>
      </c>
      <c r="Q724" s="24" t="str">
        <f aca="false">IF($F724="","N",IFERROR(IF(INDEX(Counterparties!$E:$E,MATCH($F724&amp;"",Counterparties!$A:$A,0))="Y","Y","N"),"N"))</f>
        <v>N</v>
      </c>
      <c r="R724" s="25" t="n">
        <f aca="false">IF(OR($H724="",$H724="EUR"),1,IFERROR(INDEX(FX_Rates!$D:$D,MATCH($H724,FX_Rates!$A:$A,0)),""))</f>
        <v>1</v>
      </c>
      <c r="S724" s="26" t="str">
        <f aca="false">IF(AND($I724="",$J724=""),"",IF($J724&lt;&gt;"",$J724,IF(OR($R724="",$R724=0),"",ROUND($I724/$R724,2))))</f>
        <v/>
      </c>
      <c r="T724" s="24" t="str">
        <f aca="false">IF($N724="","",IFERROR(INDEX(VAT_Codes!$C:$C,MATCH($N724,VAT_Codes!$A:$A,0)),"")&amp;"")</f>
        <v/>
      </c>
      <c r="U724" s="26" t="n">
        <f aca="false">IF(OR($S724="",$T724="",$T724="None"),0,IF($T724="Output",-$S724,$S724))</f>
        <v>0</v>
      </c>
      <c r="V724" s="27" t="n">
        <f aca="false">IF($N724="",0,IFERROR(INDEX(VAT_Codes!$D:$D,MATCH($N724,VAT_Codes!$A:$A,0)),0))</f>
        <v>0</v>
      </c>
      <c r="W724" s="26" t="n">
        <f aca="false">IF($U724=0,0,IF(IFERROR(INDEX(VAT_Codes!$F:$F,MATCH($N724,VAT_Codes!$A:$A,0)),"N")="Y",$U724,IF($L724&lt;&gt;"",ROUND(ABS($L724)/IF(OR($R724="",$R724=0),1,$R724),2)*SIGN($U724),ROUND($U724*$V724,2))))</f>
        <v>0</v>
      </c>
      <c r="X724" s="24" t="str">
        <f aca="false">IF($N724="","",IFERROR(INDEX(VAT_Codes!$H:$H,MATCH($N724,VAT_Codes!$A:$A,0)),"")&amp;"")</f>
        <v/>
      </c>
      <c r="Y724" s="24" t="str">
        <f aca="false">IF($A724="","",(YEAR($A724)-YEAR(Settings!$C$8))*12+MONTH($A724)-MONTH(Settings!$C$8)+1)</f>
        <v/>
      </c>
      <c r="Z724" s="24" t="str">
        <f aca="false">IF(AND($C724="",$I724="",$J724=""),"",IF($N724="","NO VAT CODE",IF($T724="","UNKNOWN VAT CODE",IF($S724="","MISSING FX RATE",IF(OR($A724&lt;Settings!$C$8,$A724&gt;Settings!$C$9),"OUTSIDE PERIOD",IF(AND(IFERROR(INDEX(VAT_Codes!$E:$E,MATCH($N724,VAT_Codes!$A:$A,0)),"ANY")&lt;&gt;"ANY",$P724=""),"MISSING COUNTERPARTY COUNTRY",IF(AND(IFERROR(INDEX(VAT_Codes!$E:$E,MATCH($N724,VAT_Codes!$A:$A,0)),"ANY")&lt;&gt;"ANY",$P724&lt;&gt;IFERROR(INDEX(VAT_Codes!$E:$E,MATCH($N724,VAT_Codes!$A:$A,0)),"ANY")),"REGION MISMATCH","OK")))))))</f>
        <v/>
      </c>
    </row>
    <row r="725" customFormat="false" ht="15" hidden="false" customHeight="false" outlineLevel="0" collapsed="false">
      <c r="M725" s="24" t="str">
        <f aca="false">IF($C725="","",IFERROR(INDEX(Account_Mapping!$C:$C,MATCH($C725&amp;"",Account_Mapping!$A:$A,0))&amp;"",""))</f>
        <v/>
      </c>
      <c r="N725" s="24" t="str">
        <f aca="false">IF($K725&lt;&gt;"",$K725,$M725)</f>
        <v/>
      </c>
      <c r="O725" s="24" t="str">
        <f aca="false">IF($F725="","",IFERROR(INDEX(Counterparties!$C:$C,MATCH($F725&amp;"",Counterparties!$A:$A,0))&amp;"",""))</f>
        <v/>
      </c>
      <c r="P725" s="24" t="str">
        <f aca="false">IF($O725="","",IF($O725="CY","CY",IF(ISNUMBER(MATCH($O725,Lists!$A:$A,0)),"EU","3RD")))</f>
        <v/>
      </c>
      <c r="Q725" s="24" t="str">
        <f aca="false">IF($F725="","N",IFERROR(IF(INDEX(Counterparties!$E:$E,MATCH($F725&amp;"",Counterparties!$A:$A,0))="Y","Y","N"),"N"))</f>
        <v>N</v>
      </c>
      <c r="R725" s="25" t="n">
        <f aca="false">IF(OR($H725="",$H725="EUR"),1,IFERROR(INDEX(FX_Rates!$D:$D,MATCH($H725,FX_Rates!$A:$A,0)),""))</f>
        <v>1</v>
      </c>
      <c r="S725" s="26" t="str">
        <f aca="false">IF(AND($I725="",$J725=""),"",IF($J725&lt;&gt;"",$J725,IF(OR($R725="",$R725=0),"",ROUND($I725/$R725,2))))</f>
        <v/>
      </c>
      <c r="T725" s="24" t="str">
        <f aca="false">IF($N725="","",IFERROR(INDEX(VAT_Codes!$C:$C,MATCH($N725,VAT_Codes!$A:$A,0)),"")&amp;"")</f>
        <v/>
      </c>
      <c r="U725" s="26" t="n">
        <f aca="false">IF(OR($S725="",$T725="",$T725="None"),0,IF($T725="Output",-$S725,$S725))</f>
        <v>0</v>
      </c>
      <c r="V725" s="27" t="n">
        <f aca="false">IF($N725="",0,IFERROR(INDEX(VAT_Codes!$D:$D,MATCH($N725,VAT_Codes!$A:$A,0)),0))</f>
        <v>0</v>
      </c>
      <c r="W725" s="26" t="n">
        <f aca="false">IF($U725=0,0,IF(IFERROR(INDEX(VAT_Codes!$F:$F,MATCH($N725,VAT_Codes!$A:$A,0)),"N")="Y",$U725,IF($L725&lt;&gt;"",ROUND(ABS($L725)/IF(OR($R725="",$R725=0),1,$R725),2)*SIGN($U725),ROUND($U725*$V725,2))))</f>
        <v>0</v>
      </c>
      <c r="X725" s="24" t="str">
        <f aca="false">IF($N725="","",IFERROR(INDEX(VAT_Codes!$H:$H,MATCH($N725,VAT_Codes!$A:$A,0)),"")&amp;"")</f>
        <v/>
      </c>
      <c r="Y725" s="24" t="str">
        <f aca="false">IF($A725="","",(YEAR($A725)-YEAR(Settings!$C$8))*12+MONTH($A725)-MONTH(Settings!$C$8)+1)</f>
        <v/>
      </c>
      <c r="Z725" s="24" t="str">
        <f aca="false">IF(AND($C725="",$I725="",$J725=""),"",IF($N725="","NO VAT CODE",IF($T725="","UNKNOWN VAT CODE",IF($S725="","MISSING FX RATE",IF(OR($A725&lt;Settings!$C$8,$A725&gt;Settings!$C$9),"OUTSIDE PERIOD",IF(AND(IFERROR(INDEX(VAT_Codes!$E:$E,MATCH($N725,VAT_Codes!$A:$A,0)),"ANY")&lt;&gt;"ANY",$P725=""),"MISSING COUNTERPARTY COUNTRY",IF(AND(IFERROR(INDEX(VAT_Codes!$E:$E,MATCH($N725,VAT_Codes!$A:$A,0)),"ANY")&lt;&gt;"ANY",$P725&lt;&gt;IFERROR(INDEX(VAT_Codes!$E:$E,MATCH($N725,VAT_Codes!$A:$A,0)),"ANY")),"REGION MISMATCH","OK")))))))</f>
        <v/>
      </c>
    </row>
    <row r="726" customFormat="false" ht="15" hidden="false" customHeight="false" outlineLevel="0" collapsed="false">
      <c r="M726" s="24" t="str">
        <f aca="false">IF($C726="","",IFERROR(INDEX(Account_Mapping!$C:$C,MATCH($C726&amp;"",Account_Mapping!$A:$A,0))&amp;"",""))</f>
        <v/>
      </c>
      <c r="N726" s="24" t="str">
        <f aca="false">IF($K726&lt;&gt;"",$K726,$M726)</f>
        <v/>
      </c>
      <c r="O726" s="24" t="str">
        <f aca="false">IF($F726="","",IFERROR(INDEX(Counterparties!$C:$C,MATCH($F726&amp;"",Counterparties!$A:$A,0))&amp;"",""))</f>
        <v/>
      </c>
      <c r="P726" s="24" t="str">
        <f aca="false">IF($O726="","",IF($O726="CY","CY",IF(ISNUMBER(MATCH($O726,Lists!$A:$A,0)),"EU","3RD")))</f>
        <v/>
      </c>
      <c r="Q726" s="24" t="str">
        <f aca="false">IF($F726="","N",IFERROR(IF(INDEX(Counterparties!$E:$E,MATCH($F726&amp;"",Counterparties!$A:$A,0))="Y","Y","N"),"N"))</f>
        <v>N</v>
      </c>
      <c r="R726" s="25" t="n">
        <f aca="false">IF(OR($H726="",$H726="EUR"),1,IFERROR(INDEX(FX_Rates!$D:$D,MATCH($H726,FX_Rates!$A:$A,0)),""))</f>
        <v>1</v>
      </c>
      <c r="S726" s="26" t="str">
        <f aca="false">IF(AND($I726="",$J726=""),"",IF($J726&lt;&gt;"",$J726,IF(OR($R726="",$R726=0),"",ROUND($I726/$R726,2))))</f>
        <v/>
      </c>
      <c r="T726" s="24" t="str">
        <f aca="false">IF($N726="","",IFERROR(INDEX(VAT_Codes!$C:$C,MATCH($N726,VAT_Codes!$A:$A,0)),"")&amp;"")</f>
        <v/>
      </c>
      <c r="U726" s="26" t="n">
        <f aca="false">IF(OR($S726="",$T726="",$T726="None"),0,IF($T726="Output",-$S726,$S726))</f>
        <v>0</v>
      </c>
      <c r="V726" s="27" t="n">
        <f aca="false">IF($N726="",0,IFERROR(INDEX(VAT_Codes!$D:$D,MATCH($N726,VAT_Codes!$A:$A,0)),0))</f>
        <v>0</v>
      </c>
      <c r="W726" s="26" t="n">
        <f aca="false">IF($U726=0,0,IF(IFERROR(INDEX(VAT_Codes!$F:$F,MATCH($N726,VAT_Codes!$A:$A,0)),"N")="Y",$U726,IF($L726&lt;&gt;"",ROUND(ABS($L726)/IF(OR($R726="",$R726=0),1,$R726),2)*SIGN($U726),ROUND($U726*$V726,2))))</f>
        <v>0</v>
      </c>
      <c r="X726" s="24" t="str">
        <f aca="false">IF($N726="","",IFERROR(INDEX(VAT_Codes!$H:$H,MATCH($N726,VAT_Codes!$A:$A,0)),"")&amp;"")</f>
        <v/>
      </c>
      <c r="Y726" s="24" t="str">
        <f aca="false">IF($A726="","",(YEAR($A726)-YEAR(Settings!$C$8))*12+MONTH($A726)-MONTH(Settings!$C$8)+1)</f>
        <v/>
      </c>
      <c r="Z726" s="24" t="str">
        <f aca="false">IF(AND($C726="",$I726="",$J726=""),"",IF($N726="","NO VAT CODE",IF($T726="","UNKNOWN VAT CODE",IF($S726="","MISSING FX RATE",IF(OR($A726&lt;Settings!$C$8,$A726&gt;Settings!$C$9),"OUTSIDE PERIOD",IF(AND(IFERROR(INDEX(VAT_Codes!$E:$E,MATCH($N726,VAT_Codes!$A:$A,0)),"ANY")&lt;&gt;"ANY",$P726=""),"MISSING COUNTERPARTY COUNTRY",IF(AND(IFERROR(INDEX(VAT_Codes!$E:$E,MATCH($N726,VAT_Codes!$A:$A,0)),"ANY")&lt;&gt;"ANY",$P726&lt;&gt;IFERROR(INDEX(VAT_Codes!$E:$E,MATCH($N726,VAT_Codes!$A:$A,0)),"ANY")),"REGION MISMATCH","OK")))))))</f>
        <v/>
      </c>
    </row>
    <row r="727" customFormat="false" ht="15" hidden="false" customHeight="false" outlineLevel="0" collapsed="false">
      <c r="M727" s="24" t="str">
        <f aca="false">IF($C727="","",IFERROR(INDEX(Account_Mapping!$C:$C,MATCH($C727&amp;"",Account_Mapping!$A:$A,0))&amp;"",""))</f>
        <v/>
      </c>
      <c r="N727" s="24" t="str">
        <f aca="false">IF($K727&lt;&gt;"",$K727,$M727)</f>
        <v/>
      </c>
      <c r="O727" s="24" t="str">
        <f aca="false">IF($F727="","",IFERROR(INDEX(Counterparties!$C:$C,MATCH($F727&amp;"",Counterparties!$A:$A,0))&amp;"",""))</f>
        <v/>
      </c>
      <c r="P727" s="24" t="str">
        <f aca="false">IF($O727="","",IF($O727="CY","CY",IF(ISNUMBER(MATCH($O727,Lists!$A:$A,0)),"EU","3RD")))</f>
        <v/>
      </c>
      <c r="Q727" s="24" t="str">
        <f aca="false">IF($F727="","N",IFERROR(IF(INDEX(Counterparties!$E:$E,MATCH($F727&amp;"",Counterparties!$A:$A,0))="Y","Y","N"),"N"))</f>
        <v>N</v>
      </c>
      <c r="R727" s="25" t="n">
        <f aca="false">IF(OR($H727="",$H727="EUR"),1,IFERROR(INDEX(FX_Rates!$D:$D,MATCH($H727,FX_Rates!$A:$A,0)),""))</f>
        <v>1</v>
      </c>
      <c r="S727" s="26" t="str">
        <f aca="false">IF(AND($I727="",$J727=""),"",IF($J727&lt;&gt;"",$J727,IF(OR($R727="",$R727=0),"",ROUND($I727/$R727,2))))</f>
        <v/>
      </c>
      <c r="T727" s="24" t="str">
        <f aca="false">IF($N727="","",IFERROR(INDEX(VAT_Codes!$C:$C,MATCH($N727,VAT_Codes!$A:$A,0)),"")&amp;"")</f>
        <v/>
      </c>
      <c r="U727" s="26" t="n">
        <f aca="false">IF(OR($S727="",$T727="",$T727="None"),0,IF($T727="Output",-$S727,$S727))</f>
        <v>0</v>
      </c>
      <c r="V727" s="27" t="n">
        <f aca="false">IF($N727="",0,IFERROR(INDEX(VAT_Codes!$D:$D,MATCH($N727,VAT_Codes!$A:$A,0)),0))</f>
        <v>0</v>
      </c>
      <c r="W727" s="26" t="n">
        <f aca="false">IF($U727=0,0,IF(IFERROR(INDEX(VAT_Codes!$F:$F,MATCH($N727,VAT_Codes!$A:$A,0)),"N")="Y",$U727,IF($L727&lt;&gt;"",ROUND(ABS($L727)/IF(OR($R727="",$R727=0),1,$R727),2)*SIGN($U727),ROUND($U727*$V727,2))))</f>
        <v>0</v>
      </c>
      <c r="X727" s="24" t="str">
        <f aca="false">IF($N727="","",IFERROR(INDEX(VAT_Codes!$H:$H,MATCH($N727,VAT_Codes!$A:$A,0)),"")&amp;"")</f>
        <v/>
      </c>
      <c r="Y727" s="24" t="str">
        <f aca="false">IF($A727="","",(YEAR($A727)-YEAR(Settings!$C$8))*12+MONTH($A727)-MONTH(Settings!$C$8)+1)</f>
        <v/>
      </c>
      <c r="Z727" s="24" t="str">
        <f aca="false">IF(AND($C727="",$I727="",$J727=""),"",IF($N727="","NO VAT CODE",IF($T727="","UNKNOWN VAT CODE",IF($S727="","MISSING FX RATE",IF(OR($A727&lt;Settings!$C$8,$A727&gt;Settings!$C$9),"OUTSIDE PERIOD",IF(AND(IFERROR(INDEX(VAT_Codes!$E:$E,MATCH($N727,VAT_Codes!$A:$A,0)),"ANY")&lt;&gt;"ANY",$P727=""),"MISSING COUNTERPARTY COUNTRY",IF(AND(IFERROR(INDEX(VAT_Codes!$E:$E,MATCH($N727,VAT_Codes!$A:$A,0)),"ANY")&lt;&gt;"ANY",$P727&lt;&gt;IFERROR(INDEX(VAT_Codes!$E:$E,MATCH($N727,VAT_Codes!$A:$A,0)),"ANY")),"REGION MISMATCH","OK")))))))</f>
        <v/>
      </c>
    </row>
    <row r="728" customFormat="false" ht="15" hidden="false" customHeight="false" outlineLevel="0" collapsed="false">
      <c r="M728" s="24" t="str">
        <f aca="false">IF($C728="","",IFERROR(INDEX(Account_Mapping!$C:$C,MATCH($C728&amp;"",Account_Mapping!$A:$A,0))&amp;"",""))</f>
        <v/>
      </c>
      <c r="N728" s="24" t="str">
        <f aca="false">IF($K728&lt;&gt;"",$K728,$M728)</f>
        <v/>
      </c>
      <c r="O728" s="24" t="str">
        <f aca="false">IF($F728="","",IFERROR(INDEX(Counterparties!$C:$C,MATCH($F728&amp;"",Counterparties!$A:$A,0))&amp;"",""))</f>
        <v/>
      </c>
      <c r="P728" s="24" t="str">
        <f aca="false">IF($O728="","",IF($O728="CY","CY",IF(ISNUMBER(MATCH($O728,Lists!$A:$A,0)),"EU","3RD")))</f>
        <v/>
      </c>
      <c r="Q728" s="24" t="str">
        <f aca="false">IF($F728="","N",IFERROR(IF(INDEX(Counterparties!$E:$E,MATCH($F728&amp;"",Counterparties!$A:$A,0))="Y","Y","N"),"N"))</f>
        <v>N</v>
      </c>
      <c r="R728" s="25" t="n">
        <f aca="false">IF(OR($H728="",$H728="EUR"),1,IFERROR(INDEX(FX_Rates!$D:$D,MATCH($H728,FX_Rates!$A:$A,0)),""))</f>
        <v>1</v>
      </c>
      <c r="S728" s="26" t="str">
        <f aca="false">IF(AND($I728="",$J728=""),"",IF($J728&lt;&gt;"",$J728,IF(OR($R728="",$R728=0),"",ROUND($I728/$R728,2))))</f>
        <v/>
      </c>
      <c r="T728" s="24" t="str">
        <f aca="false">IF($N728="","",IFERROR(INDEX(VAT_Codes!$C:$C,MATCH($N728,VAT_Codes!$A:$A,0)),"")&amp;"")</f>
        <v/>
      </c>
      <c r="U728" s="26" t="n">
        <f aca="false">IF(OR($S728="",$T728="",$T728="None"),0,IF($T728="Output",-$S728,$S728))</f>
        <v>0</v>
      </c>
      <c r="V728" s="27" t="n">
        <f aca="false">IF($N728="",0,IFERROR(INDEX(VAT_Codes!$D:$D,MATCH($N728,VAT_Codes!$A:$A,0)),0))</f>
        <v>0</v>
      </c>
      <c r="W728" s="26" t="n">
        <f aca="false">IF($U728=0,0,IF(IFERROR(INDEX(VAT_Codes!$F:$F,MATCH($N728,VAT_Codes!$A:$A,0)),"N")="Y",$U728,IF($L728&lt;&gt;"",ROUND(ABS($L728)/IF(OR($R728="",$R728=0),1,$R728),2)*SIGN($U728),ROUND($U728*$V728,2))))</f>
        <v>0</v>
      </c>
      <c r="X728" s="24" t="str">
        <f aca="false">IF($N728="","",IFERROR(INDEX(VAT_Codes!$H:$H,MATCH($N728,VAT_Codes!$A:$A,0)),"")&amp;"")</f>
        <v/>
      </c>
      <c r="Y728" s="24" t="str">
        <f aca="false">IF($A728="","",(YEAR($A728)-YEAR(Settings!$C$8))*12+MONTH($A728)-MONTH(Settings!$C$8)+1)</f>
        <v/>
      </c>
      <c r="Z728" s="24" t="str">
        <f aca="false">IF(AND($C728="",$I728="",$J728=""),"",IF($N728="","NO VAT CODE",IF($T728="","UNKNOWN VAT CODE",IF($S728="","MISSING FX RATE",IF(OR($A728&lt;Settings!$C$8,$A728&gt;Settings!$C$9),"OUTSIDE PERIOD",IF(AND(IFERROR(INDEX(VAT_Codes!$E:$E,MATCH($N728,VAT_Codes!$A:$A,0)),"ANY")&lt;&gt;"ANY",$P728=""),"MISSING COUNTERPARTY COUNTRY",IF(AND(IFERROR(INDEX(VAT_Codes!$E:$E,MATCH($N728,VAT_Codes!$A:$A,0)),"ANY")&lt;&gt;"ANY",$P728&lt;&gt;IFERROR(INDEX(VAT_Codes!$E:$E,MATCH($N728,VAT_Codes!$A:$A,0)),"ANY")),"REGION MISMATCH","OK")))))))</f>
        <v/>
      </c>
    </row>
    <row r="729" customFormat="false" ht="15" hidden="false" customHeight="false" outlineLevel="0" collapsed="false">
      <c r="M729" s="24" t="str">
        <f aca="false">IF($C729="","",IFERROR(INDEX(Account_Mapping!$C:$C,MATCH($C729&amp;"",Account_Mapping!$A:$A,0))&amp;"",""))</f>
        <v/>
      </c>
      <c r="N729" s="24" t="str">
        <f aca="false">IF($K729&lt;&gt;"",$K729,$M729)</f>
        <v/>
      </c>
      <c r="O729" s="24" t="str">
        <f aca="false">IF($F729="","",IFERROR(INDEX(Counterparties!$C:$C,MATCH($F729&amp;"",Counterparties!$A:$A,0))&amp;"",""))</f>
        <v/>
      </c>
      <c r="P729" s="24" t="str">
        <f aca="false">IF($O729="","",IF($O729="CY","CY",IF(ISNUMBER(MATCH($O729,Lists!$A:$A,0)),"EU","3RD")))</f>
        <v/>
      </c>
      <c r="Q729" s="24" t="str">
        <f aca="false">IF($F729="","N",IFERROR(IF(INDEX(Counterparties!$E:$E,MATCH($F729&amp;"",Counterparties!$A:$A,0))="Y","Y","N"),"N"))</f>
        <v>N</v>
      </c>
      <c r="R729" s="25" t="n">
        <f aca="false">IF(OR($H729="",$H729="EUR"),1,IFERROR(INDEX(FX_Rates!$D:$D,MATCH($H729,FX_Rates!$A:$A,0)),""))</f>
        <v>1</v>
      </c>
      <c r="S729" s="26" t="str">
        <f aca="false">IF(AND($I729="",$J729=""),"",IF($J729&lt;&gt;"",$J729,IF(OR($R729="",$R729=0),"",ROUND($I729/$R729,2))))</f>
        <v/>
      </c>
      <c r="T729" s="24" t="str">
        <f aca="false">IF($N729="","",IFERROR(INDEX(VAT_Codes!$C:$C,MATCH($N729,VAT_Codes!$A:$A,0)),"")&amp;"")</f>
        <v/>
      </c>
      <c r="U729" s="26" t="n">
        <f aca="false">IF(OR($S729="",$T729="",$T729="None"),0,IF($T729="Output",-$S729,$S729))</f>
        <v>0</v>
      </c>
      <c r="V729" s="27" t="n">
        <f aca="false">IF($N729="",0,IFERROR(INDEX(VAT_Codes!$D:$D,MATCH($N729,VAT_Codes!$A:$A,0)),0))</f>
        <v>0</v>
      </c>
      <c r="W729" s="26" t="n">
        <f aca="false">IF($U729=0,0,IF(IFERROR(INDEX(VAT_Codes!$F:$F,MATCH($N729,VAT_Codes!$A:$A,0)),"N")="Y",$U729,IF($L729&lt;&gt;"",ROUND(ABS($L729)/IF(OR($R729="",$R729=0),1,$R729),2)*SIGN($U729),ROUND($U729*$V729,2))))</f>
        <v>0</v>
      </c>
      <c r="X729" s="24" t="str">
        <f aca="false">IF($N729="","",IFERROR(INDEX(VAT_Codes!$H:$H,MATCH($N729,VAT_Codes!$A:$A,0)),"")&amp;"")</f>
        <v/>
      </c>
      <c r="Y729" s="24" t="str">
        <f aca="false">IF($A729="","",(YEAR($A729)-YEAR(Settings!$C$8))*12+MONTH($A729)-MONTH(Settings!$C$8)+1)</f>
        <v/>
      </c>
      <c r="Z729" s="24" t="str">
        <f aca="false">IF(AND($C729="",$I729="",$J729=""),"",IF($N729="","NO VAT CODE",IF($T729="","UNKNOWN VAT CODE",IF($S729="","MISSING FX RATE",IF(OR($A729&lt;Settings!$C$8,$A729&gt;Settings!$C$9),"OUTSIDE PERIOD",IF(AND(IFERROR(INDEX(VAT_Codes!$E:$E,MATCH($N729,VAT_Codes!$A:$A,0)),"ANY")&lt;&gt;"ANY",$P729=""),"MISSING COUNTERPARTY COUNTRY",IF(AND(IFERROR(INDEX(VAT_Codes!$E:$E,MATCH($N729,VAT_Codes!$A:$A,0)),"ANY")&lt;&gt;"ANY",$P729&lt;&gt;IFERROR(INDEX(VAT_Codes!$E:$E,MATCH($N729,VAT_Codes!$A:$A,0)),"ANY")),"REGION MISMATCH","OK")))))))</f>
        <v/>
      </c>
    </row>
    <row r="730" customFormat="false" ht="15" hidden="false" customHeight="false" outlineLevel="0" collapsed="false">
      <c r="M730" s="24" t="str">
        <f aca="false">IF($C730="","",IFERROR(INDEX(Account_Mapping!$C:$C,MATCH($C730&amp;"",Account_Mapping!$A:$A,0))&amp;"",""))</f>
        <v/>
      </c>
      <c r="N730" s="24" t="str">
        <f aca="false">IF($K730&lt;&gt;"",$K730,$M730)</f>
        <v/>
      </c>
      <c r="O730" s="24" t="str">
        <f aca="false">IF($F730="","",IFERROR(INDEX(Counterparties!$C:$C,MATCH($F730&amp;"",Counterparties!$A:$A,0))&amp;"",""))</f>
        <v/>
      </c>
      <c r="P730" s="24" t="str">
        <f aca="false">IF($O730="","",IF($O730="CY","CY",IF(ISNUMBER(MATCH($O730,Lists!$A:$A,0)),"EU","3RD")))</f>
        <v/>
      </c>
      <c r="Q730" s="24" t="str">
        <f aca="false">IF($F730="","N",IFERROR(IF(INDEX(Counterparties!$E:$E,MATCH($F730&amp;"",Counterparties!$A:$A,0))="Y","Y","N"),"N"))</f>
        <v>N</v>
      </c>
      <c r="R730" s="25" t="n">
        <f aca="false">IF(OR($H730="",$H730="EUR"),1,IFERROR(INDEX(FX_Rates!$D:$D,MATCH($H730,FX_Rates!$A:$A,0)),""))</f>
        <v>1</v>
      </c>
      <c r="S730" s="26" t="str">
        <f aca="false">IF(AND($I730="",$J730=""),"",IF($J730&lt;&gt;"",$J730,IF(OR($R730="",$R730=0),"",ROUND($I730/$R730,2))))</f>
        <v/>
      </c>
      <c r="T730" s="24" t="str">
        <f aca="false">IF($N730="","",IFERROR(INDEX(VAT_Codes!$C:$C,MATCH($N730,VAT_Codes!$A:$A,0)),"")&amp;"")</f>
        <v/>
      </c>
      <c r="U730" s="26" t="n">
        <f aca="false">IF(OR($S730="",$T730="",$T730="None"),0,IF($T730="Output",-$S730,$S730))</f>
        <v>0</v>
      </c>
      <c r="V730" s="27" t="n">
        <f aca="false">IF($N730="",0,IFERROR(INDEX(VAT_Codes!$D:$D,MATCH($N730,VAT_Codes!$A:$A,0)),0))</f>
        <v>0</v>
      </c>
      <c r="W730" s="26" t="n">
        <f aca="false">IF($U730=0,0,IF(IFERROR(INDEX(VAT_Codes!$F:$F,MATCH($N730,VAT_Codes!$A:$A,0)),"N")="Y",$U730,IF($L730&lt;&gt;"",ROUND(ABS($L730)/IF(OR($R730="",$R730=0),1,$R730),2)*SIGN($U730),ROUND($U730*$V730,2))))</f>
        <v>0</v>
      </c>
      <c r="X730" s="24" t="str">
        <f aca="false">IF($N730="","",IFERROR(INDEX(VAT_Codes!$H:$H,MATCH($N730,VAT_Codes!$A:$A,0)),"")&amp;"")</f>
        <v/>
      </c>
      <c r="Y730" s="24" t="str">
        <f aca="false">IF($A730="","",(YEAR($A730)-YEAR(Settings!$C$8))*12+MONTH($A730)-MONTH(Settings!$C$8)+1)</f>
        <v/>
      </c>
      <c r="Z730" s="24" t="str">
        <f aca="false">IF(AND($C730="",$I730="",$J730=""),"",IF($N730="","NO VAT CODE",IF($T730="","UNKNOWN VAT CODE",IF($S730="","MISSING FX RATE",IF(OR($A730&lt;Settings!$C$8,$A730&gt;Settings!$C$9),"OUTSIDE PERIOD",IF(AND(IFERROR(INDEX(VAT_Codes!$E:$E,MATCH($N730,VAT_Codes!$A:$A,0)),"ANY")&lt;&gt;"ANY",$P730=""),"MISSING COUNTERPARTY COUNTRY",IF(AND(IFERROR(INDEX(VAT_Codes!$E:$E,MATCH($N730,VAT_Codes!$A:$A,0)),"ANY")&lt;&gt;"ANY",$P730&lt;&gt;IFERROR(INDEX(VAT_Codes!$E:$E,MATCH($N730,VAT_Codes!$A:$A,0)),"ANY")),"REGION MISMATCH","OK")))))))</f>
        <v/>
      </c>
    </row>
    <row r="731" customFormat="false" ht="15" hidden="false" customHeight="false" outlineLevel="0" collapsed="false">
      <c r="M731" s="24" t="str">
        <f aca="false">IF($C731="","",IFERROR(INDEX(Account_Mapping!$C:$C,MATCH($C731&amp;"",Account_Mapping!$A:$A,0))&amp;"",""))</f>
        <v/>
      </c>
      <c r="N731" s="24" t="str">
        <f aca="false">IF($K731&lt;&gt;"",$K731,$M731)</f>
        <v/>
      </c>
      <c r="O731" s="24" t="str">
        <f aca="false">IF($F731="","",IFERROR(INDEX(Counterparties!$C:$C,MATCH($F731&amp;"",Counterparties!$A:$A,0))&amp;"",""))</f>
        <v/>
      </c>
      <c r="P731" s="24" t="str">
        <f aca="false">IF($O731="","",IF($O731="CY","CY",IF(ISNUMBER(MATCH($O731,Lists!$A:$A,0)),"EU","3RD")))</f>
        <v/>
      </c>
      <c r="Q731" s="24" t="str">
        <f aca="false">IF($F731="","N",IFERROR(IF(INDEX(Counterparties!$E:$E,MATCH($F731&amp;"",Counterparties!$A:$A,0))="Y","Y","N"),"N"))</f>
        <v>N</v>
      </c>
      <c r="R731" s="25" t="n">
        <f aca="false">IF(OR($H731="",$H731="EUR"),1,IFERROR(INDEX(FX_Rates!$D:$D,MATCH($H731,FX_Rates!$A:$A,0)),""))</f>
        <v>1</v>
      </c>
      <c r="S731" s="26" t="str">
        <f aca="false">IF(AND($I731="",$J731=""),"",IF($J731&lt;&gt;"",$J731,IF(OR($R731="",$R731=0),"",ROUND($I731/$R731,2))))</f>
        <v/>
      </c>
      <c r="T731" s="24" t="str">
        <f aca="false">IF($N731="","",IFERROR(INDEX(VAT_Codes!$C:$C,MATCH($N731,VAT_Codes!$A:$A,0)),"")&amp;"")</f>
        <v/>
      </c>
      <c r="U731" s="26" t="n">
        <f aca="false">IF(OR($S731="",$T731="",$T731="None"),0,IF($T731="Output",-$S731,$S731))</f>
        <v>0</v>
      </c>
      <c r="V731" s="27" t="n">
        <f aca="false">IF($N731="",0,IFERROR(INDEX(VAT_Codes!$D:$D,MATCH($N731,VAT_Codes!$A:$A,0)),0))</f>
        <v>0</v>
      </c>
      <c r="W731" s="26" t="n">
        <f aca="false">IF($U731=0,0,IF(IFERROR(INDEX(VAT_Codes!$F:$F,MATCH($N731,VAT_Codes!$A:$A,0)),"N")="Y",$U731,IF($L731&lt;&gt;"",ROUND(ABS($L731)/IF(OR($R731="",$R731=0),1,$R731),2)*SIGN($U731),ROUND($U731*$V731,2))))</f>
        <v>0</v>
      </c>
      <c r="X731" s="24" t="str">
        <f aca="false">IF($N731="","",IFERROR(INDEX(VAT_Codes!$H:$H,MATCH($N731,VAT_Codes!$A:$A,0)),"")&amp;"")</f>
        <v/>
      </c>
      <c r="Y731" s="24" t="str">
        <f aca="false">IF($A731="","",(YEAR($A731)-YEAR(Settings!$C$8))*12+MONTH($A731)-MONTH(Settings!$C$8)+1)</f>
        <v/>
      </c>
      <c r="Z731" s="24" t="str">
        <f aca="false">IF(AND($C731="",$I731="",$J731=""),"",IF($N731="","NO VAT CODE",IF($T731="","UNKNOWN VAT CODE",IF($S731="","MISSING FX RATE",IF(OR($A731&lt;Settings!$C$8,$A731&gt;Settings!$C$9),"OUTSIDE PERIOD",IF(AND(IFERROR(INDEX(VAT_Codes!$E:$E,MATCH($N731,VAT_Codes!$A:$A,0)),"ANY")&lt;&gt;"ANY",$P731=""),"MISSING COUNTERPARTY COUNTRY",IF(AND(IFERROR(INDEX(VAT_Codes!$E:$E,MATCH($N731,VAT_Codes!$A:$A,0)),"ANY")&lt;&gt;"ANY",$P731&lt;&gt;IFERROR(INDEX(VAT_Codes!$E:$E,MATCH($N731,VAT_Codes!$A:$A,0)),"ANY")),"REGION MISMATCH","OK")))))))</f>
        <v/>
      </c>
    </row>
    <row r="732" customFormat="false" ht="15" hidden="false" customHeight="false" outlineLevel="0" collapsed="false">
      <c r="M732" s="24" t="str">
        <f aca="false">IF($C732="","",IFERROR(INDEX(Account_Mapping!$C:$C,MATCH($C732&amp;"",Account_Mapping!$A:$A,0))&amp;"",""))</f>
        <v/>
      </c>
      <c r="N732" s="24" t="str">
        <f aca="false">IF($K732&lt;&gt;"",$K732,$M732)</f>
        <v/>
      </c>
      <c r="O732" s="24" t="str">
        <f aca="false">IF($F732="","",IFERROR(INDEX(Counterparties!$C:$C,MATCH($F732&amp;"",Counterparties!$A:$A,0))&amp;"",""))</f>
        <v/>
      </c>
      <c r="P732" s="24" t="str">
        <f aca="false">IF($O732="","",IF($O732="CY","CY",IF(ISNUMBER(MATCH($O732,Lists!$A:$A,0)),"EU","3RD")))</f>
        <v/>
      </c>
      <c r="Q732" s="24" t="str">
        <f aca="false">IF($F732="","N",IFERROR(IF(INDEX(Counterparties!$E:$E,MATCH($F732&amp;"",Counterparties!$A:$A,0))="Y","Y","N"),"N"))</f>
        <v>N</v>
      </c>
      <c r="R732" s="25" t="n">
        <f aca="false">IF(OR($H732="",$H732="EUR"),1,IFERROR(INDEX(FX_Rates!$D:$D,MATCH($H732,FX_Rates!$A:$A,0)),""))</f>
        <v>1</v>
      </c>
      <c r="S732" s="26" t="str">
        <f aca="false">IF(AND($I732="",$J732=""),"",IF($J732&lt;&gt;"",$J732,IF(OR($R732="",$R732=0),"",ROUND($I732/$R732,2))))</f>
        <v/>
      </c>
      <c r="T732" s="24" t="str">
        <f aca="false">IF($N732="","",IFERROR(INDEX(VAT_Codes!$C:$C,MATCH($N732,VAT_Codes!$A:$A,0)),"")&amp;"")</f>
        <v/>
      </c>
      <c r="U732" s="26" t="n">
        <f aca="false">IF(OR($S732="",$T732="",$T732="None"),0,IF($T732="Output",-$S732,$S732))</f>
        <v>0</v>
      </c>
      <c r="V732" s="27" t="n">
        <f aca="false">IF($N732="",0,IFERROR(INDEX(VAT_Codes!$D:$D,MATCH($N732,VAT_Codes!$A:$A,0)),0))</f>
        <v>0</v>
      </c>
      <c r="W732" s="26" t="n">
        <f aca="false">IF($U732=0,0,IF(IFERROR(INDEX(VAT_Codes!$F:$F,MATCH($N732,VAT_Codes!$A:$A,0)),"N")="Y",$U732,IF($L732&lt;&gt;"",ROUND(ABS($L732)/IF(OR($R732="",$R732=0),1,$R732),2)*SIGN($U732),ROUND($U732*$V732,2))))</f>
        <v>0</v>
      </c>
      <c r="X732" s="24" t="str">
        <f aca="false">IF($N732="","",IFERROR(INDEX(VAT_Codes!$H:$H,MATCH($N732,VAT_Codes!$A:$A,0)),"")&amp;"")</f>
        <v/>
      </c>
      <c r="Y732" s="24" t="str">
        <f aca="false">IF($A732="","",(YEAR($A732)-YEAR(Settings!$C$8))*12+MONTH($A732)-MONTH(Settings!$C$8)+1)</f>
        <v/>
      </c>
      <c r="Z732" s="24" t="str">
        <f aca="false">IF(AND($C732="",$I732="",$J732=""),"",IF($N732="","NO VAT CODE",IF($T732="","UNKNOWN VAT CODE",IF($S732="","MISSING FX RATE",IF(OR($A732&lt;Settings!$C$8,$A732&gt;Settings!$C$9),"OUTSIDE PERIOD",IF(AND(IFERROR(INDEX(VAT_Codes!$E:$E,MATCH($N732,VAT_Codes!$A:$A,0)),"ANY")&lt;&gt;"ANY",$P732=""),"MISSING COUNTERPARTY COUNTRY",IF(AND(IFERROR(INDEX(VAT_Codes!$E:$E,MATCH($N732,VAT_Codes!$A:$A,0)),"ANY")&lt;&gt;"ANY",$P732&lt;&gt;IFERROR(INDEX(VAT_Codes!$E:$E,MATCH($N732,VAT_Codes!$A:$A,0)),"ANY")),"REGION MISMATCH","OK")))))))</f>
        <v/>
      </c>
    </row>
    <row r="733" customFormat="false" ht="15" hidden="false" customHeight="false" outlineLevel="0" collapsed="false">
      <c r="M733" s="24" t="str">
        <f aca="false">IF($C733="","",IFERROR(INDEX(Account_Mapping!$C:$C,MATCH($C733&amp;"",Account_Mapping!$A:$A,0))&amp;"",""))</f>
        <v/>
      </c>
      <c r="N733" s="24" t="str">
        <f aca="false">IF($K733&lt;&gt;"",$K733,$M733)</f>
        <v/>
      </c>
      <c r="O733" s="24" t="str">
        <f aca="false">IF($F733="","",IFERROR(INDEX(Counterparties!$C:$C,MATCH($F733&amp;"",Counterparties!$A:$A,0))&amp;"",""))</f>
        <v/>
      </c>
      <c r="P733" s="24" t="str">
        <f aca="false">IF($O733="","",IF($O733="CY","CY",IF(ISNUMBER(MATCH($O733,Lists!$A:$A,0)),"EU","3RD")))</f>
        <v/>
      </c>
      <c r="Q733" s="24" t="str">
        <f aca="false">IF($F733="","N",IFERROR(IF(INDEX(Counterparties!$E:$E,MATCH($F733&amp;"",Counterparties!$A:$A,0))="Y","Y","N"),"N"))</f>
        <v>N</v>
      </c>
      <c r="R733" s="25" t="n">
        <f aca="false">IF(OR($H733="",$H733="EUR"),1,IFERROR(INDEX(FX_Rates!$D:$D,MATCH($H733,FX_Rates!$A:$A,0)),""))</f>
        <v>1</v>
      </c>
      <c r="S733" s="26" t="str">
        <f aca="false">IF(AND($I733="",$J733=""),"",IF($J733&lt;&gt;"",$J733,IF(OR($R733="",$R733=0),"",ROUND($I733/$R733,2))))</f>
        <v/>
      </c>
      <c r="T733" s="24" t="str">
        <f aca="false">IF($N733="","",IFERROR(INDEX(VAT_Codes!$C:$C,MATCH($N733,VAT_Codes!$A:$A,0)),"")&amp;"")</f>
        <v/>
      </c>
      <c r="U733" s="26" t="n">
        <f aca="false">IF(OR($S733="",$T733="",$T733="None"),0,IF($T733="Output",-$S733,$S733))</f>
        <v>0</v>
      </c>
      <c r="V733" s="27" t="n">
        <f aca="false">IF($N733="",0,IFERROR(INDEX(VAT_Codes!$D:$D,MATCH($N733,VAT_Codes!$A:$A,0)),0))</f>
        <v>0</v>
      </c>
      <c r="W733" s="26" t="n">
        <f aca="false">IF($U733=0,0,IF(IFERROR(INDEX(VAT_Codes!$F:$F,MATCH($N733,VAT_Codes!$A:$A,0)),"N")="Y",$U733,IF($L733&lt;&gt;"",ROUND(ABS($L733)/IF(OR($R733="",$R733=0),1,$R733),2)*SIGN($U733),ROUND($U733*$V733,2))))</f>
        <v>0</v>
      </c>
      <c r="X733" s="24" t="str">
        <f aca="false">IF($N733="","",IFERROR(INDEX(VAT_Codes!$H:$H,MATCH($N733,VAT_Codes!$A:$A,0)),"")&amp;"")</f>
        <v/>
      </c>
      <c r="Y733" s="24" t="str">
        <f aca="false">IF($A733="","",(YEAR($A733)-YEAR(Settings!$C$8))*12+MONTH($A733)-MONTH(Settings!$C$8)+1)</f>
        <v/>
      </c>
      <c r="Z733" s="24" t="str">
        <f aca="false">IF(AND($C733="",$I733="",$J733=""),"",IF($N733="","NO VAT CODE",IF($T733="","UNKNOWN VAT CODE",IF($S733="","MISSING FX RATE",IF(OR($A733&lt;Settings!$C$8,$A733&gt;Settings!$C$9),"OUTSIDE PERIOD",IF(AND(IFERROR(INDEX(VAT_Codes!$E:$E,MATCH($N733,VAT_Codes!$A:$A,0)),"ANY")&lt;&gt;"ANY",$P733=""),"MISSING COUNTERPARTY COUNTRY",IF(AND(IFERROR(INDEX(VAT_Codes!$E:$E,MATCH($N733,VAT_Codes!$A:$A,0)),"ANY")&lt;&gt;"ANY",$P733&lt;&gt;IFERROR(INDEX(VAT_Codes!$E:$E,MATCH($N733,VAT_Codes!$A:$A,0)),"ANY")),"REGION MISMATCH","OK")))))))</f>
        <v/>
      </c>
    </row>
    <row r="734" customFormat="false" ht="15" hidden="false" customHeight="false" outlineLevel="0" collapsed="false">
      <c r="M734" s="24" t="str">
        <f aca="false">IF($C734="","",IFERROR(INDEX(Account_Mapping!$C:$C,MATCH($C734&amp;"",Account_Mapping!$A:$A,0))&amp;"",""))</f>
        <v/>
      </c>
      <c r="N734" s="24" t="str">
        <f aca="false">IF($K734&lt;&gt;"",$K734,$M734)</f>
        <v/>
      </c>
      <c r="O734" s="24" t="str">
        <f aca="false">IF($F734="","",IFERROR(INDEX(Counterparties!$C:$C,MATCH($F734&amp;"",Counterparties!$A:$A,0))&amp;"",""))</f>
        <v/>
      </c>
      <c r="P734" s="24" t="str">
        <f aca="false">IF($O734="","",IF($O734="CY","CY",IF(ISNUMBER(MATCH($O734,Lists!$A:$A,0)),"EU","3RD")))</f>
        <v/>
      </c>
      <c r="Q734" s="24" t="str">
        <f aca="false">IF($F734="","N",IFERROR(IF(INDEX(Counterparties!$E:$E,MATCH($F734&amp;"",Counterparties!$A:$A,0))="Y","Y","N"),"N"))</f>
        <v>N</v>
      </c>
      <c r="R734" s="25" t="n">
        <f aca="false">IF(OR($H734="",$H734="EUR"),1,IFERROR(INDEX(FX_Rates!$D:$D,MATCH($H734,FX_Rates!$A:$A,0)),""))</f>
        <v>1</v>
      </c>
      <c r="S734" s="26" t="str">
        <f aca="false">IF(AND($I734="",$J734=""),"",IF($J734&lt;&gt;"",$J734,IF(OR($R734="",$R734=0),"",ROUND($I734/$R734,2))))</f>
        <v/>
      </c>
      <c r="T734" s="24" t="str">
        <f aca="false">IF($N734="","",IFERROR(INDEX(VAT_Codes!$C:$C,MATCH($N734,VAT_Codes!$A:$A,0)),"")&amp;"")</f>
        <v/>
      </c>
      <c r="U734" s="26" t="n">
        <f aca="false">IF(OR($S734="",$T734="",$T734="None"),0,IF($T734="Output",-$S734,$S734))</f>
        <v>0</v>
      </c>
      <c r="V734" s="27" t="n">
        <f aca="false">IF($N734="",0,IFERROR(INDEX(VAT_Codes!$D:$D,MATCH($N734,VAT_Codes!$A:$A,0)),0))</f>
        <v>0</v>
      </c>
      <c r="W734" s="26" t="n">
        <f aca="false">IF($U734=0,0,IF(IFERROR(INDEX(VAT_Codes!$F:$F,MATCH($N734,VAT_Codes!$A:$A,0)),"N")="Y",$U734,IF($L734&lt;&gt;"",ROUND(ABS($L734)/IF(OR($R734="",$R734=0),1,$R734),2)*SIGN($U734),ROUND($U734*$V734,2))))</f>
        <v>0</v>
      </c>
      <c r="X734" s="24" t="str">
        <f aca="false">IF($N734="","",IFERROR(INDEX(VAT_Codes!$H:$H,MATCH($N734,VAT_Codes!$A:$A,0)),"")&amp;"")</f>
        <v/>
      </c>
      <c r="Y734" s="24" t="str">
        <f aca="false">IF($A734="","",(YEAR($A734)-YEAR(Settings!$C$8))*12+MONTH($A734)-MONTH(Settings!$C$8)+1)</f>
        <v/>
      </c>
      <c r="Z734" s="24" t="str">
        <f aca="false">IF(AND($C734="",$I734="",$J734=""),"",IF($N734="","NO VAT CODE",IF($T734="","UNKNOWN VAT CODE",IF($S734="","MISSING FX RATE",IF(OR($A734&lt;Settings!$C$8,$A734&gt;Settings!$C$9),"OUTSIDE PERIOD",IF(AND(IFERROR(INDEX(VAT_Codes!$E:$E,MATCH($N734,VAT_Codes!$A:$A,0)),"ANY")&lt;&gt;"ANY",$P734=""),"MISSING COUNTERPARTY COUNTRY",IF(AND(IFERROR(INDEX(VAT_Codes!$E:$E,MATCH($N734,VAT_Codes!$A:$A,0)),"ANY")&lt;&gt;"ANY",$P734&lt;&gt;IFERROR(INDEX(VAT_Codes!$E:$E,MATCH($N734,VAT_Codes!$A:$A,0)),"ANY")),"REGION MISMATCH","OK")))))))</f>
        <v/>
      </c>
    </row>
    <row r="735" customFormat="false" ht="15" hidden="false" customHeight="false" outlineLevel="0" collapsed="false">
      <c r="M735" s="24" t="str">
        <f aca="false">IF($C735="","",IFERROR(INDEX(Account_Mapping!$C:$C,MATCH($C735&amp;"",Account_Mapping!$A:$A,0))&amp;"",""))</f>
        <v/>
      </c>
      <c r="N735" s="24" t="str">
        <f aca="false">IF($K735&lt;&gt;"",$K735,$M735)</f>
        <v/>
      </c>
      <c r="O735" s="24" t="str">
        <f aca="false">IF($F735="","",IFERROR(INDEX(Counterparties!$C:$C,MATCH($F735&amp;"",Counterparties!$A:$A,0))&amp;"",""))</f>
        <v/>
      </c>
      <c r="P735" s="24" t="str">
        <f aca="false">IF($O735="","",IF($O735="CY","CY",IF(ISNUMBER(MATCH($O735,Lists!$A:$A,0)),"EU","3RD")))</f>
        <v/>
      </c>
      <c r="Q735" s="24" t="str">
        <f aca="false">IF($F735="","N",IFERROR(IF(INDEX(Counterparties!$E:$E,MATCH($F735&amp;"",Counterparties!$A:$A,0))="Y","Y","N"),"N"))</f>
        <v>N</v>
      </c>
      <c r="R735" s="25" t="n">
        <f aca="false">IF(OR($H735="",$H735="EUR"),1,IFERROR(INDEX(FX_Rates!$D:$D,MATCH($H735,FX_Rates!$A:$A,0)),""))</f>
        <v>1</v>
      </c>
      <c r="S735" s="26" t="str">
        <f aca="false">IF(AND($I735="",$J735=""),"",IF($J735&lt;&gt;"",$J735,IF(OR($R735="",$R735=0),"",ROUND($I735/$R735,2))))</f>
        <v/>
      </c>
      <c r="T735" s="24" t="str">
        <f aca="false">IF($N735="","",IFERROR(INDEX(VAT_Codes!$C:$C,MATCH($N735,VAT_Codes!$A:$A,0)),"")&amp;"")</f>
        <v/>
      </c>
      <c r="U735" s="26" t="n">
        <f aca="false">IF(OR($S735="",$T735="",$T735="None"),0,IF($T735="Output",-$S735,$S735))</f>
        <v>0</v>
      </c>
      <c r="V735" s="27" t="n">
        <f aca="false">IF($N735="",0,IFERROR(INDEX(VAT_Codes!$D:$D,MATCH($N735,VAT_Codes!$A:$A,0)),0))</f>
        <v>0</v>
      </c>
      <c r="W735" s="26" t="n">
        <f aca="false">IF($U735=0,0,IF(IFERROR(INDEX(VAT_Codes!$F:$F,MATCH($N735,VAT_Codes!$A:$A,0)),"N")="Y",$U735,IF($L735&lt;&gt;"",ROUND(ABS($L735)/IF(OR($R735="",$R735=0),1,$R735),2)*SIGN($U735),ROUND($U735*$V735,2))))</f>
        <v>0</v>
      </c>
      <c r="X735" s="24" t="str">
        <f aca="false">IF($N735="","",IFERROR(INDEX(VAT_Codes!$H:$H,MATCH($N735,VAT_Codes!$A:$A,0)),"")&amp;"")</f>
        <v/>
      </c>
      <c r="Y735" s="24" t="str">
        <f aca="false">IF($A735="","",(YEAR($A735)-YEAR(Settings!$C$8))*12+MONTH($A735)-MONTH(Settings!$C$8)+1)</f>
        <v/>
      </c>
      <c r="Z735" s="24" t="str">
        <f aca="false">IF(AND($C735="",$I735="",$J735=""),"",IF($N735="","NO VAT CODE",IF($T735="","UNKNOWN VAT CODE",IF($S735="","MISSING FX RATE",IF(OR($A735&lt;Settings!$C$8,$A735&gt;Settings!$C$9),"OUTSIDE PERIOD",IF(AND(IFERROR(INDEX(VAT_Codes!$E:$E,MATCH($N735,VAT_Codes!$A:$A,0)),"ANY")&lt;&gt;"ANY",$P735=""),"MISSING COUNTERPARTY COUNTRY",IF(AND(IFERROR(INDEX(VAT_Codes!$E:$E,MATCH($N735,VAT_Codes!$A:$A,0)),"ANY")&lt;&gt;"ANY",$P735&lt;&gt;IFERROR(INDEX(VAT_Codes!$E:$E,MATCH($N735,VAT_Codes!$A:$A,0)),"ANY")),"REGION MISMATCH","OK")))))))</f>
        <v/>
      </c>
    </row>
    <row r="736" customFormat="false" ht="15" hidden="false" customHeight="false" outlineLevel="0" collapsed="false">
      <c r="M736" s="24" t="str">
        <f aca="false">IF($C736="","",IFERROR(INDEX(Account_Mapping!$C:$C,MATCH($C736&amp;"",Account_Mapping!$A:$A,0))&amp;"",""))</f>
        <v/>
      </c>
      <c r="N736" s="24" t="str">
        <f aca="false">IF($K736&lt;&gt;"",$K736,$M736)</f>
        <v/>
      </c>
      <c r="O736" s="24" t="str">
        <f aca="false">IF($F736="","",IFERROR(INDEX(Counterparties!$C:$C,MATCH($F736&amp;"",Counterparties!$A:$A,0))&amp;"",""))</f>
        <v/>
      </c>
      <c r="P736" s="24" t="str">
        <f aca="false">IF($O736="","",IF($O736="CY","CY",IF(ISNUMBER(MATCH($O736,Lists!$A:$A,0)),"EU","3RD")))</f>
        <v/>
      </c>
      <c r="Q736" s="24" t="str">
        <f aca="false">IF($F736="","N",IFERROR(IF(INDEX(Counterparties!$E:$E,MATCH($F736&amp;"",Counterparties!$A:$A,0))="Y","Y","N"),"N"))</f>
        <v>N</v>
      </c>
      <c r="R736" s="25" t="n">
        <f aca="false">IF(OR($H736="",$H736="EUR"),1,IFERROR(INDEX(FX_Rates!$D:$D,MATCH($H736,FX_Rates!$A:$A,0)),""))</f>
        <v>1</v>
      </c>
      <c r="S736" s="26" t="str">
        <f aca="false">IF(AND($I736="",$J736=""),"",IF($J736&lt;&gt;"",$J736,IF(OR($R736="",$R736=0),"",ROUND($I736/$R736,2))))</f>
        <v/>
      </c>
      <c r="T736" s="24" t="str">
        <f aca="false">IF($N736="","",IFERROR(INDEX(VAT_Codes!$C:$C,MATCH($N736,VAT_Codes!$A:$A,0)),"")&amp;"")</f>
        <v/>
      </c>
      <c r="U736" s="26" t="n">
        <f aca="false">IF(OR($S736="",$T736="",$T736="None"),0,IF($T736="Output",-$S736,$S736))</f>
        <v>0</v>
      </c>
      <c r="V736" s="27" t="n">
        <f aca="false">IF($N736="",0,IFERROR(INDEX(VAT_Codes!$D:$D,MATCH($N736,VAT_Codes!$A:$A,0)),0))</f>
        <v>0</v>
      </c>
      <c r="W736" s="26" t="n">
        <f aca="false">IF($U736=0,0,IF(IFERROR(INDEX(VAT_Codes!$F:$F,MATCH($N736,VAT_Codes!$A:$A,0)),"N")="Y",$U736,IF($L736&lt;&gt;"",ROUND(ABS($L736)/IF(OR($R736="",$R736=0),1,$R736),2)*SIGN($U736),ROUND($U736*$V736,2))))</f>
        <v>0</v>
      </c>
      <c r="X736" s="24" t="str">
        <f aca="false">IF($N736="","",IFERROR(INDEX(VAT_Codes!$H:$H,MATCH($N736,VAT_Codes!$A:$A,0)),"")&amp;"")</f>
        <v/>
      </c>
      <c r="Y736" s="24" t="str">
        <f aca="false">IF($A736="","",(YEAR($A736)-YEAR(Settings!$C$8))*12+MONTH($A736)-MONTH(Settings!$C$8)+1)</f>
        <v/>
      </c>
      <c r="Z736" s="24" t="str">
        <f aca="false">IF(AND($C736="",$I736="",$J736=""),"",IF($N736="","NO VAT CODE",IF($T736="","UNKNOWN VAT CODE",IF($S736="","MISSING FX RATE",IF(OR($A736&lt;Settings!$C$8,$A736&gt;Settings!$C$9),"OUTSIDE PERIOD",IF(AND(IFERROR(INDEX(VAT_Codes!$E:$E,MATCH($N736,VAT_Codes!$A:$A,0)),"ANY")&lt;&gt;"ANY",$P736=""),"MISSING COUNTERPARTY COUNTRY",IF(AND(IFERROR(INDEX(VAT_Codes!$E:$E,MATCH($N736,VAT_Codes!$A:$A,0)),"ANY")&lt;&gt;"ANY",$P736&lt;&gt;IFERROR(INDEX(VAT_Codes!$E:$E,MATCH($N736,VAT_Codes!$A:$A,0)),"ANY")),"REGION MISMATCH","OK")))))))</f>
        <v/>
      </c>
    </row>
    <row r="737" customFormat="false" ht="15" hidden="false" customHeight="false" outlineLevel="0" collapsed="false">
      <c r="M737" s="24" t="str">
        <f aca="false">IF($C737="","",IFERROR(INDEX(Account_Mapping!$C:$C,MATCH($C737&amp;"",Account_Mapping!$A:$A,0))&amp;"",""))</f>
        <v/>
      </c>
      <c r="N737" s="24" t="str">
        <f aca="false">IF($K737&lt;&gt;"",$K737,$M737)</f>
        <v/>
      </c>
      <c r="O737" s="24" t="str">
        <f aca="false">IF($F737="","",IFERROR(INDEX(Counterparties!$C:$C,MATCH($F737&amp;"",Counterparties!$A:$A,0))&amp;"",""))</f>
        <v/>
      </c>
      <c r="P737" s="24" t="str">
        <f aca="false">IF($O737="","",IF($O737="CY","CY",IF(ISNUMBER(MATCH($O737,Lists!$A:$A,0)),"EU","3RD")))</f>
        <v/>
      </c>
      <c r="Q737" s="24" t="str">
        <f aca="false">IF($F737="","N",IFERROR(IF(INDEX(Counterparties!$E:$E,MATCH($F737&amp;"",Counterparties!$A:$A,0))="Y","Y","N"),"N"))</f>
        <v>N</v>
      </c>
      <c r="R737" s="25" t="n">
        <f aca="false">IF(OR($H737="",$H737="EUR"),1,IFERROR(INDEX(FX_Rates!$D:$D,MATCH($H737,FX_Rates!$A:$A,0)),""))</f>
        <v>1</v>
      </c>
      <c r="S737" s="26" t="str">
        <f aca="false">IF(AND($I737="",$J737=""),"",IF($J737&lt;&gt;"",$J737,IF(OR($R737="",$R737=0),"",ROUND($I737/$R737,2))))</f>
        <v/>
      </c>
      <c r="T737" s="24" t="str">
        <f aca="false">IF($N737="","",IFERROR(INDEX(VAT_Codes!$C:$C,MATCH($N737,VAT_Codes!$A:$A,0)),"")&amp;"")</f>
        <v/>
      </c>
      <c r="U737" s="26" t="n">
        <f aca="false">IF(OR($S737="",$T737="",$T737="None"),0,IF($T737="Output",-$S737,$S737))</f>
        <v>0</v>
      </c>
      <c r="V737" s="27" t="n">
        <f aca="false">IF($N737="",0,IFERROR(INDEX(VAT_Codes!$D:$D,MATCH($N737,VAT_Codes!$A:$A,0)),0))</f>
        <v>0</v>
      </c>
      <c r="W737" s="26" t="n">
        <f aca="false">IF($U737=0,0,IF(IFERROR(INDEX(VAT_Codes!$F:$F,MATCH($N737,VAT_Codes!$A:$A,0)),"N")="Y",$U737,IF($L737&lt;&gt;"",ROUND(ABS($L737)/IF(OR($R737="",$R737=0),1,$R737),2)*SIGN($U737),ROUND($U737*$V737,2))))</f>
        <v>0</v>
      </c>
      <c r="X737" s="24" t="str">
        <f aca="false">IF($N737="","",IFERROR(INDEX(VAT_Codes!$H:$H,MATCH($N737,VAT_Codes!$A:$A,0)),"")&amp;"")</f>
        <v/>
      </c>
      <c r="Y737" s="24" t="str">
        <f aca="false">IF($A737="","",(YEAR($A737)-YEAR(Settings!$C$8))*12+MONTH($A737)-MONTH(Settings!$C$8)+1)</f>
        <v/>
      </c>
      <c r="Z737" s="24" t="str">
        <f aca="false">IF(AND($C737="",$I737="",$J737=""),"",IF($N737="","NO VAT CODE",IF($T737="","UNKNOWN VAT CODE",IF($S737="","MISSING FX RATE",IF(OR($A737&lt;Settings!$C$8,$A737&gt;Settings!$C$9),"OUTSIDE PERIOD",IF(AND(IFERROR(INDEX(VAT_Codes!$E:$E,MATCH($N737,VAT_Codes!$A:$A,0)),"ANY")&lt;&gt;"ANY",$P737=""),"MISSING COUNTERPARTY COUNTRY",IF(AND(IFERROR(INDEX(VAT_Codes!$E:$E,MATCH($N737,VAT_Codes!$A:$A,0)),"ANY")&lt;&gt;"ANY",$P737&lt;&gt;IFERROR(INDEX(VAT_Codes!$E:$E,MATCH($N737,VAT_Codes!$A:$A,0)),"ANY")),"REGION MISMATCH","OK")))))))</f>
        <v/>
      </c>
    </row>
    <row r="738" customFormat="false" ht="15" hidden="false" customHeight="false" outlineLevel="0" collapsed="false">
      <c r="M738" s="24" t="str">
        <f aca="false">IF($C738="","",IFERROR(INDEX(Account_Mapping!$C:$C,MATCH($C738&amp;"",Account_Mapping!$A:$A,0))&amp;"",""))</f>
        <v/>
      </c>
      <c r="N738" s="24" t="str">
        <f aca="false">IF($K738&lt;&gt;"",$K738,$M738)</f>
        <v/>
      </c>
      <c r="O738" s="24" t="str">
        <f aca="false">IF($F738="","",IFERROR(INDEX(Counterparties!$C:$C,MATCH($F738&amp;"",Counterparties!$A:$A,0))&amp;"",""))</f>
        <v/>
      </c>
      <c r="P738" s="24" t="str">
        <f aca="false">IF($O738="","",IF($O738="CY","CY",IF(ISNUMBER(MATCH($O738,Lists!$A:$A,0)),"EU","3RD")))</f>
        <v/>
      </c>
      <c r="Q738" s="24" t="str">
        <f aca="false">IF($F738="","N",IFERROR(IF(INDEX(Counterparties!$E:$E,MATCH($F738&amp;"",Counterparties!$A:$A,0))="Y","Y","N"),"N"))</f>
        <v>N</v>
      </c>
      <c r="R738" s="25" t="n">
        <f aca="false">IF(OR($H738="",$H738="EUR"),1,IFERROR(INDEX(FX_Rates!$D:$D,MATCH($H738,FX_Rates!$A:$A,0)),""))</f>
        <v>1</v>
      </c>
      <c r="S738" s="26" t="str">
        <f aca="false">IF(AND($I738="",$J738=""),"",IF($J738&lt;&gt;"",$J738,IF(OR($R738="",$R738=0),"",ROUND($I738/$R738,2))))</f>
        <v/>
      </c>
      <c r="T738" s="24" t="str">
        <f aca="false">IF($N738="","",IFERROR(INDEX(VAT_Codes!$C:$C,MATCH($N738,VAT_Codes!$A:$A,0)),"")&amp;"")</f>
        <v/>
      </c>
      <c r="U738" s="26" t="n">
        <f aca="false">IF(OR($S738="",$T738="",$T738="None"),0,IF($T738="Output",-$S738,$S738))</f>
        <v>0</v>
      </c>
      <c r="V738" s="27" t="n">
        <f aca="false">IF($N738="",0,IFERROR(INDEX(VAT_Codes!$D:$D,MATCH($N738,VAT_Codes!$A:$A,0)),0))</f>
        <v>0</v>
      </c>
      <c r="W738" s="26" t="n">
        <f aca="false">IF($U738=0,0,IF(IFERROR(INDEX(VAT_Codes!$F:$F,MATCH($N738,VAT_Codes!$A:$A,0)),"N")="Y",$U738,IF($L738&lt;&gt;"",ROUND(ABS($L738)/IF(OR($R738="",$R738=0),1,$R738),2)*SIGN($U738),ROUND($U738*$V738,2))))</f>
        <v>0</v>
      </c>
      <c r="X738" s="24" t="str">
        <f aca="false">IF($N738="","",IFERROR(INDEX(VAT_Codes!$H:$H,MATCH($N738,VAT_Codes!$A:$A,0)),"")&amp;"")</f>
        <v/>
      </c>
      <c r="Y738" s="24" t="str">
        <f aca="false">IF($A738="","",(YEAR($A738)-YEAR(Settings!$C$8))*12+MONTH($A738)-MONTH(Settings!$C$8)+1)</f>
        <v/>
      </c>
      <c r="Z738" s="24" t="str">
        <f aca="false">IF(AND($C738="",$I738="",$J738=""),"",IF($N738="","NO VAT CODE",IF($T738="","UNKNOWN VAT CODE",IF($S738="","MISSING FX RATE",IF(OR($A738&lt;Settings!$C$8,$A738&gt;Settings!$C$9),"OUTSIDE PERIOD",IF(AND(IFERROR(INDEX(VAT_Codes!$E:$E,MATCH($N738,VAT_Codes!$A:$A,0)),"ANY")&lt;&gt;"ANY",$P738=""),"MISSING COUNTERPARTY COUNTRY",IF(AND(IFERROR(INDEX(VAT_Codes!$E:$E,MATCH($N738,VAT_Codes!$A:$A,0)),"ANY")&lt;&gt;"ANY",$P738&lt;&gt;IFERROR(INDEX(VAT_Codes!$E:$E,MATCH($N738,VAT_Codes!$A:$A,0)),"ANY")),"REGION MISMATCH","OK")))))))</f>
        <v/>
      </c>
    </row>
    <row r="739" customFormat="false" ht="15" hidden="false" customHeight="false" outlineLevel="0" collapsed="false">
      <c r="M739" s="24" t="str">
        <f aca="false">IF($C739="","",IFERROR(INDEX(Account_Mapping!$C:$C,MATCH($C739&amp;"",Account_Mapping!$A:$A,0))&amp;"",""))</f>
        <v/>
      </c>
      <c r="N739" s="24" t="str">
        <f aca="false">IF($K739&lt;&gt;"",$K739,$M739)</f>
        <v/>
      </c>
      <c r="O739" s="24" t="str">
        <f aca="false">IF($F739="","",IFERROR(INDEX(Counterparties!$C:$C,MATCH($F739&amp;"",Counterparties!$A:$A,0))&amp;"",""))</f>
        <v/>
      </c>
      <c r="P739" s="24" t="str">
        <f aca="false">IF($O739="","",IF($O739="CY","CY",IF(ISNUMBER(MATCH($O739,Lists!$A:$A,0)),"EU","3RD")))</f>
        <v/>
      </c>
      <c r="Q739" s="24" t="str">
        <f aca="false">IF($F739="","N",IFERROR(IF(INDEX(Counterparties!$E:$E,MATCH($F739&amp;"",Counterparties!$A:$A,0))="Y","Y","N"),"N"))</f>
        <v>N</v>
      </c>
      <c r="R739" s="25" t="n">
        <f aca="false">IF(OR($H739="",$H739="EUR"),1,IFERROR(INDEX(FX_Rates!$D:$D,MATCH($H739,FX_Rates!$A:$A,0)),""))</f>
        <v>1</v>
      </c>
      <c r="S739" s="26" t="str">
        <f aca="false">IF(AND($I739="",$J739=""),"",IF($J739&lt;&gt;"",$J739,IF(OR($R739="",$R739=0),"",ROUND($I739/$R739,2))))</f>
        <v/>
      </c>
      <c r="T739" s="24" t="str">
        <f aca="false">IF($N739="","",IFERROR(INDEX(VAT_Codes!$C:$C,MATCH($N739,VAT_Codes!$A:$A,0)),"")&amp;"")</f>
        <v/>
      </c>
      <c r="U739" s="26" t="n">
        <f aca="false">IF(OR($S739="",$T739="",$T739="None"),0,IF($T739="Output",-$S739,$S739))</f>
        <v>0</v>
      </c>
      <c r="V739" s="27" t="n">
        <f aca="false">IF($N739="",0,IFERROR(INDEX(VAT_Codes!$D:$D,MATCH($N739,VAT_Codes!$A:$A,0)),0))</f>
        <v>0</v>
      </c>
      <c r="W739" s="26" t="n">
        <f aca="false">IF($U739=0,0,IF(IFERROR(INDEX(VAT_Codes!$F:$F,MATCH($N739,VAT_Codes!$A:$A,0)),"N")="Y",$U739,IF($L739&lt;&gt;"",ROUND(ABS($L739)/IF(OR($R739="",$R739=0),1,$R739),2)*SIGN($U739),ROUND($U739*$V739,2))))</f>
        <v>0</v>
      </c>
      <c r="X739" s="24" t="str">
        <f aca="false">IF($N739="","",IFERROR(INDEX(VAT_Codes!$H:$H,MATCH($N739,VAT_Codes!$A:$A,0)),"")&amp;"")</f>
        <v/>
      </c>
      <c r="Y739" s="24" t="str">
        <f aca="false">IF($A739="","",(YEAR($A739)-YEAR(Settings!$C$8))*12+MONTH($A739)-MONTH(Settings!$C$8)+1)</f>
        <v/>
      </c>
      <c r="Z739" s="24" t="str">
        <f aca="false">IF(AND($C739="",$I739="",$J739=""),"",IF($N739="","NO VAT CODE",IF($T739="","UNKNOWN VAT CODE",IF($S739="","MISSING FX RATE",IF(OR($A739&lt;Settings!$C$8,$A739&gt;Settings!$C$9),"OUTSIDE PERIOD",IF(AND(IFERROR(INDEX(VAT_Codes!$E:$E,MATCH($N739,VAT_Codes!$A:$A,0)),"ANY")&lt;&gt;"ANY",$P739=""),"MISSING COUNTERPARTY COUNTRY",IF(AND(IFERROR(INDEX(VAT_Codes!$E:$E,MATCH($N739,VAT_Codes!$A:$A,0)),"ANY")&lt;&gt;"ANY",$P739&lt;&gt;IFERROR(INDEX(VAT_Codes!$E:$E,MATCH($N739,VAT_Codes!$A:$A,0)),"ANY")),"REGION MISMATCH","OK")))))))</f>
        <v/>
      </c>
    </row>
    <row r="740" customFormat="false" ht="15" hidden="false" customHeight="false" outlineLevel="0" collapsed="false">
      <c r="M740" s="24" t="str">
        <f aca="false">IF($C740="","",IFERROR(INDEX(Account_Mapping!$C:$C,MATCH($C740&amp;"",Account_Mapping!$A:$A,0))&amp;"",""))</f>
        <v/>
      </c>
      <c r="N740" s="24" t="str">
        <f aca="false">IF($K740&lt;&gt;"",$K740,$M740)</f>
        <v/>
      </c>
      <c r="O740" s="24" t="str">
        <f aca="false">IF($F740="","",IFERROR(INDEX(Counterparties!$C:$C,MATCH($F740&amp;"",Counterparties!$A:$A,0))&amp;"",""))</f>
        <v/>
      </c>
      <c r="P740" s="24" t="str">
        <f aca="false">IF($O740="","",IF($O740="CY","CY",IF(ISNUMBER(MATCH($O740,Lists!$A:$A,0)),"EU","3RD")))</f>
        <v/>
      </c>
      <c r="Q740" s="24" t="str">
        <f aca="false">IF($F740="","N",IFERROR(IF(INDEX(Counterparties!$E:$E,MATCH($F740&amp;"",Counterparties!$A:$A,0))="Y","Y","N"),"N"))</f>
        <v>N</v>
      </c>
      <c r="R740" s="25" t="n">
        <f aca="false">IF(OR($H740="",$H740="EUR"),1,IFERROR(INDEX(FX_Rates!$D:$D,MATCH($H740,FX_Rates!$A:$A,0)),""))</f>
        <v>1</v>
      </c>
      <c r="S740" s="26" t="str">
        <f aca="false">IF(AND($I740="",$J740=""),"",IF($J740&lt;&gt;"",$J740,IF(OR($R740="",$R740=0),"",ROUND($I740/$R740,2))))</f>
        <v/>
      </c>
      <c r="T740" s="24" t="str">
        <f aca="false">IF($N740="","",IFERROR(INDEX(VAT_Codes!$C:$C,MATCH($N740,VAT_Codes!$A:$A,0)),"")&amp;"")</f>
        <v/>
      </c>
      <c r="U740" s="26" t="n">
        <f aca="false">IF(OR($S740="",$T740="",$T740="None"),0,IF($T740="Output",-$S740,$S740))</f>
        <v>0</v>
      </c>
      <c r="V740" s="27" t="n">
        <f aca="false">IF($N740="",0,IFERROR(INDEX(VAT_Codes!$D:$D,MATCH($N740,VAT_Codes!$A:$A,0)),0))</f>
        <v>0</v>
      </c>
      <c r="W740" s="26" t="n">
        <f aca="false">IF($U740=0,0,IF(IFERROR(INDEX(VAT_Codes!$F:$F,MATCH($N740,VAT_Codes!$A:$A,0)),"N")="Y",$U740,IF($L740&lt;&gt;"",ROUND(ABS($L740)/IF(OR($R740="",$R740=0),1,$R740),2)*SIGN($U740),ROUND($U740*$V740,2))))</f>
        <v>0</v>
      </c>
      <c r="X740" s="24" t="str">
        <f aca="false">IF($N740="","",IFERROR(INDEX(VAT_Codes!$H:$H,MATCH($N740,VAT_Codes!$A:$A,0)),"")&amp;"")</f>
        <v/>
      </c>
      <c r="Y740" s="24" t="str">
        <f aca="false">IF($A740="","",(YEAR($A740)-YEAR(Settings!$C$8))*12+MONTH($A740)-MONTH(Settings!$C$8)+1)</f>
        <v/>
      </c>
      <c r="Z740" s="24" t="str">
        <f aca="false">IF(AND($C740="",$I740="",$J740=""),"",IF($N740="","NO VAT CODE",IF($T740="","UNKNOWN VAT CODE",IF($S740="","MISSING FX RATE",IF(OR($A740&lt;Settings!$C$8,$A740&gt;Settings!$C$9),"OUTSIDE PERIOD",IF(AND(IFERROR(INDEX(VAT_Codes!$E:$E,MATCH($N740,VAT_Codes!$A:$A,0)),"ANY")&lt;&gt;"ANY",$P740=""),"MISSING COUNTERPARTY COUNTRY",IF(AND(IFERROR(INDEX(VAT_Codes!$E:$E,MATCH($N740,VAT_Codes!$A:$A,0)),"ANY")&lt;&gt;"ANY",$P740&lt;&gt;IFERROR(INDEX(VAT_Codes!$E:$E,MATCH($N740,VAT_Codes!$A:$A,0)),"ANY")),"REGION MISMATCH","OK")))))))</f>
        <v/>
      </c>
    </row>
    <row r="741" customFormat="false" ht="15" hidden="false" customHeight="false" outlineLevel="0" collapsed="false">
      <c r="M741" s="24" t="str">
        <f aca="false">IF($C741="","",IFERROR(INDEX(Account_Mapping!$C:$C,MATCH($C741&amp;"",Account_Mapping!$A:$A,0))&amp;"",""))</f>
        <v/>
      </c>
      <c r="N741" s="24" t="str">
        <f aca="false">IF($K741&lt;&gt;"",$K741,$M741)</f>
        <v/>
      </c>
      <c r="O741" s="24" t="str">
        <f aca="false">IF($F741="","",IFERROR(INDEX(Counterparties!$C:$C,MATCH($F741&amp;"",Counterparties!$A:$A,0))&amp;"",""))</f>
        <v/>
      </c>
      <c r="P741" s="24" t="str">
        <f aca="false">IF($O741="","",IF($O741="CY","CY",IF(ISNUMBER(MATCH($O741,Lists!$A:$A,0)),"EU","3RD")))</f>
        <v/>
      </c>
      <c r="Q741" s="24" t="str">
        <f aca="false">IF($F741="","N",IFERROR(IF(INDEX(Counterparties!$E:$E,MATCH($F741&amp;"",Counterparties!$A:$A,0))="Y","Y","N"),"N"))</f>
        <v>N</v>
      </c>
      <c r="R741" s="25" t="n">
        <f aca="false">IF(OR($H741="",$H741="EUR"),1,IFERROR(INDEX(FX_Rates!$D:$D,MATCH($H741,FX_Rates!$A:$A,0)),""))</f>
        <v>1</v>
      </c>
      <c r="S741" s="26" t="str">
        <f aca="false">IF(AND($I741="",$J741=""),"",IF($J741&lt;&gt;"",$J741,IF(OR($R741="",$R741=0),"",ROUND($I741/$R741,2))))</f>
        <v/>
      </c>
      <c r="T741" s="24" t="str">
        <f aca="false">IF($N741="","",IFERROR(INDEX(VAT_Codes!$C:$C,MATCH($N741,VAT_Codes!$A:$A,0)),"")&amp;"")</f>
        <v/>
      </c>
      <c r="U741" s="26" t="n">
        <f aca="false">IF(OR($S741="",$T741="",$T741="None"),0,IF($T741="Output",-$S741,$S741))</f>
        <v>0</v>
      </c>
      <c r="V741" s="27" t="n">
        <f aca="false">IF($N741="",0,IFERROR(INDEX(VAT_Codes!$D:$D,MATCH($N741,VAT_Codes!$A:$A,0)),0))</f>
        <v>0</v>
      </c>
      <c r="W741" s="26" t="n">
        <f aca="false">IF($U741=0,0,IF(IFERROR(INDEX(VAT_Codes!$F:$F,MATCH($N741,VAT_Codes!$A:$A,0)),"N")="Y",$U741,IF($L741&lt;&gt;"",ROUND(ABS($L741)/IF(OR($R741="",$R741=0),1,$R741),2)*SIGN($U741),ROUND($U741*$V741,2))))</f>
        <v>0</v>
      </c>
      <c r="X741" s="24" t="str">
        <f aca="false">IF($N741="","",IFERROR(INDEX(VAT_Codes!$H:$H,MATCH($N741,VAT_Codes!$A:$A,0)),"")&amp;"")</f>
        <v/>
      </c>
      <c r="Y741" s="24" t="str">
        <f aca="false">IF($A741="","",(YEAR($A741)-YEAR(Settings!$C$8))*12+MONTH($A741)-MONTH(Settings!$C$8)+1)</f>
        <v/>
      </c>
      <c r="Z741" s="24" t="str">
        <f aca="false">IF(AND($C741="",$I741="",$J741=""),"",IF($N741="","NO VAT CODE",IF($T741="","UNKNOWN VAT CODE",IF($S741="","MISSING FX RATE",IF(OR($A741&lt;Settings!$C$8,$A741&gt;Settings!$C$9),"OUTSIDE PERIOD",IF(AND(IFERROR(INDEX(VAT_Codes!$E:$E,MATCH($N741,VAT_Codes!$A:$A,0)),"ANY")&lt;&gt;"ANY",$P741=""),"MISSING COUNTERPARTY COUNTRY",IF(AND(IFERROR(INDEX(VAT_Codes!$E:$E,MATCH($N741,VAT_Codes!$A:$A,0)),"ANY")&lt;&gt;"ANY",$P741&lt;&gt;IFERROR(INDEX(VAT_Codes!$E:$E,MATCH($N741,VAT_Codes!$A:$A,0)),"ANY")),"REGION MISMATCH","OK")))))))</f>
        <v/>
      </c>
    </row>
    <row r="742" customFormat="false" ht="15" hidden="false" customHeight="false" outlineLevel="0" collapsed="false">
      <c r="M742" s="24" t="str">
        <f aca="false">IF($C742="","",IFERROR(INDEX(Account_Mapping!$C:$C,MATCH($C742&amp;"",Account_Mapping!$A:$A,0))&amp;"",""))</f>
        <v/>
      </c>
      <c r="N742" s="24" t="str">
        <f aca="false">IF($K742&lt;&gt;"",$K742,$M742)</f>
        <v/>
      </c>
      <c r="O742" s="24" t="str">
        <f aca="false">IF($F742="","",IFERROR(INDEX(Counterparties!$C:$C,MATCH($F742&amp;"",Counterparties!$A:$A,0))&amp;"",""))</f>
        <v/>
      </c>
      <c r="P742" s="24" t="str">
        <f aca="false">IF($O742="","",IF($O742="CY","CY",IF(ISNUMBER(MATCH($O742,Lists!$A:$A,0)),"EU","3RD")))</f>
        <v/>
      </c>
      <c r="Q742" s="24" t="str">
        <f aca="false">IF($F742="","N",IFERROR(IF(INDEX(Counterparties!$E:$E,MATCH($F742&amp;"",Counterparties!$A:$A,0))="Y","Y","N"),"N"))</f>
        <v>N</v>
      </c>
      <c r="R742" s="25" t="n">
        <f aca="false">IF(OR($H742="",$H742="EUR"),1,IFERROR(INDEX(FX_Rates!$D:$D,MATCH($H742,FX_Rates!$A:$A,0)),""))</f>
        <v>1</v>
      </c>
      <c r="S742" s="26" t="str">
        <f aca="false">IF(AND($I742="",$J742=""),"",IF($J742&lt;&gt;"",$J742,IF(OR($R742="",$R742=0),"",ROUND($I742/$R742,2))))</f>
        <v/>
      </c>
      <c r="T742" s="24" t="str">
        <f aca="false">IF($N742="","",IFERROR(INDEX(VAT_Codes!$C:$C,MATCH($N742,VAT_Codes!$A:$A,0)),"")&amp;"")</f>
        <v/>
      </c>
      <c r="U742" s="26" t="n">
        <f aca="false">IF(OR($S742="",$T742="",$T742="None"),0,IF($T742="Output",-$S742,$S742))</f>
        <v>0</v>
      </c>
      <c r="V742" s="27" t="n">
        <f aca="false">IF($N742="",0,IFERROR(INDEX(VAT_Codes!$D:$D,MATCH($N742,VAT_Codes!$A:$A,0)),0))</f>
        <v>0</v>
      </c>
      <c r="W742" s="26" t="n">
        <f aca="false">IF($U742=0,0,IF(IFERROR(INDEX(VAT_Codes!$F:$F,MATCH($N742,VAT_Codes!$A:$A,0)),"N")="Y",$U742,IF($L742&lt;&gt;"",ROUND(ABS($L742)/IF(OR($R742="",$R742=0),1,$R742),2)*SIGN($U742),ROUND($U742*$V742,2))))</f>
        <v>0</v>
      </c>
      <c r="X742" s="24" t="str">
        <f aca="false">IF($N742="","",IFERROR(INDEX(VAT_Codes!$H:$H,MATCH($N742,VAT_Codes!$A:$A,0)),"")&amp;"")</f>
        <v/>
      </c>
      <c r="Y742" s="24" t="str">
        <f aca="false">IF($A742="","",(YEAR($A742)-YEAR(Settings!$C$8))*12+MONTH($A742)-MONTH(Settings!$C$8)+1)</f>
        <v/>
      </c>
      <c r="Z742" s="24" t="str">
        <f aca="false">IF(AND($C742="",$I742="",$J742=""),"",IF($N742="","NO VAT CODE",IF($T742="","UNKNOWN VAT CODE",IF($S742="","MISSING FX RATE",IF(OR($A742&lt;Settings!$C$8,$A742&gt;Settings!$C$9),"OUTSIDE PERIOD",IF(AND(IFERROR(INDEX(VAT_Codes!$E:$E,MATCH($N742,VAT_Codes!$A:$A,0)),"ANY")&lt;&gt;"ANY",$P742=""),"MISSING COUNTERPARTY COUNTRY",IF(AND(IFERROR(INDEX(VAT_Codes!$E:$E,MATCH($N742,VAT_Codes!$A:$A,0)),"ANY")&lt;&gt;"ANY",$P742&lt;&gt;IFERROR(INDEX(VAT_Codes!$E:$E,MATCH($N742,VAT_Codes!$A:$A,0)),"ANY")),"REGION MISMATCH","OK")))))))</f>
        <v/>
      </c>
    </row>
    <row r="743" customFormat="false" ht="15" hidden="false" customHeight="false" outlineLevel="0" collapsed="false">
      <c r="M743" s="24" t="str">
        <f aca="false">IF($C743="","",IFERROR(INDEX(Account_Mapping!$C:$C,MATCH($C743&amp;"",Account_Mapping!$A:$A,0))&amp;"",""))</f>
        <v/>
      </c>
      <c r="N743" s="24" t="str">
        <f aca="false">IF($K743&lt;&gt;"",$K743,$M743)</f>
        <v/>
      </c>
      <c r="O743" s="24" t="str">
        <f aca="false">IF($F743="","",IFERROR(INDEX(Counterparties!$C:$C,MATCH($F743&amp;"",Counterparties!$A:$A,0))&amp;"",""))</f>
        <v/>
      </c>
      <c r="P743" s="24" t="str">
        <f aca="false">IF($O743="","",IF($O743="CY","CY",IF(ISNUMBER(MATCH($O743,Lists!$A:$A,0)),"EU","3RD")))</f>
        <v/>
      </c>
      <c r="Q743" s="24" t="str">
        <f aca="false">IF($F743="","N",IFERROR(IF(INDEX(Counterparties!$E:$E,MATCH($F743&amp;"",Counterparties!$A:$A,0))="Y","Y","N"),"N"))</f>
        <v>N</v>
      </c>
      <c r="R743" s="25" t="n">
        <f aca="false">IF(OR($H743="",$H743="EUR"),1,IFERROR(INDEX(FX_Rates!$D:$D,MATCH($H743,FX_Rates!$A:$A,0)),""))</f>
        <v>1</v>
      </c>
      <c r="S743" s="26" t="str">
        <f aca="false">IF(AND($I743="",$J743=""),"",IF($J743&lt;&gt;"",$J743,IF(OR($R743="",$R743=0),"",ROUND($I743/$R743,2))))</f>
        <v/>
      </c>
      <c r="T743" s="24" t="str">
        <f aca="false">IF($N743="","",IFERROR(INDEX(VAT_Codes!$C:$C,MATCH($N743,VAT_Codes!$A:$A,0)),"")&amp;"")</f>
        <v/>
      </c>
      <c r="U743" s="26" t="n">
        <f aca="false">IF(OR($S743="",$T743="",$T743="None"),0,IF($T743="Output",-$S743,$S743))</f>
        <v>0</v>
      </c>
      <c r="V743" s="27" t="n">
        <f aca="false">IF($N743="",0,IFERROR(INDEX(VAT_Codes!$D:$D,MATCH($N743,VAT_Codes!$A:$A,0)),0))</f>
        <v>0</v>
      </c>
      <c r="W743" s="26" t="n">
        <f aca="false">IF($U743=0,0,IF(IFERROR(INDEX(VAT_Codes!$F:$F,MATCH($N743,VAT_Codes!$A:$A,0)),"N")="Y",$U743,IF($L743&lt;&gt;"",ROUND(ABS($L743)/IF(OR($R743="",$R743=0),1,$R743),2)*SIGN($U743),ROUND($U743*$V743,2))))</f>
        <v>0</v>
      </c>
      <c r="X743" s="24" t="str">
        <f aca="false">IF($N743="","",IFERROR(INDEX(VAT_Codes!$H:$H,MATCH($N743,VAT_Codes!$A:$A,0)),"")&amp;"")</f>
        <v/>
      </c>
      <c r="Y743" s="24" t="str">
        <f aca="false">IF($A743="","",(YEAR($A743)-YEAR(Settings!$C$8))*12+MONTH($A743)-MONTH(Settings!$C$8)+1)</f>
        <v/>
      </c>
      <c r="Z743" s="24" t="str">
        <f aca="false">IF(AND($C743="",$I743="",$J743=""),"",IF($N743="","NO VAT CODE",IF($T743="","UNKNOWN VAT CODE",IF($S743="","MISSING FX RATE",IF(OR($A743&lt;Settings!$C$8,$A743&gt;Settings!$C$9),"OUTSIDE PERIOD",IF(AND(IFERROR(INDEX(VAT_Codes!$E:$E,MATCH($N743,VAT_Codes!$A:$A,0)),"ANY")&lt;&gt;"ANY",$P743=""),"MISSING COUNTERPARTY COUNTRY",IF(AND(IFERROR(INDEX(VAT_Codes!$E:$E,MATCH($N743,VAT_Codes!$A:$A,0)),"ANY")&lt;&gt;"ANY",$P743&lt;&gt;IFERROR(INDEX(VAT_Codes!$E:$E,MATCH($N743,VAT_Codes!$A:$A,0)),"ANY")),"REGION MISMATCH","OK")))))))</f>
        <v/>
      </c>
    </row>
    <row r="744" customFormat="false" ht="15" hidden="false" customHeight="false" outlineLevel="0" collapsed="false">
      <c r="M744" s="24" t="str">
        <f aca="false">IF($C744="","",IFERROR(INDEX(Account_Mapping!$C:$C,MATCH($C744&amp;"",Account_Mapping!$A:$A,0))&amp;"",""))</f>
        <v/>
      </c>
      <c r="N744" s="24" t="str">
        <f aca="false">IF($K744&lt;&gt;"",$K744,$M744)</f>
        <v/>
      </c>
      <c r="O744" s="24" t="str">
        <f aca="false">IF($F744="","",IFERROR(INDEX(Counterparties!$C:$C,MATCH($F744&amp;"",Counterparties!$A:$A,0))&amp;"",""))</f>
        <v/>
      </c>
      <c r="P744" s="24" t="str">
        <f aca="false">IF($O744="","",IF($O744="CY","CY",IF(ISNUMBER(MATCH($O744,Lists!$A:$A,0)),"EU","3RD")))</f>
        <v/>
      </c>
      <c r="Q744" s="24" t="str">
        <f aca="false">IF($F744="","N",IFERROR(IF(INDEX(Counterparties!$E:$E,MATCH($F744&amp;"",Counterparties!$A:$A,0))="Y","Y","N"),"N"))</f>
        <v>N</v>
      </c>
      <c r="R744" s="25" t="n">
        <f aca="false">IF(OR($H744="",$H744="EUR"),1,IFERROR(INDEX(FX_Rates!$D:$D,MATCH($H744,FX_Rates!$A:$A,0)),""))</f>
        <v>1</v>
      </c>
      <c r="S744" s="26" t="str">
        <f aca="false">IF(AND($I744="",$J744=""),"",IF($J744&lt;&gt;"",$J744,IF(OR($R744="",$R744=0),"",ROUND($I744/$R744,2))))</f>
        <v/>
      </c>
      <c r="T744" s="24" t="str">
        <f aca="false">IF($N744="","",IFERROR(INDEX(VAT_Codes!$C:$C,MATCH($N744,VAT_Codes!$A:$A,0)),"")&amp;"")</f>
        <v/>
      </c>
      <c r="U744" s="26" t="n">
        <f aca="false">IF(OR($S744="",$T744="",$T744="None"),0,IF($T744="Output",-$S744,$S744))</f>
        <v>0</v>
      </c>
      <c r="V744" s="27" t="n">
        <f aca="false">IF($N744="",0,IFERROR(INDEX(VAT_Codes!$D:$D,MATCH($N744,VAT_Codes!$A:$A,0)),0))</f>
        <v>0</v>
      </c>
      <c r="W744" s="26" t="n">
        <f aca="false">IF($U744=0,0,IF(IFERROR(INDEX(VAT_Codes!$F:$F,MATCH($N744,VAT_Codes!$A:$A,0)),"N")="Y",$U744,IF($L744&lt;&gt;"",ROUND(ABS($L744)/IF(OR($R744="",$R744=0),1,$R744),2)*SIGN($U744),ROUND($U744*$V744,2))))</f>
        <v>0</v>
      </c>
      <c r="X744" s="24" t="str">
        <f aca="false">IF($N744="","",IFERROR(INDEX(VAT_Codes!$H:$H,MATCH($N744,VAT_Codes!$A:$A,0)),"")&amp;"")</f>
        <v/>
      </c>
      <c r="Y744" s="24" t="str">
        <f aca="false">IF($A744="","",(YEAR($A744)-YEAR(Settings!$C$8))*12+MONTH($A744)-MONTH(Settings!$C$8)+1)</f>
        <v/>
      </c>
      <c r="Z744" s="24" t="str">
        <f aca="false">IF(AND($C744="",$I744="",$J744=""),"",IF($N744="","NO VAT CODE",IF($T744="","UNKNOWN VAT CODE",IF($S744="","MISSING FX RATE",IF(OR($A744&lt;Settings!$C$8,$A744&gt;Settings!$C$9),"OUTSIDE PERIOD",IF(AND(IFERROR(INDEX(VAT_Codes!$E:$E,MATCH($N744,VAT_Codes!$A:$A,0)),"ANY")&lt;&gt;"ANY",$P744=""),"MISSING COUNTERPARTY COUNTRY",IF(AND(IFERROR(INDEX(VAT_Codes!$E:$E,MATCH($N744,VAT_Codes!$A:$A,0)),"ANY")&lt;&gt;"ANY",$P744&lt;&gt;IFERROR(INDEX(VAT_Codes!$E:$E,MATCH($N744,VAT_Codes!$A:$A,0)),"ANY")),"REGION MISMATCH","OK")))))))</f>
        <v/>
      </c>
    </row>
    <row r="745" customFormat="false" ht="15" hidden="false" customHeight="false" outlineLevel="0" collapsed="false">
      <c r="M745" s="24" t="str">
        <f aca="false">IF($C745="","",IFERROR(INDEX(Account_Mapping!$C:$C,MATCH($C745&amp;"",Account_Mapping!$A:$A,0))&amp;"",""))</f>
        <v/>
      </c>
      <c r="N745" s="24" t="str">
        <f aca="false">IF($K745&lt;&gt;"",$K745,$M745)</f>
        <v/>
      </c>
      <c r="O745" s="24" t="str">
        <f aca="false">IF($F745="","",IFERROR(INDEX(Counterparties!$C:$C,MATCH($F745&amp;"",Counterparties!$A:$A,0))&amp;"",""))</f>
        <v/>
      </c>
      <c r="P745" s="24" t="str">
        <f aca="false">IF($O745="","",IF($O745="CY","CY",IF(ISNUMBER(MATCH($O745,Lists!$A:$A,0)),"EU","3RD")))</f>
        <v/>
      </c>
      <c r="Q745" s="24" t="str">
        <f aca="false">IF($F745="","N",IFERROR(IF(INDEX(Counterparties!$E:$E,MATCH($F745&amp;"",Counterparties!$A:$A,0))="Y","Y","N"),"N"))</f>
        <v>N</v>
      </c>
      <c r="R745" s="25" t="n">
        <f aca="false">IF(OR($H745="",$H745="EUR"),1,IFERROR(INDEX(FX_Rates!$D:$D,MATCH($H745,FX_Rates!$A:$A,0)),""))</f>
        <v>1</v>
      </c>
      <c r="S745" s="26" t="str">
        <f aca="false">IF(AND($I745="",$J745=""),"",IF($J745&lt;&gt;"",$J745,IF(OR($R745="",$R745=0),"",ROUND($I745/$R745,2))))</f>
        <v/>
      </c>
      <c r="T745" s="24" t="str">
        <f aca="false">IF($N745="","",IFERROR(INDEX(VAT_Codes!$C:$C,MATCH($N745,VAT_Codes!$A:$A,0)),"")&amp;"")</f>
        <v/>
      </c>
      <c r="U745" s="26" t="n">
        <f aca="false">IF(OR($S745="",$T745="",$T745="None"),0,IF($T745="Output",-$S745,$S745))</f>
        <v>0</v>
      </c>
      <c r="V745" s="27" t="n">
        <f aca="false">IF($N745="",0,IFERROR(INDEX(VAT_Codes!$D:$D,MATCH($N745,VAT_Codes!$A:$A,0)),0))</f>
        <v>0</v>
      </c>
      <c r="W745" s="26" t="n">
        <f aca="false">IF($U745=0,0,IF(IFERROR(INDEX(VAT_Codes!$F:$F,MATCH($N745,VAT_Codes!$A:$A,0)),"N")="Y",$U745,IF($L745&lt;&gt;"",ROUND(ABS($L745)/IF(OR($R745="",$R745=0),1,$R745),2)*SIGN($U745),ROUND($U745*$V745,2))))</f>
        <v>0</v>
      </c>
      <c r="X745" s="24" t="str">
        <f aca="false">IF($N745="","",IFERROR(INDEX(VAT_Codes!$H:$H,MATCH($N745,VAT_Codes!$A:$A,0)),"")&amp;"")</f>
        <v/>
      </c>
      <c r="Y745" s="24" t="str">
        <f aca="false">IF($A745="","",(YEAR($A745)-YEAR(Settings!$C$8))*12+MONTH($A745)-MONTH(Settings!$C$8)+1)</f>
        <v/>
      </c>
      <c r="Z745" s="24" t="str">
        <f aca="false">IF(AND($C745="",$I745="",$J745=""),"",IF($N745="","NO VAT CODE",IF($T745="","UNKNOWN VAT CODE",IF($S745="","MISSING FX RATE",IF(OR($A745&lt;Settings!$C$8,$A745&gt;Settings!$C$9),"OUTSIDE PERIOD",IF(AND(IFERROR(INDEX(VAT_Codes!$E:$E,MATCH($N745,VAT_Codes!$A:$A,0)),"ANY")&lt;&gt;"ANY",$P745=""),"MISSING COUNTERPARTY COUNTRY",IF(AND(IFERROR(INDEX(VAT_Codes!$E:$E,MATCH($N745,VAT_Codes!$A:$A,0)),"ANY")&lt;&gt;"ANY",$P745&lt;&gt;IFERROR(INDEX(VAT_Codes!$E:$E,MATCH($N745,VAT_Codes!$A:$A,0)),"ANY")),"REGION MISMATCH","OK")))))))</f>
        <v/>
      </c>
    </row>
    <row r="746" customFormat="false" ht="15" hidden="false" customHeight="false" outlineLevel="0" collapsed="false">
      <c r="M746" s="24" t="str">
        <f aca="false">IF($C746="","",IFERROR(INDEX(Account_Mapping!$C:$C,MATCH($C746&amp;"",Account_Mapping!$A:$A,0))&amp;"",""))</f>
        <v/>
      </c>
      <c r="N746" s="24" t="str">
        <f aca="false">IF($K746&lt;&gt;"",$K746,$M746)</f>
        <v/>
      </c>
      <c r="O746" s="24" t="str">
        <f aca="false">IF($F746="","",IFERROR(INDEX(Counterparties!$C:$C,MATCH($F746&amp;"",Counterparties!$A:$A,0))&amp;"",""))</f>
        <v/>
      </c>
      <c r="P746" s="24" t="str">
        <f aca="false">IF($O746="","",IF($O746="CY","CY",IF(ISNUMBER(MATCH($O746,Lists!$A:$A,0)),"EU","3RD")))</f>
        <v/>
      </c>
      <c r="Q746" s="24" t="str">
        <f aca="false">IF($F746="","N",IFERROR(IF(INDEX(Counterparties!$E:$E,MATCH($F746&amp;"",Counterparties!$A:$A,0))="Y","Y","N"),"N"))</f>
        <v>N</v>
      </c>
      <c r="R746" s="25" t="n">
        <f aca="false">IF(OR($H746="",$H746="EUR"),1,IFERROR(INDEX(FX_Rates!$D:$D,MATCH($H746,FX_Rates!$A:$A,0)),""))</f>
        <v>1</v>
      </c>
      <c r="S746" s="26" t="str">
        <f aca="false">IF(AND($I746="",$J746=""),"",IF($J746&lt;&gt;"",$J746,IF(OR($R746="",$R746=0),"",ROUND($I746/$R746,2))))</f>
        <v/>
      </c>
      <c r="T746" s="24" t="str">
        <f aca="false">IF($N746="","",IFERROR(INDEX(VAT_Codes!$C:$C,MATCH($N746,VAT_Codes!$A:$A,0)),"")&amp;"")</f>
        <v/>
      </c>
      <c r="U746" s="26" t="n">
        <f aca="false">IF(OR($S746="",$T746="",$T746="None"),0,IF($T746="Output",-$S746,$S746))</f>
        <v>0</v>
      </c>
      <c r="V746" s="27" t="n">
        <f aca="false">IF($N746="",0,IFERROR(INDEX(VAT_Codes!$D:$D,MATCH($N746,VAT_Codes!$A:$A,0)),0))</f>
        <v>0</v>
      </c>
      <c r="W746" s="26" t="n">
        <f aca="false">IF($U746=0,0,IF(IFERROR(INDEX(VAT_Codes!$F:$F,MATCH($N746,VAT_Codes!$A:$A,0)),"N")="Y",$U746,IF($L746&lt;&gt;"",ROUND(ABS($L746)/IF(OR($R746="",$R746=0),1,$R746),2)*SIGN($U746),ROUND($U746*$V746,2))))</f>
        <v>0</v>
      </c>
      <c r="X746" s="24" t="str">
        <f aca="false">IF($N746="","",IFERROR(INDEX(VAT_Codes!$H:$H,MATCH($N746,VAT_Codes!$A:$A,0)),"")&amp;"")</f>
        <v/>
      </c>
      <c r="Y746" s="24" t="str">
        <f aca="false">IF($A746="","",(YEAR($A746)-YEAR(Settings!$C$8))*12+MONTH($A746)-MONTH(Settings!$C$8)+1)</f>
        <v/>
      </c>
      <c r="Z746" s="24" t="str">
        <f aca="false">IF(AND($C746="",$I746="",$J746=""),"",IF($N746="","NO VAT CODE",IF($T746="","UNKNOWN VAT CODE",IF($S746="","MISSING FX RATE",IF(OR($A746&lt;Settings!$C$8,$A746&gt;Settings!$C$9),"OUTSIDE PERIOD",IF(AND(IFERROR(INDEX(VAT_Codes!$E:$E,MATCH($N746,VAT_Codes!$A:$A,0)),"ANY")&lt;&gt;"ANY",$P746=""),"MISSING COUNTERPARTY COUNTRY",IF(AND(IFERROR(INDEX(VAT_Codes!$E:$E,MATCH($N746,VAT_Codes!$A:$A,0)),"ANY")&lt;&gt;"ANY",$P746&lt;&gt;IFERROR(INDEX(VAT_Codes!$E:$E,MATCH($N746,VAT_Codes!$A:$A,0)),"ANY")),"REGION MISMATCH","OK")))))))</f>
        <v/>
      </c>
    </row>
    <row r="747" customFormat="false" ht="15" hidden="false" customHeight="false" outlineLevel="0" collapsed="false">
      <c r="M747" s="24" t="str">
        <f aca="false">IF($C747="","",IFERROR(INDEX(Account_Mapping!$C:$C,MATCH($C747&amp;"",Account_Mapping!$A:$A,0))&amp;"",""))</f>
        <v/>
      </c>
      <c r="N747" s="24" t="str">
        <f aca="false">IF($K747&lt;&gt;"",$K747,$M747)</f>
        <v/>
      </c>
      <c r="O747" s="24" t="str">
        <f aca="false">IF($F747="","",IFERROR(INDEX(Counterparties!$C:$C,MATCH($F747&amp;"",Counterparties!$A:$A,0))&amp;"",""))</f>
        <v/>
      </c>
      <c r="P747" s="24" t="str">
        <f aca="false">IF($O747="","",IF($O747="CY","CY",IF(ISNUMBER(MATCH($O747,Lists!$A:$A,0)),"EU","3RD")))</f>
        <v/>
      </c>
      <c r="Q747" s="24" t="str">
        <f aca="false">IF($F747="","N",IFERROR(IF(INDEX(Counterparties!$E:$E,MATCH($F747&amp;"",Counterparties!$A:$A,0))="Y","Y","N"),"N"))</f>
        <v>N</v>
      </c>
      <c r="R747" s="25" t="n">
        <f aca="false">IF(OR($H747="",$H747="EUR"),1,IFERROR(INDEX(FX_Rates!$D:$D,MATCH($H747,FX_Rates!$A:$A,0)),""))</f>
        <v>1</v>
      </c>
      <c r="S747" s="26" t="str">
        <f aca="false">IF(AND($I747="",$J747=""),"",IF($J747&lt;&gt;"",$J747,IF(OR($R747="",$R747=0),"",ROUND($I747/$R747,2))))</f>
        <v/>
      </c>
      <c r="T747" s="24" t="str">
        <f aca="false">IF($N747="","",IFERROR(INDEX(VAT_Codes!$C:$C,MATCH($N747,VAT_Codes!$A:$A,0)),"")&amp;"")</f>
        <v/>
      </c>
      <c r="U747" s="26" t="n">
        <f aca="false">IF(OR($S747="",$T747="",$T747="None"),0,IF($T747="Output",-$S747,$S747))</f>
        <v>0</v>
      </c>
      <c r="V747" s="27" t="n">
        <f aca="false">IF($N747="",0,IFERROR(INDEX(VAT_Codes!$D:$D,MATCH($N747,VAT_Codes!$A:$A,0)),0))</f>
        <v>0</v>
      </c>
      <c r="W747" s="26" t="n">
        <f aca="false">IF($U747=0,0,IF(IFERROR(INDEX(VAT_Codes!$F:$F,MATCH($N747,VAT_Codes!$A:$A,0)),"N")="Y",$U747,IF($L747&lt;&gt;"",ROUND(ABS($L747)/IF(OR($R747="",$R747=0),1,$R747),2)*SIGN($U747),ROUND($U747*$V747,2))))</f>
        <v>0</v>
      </c>
      <c r="X747" s="24" t="str">
        <f aca="false">IF($N747="","",IFERROR(INDEX(VAT_Codes!$H:$H,MATCH($N747,VAT_Codes!$A:$A,0)),"")&amp;"")</f>
        <v/>
      </c>
      <c r="Y747" s="24" t="str">
        <f aca="false">IF($A747="","",(YEAR($A747)-YEAR(Settings!$C$8))*12+MONTH($A747)-MONTH(Settings!$C$8)+1)</f>
        <v/>
      </c>
      <c r="Z747" s="24" t="str">
        <f aca="false">IF(AND($C747="",$I747="",$J747=""),"",IF($N747="","NO VAT CODE",IF($T747="","UNKNOWN VAT CODE",IF($S747="","MISSING FX RATE",IF(OR($A747&lt;Settings!$C$8,$A747&gt;Settings!$C$9),"OUTSIDE PERIOD",IF(AND(IFERROR(INDEX(VAT_Codes!$E:$E,MATCH($N747,VAT_Codes!$A:$A,0)),"ANY")&lt;&gt;"ANY",$P747=""),"MISSING COUNTERPARTY COUNTRY",IF(AND(IFERROR(INDEX(VAT_Codes!$E:$E,MATCH($N747,VAT_Codes!$A:$A,0)),"ANY")&lt;&gt;"ANY",$P747&lt;&gt;IFERROR(INDEX(VAT_Codes!$E:$E,MATCH($N747,VAT_Codes!$A:$A,0)),"ANY")),"REGION MISMATCH","OK")))))))</f>
        <v/>
      </c>
    </row>
    <row r="748" customFormat="false" ht="15" hidden="false" customHeight="false" outlineLevel="0" collapsed="false">
      <c r="M748" s="24" t="str">
        <f aca="false">IF($C748="","",IFERROR(INDEX(Account_Mapping!$C:$C,MATCH($C748&amp;"",Account_Mapping!$A:$A,0))&amp;"",""))</f>
        <v/>
      </c>
      <c r="N748" s="24" t="str">
        <f aca="false">IF($K748&lt;&gt;"",$K748,$M748)</f>
        <v/>
      </c>
      <c r="O748" s="24" t="str">
        <f aca="false">IF($F748="","",IFERROR(INDEX(Counterparties!$C:$C,MATCH($F748&amp;"",Counterparties!$A:$A,0))&amp;"",""))</f>
        <v/>
      </c>
      <c r="P748" s="24" t="str">
        <f aca="false">IF($O748="","",IF($O748="CY","CY",IF(ISNUMBER(MATCH($O748,Lists!$A:$A,0)),"EU","3RD")))</f>
        <v/>
      </c>
      <c r="Q748" s="24" t="str">
        <f aca="false">IF($F748="","N",IFERROR(IF(INDEX(Counterparties!$E:$E,MATCH($F748&amp;"",Counterparties!$A:$A,0))="Y","Y","N"),"N"))</f>
        <v>N</v>
      </c>
      <c r="R748" s="25" t="n">
        <f aca="false">IF(OR($H748="",$H748="EUR"),1,IFERROR(INDEX(FX_Rates!$D:$D,MATCH($H748,FX_Rates!$A:$A,0)),""))</f>
        <v>1</v>
      </c>
      <c r="S748" s="26" t="str">
        <f aca="false">IF(AND($I748="",$J748=""),"",IF($J748&lt;&gt;"",$J748,IF(OR($R748="",$R748=0),"",ROUND($I748/$R748,2))))</f>
        <v/>
      </c>
      <c r="T748" s="24" t="str">
        <f aca="false">IF($N748="","",IFERROR(INDEX(VAT_Codes!$C:$C,MATCH($N748,VAT_Codes!$A:$A,0)),"")&amp;"")</f>
        <v/>
      </c>
      <c r="U748" s="26" t="n">
        <f aca="false">IF(OR($S748="",$T748="",$T748="None"),0,IF($T748="Output",-$S748,$S748))</f>
        <v>0</v>
      </c>
      <c r="V748" s="27" t="n">
        <f aca="false">IF($N748="",0,IFERROR(INDEX(VAT_Codes!$D:$D,MATCH($N748,VAT_Codes!$A:$A,0)),0))</f>
        <v>0</v>
      </c>
      <c r="W748" s="26" t="n">
        <f aca="false">IF($U748=0,0,IF(IFERROR(INDEX(VAT_Codes!$F:$F,MATCH($N748,VAT_Codes!$A:$A,0)),"N")="Y",$U748,IF($L748&lt;&gt;"",ROUND(ABS($L748)/IF(OR($R748="",$R748=0),1,$R748),2)*SIGN($U748),ROUND($U748*$V748,2))))</f>
        <v>0</v>
      </c>
      <c r="X748" s="24" t="str">
        <f aca="false">IF($N748="","",IFERROR(INDEX(VAT_Codes!$H:$H,MATCH($N748,VAT_Codes!$A:$A,0)),"")&amp;"")</f>
        <v/>
      </c>
      <c r="Y748" s="24" t="str">
        <f aca="false">IF($A748="","",(YEAR($A748)-YEAR(Settings!$C$8))*12+MONTH($A748)-MONTH(Settings!$C$8)+1)</f>
        <v/>
      </c>
      <c r="Z748" s="24" t="str">
        <f aca="false">IF(AND($C748="",$I748="",$J748=""),"",IF($N748="","NO VAT CODE",IF($T748="","UNKNOWN VAT CODE",IF($S748="","MISSING FX RATE",IF(OR($A748&lt;Settings!$C$8,$A748&gt;Settings!$C$9),"OUTSIDE PERIOD",IF(AND(IFERROR(INDEX(VAT_Codes!$E:$E,MATCH($N748,VAT_Codes!$A:$A,0)),"ANY")&lt;&gt;"ANY",$P748=""),"MISSING COUNTERPARTY COUNTRY",IF(AND(IFERROR(INDEX(VAT_Codes!$E:$E,MATCH($N748,VAT_Codes!$A:$A,0)),"ANY")&lt;&gt;"ANY",$P748&lt;&gt;IFERROR(INDEX(VAT_Codes!$E:$E,MATCH($N748,VAT_Codes!$A:$A,0)),"ANY")),"REGION MISMATCH","OK")))))))</f>
        <v/>
      </c>
    </row>
    <row r="749" customFormat="false" ht="15" hidden="false" customHeight="false" outlineLevel="0" collapsed="false">
      <c r="M749" s="24" t="str">
        <f aca="false">IF($C749="","",IFERROR(INDEX(Account_Mapping!$C:$C,MATCH($C749&amp;"",Account_Mapping!$A:$A,0))&amp;"",""))</f>
        <v/>
      </c>
      <c r="N749" s="24" t="str">
        <f aca="false">IF($K749&lt;&gt;"",$K749,$M749)</f>
        <v/>
      </c>
      <c r="O749" s="24" t="str">
        <f aca="false">IF($F749="","",IFERROR(INDEX(Counterparties!$C:$C,MATCH($F749&amp;"",Counterparties!$A:$A,0))&amp;"",""))</f>
        <v/>
      </c>
      <c r="P749" s="24" t="str">
        <f aca="false">IF($O749="","",IF($O749="CY","CY",IF(ISNUMBER(MATCH($O749,Lists!$A:$A,0)),"EU","3RD")))</f>
        <v/>
      </c>
      <c r="Q749" s="24" t="str">
        <f aca="false">IF($F749="","N",IFERROR(IF(INDEX(Counterparties!$E:$E,MATCH($F749&amp;"",Counterparties!$A:$A,0))="Y","Y","N"),"N"))</f>
        <v>N</v>
      </c>
      <c r="R749" s="25" t="n">
        <f aca="false">IF(OR($H749="",$H749="EUR"),1,IFERROR(INDEX(FX_Rates!$D:$D,MATCH($H749,FX_Rates!$A:$A,0)),""))</f>
        <v>1</v>
      </c>
      <c r="S749" s="26" t="str">
        <f aca="false">IF(AND($I749="",$J749=""),"",IF($J749&lt;&gt;"",$J749,IF(OR($R749="",$R749=0),"",ROUND($I749/$R749,2))))</f>
        <v/>
      </c>
      <c r="T749" s="24" t="str">
        <f aca="false">IF($N749="","",IFERROR(INDEX(VAT_Codes!$C:$C,MATCH($N749,VAT_Codes!$A:$A,0)),"")&amp;"")</f>
        <v/>
      </c>
      <c r="U749" s="26" t="n">
        <f aca="false">IF(OR($S749="",$T749="",$T749="None"),0,IF($T749="Output",-$S749,$S749))</f>
        <v>0</v>
      </c>
      <c r="V749" s="27" t="n">
        <f aca="false">IF($N749="",0,IFERROR(INDEX(VAT_Codes!$D:$D,MATCH($N749,VAT_Codes!$A:$A,0)),0))</f>
        <v>0</v>
      </c>
      <c r="W749" s="26" t="n">
        <f aca="false">IF($U749=0,0,IF(IFERROR(INDEX(VAT_Codes!$F:$F,MATCH($N749,VAT_Codes!$A:$A,0)),"N")="Y",$U749,IF($L749&lt;&gt;"",ROUND(ABS($L749)/IF(OR($R749="",$R749=0),1,$R749),2)*SIGN($U749),ROUND($U749*$V749,2))))</f>
        <v>0</v>
      </c>
      <c r="X749" s="24" t="str">
        <f aca="false">IF($N749="","",IFERROR(INDEX(VAT_Codes!$H:$H,MATCH($N749,VAT_Codes!$A:$A,0)),"")&amp;"")</f>
        <v/>
      </c>
      <c r="Y749" s="24" t="str">
        <f aca="false">IF($A749="","",(YEAR($A749)-YEAR(Settings!$C$8))*12+MONTH($A749)-MONTH(Settings!$C$8)+1)</f>
        <v/>
      </c>
      <c r="Z749" s="24" t="str">
        <f aca="false">IF(AND($C749="",$I749="",$J749=""),"",IF($N749="","NO VAT CODE",IF($T749="","UNKNOWN VAT CODE",IF($S749="","MISSING FX RATE",IF(OR($A749&lt;Settings!$C$8,$A749&gt;Settings!$C$9),"OUTSIDE PERIOD",IF(AND(IFERROR(INDEX(VAT_Codes!$E:$E,MATCH($N749,VAT_Codes!$A:$A,0)),"ANY")&lt;&gt;"ANY",$P749=""),"MISSING COUNTERPARTY COUNTRY",IF(AND(IFERROR(INDEX(VAT_Codes!$E:$E,MATCH($N749,VAT_Codes!$A:$A,0)),"ANY")&lt;&gt;"ANY",$P749&lt;&gt;IFERROR(INDEX(VAT_Codes!$E:$E,MATCH($N749,VAT_Codes!$A:$A,0)),"ANY")),"REGION MISMATCH","OK")))))))</f>
        <v/>
      </c>
    </row>
    <row r="750" customFormat="false" ht="15" hidden="false" customHeight="false" outlineLevel="0" collapsed="false">
      <c r="M750" s="24" t="str">
        <f aca="false">IF($C750="","",IFERROR(INDEX(Account_Mapping!$C:$C,MATCH($C750&amp;"",Account_Mapping!$A:$A,0))&amp;"",""))</f>
        <v/>
      </c>
      <c r="N750" s="24" t="str">
        <f aca="false">IF($K750&lt;&gt;"",$K750,$M750)</f>
        <v/>
      </c>
      <c r="O750" s="24" t="str">
        <f aca="false">IF($F750="","",IFERROR(INDEX(Counterparties!$C:$C,MATCH($F750&amp;"",Counterparties!$A:$A,0))&amp;"",""))</f>
        <v/>
      </c>
      <c r="P750" s="24" t="str">
        <f aca="false">IF($O750="","",IF($O750="CY","CY",IF(ISNUMBER(MATCH($O750,Lists!$A:$A,0)),"EU","3RD")))</f>
        <v/>
      </c>
      <c r="Q750" s="24" t="str">
        <f aca="false">IF($F750="","N",IFERROR(IF(INDEX(Counterparties!$E:$E,MATCH($F750&amp;"",Counterparties!$A:$A,0))="Y","Y","N"),"N"))</f>
        <v>N</v>
      </c>
      <c r="R750" s="25" t="n">
        <f aca="false">IF(OR($H750="",$H750="EUR"),1,IFERROR(INDEX(FX_Rates!$D:$D,MATCH($H750,FX_Rates!$A:$A,0)),""))</f>
        <v>1</v>
      </c>
      <c r="S750" s="26" t="str">
        <f aca="false">IF(AND($I750="",$J750=""),"",IF($J750&lt;&gt;"",$J750,IF(OR($R750="",$R750=0),"",ROUND($I750/$R750,2))))</f>
        <v/>
      </c>
      <c r="T750" s="24" t="str">
        <f aca="false">IF($N750="","",IFERROR(INDEX(VAT_Codes!$C:$C,MATCH($N750,VAT_Codes!$A:$A,0)),"")&amp;"")</f>
        <v/>
      </c>
      <c r="U750" s="26" t="n">
        <f aca="false">IF(OR($S750="",$T750="",$T750="None"),0,IF($T750="Output",-$S750,$S750))</f>
        <v>0</v>
      </c>
      <c r="V750" s="27" t="n">
        <f aca="false">IF($N750="",0,IFERROR(INDEX(VAT_Codes!$D:$D,MATCH($N750,VAT_Codes!$A:$A,0)),0))</f>
        <v>0</v>
      </c>
      <c r="W750" s="26" t="n">
        <f aca="false">IF($U750=0,0,IF(IFERROR(INDEX(VAT_Codes!$F:$F,MATCH($N750,VAT_Codes!$A:$A,0)),"N")="Y",$U750,IF($L750&lt;&gt;"",ROUND(ABS($L750)/IF(OR($R750="",$R750=0),1,$R750),2)*SIGN($U750),ROUND($U750*$V750,2))))</f>
        <v>0</v>
      </c>
      <c r="X750" s="24" t="str">
        <f aca="false">IF($N750="","",IFERROR(INDEX(VAT_Codes!$H:$H,MATCH($N750,VAT_Codes!$A:$A,0)),"")&amp;"")</f>
        <v/>
      </c>
      <c r="Y750" s="24" t="str">
        <f aca="false">IF($A750="","",(YEAR($A750)-YEAR(Settings!$C$8))*12+MONTH($A750)-MONTH(Settings!$C$8)+1)</f>
        <v/>
      </c>
      <c r="Z750" s="24" t="str">
        <f aca="false">IF(AND($C750="",$I750="",$J750=""),"",IF($N750="","NO VAT CODE",IF($T750="","UNKNOWN VAT CODE",IF($S750="","MISSING FX RATE",IF(OR($A750&lt;Settings!$C$8,$A750&gt;Settings!$C$9),"OUTSIDE PERIOD",IF(AND(IFERROR(INDEX(VAT_Codes!$E:$E,MATCH($N750,VAT_Codes!$A:$A,0)),"ANY")&lt;&gt;"ANY",$P750=""),"MISSING COUNTERPARTY COUNTRY",IF(AND(IFERROR(INDEX(VAT_Codes!$E:$E,MATCH($N750,VAT_Codes!$A:$A,0)),"ANY")&lt;&gt;"ANY",$P750&lt;&gt;IFERROR(INDEX(VAT_Codes!$E:$E,MATCH($N750,VAT_Codes!$A:$A,0)),"ANY")),"REGION MISMATCH","OK")))))))</f>
        <v/>
      </c>
    </row>
    <row r="751" customFormat="false" ht="15" hidden="false" customHeight="false" outlineLevel="0" collapsed="false">
      <c r="M751" s="24" t="str">
        <f aca="false">IF($C751="","",IFERROR(INDEX(Account_Mapping!$C:$C,MATCH($C751&amp;"",Account_Mapping!$A:$A,0))&amp;"",""))</f>
        <v/>
      </c>
      <c r="N751" s="24" t="str">
        <f aca="false">IF($K751&lt;&gt;"",$K751,$M751)</f>
        <v/>
      </c>
      <c r="O751" s="24" t="str">
        <f aca="false">IF($F751="","",IFERROR(INDEX(Counterparties!$C:$C,MATCH($F751&amp;"",Counterparties!$A:$A,0))&amp;"",""))</f>
        <v/>
      </c>
      <c r="P751" s="24" t="str">
        <f aca="false">IF($O751="","",IF($O751="CY","CY",IF(ISNUMBER(MATCH($O751,Lists!$A:$A,0)),"EU","3RD")))</f>
        <v/>
      </c>
      <c r="Q751" s="24" t="str">
        <f aca="false">IF($F751="","N",IFERROR(IF(INDEX(Counterparties!$E:$E,MATCH($F751&amp;"",Counterparties!$A:$A,0))="Y","Y","N"),"N"))</f>
        <v>N</v>
      </c>
      <c r="R751" s="25" t="n">
        <f aca="false">IF(OR($H751="",$H751="EUR"),1,IFERROR(INDEX(FX_Rates!$D:$D,MATCH($H751,FX_Rates!$A:$A,0)),""))</f>
        <v>1</v>
      </c>
      <c r="S751" s="26" t="str">
        <f aca="false">IF(AND($I751="",$J751=""),"",IF($J751&lt;&gt;"",$J751,IF(OR($R751="",$R751=0),"",ROUND($I751/$R751,2))))</f>
        <v/>
      </c>
      <c r="T751" s="24" t="str">
        <f aca="false">IF($N751="","",IFERROR(INDEX(VAT_Codes!$C:$C,MATCH($N751,VAT_Codes!$A:$A,0)),"")&amp;"")</f>
        <v/>
      </c>
      <c r="U751" s="26" t="n">
        <f aca="false">IF(OR($S751="",$T751="",$T751="None"),0,IF($T751="Output",-$S751,$S751))</f>
        <v>0</v>
      </c>
      <c r="V751" s="27" t="n">
        <f aca="false">IF($N751="",0,IFERROR(INDEX(VAT_Codes!$D:$D,MATCH($N751,VAT_Codes!$A:$A,0)),0))</f>
        <v>0</v>
      </c>
      <c r="W751" s="26" t="n">
        <f aca="false">IF($U751=0,0,IF(IFERROR(INDEX(VAT_Codes!$F:$F,MATCH($N751,VAT_Codes!$A:$A,0)),"N")="Y",$U751,IF($L751&lt;&gt;"",ROUND(ABS($L751)/IF(OR($R751="",$R751=0),1,$R751),2)*SIGN($U751),ROUND($U751*$V751,2))))</f>
        <v>0</v>
      </c>
      <c r="X751" s="24" t="str">
        <f aca="false">IF($N751="","",IFERROR(INDEX(VAT_Codes!$H:$H,MATCH($N751,VAT_Codes!$A:$A,0)),"")&amp;"")</f>
        <v/>
      </c>
      <c r="Y751" s="24" t="str">
        <f aca="false">IF($A751="","",(YEAR($A751)-YEAR(Settings!$C$8))*12+MONTH($A751)-MONTH(Settings!$C$8)+1)</f>
        <v/>
      </c>
      <c r="Z751" s="24" t="str">
        <f aca="false">IF(AND($C751="",$I751="",$J751=""),"",IF($N751="","NO VAT CODE",IF($T751="","UNKNOWN VAT CODE",IF($S751="","MISSING FX RATE",IF(OR($A751&lt;Settings!$C$8,$A751&gt;Settings!$C$9),"OUTSIDE PERIOD",IF(AND(IFERROR(INDEX(VAT_Codes!$E:$E,MATCH($N751,VAT_Codes!$A:$A,0)),"ANY")&lt;&gt;"ANY",$P751=""),"MISSING COUNTERPARTY COUNTRY",IF(AND(IFERROR(INDEX(VAT_Codes!$E:$E,MATCH($N751,VAT_Codes!$A:$A,0)),"ANY")&lt;&gt;"ANY",$P751&lt;&gt;IFERROR(INDEX(VAT_Codes!$E:$E,MATCH($N751,VAT_Codes!$A:$A,0)),"ANY")),"REGION MISMATCH","OK")))))))</f>
        <v/>
      </c>
    </row>
    <row r="752" customFormat="false" ht="15" hidden="false" customHeight="false" outlineLevel="0" collapsed="false">
      <c r="M752" s="24" t="str">
        <f aca="false">IF($C752="","",IFERROR(INDEX(Account_Mapping!$C:$C,MATCH($C752&amp;"",Account_Mapping!$A:$A,0))&amp;"",""))</f>
        <v/>
      </c>
      <c r="N752" s="24" t="str">
        <f aca="false">IF($K752&lt;&gt;"",$K752,$M752)</f>
        <v/>
      </c>
      <c r="O752" s="24" t="str">
        <f aca="false">IF($F752="","",IFERROR(INDEX(Counterparties!$C:$C,MATCH($F752&amp;"",Counterparties!$A:$A,0))&amp;"",""))</f>
        <v/>
      </c>
      <c r="P752" s="24" t="str">
        <f aca="false">IF($O752="","",IF($O752="CY","CY",IF(ISNUMBER(MATCH($O752,Lists!$A:$A,0)),"EU","3RD")))</f>
        <v/>
      </c>
      <c r="Q752" s="24" t="str">
        <f aca="false">IF($F752="","N",IFERROR(IF(INDEX(Counterparties!$E:$E,MATCH($F752&amp;"",Counterparties!$A:$A,0))="Y","Y","N"),"N"))</f>
        <v>N</v>
      </c>
      <c r="R752" s="25" t="n">
        <f aca="false">IF(OR($H752="",$H752="EUR"),1,IFERROR(INDEX(FX_Rates!$D:$D,MATCH($H752,FX_Rates!$A:$A,0)),""))</f>
        <v>1</v>
      </c>
      <c r="S752" s="26" t="str">
        <f aca="false">IF(AND($I752="",$J752=""),"",IF($J752&lt;&gt;"",$J752,IF(OR($R752="",$R752=0),"",ROUND($I752/$R752,2))))</f>
        <v/>
      </c>
      <c r="T752" s="24" t="str">
        <f aca="false">IF($N752="","",IFERROR(INDEX(VAT_Codes!$C:$C,MATCH($N752,VAT_Codes!$A:$A,0)),"")&amp;"")</f>
        <v/>
      </c>
      <c r="U752" s="26" t="n">
        <f aca="false">IF(OR($S752="",$T752="",$T752="None"),0,IF($T752="Output",-$S752,$S752))</f>
        <v>0</v>
      </c>
      <c r="V752" s="27" t="n">
        <f aca="false">IF($N752="",0,IFERROR(INDEX(VAT_Codes!$D:$D,MATCH($N752,VAT_Codes!$A:$A,0)),0))</f>
        <v>0</v>
      </c>
      <c r="W752" s="26" t="n">
        <f aca="false">IF($U752=0,0,IF(IFERROR(INDEX(VAT_Codes!$F:$F,MATCH($N752,VAT_Codes!$A:$A,0)),"N")="Y",$U752,IF($L752&lt;&gt;"",ROUND(ABS($L752)/IF(OR($R752="",$R752=0),1,$R752),2)*SIGN($U752),ROUND($U752*$V752,2))))</f>
        <v>0</v>
      </c>
      <c r="X752" s="24" t="str">
        <f aca="false">IF($N752="","",IFERROR(INDEX(VAT_Codes!$H:$H,MATCH($N752,VAT_Codes!$A:$A,0)),"")&amp;"")</f>
        <v/>
      </c>
      <c r="Y752" s="24" t="str">
        <f aca="false">IF($A752="","",(YEAR($A752)-YEAR(Settings!$C$8))*12+MONTH($A752)-MONTH(Settings!$C$8)+1)</f>
        <v/>
      </c>
      <c r="Z752" s="24" t="str">
        <f aca="false">IF(AND($C752="",$I752="",$J752=""),"",IF($N752="","NO VAT CODE",IF($T752="","UNKNOWN VAT CODE",IF($S752="","MISSING FX RATE",IF(OR($A752&lt;Settings!$C$8,$A752&gt;Settings!$C$9),"OUTSIDE PERIOD",IF(AND(IFERROR(INDEX(VAT_Codes!$E:$E,MATCH($N752,VAT_Codes!$A:$A,0)),"ANY")&lt;&gt;"ANY",$P752=""),"MISSING COUNTERPARTY COUNTRY",IF(AND(IFERROR(INDEX(VAT_Codes!$E:$E,MATCH($N752,VAT_Codes!$A:$A,0)),"ANY")&lt;&gt;"ANY",$P752&lt;&gt;IFERROR(INDEX(VAT_Codes!$E:$E,MATCH($N752,VAT_Codes!$A:$A,0)),"ANY")),"REGION MISMATCH","OK")))))))</f>
        <v/>
      </c>
    </row>
    <row r="753" customFormat="false" ht="15" hidden="false" customHeight="false" outlineLevel="0" collapsed="false">
      <c r="M753" s="24" t="str">
        <f aca="false">IF($C753="","",IFERROR(INDEX(Account_Mapping!$C:$C,MATCH($C753&amp;"",Account_Mapping!$A:$A,0))&amp;"",""))</f>
        <v/>
      </c>
      <c r="N753" s="24" t="str">
        <f aca="false">IF($K753&lt;&gt;"",$K753,$M753)</f>
        <v/>
      </c>
      <c r="O753" s="24" t="str">
        <f aca="false">IF($F753="","",IFERROR(INDEX(Counterparties!$C:$C,MATCH($F753&amp;"",Counterparties!$A:$A,0))&amp;"",""))</f>
        <v/>
      </c>
      <c r="P753" s="24" t="str">
        <f aca="false">IF($O753="","",IF($O753="CY","CY",IF(ISNUMBER(MATCH($O753,Lists!$A:$A,0)),"EU","3RD")))</f>
        <v/>
      </c>
      <c r="Q753" s="24" t="str">
        <f aca="false">IF($F753="","N",IFERROR(IF(INDEX(Counterparties!$E:$E,MATCH($F753&amp;"",Counterparties!$A:$A,0))="Y","Y","N"),"N"))</f>
        <v>N</v>
      </c>
      <c r="R753" s="25" t="n">
        <f aca="false">IF(OR($H753="",$H753="EUR"),1,IFERROR(INDEX(FX_Rates!$D:$D,MATCH($H753,FX_Rates!$A:$A,0)),""))</f>
        <v>1</v>
      </c>
      <c r="S753" s="26" t="str">
        <f aca="false">IF(AND($I753="",$J753=""),"",IF($J753&lt;&gt;"",$J753,IF(OR($R753="",$R753=0),"",ROUND($I753/$R753,2))))</f>
        <v/>
      </c>
      <c r="T753" s="24" t="str">
        <f aca="false">IF($N753="","",IFERROR(INDEX(VAT_Codes!$C:$C,MATCH($N753,VAT_Codes!$A:$A,0)),"")&amp;"")</f>
        <v/>
      </c>
      <c r="U753" s="26" t="n">
        <f aca="false">IF(OR($S753="",$T753="",$T753="None"),0,IF($T753="Output",-$S753,$S753))</f>
        <v>0</v>
      </c>
      <c r="V753" s="27" t="n">
        <f aca="false">IF($N753="",0,IFERROR(INDEX(VAT_Codes!$D:$D,MATCH($N753,VAT_Codes!$A:$A,0)),0))</f>
        <v>0</v>
      </c>
      <c r="W753" s="26" t="n">
        <f aca="false">IF($U753=0,0,IF(IFERROR(INDEX(VAT_Codes!$F:$F,MATCH($N753,VAT_Codes!$A:$A,0)),"N")="Y",$U753,IF($L753&lt;&gt;"",ROUND(ABS($L753)/IF(OR($R753="",$R753=0),1,$R753),2)*SIGN($U753),ROUND($U753*$V753,2))))</f>
        <v>0</v>
      </c>
      <c r="X753" s="24" t="str">
        <f aca="false">IF($N753="","",IFERROR(INDEX(VAT_Codes!$H:$H,MATCH($N753,VAT_Codes!$A:$A,0)),"")&amp;"")</f>
        <v/>
      </c>
      <c r="Y753" s="24" t="str">
        <f aca="false">IF($A753="","",(YEAR($A753)-YEAR(Settings!$C$8))*12+MONTH($A753)-MONTH(Settings!$C$8)+1)</f>
        <v/>
      </c>
      <c r="Z753" s="24" t="str">
        <f aca="false">IF(AND($C753="",$I753="",$J753=""),"",IF($N753="","NO VAT CODE",IF($T753="","UNKNOWN VAT CODE",IF($S753="","MISSING FX RATE",IF(OR($A753&lt;Settings!$C$8,$A753&gt;Settings!$C$9),"OUTSIDE PERIOD",IF(AND(IFERROR(INDEX(VAT_Codes!$E:$E,MATCH($N753,VAT_Codes!$A:$A,0)),"ANY")&lt;&gt;"ANY",$P753=""),"MISSING COUNTERPARTY COUNTRY",IF(AND(IFERROR(INDEX(VAT_Codes!$E:$E,MATCH($N753,VAT_Codes!$A:$A,0)),"ANY")&lt;&gt;"ANY",$P753&lt;&gt;IFERROR(INDEX(VAT_Codes!$E:$E,MATCH($N753,VAT_Codes!$A:$A,0)),"ANY")),"REGION MISMATCH","OK")))))))</f>
        <v/>
      </c>
    </row>
    <row r="754" customFormat="false" ht="15" hidden="false" customHeight="false" outlineLevel="0" collapsed="false">
      <c r="M754" s="24" t="str">
        <f aca="false">IF($C754="","",IFERROR(INDEX(Account_Mapping!$C:$C,MATCH($C754&amp;"",Account_Mapping!$A:$A,0))&amp;"",""))</f>
        <v/>
      </c>
      <c r="N754" s="24" t="str">
        <f aca="false">IF($K754&lt;&gt;"",$K754,$M754)</f>
        <v/>
      </c>
      <c r="O754" s="24" t="str">
        <f aca="false">IF($F754="","",IFERROR(INDEX(Counterparties!$C:$C,MATCH($F754&amp;"",Counterparties!$A:$A,0))&amp;"",""))</f>
        <v/>
      </c>
      <c r="P754" s="24" t="str">
        <f aca="false">IF($O754="","",IF($O754="CY","CY",IF(ISNUMBER(MATCH($O754,Lists!$A:$A,0)),"EU","3RD")))</f>
        <v/>
      </c>
      <c r="Q754" s="24" t="str">
        <f aca="false">IF($F754="","N",IFERROR(IF(INDEX(Counterparties!$E:$E,MATCH($F754&amp;"",Counterparties!$A:$A,0))="Y","Y","N"),"N"))</f>
        <v>N</v>
      </c>
      <c r="R754" s="25" t="n">
        <f aca="false">IF(OR($H754="",$H754="EUR"),1,IFERROR(INDEX(FX_Rates!$D:$D,MATCH($H754,FX_Rates!$A:$A,0)),""))</f>
        <v>1</v>
      </c>
      <c r="S754" s="26" t="str">
        <f aca="false">IF(AND($I754="",$J754=""),"",IF($J754&lt;&gt;"",$J754,IF(OR($R754="",$R754=0),"",ROUND($I754/$R754,2))))</f>
        <v/>
      </c>
      <c r="T754" s="24" t="str">
        <f aca="false">IF($N754="","",IFERROR(INDEX(VAT_Codes!$C:$C,MATCH($N754,VAT_Codes!$A:$A,0)),"")&amp;"")</f>
        <v/>
      </c>
      <c r="U754" s="26" t="n">
        <f aca="false">IF(OR($S754="",$T754="",$T754="None"),0,IF($T754="Output",-$S754,$S754))</f>
        <v>0</v>
      </c>
      <c r="V754" s="27" t="n">
        <f aca="false">IF($N754="",0,IFERROR(INDEX(VAT_Codes!$D:$D,MATCH($N754,VAT_Codes!$A:$A,0)),0))</f>
        <v>0</v>
      </c>
      <c r="W754" s="26" t="n">
        <f aca="false">IF($U754=0,0,IF(IFERROR(INDEX(VAT_Codes!$F:$F,MATCH($N754,VAT_Codes!$A:$A,0)),"N")="Y",$U754,IF($L754&lt;&gt;"",ROUND(ABS($L754)/IF(OR($R754="",$R754=0),1,$R754),2)*SIGN($U754),ROUND($U754*$V754,2))))</f>
        <v>0</v>
      </c>
      <c r="X754" s="24" t="str">
        <f aca="false">IF($N754="","",IFERROR(INDEX(VAT_Codes!$H:$H,MATCH($N754,VAT_Codes!$A:$A,0)),"")&amp;"")</f>
        <v/>
      </c>
      <c r="Y754" s="24" t="str">
        <f aca="false">IF($A754="","",(YEAR($A754)-YEAR(Settings!$C$8))*12+MONTH($A754)-MONTH(Settings!$C$8)+1)</f>
        <v/>
      </c>
      <c r="Z754" s="24" t="str">
        <f aca="false">IF(AND($C754="",$I754="",$J754=""),"",IF($N754="","NO VAT CODE",IF($T754="","UNKNOWN VAT CODE",IF($S754="","MISSING FX RATE",IF(OR($A754&lt;Settings!$C$8,$A754&gt;Settings!$C$9),"OUTSIDE PERIOD",IF(AND(IFERROR(INDEX(VAT_Codes!$E:$E,MATCH($N754,VAT_Codes!$A:$A,0)),"ANY")&lt;&gt;"ANY",$P754=""),"MISSING COUNTERPARTY COUNTRY",IF(AND(IFERROR(INDEX(VAT_Codes!$E:$E,MATCH($N754,VAT_Codes!$A:$A,0)),"ANY")&lt;&gt;"ANY",$P754&lt;&gt;IFERROR(INDEX(VAT_Codes!$E:$E,MATCH($N754,VAT_Codes!$A:$A,0)),"ANY")),"REGION MISMATCH","OK")))))))</f>
        <v/>
      </c>
    </row>
    <row r="755" customFormat="false" ht="15" hidden="false" customHeight="false" outlineLevel="0" collapsed="false">
      <c r="M755" s="24" t="str">
        <f aca="false">IF($C755="","",IFERROR(INDEX(Account_Mapping!$C:$C,MATCH($C755&amp;"",Account_Mapping!$A:$A,0))&amp;"",""))</f>
        <v/>
      </c>
      <c r="N755" s="24" t="str">
        <f aca="false">IF($K755&lt;&gt;"",$K755,$M755)</f>
        <v/>
      </c>
      <c r="O755" s="24" t="str">
        <f aca="false">IF($F755="","",IFERROR(INDEX(Counterparties!$C:$C,MATCH($F755&amp;"",Counterparties!$A:$A,0))&amp;"",""))</f>
        <v/>
      </c>
      <c r="P755" s="24" t="str">
        <f aca="false">IF($O755="","",IF($O755="CY","CY",IF(ISNUMBER(MATCH($O755,Lists!$A:$A,0)),"EU","3RD")))</f>
        <v/>
      </c>
      <c r="Q755" s="24" t="str">
        <f aca="false">IF($F755="","N",IFERROR(IF(INDEX(Counterparties!$E:$E,MATCH($F755&amp;"",Counterparties!$A:$A,0))="Y","Y","N"),"N"))</f>
        <v>N</v>
      </c>
      <c r="R755" s="25" t="n">
        <f aca="false">IF(OR($H755="",$H755="EUR"),1,IFERROR(INDEX(FX_Rates!$D:$D,MATCH($H755,FX_Rates!$A:$A,0)),""))</f>
        <v>1</v>
      </c>
      <c r="S755" s="26" t="str">
        <f aca="false">IF(AND($I755="",$J755=""),"",IF($J755&lt;&gt;"",$J755,IF(OR($R755="",$R755=0),"",ROUND($I755/$R755,2))))</f>
        <v/>
      </c>
      <c r="T755" s="24" t="str">
        <f aca="false">IF($N755="","",IFERROR(INDEX(VAT_Codes!$C:$C,MATCH($N755,VAT_Codes!$A:$A,0)),"")&amp;"")</f>
        <v/>
      </c>
      <c r="U755" s="26" t="n">
        <f aca="false">IF(OR($S755="",$T755="",$T755="None"),0,IF($T755="Output",-$S755,$S755))</f>
        <v>0</v>
      </c>
      <c r="V755" s="27" t="n">
        <f aca="false">IF($N755="",0,IFERROR(INDEX(VAT_Codes!$D:$D,MATCH($N755,VAT_Codes!$A:$A,0)),0))</f>
        <v>0</v>
      </c>
      <c r="W755" s="26" t="n">
        <f aca="false">IF($U755=0,0,IF(IFERROR(INDEX(VAT_Codes!$F:$F,MATCH($N755,VAT_Codes!$A:$A,0)),"N")="Y",$U755,IF($L755&lt;&gt;"",ROUND(ABS($L755)/IF(OR($R755="",$R755=0),1,$R755),2)*SIGN($U755),ROUND($U755*$V755,2))))</f>
        <v>0</v>
      </c>
      <c r="X755" s="24" t="str">
        <f aca="false">IF($N755="","",IFERROR(INDEX(VAT_Codes!$H:$H,MATCH($N755,VAT_Codes!$A:$A,0)),"")&amp;"")</f>
        <v/>
      </c>
      <c r="Y755" s="24" t="str">
        <f aca="false">IF($A755="","",(YEAR($A755)-YEAR(Settings!$C$8))*12+MONTH($A755)-MONTH(Settings!$C$8)+1)</f>
        <v/>
      </c>
      <c r="Z755" s="24" t="str">
        <f aca="false">IF(AND($C755="",$I755="",$J755=""),"",IF($N755="","NO VAT CODE",IF($T755="","UNKNOWN VAT CODE",IF($S755="","MISSING FX RATE",IF(OR($A755&lt;Settings!$C$8,$A755&gt;Settings!$C$9),"OUTSIDE PERIOD",IF(AND(IFERROR(INDEX(VAT_Codes!$E:$E,MATCH($N755,VAT_Codes!$A:$A,0)),"ANY")&lt;&gt;"ANY",$P755=""),"MISSING COUNTERPARTY COUNTRY",IF(AND(IFERROR(INDEX(VAT_Codes!$E:$E,MATCH($N755,VAT_Codes!$A:$A,0)),"ANY")&lt;&gt;"ANY",$P755&lt;&gt;IFERROR(INDEX(VAT_Codes!$E:$E,MATCH($N755,VAT_Codes!$A:$A,0)),"ANY")),"REGION MISMATCH","OK")))))))</f>
        <v/>
      </c>
    </row>
    <row r="756" customFormat="false" ht="15" hidden="false" customHeight="false" outlineLevel="0" collapsed="false">
      <c r="M756" s="24" t="str">
        <f aca="false">IF($C756="","",IFERROR(INDEX(Account_Mapping!$C:$C,MATCH($C756&amp;"",Account_Mapping!$A:$A,0))&amp;"",""))</f>
        <v/>
      </c>
      <c r="N756" s="24" t="str">
        <f aca="false">IF($K756&lt;&gt;"",$K756,$M756)</f>
        <v/>
      </c>
      <c r="O756" s="24" t="str">
        <f aca="false">IF($F756="","",IFERROR(INDEX(Counterparties!$C:$C,MATCH($F756&amp;"",Counterparties!$A:$A,0))&amp;"",""))</f>
        <v/>
      </c>
      <c r="P756" s="24" t="str">
        <f aca="false">IF($O756="","",IF($O756="CY","CY",IF(ISNUMBER(MATCH($O756,Lists!$A:$A,0)),"EU","3RD")))</f>
        <v/>
      </c>
      <c r="Q756" s="24" t="str">
        <f aca="false">IF($F756="","N",IFERROR(IF(INDEX(Counterparties!$E:$E,MATCH($F756&amp;"",Counterparties!$A:$A,0))="Y","Y","N"),"N"))</f>
        <v>N</v>
      </c>
      <c r="R756" s="25" t="n">
        <f aca="false">IF(OR($H756="",$H756="EUR"),1,IFERROR(INDEX(FX_Rates!$D:$D,MATCH($H756,FX_Rates!$A:$A,0)),""))</f>
        <v>1</v>
      </c>
      <c r="S756" s="26" t="str">
        <f aca="false">IF(AND($I756="",$J756=""),"",IF($J756&lt;&gt;"",$J756,IF(OR($R756="",$R756=0),"",ROUND($I756/$R756,2))))</f>
        <v/>
      </c>
      <c r="T756" s="24" t="str">
        <f aca="false">IF($N756="","",IFERROR(INDEX(VAT_Codes!$C:$C,MATCH($N756,VAT_Codes!$A:$A,0)),"")&amp;"")</f>
        <v/>
      </c>
      <c r="U756" s="26" t="n">
        <f aca="false">IF(OR($S756="",$T756="",$T756="None"),0,IF($T756="Output",-$S756,$S756))</f>
        <v>0</v>
      </c>
      <c r="V756" s="27" t="n">
        <f aca="false">IF($N756="",0,IFERROR(INDEX(VAT_Codes!$D:$D,MATCH($N756,VAT_Codes!$A:$A,0)),0))</f>
        <v>0</v>
      </c>
      <c r="W756" s="26" t="n">
        <f aca="false">IF($U756=0,0,IF(IFERROR(INDEX(VAT_Codes!$F:$F,MATCH($N756,VAT_Codes!$A:$A,0)),"N")="Y",$U756,IF($L756&lt;&gt;"",ROUND(ABS($L756)/IF(OR($R756="",$R756=0),1,$R756),2)*SIGN($U756),ROUND($U756*$V756,2))))</f>
        <v>0</v>
      </c>
      <c r="X756" s="24" t="str">
        <f aca="false">IF($N756="","",IFERROR(INDEX(VAT_Codes!$H:$H,MATCH($N756,VAT_Codes!$A:$A,0)),"")&amp;"")</f>
        <v/>
      </c>
      <c r="Y756" s="24" t="str">
        <f aca="false">IF($A756="","",(YEAR($A756)-YEAR(Settings!$C$8))*12+MONTH($A756)-MONTH(Settings!$C$8)+1)</f>
        <v/>
      </c>
      <c r="Z756" s="24" t="str">
        <f aca="false">IF(AND($C756="",$I756="",$J756=""),"",IF($N756="","NO VAT CODE",IF($T756="","UNKNOWN VAT CODE",IF($S756="","MISSING FX RATE",IF(OR($A756&lt;Settings!$C$8,$A756&gt;Settings!$C$9),"OUTSIDE PERIOD",IF(AND(IFERROR(INDEX(VAT_Codes!$E:$E,MATCH($N756,VAT_Codes!$A:$A,0)),"ANY")&lt;&gt;"ANY",$P756=""),"MISSING COUNTERPARTY COUNTRY",IF(AND(IFERROR(INDEX(VAT_Codes!$E:$E,MATCH($N756,VAT_Codes!$A:$A,0)),"ANY")&lt;&gt;"ANY",$P756&lt;&gt;IFERROR(INDEX(VAT_Codes!$E:$E,MATCH($N756,VAT_Codes!$A:$A,0)),"ANY")),"REGION MISMATCH","OK")))))))</f>
        <v/>
      </c>
    </row>
    <row r="757" customFormat="false" ht="15" hidden="false" customHeight="false" outlineLevel="0" collapsed="false">
      <c r="M757" s="24" t="str">
        <f aca="false">IF($C757="","",IFERROR(INDEX(Account_Mapping!$C:$C,MATCH($C757&amp;"",Account_Mapping!$A:$A,0))&amp;"",""))</f>
        <v/>
      </c>
      <c r="N757" s="24" t="str">
        <f aca="false">IF($K757&lt;&gt;"",$K757,$M757)</f>
        <v/>
      </c>
      <c r="O757" s="24" t="str">
        <f aca="false">IF($F757="","",IFERROR(INDEX(Counterparties!$C:$C,MATCH($F757&amp;"",Counterparties!$A:$A,0))&amp;"",""))</f>
        <v/>
      </c>
      <c r="P757" s="24" t="str">
        <f aca="false">IF($O757="","",IF($O757="CY","CY",IF(ISNUMBER(MATCH($O757,Lists!$A:$A,0)),"EU","3RD")))</f>
        <v/>
      </c>
      <c r="Q757" s="24" t="str">
        <f aca="false">IF($F757="","N",IFERROR(IF(INDEX(Counterparties!$E:$E,MATCH($F757&amp;"",Counterparties!$A:$A,0))="Y","Y","N"),"N"))</f>
        <v>N</v>
      </c>
      <c r="R757" s="25" t="n">
        <f aca="false">IF(OR($H757="",$H757="EUR"),1,IFERROR(INDEX(FX_Rates!$D:$D,MATCH($H757,FX_Rates!$A:$A,0)),""))</f>
        <v>1</v>
      </c>
      <c r="S757" s="26" t="str">
        <f aca="false">IF(AND($I757="",$J757=""),"",IF($J757&lt;&gt;"",$J757,IF(OR($R757="",$R757=0),"",ROUND($I757/$R757,2))))</f>
        <v/>
      </c>
      <c r="T757" s="24" t="str">
        <f aca="false">IF($N757="","",IFERROR(INDEX(VAT_Codes!$C:$C,MATCH($N757,VAT_Codes!$A:$A,0)),"")&amp;"")</f>
        <v/>
      </c>
      <c r="U757" s="26" t="n">
        <f aca="false">IF(OR($S757="",$T757="",$T757="None"),0,IF($T757="Output",-$S757,$S757))</f>
        <v>0</v>
      </c>
      <c r="V757" s="27" t="n">
        <f aca="false">IF($N757="",0,IFERROR(INDEX(VAT_Codes!$D:$D,MATCH($N757,VAT_Codes!$A:$A,0)),0))</f>
        <v>0</v>
      </c>
      <c r="W757" s="26" t="n">
        <f aca="false">IF($U757=0,0,IF(IFERROR(INDEX(VAT_Codes!$F:$F,MATCH($N757,VAT_Codes!$A:$A,0)),"N")="Y",$U757,IF($L757&lt;&gt;"",ROUND(ABS($L757)/IF(OR($R757="",$R757=0),1,$R757),2)*SIGN($U757),ROUND($U757*$V757,2))))</f>
        <v>0</v>
      </c>
      <c r="X757" s="24" t="str">
        <f aca="false">IF($N757="","",IFERROR(INDEX(VAT_Codes!$H:$H,MATCH($N757,VAT_Codes!$A:$A,0)),"")&amp;"")</f>
        <v/>
      </c>
      <c r="Y757" s="24" t="str">
        <f aca="false">IF($A757="","",(YEAR($A757)-YEAR(Settings!$C$8))*12+MONTH($A757)-MONTH(Settings!$C$8)+1)</f>
        <v/>
      </c>
      <c r="Z757" s="24" t="str">
        <f aca="false">IF(AND($C757="",$I757="",$J757=""),"",IF($N757="","NO VAT CODE",IF($T757="","UNKNOWN VAT CODE",IF($S757="","MISSING FX RATE",IF(OR($A757&lt;Settings!$C$8,$A757&gt;Settings!$C$9),"OUTSIDE PERIOD",IF(AND(IFERROR(INDEX(VAT_Codes!$E:$E,MATCH($N757,VAT_Codes!$A:$A,0)),"ANY")&lt;&gt;"ANY",$P757=""),"MISSING COUNTERPARTY COUNTRY",IF(AND(IFERROR(INDEX(VAT_Codes!$E:$E,MATCH($N757,VAT_Codes!$A:$A,0)),"ANY")&lt;&gt;"ANY",$P757&lt;&gt;IFERROR(INDEX(VAT_Codes!$E:$E,MATCH($N757,VAT_Codes!$A:$A,0)),"ANY")),"REGION MISMATCH","OK")))))))</f>
        <v/>
      </c>
    </row>
    <row r="758" customFormat="false" ht="15" hidden="false" customHeight="false" outlineLevel="0" collapsed="false">
      <c r="M758" s="24" t="str">
        <f aca="false">IF($C758="","",IFERROR(INDEX(Account_Mapping!$C:$C,MATCH($C758&amp;"",Account_Mapping!$A:$A,0))&amp;"",""))</f>
        <v/>
      </c>
      <c r="N758" s="24" t="str">
        <f aca="false">IF($K758&lt;&gt;"",$K758,$M758)</f>
        <v/>
      </c>
      <c r="O758" s="24" t="str">
        <f aca="false">IF($F758="","",IFERROR(INDEX(Counterparties!$C:$C,MATCH($F758&amp;"",Counterparties!$A:$A,0))&amp;"",""))</f>
        <v/>
      </c>
      <c r="P758" s="24" t="str">
        <f aca="false">IF($O758="","",IF($O758="CY","CY",IF(ISNUMBER(MATCH($O758,Lists!$A:$A,0)),"EU","3RD")))</f>
        <v/>
      </c>
      <c r="Q758" s="24" t="str">
        <f aca="false">IF($F758="","N",IFERROR(IF(INDEX(Counterparties!$E:$E,MATCH($F758&amp;"",Counterparties!$A:$A,0))="Y","Y","N"),"N"))</f>
        <v>N</v>
      </c>
      <c r="R758" s="25" t="n">
        <f aca="false">IF(OR($H758="",$H758="EUR"),1,IFERROR(INDEX(FX_Rates!$D:$D,MATCH($H758,FX_Rates!$A:$A,0)),""))</f>
        <v>1</v>
      </c>
      <c r="S758" s="26" t="str">
        <f aca="false">IF(AND($I758="",$J758=""),"",IF($J758&lt;&gt;"",$J758,IF(OR($R758="",$R758=0),"",ROUND($I758/$R758,2))))</f>
        <v/>
      </c>
      <c r="T758" s="24" t="str">
        <f aca="false">IF($N758="","",IFERROR(INDEX(VAT_Codes!$C:$C,MATCH($N758,VAT_Codes!$A:$A,0)),"")&amp;"")</f>
        <v/>
      </c>
      <c r="U758" s="26" t="n">
        <f aca="false">IF(OR($S758="",$T758="",$T758="None"),0,IF($T758="Output",-$S758,$S758))</f>
        <v>0</v>
      </c>
      <c r="V758" s="27" t="n">
        <f aca="false">IF($N758="",0,IFERROR(INDEX(VAT_Codes!$D:$D,MATCH($N758,VAT_Codes!$A:$A,0)),0))</f>
        <v>0</v>
      </c>
      <c r="W758" s="26" t="n">
        <f aca="false">IF($U758=0,0,IF(IFERROR(INDEX(VAT_Codes!$F:$F,MATCH($N758,VAT_Codes!$A:$A,0)),"N")="Y",$U758,IF($L758&lt;&gt;"",ROUND(ABS($L758)/IF(OR($R758="",$R758=0),1,$R758),2)*SIGN($U758),ROUND($U758*$V758,2))))</f>
        <v>0</v>
      </c>
      <c r="X758" s="24" t="str">
        <f aca="false">IF($N758="","",IFERROR(INDEX(VAT_Codes!$H:$H,MATCH($N758,VAT_Codes!$A:$A,0)),"")&amp;"")</f>
        <v/>
      </c>
      <c r="Y758" s="24" t="str">
        <f aca="false">IF($A758="","",(YEAR($A758)-YEAR(Settings!$C$8))*12+MONTH($A758)-MONTH(Settings!$C$8)+1)</f>
        <v/>
      </c>
      <c r="Z758" s="24" t="str">
        <f aca="false">IF(AND($C758="",$I758="",$J758=""),"",IF($N758="","NO VAT CODE",IF($T758="","UNKNOWN VAT CODE",IF($S758="","MISSING FX RATE",IF(OR($A758&lt;Settings!$C$8,$A758&gt;Settings!$C$9),"OUTSIDE PERIOD",IF(AND(IFERROR(INDEX(VAT_Codes!$E:$E,MATCH($N758,VAT_Codes!$A:$A,0)),"ANY")&lt;&gt;"ANY",$P758=""),"MISSING COUNTERPARTY COUNTRY",IF(AND(IFERROR(INDEX(VAT_Codes!$E:$E,MATCH($N758,VAT_Codes!$A:$A,0)),"ANY")&lt;&gt;"ANY",$P758&lt;&gt;IFERROR(INDEX(VAT_Codes!$E:$E,MATCH($N758,VAT_Codes!$A:$A,0)),"ANY")),"REGION MISMATCH","OK")))))))</f>
        <v/>
      </c>
    </row>
    <row r="759" customFormat="false" ht="15" hidden="false" customHeight="false" outlineLevel="0" collapsed="false">
      <c r="M759" s="24" t="str">
        <f aca="false">IF($C759="","",IFERROR(INDEX(Account_Mapping!$C:$C,MATCH($C759&amp;"",Account_Mapping!$A:$A,0))&amp;"",""))</f>
        <v/>
      </c>
      <c r="N759" s="24" t="str">
        <f aca="false">IF($K759&lt;&gt;"",$K759,$M759)</f>
        <v/>
      </c>
      <c r="O759" s="24" t="str">
        <f aca="false">IF($F759="","",IFERROR(INDEX(Counterparties!$C:$C,MATCH($F759&amp;"",Counterparties!$A:$A,0))&amp;"",""))</f>
        <v/>
      </c>
      <c r="P759" s="24" t="str">
        <f aca="false">IF($O759="","",IF($O759="CY","CY",IF(ISNUMBER(MATCH($O759,Lists!$A:$A,0)),"EU","3RD")))</f>
        <v/>
      </c>
      <c r="Q759" s="24" t="str">
        <f aca="false">IF($F759="","N",IFERROR(IF(INDEX(Counterparties!$E:$E,MATCH($F759&amp;"",Counterparties!$A:$A,0))="Y","Y","N"),"N"))</f>
        <v>N</v>
      </c>
      <c r="R759" s="25" t="n">
        <f aca="false">IF(OR($H759="",$H759="EUR"),1,IFERROR(INDEX(FX_Rates!$D:$D,MATCH($H759,FX_Rates!$A:$A,0)),""))</f>
        <v>1</v>
      </c>
      <c r="S759" s="26" t="str">
        <f aca="false">IF(AND($I759="",$J759=""),"",IF($J759&lt;&gt;"",$J759,IF(OR($R759="",$R759=0),"",ROUND($I759/$R759,2))))</f>
        <v/>
      </c>
      <c r="T759" s="24" t="str">
        <f aca="false">IF($N759="","",IFERROR(INDEX(VAT_Codes!$C:$C,MATCH($N759,VAT_Codes!$A:$A,0)),"")&amp;"")</f>
        <v/>
      </c>
      <c r="U759" s="26" t="n">
        <f aca="false">IF(OR($S759="",$T759="",$T759="None"),0,IF($T759="Output",-$S759,$S759))</f>
        <v>0</v>
      </c>
      <c r="V759" s="27" t="n">
        <f aca="false">IF($N759="",0,IFERROR(INDEX(VAT_Codes!$D:$D,MATCH($N759,VAT_Codes!$A:$A,0)),0))</f>
        <v>0</v>
      </c>
      <c r="W759" s="26" t="n">
        <f aca="false">IF($U759=0,0,IF(IFERROR(INDEX(VAT_Codes!$F:$F,MATCH($N759,VAT_Codes!$A:$A,0)),"N")="Y",$U759,IF($L759&lt;&gt;"",ROUND(ABS($L759)/IF(OR($R759="",$R759=0),1,$R759),2)*SIGN($U759),ROUND($U759*$V759,2))))</f>
        <v>0</v>
      </c>
      <c r="X759" s="24" t="str">
        <f aca="false">IF($N759="","",IFERROR(INDEX(VAT_Codes!$H:$H,MATCH($N759,VAT_Codes!$A:$A,0)),"")&amp;"")</f>
        <v/>
      </c>
      <c r="Y759" s="24" t="str">
        <f aca="false">IF($A759="","",(YEAR($A759)-YEAR(Settings!$C$8))*12+MONTH($A759)-MONTH(Settings!$C$8)+1)</f>
        <v/>
      </c>
      <c r="Z759" s="24" t="str">
        <f aca="false">IF(AND($C759="",$I759="",$J759=""),"",IF($N759="","NO VAT CODE",IF($T759="","UNKNOWN VAT CODE",IF($S759="","MISSING FX RATE",IF(OR($A759&lt;Settings!$C$8,$A759&gt;Settings!$C$9),"OUTSIDE PERIOD",IF(AND(IFERROR(INDEX(VAT_Codes!$E:$E,MATCH($N759,VAT_Codes!$A:$A,0)),"ANY")&lt;&gt;"ANY",$P759=""),"MISSING COUNTERPARTY COUNTRY",IF(AND(IFERROR(INDEX(VAT_Codes!$E:$E,MATCH($N759,VAT_Codes!$A:$A,0)),"ANY")&lt;&gt;"ANY",$P759&lt;&gt;IFERROR(INDEX(VAT_Codes!$E:$E,MATCH($N759,VAT_Codes!$A:$A,0)),"ANY")),"REGION MISMATCH","OK")))))))</f>
        <v/>
      </c>
    </row>
    <row r="760" customFormat="false" ht="15" hidden="false" customHeight="false" outlineLevel="0" collapsed="false">
      <c r="M760" s="24" t="str">
        <f aca="false">IF($C760="","",IFERROR(INDEX(Account_Mapping!$C:$C,MATCH($C760&amp;"",Account_Mapping!$A:$A,0))&amp;"",""))</f>
        <v/>
      </c>
      <c r="N760" s="24" t="str">
        <f aca="false">IF($K760&lt;&gt;"",$K760,$M760)</f>
        <v/>
      </c>
      <c r="O760" s="24" t="str">
        <f aca="false">IF($F760="","",IFERROR(INDEX(Counterparties!$C:$C,MATCH($F760&amp;"",Counterparties!$A:$A,0))&amp;"",""))</f>
        <v/>
      </c>
      <c r="P760" s="24" t="str">
        <f aca="false">IF($O760="","",IF($O760="CY","CY",IF(ISNUMBER(MATCH($O760,Lists!$A:$A,0)),"EU","3RD")))</f>
        <v/>
      </c>
      <c r="Q760" s="24" t="str">
        <f aca="false">IF($F760="","N",IFERROR(IF(INDEX(Counterparties!$E:$E,MATCH($F760&amp;"",Counterparties!$A:$A,0))="Y","Y","N"),"N"))</f>
        <v>N</v>
      </c>
      <c r="R760" s="25" t="n">
        <f aca="false">IF(OR($H760="",$H760="EUR"),1,IFERROR(INDEX(FX_Rates!$D:$D,MATCH($H760,FX_Rates!$A:$A,0)),""))</f>
        <v>1</v>
      </c>
      <c r="S760" s="26" t="str">
        <f aca="false">IF(AND($I760="",$J760=""),"",IF($J760&lt;&gt;"",$J760,IF(OR($R760="",$R760=0),"",ROUND($I760/$R760,2))))</f>
        <v/>
      </c>
      <c r="T760" s="24" t="str">
        <f aca="false">IF($N760="","",IFERROR(INDEX(VAT_Codes!$C:$C,MATCH($N760,VAT_Codes!$A:$A,0)),"")&amp;"")</f>
        <v/>
      </c>
      <c r="U760" s="26" t="n">
        <f aca="false">IF(OR($S760="",$T760="",$T760="None"),0,IF($T760="Output",-$S760,$S760))</f>
        <v>0</v>
      </c>
      <c r="V760" s="27" t="n">
        <f aca="false">IF($N760="",0,IFERROR(INDEX(VAT_Codes!$D:$D,MATCH($N760,VAT_Codes!$A:$A,0)),0))</f>
        <v>0</v>
      </c>
      <c r="W760" s="26" t="n">
        <f aca="false">IF($U760=0,0,IF(IFERROR(INDEX(VAT_Codes!$F:$F,MATCH($N760,VAT_Codes!$A:$A,0)),"N")="Y",$U760,IF($L760&lt;&gt;"",ROUND(ABS($L760)/IF(OR($R760="",$R760=0),1,$R760),2)*SIGN($U760),ROUND($U760*$V760,2))))</f>
        <v>0</v>
      </c>
      <c r="X760" s="24" t="str">
        <f aca="false">IF($N760="","",IFERROR(INDEX(VAT_Codes!$H:$H,MATCH($N760,VAT_Codes!$A:$A,0)),"")&amp;"")</f>
        <v/>
      </c>
      <c r="Y760" s="24" t="str">
        <f aca="false">IF($A760="","",(YEAR($A760)-YEAR(Settings!$C$8))*12+MONTH($A760)-MONTH(Settings!$C$8)+1)</f>
        <v/>
      </c>
      <c r="Z760" s="24" t="str">
        <f aca="false">IF(AND($C760="",$I760="",$J760=""),"",IF($N760="","NO VAT CODE",IF($T760="","UNKNOWN VAT CODE",IF($S760="","MISSING FX RATE",IF(OR($A760&lt;Settings!$C$8,$A760&gt;Settings!$C$9),"OUTSIDE PERIOD",IF(AND(IFERROR(INDEX(VAT_Codes!$E:$E,MATCH($N760,VAT_Codes!$A:$A,0)),"ANY")&lt;&gt;"ANY",$P760=""),"MISSING COUNTERPARTY COUNTRY",IF(AND(IFERROR(INDEX(VAT_Codes!$E:$E,MATCH($N760,VAT_Codes!$A:$A,0)),"ANY")&lt;&gt;"ANY",$P760&lt;&gt;IFERROR(INDEX(VAT_Codes!$E:$E,MATCH($N760,VAT_Codes!$A:$A,0)),"ANY")),"REGION MISMATCH","OK")))))))</f>
        <v/>
      </c>
    </row>
    <row r="761" customFormat="false" ht="15" hidden="false" customHeight="false" outlineLevel="0" collapsed="false">
      <c r="M761" s="24" t="str">
        <f aca="false">IF($C761="","",IFERROR(INDEX(Account_Mapping!$C:$C,MATCH($C761&amp;"",Account_Mapping!$A:$A,0))&amp;"",""))</f>
        <v/>
      </c>
      <c r="N761" s="24" t="str">
        <f aca="false">IF($K761&lt;&gt;"",$K761,$M761)</f>
        <v/>
      </c>
      <c r="O761" s="24" t="str">
        <f aca="false">IF($F761="","",IFERROR(INDEX(Counterparties!$C:$C,MATCH($F761&amp;"",Counterparties!$A:$A,0))&amp;"",""))</f>
        <v/>
      </c>
      <c r="P761" s="24" t="str">
        <f aca="false">IF($O761="","",IF($O761="CY","CY",IF(ISNUMBER(MATCH($O761,Lists!$A:$A,0)),"EU","3RD")))</f>
        <v/>
      </c>
      <c r="Q761" s="24" t="str">
        <f aca="false">IF($F761="","N",IFERROR(IF(INDEX(Counterparties!$E:$E,MATCH($F761&amp;"",Counterparties!$A:$A,0))="Y","Y","N"),"N"))</f>
        <v>N</v>
      </c>
      <c r="R761" s="25" t="n">
        <f aca="false">IF(OR($H761="",$H761="EUR"),1,IFERROR(INDEX(FX_Rates!$D:$D,MATCH($H761,FX_Rates!$A:$A,0)),""))</f>
        <v>1</v>
      </c>
      <c r="S761" s="26" t="str">
        <f aca="false">IF(AND($I761="",$J761=""),"",IF($J761&lt;&gt;"",$J761,IF(OR($R761="",$R761=0),"",ROUND($I761/$R761,2))))</f>
        <v/>
      </c>
      <c r="T761" s="24" t="str">
        <f aca="false">IF($N761="","",IFERROR(INDEX(VAT_Codes!$C:$C,MATCH($N761,VAT_Codes!$A:$A,0)),"")&amp;"")</f>
        <v/>
      </c>
      <c r="U761" s="26" t="n">
        <f aca="false">IF(OR($S761="",$T761="",$T761="None"),0,IF($T761="Output",-$S761,$S761))</f>
        <v>0</v>
      </c>
      <c r="V761" s="27" t="n">
        <f aca="false">IF($N761="",0,IFERROR(INDEX(VAT_Codes!$D:$D,MATCH($N761,VAT_Codes!$A:$A,0)),0))</f>
        <v>0</v>
      </c>
      <c r="W761" s="26" t="n">
        <f aca="false">IF($U761=0,0,IF(IFERROR(INDEX(VAT_Codes!$F:$F,MATCH($N761,VAT_Codes!$A:$A,0)),"N")="Y",$U761,IF($L761&lt;&gt;"",ROUND(ABS($L761)/IF(OR($R761="",$R761=0),1,$R761),2)*SIGN($U761),ROUND($U761*$V761,2))))</f>
        <v>0</v>
      </c>
      <c r="X761" s="24" t="str">
        <f aca="false">IF($N761="","",IFERROR(INDEX(VAT_Codes!$H:$H,MATCH($N761,VAT_Codes!$A:$A,0)),"")&amp;"")</f>
        <v/>
      </c>
      <c r="Y761" s="24" t="str">
        <f aca="false">IF($A761="","",(YEAR($A761)-YEAR(Settings!$C$8))*12+MONTH($A761)-MONTH(Settings!$C$8)+1)</f>
        <v/>
      </c>
      <c r="Z761" s="24" t="str">
        <f aca="false">IF(AND($C761="",$I761="",$J761=""),"",IF($N761="","NO VAT CODE",IF($T761="","UNKNOWN VAT CODE",IF($S761="","MISSING FX RATE",IF(OR($A761&lt;Settings!$C$8,$A761&gt;Settings!$C$9),"OUTSIDE PERIOD",IF(AND(IFERROR(INDEX(VAT_Codes!$E:$E,MATCH($N761,VAT_Codes!$A:$A,0)),"ANY")&lt;&gt;"ANY",$P761=""),"MISSING COUNTERPARTY COUNTRY",IF(AND(IFERROR(INDEX(VAT_Codes!$E:$E,MATCH($N761,VAT_Codes!$A:$A,0)),"ANY")&lt;&gt;"ANY",$P761&lt;&gt;IFERROR(INDEX(VAT_Codes!$E:$E,MATCH($N761,VAT_Codes!$A:$A,0)),"ANY")),"REGION MISMATCH","OK")))))))</f>
        <v/>
      </c>
    </row>
    <row r="762" customFormat="false" ht="15" hidden="false" customHeight="false" outlineLevel="0" collapsed="false">
      <c r="M762" s="24" t="str">
        <f aca="false">IF($C762="","",IFERROR(INDEX(Account_Mapping!$C:$C,MATCH($C762&amp;"",Account_Mapping!$A:$A,0))&amp;"",""))</f>
        <v/>
      </c>
      <c r="N762" s="24" t="str">
        <f aca="false">IF($K762&lt;&gt;"",$K762,$M762)</f>
        <v/>
      </c>
      <c r="O762" s="24" t="str">
        <f aca="false">IF($F762="","",IFERROR(INDEX(Counterparties!$C:$C,MATCH($F762&amp;"",Counterparties!$A:$A,0))&amp;"",""))</f>
        <v/>
      </c>
      <c r="P762" s="24" t="str">
        <f aca="false">IF($O762="","",IF($O762="CY","CY",IF(ISNUMBER(MATCH($O762,Lists!$A:$A,0)),"EU","3RD")))</f>
        <v/>
      </c>
      <c r="Q762" s="24" t="str">
        <f aca="false">IF($F762="","N",IFERROR(IF(INDEX(Counterparties!$E:$E,MATCH($F762&amp;"",Counterparties!$A:$A,0))="Y","Y","N"),"N"))</f>
        <v>N</v>
      </c>
      <c r="R762" s="25" t="n">
        <f aca="false">IF(OR($H762="",$H762="EUR"),1,IFERROR(INDEX(FX_Rates!$D:$D,MATCH($H762,FX_Rates!$A:$A,0)),""))</f>
        <v>1</v>
      </c>
      <c r="S762" s="26" t="str">
        <f aca="false">IF(AND($I762="",$J762=""),"",IF($J762&lt;&gt;"",$J762,IF(OR($R762="",$R762=0),"",ROUND($I762/$R762,2))))</f>
        <v/>
      </c>
      <c r="T762" s="24" t="str">
        <f aca="false">IF($N762="","",IFERROR(INDEX(VAT_Codes!$C:$C,MATCH($N762,VAT_Codes!$A:$A,0)),"")&amp;"")</f>
        <v/>
      </c>
      <c r="U762" s="26" t="n">
        <f aca="false">IF(OR($S762="",$T762="",$T762="None"),0,IF($T762="Output",-$S762,$S762))</f>
        <v>0</v>
      </c>
      <c r="V762" s="27" t="n">
        <f aca="false">IF($N762="",0,IFERROR(INDEX(VAT_Codes!$D:$D,MATCH($N762,VAT_Codes!$A:$A,0)),0))</f>
        <v>0</v>
      </c>
      <c r="W762" s="26" t="n">
        <f aca="false">IF($U762=0,0,IF(IFERROR(INDEX(VAT_Codes!$F:$F,MATCH($N762,VAT_Codes!$A:$A,0)),"N")="Y",$U762,IF($L762&lt;&gt;"",ROUND(ABS($L762)/IF(OR($R762="",$R762=0),1,$R762),2)*SIGN($U762),ROUND($U762*$V762,2))))</f>
        <v>0</v>
      </c>
      <c r="X762" s="24" t="str">
        <f aca="false">IF($N762="","",IFERROR(INDEX(VAT_Codes!$H:$H,MATCH($N762,VAT_Codes!$A:$A,0)),"")&amp;"")</f>
        <v/>
      </c>
      <c r="Y762" s="24" t="str">
        <f aca="false">IF($A762="","",(YEAR($A762)-YEAR(Settings!$C$8))*12+MONTH($A762)-MONTH(Settings!$C$8)+1)</f>
        <v/>
      </c>
      <c r="Z762" s="24" t="str">
        <f aca="false">IF(AND($C762="",$I762="",$J762=""),"",IF($N762="","NO VAT CODE",IF($T762="","UNKNOWN VAT CODE",IF($S762="","MISSING FX RATE",IF(OR($A762&lt;Settings!$C$8,$A762&gt;Settings!$C$9),"OUTSIDE PERIOD",IF(AND(IFERROR(INDEX(VAT_Codes!$E:$E,MATCH($N762,VAT_Codes!$A:$A,0)),"ANY")&lt;&gt;"ANY",$P762=""),"MISSING COUNTERPARTY COUNTRY",IF(AND(IFERROR(INDEX(VAT_Codes!$E:$E,MATCH($N762,VAT_Codes!$A:$A,0)),"ANY")&lt;&gt;"ANY",$P762&lt;&gt;IFERROR(INDEX(VAT_Codes!$E:$E,MATCH($N762,VAT_Codes!$A:$A,0)),"ANY")),"REGION MISMATCH","OK")))))))</f>
        <v/>
      </c>
    </row>
    <row r="763" customFormat="false" ht="15" hidden="false" customHeight="false" outlineLevel="0" collapsed="false">
      <c r="M763" s="24" t="str">
        <f aca="false">IF($C763="","",IFERROR(INDEX(Account_Mapping!$C:$C,MATCH($C763&amp;"",Account_Mapping!$A:$A,0))&amp;"",""))</f>
        <v/>
      </c>
      <c r="N763" s="24" t="str">
        <f aca="false">IF($K763&lt;&gt;"",$K763,$M763)</f>
        <v/>
      </c>
      <c r="O763" s="24" t="str">
        <f aca="false">IF($F763="","",IFERROR(INDEX(Counterparties!$C:$C,MATCH($F763&amp;"",Counterparties!$A:$A,0))&amp;"",""))</f>
        <v/>
      </c>
      <c r="P763" s="24" t="str">
        <f aca="false">IF($O763="","",IF($O763="CY","CY",IF(ISNUMBER(MATCH($O763,Lists!$A:$A,0)),"EU","3RD")))</f>
        <v/>
      </c>
      <c r="Q763" s="24" t="str">
        <f aca="false">IF($F763="","N",IFERROR(IF(INDEX(Counterparties!$E:$E,MATCH($F763&amp;"",Counterparties!$A:$A,0))="Y","Y","N"),"N"))</f>
        <v>N</v>
      </c>
      <c r="R763" s="25" t="n">
        <f aca="false">IF(OR($H763="",$H763="EUR"),1,IFERROR(INDEX(FX_Rates!$D:$D,MATCH($H763,FX_Rates!$A:$A,0)),""))</f>
        <v>1</v>
      </c>
      <c r="S763" s="26" t="str">
        <f aca="false">IF(AND($I763="",$J763=""),"",IF($J763&lt;&gt;"",$J763,IF(OR($R763="",$R763=0),"",ROUND($I763/$R763,2))))</f>
        <v/>
      </c>
      <c r="T763" s="24" t="str">
        <f aca="false">IF($N763="","",IFERROR(INDEX(VAT_Codes!$C:$C,MATCH($N763,VAT_Codes!$A:$A,0)),"")&amp;"")</f>
        <v/>
      </c>
      <c r="U763" s="26" t="n">
        <f aca="false">IF(OR($S763="",$T763="",$T763="None"),0,IF($T763="Output",-$S763,$S763))</f>
        <v>0</v>
      </c>
      <c r="V763" s="27" t="n">
        <f aca="false">IF($N763="",0,IFERROR(INDEX(VAT_Codes!$D:$D,MATCH($N763,VAT_Codes!$A:$A,0)),0))</f>
        <v>0</v>
      </c>
      <c r="W763" s="26" t="n">
        <f aca="false">IF($U763=0,0,IF(IFERROR(INDEX(VAT_Codes!$F:$F,MATCH($N763,VAT_Codes!$A:$A,0)),"N")="Y",$U763,IF($L763&lt;&gt;"",ROUND(ABS($L763)/IF(OR($R763="",$R763=0),1,$R763),2)*SIGN($U763),ROUND($U763*$V763,2))))</f>
        <v>0</v>
      </c>
      <c r="X763" s="24" t="str">
        <f aca="false">IF($N763="","",IFERROR(INDEX(VAT_Codes!$H:$H,MATCH($N763,VAT_Codes!$A:$A,0)),"")&amp;"")</f>
        <v/>
      </c>
      <c r="Y763" s="24" t="str">
        <f aca="false">IF($A763="","",(YEAR($A763)-YEAR(Settings!$C$8))*12+MONTH($A763)-MONTH(Settings!$C$8)+1)</f>
        <v/>
      </c>
      <c r="Z763" s="24" t="str">
        <f aca="false">IF(AND($C763="",$I763="",$J763=""),"",IF($N763="","NO VAT CODE",IF($T763="","UNKNOWN VAT CODE",IF($S763="","MISSING FX RATE",IF(OR($A763&lt;Settings!$C$8,$A763&gt;Settings!$C$9),"OUTSIDE PERIOD",IF(AND(IFERROR(INDEX(VAT_Codes!$E:$E,MATCH($N763,VAT_Codes!$A:$A,0)),"ANY")&lt;&gt;"ANY",$P763=""),"MISSING COUNTERPARTY COUNTRY",IF(AND(IFERROR(INDEX(VAT_Codes!$E:$E,MATCH($N763,VAT_Codes!$A:$A,0)),"ANY")&lt;&gt;"ANY",$P763&lt;&gt;IFERROR(INDEX(VAT_Codes!$E:$E,MATCH($N763,VAT_Codes!$A:$A,0)),"ANY")),"REGION MISMATCH","OK")))))))</f>
        <v/>
      </c>
    </row>
    <row r="764" customFormat="false" ht="15" hidden="false" customHeight="false" outlineLevel="0" collapsed="false">
      <c r="M764" s="24" t="str">
        <f aca="false">IF($C764="","",IFERROR(INDEX(Account_Mapping!$C:$C,MATCH($C764&amp;"",Account_Mapping!$A:$A,0))&amp;"",""))</f>
        <v/>
      </c>
      <c r="N764" s="24" t="str">
        <f aca="false">IF($K764&lt;&gt;"",$K764,$M764)</f>
        <v/>
      </c>
      <c r="O764" s="24" t="str">
        <f aca="false">IF($F764="","",IFERROR(INDEX(Counterparties!$C:$C,MATCH($F764&amp;"",Counterparties!$A:$A,0))&amp;"",""))</f>
        <v/>
      </c>
      <c r="P764" s="24" t="str">
        <f aca="false">IF($O764="","",IF($O764="CY","CY",IF(ISNUMBER(MATCH($O764,Lists!$A:$A,0)),"EU","3RD")))</f>
        <v/>
      </c>
      <c r="Q764" s="24" t="str">
        <f aca="false">IF($F764="","N",IFERROR(IF(INDEX(Counterparties!$E:$E,MATCH($F764&amp;"",Counterparties!$A:$A,0))="Y","Y","N"),"N"))</f>
        <v>N</v>
      </c>
      <c r="R764" s="25" t="n">
        <f aca="false">IF(OR($H764="",$H764="EUR"),1,IFERROR(INDEX(FX_Rates!$D:$D,MATCH($H764,FX_Rates!$A:$A,0)),""))</f>
        <v>1</v>
      </c>
      <c r="S764" s="26" t="str">
        <f aca="false">IF(AND($I764="",$J764=""),"",IF($J764&lt;&gt;"",$J764,IF(OR($R764="",$R764=0),"",ROUND($I764/$R764,2))))</f>
        <v/>
      </c>
      <c r="T764" s="24" t="str">
        <f aca="false">IF($N764="","",IFERROR(INDEX(VAT_Codes!$C:$C,MATCH($N764,VAT_Codes!$A:$A,0)),"")&amp;"")</f>
        <v/>
      </c>
      <c r="U764" s="26" t="n">
        <f aca="false">IF(OR($S764="",$T764="",$T764="None"),0,IF($T764="Output",-$S764,$S764))</f>
        <v>0</v>
      </c>
      <c r="V764" s="27" t="n">
        <f aca="false">IF($N764="",0,IFERROR(INDEX(VAT_Codes!$D:$D,MATCH($N764,VAT_Codes!$A:$A,0)),0))</f>
        <v>0</v>
      </c>
      <c r="W764" s="26" t="n">
        <f aca="false">IF($U764=0,0,IF(IFERROR(INDEX(VAT_Codes!$F:$F,MATCH($N764,VAT_Codes!$A:$A,0)),"N")="Y",$U764,IF($L764&lt;&gt;"",ROUND(ABS($L764)/IF(OR($R764="",$R764=0),1,$R764),2)*SIGN($U764),ROUND($U764*$V764,2))))</f>
        <v>0</v>
      </c>
      <c r="X764" s="24" t="str">
        <f aca="false">IF($N764="","",IFERROR(INDEX(VAT_Codes!$H:$H,MATCH($N764,VAT_Codes!$A:$A,0)),"")&amp;"")</f>
        <v/>
      </c>
      <c r="Y764" s="24" t="str">
        <f aca="false">IF($A764="","",(YEAR($A764)-YEAR(Settings!$C$8))*12+MONTH($A764)-MONTH(Settings!$C$8)+1)</f>
        <v/>
      </c>
      <c r="Z764" s="24" t="str">
        <f aca="false">IF(AND($C764="",$I764="",$J764=""),"",IF($N764="","NO VAT CODE",IF($T764="","UNKNOWN VAT CODE",IF($S764="","MISSING FX RATE",IF(OR($A764&lt;Settings!$C$8,$A764&gt;Settings!$C$9),"OUTSIDE PERIOD",IF(AND(IFERROR(INDEX(VAT_Codes!$E:$E,MATCH($N764,VAT_Codes!$A:$A,0)),"ANY")&lt;&gt;"ANY",$P764=""),"MISSING COUNTERPARTY COUNTRY",IF(AND(IFERROR(INDEX(VAT_Codes!$E:$E,MATCH($N764,VAT_Codes!$A:$A,0)),"ANY")&lt;&gt;"ANY",$P764&lt;&gt;IFERROR(INDEX(VAT_Codes!$E:$E,MATCH($N764,VAT_Codes!$A:$A,0)),"ANY")),"REGION MISMATCH","OK")))))))</f>
        <v/>
      </c>
    </row>
    <row r="765" customFormat="false" ht="15" hidden="false" customHeight="false" outlineLevel="0" collapsed="false">
      <c r="M765" s="24" t="str">
        <f aca="false">IF($C765="","",IFERROR(INDEX(Account_Mapping!$C:$C,MATCH($C765&amp;"",Account_Mapping!$A:$A,0))&amp;"",""))</f>
        <v/>
      </c>
      <c r="N765" s="24" t="str">
        <f aca="false">IF($K765&lt;&gt;"",$K765,$M765)</f>
        <v/>
      </c>
      <c r="O765" s="24" t="str">
        <f aca="false">IF($F765="","",IFERROR(INDEX(Counterparties!$C:$C,MATCH($F765&amp;"",Counterparties!$A:$A,0))&amp;"",""))</f>
        <v/>
      </c>
      <c r="P765" s="24" t="str">
        <f aca="false">IF($O765="","",IF($O765="CY","CY",IF(ISNUMBER(MATCH($O765,Lists!$A:$A,0)),"EU","3RD")))</f>
        <v/>
      </c>
      <c r="Q765" s="24" t="str">
        <f aca="false">IF($F765="","N",IFERROR(IF(INDEX(Counterparties!$E:$E,MATCH($F765&amp;"",Counterparties!$A:$A,0))="Y","Y","N"),"N"))</f>
        <v>N</v>
      </c>
      <c r="R765" s="25" t="n">
        <f aca="false">IF(OR($H765="",$H765="EUR"),1,IFERROR(INDEX(FX_Rates!$D:$D,MATCH($H765,FX_Rates!$A:$A,0)),""))</f>
        <v>1</v>
      </c>
      <c r="S765" s="26" t="str">
        <f aca="false">IF(AND($I765="",$J765=""),"",IF($J765&lt;&gt;"",$J765,IF(OR($R765="",$R765=0),"",ROUND($I765/$R765,2))))</f>
        <v/>
      </c>
      <c r="T765" s="24" t="str">
        <f aca="false">IF($N765="","",IFERROR(INDEX(VAT_Codes!$C:$C,MATCH($N765,VAT_Codes!$A:$A,0)),"")&amp;"")</f>
        <v/>
      </c>
      <c r="U765" s="26" t="n">
        <f aca="false">IF(OR($S765="",$T765="",$T765="None"),0,IF($T765="Output",-$S765,$S765))</f>
        <v>0</v>
      </c>
      <c r="V765" s="27" t="n">
        <f aca="false">IF($N765="",0,IFERROR(INDEX(VAT_Codes!$D:$D,MATCH($N765,VAT_Codes!$A:$A,0)),0))</f>
        <v>0</v>
      </c>
      <c r="W765" s="26" t="n">
        <f aca="false">IF($U765=0,0,IF(IFERROR(INDEX(VAT_Codes!$F:$F,MATCH($N765,VAT_Codes!$A:$A,0)),"N")="Y",$U765,IF($L765&lt;&gt;"",ROUND(ABS($L765)/IF(OR($R765="",$R765=0),1,$R765),2)*SIGN($U765),ROUND($U765*$V765,2))))</f>
        <v>0</v>
      </c>
      <c r="X765" s="24" t="str">
        <f aca="false">IF($N765="","",IFERROR(INDEX(VAT_Codes!$H:$H,MATCH($N765,VAT_Codes!$A:$A,0)),"")&amp;"")</f>
        <v/>
      </c>
      <c r="Y765" s="24" t="str">
        <f aca="false">IF($A765="","",(YEAR($A765)-YEAR(Settings!$C$8))*12+MONTH($A765)-MONTH(Settings!$C$8)+1)</f>
        <v/>
      </c>
      <c r="Z765" s="24" t="str">
        <f aca="false">IF(AND($C765="",$I765="",$J765=""),"",IF($N765="","NO VAT CODE",IF($T765="","UNKNOWN VAT CODE",IF($S765="","MISSING FX RATE",IF(OR($A765&lt;Settings!$C$8,$A765&gt;Settings!$C$9),"OUTSIDE PERIOD",IF(AND(IFERROR(INDEX(VAT_Codes!$E:$E,MATCH($N765,VAT_Codes!$A:$A,0)),"ANY")&lt;&gt;"ANY",$P765=""),"MISSING COUNTERPARTY COUNTRY",IF(AND(IFERROR(INDEX(VAT_Codes!$E:$E,MATCH($N765,VAT_Codes!$A:$A,0)),"ANY")&lt;&gt;"ANY",$P765&lt;&gt;IFERROR(INDEX(VAT_Codes!$E:$E,MATCH($N765,VAT_Codes!$A:$A,0)),"ANY")),"REGION MISMATCH","OK")))))))</f>
        <v/>
      </c>
    </row>
    <row r="766" customFormat="false" ht="15" hidden="false" customHeight="false" outlineLevel="0" collapsed="false">
      <c r="M766" s="24" t="str">
        <f aca="false">IF($C766="","",IFERROR(INDEX(Account_Mapping!$C:$C,MATCH($C766&amp;"",Account_Mapping!$A:$A,0))&amp;"",""))</f>
        <v/>
      </c>
      <c r="N766" s="24" t="str">
        <f aca="false">IF($K766&lt;&gt;"",$K766,$M766)</f>
        <v/>
      </c>
      <c r="O766" s="24" t="str">
        <f aca="false">IF($F766="","",IFERROR(INDEX(Counterparties!$C:$C,MATCH($F766&amp;"",Counterparties!$A:$A,0))&amp;"",""))</f>
        <v/>
      </c>
      <c r="P766" s="24" t="str">
        <f aca="false">IF($O766="","",IF($O766="CY","CY",IF(ISNUMBER(MATCH($O766,Lists!$A:$A,0)),"EU","3RD")))</f>
        <v/>
      </c>
      <c r="Q766" s="24" t="str">
        <f aca="false">IF($F766="","N",IFERROR(IF(INDEX(Counterparties!$E:$E,MATCH($F766&amp;"",Counterparties!$A:$A,0))="Y","Y","N"),"N"))</f>
        <v>N</v>
      </c>
      <c r="R766" s="25" t="n">
        <f aca="false">IF(OR($H766="",$H766="EUR"),1,IFERROR(INDEX(FX_Rates!$D:$D,MATCH($H766,FX_Rates!$A:$A,0)),""))</f>
        <v>1</v>
      </c>
      <c r="S766" s="26" t="str">
        <f aca="false">IF(AND($I766="",$J766=""),"",IF($J766&lt;&gt;"",$J766,IF(OR($R766="",$R766=0),"",ROUND($I766/$R766,2))))</f>
        <v/>
      </c>
      <c r="T766" s="24" t="str">
        <f aca="false">IF($N766="","",IFERROR(INDEX(VAT_Codes!$C:$C,MATCH($N766,VAT_Codes!$A:$A,0)),"")&amp;"")</f>
        <v/>
      </c>
      <c r="U766" s="26" t="n">
        <f aca="false">IF(OR($S766="",$T766="",$T766="None"),0,IF($T766="Output",-$S766,$S766))</f>
        <v>0</v>
      </c>
      <c r="V766" s="27" t="n">
        <f aca="false">IF($N766="",0,IFERROR(INDEX(VAT_Codes!$D:$D,MATCH($N766,VAT_Codes!$A:$A,0)),0))</f>
        <v>0</v>
      </c>
      <c r="W766" s="26" t="n">
        <f aca="false">IF($U766=0,0,IF(IFERROR(INDEX(VAT_Codes!$F:$F,MATCH($N766,VAT_Codes!$A:$A,0)),"N")="Y",$U766,IF($L766&lt;&gt;"",ROUND(ABS($L766)/IF(OR($R766="",$R766=0),1,$R766),2)*SIGN($U766),ROUND($U766*$V766,2))))</f>
        <v>0</v>
      </c>
      <c r="X766" s="24" t="str">
        <f aca="false">IF($N766="","",IFERROR(INDEX(VAT_Codes!$H:$H,MATCH($N766,VAT_Codes!$A:$A,0)),"")&amp;"")</f>
        <v/>
      </c>
      <c r="Y766" s="24" t="str">
        <f aca="false">IF($A766="","",(YEAR($A766)-YEAR(Settings!$C$8))*12+MONTH($A766)-MONTH(Settings!$C$8)+1)</f>
        <v/>
      </c>
      <c r="Z766" s="24" t="str">
        <f aca="false">IF(AND($C766="",$I766="",$J766=""),"",IF($N766="","NO VAT CODE",IF($T766="","UNKNOWN VAT CODE",IF($S766="","MISSING FX RATE",IF(OR($A766&lt;Settings!$C$8,$A766&gt;Settings!$C$9),"OUTSIDE PERIOD",IF(AND(IFERROR(INDEX(VAT_Codes!$E:$E,MATCH($N766,VAT_Codes!$A:$A,0)),"ANY")&lt;&gt;"ANY",$P766=""),"MISSING COUNTERPARTY COUNTRY",IF(AND(IFERROR(INDEX(VAT_Codes!$E:$E,MATCH($N766,VAT_Codes!$A:$A,0)),"ANY")&lt;&gt;"ANY",$P766&lt;&gt;IFERROR(INDEX(VAT_Codes!$E:$E,MATCH($N766,VAT_Codes!$A:$A,0)),"ANY")),"REGION MISMATCH","OK")))))))</f>
        <v/>
      </c>
    </row>
    <row r="767" customFormat="false" ht="15" hidden="false" customHeight="false" outlineLevel="0" collapsed="false">
      <c r="M767" s="24" t="str">
        <f aca="false">IF($C767="","",IFERROR(INDEX(Account_Mapping!$C:$C,MATCH($C767&amp;"",Account_Mapping!$A:$A,0))&amp;"",""))</f>
        <v/>
      </c>
      <c r="N767" s="24" t="str">
        <f aca="false">IF($K767&lt;&gt;"",$K767,$M767)</f>
        <v/>
      </c>
      <c r="O767" s="24" t="str">
        <f aca="false">IF($F767="","",IFERROR(INDEX(Counterparties!$C:$C,MATCH($F767&amp;"",Counterparties!$A:$A,0))&amp;"",""))</f>
        <v/>
      </c>
      <c r="P767" s="24" t="str">
        <f aca="false">IF($O767="","",IF($O767="CY","CY",IF(ISNUMBER(MATCH($O767,Lists!$A:$A,0)),"EU","3RD")))</f>
        <v/>
      </c>
      <c r="Q767" s="24" t="str">
        <f aca="false">IF($F767="","N",IFERROR(IF(INDEX(Counterparties!$E:$E,MATCH($F767&amp;"",Counterparties!$A:$A,0))="Y","Y","N"),"N"))</f>
        <v>N</v>
      </c>
      <c r="R767" s="25" t="n">
        <f aca="false">IF(OR($H767="",$H767="EUR"),1,IFERROR(INDEX(FX_Rates!$D:$D,MATCH($H767,FX_Rates!$A:$A,0)),""))</f>
        <v>1</v>
      </c>
      <c r="S767" s="26" t="str">
        <f aca="false">IF(AND($I767="",$J767=""),"",IF($J767&lt;&gt;"",$J767,IF(OR($R767="",$R767=0),"",ROUND($I767/$R767,2))))</f>
        <v/>
      </c>
      <c r="T767" s="24" t="str">
        <f aca="false">IF($N767="","",IFERROR(INDEX(VAT_Codes!$C:$C,MATCH($N767,VAT_Codes!$A:$A,0)),"")&amp;"")</f>
        <v/>
      </c>
      <c r="U767" s="26" t="n">
        <f aca="false">IF(OR($S767="",$T767="",$T767="None"),0,IF($T767="Output",-$S767,$S767))</f>
        <v>0</v>
      </c>
      <c r="V767" s="27" t="n">
        <f aca="false">IF($N767="",0,IFERROR(INDEX(VAT_Codes!$D:$D,MATCH($N767,VAT_Codes!$A:$A,0)),0))</f>
        <v>0</v>
      </c>
      <c r="W767" s="26" t="n">
        <f aca="false">IF($U767=0,0,IF(IFERROR(INDEX(VAT_Codes!$F:$F,MATCH($N767,VAT_Codes!$A:$A,0)),"N")="Y",$U767,IF($L767&lt;&gt;"",ROUND(ABS($L767)/IF(OR($R767="",$R767=0),1,$R767),2)*SIGN($U767),ROUND($U767*$V767,2))))</f>
        <v>0</v>
      </c>
      <c r="X767" s="24" t="str">
        <f aca="false">IF($N767="","",IFERROR(INDEX(VAT_Codes!$H:$H,MATCH($N767,VAT_Codes!$A:$A,0)),"")&amp;"")</f>
        <v/>
      </c>
      <c r="Y767" s="24" t="str">
        <f aca="false">IF($A767="","",(YEAR($A767)-YEAR(Settings!$C$8))*12+MONTH($A767)-MONTH(Settings!$C$8)+1)</f>
        <v/>
      </c>
      <c r="Z767" s="24" t="str">
        <f aca="false">IF(AND($C767="",$I767="",$J767=""),"",IF($N767="","NO VAT CODE",IF($T767="","UNKNOWN VAT CODE",IF($S767="","MISSING FX RATE",IF(OR($A767&lt;Settings!$C$8,$A767&gt;Settings!$C$9),"OUTSIDE PERIOD",IF(AND(IFERROR(INDEX(VAT_Codes!$E:$E,MATCH($N767,VAT_Codes!$A:$A,0)),"ANY")&lt;&gt;"ANY",$P767=""),"MISSING COUNTERPARTY COUNTRY",IF(AND(IFERROR(INDEX(VAT_Codes!$E:$E,MATCH($N767,VAT_Codes!$A:$A,0)),"ANY")&lt;&gt;"ANY",$P767&lt;&gt;IFERROR(INDEX(VAT_Codes!$E:$E,MATCH($N767,VAT_Codes!$A:$A,0)),"ANY")),"REGION MISMATCH","OK")))))))</f>
        <v/>
      </c>
    </row>
    <row r="768" customFormat="false" ht="15" hidden="false" customHeight="false" outlineLevel="0" collapsed="false">
      <c r="M768" s="24" t="str">
        <f aca="false">IF($C768="","",IFERROR(INDEX(Account_Mapping!$C:$C,MATCH($C768&amp;"",Account_Mapping!$A:$A,0))&amp;"",""))</f>
        <v/>
      </c>
      <c r="N768" s="24" t="str">
        <f aca="false">IF($K768&lt;&gt;"",$K768,$M768)</f>
        <v/>
      </c>
      <c r="O768" s="24" t="str">
        <f aca="false">IF($F768="","",IFERROR(INDEX(Counterparties!$C:$C,MATCH($F768&amp;"",Counterparties!$A:$A,0))&amp;"",""))</f>
        <v/>
      </c>
      <c r="P768" s="24" t="str">
        <f aca="false">IF($O768="","",IF($O768="CY","CY",IF(ISNUMBER(MATCH($O768,Lists!$A:$A,0)),"EU","3RD")))</f>
        <v/>
      </c>
      <c r="Q768" s="24" t="str">
        <f aca="false">IF($F768="","N",IFERROR(IF(INDEX(Counterparties!$E:$E,MATCH($F768&amp;"",Counterparties!$A:$A,0))="Y","Y","N"),"N"))</f>
        <v>N</v>
      </c>
      <c r="R768" s="25" t="n">
        <f aca="false">IF(OR($H768="",$H768="EUR"),1,IFERROR(INDEX(FX_Rates!$D:$D,MATCH($H768,FX_Rates!$A:$A,0)),""))</f>
        <v>1</v>
      </c>
      <c r="S768" s="26" t="str">
        <f aca="false">IF(AND($I768="",$J768=""),"",IF($J768&lt;&gt;"",$J768,IF(OR($R768="",$R768=0),"",ROUND($I768/$R768,2))))</f>
        <v/>
      </c>
      <c r="T768" s="24" t="str">
        <f aca="false">IF($N768="","",IFERROR(INDEX(VAT_Codes!$C:$C,MATCH($N768,VAT_Codes!$A:$A,0)),"")&amp;"")</f>
        <v/>
      </c>
      <c r="U768" s="26" t="n">
        <f aca="false">IF(OR($S768="",$T768="",$T768="None"),0,IF($T768="Output",-$S768,$S768))</f>
        <v>0</v>
      </c>
      <c r="V768" s="27" t="n">
        <f aca="false">IF($N768="",0,IFERROR(INDEX(VAT_Codes!$D:$D,MATCH($N768,VAT_Codes!$A:$A,0)),0))</f>
        <v>0</v>
      </c>
      <c r="W768" s="26" t="n">
        <f aca="false">IF($U768=0,0,IF(IFERROR(INDEX(VAT_Codes!$F:$F,MATCH($N768,VAT_Codes!$A:$A,0)),"N")="Y",$U768,IF($L768&lt;&gt;"",ROUND(ABS($L768)/IF(OR($R768="",$R768=0),1,$R768),2)*SIGN($U768),ROUND($U768*$V768,2))))</f>
        <v>0</v>
      </c>
      <c r="X768" s="24" t="str">
        <f aca="false">IF($N768="","",IFERROR(INDEX(VAT_Codes!$H:$H,MATCH($N768,VAT_Codes!$A:$A,0)),"")&amp;"")</f>
        <v/>
      </c>
      <c r="Y768" s="24" t="str">
        <f aca="false">IF($A768="","",(YEAR($A768)-YEAR(Settings!$C$8))*12+MONTH($A768)-MONTH(Settings!$C$8)+1)</f>
        <v/>
      </c>
      <c r="Z768" s="24" t="str">
        <f aca="false">IF(AND($C768="",$I768="",$J768=""),"",IF($N768="","NO VAT CODE",IF($T768="","UNKNOWN VAT CODE",IF($S768="","MISSING FX RATE",IF(OR($A768&lt;Settings!$C$8,$A768&gt;Settings!$C$9),"OUTSIDE PERIOD",IF(AND(IFERROR(INDEX(VAT_Codes!$E:$E,MATCH($N768,VAT_Codes!$A:$A,0)),"ANY")&lt;&gt;"ANY",$P768=""),"MISSING COUNTERPARTY COUNTRY",IF(AND(IFERROR(INDEX(VAT_Codes!$E:$E,MATCH($N768,VAT_Codes!$A:$A,0)),"ANY")&lt;&gt;"ANY",$P768&lt;&gt;IFERROR(INDEX(VAT_Codes!$E:$E,MATCH($N768,VAT_Codes!$A:$A,0)),"ANY")),"REGION MISMATCH","OK")))))))</f>
        <v/>
      </c>
    </row>
    <row r="769" customFormat="false" ht="15" hidden="false" customHeight="false" outlineLevel="0" collapsed="false">
      <c r="M769" s="24" t="str">
        <f aca="false">IF($C769="","",IFERROR(INDEX(Account_Mapping!$C:$C,MATCH($C769&amp;"",Account_Mapping!$A:$A,0))&amp;"",""))</f>
        <v/>
      </c>
      <c r="N769" s="24" t="str">
        <f aca="false">IF($K769&lt;&gt;"",$K769,$M769)</f>
        <v/>
      </c>
      <c r="O769" s="24" t="str">
        <f aca="false">IF($F769="","",IFERROR(INDEX(Counterparties!$C:$C,MATCH($F769&amp;"",Counterparties!$A:$A,0))&amp;"",""))</f>
        <v/>
      </c>
      <c r="P769" s="24" t="str">
        <f aca="false">IF($O769="","",IF($O769="CY","CY",IF(ISNUMBER(MATCH($O769,Lists!$A:$A,0)),"EU","3RD")))</f>
        <v/>
      </c>
      <c r="Q769" s="24" t="str">
        <f aca="false">IF($F769="","N",IFERROR(IF(INDEX(Counterparties!$E:$E,MATCH($F769&amp;"",Counterparties!$A:$A,0))="Y","Y","N"),"N"))</f>
        <v>N</v>
      </c>
      <c r="R769" s="25" t="n">
        <f aca="false">IF(OR($H769="",$H769="EUR"),1,IFERROR(INDEX(FX_Rates!$D:$D,MATCH($H769,FX_Rates!$A:$A,0)),""))</f>
        <v>1</v>
      </c>
      <c r="S769" s="26" t="str">
        <f aca="false">IF(AND($I769="",$J769=""),"",IF($J769&lt;&gt;"",$J769,IF(OR($R769="",$R769=0),"",ROUND($I769/$R769,2))))</f>
        <v/>
      </c>
      <c r="T769" s="24" t="str">
        <f aca="false">IF($N769="","",IFERROR(INDEX(VAT_Codes!$C:$C,MATCH($N769,VAT_Codes!$A:$A,0)),"")&amp;"")</f>
        <v/>
      </c>
      <c r="U769" s="26" t="n">
        <f aca="false">IF(OR($S769="",$T769="",$T769="None"),0,IF($T769="Output",-$S769,$S769))</f>
        <v>0</v>
      </c>
      <c r="V769" s="27" t="n">
        <f aca="false">IF($N769="",0,IFERROR(INDEX(VAT_Codes!$D:$D,MATCH($N769,VAT_Codes!$A:$A,0)),0))</f>
        <v>0</v>
      </c>
      <c r="W769" s="26" t="n">
        <f aca="false">IF($U769=0,0,IF(IFERROR(INDEX(VAT_Codes!$F:$F,MATCH($N769,VAT_Codes!$A:$A,0)),"N")="Y",$U769,IF($L769&lt;&gt;"",ROUND(ABS($L769)/IF(OR($R769="",$R769=0),1,$R769),2)*SIGN($U769),ROUND($U769*$V769,2))))</f>
        <v>0</v>
      </c>
      <c r="X769" s="24" t="str">
        <f aca="false">IF($N769="","",IFERROR(INDEX(VAT_Codes!$H:$H,MATCH($N769,VAT_Codes!$A:$A,0)),"")&amp;"")</f>
        <v/>
      </c>
      <c r="Y769" s="24" t="str">
        <f aca="false">IF($A769="","",(YEAR($A769)-YEAR(Settings!$C$8))*12+MONTH($A769)-MONTH(Settings!$C$8)+1)</f>
        <v/>
      </c>
      <c r="Z769" s="24" t="str">
        <f aca="false">IF(AND($C769="",$I769="",$J769=""),"",IF($N769="","NO VAT CODE",IF($T769="","UNKNOWN VAT CODE",IF($S769="","MISSING FX RATE",IF(OR($A769&lt;Settings!$C$8,$A769&gt;Settings!$C$9),"OUTSIDE PERIOD",IF(AND(IFERROR(INDEX(VAT_Codes!$E:$E,MATCH($N769,VAT_Codes!$A:$A,0)),"ANY")&lt;&gt;"ANY",$P769=""),"MISSING COUNTERPARTY COUNTRY",IF(AND(IFERROR(INDEX(VAT_Codes!$E:$E,MATCH($N769,VAT_Codes!$A:$A,0)),"ANY")&lt;&gt;"ANY",$P769&lt;&gt;IFERROR(INDEX(VAT_Codes!$E:$E,MATCH($N769,VAT_Codes!$A:$A,0)),"ANY")),"REGION MISMATCH","OK")))))))</f>
        <v/>
      </c>
    </row>
    <row r="770" customFormat="false" ht="15" hidden="false" customHeight="false" outlineLevel="0" collapsed="false">
      <c r="M770" s="24" t="str">
        <f aca="false">IF($C770="","",IFERROR(INDEX(Account_Mapping!$C:$C,MATCH($C770&amp;"",Account_Mapping!$A:$A,0))&amp;"",""))</f>
        <v/>
      </c>
      <c r="N770" s="24" t="str">
        <f aca="false">IF($K770&lt;&gt;"",$K770,$M770)</f>
        <v/>
      </c>
      <c r="O770" s="24" t="str">
        <f aca="false">IF($F770="","",IFERROR(INDEX(Counterparties!$C:$C,MATCH($F770&amp;"",Counterparties!$A:$A,0))&amp;"",""))</f>
        <v/>
      </c>
      <c r="P770" s="24" t="str">
        <f aca="false">IF($O770="","",IF($O770="CY","CY",IF(ISNUMBER(MATCH($O770,Lists!$A:$A,0)),"EU","3RD")))</f>
        <v/>
      </c>
      <c r="Q770" s="24" t="str">
        <f aca="false">IF($F770="","N",IFERROR(IF(INDEX(Counterparties!$E:$E,MATCH($F770&amp;"",Counterparties!$A:$A,0))="Y","Y","N"),"N"))</f>
        <v>N</v>
      </c>
      <c r="R770" s="25" t="n">
        <f aca="false">IF(OR($H770="",$H770="EUR"),1,IFERROR(INDEX(FX_Rates!$D:$D,MATCH($H770,FX_Rates!$A:$A,0)),""))</f>
        <v>1</v>
      </c>
      <c r="S770" s="26" t="str">
        <f aca="false">IF(AND($I770="",$J770=""),"",IF($J770&lt;&gt;"",$J770,IF(OR($R770="",$R770=0),"",ROUND($I770/$R770,2))))</f>
        <v/>
      </c>
      <c r="T770" s="24" t="str">
        <f aca="false">IF($N770="","",IFERROR(INDEX(VAT_Codes!$C:$C,MATCH($N770,VAT_Codes!$A:$A,0)),"")&amp;"")</f>
        <v/>
      </c>
      <c r="U770" s="26" t="n">
        <f aca="false">IF(OR($S770="",$T770="",$T770="None"),0,IF($T770="Output",-$S770,$S770))</f>
        <v>0</v>
      </c>
      <c r="V770" s="27" t="n">
        <f aca="false">IF($N770="",0,IFERROR(INDEX(VAT_Codes!$D:$D,MATCH($N770,VAT_Codes!$A:$A,0)),0))</f>
        <v>0</v>
      </c>
      <c r="W770" s="26" t="n">
        <f aca="false">IF($U770=0,0,IF(IFERROR(INDEX(VAT_Codes!$F:$F,MATCH($N770,VAT_Codes!$A:$A,0)),"N")="Y",$U770,IF($L770&lt;&gt;"",ROUND(ABS($L770)/IF(OR($R770="",$R770=0),1,$R770),2)*SIGN($U770),ROUND($U770*$V770,2))))</f>
        <v>0</v>
      </c>
      <c r="X770" s="24" t="str">
        <f aca="false">IF($N770="","",IFERROR(INDEX(VAT_Codes!$H:$H,MATCH($N770,VAT_Codes!$A:$A,0)),"")&amp;"")</f>
        <v/>
      </c>
      <c r="Y770" s="24" t="str">
        <f aca="false">IF($A770="","",(YEAR($A770)-YEAR(Settings!$C$8))*12+MONTH($A770)-MONTH(Settings!$C$8)+1)</f>
        <v/>
      </c>
      <c r="Z770" s="24" t="str">
        <f aca="false">IF(AND($C770="",$I770="",$J770=""),"",IF($N770="","NO VAT CODE",IF($T770="","UNKNOWN VAT CODE",IF($S770="","MISSING FX RATE",IF(OR($A770&lt;Settings!$C$8,$A770&gt;Settings!$C$9),"OUTSIDE PERIOD",IF(AND(IFERROR(INDEX(VAT_Codes!$E:$E,MATCH($N770,VAT_Codes!$A:$A,0)),"ANY")&lt;&gt;"ANY",$P770=""),"MISSING COUNTERPARTY COUNTRY",IF(AND(IFERROR(INDEX(VAT_Codes!$E:$E,MATCH($N770,VAT_Codes!$A:$A,0)),"ANY")&lt;&gt;"ANY",$P770&lt;&gt;IFERROR(INDEX(VAT_Codes!$E:$E,MATCH($N770,VAT_Codes!$A:$A,0)),"ANY")),"REGION MISMATCH","OK")))))))</f>
        <v/>
      </c>
    </row>
    <row r="771" customFormat="false" ht="15" hidden="false" customHeight="false" outlineLevel="0" collapsed="false">
      <c r="M771" s="24" t="str">
        <f aca="false">IF($C771="","",IFERROR(INDEX(Account_Mapping!$C:$C,MATCH($C771&amp;"",Account_Mapping!$A:$A,0))&amp;"",""))</f>
        <v/>
      </c>
      <c r="N771" s="24" t="str">
        <f aca="false">IF($K771&lt;&gt;"",$K771,$M771)</f>
        <v/>
      </c>
      <c r="O771" s="24" t="str">
        <f aca="false">IF($F771="","",IFERROR(INDEX(Counterparties!$C:$C,MATCH($F771&amp;"",Counterparties!$A:$A,0))&amp;"",""))</f>
        <v/>
      </c>
      <c r="P771" s="24" t="str">
        <f aca="false">IF($O771="","",IF($O771="CY","CY",IF(ISNUMBER(MATCH($O771,Lists!$A:$A,0)),"EU","3RD")))</f>
        <v/>
      </c>
      <c r="Q771" s="24" t="str">
        <f aca="false">IF($F771="","N",IFERROR(IF(INDEX(Counterparties!$E:$E,MATCH($F771&amp;"",Counterparties!$A:$A,0))="Y","Y","N"),"N"))</f>
        <v>N</v>
      </c>
      <c r="R771" s="25" t="n">
        <f aca="false">IF(OR($H771="",$H771="EUR"),1,IFERROR(INDEX(FX_Rates!$D:$D,MATCH($H771,FX_Rates!$A:$A,0)),""))</f>
        <v>1</v>
      </c>
      <c r="S771" s="26" t="str">
        <f aca="false">IF(AND($I771="",$J771=""),"",IF($J771&lt;&gt;"",$J771,IF(OR($R771="",$R771=0),"",ROUND($I771/$R771,2))))</f>
        <v/>
      </c>
      <c r="T771" s="24" t="str">
        <f aca="false">IF($N771="","",IFERROR(INDEX(VAT_Codes!$C:$C,MATCH($N771,VAT_Codes!$A:$A,0)),"")&amp;"")</f>
        <v/>
      </c>
      <c r="U771" s="26" t="n">
        <f aca="false">IF(OR($S771="",$T771="",$T771="None"),0,IF($T771="Output",-$S771,$S771))</f>
        <v>0</v>
      </c>
      <c r="V771" s="27" t="n">
        <f aca="false">IF($N771="",0,IFERROR(INDEX(VAT_Codes!$D:$D,MATCH($N771,VAT_Codes!$A:$A,0)),0))</f>
        <v>0</v>
      </c>
      <c r="W771" s="26" t="n">
        <f aca="false">IF($U771=0,0,IF(IFERROR(INDEX(VAT_Codes!$F:$F,MATCH($N771,VAT_Codes!$A:$A,0)),"N")="Y",$U771,IF($L771&lt;&gt;"",ROUND(ABS($L771)/IF(OR($R771="",$R771=0),1,$R771),2)*SIGN($U771),ROUND($U771*$V771,2))))</f>
        <v>0</v>
      </c>
      <c r="X771" s="24" t="str">
        <f aca="false">IF($N771="","",IFERROR(INDEX(VAT_Codes!$H:$H,MATCH($N771,VAT_Codes!$A:$A,0)),"")&amp;"")</f>
        <v/>
      </c>
      <c r="Y771" s="24" t="str">
        <f aca="false">IF($A771="","",(YEAR($A771)-YEAR(Settings!$C$8))*12+MONTH($A771)-MONTH(Settings!$C$8)+1)</f>
        <v/>
      </c>
      <c r="Z771" s="24" t="str">
        <f aca="false">IF(AND($C771="",$I771="",$J771=""),"",IF($N771="","NO VAT CODE",IF($T771="","UNKNOWN VAT CODE",IF($S771="","MISSING FX RATE",IF(OR($A771&lt;Settings!$C$8,$A771&gt;Settings!$C$9),"OUTSIDE PERIOD",IF(AND(IFERROR(INDEX(VAT_Codes!$E:$E,MATCH($N771,VAT_Codes!$A:$A,0)),"ANY")&lt;&gt;"ANY",$P771=""),"MISSING COUNTERPARTY COUNTRY",IF(AND(IFERROR(INDEX(VAT_Codes!$E:$E,MATCH($N771,VAT_Codes!$A:$A,0)),"ANY")&lt;&gt;"ANY",$P771&lt;&gt;IFERROR(INDEX(VAT_Codes!$E:$E,MATCH($N771,VAT_Codes!$A:$A,0)),"ANY")),"REGION MISMATCH","OK")))))))</f>
        <v/>
      </c>
    </row>
    <row r="772" customFormat="false" ht="15" hidden="false" customHeight="false" outlineLevel="0" collapsed="false">
      <c r="M772" s="24" t="str">
        <f aca="false">IF($C772="","",IFERROR(INDEX(Account_Mapping!$C:$C,MATCH($C772&amp;"",Account_Mapping!$A:$A,0))&amp;"",""))</f>
        <v/>
      </c>
      <c r="N772" s="24" t="str">
        <f aca="false">IF($K772&lt;&gt;"",$K772,$M772)</f>
        <v/>
      </c>
      <c r="O772" s="24" t="str">
        <f aca="false">IF($F772="","",IFERROR(INDEX(Counterparties!$C:$C,MATCH($F772&amp;"",Counterparties!$A:$A,0))&amp;"",""))</f>
        <v/>
      </c>
      <c r="P772" s="24" t="str">
        <f aca="false">IF($O772="","",IF($O772="CY","CY",IF(ISNUMBER(MATCH($O772,Lists!$A:$A,0)),"EU","3RD")))</f>
        <v/>
      </c>
      <c r="Q772" s="24" t="str">
        <f aca="false">IF($F772="","N",IFERROR(IF(INDEX(Counterparties!$E:$E,MATCH($F772&amp;"",Counterparties!$A:$A,0))="Y","Y","N"),"N"))</f>
        <v>N</v>
      </c>
      <c r="R772" s="25" t="n">
        <f aca="false">IF(OR($H772="",$H772="EUR"),1,IFERROR(INDEX(FX_Rates!$D:$D,MATCH($H772,FX_Rates!$A:$A,0)),""))</f>
        <v>1</v>
      </c>
      <c r="S772" s="26" t="str">
        <f aca="false">IF(AND($I772="",$J772=""),"",IF($J772&lt;&gt;"",$J772,IF(OR($R772="",$R772=0),"",ROUND($I772/$R772,2))))</f>
        <v/>
      </c>
      <c r="T772" s="24" t="str">
        <f aca="false">IF($N772="","",IFERROR(INDEX(VAT_Codes!$C:$C,MATCH($N772,VAT_Codes!$A:$A,0)),"")&amp;"")</f>
        <v/>
      </c>
      <c r="U772" s="26" t="n">
        <f aca="false">IF(OR($S772="",$T772="",$T772="None"),0,IF($T772="Output",-$S772,$S772))</f>
        <v>0</v>
      </c>
      <c r="V772" s="27" t="n">
        <f aca="false">IF($N772="",0,IFERROR(INDEX(VAT_Codes!$D:$D,MATCH($N772,VAT_Codes!$A:$A,0)),0))</f>
        <v>0</v>
      </c>
      <c r="W772" s="26" t="n">
        <f aca="false">IF($U772=0,0,IF(IFERROR(INDEX(VAT_Codes!$F:$F,MATCH($N772,VAT_Codes!$A:$A,0)),"N")="Y",$U772,IF($L772&lt;&gt;"",ROUND(ABS($L772)/IF(OR($R772="",$R772=0),1,$R772),2)*SIGN($U772),ROUND($U772*$V772,2))))</f>
        <v>0</v>
      </c>
      <c r="X772" s="24" t="str">
        <f aca="false">IF($N772="","",IFERROR(INDEX(VAT_Codes!$H:$H,MATCH($N772,VAT_Codes!$A:$A,0)),"")&amp;"")</f>
        <v/>
      </c>
      <c r="Y772" s="24" t="str">
        <f aca="false">IF($A772="","",(YEAR($A772)-YEAR(Settings!$C$8))*12+MONTH($A772)-MONTH(Settings!$C$8)+1)</f>
        <v/>
      </c>
      <c r="Z772" s="24" t="str">
        <f aca="false">IF(AND($C772="",$I772="",$J772=""),"",IF($N772="","NO VAT CODE",IF($T772="","UNKNOWN VAT CODE",IF($S772="","MISSING FX RATE",IF(OR($A772&lt;Settings!$C$8,$A772&gt;Settings!$C$9),"OUTSIDE PERIOD",IF(AND(IFERROR(INDEX(VAT_Codes!$E:$E,MATCH($N772,VAT_Codes!$A:$A,0)),"ANY")&lt;&gt;"ANY",$P772=""),"MISSING COUNTERPARTY COUNTRY",IF(AND(IFERROR(INDEX(VAT_Codes!$E:$E,MATCH($N772,VAT_Codes!$A:$A,0)),"ANY")&lt;&gt;"ANY",$P772&lt;&gt;IFERROR(INDEX(VAT_Codes!$E:$E,MATCH($N772,VAT_Codes!$A:$A,0)),"ANY")),"REGION MISMATCH","OK")))))))</f>
        <v/>
      </c>
    </row>
    <row r="773" customFormat="false" ht="15" hidden="false" customHeight="false" outlineLevel="0" collapsed="false">
      <c r="M773" s="24" t="str">
        <f aca="false">IF($C773="","",IFERROR(INDEX(Account_Mapping!$C:$C,MATCH($C773&amp;"",Account_Mapping!$A:$A,0))&amp;"",""))</f>
        <v/>
      </c>
      <c r="N773" s="24" t="str">
        <f aca="false">IF($K773&lt;&gt;"",$K773,$M773)</f>
        <v/>
      </c>
      <c r="O773" s="24" t="str">
        <f aca="false">IF($F773="","",IFERROR(INDEX(Counterparties!$C:$C,MATCH($F773&amp;"",Counterparties!$A:$A,0))&amp;"",""))</f>
        <v/>
      </c>
      <c r="P773" s="24" t="str">
        <f aca="false">IF($O773="","",IF($O773="CY","CY",IF(ISNUMBER(MATCH($O773,Lists!$A:$A,0)),"EU","3RD")))</f>
        <v/>
      </c>
      <c r="Q773" s="24" t="str">
        <f aca="false">IF($F773="","N",IFERROR(IF(INDEX(Counterparties!$E:$E,MATCH($F773&amp;"",Counterparties!$A:$A,0))="Y","Y","N"),"N"))</f>
        <v>N</v>
      </c>
      <c r="R773" s="25" t="n">
        <f aca="false">IF(OR($H773="",$H773="EUR"),1,IFERROR(INDEX(FX_Rates!$D:$D,MATCH($H773,FX_Rates!$A:$A,0)),""))</f>
        <v>1</v>
      </c>
      <c r="S773" s="26" t="str">
        <f aca="false">IF(AND($I773="",$J773=""),"",IF($J773&lt;&gt;"",$J773,IF(OR($R773="",$R773=0),"",ROUND($I773/$R773,2))))</f>
        <v/>
      </c>
      <c r="T773" s="24" t="str">
        <f aca="false">IF($N773="","",IFERROR(INDEX(VAT_Codes!$C:$C,MATCH($N773,VAT_Codes!$A:$A,0)),"")&amp;"")</f>
        <v/>
      </c>
      <c r="U773" s="26" t="n">
        <f aca="false">IF(OR($S773="",$T773="",$T773="None"),0,IF($T773="Output",-$S773,$S773))</f>
        <v>0</v>
      </c>
      <c r="V773" s="27" t="n">
        <f aca="false">IF($N773="",0,IFERROR(INDEX(VAT_Codes!$D:$D,MATCH($N773,VAT_Codes!$A:$A,0)),0))</f>
        <v>0</v>
      </c>
      <c r="W773" s="26" t="n">
        <f aca="false">IF($U773=0,0,IF(IFERROR(INDEX(VAT_Codes!$F:$F,MATCH($N773,VAT_Codes!$A:$A,0)),"N")="Y",$U773,IF($L773&lt;&gt;"",ROUND(ABS($L773)/IF(OR($R773="",$R773=0),1,$R773),2)*SIGN($U773),ROUND($U773*$V773,2))))</f>
        <v>0</v>
      </c>
      <c r="X773" s="24" t="str">
        <f aca="false">IF($N773="","",IFERROR(INDEX(VAT_Codes!$H:$H,MATCH($N773,VAT_Codes!$A:$A,0)),"")&amp;"")</f>
        <v/>
      </c>
      <c r="Y773" s="24" t="str">
        <f aca="false">IF($A773="","",(YEAR($A773)-YEAR(Settings!$C$8))*12+MONTH($A773)-MONTH(Settings!$C$8)+1)</f>
        <v/>
      </c>
      <c r="Z773" s="24" t="str">
        <f aca="false">IF(AND($C773="",$I773="",$J773=""),"",IF($N773="","NO VAT CODE",IF($T773="","UNKNOWN VAT CODE",IF($S773="","MISSING FX RATE",IF(OR($A773&lt;Settings!$C$8,$A773&gt;Settings!$C$9),"OUTSIDE PERIOD",IF(AND(IFERROR(INDEX(VAT_Codes!$E:$E,MATCH($N773,VAT_Codes!$A:$A,0)),"ANY")&lt;&gt;"ANY",$P773=""),"MISSING COUNTERPARTY COUNTRY",IF(AND(IFERROR(INDEX(VAT_Codes!$E:$E,MATCH($N773,VAT_Codes!$A:$A,0)),"ANY")&lt;&gt;"ANY",$P773&lt;&gt;IFERROR(INDEX(VAT_Codes!$E:$E,MATCH($N773,VAT_Codes!$A:$A,0)),"ANY")),"REGION MISMATCH","OK")))))))</f>
        <v/>
      </c>
    </row>
    <row r="774" customFormat="false" ht="15" hidden="false" customHeight="false" outlineLevel="0" collapsed="false">
      <c r="M774" s="24" t="str">
        <f aca="false">IF($C774="","",IFERROR(INDEX(Account_Mapping!$C:$C,MATCH($C774&amp;"",Account_Mapping!$A:$A,0))&amp;"",""))</f>
        <v/>
      </c>
      <c r="N774" s="24" t="str">
        <f aca="false">IF($K774&lt;&gt;"",$K774,$M774)</f>
        <v/>
      </c>
      <c r="O774" s="24" t="str">
        <f aca="false">IF($F774="","",IFERROR(INDEX(Counterparties!$C:$C,MATCH($F774&amp;"",Counterparties!$A:$A,0))&amp;"",""))</f>
        <v/>
      </c>
      <c r="P774" s="24" t="str">
        <f aca="false">IF($O774="","",IF($O774="CY","CY",IF(ISNUMBER(MATCH($O774,Lists!$A:$A,0)),"EU","3RD")))</f>
        <v/>
      </c>
      <c r="Q774" s="24" t="str">
        <f aca="false">IF($F774="","N",IFERROR(IF(INDEX(Counterparties!$E:$E,MATCH($F774&amp;"",Counterparties!$A:$A,0))="Y","Y","N"),"N"))</f>
        <v>N</v>
      </c>
      <c r="R774" s="25" t="n">
        <f aca="false">IF(OR($H774="",$H774="EUR"),1,IFERROR(INDEX(FX_Rates!$D:$D,MATCH($H774,FX_Rates!$A:$A,0)),""))</f>
        <v>1</v>
      </c>
      <c r="S774" s="26" t="str">
        <f aca="false">IF(AND($I774="",$J774=""),"",IF($J774&lt;&gt;"",$J774,IF(OR($R774="",$R774=0),"",ROUND($I774/$R774,2))))</f>
        <v/>
      </c>
      <c r="T774" s="24" t="str">
        <f aca="false">IF($N774="","",IFERROR(INDEX(VAT_Codes!$C:$C,MATCH($N774,VAT_Codes!$A:$A,0)),"")&amp;"")</f>
        <v/>
      </c>
      <c r="U774" s="26" t="n">
        <f aca="false">IF(OR($S774="",$T774="",$T774="None"),0,IF($T774="Output",-$S774,$S774))</f>
        <v>0</v>
      </c>
      <c r="V774" s="27" t="n">
        <f aca="false">IF($N774="",0,IFERROR(INDEX(VAT_Codes!$D:$D,MATCH($N774,VAT_Codes!$A:$A,0)),0))</f>
        <v>0</v>
      </c>
      <c r="W774" s="26" t="n">
        <f aca="false">IF($U774=0,0,IF(IFERROR(INDEX(VAT_Codes!$F:$F,MATCH($N774,VAT_Codes!$A:$A,0)),"N")="Y",$U774,IF($L774&lt;&gt;"",ROUND(ABS($L774)/IF(OR($R774="",$R774=0),1,$R774),2)*SIGN($U774),ROUND($U774*$V774,2))))</f>
        <v>0</v>
      </c>
      <c r="X774" s="24" t="str">
        <f aca="false">IF($N774="","",IFERROR(INDEX(VAT_Codes!$H:$H,MATCH($N774,VAT_Codes!$A:$A,0)),"")&amp;"")</f>
        <v/>
      </c>
      <c r="Y774" s="24" t="str">
        <f aca="false">IF($A774="","",(YEAR($A774)-YEAR(Settings!$C$8))*12+MONTH($A774)-MONTH(Settings!$C$8)+1)</f>
        <v/>
      </c>
      <c r="Z774" s="24" t="str">
        <f aca="false">IF(AND($C774="",$I774="",$J774=""),"",IF($N774="","NO VAT CODE",IF($T774="","UNKNOWN VAT CODE",IF($S774="","MISSING FX RATE",IF(OR($A774&lt;Settings!$C$8,$A774&gt;Settings!$C$9),"OUTSIDE PERIOD",IF(AND(IFERROR(INDEX(VAT_Codes!$E:$E,MATCH($N774,VAT_Codes!$A:$A,0)),"ANY")&lt;&gt;"ANY",$P774=""),"MISSING COUNTERPARTY COUNTRY",IF(AND(IFERROR(INDEX(VAT_Codes!$E:$E,MATCH($N774,VAT_Codes!$A:$A,0)),"ANY")&lt;&gt;"ANY",$P774&lt;&gt;IFERROR(INDEX(VAT_Codes!$E:$E,MATCH($N774,VAT_Codes!$A:$A,0)),"ANY")),"REGION MISMATCH","OK")))))))</f>
        <v/>
      </c>
    </row>
    <row r="775" customFormat="false" ht="15" hidden="false" customHeight="false" outlineLevel="0" collapsed="false">
      <c r="M775" s="24" t="str">
        <f aca="false">IF($C775="","",IFERROR(INDEX(Account_Mapping!$C:$C,MATCH($C775&amp;"",Account_Mapping!$A:$A,0))&amp;"",""))</f>
        <v/>
      </c>
      <c r="N775" s="24" t="str">
        <f aca="false">IF($K775&lt;&gt;"",$K775,$M775)</f>
        <v/>
      </c>
      <c r="O775" s="24" t="str">
        <f aca="false">IF($F775="","",IFERROR(INDEX(Counterparties!$C:$C,MATCH($F775&amp;"",Counterparties!$A:$A,0))&amp;"",""))</f>
        <v/>
      </c>
      <c r="P775" s="24" t="str">
        <f aca="false">IF($O775="","",IF($O775="CY","CY",IF(ISNUMBER(MATCH($O775,Lists!$A:$A,0)),"EU","3RD")))</f>
        <v/>
      </c>
      <c r="Q775" s="24" t="str">
        <f aca="false">IF($F775="","N",IFERROR(IF(INDEX(Counterparties!$E:$E,MATCH($F775&amp;"",Counterparties!$A:$A,0))="Y","Y","N"),"N"))</f>
        <v>N</v>
      </c>
      <c r="R775" s="25" t="n">
        <f aca="false">IF(OR($H775="",$H775="EUR"),1,IFERROR(INDEX(FX_Rates!$D:$D,MATCH($H775,FX_Rates!$A:$A,0)),""))</f>
        <v>1</v>
      </c>
      <c r="S775" s="26" t="str">
        <f aca="false">IF(AND($I775="",$J775=""),"",IF($J775&lt;&gt;"",$J775,IF(OR($R775="",$R775=0),"",ROUND($I775/$R775,2))))</f>
        <v/>
      </c>
      <c r="T775" s="24" t="str">
        <f aca="false">IF($N775="","",IFERROR(INDEX(VAT_Codes!$C:$C,MATCH($N775,VAT_Codes!$A:$A,0)),"")&amp;"")</f>
        <v/>
      </c>
      <c r="U775" s="26" t="n">
        <f aca="false">IF(OR($S775="",$T775="",$T775="None"),0,IF($T775="Output",-$S775,$S775))</f>
        <v>0</v>
      </c>
      <c r="V775" s="27" t="n">
        <f aca="false">IF($N775="",0,IFERROR(INDEX(VAT_Codes!$D:$D,MATCH($N775,VAT_Codes!$A:$A,0)),0))</f>
        <v>0</v>
      </c>
      <c r="W775" s="26" t="n">
        <f aca="false">IF($U775=0,0,IF(IFERROR(INDEX(VAT_Codes!$F:$F,MATCH($N775,VAT_Codes!$A:$A,0)),"N")="Y",$U775,IF($L775&lt;&gt;"",ROUND(ABS($L775)/IF(OR($R775="",$R775=0),1,$R775),2)*SIGN($U775),ROUND($U775*$V775,2))))</f>
        <v>0</v>
      </c>
      <c r="X775" s="24" t="str">
        <f aca="false">IF($N775="","",IFERROR(INDEX(VAT_Codes!$H:$H,MATCH($N775,VAT_Codes!$A:$A,0)),"")&amp;"")</f>
        <v/>
      </c>
      <c r="Y775" s="24" t="str">
        <f aca="false">IF($A775="","",(YEAR($A775)-YEAR(Settings!$C$8))*12+MONTH($A775)-MONTH(Settings!$C$8)+1)</f>
        <v/>
      </c>
      <c r="Z775" s="24" t="str">
        <f aca="false">IF(AND($C775="",$I775="",$J775=""),"",IF($N775="","NO VAT CODE",IF($T775="","UNKNOWN VAT CODE",IF($S775="","MISSING FX RATE",IF(OR($A775&lt;Settings!$C$8,$A775&gt;Settings!$C$9),"OUTSIDE PERIOD",IF(AND(IFERROR(INDEX(VAT_Codes!$E:$E,MATCH($N775,VAT_Codes!$A:$A,0)),"ANY")&lt;&gt;"ANY",$P775=""),"MISSING COUNTERPARTY COUNTRY",IF(AND(IFERROR(INDEX(VAT_Codes!$E:$E,MATCH($N775,VAT_Codes!$A:$A,0)),"ANY")&lt;&gt;"ANY",$P775&lt;&gt;IFERROR(INDEX(VAT_Codes!$E:$E,MATCH($N775,VAT_Codes!$A:$A,0)),"ANY")),"REGION MISMATCH","OK")))))))</f>
        <v/>
      </c>
    </row>
    <row r="776" customFormat="false" ht="15" hidden="false" customHeight="false" outlineLevel="0" collapsed="false">
      <c r="M776" s="24" t="str">
        <f aca="false">IF($C776="","",IFERROR(INDEX(Account_Mapping!$C:$C,MATCH($C776&amp;"",Account_Mapping!$A:$A,0))&amp;"",""))</f>
        <v/>
      </c>
      <c r="N776" s="24" t="str">
        <f aca="false">IF($K776&lt;&gt;"",$K776,$M776)</f>
        <v/>
      </c>
      <c r="O776" s="24" t="str">
        <f aca="false">IF($F776="","",IFERROR(INDEX(Counterparties!$C:$C,MATCH($F776&amp;"",Counterparties!$A:$A,0))&amp;"",""))</f>
        <v/>
      </c>
      <c r="P776" s="24" t="str">
        <f aca="false">IF($O776="","",IF($O776="CY","CY",IF(ISNUMBER(MATCH($O776,Lists!$A:$A,0)),"EU","3RD")))</f>
        <v/>
      </c>
      <c r="Q776" s="24" t="str">
        <f aca="false">IF($F776="","N",IFERROR(IF(INDEX(Counterparties!$E:$E,MATCH($F776&amp;"",Counterparties!$A:$A,0))="Y","Y","N"),"N"))</f>
        <v>N</v>
      </c>
      <c r="R776" s="25" t="n">
        <f aca="false">IF(OR($H776="",$H776="EUR"),1,IFERROR(INDEX(FX_Rates!$D:$D,MATCH($H776,FX_Rates!$A:$A,0)),""))</f>
        <v>1</v>
      </c>
      <c r="S776" s="26" t="str">
        <f aca="false">IF(AND($I776="",$J776=""),"",IF($J776&lt;&gt;"",$J776,IF(OR($R776="",$R776=0),"",ROUND($I776/$R776,2))))</f>
        <v/>
      </c>
      <c r="T776" s="24" t="str">
        <f aca="false">IF($N776="","",IFERROR(INDEX(VAT_Codes!$C:$C,MATCH($N776,VAT_Codes!$A:$A,0)),"")&amp;"")</f>
        <v/>
      </c>
      <c r="U776" s="26" t="n">
        <f aca="false">IF(OR($S776="",$T776="",$T776="None"),0,IF($T776="Output",-$S776,$S776))</f>
        <v>0</v>
      </c>
      <c r="V776" s="27" t="n">
        <f aca="false">IF($N776="",0,IFERROR(INDEX(VAT_Codes!$D:$D,MATCH($N776,VAT_Codes!$A:$A,0)),0))</f>
        <v>0</v>
      </c>
      <c r="W776" s="26" t="n">
        <f aca="false">IF($U776=0,0,IF(IFERROR(INDEX(VAT_Codes!$F:$F,MATCH($N776,VAT_Codes!$A:$A,0)),"N")="Y",$U776,IF($L776&lt;&gt;"",ROUND(ABS($L776)/IF(OR($R776="",$R776=0),1,$R776),2)*SIGN($U776),ROUND($U776*$V776,2))))</f>
        <v>0</v>
      </c>
      <c r="X776" s="24" t="str">
        <f aca="false">IF($N776="","",IFERROR(INDEX(VAT_Codes!$H:$H,MATCH($N776,VAT_Codes!$A:$A,0)),"")&amp;"")</f>
        <v/>
      </c>
      <c r="Y776" s="24" t="str">
        <f aca="false">IF($A776="","",(YEAR($A776)-YEAR(Settings!$C$8))*12+MONTH($A776)-MONTH(Settings!$C$8)+1)</f>
        <v/>
      </c>
      <c r="Z776" s="24" t="str">
        <f aca="false">IF(AND($C776="",$I776="",$J776=""),"",IF($N776="","NO VAT CODE",IF($T776="","UNKNOWN VAT CODE",IF($S776="","MISSING FX RATE",IF(OR($A776&lt;Settings!$C$8,$A776&gt;Settings!$C$9),"OUTSIDE PERIOD",IF(AND(IFERROR(INDEX(VAT_Codes!$E:$E,MATCH($N776,VAT_Codes!$A:$A,0)),"ANY")&lt;&gt;"ANY",$P776=""),"MISSING COUNTERPARTY COUNTRY",IF(AND(IFERROR(INDEX(VAT_Codes!$E:$E,MATCH($N776,VAT_Codes!$A:$A,0)),"ANY")&lt;&gt;"ANY",$P776&lt;&gt;IFERROR(INDEX(VAT_Codes!$E:$E,MATCH($N776,VAT_Codes!$A:$A,0)),"ANY")),"REGION MISMATCH","OK")))))))</f>
        <v/>
      </c>
    </row>
    <row r="777" customFormat="false" ht="15" hidden="false" customHeight="false" outlineLevel="0" collapsed="false">
      <c r="M777" s="24" t="str">
        <f aca="false">IF($C777="","",IFERROR(INDEX(Account_Mapping!$C:$C,MATCH($C777&amp;"",Account_Mapping!$A:$A,0))&amp;"",""))</f>
        <v/>
      </c>
      <c r="N777" s="24" t="str">
        <f aca="false">IF($K777&lt;&gt;"",$K777,$M777)</f>
        <v/>
      </c>
      <c r="O777" s="24" t="str">
        <f aca="false">IF($F777="","",IFERROR(INDEX(Counterparties!$C:$C,MATCH($F777&amp;"",Counterparties!$A:$A,0))&amp;"",""))</f>
        <v/>
      </c>
      <c r="P777" s="24" t="str">
        <f aca="false">IF($O777="","",IF($O777="CY","CY",IF(ISNUMBER(MATCH($O777,Lists!$A:$A,0)),"EU","3RD")))</f>
        <v/>
      </c>
      <c r="Q777" s="24" t="str">
        <f aca="false">IF($F777="","N",IFERROR(IF(INDEX(Counterparties!$E:$E,MATCH($F777&amp;"",Counterparties!$A:$A,0))="Y","Y","N"),"N"))</f>
        <v>N</v>
      </c>
      <c r="R777" s="25" t="n">
        <f aca="false">IF(OR($H777="",$H777="EUR"),1,IFERROR(INDEX(FX_Rates!$D:$D,MATCH($H777,FX_Rates!$A:$A,0)),""))</f>
        <v>1</v>
      </c>
      <c r="S777" s="26" t="str">
        <f aca="false">IF(AND($I777="",$J777=""),"",IF($J777&lt;&gt;"",$J777,IF(OR($R777="",$R777=0),"",ROUND($I777/$R777,2))))</f>
        <v/>
      </c>
      <c r="T777" s="24" t="str">
        <f aca="false">IF($N777="","",IFERROR(INDEX(VAT_Codes!$C:$C,MATCH($N777,VAT_Codes!$A:$A,0)),"")&amp;"")</f>
        <v/>
      </c>
      <c r="U777" s="26" t="n">
        <f aca="false">IF(OR($S777="",$T777="",$T777="None"),0,IF($T777="Output",-$S777,$S777))</f>
        <v>0</v>
      </c>
      <c r="V777" s="27" t="n">
        <f aca="false">IF($N777="",0,IFERROR(INDEX(VAT_Codes!$D:$D,MATCH($N777,VAT_Codes!$A:$A,0)),0))</f>
        <v>0</v>
      </c>
      <c r="W777" s="26" t="n">
        <f aca="false">IF($U777=0,0,IF(IFERROR(INDEX(VAT_Codes!$F:$F,MATCH($N777,VAT_Codes!$A:$A,0)),"N")="Y",$U777,IF($L777&lt;&gt;"",ROUND(ABS($L777)/IF(OR($R777="",$R777=0),1,$R777),2)*SIGN($U777),ROUND($U777*$V777,2))))</f>
        <v>0</v>
      </c>
      <c r="X777" s="24" t="str">
        <f aca="false">IF($N777="","",IFERROR(INDEX(VAT_Codes!$H:$H,MATCH($N777,VAT_Codes!$A:$A,0)),"")&amp;"")</f>
        <v/>
      </c>
      <c r="Y777" s="24" t="str">
        <f aca="false">IF($A777="","",(YEAR($A777)-YEAR(Settings!$C$8))*12+MONTH($A777)-MONTH(Settings!$C$8)+1)</f>
        <v/>
      </c>
      <c r="Z777" s="24" t="str">
        <f aca="false">IF(AND($C777="",$I777="",$J777=""),"",IF($N777="","NO VAT CODE",IF($T777="","UNKNOWN VAT CODE",IF($S777="","MISSING FX RATE",IF(OR($A777&lt;Settings!$C$8,$A777&gt;Settings!$C$9),"OUTSIDE PERIOD",IF(AND(IFERROR(INDEX(VAT_Codes!$E:$E,MATCH($N777,VAT_Codes!$A:$A,0)),"ANY")&lt;&gt;"ANY",$P777=""),"MISSING COUNTERPARTY COUNTRY",IF(AND(IFERROR(INDEX(VAT_Codes!$E:$E,MATCH($N777,VAT_Codes!$A:$A,0)),"ANY")&lt;&gt;"ANY",$P777&lt;&gt;IFERROR(INDEX(VAT_Codes!$E:$E,MATCH($N777,VAT_Codes!$A:$A,0)),"ANY")),"REGION MISMATCH","OK")))))))</f>
        <v/>
      </c>
    </row>
    <row r="778" customFormat="false" ht="15" hidden="false" customHeight="false" outlineLevel="0" collapsed="false">
      <c r="M778" s="24" t="str">
        <f aca="false">IF($C778="","",IFERROR(INDEX(Account_Mapping!$C:$C,MATCH($C778&amp;"",Account_Mapping!$A:$A,0))&amp;"",""))</f>
        <v/>
      </c>
      <c r="N778" s="24" t="str">
        <f aca="false">IF($K778&lt;&gt;"",$K778,$M778)</f>
        <v/>
      </c>
      <c r="O778" s="24" t="str">
        <f aca="false">IF($F778="","",IFERROR(INDEX(Counterparties!$C:$C,MATCH($F778&amp;"",Counterparties!$A:$A,0))&amp;"",""))</f>
        <v/>
      </c>
      <c r="P778" s="24" t="str">
        <f aca="false">IF($O778="","",IF($O778="CY","CY",IF(ISNUMBER(MATCH($O778,Lists!$A:$A,0)),"EU","3RD")))</f>
        <v/>
      </c>
      <c r="Q778" s="24" t="str">
        <f aca="false">IF($F778="","N",IFERROR(IF(INDEX(Counterparties!$E:$E,MATCH($F778&amp;"",Counterparties!$A:$A,0))="Y","Y","N"),"N"))</f>
        <v>N</v>
      </c>
      <c r="R778" s="25" t="n">
        <f aca="false">IF(OR($H778="",$H778="EUR"),1,IFERROR(INDEX(FX_Rates!$D:$D,MATCH($H778,FX_Rates!$A:$A,0)),""))</f>
        <v>1</v>
      </c>
      <c r="S778" s="26" t="str">
        <f aca="false">IF(AND($I778="",$J778=""),"",IF($J778&lt;&gt;"",$J778,IF(OR($R778="",$R778=0),"",ROUND($I778/$R778,2))))</f>
        <v/>
      </c>
      <c r="T778" s="24" t="str">
        <f aca="false">IF($N778="","",IFERROR(INDEX(VAT_Codes!$C:$C,MATCH($N778,VAT_Codes!$A:$A,0)),"")&amp;"")</f>
        <v/>
      </c>
      <c r="U778" s="26" t="n">
        <f aca="false">IF(OR($S778="",$T778="",$T778="None"),0,IF($T778="Output",-$S778,$S778))</f>
        <v>0</v>
      </c>
      <c r="V778" s="27" t="n">
        <f aca="false">IF($N778="",0,IFERROR(INDEX(VAT_Codes!$D:$D,MATCH($N778,VAT_Codes!$A:$A,0)),0))</f>
        <v>0</v>
      </c>
      <c r="W778" s="26" t="n">
        <f aca="false">IF($U778=0,0,IF(IFERROR(INDEX(VAT_Codes!$F:$F,MATCH($N778,VAT_Codes!$A:$A,0)),"N")="Y",$U778,IF($L778&lt;&gt;"",ROUND(ABS($L778)/IF(OR($R778="",$R778=0),1,$R778),2)*SIGN($U778),ROUND($U778*$V778,2))))</f>
        <v>0</v>
      </c>
      <c r="X778" s="24" t="str">
        <f aca="false">IF($N778="","",IFERROR(INDEX(VAT_Codes!$H:$H,MATCH($N778,VAT_Codes!$A:$A,0)),"")&amp;"")</f>
        <v/>
      </c>
      <c r="Y778" s="24" t="str">
        <f aca="false">IF($A778="","",(YEAR($A778)-YEAR(Settings!$C$8))*12+MONTH($A778)-MONTH(Settings!$C$8)+1)</f>
        <v/>
      </c>
      <c r="Z778" s="24" t="str">
        <f aca="false">IF(AND($C778="",$I778="",$J778=""),"",IF($N778="","NO VAT CODE",IF($T778="","UNKNOWN VAT CODE",IF($S778="","MISSING FX RATE",IF(OR($A778&lt;Settings!$C$8,$A778&gt;Settings!$C$9),"OUTSIDE PERIOD",IF(AND(IFERROR(INDEX(VAT_Codes!$E:$E,MATCH($N778,VAT_Codes!$A:$A,0)),"ANY")&lt;&gt;"ANY",$P778=""),"MISSING COUNTERPARTY COUNTRY",IF(AND(IFERROR(INDEX(VAT_Codes!$E:$E,MATCH($N778,VAT_Codes!$A:$A,0)),"ANY")&lt;&gt;"ANY",$P778&lt;&gt;IFERROR(INDEX(VAT_Codes!$E:$E,MATCH($N778,VAT_Codes!$A:$A,0)),"ANY")),"REGION MISMATCH","OK")))))))</f>
        <v/>
      </c>
    </row>
    <row r="779" customFormat="false" ht="15" hidden="false" customHeight="false" outlineLevel="0" collapsed="false">
      <c r="M779" s="24" t="str">
        <f aca="false">IF($C779="","",IFERROR(INDEX(Account_Mapping!$C:$C,MATCH($C779&amp;"",Account_Mapping!$A:$A,0))&amp;"",""))</f>
        <v/>
      </c>
      <c r="N779" s="24" t="str">
        <f aca="false">IF($K779&lt;&gt;"",$K779,$M779)</f>
        <v/>
      </c>
      <c r="O779" s="24" t="str">
        <f aca="false">IF($F779="","",IFERROR(INDEX(Counterparties!$C:$C,MATCH($F779&amp;"",Counterparties!$A:$A,0))&amp;"",""))</f>
        <v/>
      </c>
      <c r="P779" s="24" t="str">
        <f aca="false">IF($O779="","",IF($O779="CY","CY",IF(ISNUMBER(MATCH($O779,Lists!$A:$A,0)),"EU","3RD")))</f>
        <v/>
      </c>
      <c r="Q779" s="24" t="str">
        <f aca="false">IF($F779="","N",IFERROR(IF(INDEX(Counterparties!$E:$E,MATCH($F779&amp;"",Counterparties!$A:$A,0))="Y","Y","N"),"N"))</f>
        <v>N</v>
      </c>
      <c r="R779" s="25" t="n">
        <f aca="false">IF(OR($H779="",$H779="EUR"),1,IFERROR(INDEX(FX_Rates!$D:$D,MATCH($H779,FX_Rates!$A:$A,0)),""))</f>
        <v>1</v>
      </c>
      <c r="S779" s="26" t="str">
        <f aca="false">IF(AND($I779="",$J779=""),"",IF($J779&lt;&gt;"",$J779,IF(OR($R779="",$R779=0),"",ROUND($I779/$R779,2))))</f>
        <v/>
      </c>
      <c r="T779" s="24" t="str">
        <f aca="false">IF($N779="","",IFERROR(INDEX(VAT_Codes!$C:$C,MATCH($N779,VAT_Codes!$A:$A,0)),"")&amp;"")</f>
        <v/>
      </c>
      <c r="U779" s="26" t="n">
        <f aca="false">IF(OR($S779="",$T779="",$T779="None"),0,IF($T779="Output",-$S779,$S779))</f>
        <v>0</v>
      </c>
      <c r="V779" s="27" t="n">
        <f aca="false">IF($N779="",0,IFERROR(INDEX(VAT_Codes!$D:$D,MATCH($N779,VAT_Codes!$A:$A,0)),0))</f>
        <v>0</v>
      </c>
      <c r="W779" s="26" t="n">
        <f aca="false">IF($U779=0,0,IF(IFERROR(INDEX(VAT_Codes!$F:$F,MATCH($N779,VAT_Codes!$A:$A,0)),"N")="Y",$U779,IF($L779&lt;&gt;"",ROUND(ABS($L779)/IF(OR($R779="",$R779=0),1,$R779),2)*SIGN($U779),ROUND($U779*$V779,2))))</f>
        <v>0</v>
      </c>
      <c r="X779" s="24" t="str">
        <f aca="false">IF($N779="","",IFERROR(INDEX(VAT_Codes!$H:$H,MATCH($N779,VAT_Codes!$A:$A,0)),"")&amp;"")</f>
        <v/>
      </c>
      <c r="Y779" s="24" t="str">
        <f aca="false">IF($A779="","",(YEAR($A779)-YEAR(Settings!$C$8))*12+MONTH($A779)-MONTH(Settings!$C$8)+1)</f>
        <v/>
      </c>
      <c r="Z779" s="24" t="str">
        <f aca="false">IF(AND($C779="",$I779="",$J779=""),"",IF($N779="","NO VAT CODE",IF($T779="","UNKNOWN VAT CODE",IF($S779="","MISSING FX RATE",IF(OR($A779&lt;Settings!$C$8,$A779&gt;Settings!$C$9),"OUTSIDE PERIOD",IF(AND(IFERROR(INDEX(VAT_Codes!$E:$E,MATCH($N779,VAT_Codes!$A:$A,0)),"ANY")&lt;&gt;"ANY",$P779=""),"MISSING COUNTERPARTY COUNTRY",IF(AND(IFERROR(INDEX(VAT_Codes!$E:$E,MATCH($N779,VAT_Codes!$A:$A,0)),"ANY")&lt;&gt;"ANY",$P779&lt;&gt;IFERROR(INDEX(VAT_Codes!$E:$E,MATCH($N779,VAT_Codes!$A:$A,0)),"ANY")),"REGION MISMATCH","OK")))))))</f>
        <v/>
      </c>
    </row>
    <row r="780" customFormat="false" ht="15" hidden="false" customHeight="false" outlineLevel="0" collapsed="false">
      <c r="M780" s="24" t="str">
        <f aca="false">IF($C780="","",IFERROR(INDEX(Account_Mapping!$C:$C,MATCH($C780&amp;"",Account_Mapping!$A:$A,0))&amp;"",""))</f>
        <v/>
      </c>
      <c r="N780" s="24" t="str">
        <f aca="false">IF($K780&lt;&gt;"",$K780,$M780)</f>
        <v/>
      </c>
      <c r="O780" s="24" t="str">
        <f aca="false">IF($F780="","",IFERROR(INDEX(Counterparties!$C:$C,MATCH($F780&amp;"",Counterparties!$A:$A,0))&amp;"",""))</f>
        <v/>
      </c>
      <c r="P780" s="24" t="str">
        <f aca="false">IF($O780="","",IF($O780="CY","CY",IF(ISNUMBER(MATCH($O780,Lists!$A:$A,0)),"EU","3RD")))</f>
        <v/>
      </c>
      <c r="Q780" s="24" t="str">
        <f aca="false">IF($F780="","N",IFERROR(IF(INDEX(Counterparties!$E:$E,MATCH($F780&amp;"",Counterparties!$A:$A,0))="Y","Y","N"),"N"))</f>
        <v>N</v>
      </c>
      <c r="R780" s="25" t="n">
        <f aca="false">IF(OR($H780="",$H780="EUR"),1,IFERROR(INDEX(FX_Rates!$D:$D,MATCH($H780,FX_Rates!$A:$A,0)),""))</f>
        <v>1</v>
      </c>
      <c r="S780" s="26" t="str">
        <f aca="false">IF(AND($I780="",$J780=""),"",IF($J780&lt;&gt;"",$J780,IF(OR($R780="",$R780=0),"",ROUND($I780/$R780,2))))</f>
        <v/>
      </c>
      <c r="T780" s="24" t="str">
        <f aca="false">IF($N780="","",IFERROR(INDEX(VAT_Codes!$C:$C,MATCH($N780,VAT_Codes!$A:$A,0)),"")&amp;"")</f>
        <v/>
      </c>
      <c r="U780" s="26" t="n">
        <f aca="false">IF(OR($S780="",$T780="",$T780="None"),0,IF($T780="Output",-$S780,$S780))</f>
        <v>0</v>
      </c>
      <c r="V780" s="27" t="n">
        <f aca="false">IF($N780="",0,IFERROR(INDEX(VAT_Codes!$D:$D,MATCH($N780,VAT_Codes!$A:$A,0)),0))</f>
        <v>0</v>
      </c>
      <c r="W780" s="26" t="n">
        <f aca="false">IF($U780=0,0,IF(IFERROR(INDEX(VAT_Codes!$F:$F,MATCH($N780,VAT_Codes!$A:$A,0)),"N")="Y",$U780,IF($L780&lt;&gt;"",ROUND(ABS($L780)/IF(OR($R780="",$R780=0),1,$R780),2)*SIGN($U780),ROUND($U780*$V780,2))))</f>
        <v>0</v>
      </c>
      <c r="X780" s="24" t="str">
        <f aca="false">IF($N780="","",IFERROR(INDEX(VAT_Codes!$H:$H,MATCH($N780,VAT_Codes!$A:$A,0)),"")&amp;"")</f>
        <v/>
      </c>
      <c r="Y780" s="24" t="str">
        <f aca="false">IF($A780="","",(YEAR($A780)-YEAR(Settings!$C$8))*12+MONTH($A780)-MONTH(Settings!$C$8)+1)</f>
        <v/>
      </c>
      <c r="Z780" s="24" t="str">
        <f aca="false">IF(AND($C780="",$I780="",$J780=""),"",IF($N780="","NO VAT CODE",IF($T780="","UNKNOWN VAT CODE",IF($S780="","MISSING FX RATE",IF(OR($A780&lt;Settings!$C$8,$A780&gt;Settings!$C$9),"OUTSIDE PERIOD",IF(AND(IFERROR(INDEX(VAT_Codes!$E:$E,MATCH($N780,VAT_Codes!$A:$A,0)),"ANY")&lt;&gt;"ANY",$P780=""),"MISSING COUNTERPARTY COUNTRY",IF(AND(IFERROR(INDEX(VAT_Codes!$E:$E,MATCH($N780,VAT_Codes!$A:$A,0)),"ANY")&lt;&gt;"ANY",$P780&lt;&gt;IFERROR(INDEX(VAT_Codes!$E:$E,MATCH($N780,VAT_Codes!$A:$A,0)),"ANY")),"REGION MISMATCH","OK")))))))</f>
        <v/>
      </c>
    </row>
    <row r="781" customFormat="false" ht="15" hidden="false" customHeight="false" outlineLevel="0" collapsed="false">
      <c r="M781" s="24" t="str">
        <f aca="false">IF($C781="","",IFERROR(INDEX(Account_Mapping!$C:$C,MATCH($C781&amp;"",Account_Mapping!$A:$A,0))&amp;"",""))</f>
        <v/>
      </c>
      <c r="N781" s="24" t="str">
        <f aca="false">IF($K781&lt;&gt;"",$K781,$M781)</f>
        <v/>
      </c>
      <c r="O781" s="24" t="str">
        <f aca="false">IF($F781="","",IFERROR(INDEX(Counterparties!$C:$C,MATCH($F781&amp;"",Counterparties!$A:$A,0))&amp;"",""))</f>
        <v/>
      </c>
      <c r="P781" s="24" t="str">
        <f aca="false">IF($O781="","",IF($O781="CY","CY",IF(ISNUMBER(MATCH($O781,Lists!$A:$A,0)),"EU","3RD")))</f>
        <v/>
      </c>
      <c r="Q781" s="24" t="str">
        <f aca="false">IF($F781="","N",IFERROR(IF(INDEX(Counterparties!$E:$E,MATCH($F781&amp;"",Counterparties!$A:$A,0))="Y","Y","N"),"N"))</f>
        <v>N</v>
      </c>
      <c r="R781" s="25" t="n">
        <f aca="false">IF(OR($H781="",$H781="EUR"),1,IFERROR(INDEX(FX_Rates!$D:$D,MATCH($H781,FX_Rates!$A:$A,0)),""))</f>
        <v>1</v>
      </c>
      <c r="S781" s="26" t="str">
        <f aca="false">IF(AND($I781="",$J781=""),"",IF($J781&lt;&gt;"",$J781,IF(OR($R781="",$R781=0),"",ROUND($I781/$R781,2))))</f>
        <v/>
      </c>
      <c r="T781" s="24" t="str">
        <f aca="false">IF($N781="","",IFERROR(INDEX(VAT_Codes!$C:$C,MATCH($N781,VAT_Codes!$A:$A,0)),"")&amp;"")</f>
        <v/>
      </c>
      <c r="U781" s="26" t="n">
        <f aca="false">IF(OR($S781="",$T781="",$T781="None"),0,IF($T781="Output",-$S781,$S781))</f>
        <v>0</v>
      </c>
      <c r="V781" s="27" t="n">
        <f aca="false">IF($N781="",0,IFERROR(INDEX(VAT_Codes!$D:$D,MATCH($N781,VAT_Codes!$A:$A,0)),0))</f>
        <v>0</v>
      </c>
      <c r="W781" s="26" t="n">
        <f aca="false">IF($U781=0,0,IF(IFERROR(INDEX(VAT_Codes!$F:$F,MATCH($N781,VAT_Codes!$A:$A,0)),"N")="Y",$U781,IF($L781&lt;&gt;"",ROUND(ABS($L781)/IF(OR($R781="",$R781=0),1,$R781),2)*SIGN($U781),ROUND($U781*$V781,2))))</f>
        <v>0</v>
      </c>
      <c r="X781" s="24" t="str">
        <f aca="false">IF($N781="","",IFERROR(INDEX(VAT_Codes!$H:$H,MATCH($N781,VAT_Codes!$A:$A,0)),"")&amp;"")</f>
        <v/>
      </c>
      <c r="Y781" s="24" t="str">
        <f aca="false">IF($A781="","",(YEAR($A781)-YEAR(Settings!$C$8))*12+MONTH($A781)-MONTH(Settings!$C$8)+1)</f>
        <v/>
      </c>
      <c r="Z781" s="24" t="str">
        <f aca="false">IF(AND($C781="",$I781="",$J781=""),"",IF($N781="","NO VAT CODE",IF($T781="","UNKNOWN VAT CODE",IF($S781="","MISSING FX RATE",IF(OR($A781&lt;Settings!$C$8,$A781&gt;Settings!$C$9),"OUTSIDE PERIOD",IF(AND(IFERROR(INDEX(VAT_Codes!$E:$E,MATCH($N781,VAT_Codes!$A:$A,0)),"ANY")&lt;&gt;"ANY",$P781=""),"MISSING COUNTERPARTY COUNTRY",IF(AND(IFERROR(INDEX(VAT_Codes!$E:$E,MATCH($N781,VAT_Codes!$A:$A,0)),"ANY")&lt;&gt;"ANY",$P781&lt;&gt;IFERROR(INDEX(VAT_Codes!$E:$E,MATCH($N781,VAT_Codes!$A:$A,0)),"ANY")),"REGION MISMATCH","OK")))))))</f>
        <v/>
      </c>
    </row>
    <row r="782" customFormat="false" ht="15" hidden="false" customHeight="false" outlineLevel="0" collapsed="false">
      <c r="M782" s="24" t="str">
        <f aca="false">IF($C782="","",IFERROR(INDEX(Account_Mapping!$C:$C,MATCH($C782&amp;"",Account_Mapping!$A:$A,0))&amp;"",""))</f>
        <v/>
      </c>
      <c r="N782" s="24" t="str">
        <f aca="false">IF($K782&lt;&gt;"",$K782,$M782)</f>
        <v/>
      </c>
      <c r="O782" s="24" t="str">
        <f aca="false">IF($F782="","",IFERROR(INDEX(Counterparties!$C:$C,MATCH($F782&amp;"",Counterparties!$A:$A,0))&amp;"",""))</f>
        <v/>
      </c>
      <c r="P782" s="24" t="str">
        <f aca="false">IF($O782="","",IF($O782="CY","CY",IF(ISNUMBER(MATCH($O782,Lists!$A:$A,0)),"EU","3RD")))</f>
        <v/>
      </c>
      <c r="Q782" s="24" t="str">
        <f aca="false">IF($F782="","N",IFERROR(IF(INDEX(Counterparties!$E:$E,MATCH($F782&amp;"",Counterparties!$A:$A,0))="Y","Y","N"),"N"))</f>
        <v>N</v>
      </c>
      <c r="R782" s="25" t="n">
        <f aca="false">IF(OR($H782="",$H782="EUR"),1,IFERROR(INDEX(FX_Rates!$D:$D,MATCH($H782,FX_Rates!$A:$A,0)),""))</f>
        <v>1</v>
      </c>
      <c r="S782" s="26" t="str">
        <f aca="false">IF(AND($I782="",$J782=""),"",IF($J782&lt;&gt;"",$J782,IF(OR($R782="",$R782=0),"",ROUND($I782/$R782,2))))</f>
        <v/>
      </c>
      <c r="T782" s="24" t="str">
        <f aca="false">IF($N782="","",IFERROR(INDEX(VAT_Codes!$C:$C,MATCH($N782,VAT_Codes!$A:$A,0)),"")&amp;"")</f>
        <v/>
      </c>
      <c r="U782" s="26" t="n">
        <f aca="false">IF(OR($S782="",$T782="",$T782="None"),0,IF($T782="Output",-$S782,$S782))</f>
        <v>0</v>
      </c>
      <c r="V782" s="27" t="n">
        <f aca="false">IF($N782="",0,IFERROR(INDEX(VAT_Codes!$D:$D,MATCH($N782,VAT_Codes!$A:$A,0)),0))</f>
        <v>0</v>
      </c>
      <c r="W782" s="26" t="n">
        <f aca="false">IF($U782=0,0,IF(IFERROR(INDEX(VAT_Codes!$F:$F,MATCH($N782,VAT_Codes!$A:$A,0)),"N")="Y",$U782,IF($L782&lt;&gt;"",ROUND(ABS($L782)/IF(OR($R782="",$R782=0),1,$R782),2)*SIGN($U782),ROUND($U782*$V782,2))))</f>
        <v>0</v>
      </c>
      <c r="X782" s="24" t="str">
        <f aca="false">IF($N782="","",IFERROR(INDEX(VAT_Codes!$H:$H,MATCH($N782,VAT_Codes!$A:$A,0)),"")&amp;"")</f>
        <v/>
      </c>
      <c r="Y782" s="24" t="str">
        <f aca="false">IF($A782="","",(YEAR($A782)-YEAR(Settings!$C$8))*12+MONTH($A782)-MONTH(Settings!$C$8)+1)</f>
        <v/>
      </c>
      <c r="Z782" s="24" t="str">
        <f aca="false">IF(AND($C782="",$I782="",$J782=""),"",IF($N782="","NO VAT CODE",IF($T782="","UNKNOWN VAT CODE",IF($S782="","MISSING FX RATE",IF(OR($A782&lt;Settings!$C$8,$A782&gt;Settings!$C$9),"OUTSIDE PERIOD",IF(AND(IFERROR(INDEX(VAT_Codes!$E:$E,MATCH($N782,VAT_Codes!$A:$A,0)),"ANY")&lt;&gt;"ANY",$P782=""),"MISSING COUNTERPARTY COUNTRY",IF(AND(IFERROR(INDEX(VAT_Codes!$E:$E,MATCH($N782,VAT_Codes!$A:$A,0)),"ANY")&lt;&gt;"ANY",$P782&lt;&gt;IFERROR(INDEX(VAT_Codes!$E:$E,MATCH($N782,VAT_Codes!$A:$A,0)),"ANY")),"REGION MISMATCH","OK")))))))</f>
        <v/>
      </c>
    </row>
    <row r="783" customFormat="false" ht="15" hidden="false" customHeight="false" outlineLevel="0" collapsed="false">
      <c r="M783" s="24" t="str">
        <f aca="false">IF($C783="","",IFERROR(INDEX(Account_Mapping!$C:$C,MATCH($C783&amp;"",Account_Mapping!$A:$A,0))&amp;"",""))</f>
        <v/>
      </c>
      <c r="N783" s="24" t="str">
        <f aca="false">IF($K783&lt;&gt;"",$K783,$M783)</f>
        <v/>
      </c>
      <c r="O783" s="24" t="str">
        <f aca="false">IF($F783="","",IFERROR(INDEX(Counterparties!$C:$C,MATCH($F783&amp;"",Counterparties!$A:$A,0))&amp;"",""))</f>
        <v/>
      </c>
      <c r="P783" s="24" t="str">
        <f aca="false">IF($O783="","",IF($O783="CY","CY",IF(ISNUMBER(MATCH($O783,Lists!$A:$A,0)),"EU","3RD")))</f>
        <v/>
      </c>
      <c r="Q783" s="24" t="str">
        <f aca="false">IF($F783="","N",IFERROR(IF(INDEX(Counterparties!$E:$E,MATCH($F783&amp;"",Counterparties!$A:$A,0))="Y","Y","N"),"N"))</f>
        <v>N</v>
      </c>
      <c r="R783" s="25" t="n">
        <f aca="false">IF(OR($H783="",$H783="EUR"),1,IFERROR(INDEX(FX_Rates!$D:$D,MATCH($H783,FX_Rates!$A:$A,0)),""))</f>
        <v>1</v>
      </c>
      <c r="S783" s="26" t="str">
        <f aca="false">IF(AND($I783="",$J783=""),"",IF($J783&lt;&gt;"",$J783,IF(OR($R783="",$R783=0),"",ROUND($I783/$R783,2))))</f>
        <v/>
      </c>
      <c r="T783" s="24" t="str">
        <f aca="false">IF($N783="","",IFERROR(INDEX(VAT_Codes!$C:$C,MATCH($N783,VAT_Codes!$A:$A,0)),"")&amp;"")</f>
        <v/>
      </c>
      <c r="U783" s="26" t="n">
        <f aca="false">IF(OR($S783="",$T783="",$T783="None"),0,IF($T783="Output",-$S783,$S783))</f>
        <v>0</v>
      </c>
      <c r="V783" s="27" t="n">
        <f aca="false">IF($N783="",0,IFERROR(INDEX(VAT_Codes!$D:$D,MATCH($N783,VAT_Codes!$A:$A,0)),0))</f>
        <v>0</v>
      </c>
      <c r="W783" s="26" t="n">
        <f aca="false">IF($U783=0,0,IF(IFERROR(INDEX(VAT_Codes!$F:$F,MATCH($N783,VAT_Codes!$A:$A,0)),"N")="Y",$U783,IF($L783&lt;&gt;"",ROUND(ABS($L783)/IF(OR($R783="",$R783=0),1,$R783),2)*SIGN($U783),ROUND($U783*$V783,2))))</f>
        <v>0</v>
      </c>
      <c r="X783" s="24" t="str">
        <f aca="false">IF($N783="","",IFERROR(INDEX(VAT_Codes!$H:$H,MATCH($N783,VAT_Codes!$A:$A,0)),"")&amp;"")</f>
        <v/>
      </c>
      <c r="Y783" s="24" t="str">
        <f aca="false">IF($A783="","",(YEAR($A783)-YEAR(Settings!$C$8))*12+MONTH($A783)-MONTH(Settings!$C$8)+1)</f>
        <v/>
      </c>
      <c r="Z783" s="24" t="str">
        <f aca="false">IF(AND($C783="",$I783="",$J783=""),"",IF($N783="","NO VAT CODE",IF($T783="","UNKNOWN VAT CODE",IF($S783="","MISSING FX RATE",IF(OR($A783&lt;Settings!$C$8,$A783&gt;Settings!$C$9),"OUTSIDE PERIOD",IF(AND(IFERROR(INDEX(VAT_Codes!$E:$E,MATCH($N783,VAT_Codes!$A:$A,0)),"ANY")&lt;&gt;"ANY",$P783=""),"MISSING COUNTERPARTY COUNTRY",IF(AND(IFERROR(INDEX(VAT_Codes!$E:$E,MATCH($N783,VAT_Codes!$A:$A,0)),"ANY")&lt;&gt;"ANY",$P783&lt;&gt;IFERROR(INDEX(VAT_Codes!$E:$E,MATCH($N783,VAT_Codes!$A:$A,0)),"ANY")),"REGION MISMATCH","OK")))))))</f>
        <v/>
      </c>
    </row>
    <row r="784" customFormat="false" ht="15" hidden="false" customHeight="false" outlineLevel="0" collapsed="false">
      <c r="M784" s="24" t="str">
        <f aca="false">IF($C784="","",IFERROR(INDEX(Account_Mapping!$C:$C,MATCH($C784&amp;"",Account_Mapping!$A:$A,0))&amp;"",""))</f>
        <v/>
      </c>
      <c r="N784" s="24" t="str">
        <f aca="false">IF($K784&lt;&gt;"",$K784,$M784)</f>
        <v/>
      </c>
      <c r="O784" s="24" t="str">
        <f aca="false">IF($F784="","",IFERROR(INDEX(Counterparties!$C:$C,MATCH($F784&amp;"",Counterparties!$A:$A,0))&amp;"",""))</f>
        <v/>
      </c>
      <c r="P784" s="24" t="str">
        <f aca="false">IF($O784="","",IF($O784="CY","CY",IF(ISNUMBER(MATCH($O784,Lists!$A:$A,0)),"EU","3RD")))</f>
        <v/>
      </c>
      <c r="Q784" s="24" t="str">
        <f aca="false">IF($F784="","N",IFERROR(IF(INDEX(Counterparties!$E:$E,MATCH($F784&amp;"",Counterparties!$A:$A,0))="Y","Y","N"),"N"))</f>
        <v>N</v>
      </c>
      <c r="R784" s="25" t="n">
        <f aca="false">IF(OR($H784="",$H784="EUR"),1,IFERROR(INDEX(FX_Rates!$D:$D,MATCH($H784,FX_Rates!$A:$A,0)),""))</f>
        <v>1</v>
      </c>
      <c r="S784" s="26" t="str">
        <f aca="false">IF(AND($I784="",$J784=""),"",IF($J784&lt;&gt;"",$J784,IF(OR($R784="",$R784=0),"",ROUND($I784/$R784,2))))</f>
        <v/>
      </c>
      <c r="T784" s="24" t="str">
        <f aca="false">IF($N784="","",IFERROR(INDEX(VAT_Codes!$C:$C,MATCH($N784,VAT_Codes!$A:$A,0)),"")&amp;"")</f>
        <v/>
      </c>
      <c r="U784" s="26" t="n">
        <f aca="false">IF(OR($S784="",$T784="",$T784="None"),0,IF($T784="Output",-$S784,$S784))</f>
        <v>0</v>
      </c>
      <c r="V784" s="27" t="n">
        <f aca="false">IF($N784="",0,IFERROR(INDEX(VAT_Codes!$D:$D,MATCH($N784,VAT_Codes!$A:$A,0)),0))</f>
        <v>0</v>
      </c>
      <c r="W784" s="26" t="n">
        <f aca="false">IF($U784=0,0,IF(IFERROR(INDEX(VAT_Codes!$F:$F,MATCH($N784,VAT_Codes!$A:$A,0)),"N")="Y",$U784,IF($L784&lt;&gt;"",ROUND(ABS($L784)/IF(OR($R784="",$R784=0),1,$R784),2)*SIGN($U784),ROUND($U784*$V784,2))))</f>
        <v>0</v>
      </c>
      <c r="X784" s="24" t="str">
        <f aca="false">IF($N784="","",IFERROR(INDEX(VAT_Codes!$H:$H,MATCH($N784,VAT_Codes!$A:$A,0)),"")&amp;"")</f>
        <v/>
      </c>
      <c r="Y784" s="24" t="str">
        <f aca="false">IF($A784="","",(YEAR($A784)-YEAR(Settings!$C$8))*12+MONTH($A784)-MONTH(Settings!$C$8)+1)</f>
        <v/>
      </c>
      <c r="Z784" s="24" t="str">
        <f aca="false">IF(AND($C784="",$I784="",$J784=""),"",IF($N784="","NO VAT CODE",IF($T784="","UNKNOWN VAT CODE",IF($S784="","MISSING FX RATE",IF(OR($A784&lt;Settings!$C$8,$A784&gt;Settings!$C$9),"OUTSIDE PERIOD",IF(AND(IFERROR(INDEX(VAT_Codes!$E:$E,MATCH($N784,VAT_Codes!$A:$A,0)),"ANY")&lt;&gt;"ANY",$P784=""),"MISSING COUNTERPARTY COUNTRY",IF(AND(IFERROR(INDEX(VAT_Codes!$E:$E,MATCH($N784,VAT_Codes!$A:$A,0)),"ANY")&lt;&gt;"ANY",$P784&lt;&gt;IFERROR(INDEX(VAT_Codes!$E:$E,MATCH($N784,VAT_Codes!$A:$A,0)),"ANY")),"REGION MISMATCH","OK")))))))</f>
        <v/>
      </c>
    </row>
    <row r="785" customFormat="false" ht="15" hidden="false" customHeight="false" outlineLevel="0" collapsed="false">
      <c r="M785" s="24" t="str">
        <f aca="false">IF($C785="","",IFERROR(INDEX(Account_Mapping!$C:$C,MATCH($C785&amp;"",Account_Mapping!$A:$A,0))&amp;"",""))</f>
        <v/>
      </c>
      <c r="N785" s="24" t="str">
        <f aca="false">IF($K785&lt;&gt;"",$K785,$M785)</f>
        <v/>
      </c>
      <c r="O785" s="24" t="str">
        <f aca="false">IF($F785="","",IFERROR(INDEX(Counterparties!$C:$C,MATCH($F785&amp;"",Counterparties!$A:$A,0))&amp;"",""))</f>
        <v/>
      </c>
      <c r="P785" s="24" t="str">
        <f aca="false">IF($O785="","",IF($O785="CY","CY",IF(ISNUMBER(MATCH($O785,Lists!$A:$A,0)),"EU","3RD")))</f>
        <v/>
      </c>
      <c r="Q785" s="24" t="str">
        <f aca="false">IF($F785="","N",IFERROR(IF(INDEX(Counterparties!$E:$E,MATCH($F785&amp;"",Counterparties!$A:$A,0))="Y","Y","N"),"N"))</f>
        <v>N</v>
      </c>
      <c r="R785" s="25" t="n">
        <f aca="false">IF(OR($H785="",$H785="EUR"),1,IFERROR(INDEX(FX_Rates!$D:$D,MATCH($H785,FX_Rates!$A:$A,0)),""))</f>
        <v>1</v>
      </c>
      <c r="S785" s="26" t="str">
        <f aca="false">IF(AND($I785="",$J785=""),"",IF($J785&lt;&gt;"",$J785,IF(OR($R785="",$R785=0),"",ROUND($I785/$R785,2))))</f>
        <v/>
      </c>
      <c r="T785" s="24" t="str">
        <f aca="false">IF($N785="","",IFERROR(INDEX(VAT_Codes!$C:$C,MATCH($N785,VAT_Codes!$A:$A,0)),"")&amp;"")</f>
        <v/>
      </c>
      <c r="U785" s="26" t="n">
        <f aca="false">IF(OR($S785="",$T785="",$T785="None"),0,IF($T785="Output",-$S785,$S785))</f>
        <v>0</v>
      </c>
      <c r="V785" s="27" t="n">
        <f aca="false">IF($N785="",0,IFERROR(INDEX(VAT_Codes!$D:$D,MATCH($N785,VAT_Codes!$A:$A,0)),0))</f>
        <v>0</v>
      </c>
      <c r="W785" s="26" t="n">
        <f aca="false">IF($U785=0,0,IF(IFERROR(INDEX(VAT_Codes!$F:$F,MATCH($N785,VAT_Codes!$A:$A,0)),"N")="Y",$U785,IF($L785&lt;&gt;"",ROUND(ABS($L785)/IF(OR($R785="",$R785=0),1,$R785),2)*SIGN($U785),ROUND($U785*$V785,2))))</f>
        <v>0</v>
      </c>
      <c r="X785" s="24" t="str">
        <f aca="false">IF($N785="","",IFERROR(INDEX(VAT_Codes!$H:$H,MATCH($N785,VAT_Codes!$A:$A,0)),"")&amp;"")</f>
        <v/>
      </c>
      <c r="Y785" s="24" t="str">
        <f aca="false">IF($A785="","",(YEAR($A785)-YEAR(Settings!$C$8))*12+MONTH($A785)-MONTH(Settings!$C$8)+1)</f>
        <v/>
      </c>
      <c r="Z785" s="24" t="str">
        <f aca="false">IF(AND($C785="",$I785="",$J785=""),"",IF($N785="","NO VAT CODE",IF($T785="","UNKNOWN VAT CODE",IF($S785="","MISSING FX RATE",IF(OR($A785&lt;Settings!$C$8,$A785&gt;Settings!$C$9),"OUTSIDE PERIOD",IF(AND(IFERROR(INDEX(VAT_Codes!$E:$E,MATCH($N785,VAT_Codes!$A:$A,0)),"ANY")&lt;&gt;"ANY",$P785=""),"MISSING COUNTERPARTY COUNTRY",IF(AND(IFERROR(INDEX(VAT_Codes!$E:$E,MATCH($N785,VAT_Codes!$A:$A,0)),"ANY")&lt;&gt;"ANY",$P785&lt;&gt;IFERROR(INDEX(VAT_Codes!$E:$E,MATCH($N785,VAT_Codes!$A:$A,0)),"ANY")),"REGION MISMATCH","OK")))))))</f>
        <v/>
      </c>
    </row>
    <row r="786" customFormat="false" ht="15" hidden="false" customHeight="false" outlineLevel="0" collapsed="false">
      <c r="M786" s="24" t="str">
        <f aca="false">IF($C786="","",IFERROR(INDEX(Account_Mapping!$C:$C,MATCH($C786&amp;"",Account_Mapping!$A:$A,0))&amp;"",""))</f>
        <v/>
      </c>
      <c r="N786" s="24" t="str">
        <f aca="false">IF($K786&lt;&gt;"",$K786,$M786)</f>
        <v/>
      </c>
      <c r="O786" s="24" t="str">
        <f aca="false">IF($F786="","",IFERROR(INDEX(Counterparties!$C:$C,MATCH($F786&amp;"",Counterparties!$A:$A,0))&amp;"",""))</f>
        <v/>
      </c>
      <c r="P786" s="24" t="str">
        <f aca="false">IF($O786="","",IF($O786="CY","CY",IF(ISNUMBER(MATCH($O786,Lists!$A:$A,0)),"EU","3RD")))</f>
        <v/>
      </c>
      <c r="Q786" s="24" t="str">
        <f aca="false">IF($F786="","N",IFERROR(IF(INDEX(Counterparties!$E:$E,MATCH($F786&amp;"",Counterparties!$A:$A,0))="Y","Y","N"),"N"))</f>
        <v>N</v>
      </c>
      <c r="R786" s="25" t="n">
        <f aca="false">IF(OR($H786="",$H786="EUR"),1,IFERROR(INDEX(FX_Rates!$D:$D,MATCH($H786,FX_Rates!$A:$A,0)),""))</f>
        <v>1</v>
      </c>
      <c r="S786" s="26" t="str">
        <f aca="false">IF(AND($I786="",$J786=""),"",IF($J786&lt;&gt;"",$J786,IF(OR($R786="",$R786=0),"",ROUND($I786/$R786,2))))</f>
        <v/>
      </c>
      <c r="T786" s="24" t="str">
        <f aca="false">IF($N786="","",IFERROR(INDEX(VAT_Codes!$C:$C,MATCH($N786,VAT_Codes!$A:$A,0)),"")&amp;"")</f>
        <v/>
      </c>
      <c r="U786" s="26" t="n">
        <f aca="false">IF(OR($S786="",$T786="",$T786="None"),0,IF($T786="Output",-$S786,$S786))</f>
        <v>0</v>
      </c>
      <c r="V786" s="27" t="n">
        <f aca="false">IF($N786="",0,IFERROR(INDEX(VAT_Codes!$D:$D,MATCH($N786,VAT_Codes!$A:$A,0)),0))</f>
        <v>0</v>
      </c>
      <c r="W786" s="26" t="n">
        <f aca="false">IF($U786=0,0,IF(IFERROR(INDEX(VAT_Codes!$F:$F,MATCH($N786,VAT_Codes!$A:$A,0)),"N")="Y",$U786,IF($L786&lt;&gt;"",ROUND(ABS($L786)/IF(OR($R786="",$R786=0),1,$R786),2)*SIGN($U786),ROUND($U786*$V786,2))))</f>
        <v>0</v>
      </c>
      <c r="X786" s="24" t="str">
        <f aca="false">IF($N786="","",IFERROR(INDEX(VAT_Codes!$H:$H,MATCH($N786,VAT_Codes!$A:$A,0)),"")&amp;"")</f>
        <v/>
      </c>
      <c r="Y786" s="24" t="str">
        <f aca="false">IF($A786="","",(YEAR($A786)-YEAR(Settings!$C$8))*12+MONTH($A786)-MONTH(Settings!$C$8)+1)</f>
        <v/>
      </c>
      <c r="Z786" s="24" t="str">
        <f aca="false">IF(AND($C786="",$I786="",$J786=""),"",IF($N786="","NO VAT CODE",IF($T786="","UNKNOWN VAT CODE",IF($S786="","MISSING FX RATE",IF(OR($A786&lt;Settings!$C$8,$A786&gt;Settings!$C$9),"OUTSIDE PERIOD",IF(AND(IFERROR(INDEX(VAT_Codes!$E:$E,MATCH($N786,VAT_Codes!$A:$A,0)),"ANY")&lt;&gt;"ANY",$P786=""),"MISSING COUNTERPARTY COUNTRY",IF(AND(IFERROR(INDEX(VAT_Codes!$E:$E,MATCH($N786,VAT_Codes!$A:$A,0)),"ANY")&lt;&gt;"ANY",$P786&lt;&gt;IFERROR(INDEX(VAT_Codes!$E:$E,MATCH($N786,VAT_Codes!$A:$A,0)),"ANY")),"REGION MISMATCH","OK")))))))</f>
        <v/>
      </c>
    </row>
    <row r="787" customFormat="false" ht="15" hidden="false" customHeight="false" outlineLevel="0" collapsed="false">
      <c r="M787" s="24" t="str">
        <f aca="false">IF($C787="","",IFERROR(INDEX(Account_Mapping!$C:$C,MATCH($C787&amp;"",Account_Mapping!$A:$A,0))&amp;"",""))</f>
        <v/>
      </c>
      <c r="N787" s="24" t="str">
        <f aca="false">IF($K787&lt;&gt;"",$K787,$M787)</f>
        <v/>
      </c>
      <c r="O787" s="24" t="str">
        <f aca="false">IF($F787="","",IFERROR(INDEX(Counterparties!$C:$C,MATCH($F787&amp;"",Counterparties!$A:$A,0))&amp;"",""))</f>
        <v/>
      </c>
      <c r="P787" s="24" t="str">
        <f aca="false">IF($O787="","",IF($O787="CY","CY",IF(ISNUMBER(MATCH($O787,Lists!$A:$A,0)),"EU","3RD")))</f>
        <v/>
      </c>
      <c r="Q787" s="24" t="str">
        <f aca="false">IF($F787="","N",IFERROR(IF(INDEX(Counterparties!$E:$E,MATCH($F787&amp;"",Counterparties!$A:$A,0))="Y","Y","N"),"N"))</f>
        <v>N</v>
      </c>
      <c r="R787" s="25" t="n">
        <f aca="false">IF(OR($H787="",$H787="EUR"),1,IFERROR(INDEX(FX_Rates!$D:$D,MATCH($H787,FX_Rates!$A:$A,0)),""))</f>
        <v>1</v>
      </c>
      <c r="S787" s="26" t="str">
        <f aca="false">IF(AND($I787="",$J787=""),"",IF($J787&lt;&gt;"",$J787,IF(OR($R787="",$R787=0),"",ROUND($I787/$R787,2))))</f>
        <v/>
      </c>
      <c r="T787" s="24" t="str">
        <f aca="false">IF($N787="","",IFERROR(INDEX(VAT_Codes!$C:$C,MATCH($N787,VAT_Codes!$A:$A,0)),"")&amp;"")</f>
        <v/>
      </c>
      <c r="U787" s="26" t="n">
        <f aca="false">IF(OR($S787="",$T787="",$T787="None"),0,IF($T787="Output",-$S787,$S787))</f>
        <v>0</v>
      </c>
      <c r="V787" s="27" t="n">
        <f aca="false">IF($N787="",0,IFERROR(INDEX(VAT_Codes!$D:$D,MATCH($N787,VAT_Codes!$A:$A,0)),0))</f>
        <v>0</v>
      </c>
      <c r="W787" s="26" t="n">
        <f aca="false">IF($U787=0,0,IF(IFERROR(INDEX(VAT_Codes!$F:$F,MATCH($N787,VAT_Codes!$A:$A,0)),"N")="Y",$U787,IF($L787&lt;&gt;"",ROUND(ABS($L787)/IF(OR($R787="",$R787=0),1,$R787),2)*SIGN($U787),ROUND($U787*$V787,2))))</f>
        <v>0</v>
      </c>
      <c r="X787" s="24" t="str">
        <f aca="false">IF($N787="","",IFERROR(INDEX(VAT_Codes!$H:$H,MATCH($N787,VAT_Codes!$A:$A,0)),"")&amp;"")</f>
        <v/>
      </c>
      <c r="Y787" s="24" t="str">
        <f aca="false">IF($A787="","",(YEAR($A787)-YEAR(Settings!$C$8))*12+MONTH($A787)-MONTH(Settings!$C$8)+1)</f>
        <v/>
      </c>
      <c r="Z787" s="24" t="str">
        <f aca="false">IF(AND($C787="",$I787="",$J787=""),"",IF($N787="","NO VAT CODE",IF($T787="","UNKNOWN VAT CODE",IF($S787="","MISSING FX RATE",IF(OR($A787&lt;Settings!$C$8,$A787&gt;Settings!$C$9),"OUTSIDE PERIOD",IF(AND(IFERROR(INDEX(VAT_Codes!$E:$E,MATCH($N787,VAT_Codes!$A:$A,0)),"ANY")&lt;&gt;"ANY",$P787=""),"MISSING COUNTERPARTY COUNTRY",IF(AND(IFERROR(INDEX(VAT_Codes!$E:$E,MATCH($N787,VAT_Codes!$A:$A,0)),"ANY")&lt;&gt;"ANY",$P787&lt;&gt;IFERROR(INDEX(VAT_Codes!$E:$E,MATCH($N787,VAT_Codes!$A:$A,0)),"ANY")),"REGION MISMATCH","OK")))))))</f>
        <v/>
      </c>
    </row>
    <row r="788" customFormat="false" ht="15" hidden="false" customHeight="false" outlineLevel="0" collapsed="false">
      <c r="M788" s="24" t="str">
        <f aca="false">IF($C788="","",IFERROR(INDEX(Account_Mapping!$C:$C,MATCH($C788&amp;"",Account_Mapping!$A:$A,0))&amp;"",""))</f>
        <v/>
      </c>
      <c r="N788" s="24" t="str">
        <f aca="false">IF($K788&lt;&gt;"",$K788,$M788)</f>
        <v/>
      </c>
      <c r="O788" s="24" t="str">
        <f aca="false">IF($F788="","",IFERROR(INDEX(Counterparties!$C:$C,MATCH($F788&amp;"",Counterparties!$A:$A,0))&amp;"",""))</f>
        <v/>
      </c>
      <c r="P788" s="24" t="str">
        <f aca="false">IF($O788="","",IF($O788="CY","CY",IF(ISNUMBER(MATCH($O788,Lists!$A:$A,0)),"EU","3RD")))</f>
        <v/>
      </c>
      <c r="Q788" s="24" t="str">
        <f aca="false">IF($F788="","N",IFERROR(IF(INDEX(Counterparties!$E:$E,MATCH($F788&amp;"",Counterparties!$A:$A,0))="Y","Y","N"),"N"))</f>
        <v>N</v>
      </c>
      <c r="R788" s="25" t="n">
        <f aca="false">IF(OR($H788="",$H788="EUR"),1,IFERROR(INDEX(FX_Rates!$D:$D,MATCH($H788,FX_Rates!$A:$A,0)),""))</f>
        <v>1</v>
      </c>
      <c r="S788" s="26" t="str">
        <f aca="false">IF(AND($I788="",$J788=""),"",IF($J788&lt;&gt;"",$J788,IF(OR($R788="",$R788=0),"",ROUND($I788/$R788,2))))</f>
        <v/>
      </c>
      <c r="T788" s="24" t="str">
        <f aca="false">IF($N788="","",IFERROR(INDEX(VAT_Codes!$C:$C,MATCH($N788,VAT_Codes!$A:$A,0)),"")&amp;"")</f>
        <v/>
      </c>
      <c r="U788" s="26" t="n">
        <f aca="false">IF(OR($S788="",$T788="",$T788="None"),0,IF($T788="Output",-$S788,$S788))</f>
        <v>0</v>
      </c>
      <c r="V788" s="27" t="n">
        <f aca="false">IF($N788="",0,IFERROR(INDEX(VAT_Codes!$D:$D,MATCH($N788,VAT_Codes!$A:$A,0)),0))</f>
        <v>0</v>
      </c>
      <c r="W788" s="26" t="n">
        <f aca="false">IF($U788=0,0,IF(IFERROR(INDEX(VAT_Codes!$F:$F,MATCH($N788,VAT_Codes!$A:$A,0)),"N")="Y",$U788,IF($L788&lt;&gt;"",ROUND(ABS($L788)/IF(OR($R788="",$R788=0),1,$R788),2)*SIGN($U788),ROUND($U788*$V788,2))))</f>
        <v>0</v>
      </c>
      <c r="X788" s="24" t="str">
        <f aca="false">IF($N788="","",IFERROR(INDEX(VAT_Codes!$H:$H,MATCH($N788,VAT_Codes!$A:$A,0)),"")&amp;"")</f>
        <v/>
      </c>
      <c r="Y788" s="24" t="str">
        <f aca="false">IF($A788="","",(YEAR($A788)-YEAR(Settings!$C$8))*12+MONTH($A788)-MONTH(Settings!$C$8)+1)</f>
        <v/>
      </c>
      <c r="Z788" s="24" t="str">
        <f aca="false">IF(AND($C788="",$I788="",$J788=""),"",IF($N788="","NO VAT CODE",IF($T788="","UNKNOWN VAT CODE",IF($S788="","MISSING FX RATE",IF(OR($A788&lt;Settings!$C$8,$A788&gt;Settings!$C$9),"OUTSIDE PERIOD",IF(AND(IFERROR(INDEX(VAT_Codes!$E:$E,MATCH($N788,VAT_Codes!$A:$A,0)),"ANY")&lt;&gt;"ANY",$P788=""),"MISSING COUNTERPARTY COUNTRY",IF(AND(IFERROR(INDEX(VAT_Codes!$E:$E,MATCH($N788,VAT_Codes!$A:$A,0)),"ANY")&lt;&gt;"ANY",$P788&lt;&gt;IFERROR(INDEX(VAT_Codes!$E:$E,MATCH($N788,VAT_Codes!$A:$A,0)),"ANY")),"REGION MISMATCH","OK")))))))</f>
        <v/>
      </c>
    </row>
    <row r="789" customFormat="false" ht="15" hidden="false" customHeight="false" outlineLevel="0" collapsed="false">
      <c r="M789" s="24" t="str">
        <f aca="false">IF($C789="","",IFERROR(INDEX(Account_Mapping!$C:$C,MATCH($C789&amp;"",Account_Mapping!$A:$A,0))&amp;"",""))</f>
        <v/>
      </c>
      <c r="N789" s="24" t="str">
        <f aca="false">IF($K789&lt;&gt;"",$K789,$M789)</f>
        <v/>
      </c>
      <c r="O789" s="24" t="str">
        <f aca="false">IF($F789="","",IFERROR(INDEX(Counterparties!$C:$C,MATCH($F789&amp;"",Counterparties!$A:$A,0))&amp;"",""))</f>
        <v/>
      </c>
      <c r="P789" s="24" t="str">
        <f aca="false">IF($O789="","",IF($O789="CY","CY",IF(ISNUMBER(MATCH($O789,Lists!$A:$A,0)),"EU","3RD")))</f>
        <v/>
      </c>
      <c r="Q789" s="24" t="str">
        <f aca="false">IF($F789="","N",IFERROR(IF(INDEX(Counterparties!$E:$E,MATCH($F789&amp;"",Counterparties!$A:$A,0))="Y","Y","N"),"N"))</f>
        <v>N</v>
      </c>
      <c r="R789" s="25" t="n">
        <f aca="false">IF(OR($H789="",$H789="EUR"),1,IFERROR(INDEX(FX_Rates!$D:$D,MATCH($H789,FX_Rates!$A:$A,0)),""))</f>
        <v>1</v>
      </c>
      <c r="S789" s="26" t="str">
        <f aca="false">IF(AND($I789="",$J789=""),"",IF($J789&lt;&gt;"",$J789,IF(OR($R789="",$R789=0),"",ROUND($I789/$R789,2))))</f>
        <v/>
      </c>
      <c r="T789" s="24" t="str">
        <f aca="false">IF($N789="","",IFERROR(INDEX(VAT_Codes!$C:$C,MATCH($N789,VAT_Codes!$A:$A,0)),"")&amp;"")</f>
        <v/>
      </c>
      <c r="U789" s="26" t="n">
        <f aca="false">IF(OR($S789="",$T789="",$T789="None"),0,IF($T789="Output",-$S789,$S789))</f>
        <v>0</v>
      </c>
      <c r="V789" s="27" t="n">
        <f aca="false">IF($N789="",0,IFERROR(INDEX(VAT_Codes!$D:$D,MATCH($N789,VAT_Codes!$A:$A,0)),0))</f>
        <v>0</v>
      </c>
      <c r="W789" s="26" t="n">
        <f aca="false">IF($U789=0,0,IF(IFERROR(INDEX(VAT_Codes!$F:$F,MATCH($N789,VAT_Codes!$A:$A,0)),"N")="Y",$U789,IF($L789&lt;&gt;"",ROUND(ABS($L789)/IF(OR($R789="",$R789=0),1,$R789),2)*SIGN($U789),ROUND($U789*$V789,2))))</f>
        <v>0</v>
      </c>
      <c r="X789" s="24" t="str">
        <f aca="false">IF($N789="","",IFERROR(INDEX(VAT_Codes!$H:$H,MATCH($N789,VAT_Codes!$A:$A,0)),"")&amp;"")</f>
        <v/>
      </c>
      <c r="Y789" s="24" t="str">
        <f aca="false">IF($A789="","",(YEAR($A789)-YEAR(Settings!$C$8))*12+MONTH($A789)-MONTH(Settings!$C$8)+1)</f>
        <v/>
      </c>
      <c r="Z789" s="24" t="str">
        <f aca="false">IF(AND($C789="",$I789="",$J789=""),"",IF($N789="","NO VAT CODE",IF($T789="","UNKNOWN VAT CODE",IF($S789="","MISSING FX RATE",IF(OR($A789&lt;Settings!$C$8,$A789&gt;Settings!$C$9),"OUTSIDE PERIOD",IF(AND(IFERROR(INDEX(VAT_Codes!$E:$E,MATCH($N789,VAT_Codes!$A:$A,0)),"ANY")&lt;&gt;"ANY",$P789=""),"MISSING COUNTERPARTY COUNTRY",IF(AND(IFERROR(INDEX(VAT_Codes!$E:$E,MATCH($N789,VAT_Codes!$A:$A,0)),"ANY")&lt;&gt;"ANY",$P789&lt;&gt;IFERROR(INDEX(VAT_Codes!$E:$E,MATCH($N789,VAT_Codes!$A:$A,0)),"ANY")),"REGION MISMATCH","OK")))))))</f>
        <v/>
      </c>
    </row>
    <row r="790" customFormat="false" ht="15" hidden="false" customHeight="false" outlineLevel="0" collapsed="false">
      <c r="M790" s="24" t="str">
        <f aca="false">IF($C790="","",IFERROR(INDEX(Account_Mapping!$C:$C,MATCH($C790&amp;"",Account_Mapping!$A:$A,0))&amp;"",""))</f>
        <v/>
      </c>
      <c r="N790" s="24" t="str">
        <f aca="false">IF($K790&lt;&gt;"",$K790,$M790)</f>
        <v/>
      </c>
      <c r="O790" s="24" t="str">
        <f aca="false">IF($F790="","",IFERROR(INDEX(Counterparties!$C:$C,MATCH($F790&amp;"",Counterparties!$A:$A,0))&amp;"",""))</f>
        <v/>
      </c>
      <c r="P790" s="24" t="str">
        <f aca="false">IF($O790="","",IF($O790="CY","CY",IF(ISNUMBER(MATCH($O790,Lists!$A:$A,0)),"EU","3RD")))</f>
        <v/>
      </c>
      <c r="Q790" s="24" t="str">
        <f aca="false">IF($F790="","N",IFERROR(IF(INDEX(Counterparties!$E:$E,MATCH($F790&amp;"",Counterparties!$A:$A,0))="Y","Y","N"),"N"))</f>
        <v>N</v>
      </c>
      <c r="R790" s="25" t="n">
        <f aca="false">IF(OR($H790="",$H790="EUR"),1,IFERROR(INDEX(FX_Rates!$D:$D,MATCH($H790,FX_Rates!$A:$A,0)),""))</f>
        <v>1</v>
      </c>
      <c r="S790" s="26" t="str">
        <f aca="false">IF(AND($I790="",$J790=""),"",IF($J790&lt;&gt;"",$J790,IF(OR($R790="",$R790=0),"",ROUND($I790/$R790,2))))</f>
        <v/>
      </c>
      <c r="T790" s="24" t="str">
        <f aca="false">IF($N790="","",IFERROR(INDEX(VAT_Codes!$C:$C,MATCH($N790,VAT_Codes!$A:$A,0)),"")&amp;"")</f>
        <v/>
      </c>
      <c r="U790" s="26" t="n">
        <f aca="false">IF(OR($S790="",$T790="",$T790="None"),0,IF($T790="Output",-$S790,$S790))</f>
        <v>0</v>
      </c>
      <c r="V790" s="27" t="n">
        <f aca="false">IF($N790="",0,IFERROR(INDEX(VAT_Codes!$D:$D,MATCH($N790,VAT_Codes!$A:$A,0)),0))</f>
        <v>0</v>
      </c>
      <c r="W790" s="26" t="n">
        <f aca="false">IF($U790=0,0,IF(IFERROR(INDEX(VAT_Codes!$F:$F,MATCH($N790,VAT_Codes!$A:$A,0)),"N")="Y",$U790,IF($L790&lt;&gt;"",ROUND(ABS($L790)/IF(OR($R790="",$R790=0),1,$R790),2)*SIGN($U790),ROUND($U790*$V790,2))))</f>
        <v>0</v>
      </c>
      <c r="X790" s="24" t="str">
        <f aca="false">IF($N790="","",IFERROR(INDEX(VAT_Codes!$H:$H,MATCH($N790,VAT_Codes!$A:$A,0)),"")&amp;"")</f>
        <v/>
      </c>
      <c r="Y790" s="24" t="str">
        <f aca="false">IF($A790="","",(YEAR($A790)-YEAR(Settings!$C$8))*12+MONTH($A790)-MONTH(Settings!$C$8)+1)</f>
        <v/>
      </c>
      <c r="Z790" s="24" t="str">
        <f aca="false">IF(AND($C790="",$I790="",$J790=""),"",IF($N790="","NO VAT CODE",IF($T790="","UNKNOWN VAT CODE",IF($S790="","MISSING FX RATE",IF(OR($A790&lt;Settings!$C$8,$A790&gt;Settings!$C$9),"OUTSIDE PERIOD",IF(AND(IFERROR(INDEX(VAT_Codes!$E:$E,MATCH($N790,VAT_Codes!$A:$A,0)),"ANY")&lt;&gt;"ANY",$P790=""),"MISSING COUNTERPARTY COUNTRY",IF(AND(IFERROR(INDEX(VAT_Codes!$E:$E,MATCH($N790,VAT_Codes!$A:$A,0)),"ANY")&lt;&gt;"ANY",$P790&lt;&gt;IFERROR(INDEX(VAT_Codes!$E:$E,MATCH($N790,VAT_Codes!$A:$A,0)),"ANY")),"REGION MISMATCH","OK")))))))</f>
        <v/>
      </c>
    </row>
    <row r="791" customFormat="false" ht="15" hidden="false" customHeight="false" outlineLevel="0" collapsed="false">
      <c r="M791" s="24" t="str">
        <f aca="false">IF($C791="","",IFERROR(INDEX(Account_Mapping!$C:$C,MATCH($C791&amp;"",Account_Mapping!$A:$A,0))&amp;"",""))</f>
        <v/>
      </c>
      <c r="N791" s="24" t="str">
        <f aca="false">IF($K791&lt;&gt;"",$K791,$M791)</f>
        <v/>
      </c>
      <c r="O791" s="24" t="str">
        <f aca="false">IF($F791="","",IFERROR(INDEX(Counterparties!$C:$C,MATCH($F791&amp;"",Counterparties!$A:$A,0))&amp;"",""))</f>
        <v/>
      </c>
      <c r="P791" s="24" t="str">
        <f aca="false">IF($O791="","",IF($O791="CY","CY",IF(ISNUMBER(MATCH($O791,Lists!$A:$A,0)),"EU","3RD")))</f>
        <v/>
      </c>
      <c r="Q791" s="24" t="str">
        <f aca="false">IF($F791="","N",IFERROR(IF(INDEX(Counterparties!$E:$E,MATCH($F791&amp;"",Counterparties!$A:$A,0))="Y","Y","N"),"N"))</f>
        <v>N</v>
      </c>
      <c r="R791" s="25" t="n">
        <f aca="false">IF(OR($H791="",$H791="EUR"),1,IFERROR(INDEX(FX_Rates!$D:$D,MATCH($H791,FX_Rates!$A:$A,0)),""))</f>
        <v>1</v>
      </c>
      <c r="S791" s="26" t="str">
        <f aca="false">IF(AND($I791="",$J791=""),"",IF($J791&lt;&gt;"",$J791,IF(OR($R791="",$R791=0),"",ROUND($I791/$R791,2))))</f>
        <v/>
      </c>
      <c r="T791" s="24" t="str">
        <f aca="false">IF($N791="","",IFERROR(INDEX(VAT_Codes!$C:$C,MATCH($N791,VAT_Codes!$A:$A,0)),"")&amp;"")</f>
        <v/>
      </c>
      <c r="U791" s="26" t="n">
        <f aca="false">IF(OR($S791="",$T791="",$T791="None"),0,IF($T791="Output",-$S791,$S791))</f>
        <v>0</v>
      </c>
      <c r="V791" s="27" t="n">
        <f aca="false">IF($N791="",0,IFERROR(INDEX(VAT_Codes!$D:$D,MATCH($N791,VAT_Codes!$A:$A,0)),0))</f>
        <v>0</v>
      </c>
      <c r="W791" s="26" t="n">
        <f aca="false">IF($U791=0,0,IF(IFERROR(INDEX(VAT_Codes!$F:$F,MATCH($N791,VAT_Codes!$A:$A,0)),"N")="Y",$U791,IF($L791&lt;&gt;"",ROUND(ABS($L791)/IF(OR($R791="",$R791=0),1,$R791),2)*SIGN($U791),ROUND($U791*$V791,2))))</f>
        <v>0</v>
      </c>
      <c r="X791" s="24" t="str">
        <f aca="false">IF($N791="","",IFERROR(INDEX(VAT_Codes!$H:$H,MATCH($N791,VAT_Codes!$A:$A,0)),"")&amp;"")</f>
        <v/>
      </c>
      <c r="Y791" s="24" t="str">
        <f aca="false">IF($A791="","",(YEAR($A791)-YEAR(Settings!$C$8))*12+MONTH($A791)-MONTH(Settings!$C$8)+1)</f>
        <v/>
      </c>
      <c r="Z791" s="24" t="str">
        <f aca="false">IF(AND($C791="",$I791="",$J791=""),"",IF($N791="","NO VAT CODE",IF($T791="","UNKNOWN VAT CODE",IF($S791="","MISSING FX RATE",IF(OR($A791&lt;Settings!$C$8,$A791&gt;Settings!$C$9),"OUTSIDE PERIOD",IF(AND(IFERROR(INDEX(VAT_Codes!$E:$E,MATCH($N791,VAT_Codes!$A:$A,0)),"ANY")&lt;&gt;"ANY",$P791=""),"MISSING COUNTERPARTY COUNTRY",IF(AND(IFERROR(INDEX(VAT_Codes!$E:$E,MATCH($N791,VAT_Codes!$A:$A,0)),"ANY")&lt;&gt;"ANY",$P791&lt;&gt;IFERROR(INDEX(VAT_Codes!$E:$E,MATCH($N791,VAT_Codes!$A:$A,0)),"ANY")),"REGION MISMATCH","OK")))))))</f>
        <v/>
      </c>
    </row>
    <row r="792" customFormat="false" ht="15" hidden="false" customHeight="false" outlineLevel="0" collapsed="false">
      <c r="M792" s="24" t="str">
        <f aca="false">IF($C792="","",IFERROR(INDEX(Account_Mapping!$C:$C,MATCH($C792&amp;"",Account_Mapping!$A:$A,0))&amp;"",""))</f>
        <v/>
      </c>
      <c r="N792" s="24" t="str">
        <f aca="false">IF($K792&lt;&gt;"",$K792,$M792)</f>
        <v/>
      </c>
      <c r="O792" s="24" t="str">
        <f aca="false">IF($F792="","",IFERROR(INDEX(Counterparties!$C:$C,MATCH($F792&amp;"",Counterparties!$A:$A,0))&amp;"",""))</f>
        <v/>
      </c>
      <c r="P792" s="24" t="str">
        <f aca="false">IF($O792="","",IF($O792="CY","CY",IF(ISNUMBER(MATCH($O792,Lists!$A:$A,0)),"EU","3RD")))</f>
        <v/>
      </c>
      <c r="Q792" s="24" t="str">
        <f aca="false">IF($F792="","N",IFERROR(IF(INDEX(Counterparties!$E:$E,MATCH($F792&amp;"",Counterparties!$A:$A,0))="Y","Y","N"),"N"))</f>
        <v>N</v>
      </c>
      <c r="R792" s="25" t="n">
        <f aca="false">IF(OR($H792="",$H792="EUR"),1,IFERROR(INDEX(FX_Rates!$D:$D,MATCH($H792,FX_Rates!$A:$A,0)),""))</f>
        <v>1</v>
      </c>
      <c r="S792" s="26" t="str">
        <f aca="false">IF(AND($I792="",$J792=""),"",IF($J792&lt;&gt;"",$J792,IF(OR($R792="",$R792=0),"",ROUND($I792/$R792,2))))</f>
        <v/>
      </c>
      <c r="T792" s="24" t="str">
        <f aca="false">IF($N792="","",IFERROR(INDEX(VAT_Codes!$C:$C,MATCH($N792,VAT_Codes!$A:$A,0)),"")&amp;"")</f>
        <v/>
      </c>
      <c r="U792" s="26" t="n">
        <f aca="false">IF(OR($S792="",$T792="",$T792="None"),0,IF($T792="Output",-$S792,$S792))</f>
        <v>0</v>
      </c>
      <c r="V792" s="27" t="n">
        <f aca="false">IF($N792="",0,IFERROR(INDEX(VAT_Codes!$D:$D,MATCH($N792,VAT_Codes!$A:$A,0)),0))</f>
        <v>0</v>
      </c>
      <c r="W792" s="26" t="n">
        <f aca="false">IF($U792=0,0,IF(IFERROR(INDEX(VAT_Codes!$F:$F,MATCH($N792,VAT_Codes!$A:$A,0)),"N")="Y",$U792,IF($L792&lt;&gt;"",ROUND(ABS($L792)/IF(OR($R792="",$R792=0),1,$R792),2)*SIGN($U792),ROUND($U792*$V792,2))))</f>
        <v>0</v>
      </c>
      <c r="X792" s="24" t="str">
        <f aca="false">IF($N792="","",IFERROR(INDEX(VAT_Codes!$H:$H,MATCH($N792,VAT_Codes!$A:$A,0)),"")&amp;"")</f>
        <v/>
      </c>
      <c r="Y792" s="24" t="str">
        <f aca="false">IF($A792="","",(YEAR($A792)-YEAR(Settings!$C$8))*12+MONTH($A792)-MONTH(Settings!$C$8)+1)</f>
        <v/>
      </c>
      <c r="Z792" s="24" t="str">
        <f aca="false">IF(AND($C792="",$I792="",$J792=""),"",IF($N792="","NO VAT CODE",IF($T792="","UNKNOWN VAT CODE",IF($S792="","MISSING FX RATE",IF(OR($A792&lt;Settings!$C$8,$A792&gt;Settings!$C$9),"OUTSIDE PERIOD",IF(AND(IFERROR(INDEX(VAT_Codes!$E:$E,MATCH($N792,VAT_Codes!$A:$A,0)),"ANY")&lt;&gt;"ANY",$P792=""),"MISSING COUNTERPARTY COUNTRY",IF(AND(IFERROR(INDEX(VAT_Codes!$E:$E,MATCH($N792,VAT_Codes!$A:$A,0)),"ANY")&lt;&gt;"ANY",$P792&lt;&gt;IFERROR(INDEX(VAT_Codes!$E:$E,MATCH($N792,VAT_Codes!$A:$A,0)),"ANY")),"REGION MISMATCH","OK")))))))</f>
        <v/>
      </c>
    </row>
    <row r="793" customFormat="false" ht="15" hidden="false" customHeight="false" outlineLevel="0" collapsed="false">
      <c r="M793" s="24" t="str">
        <f aca="false">IF($C793="","",IFERROR(INDEX(Account_Mapping!$C:$C,MATCH($C793&amp;"",Account_Mapping!$A:$A,0))&amp;"",""))</f>
        <v/>
      </c>
      <c r="N793" s="24" t="str">
        <f aca="false">IF($K793&lt;&gt;"",$K793,$M793)</f>
        <v/>
      </c>
      <c r="O793" s="24" t="str">
        <f aca="false">IF($F793="","",IFERROR(INDEX(Counterparties!$C:$C,MATCH($F793&amp;"",Counterparties!$A:$A,0))&amp;"",""))</f>
        <v/>
      </c>
      <c r="P793" s="24" t="str">
        <f aca="false">IF($O793="","",IF($O793="CY","CY",IF(ISNUMBER(MATCH($O793,Lists!$A:$A,0)),"EU","3RD")))</f>
        <v/>
      </c>
      <c r="Q793" s="24" t="str">
        <f aca="false">IF($F793="","N",IFERROR(IF(INDEX(Counterparties!$E:$E,MATCH($F793&amp;"",Counterparties!$A:$A,0))="Y","Y","N"),"N"))</f>
        <v>N</v>
      </c>
      <c r="R793" s="25" t="n">
        <f aca="false">IF(OR($H793="",$H793="EUR"),1,IFERROR(INDEX(FX_Rates!$D:$D,MATCH($H793,FX_Rates!$A:$A,0)),""))</f>
        <v>1</v>
      </c>
      <c r="S793" s="26" t="str">
        <f aca="false">IF(AND($I793="",$J793=""),"",IF($J793&lt;&gt;"",$J793,IF(OR($R793="",$R793=0),"",ROUND($I793/$R793,2))))</f>
        <v/>
      </c>
      <c r="T793" s="24" t="str">
        <f aca="false">IF($N793="","",IFERROR(INDEX(VAT_Codes!$C:$C,MATCH($N793,VAT_Codes!$A:$A,0)),"")&amp;"")</f>
        <v/>
      </c>
      <c r="U793" s="26" t="n">
        <f aca="false">IF(OR($S793="",$T793="",$T793="None"),0,IF($T793="Output",-$S793,$S793))</f>
        <v>0</v>
      </c>
      <c r="V793" s="27" t="n">
        <f aca="false">IF($N793="",0,IFERROR(INDEX(VAT_Codes!$D:$D,MATCH($N793,VAT_Codes!$A:$A,0)),0))</f>
        <v>0</v>
      </c>
      <c r="W793" s="26" t="n">
        <f aca="false">IF($U793=0,0,IF(IFERROR(INDEX(VAT_Codes!$F:$F,MATCH($N793,VAT_Codes!$A:$A,0)),"N")="Y",$U793,IF($L793&lt;&gt;"",ROUND(ABS($L793)/IF(OR($R793="",$R793=0),1,$R793),2)*SIGN($U793),ROUND($U793*$V793,2))))</f>
        <v>0</v>
      </c>
      <c r="X793" s="24" t="str">
        <f aca="false">IF($N793="","",IFERROR(INDEX(VAT_Codes!$H:$H,MATCH($N793,VAT_Codes!$A:$A,0)),"")&amp;"")</f>
        <v/>
      </c>
      <c r="Y793" s="24" t="str">
        <f aca="false">IF($A793="","",(YEAR($A793)-YEAR(Settings!$C$8))*12+MONTH($A793)-MONTH(Settings!$C$8)+1)</f>
        <v/>
      </c>
      <c r="Z793" s="24" t="str">
        <f aca="false">IF(AND($C793="",$I793="",$J793=""),"",IF($N793="","NO VAT CODE",IF($T793="","UNKNOWN VAT CODE",IF($S793="","MISSING FX RATE",IF(OR($A793&lt;Settings!$C$8,$A793&gt;Settings!$C$9),"OUTSIDE PERIOD",IF(AND(IFERROR(INDEX(VAT_Codes!$E:$E,MATCH($N793,VAT_Codes!$A:$A,0)),"ANY")&lt;&gt;"ANY",$P793=""),"MISSING COUNTERPARTY COUNTRY",IF(AND(IFERROR(INDEX(VAT_Codes!$E:$E,MATCH($N793,VAT_Codes!$A:$A,0)),"ANY")&lt;&gt;"ANY",$P793&lt;&gt;IFERROR(INDEX(VAT_Codes!$E:$E,MATCH($N793,VAT_Codes!$A:$A,0)),"ANY")),"REGION MISMATCH","OK")))))))</f>
        <v/>
      </c>
    </row>
    <row r="794" customFormat="false" ht="15" hidden="false" customHeight="false" outlineLevel="0" collapsed="false">
      <c r="M794" s="24" t="str">
        <f aca="false">IF($C794="","",IFERROR(INDEX(Account_Mapping!$C:$C,MATCH($C794&amp;"",Account_Mapping!$A:$A,0))&amp;"",""))</f>
        <v/>
      </c>
      <c r="N794" s="24" t="str">
        <f aca="false">IF($K794&lt;&gt;"",$K794,$M794)</f>
        <v/>
      </c>
      <c r="O794" s="24" t="str">
        <f aca="false">IF($F794="","",IFERROR(INDEX(Counterparties!$C:$C,MATCH($F794&amp;"",Counterparties!$A:$A,0))&amp;"",""))</f>
        <v/>
      </c>
      <c r="P794" s="24" t="str">
        <f aca="false">IF($O794="","",IF($O794="CY","CY",IF(ISNUMBER(MATCH($O794,Lists!$A:$A,0)),"EU","3RD")))</f>
        <v/>
      </c>
      <c r="Q794" s="24" t="str">
        <f aca="false">IF($F794="","N",IFERROR(IF(INDEX(Counterparties!$E:$E,MATCH($F794&amp;"",Counterparties!$A:$A,0))="Y","Y","N"),"N"))</f>
        <v>N</v>
      </c>
      <c r="R794" s="25" t="n">
        <f aca="false">IF(OR($H794="",$H794="EUR"),1,IFERROR(INDEX(FX_Rates!$D:$D,MATCH($H794,FX_Rates!$A:$A,0)),""))</f>
        <v>1</v>
      </c>
      <c r="S794" s="26" t="str">
        <f aca="false">IF(AND($I794="",$J794=""),"",IF($J794&lt;&gt;"",$J794,IF(OR($R794="",$R794=0),"",ROUND($I794/$R794,2))))</f>
        <v/>
      </c>
      <c r="T794" s="24" t="str">
        <f aca="false">IF($N794="","",IFERROR(INDEX(VAT_Codes!$C:$C,MATCH($N794,VAT_Codes!$A:$A,0)),"")&amp;"")</f>
        <v/>
      </c>
      <c r="U794" s="26" t="n">
        <f aca="false">IF(OR($S794="",$T794="",$T794="None"),0,IF($T794="Output",-$S794,$S794))</f>
        <v>0</v>
      </c>
      <c r="V794" s="27" t="n">
        <f aca="false">IF($N794="",0,IFERROR(INDEX(VAT_Codes!$D:$D,MATCH($N794,VAT_Codes!$A:$A,0)),0))</f>
        <v>0</v>
      </c>
      <c r="W794" s="26" t="n">
        <f aca="false">IF($U794=0,0,IF(IFERROR(INDEX(VAT_Codes!$F:$F,MATCH($N794,VAT_Codes!$A:$A,0)),"N")="Y",$U794,IF($L794&lt;&gt;"",ROUND(ABS($L794)/IF(OR($R794="",$R794=0),1,$R794),2)*SIGN($U794),ROUND($U794*$V794,2))))</f>
        <v>0</v>
      </c>
      <c r="X794" s="24" t="str">
        <f aca="false">IF($N794="","",IFERROR(INDEX(VAT_Codes!$H:$H,MATCH($N794,VAT_Codes!$A:$A,0)),"")&amp;"")</f>
        <v/>
      </c>
      <c r="Y794" s="24" t="str">
        <f aca="false">IF($A794="","",(YEAR($A794)-YEAR(Settings!$C$8))*12+MONTH($A794)-MONTH(Settings!$C$8)+1)</f>
        <v/>
      </c>
      <c r="Z794" s="24" t="str">
        <f aca="false">IF(AND($C794="",$I794="",$J794=""),"",IF($N794="","NO VAT CODE",IF($T794="","UNKNOWN VAT CODE",IF($S794="","MISSING FX RATE",IF(OR($A794&lt;Settings!$C$8,$A794&gt;Settings!$C$9),"OUTSIDE PERIOD",IF(AND(IFERROR(INDEX(VAT_Codes!$E:$E,MATCH($N794,VAT_Codes!$A:$A,0)),"ANY")&lt;&gt;"ANY",$P794=""),"MISSING COUNTERPARTY COUNTRY",IF(AND(IFERROR(INDEX(VAT_Codes!$E:$E,MATCH($N794,VAT_Codes!$A:$A,0)),"ANY")&lt;&gt;"ANY",$P794&lt;&gt;IFERROR(INDEX(VAT_Codes!$E:$E,MATCH($N794,VAT_Codes!$A:$A,0)),"ANY")),"REGION MISMATCH","OK")))))))</f>
        <v/>
      </c>
    </row>
    <row r="795" customFormat="false" ht="15" hidden="false" customHeight="false" outlineLevel="0" collapsed="false">
      <c r="M795" s="24" t="str">
        <f aca="false">IF($C795="","",IFERROR(INDEX(Account_Mapping!$C:$C,MATCH($C795&amp;"",Account_Mapping!$A:$A,0))&amp;"",""))</f>
        <v/>
      </c>
      <c r="N795" s="24" t="str">
        <f aca="false">IF($K795&lt;&gt;"",$K795,$M795)</f>
        <v/>
      </c>
      <c r="O795" s="24" t="str">
        <f aca="false">IF($F795="","",IFERROR(INDEX(Counterparties!$C:$C,MATCH($F795&amp;"",Counterparties!$A:$A,0))&amp;"",""))</f>
        <v/>
      </c>
      <c r="P795" s="24" t="str">
        <f aca="false">IF($O795="","",IF($O795="CY","CY",IF(ISNUMBER(MATCH($O795,Lists!$A:$A,0)),"EU","3RD")))</f>
        <v/>
      </c>
      <c r="Q795" s="24" t="str">
        <f aca="false">IF($F795="","N",IFERROR(IF(INDEX(Counterparties!$E:$E,MATCH($F795&amp;"",Counterparties!$A:$A,0))="Y","Y","N"),"N"))</f>
        <v>N</v>
      </c>
      <c r="R795" s="25" t="n">
        <f aca="false">IF(OR($H795="",$H795="EUR"),1,IFERROR(INDEX(FX_Rates!$D:$D,MATCH($H795,FX_Rates!$A:$A,0)),""))</f>
        <v>1</v>
      </c>
      <c r="S795" s="26" t="str">
        <f aca="false">IF(AND($I795="",$J795=""),"",IF($J795&lt;&gt;"",$J795,IF(OR($R795="",$R795=0),"",ROUND($I795/$R795,2))))</f>
        <v/>
      </c>
      <c r="T795" s="24" t="str">
        <f aca="false">IF($N795="","",IFERROR(INDEX(VAT_Codes!$C:$C,MATCH($N795,VAT_Codes!$A:$A,0)),"")&amp;"")</f>
        <v/>
      </c>
      <c r="U795" s="26" t="n">
        <f aca="false">IF(OR($S795="",$T795="",$T795="None"),0,IF($T795="Output",-$S795,$S795))</f>
        <v>0</v>
      </c>
      <c r="V795" s="27" t="n">
        <f aca="false">IF($N795="",0,IFERROR(INDEX(VAT_Codes!$D:$D,MATCH($N795,VAT_Codes!$A:$A,0)),0))</f>
        <v>0</v>
      </c>
      <c r="W795" s="26" t="n">
        <f aca="false">IF($U795=0,0,IF(IFERROR(INDEX(VAT_Codes!$F:$F,MATCH($N795,VAT_Codes!$A:$A,0)),"N")="Y",$U795,IF($L795&lt;&gt;"",ROUND(ABS($L795)/IF(OR($R795="",$R795=0),1,$R795),2)*SIGN($U795),ROUND($U795*$V795,2))))</f>
        <v>0</v>
      </c>
      <c r="X795" s="24" t="str">
        <f aca="false">IF($N795="","",IFERROR(INDEX(VAT_Codes!$H:$H,MATCH($N795,VAT_Codes!$A:$A,0)),"")&amp;"")</f>
        <v/>
      </c>
      <c r="Y795" s="24" t="str">
        <f aca="false">IF($A795="","",(YEAR($A795)-YEAR(Settings!$C$8))*12+MONTH($A795)-MONTH(Settings!$C$8)+1)</f>
        <v/>
      </c>
      <c r="Z795" s="24" t="str">
        <f aca="false">IF(AND($C795="",$I795="",$J795=""),"",IF($N795="","NO VAT CODE",IF($T795="","UNKNOWN VAT CODE",IF($S795="","MISSING FX RATE",IF(OR($A795&lt;Settings!$C$8,$A795&gt;Settings!$C$9),"OUTSIDE PERIOD",IF(AND(IFERROR(INDEX(VAT_Codes!$E:$E,MATCH($N795,VAT_Codes!$A:$A,0)),"ANY")&lt;&gt;"ANY",$P795=""),"MISSING COUNTERPARTY COUNTRY",IF(AND(IFERROR(INDEX(VAT_Codes!$E:$E,MATCH($N795,VAT_Codes!$A:$A,0)),"ANY")&lt;&gt;"ANY",$P795&lt;&gt;IFERROR(INDEX(VAT_Codes!$E:$E,MATCH($N795,VAT_Codes!$A:$A,0)),"ANY")),"REGION MISMATCH","OK")))))))</f>
        <v/>
      </c>
    </row>
    <row r="796" customFormat="false" ht="15" hidden="false" customHeight="false" outlineLevel="0" collapsed="false">
      <c r="M796" s="24" t="str">
        <f aca="false">IF($C796="","",IFERROR(INDEX(Account_Mapping!$C:$C,MATCH($C796&amp;"",Account_Mapping!$A:$A,0))&amp;"",""))</f>
        <v/>
      </c>
      <c r="N796" s="24" t="str">
        <f aca="false">IF($K796&lt;&gt;"",$K796,$M796)</f>
        <v/>
      </c>
      <c r="O796" s="24" t="str">
        <f aca="false">IF($F796="","",IFERROR(INDEX(Counterparties!$C:$C,MATCH($F796&amp;"",Counterparties!$A:$A,0))&amp;"",""))</f>
        <v/>
      </c>
      <c r="P796" s="24" t="str">
        <f aca="false">IF($O796="","",IF($O796="CY","CY",IF(ISNUMBER(MATCH($O796,Lists!$A:$A,0)),"EU","3RD")))</f>
        <v/>
      </c>
      <c r="Q796" s="24" t="str">
        <f aca="false">IF($F796="","N",IFERROR(IF(INDEX(Counterparties!$E:$E,MATCH($F796&amp;"",Counterparties!$A:$A,0))="Y","Y","N"),"N"))</f>
        <v>N</v>
      </c>
      <c r="R796" s="25" t="n">
        <f aca="false">IF(OR($H796="",$H796="EUR"),1,IFERROR(INDEX(FX_Rates!$D:$D,MATCH($H796,FX_Rates!$A:$A,0)),""))</f>
        <v>1</v>
      </c>
      <c r="S796" s="26" t="str">
        <f aca="false">IF(AND($I796="",$J796=""),"",IF($J796&lt;&gt;"",$J796,IF(OR($R796="",$R796=0),"",ROUND($I796/$R796,2))))</f>
        <v/>
      </c>
      <c r="T796" s="24" t="str">
        <f aca="false">IF($N796="","",IFERROR(INDEX(VAT_Codes!$C:$C,MATCH($N796,VAT_Codes!$A:$A,0)),"")&amp;"")</f>
        <v/>
      </c>
      <c r="U796" s="26" t="n">
        <f aca="false">IF(OR($S796="",$T796="",$T796="None"),0,IF($T796="Output",-$S796,$S796))</f>
        <v>0</v>
      </c>
      <c r="V796" s="27" t="n">
        <f aca="false">IF($N796="",0,IFERROR(INDEX(VAT_Codes!$D:$D,MATCH($N796,VAT_Codes!$A:$A,0)),0))</f>
        <v>0</v>
      </c>
      <c r="W796" s="26" t="n">
        <f aca="false">IF($U796=0,0,IF(IFERROR(INDEX(VAT_Codes!$F:$F,MATCH($N796,VAT_Codes!$A:$A,0)),"N")="Y",$U796,IF($L796&lt;&gt;"",ROUND(ABS($L796)/IF(OR($R796="",$R796=0),1,$R796),2)*SIGN($U796),ROUND($U796*$V796,2))))</f>
        <v>0</v>
      </c>
      <c r="X796" s="24" t="str">
        <f aca="false">IF($N796="","",IFERROR(INDEX(VAT_Codes!$H:$H,MATCH($N796,VAT_Codes!$A:$A,0)),"")&amp;"")</f>
        <v/>
      </c>
      <c r="Y796" s="24" t="str">
        <f aca="false">IF($A796="","",(YEAR($A796)-YEAR(Settings!$C$8))*12+MONTH($A796)-MONTH(Settings!$C$8)+1)</f>
        <v/>
      </c>
      <c r="Z796" s="24" t="str">
        <f aca="false">IF(AND($C796="",$I796="",$J796=""),"",IF($N796="","NO VAT CODE",IF($T796="","UNKNOWN VAT CODE",IF($S796="","MISSING FX RATE",IF(OR($A796&lt;Settings!$C$8,$A796&gt;Settings!$C$9),"OUTSIDE PERIOD",IF(AND(IFERROR(INDEX(VAT_Codes!$E:$E,MATCH($N796,VAT_Codes!$A:$A,0)),"ANY")&lt;&gt;"ANY",$P796=""),"MISSING COUNTERPARTY COUNTRY",IF(AND(IFERROR(INDEX(VAT_Codes!$E:$E,MATCH($N796,VAT_Codes!$A:$A,0)),"ANY")&lt;&gt;"ANY",$P796&lt;&gt;IFERROR(INDEX(VAT_Codes!$E:$E,MATCH($N796,VAT_Codes!$A:$A,0)),"ANY")),"REGION MISMATCH","OK")))))))</f>
        <v/>
      </c>
    </row>
    <row r="797" customFormat="false" ht="15" hidden="false" customHeight="false" outlineLevel="0" collapsed="false">
      <c r="M797" s="24" t="str">
        <f aca="false">IF($C797="","",IFERROR(INDEX(Account_Mapping!$C:$C,MATCH($C797&amp;"",Account_Mapping!$A:$A,0))&amp;"",""))</f>
        <v/>
      </c>
      <c r="N797" s="24" t="str">
        <f aca="false">IF($K797&lt;&gt;"",$K797,$M797)</f>
        <v/>
      </c>
      <c r="O797" s="24" t="str">
        <f aca="false">IF($F797="","",IFERROR(INDEX(Counterparties!$C:$C,MATCH($F797&amp;"",Counterparties!$A:$A,0))&amp;"",""))</f>
        <v/>
      </c>
      <c r="P797" s="24" t="str">
        <f aca="false">IF($O797="","",IF($O797="CY","CY",IF(ISNUMBER(MATCH($O797,Lists!$A:$A,0)),"EU","3RD")))</f>
        <v/>
      </c>
      <c r="Q797" s="24" t="str">
        <f aca="false">IF($F797="","N",IFERROR(IF(INDEX(Counterparties!$E:$E,MATCH($F797&amp;"",Counterparties!$A:$A,0))="Y","Y","N"),"N"))</f>
        <v>N</v>
      </c>
      <c r="R797" s="25" t="n">
        <f aca="false">IF(OR($H797="",$H797="EUR"),1,IFERROR(INDEX(FX_Rates!$D:$D,MATCH($H797,FX_Rates!$A:$A,0)),""))</f>
        <v>1</v>
      </c>
      <c r="S797" s="26" t="str">
        <f aca="false">IF(AND($I797="",$J797=""),"",IF($J797&lt;&gt;"",$J797,IF(OR($R797="",$R797=0),"",ROUND($I797/$R797,2))))</f>
        <v/>
      </c>
      <c r="T797" s="24" t="str">
        <f aca="false">IF($N797="","",IFERROR(INDEX(VAT_Codes!$C:$C,MATCH($N797,VAT_Codes!$A:$A,0)),"")&amp;"")</f>
        <v/>
      </c>
      <c r="U797" s="26" t="n">
        <f aca="false">IF(OR($S797="",$T797="",$T797="None"),0,IF($T797="Output",-$S797,$S797))</f>
        <v>0</v>
      </c>
      <c r="V797" s="27" t="n">
        <f aca="false">IF($N797="",0,IFERROR(INDEX(VAT_Codes!$D:$D,MATCH($N797,VAT_Codes!$A:$A,0)),0))</f>
        <v>0</v>
      </c>
      <c r="W797" s="26" t="n">
        <f aca="false">IF($U797=0,0,IF(IFERROR(INDEX(VAT_Codes!$F:$F,MATCH($N797,VAT_Codes!$A:$A,0)),"N")="Y",$U797,IF($L797&lt;&gt;"",ROUND(ABS($L797)/IF(OR($R797="",$R797=0),1,$R797),2)*SIGN($U797),ROUND($U797*$V797,2))))</f>
        <v>0</v>
      </c>
      <c r="X797" s="24" t="str">
        <f aca="false">IF($N797="","",IFERROR(INDEX(VAT_Codes!$H:$H,MATCH($N797,VAT_Codes!$A:$A,0)),"")&amp;"")</f>
        <v/>
      </c>
      <c r="Y797" s="24" t="str">
        <f aca="false">IF($A797="","",(YEAR($A797)-YEAR(Settings!$C$8))*12+MONTH($A797)-MONTH(Settings!$C$8)+1)</f>
        <v/>
      </c>
      <c r="Z797" s="24" t="str">
        <f aca="false">IF(AND($C797="",$I797="",$J797=""),"",IF($N797="","NO VAT CODE",IF($T797="","UNKNOWN VAT CODE",IF($S797="","MISSING FX RATE",IF(OR($A797&lt;Settings!$C$8,$A797&gt;Settings!$C$9),"OUTSIDE PERIOD",IF(AND(IFERROR(INDEX(VAT_Codes!$E:$E,MATCH($N797,VAT_Codes!$A:$A,0)),"ANY")&lt;&gt;"ANY",$P797=""),"MISSING COUNTERPARTY COUNTRY",IF(AND(IFERROR(INDEX(VAT_Codes!$E:$E,MATCH($N797,VAT_Codes!$A:$A,0)),"ANY")&lt;&gt;"ANY",$P797&lt;&gt;IFERROR(INDEX(VAT_Codes!$E:$E,MATCH($N797,VAT_Codes!$A:$A,0)),"ANY")),"REGION MISMATCH","OK")))))))</f>
        <v/>
      </c>
    </row>
    <row r="798" customFormat="false" ht="15" hidden="false" customHeight="false" outlineLevel="0" collapsed="false">
      <c r="M798" s="24" t="str">
        <f aca="false">IF($C798="","",IFERROR(INDEX(Account_Mapping!$C:$C,MATCH($C798&amp;"",Account_Mapping!$A:$A,0))&amp;"",""))</f>
        <v/>
      </c>
      <c r="N798" s="24" t="str">
        <f aca="false">IF($K798&lt;&gt;"",$K798,$M798)</f>
        <v/>
      </c>
      <c r="O798" s="24" t="str">
        <f aca="false">IF($F798="","",IFERROR(INDEX(Counterparties!$C:$C,MATCH($F798&amp;"",Counterparties!$A:$A,0))&amp;"",""))</f>
        <v/>
      </c>
      <c r="P798" s="24" t="str">
        <f aca="false">IF($O798="","",IF($O798="CY","CY",IF(ISNUMBER(MATCH($O798,Lists!$A:$A,0)),"EU","3RD")))</f>
        <v/>
      </c>
      <c r="Q798" s="24" t="str">
        <f aca="false">IF($F798="","N",IFERROR(IF(INDEX(Counterparties!$E:$E,MATCH($F798&amp;"",Counterparties!$A:$A,0))="Y","Y","N"),"N"))</f>
        <v>N</v>
      </c>
      <c r="R798" s="25" t="n">
        <f aca="false">IF(OR($H798="",$H798="EUR"),1,IFERROR(INDEX(FX_Rates!$D:$D,MATCH($H798,FX_Rates!$A:$A,0)),""))</f>
        <v>1</v>
      </c>
      <c r="S798" s="26" t="str">
        <f aca="false">IF(AND($I798="",$J798=""),"",IF($J798&lt;&gt;"",$J798,IF(OR($R798="",$R798=0),"",ROUND($I798/$R798,2))))</f>
        <v/>
      </c>
      <c r="T798" s="24" t="str">
        <f aca="false">IF($N798="","",IFERROR(INDEX(VAT_Codes!$C:$C,MATCH($N798,VAT_Codes!$A:$A,0)),"")&amp;"")</f>
        <v/>
      </c>
      <c r="U798" s="26" t="n">
        <f aca="false">IF(OR($S798="",$T798="",$T798="None"),0,IF($T798="Output",-$S798,$S798))</f>
        <v>0</v>
      </c>
      <c r="V798" s="27" t="n">
        <f aca="false">IF($N798="",0,IFERROR(INDEX(VAT_Codes!$D:$D,MATCH($N798,VAT_Codes!$A:$A,0)),0))</f>
        <v>0</v>
      </c>
      <c r="W798" s="26" t="n">
        <f aca="false">IF($U798=0,0,IF(IFERROR(INDEX(VAT_Codes!$F:$F,MATCH($N798,VAT_Codes!$A:$A,0)),"N")="Y",$U798,IF($L798&lt;&gt;"",ROUND(ABS($L798)/IF(OR($R798="",$R798=0),1,$R798),2)*SIGN($U798),ROUND($U798*$V798,2))))</f>
        <v>0</v>
      </c>
      <c r="X798" s="24" t="str">
        <f aca="false">IF($N798="","",IFERROR(INDEX(VAT_Codes!$H:$H,MATCH($N798,VAT_Codes!$A:$A,0)),"")&amp;"")</f>
        <v/>
      </c>
      <c r="Y798" s="24" t="str">
        <f aca="false">IF($A798="","",(YEAR($A798)-YEAR(Settings!$C$8))*12+MONTH($A798)-MONTH(Settings!$C$8)+1)</f>
        <v/>
      </c>
      <c r="Z798" s="24" t="str">
        <f aca="false">IF(AND($C798="",$I798="",$J798=""),"",IF($N798="","NO VAT CODE",IF($T798="","UNKNOWN VAT CODE",IF($S798="","MISSING FX RATE",IF(OR($A798&lt;Settings!$C$8,$A798&gt;Settings!$C$9),"OUTSIDE PERIOD",IF(AND(IFERROR(INDEX(VAT_Codes!$E:$E,MATCH($N798,VAT_Codes!$A:$A,0)),"ANY")&lt;&gt;"ANY",$P798=""),"MISSING COUNTERPARTY COUNTRY",IF(AND(IFERROR(INDEX(VAT_Codes!$E:$E,MATCH($N798,VAT_Codes!$A:$A,0)),"ANY")&lt;&gt;"ANY",$P798&lt;&gt;IFERROR(INDEX(VAT_Codes!$E:$E,MATCH($N798,VAT_Codes!$A:$A,0)),"ANY")),"REGION MISMATCH","OK")))))))</f>
        <v/>
      </c>
    </row>
    <row r="799" customFormat="false" ht="15" hidden="false" customHeight="false" outlineLevel="0" collapsed="false">
      <c r="M799" s="24" t="str">
        <f aca="false">IF($C799="","",IFERROR(INDEX(Account_Mapping!$C:$C,MATCH($C799&amp;"",Account_Mapping!$A:$A,0))&amp;"",""))</f>
        <v/>
      </c>
      <c r="N799" s="24" t="str">
        <f aca="false">IF($K799&lt;&gt;"",$K799,$M799)</f>
        <v/>
      </c>
      <c r="O799" s="24" t="str">
        <f aca="false">IF($F799="","",IFERROR(INDEX(Counterparties!$C:$C,MATCH($F799&amp;"",Counterparties!$A:$A,0))&amp;"",""))</f>
        <v/>
      </c>
      <c r="P799" s="24" t="str">
        <f aca="false">IF($O799="","",IF($O799="CY","CY",IF(ISNUMBER(MATCH($O799,Lists!$A:$A,0)),"EU","3RD")))</f>
        <v/>
      </c>
      <c r="Q799" s="24" t="str">
        <f aca="false">IF($F799="","N",IFERROR(IF(INDEX(Counterparties!$E:$E,MATCH($F799&amp;"",Counterparties!$A:$A,0))="Y","Y","N"),"N"))</f>
        <v>N</v>
      </c>
      <c r="R799" s="25" t="n">
        <f aca="false">IF(OR($H799="",$H799="EUR"),1,IFERROR(INDEX(FX_Rates!$D:$D,MATCH($H799,FX_Rates!$A:$A,0)),""))</f>
        <v>1</v>
      </c>
      <c r="S799" s="26" t="str">
        <f aca="false">IF(AND($I799="",$J799=""),"",IF($J799&lt;&gt;"",$J799,IF(OR($R799="",$R799=0),"",ROUND($I799/$R799,2))))</f>
        <v/>
      </c>
      <c r="T799" s="24" t="str">
        <f aca="false">IF($N799="","",IFERROR(INDEX(VAT_Codes!$C:$C,MATCH($N799,VAT_Codes!$A:$A,0)),"")&amp;"")</f>
        <v/>
      </c>
      <c r="U799" s="26" t="n">
        <f aca="false">IF(OR($S799="",$T799="",$T799="None"),0,IF($T799="Output",-$S799,$S799))</f>
        <v>0</v>
      </c>
      <c r="V799" s="27" t="n">
        <f aca="false">IF($N799="",0,IFERROR(INDEX(VAT_Codes!$D:$D,MATCH($N799,VAT_Codes!$A:$A,0)),0))</f>
        <v>0</v>
      </c>
      <c r="W799" s="26" t="n">
        <f aca="false">IF($U799=0,0,IF(IFERROR(INDEX(VAT_Codes!$F:$F,MATCH($N799,VAT_Codes!$A:$A,0)),"N")="Y",$U799,IF($L799&lt;&gt;"",ROUND(ABS($L799)/IF(OR($R799="",$R799=0),1,$R799),2)*SIGN($U799),ROUND($U799*$V799,2))))</f>
        <v>0</v>
      </c>
      <c r="X799" s="24" t="str">
        <f aca="false">IF($N799="","",IFERROR(INDEX(VAT_Codes!$H:$H,MATCH($N799,VAT_Codes!$A:$A,0)),"")&amp;"")</f>
        <v/>
      </c>
      <c r="Y799" s="24" t="str">
        <f aca="false">IF($A799="","",(YEAR($A799)-YEAR(Settings!$C$8))*12+MONTH($A799)-MONTH(Settings!$C$8)+1)</f>
        <v/>
      </c>
      <c r="Z799" s="24" t="str">
        <f aca="false">IF(AND($C799="",$I799="",$J799=""),"",IF($N799="","NO VAT CODE",IF($T799="","UNKNOWN VAT CODE",IF($S799="","MISSING FX RATE",IF(OR($A799&lt;Settings!$C$8,$A799&gt;Settings!$C$9),"OUTSIDE PERIOD",IF(AND(IFERROR(INDEX(VAT_Codes!$E:$E,MATCH($N799,VAT_Codes!$A:$A,0)),"ANY")&lt;&gt;"ANY",$P799=""),"MISSING COUNTERPARTY COUNTRY",IF(AND(IFERROR(INDEX(VAT_Codes!$E:$E,MATCH($N799,VAT_Codes!$A:$A,0)),"ANY")&lt;&gt;"ANY",$P799&lt;&gt;IFERROR(INDEX(VAT_Codes!$E:$E,MATCH($N799,VAT_Codes!$A:$A,0)),"ANY")),"REGION MISMATCH","OK")))))))</f>
        <v/>
      </c>
    </row>
    <row r="800" customFormat="false" ht="15" hidden="false" customHeight="false" outlineLevel="0" collapsed="false">
      <c r="M800" s="24" t="str">
        <f aca="false">IF($C800="","",IFERROR(INDEX(Account_Mapping!$C:$C,MATCH($C800&amp;"",Account_Mapping!$A:$A,0))&amp;"",""))</f>
        <v/>
      </c>
      <c r="N800" s="24" t="str">
        <f aca="false">IF($K800&lt;&gt;"",$K800,$M800)</f>
        <v/>
      </c>
      <c r="O800" s="24" t="str">
        <f aca="false">IF($F800="","",IFERROR(INDEX(Counterparties!$C:$C,MATCH($F800&amp;"",Counterparties!$A:$A,0))&amp;"",""))</f>
        <v/>
      </c>
      <c r="P800" s="24" t="str">
        <f aca="false">IF($O800="","",IF($O800="CY","CY",IF(ISNUMBER(MATCH($O800,Lists!$A:$A,0)),"EU","3RD")))</f>
        <v/>
      </c>
      <c r="Q800" s="24" t="str">
        <f aca="false">IF($F800="","N",IFERROR(IF(INDEX(Counterparties!$E:$E,MATCH($F800&amp;"",Counterparties!$A:$A,0))="Y","Y","N"),"N"))</f>
        <v>N</v>
      </c>
      <c r="R800" s="25" t="n">
        <f aca="false">IF(OR($H800="",$H800="EUR"),1,IFERROR(INDEX(FX_Rates!$D:$D,MATCH($H800,FX_Rates!$A:$A,0)),""))</f>
        <v>1</v>
      </c>
      <c r="S800" s="26" t="str">
        <f aca="false">IF(AND($I800="",$J800=""),"",IF($J800&lt;&gt;"",$J800,IF(OR($R800="",$R800=0),"",ROUND($I800/$R800,2))))</f>
        <v/>
      </c>
      <c r="T800" s="24" t="str">
        <f aca="false">IF($N800="","",IFERROR(INDEX(VAT_Codes!$C:$C,MATCH($N800,VAT_Codes!$A:$A,0)),"")&amp;"")</f>
        <v/>
      </c>
      <c r="U800" s="26" t="n">
        <f aca="false">IF(OR($S800="",$T800="",$T800="None"),0,IF($T800="Output",-$S800,$S800))</f>
        <v>0</v>
      </c>
      <c r="V800" s="27" t="n">
        <f aca="false">IF($N800="",0,IFERROR(INDEX(VAT_Codes!$D:$D,MATCH($N800,VAT_Codes!$A:$A,0)),0))</f>
        <v>0</v>
      </c>
      <c r="W800" s="26" t="n">
        <f aca="false">IF($U800=0,0,IF(IFERROR(INDEX(VAT_Codes!$F:$F,MATCH($N800,VAT_Codes!$A:$A,0)),"N")="Y",$U800,IF($L800&lt;&gt;"",ROUND(ABS($L800)/IF(OR($R800="",$R800=0),1,$R800),2)*SIGN($U800),ROUND($U800*$V800,2))))</f>
        <v>0</v>
      </c>
      <c r="X800" s="24" t="str">
        <f aca="false">IF($N800="","",IFERROR(INDEX(VAT_Codes!$H:$H,MATCH($N800,VAT_Codes!$A:$A,0)),"")&amp;"")</f>
        <v/>
      </c>
      <c r="Y800" s="24" t="str">
        <f aca="false">IF($A800="","",(YEAR($A800)-YEAR(Settings!$C$8))*12+MONTH($A800)-MONTH(Settings!$C$8)+1)</f>
        <v/>
      </c>
      <c r="Z800" s="24" t="str">
        <f aca="false">IF(AND($C800="",$I800="",$J800=""),"",IF($N800="","NO VAT CODE",IF($T800="","UNKNOWN VAT CODE",IF($S800="","MISSING FX RATE",IF(OR($A800&lt;Settings!$C$8,$A800&gt;Settings!$C$9),"OUTSIDE PERIOD",IF(AND(IFERROR(INDEX(VAT_Codes!$E:$E,MATCH($N800,VAT_Codes!$A:$A,0)),"ANY")&lt;&gt;"ANY",$P800=""),"MISSING COUNTERPARTY COUNTRY",IF(AND(IFERROR(INDEX(VAT_Codes!$E:$E,MATCH($N800,VAT_Codes!$A:$A,0)),"ANY")&lt;&gt;"ANY",$P800&lt;&gt;IFERROR(INDEX(VAT_Codes!$E:$E,MATCH($N800,VAT_Codes!$A:$A,0)),"ANY")),"REGION MISMATCH","OK")))))))</f>
        <v/>
      </c>
    </row>
    <row r="801" customFormat="false" ht="15" hidden="false" customHeight="false" outlineLevel="0" collapsed="false">
      <c r="M801" s="24" t="str">
        <f aca="false">IF($C801="","",IFERROR(INDEX(Account_Mapping!$C:$C,MATCH($C801&amp;"",Account_Mapping!$A:$A,0))&amp;"",""))</f>
        <v/>
      </c>
      <c r="N801" s="24" t="str">
        <f aca="false">IF($K801&lt;&gt;"",$K801,$M801)</f>
        <v/>
      </c>
      <c r="O801" s="24" t="str">
        <f aca="false">IF($F801="","",IFERROR(INDEX(Counterparties!$C:$C,MATCH($F801&amp;"",Counterparties!$A:$A,0))&amp;"",""))</f>
        <v/>
      </c>
      <c r="P801" s="24" t="str">
        <f aca="false">IF($O801="","",IF($O801="CY","CY",IF(ISNUMBER(MATCH($O801,Lists!$A:$A,0)),"EU","3RD")))</f>
        <v/>
      </c>
      <c r="Q801" s="24" t="str">
        <f aca="false">IF($F801="","N",IFERROR(IF(INDEX(Counterparties!$E:$E,MATCH($F801&amp;"",Counterparties!$A:$A,0))="Y","Y","N"),"N"))</f>
        <v>N</v>
      </c>
      <c r="R801" s="25" t="n">
        <f aca="false">IF(OR($H801="",$H801="EUR"),1,IFERROR(INDEX(FX_Rates!$D:$D,MATCH($H801,FX_Rates!$A:$A,0)),""))</f>
        <v>1</v>
      </c>
      <c r="S801" s="26" t="str">
        <f aca="false">IF(AND($I801="",$J801=""),"",IF($J801&lt;&gt;"",$J801,IF(OR($R801="",$R801=0),"",ROUND($I801/$R801,2))))</f>
        <v/>
      </c>
      <c r="T801" s="24" t="str">
        <f aca="false">IF($N801="","",IFERROR(INDEX(VAT_Codes!$C:$C,MATCH($N801,VAT_Codes!$A:$A,0)),"")&amp;"")</f>
        <v/>
      </c>
      <c r="U801" s="26" t="n">
        <f aca="false">IF(OR($S801="",$T801="",$T801="None"),0,IF($T801="Output",-$S801,$S801))</f>
        <v>0</v>
      </c>
      <c r="V801" s="27" t="n">
        <f aca="false">IF($N801="",0,IFERROR(INDEX(VAT_Codes!$D:$D,MATCH($N801,VAT_Codes!$A:$A,0)),0))</f>
        <v>0</v>
      </c>
      <c r="W801" s="26" t="n">
        <f aca="false">IF($U801=0,0,IF(IFERROR(INDEX(VAT_Codes!$F:$F,MATCH($N801,VAT_Codes!$A:$A,0)),"N")="Y",$U801,IF($L801&lt;&gt;"",ROUND(ABS($L801)/IF(OR($R801="",$R801=0),1,$R801),2)*SIGN($U801),ROUND($U801*$V801,2))))</f>
        <v>0</v>
      </c>
      <c r="X801" s="24" t="str">
        <f aca="false">IF($N801="","",IFERROR(INDEX(VAT_Codes!$H:$H,MATCH($N801,VAT_Codes!$A:$A,0)),"")&amp;"")</f>
        <v/>
      </c>
      <c r="Y801" s="24" t="str">
        <f aca="false">IF($A801="","",(YEAR($A801)-YEAR(Settings!$C$8))*12+MONTH($A801)-MONTH(Settings!$C$8)+1)</f>
        <v/>
      </c>
      <c r="Z801" s="24" t="str">
        <f aca="false">IF(AND($C801="",$I801="",$J801=""),"",IF($N801="","NO VAT CODE",IF($T801="","UNKNOWN VAT CODE",IF($S801="","MISSING FX RATE",IF(OR($A801&lt;Settings!$C$8,$A801&gt;Settings!$C$9),"OUTSIDE PERIOD",IF(AND(IFERROR(INDEX(VAT_Codes!$E:$E,MATCH($N801,VAT_Codes!$A:$A,0)),"ANY")&lt;&gt;"ANY",$P801=""),"MISSING COUNTERPARTY COUNTRY",IF(AND(IFERROR(INDEX(VAT_Codes!$E:$E,MATCH($N801,VAT_Codes!$A:$A,0)),"ANY")&lt;&gt;"ANY",$P801&lt;&gt;IFERROR(INDEX(VAT_Codes!$E:$E,MATCH($N801,VAT_Codes!$A:$A,0)),"ANY")),"REGION MISMATCH","OK")))))))</f>
        <v/>
      </c>
    </row>
    <row r="802" customFormat="false" ht="15" hidden="false" customHeight="false" outlineLevel="0" collapsed="false">
      <c r="M802" s="24" t="str">
        <f aca="false">IF($C802="","",IFERROR(INDEX(Account_Mapping!$C:$C,MATCH($C802&amp;"",Account_Mapping!$A:$A,0))&amp;"",""))</f>
        <v/>
      </c>
      <c r="N802" s="24" t="str">
        <f aca="false">IF($K802&lt;&gt;"",$K802,$M802)</f>
        <v/>
      </c>
      <c r="O802" s="24" t="str">
        <f aca="false">IF($F802="","",IFERROR(INDEX(Counterparties!$C:$C,MATCH($F802&amp;"",Counterparties!$A:$A,0))&amp;"",""))</f>
        <v/>
      </c>
      <c r="P802" s="24" t="str">
        <f aca="false">IF($O802="","",IF($O802="CY","CY",IF(ISNUMBER(MATCH($O802,Lists!$A:$A,0)),"EU","3RD")))</f>
        <v/>
      </c>
      <c r="Q802" s="24" t="str">
        <f aca="false">IF($F802="","N",IFERROR(IF(INDEX(Counterparties!$E:$E,MATCH($F802&amp;"",Counterparties!$A:$A,0))="Y","Y","N"),"N"))</f>
        <v>N</v>
      </c>
      <c r="R802" s="25" t="n">
        <f aca="false">IF(OR($H802="",$H802="EUR"),1,IFERROR(INDEX(FX_Rates!$D:$D,MATCH($H802,FX_Rates!$A:$A,0)),""))</f>
        <v>1</v>
      </c>
      <c r="S802" s="26" t="str">
        <f aca="false">IF(AND($I802="",$J802=""),"",IF($J802&lt;&gt;"",$J802,IF(OR($R802="",$R802=0),"",ROUND($I802/$R802,2))))</f>
        <v/>
      </c>
      <c r="T802" s="24" t="str">
        <f aca="false">IF($N802="","",IFERROR(INDEX(VAT_Codes!$C:$C,MATCH($N802,VAT_Codes!$A:$A,0)),"")&amp;"")</f>
        <v/>
      </c>
      <c r="U802" s="26" t="n">
        <f aca="false">IF(OR($S802="",$T802="",$T802="None"),0,IF($T802="Output",-$S802,$S802))</f>
        <v>0</v>
      </c>
      <c r="V802" s="27" t="n">
        <f aca="false">IF($N802="",0,IFERROR(INDEX(VAT_Codes!$D:$D,MATCH($N802,VAT_Codes!$A:$A,0)),0))</f>
        <v>0</v>
      </c>
      <c r="W802" s="26" t="n">
        <f aca="false">IF($U802=0,0,IF(IFERROR(INDEX(VAT_Codes!$F:$F,MATCH($N802,VAT_Codes!$A:$A,0)),"N")="Y",$U802,IF($L802&lt;&gt;"",ROUND(ABS($L802)/IF(OR($R802="",$R802=0),1,$R802),2)*SIGN($U802),ROUND($U802*$V802,2))))</f>
        <v>0</v>
      </c>
      <c r="X802" s="24" t="str">
        <f aca="false">IF($N802="","",IFERROR(INDEX(VAT_Codes!$H:$H,MATCH($N802,VAT_Codes!$A:$A,0)),"")&amp;"")</f>
        <v/>
      </c>
      <c r="Y802" s="24" t="str">
        <f aca="false">IF($A802="","",(YEAR($A802)-YEAR(Settings!$C$8))*12+MONTH($A802)-MONTH(Settings!$C$8)+1)</f>
        <v/>
      </c>
      <c r="Z802" s="24" t="str">
        <f aca="false">IF(AND($C802="",$I802="",$J802=""),"",IF($N802="","NO VAT CODE",IF($T802="","UNKNOWN VAT CODE",IF($S802="","MISSING FX RATE",IF(OR($A802&lt;Settings!$C$8,$A802&gt;Settings!$C$9),"OUTSIDE PERIOD",IF(AND(IFERROR(INDEX(VAT_Codes!$E:$E,MATCH($N802,VAT_Codes!$A:$A,0)),"ANY")&lt;&gt;"ANY",$P802=""),"MISSING COUNTERPARTY COUNTRY",IF(AND(IFERROR(INDEX(VAT_Codes!$E:$E,MATCH($N802,VAT_Codes!$A:$A,0)),"ANY")&lt;&gt;"ANY",$P802&lt;&gt;IFERROR(INDEX(VAT_Codes!$E:$E,MATCH($N802,VAT_Codes!$A:$A,0)),"ANY")),"REGION MISMATCH","OK")))))))</f>
        <v/>
      </c>
    </row>
    <row r="803" customFormat="false" ht="15" hidden="false" customHeight="false" outlineLevel="0" collapsed="false">
      <c r="M803" s="24" t="str">
        <f aca="false">IF($C803="","",IFERROR(INDEX(Account_Mapping!$C:$C,MATCH($C803&amp;"",Account_Mapping!$A:$A,0))&amp;"",""))</f>
        <v/>
      </c>
      <c r="N803" s="24" t="str">
        <f aca="false">IF($K803&lt;&gt;"",$K803,$M803)</f>
        <v/>
      </c>
      <c r="O803" s="24" t="str">
        <f aca="false">IF($F803="","",IFERROR(INDEX(Counterparties!$C:$C,MATCH($F803&amp;"",Counterparties!$A:$A,0))&amp;"",""))</f>
        <v/>
      </c>
      <c r="P803" s="24" t="str">
        <f aca="false">IF($O803="","",IF($O803="CY","CY",IF(ISNUMBER(MATCH($O803,Lists!$A:$A,0)),"EU","3RD")))</f>
        <v/>
      </c>
      <c r="Q803" s="24" t="str">
        <f aca="false">IF($F803="","N",IFERROR(IF(INDEX(Counterparties!$E:$E,MATCH($F803&amp;"",Counterparties!$A:$A,0))="Y","Y","N"),"N"))</f>
        <v>N</v>
      </c>
      <c r="R803" s="25" t="n">
        <f aca="false">IF(OR($H803="",$H803="EUR"),1,IFERROR(INDEX(FX_Rates!$D:$D,MATCH($H803,FX_Rates!$A:$A,0)),""))</f>
        <v>1</v>
      </c>
      <c r="S803" s="26" t="str">
        <f aca="false">IF(AND($I803="",$J803=""),"",IF($J803&lt;&gt;"",$J803,IF(OR($R803="",$R803=0),"",ROUND($I803/$R803,2))))</f>
        <v/>
      </c>
      <c r="T803" s="24" t="str">
        <f aca="false">IF($N803="","",IFERROR(INDEX(VAT_Codes!$C:$C,MATCH($N803,VAT_Codes!$A:$A,0)),"")&amp;"")</f>
        <v/>
      </c>
      <c r="U803" s="26" t="n">
        <f aca="false">IF(OR($S803="",$T803="",$T803="None"),0,IF($T803="Output",-$S803,$S803))</f>
        <v>0</v>
      </c>
      <c r="V803" s="27" t="n">
        <f aca="false">IF($N803="",0,IFERROR(INDEX(VAT_Codes!$D:$D,MATCH($N803,VAT_Codes!$A:$A,0)),0))</f>
        <v>0</v>
      </c>
      <c r="W803" s="26" t="n">
        <f aca="false">IF($U803=0,0,IF(IFERROR(INDEX(VAT_Codes!$F:$F,MATCH($N803,VAT_Codes!$A:$A,0)),"N")="Y",$U803,IF($L803&lt;&gt;"",ROUND(ABS($L803)/IF(OR($R803="",$R803=0),1,$R803),2)*SIGN($U803),ROUND($U803*$V803,2))))</f>
        <v>0</v>
      </c>
      <c r="X803" s="24" t="str">
        <f aca="false">IF($N803="","",IFERROR(INDEX(VAT_Codes!$H:$H,MATCH($N803,VAT_Codes!$A:$A,0)),"")&amp;"")</f>
        <v/>
      </c>
      <c r="Y803" s="24" t="str">
        <f aca="false">IF($A803="","",(YEAR($A803)-YEAR(Settings!$C$8))*12+MONTH($A803)-MONTH(Settings!$C$8)+1)</f>
        <v/>
      </c>
      <c r="Z803" s="24" t="str">
        <f aca="false">IF(AND($C803="",$I803="",$J803=""),"",IF($N803="","NO VAT CODE",IF($T803="","UNKNOWN VAT CODE",IF($S803="","MISSING FX RATE",IF(OR($A803&lt;Settings!$C$8,$A803&gt;Settings!$C$9),"OUTSIDE PERIOD",IF(AND(IFERROR(INDEX(VAT_Codes!$E:$E,MATCH($N803,VAT_Codes!$A:$A,0)),"ANY")&lt;&gt;"ANY",$P803=""),"MISSING COUNTERPARTY COUNTRY",IF(AND(IFERROR(INDEX(VAT_Codes!$E:$E,MATCH($N803,VAT_Codes!$A:$A,0)),"ANY")&lt;&gt;"ANY",$P803&lt;&gt;IFERROR(INDEX(VAT_Codes!$E:$E,MATCH($N803,VAT_Codes!$A:$A,0)),"ANY")),"REGION MISMATCH","OK")))))))</f>
        <v/>
      </c>
    </row>
    <row r="804" customFormat="false" ht="15" hidden="false" customHeight="false" outlineLevel="0" collapsed="false">
      <c r="M804" s="24" t="str">
        <f aca="false">IF($C804="","",IFERROR(INDEX(Account_Mapping!$C:$C,MATCH($C804&amp;"",Account_Mapping!$A:$A,0))&amp;"",""))</f>
        <v/>
      </c>
      <c r="N804" s="24" t="str">
        <f aca="false">IF($K804&lt;&gt;"",$K804,$M804)</f>
        <v/>
      </c>
      <c r="O804" s="24" t="str">
        <f aca="false">IF($F804="","",IFERROR(INDEX(Counterparties!$C:$C,MATCH($F804&amp;"",Counterparties!$A:$A,0))&amp;"",""))</f>
        <v/>
      </c>
      <c r="P804" s="24" t="str">
        <f aca="false">IF($O804="","",IF($O804="CY","CY",IF(ISNUMBER(MATCH($O804,Lists!$A:$A,0)),"EU","3RD")))</f>
        <v/>
      </c>
      <c r="Q804" s="24" t="str">
        <f aca="false">IF($F804="","N",IFERROR(IF(INDEX(Counterparties!$E:$E,MATCH($F804&amp;"",Counterparties!$A:$A,0))="Y","Y","N"),"N"))</f>
        <v>N</v>
      </c>
      <c r="R804" s="25" t="n">
        <f aca="false">IF(OR($H804="",$H804="EUR"),1,IFERROR(INDEX(FX_Rates!$D:$D,MATCH($H804,FX_Rates!$A:$A,0)),""))</f>
        <v>1</v>
      </c>
      <c r="S804" s="26" t="str">
        <f aca="false">IF(AND($I804="",$J804=""),"",IF($J804&lt;&gt;"",$J804,IF(OR($R804="",$R804=0),"",ROUND($I804/$R804,2))))</f>
        <v/>
      </c>
      <c r="T804" s="24" t="str">
        <f aca="false">IF($N804="","",IFERROR(INDEX(VAT_Codes!$C:$C,MATCH($N804,VAT_Codes!$A:$A,0)),"")&amp;"")</f>
        <v/>
      </c>
      <c r="U804" s="26" t="n">
        <f aca="false">IF(OR($S804="",$T804="",$T804="None"),0,IF($T804="Output",-$S804,$S804))</f>
        <v>0</v>
      </c>
      <c r="V804" s="27" t="n">
        <f aca="false">IF($N804="",0,IFERROR(INDEX(VAT_Codes!$D:$D,MATCH($N804,VAT_Codes!$A:$A,0)),0))</f>
        <v>0</v>
      </c>
      <c r="W804" s="26" t="n">
        <f aca="false">IF($U804=0,0,IF(IFERROR(INDEX(VAT_Codes!$F:$F,MATCH($N804,VAT_Codes!$A:$A,0)),"N")="Y",$U804,IF($L804&lt;&gt;"",ROUND(ABS($L804)/IF(OR($R804="",$R804=0),1,$R804),2)*SIGN($U804),ROUND($U804*$V804,2))))</f>
        <v>0</v>
      </c>
      <c r="X804" s="24" t="str">
        <f aca="false">IF($N804="","",IFERROR(INDEX(VAT_Codes!$H:$H,MATCH($N804,VAT_Codes!$A:$A,0)),"")&amp;"")</f>
        <v/>
      </c>
      <c r="Y804" s="24" t="str">
        <f aca="false">IF($A804="","",(YEAR($A804)-YEAR(Settings!$C$8))*12+MONTH($A804)-MONTH(Settings!$C$8)+1)</f>
        <v/>
      </c>
      <c r="Z804" s="24" t="str">
        <f aca="false">IF(AND($C804="",$I804="",$J804=""),"",IF($N804="","NO VAT CODE",IF($T804="","UNKNOWN VAT CODE",IF($S804="","MISSING FX RATE",IF(OR($A804&lt;Settings!$C$8,$A804&gt;Settings!$C$9),"OUTSIDE PERIOD",IF(AND(IFERROR(INDEX(VAT_Codes!$E:$E,MATCH($N804,VAT_Codes!$A:$A,0)),"ANY")&lt;&gt;"ANY",$P804=""),"MISSING COUNTERPARTY COUNTRY",IF(AND(IFERROR(INDEX(VAT_Codes!$E:$E,MATCH($N804,VAT_Codes!$A:$A,0)),"ANY")&lt;&gt;"ANY",$P804&lt;&gt;IFERROR(INDEX(VAT_Codes!$E:$E,MATCH($N804,VAT_Codes!$A:$A,0)),"ANY")),"REGION MISMATCH","OK")))))))</f>
        <v/>
      </c>
    </row>
    <row r="805" customFormat="false" ht="15" hidden="false" customHeight="false" outlineLevel="0" collapsed="false">
      <c r="M805" s="24" t="str">
        <f aca="false">IF($C805="","",IFERROR(INDEX(Account_Mapping!$C:$C,MATCH($C805&amp;"",Account_Mapping!$A:$A,0))&amp;"",""))</f>
        <v/>
      </c>
      <c r="N805" s="24" t="str">
        <f aca="false">IF($K805&lt;&gt;"",$K805,$M805)</f>
        <v/>
      </c>
      <c r="O805" s="24" t="str">
        <f aca="false">IF($F805="","",IFERROR(INDEX(Counterparties!$C:$C,MATCH($F805&amp;"",Counterparties!$A:$A,0))&amp;"",""))</f>
        <v/>
      </c>
      <c r="P805" s="24" t="str">
        <f aca="false">IF($O805="","",IF($O805="CY","CY",IF(ISNUMBER(MATCH($O805,Lists!$A:$A,0)),"EU","3RD")))</f>
        <v/>
      </c>
      <c r="Q805" s="24" t="str">
        <f aca="false">IF($F805="","N",IFERROR(IF(INDEX(Counterparties!$E:$E,MATCH($F805&amp;"",Counterparties!$A:$A,0))="Y","Y","N"),"N"))</f>
        <v>N</v>
      </c>
      <c r="R805" s="25" t="n">
        <f aca="false">IF(OR($H805="",$H805="EUR"),1,IFERROR(INDEX(FX_Rates!$D:$D,MATCH($H805,FX_Rates!$A:$A,0)),""))</f>
        <v>1</v>
      </c>
      <c r="S805" s="26" t="str">
        <f aca="false">IF(AND($I805="",$J805=""),"",IF($J805&lt;&gt;"",$J805,IF(OR($R805="",$R805=0),"",ROUND($I805/$R805,2))))</f>
        <v/>
      </c>
      <c r="T805" s="24" t="str">
        <f aca="false">IF($N805="","",IFERROR(INDEX(VAT_Codes!$C:$C,MATCH($N805,VAT_Codes!$A:$A,0)),"")&amp;"")</f>
        <v/>
      </c>
      <c r="U805" s="26" t="n">
        <f aca="false">IF(OR($S805="",$T805="",$T805="None"),0,IF($T805="Output",-$S805,$S805))</f>
        <v>0</v>
      </c>
      <c r="V805" s="27" t="n">
        <f aca="false">IF($N805="",0,IFERROR(INDEX(VAT_Codes!$D:$D,MATCH($N805,VAT_Codes!$A:$A,0)),0))</f>
        <v>0</v>
      </c>
      <c r="W805" s="26" t="n">
        <f aca="false">IF($U805=0,0,IF(IFERROR(INDEX(VAT_Codes!$F:$F,MATCH($N805,VAT_Codes!$A:$A,0)),"N")="Y",$U805,IF($L805&lt;&gt;"",ROUND(ABS($L805)/IF(OR($R805="",$R805=0),1,$R805),2)*SIGN($U805),ROUND($U805*$V805,2))))</f>
        <v>0</v>
      </c>
      <c r="X805" s="24" t="str">
        <f aca="false">IF($N805="","",IFERROR(INDEX(VAT_Codes!$H:$H,MATCH($N805,VAT_Codes!$A:$A,0)),"")&amp;"")</f>
        <v/>
      </c>
      <c r="Y805" s="24" t="str">
        <f aca="false">IF($A805="","",(YEAR($A805)-YEAR(Settings!$C$8))*12+MONTH($A805)-MONTH(Settings!$C$8)+1)</f>
        <v/>
      </c>
      <c r="Z805" s="24" t="str">
        <f aca="false">IF(AND($C805="",$I805="",$J805=""),"",IF($N805="","NO VAT CODE",IF($T805="","UNKNOWN VAT CODE",IF($S805="","MISSING FX RATE",IF(OR($A805&lt;Settings!$C$8,$A805&gt;Settings!$C$9),"OUTSIDE PERIOD",IF(AND(IFERROR(INDEX(VAT_Codes!$E:$E,MATCH($N805,VAT_Codes!$A:$A,0)),"ANY")&lt;&gt;"ANY",$P805=""),"MISSING COUNTERPARTY COUNTRY",IF(AND(IFERROR(INDEX(VAT_Codes!$E:$E,MATCH($N805,VAT_Codes!$A:$A,0)),"ANY")&lt;&gt;"ANY",$P805&lt;&gt;IFERROR(INDEX(VAT_Codes!$E:$E,MATCH($N805,VAT_Codes!$A:$A,0)),"ANY")),"REGION MISMATCH","OK")))))))</f>
        <v/>
      </c>
    </row>
    <row r="806" customFormat="false" ht="15" hidden="false" customHeight="false" outlineLevel="0" collapsed="false">
      <c r="M806" s="24" t="str">
        <f aca="false">IF($C806="","",IFERROR(INDEX(Account_Mapping!$C:$C,MATCH($C806&amp;"",Account_Mapping!$A:$A,0))&amp;"",""))</f>
        <v/>
      </c>
      <c r="N806" s="24" t="str">
        <f aca="false">IF($K806&lt;&gt;"",$K806,$M806)</f>
        <v/>
      </c>
      <c r="O806" s="24" t="str">
        <f aca="false">IF($F806="","",IFERROR(INDEX(Counterparties!$C:$C,MATCH($F806&amp;"",Counterparties!$A:$A,0))&amp;"",""))</f>
        <v/>
      </c>
      <c r="P806" s="24" t="str">
        <f aca="false">IF($O806="","",IF($O806="CY","CY",IF(ISNUMBER(MATCH($O806,Lists!$A:$A,0)),"EU","3RD")))</f>
        <v/>
      </c>
      <c r="Q806" s="24" t="str">
        <f aca="false">IF($F806="","N",IFERROR(IF(INDEX(Counterparties!$E:$E,MATCH($F806&amp;"",Counterparties!$A:$A,0))="Y","Y","N"),"N"))</f>
        <v>N</v>
      </c>
      <c r="R806" s="25" t="n">
        <f aca="false">IF(OR($H806="",$H806="EUR"),1,IFERROR(INDEX(FX_Rates!$D:$D,MATCH($H806,FX_Rates!$A:$A,0)),""))</f>
        <v>1</v>
      </c>
      <c r="S806" s="26" t="str">
        <f aca="false">IF(AND($I806="",$J806=""),"",IF($J806&lt;&gt;"",$J806,IF(OR($R806="",$R806=0),"",ROUND($I806/$R806,2))))</f>
        <v/>
      </c>
      <c r="T806" s="24" t="str">
        <f aca="false">IF($N806="","",IFERROR(INDEX(VAT_Codes!$C:$C,MATCH($N806,VAT_Codes!$A:$A,0)),"")&amp;"")</f>
        <v/>
      </c>
      <c r="U806" s="26" t="n">
        <f aca="false">IF(OR($S806="",$T806="",$T806="None"),0,IF($T806="Output",-$S806,$S806))</f>
        <v>0</v>
      </c>
      <c r="V806" s="27" t="n">
        <f aca="false">IF($N806="",0,IFERROR(INDEX(VAT_Codes!$D:$D,MATCH($N806,VAT_Codes!$A:$A,0)),0))</f>
        <v>0</v>
      </c>
      <c r="W806" s="26" t="n">
        <f aca="false">IF($U806=0,0,IF(IFERROR(INDEX(VAT_Codes!$F:$F,MATCH($N806,VAT_Codes!$A:$A,0)),"N")="Y",$U806,IF($L806&lt;&gt;"",ROUND(ABS($L806)/IF(OR($R806="",$R806=0),1,$R806),2)*SIGN($U806),ROUND($U806*$V806,2))))</f>
        <v>0</v>
      </c>
      <c r="X806" s="24" t="str">
        <f aca="false">IF($N806="","",IFERROR(INDEX(VAT_Codes!$H:$H,MATCH($N806,VAT_Codes!$A:$A,0)),"")&amp;"")</f>
        <v/>
      </c>
      <c r="Y806" s="24" t="str">
        <f aca="false">IF($A806="","",(YEAR($A806)-YEAR(Settings!$C$8))*12+MONTH($A806)-MONTH(Settings!$C$8)+1)</f>
        <v/>
      </c>
      <c r="Z806" s="24" t="str">
        <f aca="false">IF(AND($C806="",$I806="",$J806=""),"",IF($N806="","NO VAT CODE",IF($T806="","UNKNOWN VAT CODE",IF($S806="","MISSING FX RATE",IF(OR($A806&lt;Settings!$C$8,$A806&gt;Settings!$C$9),"OUTSIDE PERIOD",IF(AND(IFERROR(INDEX(VAT_Codes!$E:$E,MATCH($N806,VAT_Codes!$A:$A,0)),"ANY")&lt;&gt;"ANY",$P806=""),"MISSING COUNTERPARTY COUNTRY",IF(AND(IFERROR(INDEX(VAT_Codes!$E:$E,MATCH($N806,VAT_Codes!$A:$A,0)),"ANY")&lt;&gt;"ANY",$P806&lt;&gt;IFERROR(INDEX(VAT_Codes!$E:$E,MATCH($N806,VAT_Codes!$A:$A,0)),"ANY")),"REGION MISMATCH","OK")))))))</f>
        <v/>
      </c>
    </row>
    <row r="807" customFormat="false" ht="15" hidden="false" customHeight="false" outlineLevel="0" collapsed="false">
      <c r="M807" s="24" t="str">
        <f aca="false">IF($C807="","",IFERROR(INDEX(Account_Mapping!$C:$C,MATCH($C807&amp;"",Account_Mapping!$A:$A,0))&amp;"",""))</f>
        <v/>
      </c>
      <c r="N807" s="24" t="str">
        <f aca="false">IF($K807&lt;&gt;"",$K807,$M807)</f>
        <v/>
      </c>
      <c r="O807" s="24" t="str">
        <f aca="false">IF($F807="","",IFERROR(INDEX(Counterparties!$C:$C,MATCH($F807&amp;"",Counterparties!$A:$A,0))&amp;"",""))</f>
        <v/>
      </c>
      <c r="P807" s="24" t="str">
        <f aca="false">IF($O807="","",IF($O807="CY","CY",IF(ISNUMBER(MATCH($O807,Lists!$A:$A,0)),"EU","3RD")))</f>
        <v/>
      </c>
      <c r="Q807" s="24" t="str">
        <f aca="false">IF($F807="","N",IFERROR(IF(INDEX(Counterparties!$E:$E,MATCH($F807&amp;"",Counterparties!$A:$A,0))="Y","Y","N"),"N"))</f>
        <v>N</v>
      </c>
      <c r="R807" s="25" t="n">
        <f aca="false">IF(OR($H807="",$H807="EUR"),1,IFERROR(INDEX(FX_Rates!$D:$D,MATCH($H807,FX_Rates!$A:$A,0)),""))</f>
        <v>1</v>
      </c>
      <c r="S807" s="26" t="str">
        <f aca="false">IF(AND($I807="",$J807=""),"",IF($J807&lt;&gt;"",$J807,IF(OR($R807="",$R807=0),"",ROUND($I807/$R807,2))))</f>
        <v/>
      </c>
      <c r="T807" s="24" t="str">
        <f aca="false">IF($N807="","",IFERROR(INDEX(VAT_Codes!$C:$C,MATCH($N807,VAT_Codes!$A:$A,0)),"")&amp;"")</f>
        <v/>
      </c>
      <c r="U807" s="26" t="n">
        <f aca="false">IF(OR($S807="",$T807="",$T807="None"),0,IF($T807="Output",-$S807,$S807))</f>
        <v>0</v>
      </c>
      <c r="V807" s="27" t="n">
        <f aca="false">IF($N807="",0,IFERROR(INDEX(VAT_Codes!$D:$D,MATCH($N807,VAT_Codes!$A:$A,0)),0))</f>
        <v>0</v>
      </c>
      <c r="W807" s="26" t="n">
        <f aca="false">IF($U807=0,0,IF(IFERROR(INDEX(VAT_Codes!$F:$F,MATCH($N807,VAT_Codes!$A:$A,0)),"N")="Y",$U807,IF($L807&lt;&gt;"",ROUND(ABS($L807)/IF(OR($R807="",$R807=0),1,$R807),2)*SIGN($U807),ROUND($U807*$V807,2))))</f>
        <v>0</v>
      </c>
      <c r="X807" s="24" t="str">
        <f aca="false">IF($N807="","",IFERROR(INDEX(VAT_Codes!$H:$H,MATCH($N807,VAT_Codes!$A:$A,0)),"")&amp;"")</f>
        <v/>
      </c>
      <c r="Y807" s="24" t="str">
        <f aca="false">IF($A807="","",(YEAR($A807)-YEAR(Settings!$C$8))*12+MONTH($A807)-MONTH(Settings!$C$8)+1)</f>
        <v/>
      </c>
      <c r="Z807" s="24" t="str">
        <f aca="false">IF(AND($C807="",$I807="",$J807=""),"",IF($N807="","NO VAT CODE",IF($T807="","UNKNOWN VAT CODE",IF($S807="","MISSING FX RATE",IF(OR($A807&lt;Settings!$C$8,$A807&gt;Settings!$C$9),"OUTSIDE PERIOD",IF(AND(IFERROR(INDEX(VAT_Codes!$E:$E,MATCH($N807,VAT_Codes!$A:$A,0)),"ANY")&lt;&gt;"ANY",$P807=""),"MISSING COUNTERPARTY COUNTRY",IF(AND(IFERROR(INDEX(VAT_Codes!$E:$E,MATCH($N807,VAT_Codes!$A:$A,0)),"ANY")&lt;&gt;"ANY",$P807&lt;&gt;IFERROR(INDEX(VAT_Codes!$E:$E,MATCH($N807,VAT_Codes!$A:$A,0)),"ANY")),"REGION MISMATCH","OK")))))))</f>
        <v/>
      </c>
    </row>
    <row r="808" customFormat="false" ht="15" hidden="false" customHeight="false" outlineLevel="0" collapsed="false">
      <c r="M808" s="24" t="str">
        <f aca="false">IF($C808="","",IFERROR(INDEX(Account_Mapping!$C:$C,MATCH($C808&amp;"",Account_Mapping!$A:$A,0))&amp;"",""))</f>
        <v/>
      </c>
      <c r="N808" s="24" t="str">
        <f aca="false">IF($K808&lt;&gt;"",$K808,$M808)</f>
        <v/>
      </c>
      <c r="O808" s="24" t="str">
        <f aca="false">IF($F808="","",IFERROR(INDEX(Counterparties!$C:$C,MATCH($F808&amp;"",Counterparties!$A:$A,0))&amp;"",""))</f>
        <v/>
      </c>
      <c r="P808" s="24" t="str">
        <f aca="false">IF($O808="","",IF($O808="CY","CY",IF(ISNUMBER(MATCH($O808,Lists!$A:$A,0)),"EU","3RD")))</f>
        <v/>
      </c>
      <c r="Q808" s="24" t="str">
        <f aca="false">IF($F808="","N",IFERROR(IF(INDEX(Counterparties!$E:$E,MATCH($F808&amp;"",Counterparties!$A:$A,0))="Y","Y","N"),"N"))</f>
        <v>N</v>
      </c>
      <c r="R808" s="25" t="n">
        <f aca="false">IF(OR($H808="",$H808="EUR"),1,IFERROR(INDEX(FX_Rates!$D:$D,MATCH($H808,FX_Rates!$A:$A,0)),""))</f>
        <v>1</v>
      </c>
      <c r="S808" s="26" t="str">
        <f aca="false">IF(AND($I808="",$J808=""),"",IF($J808&lt;&gt;"",$J808,IF(OR($R808="",$R808=0),"",ROUND($I808/$R808,2))))</f>
        <v/>
      </c>
      <c r="T808" s="24" t="str">
        <f aca="false">IF($N808="","",IFERROR(INDEX(VAT_Codes!$C:$C,MATCH($N808,VAT_Codes!$A:$A,0)),"")&amp;"")</f>
        <v/>
      </c>
      <c r="U808" s="26" t="n">
        <f aca="false">IF(OR($S808="",$T808="",$T808="None"),0,IF($T808="Output",-$S808,$S808))</f>
        <v>0</v>
      </c>
      <c r="V808" s="27" t="n">
        <f aca="false">IF($N808="",0,IFERROR(INDEX(VAT_Codes!$D:$D,MATCH($N808,VAT_Codes!$A:$A,0)),0))</f>
        <v>0</v>
      </c>
      <c r="W808" s="26" t="n">
        <f aca="false">IF($U808=0,0,IF(IFERROR(INDEX(VAT_Codes!$F:$F,MATCH($N808,VAT_Codes!$A:$A,0)),"N")="Y",$U808,IF($L808&lt;&gt;"",ROUND(ABS($L808)/IF(OR($R808="",$R808=0),1,$R808),2)*SIGN($U808),ROUND($U808*$V808,2))))</f>
        <v>0</v>
      </c>
      <c r="X808" s="24" t="str">
        <f aca="false">IF($N808="","",IFERROR(INDEX(VAT_Codes!$H:$H,MATCH($N808,VAT_Codes!$A:$A,0)),"")&amp;"")</f>
        <v/>
      </c>
      <c r="Y808" s="24" t="str">
        <f aca="false">IF($A808="","",(YEAR($A808)-YEAR(Settings!$C$8))*12+MONTH($A808)-MONTH(Settings!$C$8)+1)</f>
        <v/>
      </c>
      <c r="Z808" s="24" t="str">
        <f aca="false">IF(AND($C808="",$I808="",$J808=""),"",IF($N808="","NO VAT CODE",IF($T808="","UNKNOWN VAT CODE",IF($S808="","MISSING FX RATE",IF(OR($A808&lt;Settings!$C$8,$A808&gt;Settings!$C$9),"OUTSIDE PERIOD",IF(AND(IFERROR(INDEX(VAT_Codes!$E:$E,MATCH($N808,VAT_Codes!$A:$A,0)),"ANY")&lt;&gt;"ANY",$P808=""),"MISSING COUNTERPARTY COUNTRY",IF(AND(IFERROR(INDEX(VAT_Codes!$E:$E,MATCH($N808,VAT_Codes!$A:$A,0)),"ANY")&lt;&gt;"ANY",$P808&lt;&gt;IFERROR(INDEX(VAT_Codes!$E:$E,MATCH($N808,VAT_Codes!$A:$A,0)),"ANY")),"REGION MISMATCH","OK")))))))</f>
        <v/>
      </c>
    </row>
    <row r="809" customFormat="false" ht="15" hidden="false" customHeight="false" outlineLevel="0" collapsed="false">
      <c r="M809" s="24" t="str">
        <f aca="false">IF($C809="","",IFERROR(INDEX(Account_Mapping!$C:$C,MATCH($C809&amp;"",Account_Mapping!$A:$A,0))&amp;"",""))</f>
        <v/>
      </c>
      <c r="N809" s="24" t="str">
        <f aca="false">IF($K809&lt;&gt;"",$K809,$M809)</f>
        <v/>
      </c>
      <c r="O809" s="24" t="str">
        <f aca="false">IF($F809="","",IFERROR(INDEX(Counterparties!$C:$C,MATCH($F809&amp;"",Counterparties!$A:$A,0))&amp;"",""))</f>
        <v/>
      </c>
      <c r="P809" s="24" t="str">
        <f aca="false">IF($O809="","",IF($O809="CY","CY",IF(ISNUMBER(MATCH($O809,Lists!$A:$A,0)),"EU","3RD")))</f>
        <v/>
      </c>
      <c r="Q809" s="24" t="str">
        <f aca="false">IF($F809="","N",IFERROR(IF(INDEX(Counterparties!$E:$E,MATCH($F809&amp;"",Counterparties!$A:$A,0))="Y","Y","N"),"N"))</f>
        <v>N</v>
      </c>
      <c r="R809" s="25" t="n">
        <f aca="false">IF(OR($H809="",$H809="EUR"),1,IFERROR(INDEX(FX_Rates!$D:$D,MATCH($H809,FX_Rates!$A:$A,0)),""))</f>
        <v>1</v>
      </c>
      <c r="S809" s="26" t="str">
        <f aca="false">IF(AND($I809="",$J809=""),"",IF($J809&lt;&gt;"",$J809,IF(OR($R809="",$R809=0),"",ROUND($I809/$R809,2))))</f>
        <v/>
      </c>
      <c r="T809" s="24" t="str">
        <f aca="false">IF($N809="","",IFERROR(INDEX(VAT_Codes!$C:$C,MATCH($N809,VAT_Codes!$A:$A,0)),"")&amp;"")</f>
        <v/>
      </c>
      <c r="U809" s="26" t="n">
        <f aca="false">IF(OR($S809="",$T809="",$T809="None"),0,IF($T809="Output",-$S809,$S809))</f>
        <v>0</v>
      </c>
      <c r="V809" s="27" t="n">
        <f aca="false">IF($N809="",0,IFERROR(INDEX(VAT_Codes!$D:$D,MATCH($N809,VAT_Codes!$A:$A,0)),0))</f>
        <v>0</v>
      </c>
      <c r="W809" s="26" t="n">
        <f aca="false">IF($U809=0,0,IF(IFERROR(INDEX(VAT_Codes!$F:$F,MATCH($N809,VAT_Codes!$A:$A,0)),"N")="Y",$U809,IF($L809&lt;&gt;"",ROUND(ABS($L809)/IF(OR($R809="",$R809=0),1,$R809),2)*SIGN($U809),ROUND($U809*$V809,2))))</f>
        <v>0</v>
      </c>
      <c r="X809" s="24" t="str">
        <f aca="false">IF($N809="","",IFERROR(INDEX(VAT_Codes!$H:$H,MATCH($N809,VAT_Codes!$A:$A,0)),"")&amp;"")</f>
        <v/>
      </c>
      <c r="Y809" s="24" t="str">
        <f aca="false">IF($A809="","",(YEAR($A809)-YEAR(Settings!$C$8))*12+MONTH($A809)-MONTH(Settings!$C$8)+1)</f>
        <v/>
      </c>
      <c r="Z809" s="24" t="str">
        <f aca="false">IF(AND($C809="",$I809="",$J809=""),"",IF($N809="","NO VAT CODE",IF($T809="","UNKNOWN VAT CODE",IF($S809="","MISSING FX RATE",IF(OR($A809&lt;Settings!$C$8,$A809&gt;Settings!$C$9),"OUTSIDE PERIOD",IF(AND(IFERROR(INDEX(VAT_Codes!$E:$E,MATCH($N809,VAT_Codes!$A:$A,0)),"ANY")&lt;&gt;"ANY",$P809=""),"MISSING COUNTERPARTY COUNTRY",IF(AND(IFERROR(INDEX(VAT_Codes!$E:$E,MATCH($N809,VAT_Codes!$A:$A,0)),"ANY")&lt;&gt;"ANY",$P809&lt;&gt;IFERROR(INDEX(VAT_Codes!$E:$E,MATCH($N809,VAT_Codes!$A:$A,0)),"ANY")),"REGION MISMATCH","OK")))))))</f>
        <v/>
      </c>
    </row>
    <row r="810" customFormat="false" ht="15" hidden="false" customHeight="false" outlineLevel="0" collapsed="false">
      <c r="M810" s="24" t="str">
        <f aca="false">IF($C810="","",IFERROR(INDEX(Account_Mapping!$C:$C,MATCH($C810&amp;"",Account_Mapping!$A:$A,0))&amp;"",""))</f>
        <v/>
      </c>
      <c r="N810" s="24" t="str">
        <f aca="false">IF($K810&lt;&gt;"",$K810,$M810)</f>
        <v/>
      </c>
      <c r="O810" s="24" t="str">
        <f aca="false">IF($F810="","",IFERROR(INDEX(Counterparties!$C:$C,MATCH($F810&amp;"",Counterparties!$A:$A,0))&amp;"",""))</f>
        <v/>
      </c>
      <c r="P810" s="24" t="str">
        <f aca="false">IF($O810="","",IF($O810="CY","CY",IF(ISNUMBER(MATCH($O810,Lists!$A:$A,0)),"EU","3RD")))</f>
        <v/>
      </c>
      <c r="Q810" s="24" t="str">
        <f aca="false">IF($F810="","N",IFERROR(IF(INDEX(Counterparties!$E:$E,MATCH($F810&amp;"",Counterparties!$A:$A,0))="Y","Y","N"),"N"))</f>
        <v>N</v>
      </c>
      <c r="R810" s="25" t="n">
        <f aca="false">IF(OR($H810="",$H810="EUR"),1,IFERROR(INDEX(FX_Rates!$D:$D,MATCH($H810,FX_Rates!$A:$A,0)),""))</f>
        <v>1</v>
      </c>
      <c r="S810" s="26" t="str">
        <f aca="false">IF(AND($I810="",$J810=""),"",IF($J810&lt;&gt;"",$J810,IF(OR($R810="",$R810=0),"",ROUND($I810/$R810,2))))</f>
        <v/>
      </c>
      <c r="T810" s="24" t="str">
        <f aca="false">IF($N810="","",IFERROR(INDEX(VAT_Codes!$C:$C,MATCH($N810,VAT_Codes!$A:$A,0)),"")&amp;"")</f>
        <v/>
      </c>
      <c r="U810" s="26" t="n">
        <f aca="false">IF(OR($S810="",$T810="",$T810="None"),0,IF($T810="Output",-$S810,$S810))</f>
        <v>0</v>
      </c>
      <c r="V810" s="27" t="n">
        <f aca="false">IF($N810="",0,IFERROR(INDEX(VAT_Codes!$D:$D,MATCH($N810,VAT_Codes!$A:$A,0)),0))</f>
        <v>0</v>
      </c>
      <c r="W810" s="26" t="n">
        <f aca="false">IF($U810=0,0,IF(IFERROR(INDEX(VAT_Codes!$F:$F,MATCH($N810,VAT_Codes!$A:$A,0)),"N")="Y",$U810,IF($L810&lt;&gt;"",ROUND(ABS($L810)/IF(OR($R810="",$R810=0),1,$R810),2)*SIGN($U810),ROUND($U810*$V810,2))))</f>
        <v>0</v>
      </c>
      <c r="X810" s="24" t="str">
        <f aca="false">IF($N810="","",IFERROR(INDEX(VAT_Codes!$H:$H,MATCH($N810,VAT_Codes!$A:$A,0)),"")&amp;"")</f>
        <v/>
      </c>
      <c r="Y810" s="24" t="str">
        <f aca="false">IF($A810="","",(YEAR($A810)-YEAR(Settings!$C$8))*12+MONTH($A810)-MONTH(Settings!$C$8)+1)</f>
        <v/>
      </c>
      <c r="Z810" s="24" t="str">
        <f aca="false">IF(AND($C810="",$I810="",$J810=""),"",IF($N810="","NO VAT CODE",IF($T810="","UNKNOWN VAT CODE",IF($S810="","MISSING FX RATE",IF(OR($A810&lt;Settings!$C$8,$A810&gt;Settings!$C$9),"OUTSIDE PERIOD",IF(AND(IFERROR(INDEX(VAT_Codes!$E:$E,MATCH($N810,VAT_Codes!$A:$A,0)),"ANY")&lt;&gt;"ANY",$P810=""),"MISSING COUNTERPARTY COUNTRY",IF(AND(IFERROR(INDEX(VAT_Codes!$E:$E,MATCH($N810,VAT_Codes!$A:$A,0)),"ANY")&lt;&gt;"ANY",$P810&lt;&gt;IFERROR(INDEX(VAT_Codes!$E:$E,MATCH($N810,VAT_Codes!$A:$A,0)),"ANY")),"REGION MISMATCH","OK")))))))</f>
        <v/>
      </c>
    </row>
    <row r="811" customFormat="false" ht="15" hidden="false" customHeight="false" outlineLevel="0" collapsed="false">
      <c r="M811" s="24" t="str">
        <f aca="false">IF($C811="","",IFERROR(INDEX(Account_Mapping!$C:$C,MATCH($C811&amp;"",Account_Mapping!$A:$A,0))&amp;"",""))</f>
        <v/>
      </c>
      <c r="N811" s="24" t="str">
        <f aca="false">IF($K811&lt;&gt;"",$K811,$M811)</f>
        <v/>
      </c>
      <c r="O811" s="24" t="str">
        <f aca="false">IF($F811="","",IFERROR(INDEX(Counterparties!$C:$C,MATCH($F811&amp;"",Counterparties!$A:$A,0))&amp;"",""))</f>
        <v/>
      </c>
      <c r="P811" s="24" t="str">
        <f aca="false">IF($O811="","",IF($O811="CY","CY",IF(ISNUMBER(MATCH($O811,Lists!$A:$A,0)),"EU","3RD")))</f>
        <v/>
      </c>
      <c r="Q811" s="24" t="str">
        <f aca="false">IF($F811="","N",IFERROR(IF(INDEX(Counterparties!$E:$E,MATCH($F811&amp;"",Counterparties!$A:$A,0))="Y","Y","N"),"N"))</f>
        <v>N</v>
      </c>
      <c r="R811" s="25" t="n">
        <f aca="false">IF(OR($H811="",$H811="EUR"),1,IFERROR(INDEX(FX_Rates!$D:$D,MATCH($H811,FX_Rates!$A:$A,0)),""))</f>
        <v>1</v>
      </c>
      <c r="S811" s="26" t="str">
        <f aca="false">IF(AND($I811="",$J811=""),"",IF($J811&lt;&gt;"",$J811,IF(OR($R811="",$R811=0),"",ROUND($I811/$R811,2))))</f>
        <v/>
      </c>
      <c r="T811" s="24" t="str">
        <f aca="false">IF($N811="","",IFERROR(INDEX(VAT_Codes!$C:$C,MATCH($N811,VAT_Codes!$A:$A,0)),"")&amp;"")</f>
        <v/>
      </c>
      <c r="U811" s="26" t="n">
        <f aca="false">IF(OR($S811="",$T811="",$T811="None"),0,IF($T811="Output",-$S811,$S811))</f>
        <v>0</v>
      </c>
      <c r="V811" s="27" t="n">
        <f aca="false">IF($N811="",0,IFERROR(INDEX(VAT_Codes!$D:$D,MATCH($N811,VAT_Codes!$A:$A,0)),0))</f>
        <v>0</v>
      </c>
      <c r="W811" s="26" t="n">
        <f aca="false">IF($U811=0,0,IF(IFERROR(INDEX(VAT_Codes!$F:$F,MATCH($N811,VAT_Codes!$A:$A,0)),"N")="Y",$U811,IF($L811&lt;&gt;"",ROUND(ABS($L811)/IF(OR($R811="",$R811=0),1,$R811),2)*SIGN($U811),ROUND($U811*$V811,2))))</f>
        <v>0</v>
      </c>
      <c r="X811" s="24" t="str">
        <f aca="false">IF($N811="","",IFERROR(INDEX(VAT_Codes!$H:$H,MATCH($N811,VAT_Codes!$A:$A,0)),"")&amp;"")</f>
        <v/>
      </c>
      <c r="Y811" s="24" t="str">
        <f aca="false">IF($A811="","",(YEAR($A811)-YEAR(Settings!$C$8))*12+MONTH($A811)-MONTH(Settings!$C$8)+1)</f>
        <v/>
      </c>
      <c r="Z811" s="24" t="str">
        <f aca="false">IF(AND($C811="",$I811="",$J811=""),"",IF($N811="","NO VAT CODE",IF($T811="","UNKNOWN VAT CODE",IF($S811="","MISSING FX RATE",IF(OR($A811&lt;Settings!$C$8,$A811&gt;Settings!$C$9),"OUTSIDE PERIOD",IF(AND(IFERROR(INDEX(VAT_Codes!$E:$E,MATCH($N811,VAT_Codes!$A:$A,0)),"ANY")&lt;&gt;"ANY",$P811=""),"MISSING COUNTERPARTY COUNTRY",IF(AND(IFERROR(INDEX(VAT_Codes!$E:$E,MATCH($N811,VAT_Codes!$A:$A,0)),"ANY")&lt;&gt;"ANY",$P811&lt;&gt;IFERROR(INDEX(VAT_Codes!$E:$E,MATCH($N811,VAT_Codes!$A:$A,0)),"ANY")),"REGION MISMATCH","OK")))))))</f>
        <v/>
      </c>
    </row>
    <row r="812" customFormat="false" ht="15" hidden="false" customHeight="false" outlineLevel="0" collapsed="false">
      <c r="M812" s="24" t="str">
        <f aca="false">IF($C812="","",IFERROR(INDEX(Account_Mapping!$C:$C,MATCH($C812&amp;"",Account_Mapping!$A:$A,0))&amp;"",""))</f>
        <v/>
      </c>
      <c r="N812" s="24" t="str">
        <f aca="false">IF($K812&lt;&gt;"",$K812,$M812)</f>
        <v/>
      </c>
      <c r="O812" s="24" t="str">
        <f aca="false">IF($F812="","",IFERROR(INDEX(Counterparties!$C:$C,MATCH($F812&amp;"",Counterparties!$A:$A,0))&amp;"",""))</f>
        <v/>
      </c>
      <c r="P812" s="24" t="str">
        <f aca="false">IF($O812="","",IF($O812="CY","CY",IF(ISNUMBER(MATCH($O812,Lists!$A:$A,0)),"EU","3RD")))</f>
        <v/>
      </c>
      <c r="Q812" s="24" t="str">
        <f aca="false">IF($F812="","N",IFERROR(IF(INDEX(Counterparties!$E:$E,MATCH($F812&amp;"",Counterparties!$A:$A,0))="Y","Y","N"),"N"))</f>
        <v>N</v>
      </c>
      <c r="R812" s="25" t="n">
        <f aca="false">IF(OR($H812="",$H812="EUR"),1,IFERROR(INDEX(FX_Rates!$D:$D,MATCH($H812,FX_Rates!$A:$A,0)),""))</f>
        <v>1</v>
      </c>
      <c r="S812" s="26" t="str">
        <f aca="false">IF(AND($I812="",$J812=""),"",IF($J812&lt;&gt;"",$J812,IF(OR($R812="",$R812=0),"",ROUND($I812/$R812,2))))</f>
        <v/>
      </c>
      <c r="T812" s="24" t="str">
        <f aca="false">IF($N812="","",IFERROR(INDEX(VAT_Codes!$C:$C,MATCH($N812,VAT_Codes!$A:$A,0)),"")&amp;"")</f>
        <v/>
      </c>
      <c r="U812" s="26" t="n">
        <f aca="false">IF(OR($S812="",$T812="",$T812="None"),0,IF($T812="Output",-$S812,$S812))</f>
        <v>0</v>
      </c>
      <c r="V812" s="27" t="n">
        <f aca="false">IF($N812="",0,IFERROR(INDEX(VAT_Codes!$D:$D,MATCH($N812,VAT_Codes!$A:$A,0)),0))</f>
        <v>0</v>
      </c>
      <c r="W812" s="26" t="n">
        <f aca="false">IF($U812=0,0,IF(IFERROR(INDEX(VAT_Codes!$F:$F,MATCH($N812,VAT_Codes!$A:$A,0)),"N")="Y",$U812,IF($L812&lt;&gt;"",ROUND(ABS($L812)/IF(OR($R812="",$R812=0),1,$R812),2)*SIGN($U812),ROUND($U812*$V812,2))))</f>
        <v>0</v>
      </c>
      <c r="X812" s="24" t="str">
        <f aca="false">IF($N812="","",IFERROR(INDEX(VAT_Codes!$H:$H,MATCH($N812,VAT_Codes!$A:$A,0)),"")&amp;"")</f>
        <v/>
      </c>
      <c r="Y812" s="24" t="str">
        <f aca="false">IF($A812="","",(YEAR($A812)-YEAR(Settings!$C$8))*12+MONTH($A812)-MONTH(Settings!$C$8)+1)</f>
        <v/>
      </c>
      <c r="Z812" s="24" t="str">
        <f aca="false">IF(AND($C812="",$I812="",$J812=""),"",IF($N812="","NO VAT CODE",IF($T812="","UNKNOWN VAT CODE",IF($S812="","MISSING FX RATE",IF(OR($A812&lt;Settings!$C$8,$A812&gt;Settings!$C$9),"OUTSIDE PERIOD",IF(AND(IFERROR(INDEX(VAT_Codes!$E:$E,MATCH($N812,VAT_Codes!$A:$A,0)),"ANY")&lt;&gt;"ANY",$P812=""),"MISSING COUNTERPARTY COUNTRY",IF(AND(IFERROR(INDEX(VAT_Codes!$E:$E,MATCH($N812,VAT_Codes!$A:$A,0)),"ANY")&lt;&gt;"ANY",$P812&lt;&gt;IFERROR(INDEX(VAT_Codes!$E:$E,MATCH($N812,VAT_Codes!$A:$A,0)),"ANY")),"REGION MISMATCH","OK")))))))</f>
        <v/>
      </c>
    </row>
    <row r="813" customFormat="false" ht="15" hidden="false" customHeight="false" outlineLevel="0" collapsed="false">
      <c r="M813" s="24" t="str">
        <f aca="false">IF($C813="","",IFERROR(INDEX(Account_Mapping!$C:$C,MATCH($C813&amp;"",Account_Mapping!$A:$A,0))&amp;"",""))</f>
        <v/>
      </c>
      <c r="N813" s="24" t="str">
        <f aca="false">IF($K813&lt;&gt;"",$K813,$M813)</f>
        <v/>
      </c>
      <c r="O813" s="24" t="str">
        <f aca="false">IF($F813="","",IFERROR(INDEX(Counterparties!$C:$C,MATCH($F813&amp;"",Counterparties!$A:$A,0))&amp;"",""))</f>
        <v/>
      </c>
      <c r="P813" s="24" t="str">
        <f aca="false">IF($O813="","",IF($O813="CY","CY",IF(ISNUMBER(MATCH($O813,Lists!$A:$A,0)),"EU","3RD")))</f>
        <v/>
      </c>
      <c r="Q813" s="24" t="str">
        <f aca="false">IF($F813="","N",IFERROR(IF(INDEX(Counterparties!$E:$E,MATCH($F813&amp;"",Counterparties!$A:$A,0))="Y","Y","N"),"N"))</f>
        <v>N</v>
      </c>
      <c r="R813" s="25" t="n">
        <f aca="false">IF(OR($H813="",$H813="EUR"),1,IFERROR(INDEX(FX_Rates!$D:$D,MATCH($H813,FX_Rates!$A:$A,0)),""))</f>
        <v>1</v>
      </c>
      <c r="S813" s="26" t="str">
        <f aca="false">IF(AND($I813="",$J813=""),"",IF($J813&lt;&gt;"",$J813,IF(OR($R813="",$R813=0),"",ROUND($I813/$R813,2))))</f>
        <v/>
      </c>
      <c r="T813" s="24" t="str">
        <f aca="false">IF($N813="","",IFERROR(INDEX(VAT_Codes!$C:$C,MATCH($N813,VAT_Codes!$A:$A,0)),"")&amp;"")</f>
        <v/>
      </c>
      <c r="U813" s="26" t="n">
        <f aca="false">IF(OR($S813="",$T813="",$T813="None"),0,IF($T813="Output",-$S813,$S813))</f>
        <v>0</v>
      </c>
      <c r="V813" s="27" t="n">
        <f aca="false">IF($N813="",0,IFERROR(INDEX(VAT_Codes!$D:$D,MATCH($N813,VAT_Codes!$A:$A,0)),0))</f>
        <v>0</v>
      </c>
      <c r="W813" s="26" t="n">
        <f aca="false">IF($U813=0,0,IF(IFERROR(INDEX(VAT_Codes!$F:$F,MATCH($N813,VAT_Codes!$A:$A,0)),"N")="Y",$U813,IF($L813&lt;&gt;"",ROUND(ABS($L813)/IF(OR($R813="",$R813=0),1,$R813),2)*SIGN($U813),ROUND($U813*$V813,2))))</f>
        <v>0</v>
      </c>
      <c r="X813" s="24" t="str">
        <f aca="false">IF($N813="","",IFERROR(INDEX(VAT_Codes!$H:$H,MATCH($N813,VAT_Codes!$A:$A,0)),"")&amp;"")</f>
        <v/>
      </c>
      <c r="Y813" s="24" t="str">
        <f aca="false">IF($A813="","",(YEAR($A813)-YEAR(Settings!$C$8))*12+MONTH($A813)-MONTH(Settings!$C$8)+1)</f>
        <v/>
      </c>
      <c r="Z813" s="24" t="str">
        <f aca="false">IF(AND($C813="",$I813="",$J813=""),"",IF($N813="","NO VAT CODE",IF($T813="","UNKNOWN VAT CODE",IF($S813="","MISSING FX RATE",IF(OR($A813&lt;Settings!$C$8,$A813&gt;Settings!$C$9),"OUTSIDE PERIOD",IF(AND(IFERROR(INDEX(VAT_Codes!$E:$E,MATCH($N813,VAT_Codes!$A:$A,0)),"ANY")&lt;&gt;"ANY",$P813=""),"MISSING COUNTERPARTY COUNTRY",IF(AND(IFERROR(INDEX(VAT_Codes!$E:$E,MATCH($N813,VAT_Codes!$A:$A,0)),"ANY")&lt;&gt;"ANY",$P813&lt;&gt;IFERROR(INDEX(VAT_Codes!$E:$E,MATCH($N813,VAT_Codes!$A:$A,0)),"ANY")),"REGION MISMATCH","OK")))))))</f>
        <v/>
      </c>
    </row>
    <row r="814" customFormat="false" ht="15" hidden="false" customHeight="false" outlineLevel="0" collapsed="false">
      <c r="M814" s="24" t="str">
        <f aca="false">IF($C814="","",IFERROR(INDEX(Account_Mapping!$C:$C,MATCH($C814&amp;"",Account_Mapping!$A:$A,0))&amp;"",""))</f>
        <v/>
      </c>
      <c r="N814" s="24" t="str">
        <f aca="false">IF($K814&lt;&gt;"",$K814,$M814)</f>
        <v/>
      </c>
      <c r="O814" s="24" t="str">
        <f aca="false">IF($F814="","",IFERROR(INDEX(Counterparties!$C:$C,MATCH($F814&amp;"",Counterparties!$A:$A,0))&amp;"",""))</f>
        <v/>
      </c>
      <c r="P814" s="24" t="str">
        <f aca="false">IF($O814="","",IF($O814="CY","CY",IF(ISNUMBER(MATCH($O814,Lists!$A:$A,0)),"EU","3RD")))</f>
        <v/>
      </c>
      <c r="Q814" s="24" t="str">
        <f aca="false">IF($F814="","N",IFERROR(IF(INDEX(Counterparties!$E:$E,MATCH($F814&amp;"",Counterparties!$A:$A,0))="Y","Y","N"),"N"))</f>
        <v>N</v>
      </c>
      <c r="R814" s="25" t="n">
        <f aca="false">IF(OR($H814="",$H814="EUR"),1,IFERROR(INDEX(FX_Rates!$D:$D,MATCH($H814,FX_Rates!$A:$A,0)),""))</f>
        <v>1</v>
      </c>
      <c r="S814" s="26" t="str">
        <f aca="false">IF(AND($I814="",$J814=""),"",IF($J814&lt;&gt;"",$J814,IF(OR($R814="",$R814=0),"",ROUND($I814/$R814,2))))</f>
        <v/>
      </c>
      <c r="T814" s="24" t="str">
        <f aca="false">IF($N814="","",IFERROR(INDEX(VAT_Codes!$C:$C,MATCH($N814,VAT_Codes!$A:$A,0)),"")&amp;"")</f>
        <v/>
      </c>
      <c r="U814" s="26" t="n">
        <f aca="false">IF(OR($S814="",$T814="",$T814="None"),0,IF($T814="Output",-$S814,$S814))</f>
        <v>0</v>
      </c>
      <c r="V814" s="27" t="n">
        <f aca="false">IF($N814="",0,IFERROR(INDEX(VAT_Codes!$D:$D,MATCH($N814,VAT_Codes!$A:$A,0)),0))</f>
        <v>0</v>
      </c>
      <c r="W814" s="26" t="n">
        <f aca="false">IF($U814=0,0,IF(IFERROR(INDEX(VAT_Codes!$F:$F,MATCH($N814,VAT_Codes!$A:$A,0)),"N")="Y",$U814,IF($L814&lt;&gt;"",ROUND(ABS($L814)/IF(OR($R814="",$R814=0),1,$R814),2)*SIGN($U814),ROUND($U814*$V814,2))))</f>
        <v>0</v>
      </c>
      <c r="X814" s="24" t="str">
        <f aca="false">IF($N814="","",IFERROR(INDEX(VAT_Codes!$H:$H,MATCH($N814,VAT_Codes!$A:$A,0)),"")&amp;"")</f>
        <v/>
      </c>
      <c r="Y814" s="24" t="str">
        <f aca="false">IF($A814="","",(YEAR($A814)-YEAR(Settings!$C$8))*12+MONTH($A814)-MONTH(Settings!$C$8)+1)</f>
        <v/>
      </c>
      <c r="Z814" s="24" t="str">
        <f aca="false">IF(AND($C814="",$I814="",$J814=""),"",IF($N814="","NO VAT CODE",IF($T814="","UNKNOWN VAT CODE",IF($S814="","MISSING FX RATE",IF(OR($A814&lt;Settings!$C$8,$A814&gt;Settings!$C$9),"OUTSIDE PERIOD",IF(AND(IFERROR(INDEX(VAT_Codes!$E:$E,MATCH($N814,VAT_Codes!$A:$A,0)),"ANY")&lt;&gt;"ANY",$P814=""),"MISSING COUNTERPARTY COUNTRY",IF(AND(IFERROR(INDEX(VAT_Codes!$E:$E,MATCH($N814,VAT_Codes!$A:$A,0)),"ANY")&lt;&gt;"ANY",$P814&lt;&gt;IFERROR(INDEX(VAT_Codes!$E:$E,MATCH($N814,VAT_Codes!$A:$A,0)),"ANY")),"REGION MISMATCH","OK")))))))</f>
        <v/>
      </c>
    </row>
    <row r="815" customFormat="false" ht="15" hidden="false" customHeight="false" outlineLevel="0" collapsed="false">
      <c r="M815" s="24" t="str">
        <f aca="false">IF($C815="","",IFERROR(INDEX(Account_Mapping!$C:$C,MATCH($C815&amp;"",Account_Mapping!$A:$A,0))&amp;"",""))</f>
        <v/>
      </c>
      <c r="N815" s="24" t="str">
        <f aca="false">IF($K815&lt;&gt;"",$K815,$M815)</f>
        <v/>
      </c>
      <c r="O815" s="24" t="str">
        <f aca="false">IF($F815="","",IFERROR(INDEX(Counterparties!$C:$C,MATCH($F815&amp;"",Counterparties!$A:$A,0))&amp;"",""))</f>
        <v/>
      </c>
      <c r="P815" s="24" t="str">
        <f aca="false">IF($O815="","",IF($O815="CY","CY",IF(ISNUMBER(MATCH($O815,Lists!$A:$A,0)),"EU","3RD")))</f>
        <v/>
      </c>
      <c r="Q815" s="24" t="str">
        <f aca="false">IF($F815="","N",IFERROR(IF(INDEX(Counterparties!$E:$E,MATCH($F815&amp;"",Counterparties!$A:$A,0))="Y","Y","N"),"N"))</f>
        <v>N</v>
      </c>
      <c r="R815" s="25" t="n">
        <f aca="false">IF(OR($H815="",$H815="EUR"),1,IFERROR(INDEX(FX_Rates!$D:$D,MATCH($H815,FX_Rates!$A:$A,0)),""))</f>
        <v>1</v>
      </c>
      <c r="S815" s="26" t="str">
        <f aca="false">IF(AND($I815="",$J815=""),"",IF($J815&lt;&gt;"",$J815,IF(OR($R815="",$R815=0),"",ROUND($I815/$R815,2))))</f>
        <v/>
      </c>
      <c r="T815" s="24" t="str">
        <f aca="false">IF($N815="","",IFERROR(INDEX(VAT_Codes!$C:$C,MATCH($N815,VAT_Codes!$A:$A,0)),"")&amp;"")</f>
        <v/>
      </c>
      <c r="U815" s="26" t="n">
        <f aca="false">IF(OR($S815="",$T815="",$T815="None"),0,IF($T815="Output",-$S815,$S815))</f>
        <v>0</v>
      </c>
      <c r="V815" s="27" t="n">
        <f aca="false">IF($N815="",0,IFERROR(INDEX(VAT_Codes!$D:$D,MATCH($N815,VAT_Codes!$A:$A,0)),0))</f>
        <v>0</v>
      </c>
      <c r="W815" s="26" t="n">
        <f aca="false">IF($U815=0,0,IF(IFERROR(INDEX(VAT_Codes!$F:$F,MATCH($N815,VAT_Codes!$A:$A,0)),"N")="Y",$U815,IF($L815&lt;&gt;"",ROUND(ABS($L815)/IF(OR($R815="",$R815=0),1,$R815),2)*SIGN($U815),ROUND($U815*$V815,2))))</f>
        <v>0</v>
      </c>
      <c r="X815" s="24" t="str">
        <f aca="false">IF($N815="","",IFERROR(INDEX(VAT_Codes!$H:$H,MATCH($N815,VAT_Codes!$A:$A,0)),"")&amp;"")</f>
        <v/>
      </c>
      <c r="Y815" s="24" t="str">
        <f aca="false">IF($A815="","",(YEAR($A815)-YEAR(Settings!$C$8))*12+MONTH($A815)-MONTH(Settings!$C$8)+1)</f>
        <v/>
      </c>
      <c r="Z815" s="24" t="str">
        <f aca="false">IF(AND($C815="",$I815="",$J815=""),"",IF($N815="","NO VAT CODE",IF($T815="","UNKNOWN VAT CODE",IF($S815="","MISSING FX RATE",IF(OR($A815&lt;Settings!$C$8,$A815&gt;Settings!$C$9),"OUTSIDE PERIOD",IF(AND(IFERROR(INDEX(VAT_Codes!$E:$E,MATCH($N815,VAT_Codes!$A:$A,0)),"ANY")&lt;&gt;"ANY",$P815=""),"MISSING COUNTERPARTY COUNTRY",IF(AND(IFERROR(INDEX(VAT_Codes!$E:$E,MATCH($N815,VAT_Codes!$A:$A,0)),"ANY")&lt;&gt;"ANY",$P815&lt;&gt;IFERROR(INDEX(VAT_Codes!$E:$E,MATCH($N815,VAT_Codes!$A:$A,0)),"ANY")),"REGION MISMATCH","OK")))))))</f>
        <v/>
      </c>
    </row>
    <row r="816" customFormat="false" ht="15" hidden="false" customHeight="false" outlineLevel="0" collapsed="false">
      <c r="M816" s="24" t="str">
        <f aca="false">IF($C816="","",IFERROR(INDEX(Account_Mapping!$C:$C,MATCH($C816&amp;"",Account_Mapping!$A:$A,0))&amp;"",""))</f>
        <v/>
      </c>
      <c r="N816" s="24" t="str">
        <f aca="false">IF($K816&lt;&gt;"",$K816,$M816)</f>
        <v/>
      </c>
      <c r="O816" s="24" t="str">
        <f aca="false">IF($F816="","",IFERROR(INDEX(Counterparties!$C:$C,MATCH($F816&amp;"",Counterparties!$A:$A,0))&amp;"",""))</f>
        <v/>
      </c>
      <c r="P816" s="24" t="str">
        <f aca="false">IF($O816="","",IF($O816="CY","CY",IF(ISNUMBER(MATCH($O816,Lists!$A:$A,0)),"EU","3RD")))</f>
        <v/>
      </c>
      <c r="Q816" s="24" t="str">
        <f aca="false">IF($F816="","N",IFERROR(IF(INDEX(Counterparties!$E:$E,MATCH($F816&amp;"",Counterparties!$A:$A,0))="Y","Y","N"),"N"))</f>
        <v>N</v>
      </c>
      <c r="R816" s="25" t="n">
        <f aca="false">IF(OR($H816="",$H816="EUR"),1,IFERROR(INDEX(FX_Rates!$D:$D,MATCH($H816,FX_Rates!$A:$A,0)),""))</f>
        <v>1</v>
      </c>
      <c r="S816" s="26" t="str">
        <f aca="false">IF(AND($I816="",$J816=""),"",IF($J816&lt;&gt;"",$J816,IF(OR($R816="",$R816=0),"",ROUND($I816/$R816,2))))</f>
        <v/>
      </c>
      <c r="T816" s="24" t="str">
        <f aca="false">IF($N816="","",IFERROR(INDEX(VAT_Codes!$C:$C,MATCH($N816,VAT_Codes!$A:$A,0)),"")&amp;"")</f>
        <v/>
      </c>
      <c r="U816" s="26" t="n">
        <f aca="false">IF(OR($S816="",$T816="",$T816="None"),0,IF($T816="Output",-$S816,$S816))</f>
        <v>0</v>
      </c>
      <c r="V816" s="27" t="n">
        <f aca="false">IF($N816="",0,IFERROR(INDEX(VAT_Codes!$D:$D,MATCH($N816,VAT_Codes!$A:$A,0)),0))</f>
        <v>0</v>
      </c>
      <c r="W816" s="26" t="n">
        <f aca="false">IF($U816=0,0,IF(IFERROR(INDEX(VAT_Codes!$F:$F,MATCH($N816,VAT_Codes!$A:$A,0)),"N")="Y",$U816,IF($L816&lt;&gt;"",ROUND(ABS($L816)/IF(OR($R816="",$R816=0),1,$R816),2)*SIGN($U816),ROUND($U816*$V816,2))))</f>
        <v>0</v>
      </c>
      <c r="X816" s="24" t="str">
        <f aca="false">IF($N816="","",IFERROR(INDEX(VAT_Codes!$H:$H,MATCH($N816,VAT_Codes!$A:$A,0)),"")&amp;"")</f>
        <v/>
      </c>
      <c r="Y816" s="24" t="str">
        <f aca="false">IF($A816="","",(YEAR($A816)-YEAR(Settings!$C$8))*12+MONTH($A816)-MONTH(Settings!$C$8)+1)</f>
        <v/>
      </c>
      <c r="Z816" s="24" t="str">
        <f aca="false">IF(AND($C816="",$I816="",$J816=""),"",IF($N816="","NO VAT CODE",IF($T816="","UNKNOWN VAT CODE",IF($S816="","MISSING FX RATE",IF(OR($A816&lt;Settings!$C$8,$A816&gt;Settings!$C$9),"OUTSIDE PERIOD",IF(AND(IFERROR(INDEX(VAT_Codes!$E:$E,MATCH($N816,VAT_Codes!$A:$A,0)),"ANY")&lt;&gt;"ANY",$P816=""),"MISSING COUNTERPARTY COUNTRY",IF(AND(IFERROR(INDEX(VAT_Codes!$E:$E,MATCH($N816,VAT_Codes!$A:$A,0)),"ANY")&lt;&gt;"ANY",$P816&lt;&gt;IFERROR(INDEX(VAT_Codes!$E:$E,MATCH($N816,VAT_Codes!$A:$A,0)),"ANY")),"REGION MISMATCH","OK")))))))</f>
        <v/>
      </c>
    </row>
    <row r="817" customFormat="false" ht="15" hidden="false" customHeight="false" outlineLevel="0" collapsed="false">
      <c r="M817" s="24" t="str">
        <f aca="false">IF($C817="","",IFERROR(INDEX(Account_Mapping!$C:$C,MATCH($C817&amp;"",Account_Mapping!$A:$A,0))&amp;"",""))</f>
        <v/>
      </c>
      <c r="N817" s="24" t="str">
        <f aca="false">IF($K817&lt;&gt;"",$K817,$M817)</f>
        <v/>
      </c>
      <c r="O817" s="24" t="str">
        <f aca="false">IF($F817="","",IFERROR(INDEX(Counterparties!$C:$C,MATCH($F817&amp;"",Counterparties!$A:$A,0))&amp;"",""))</f>
        <v/>
      </c>
      <c r="P817" s="24" t="str">
        <f aca="false">IF($O817="","",IF($O817="CY","CY",IF(ISNUMBER(MATCH($O817,Lists!$A:$A,0)),"EU","3RD")))</f>
        <v/>
      </c>
      <c r="Q817" s="24" t="str">
        <f aca="false">IF($F817="","N",IFERROR(IF(INDEX(Counterparties!$E:$E,MATCH($F817&amp;"",Counterparties!$A:$A,0))="Y","Y","N"),"N"))</f>
        <v>N</v>
      </c>
      <c r="R817" s="25" t="n">
        <f aca="false">IF(OR($H817="",$H817="EUR"),1,IFERROR(INDEX(FX_Rates!$D:$D,MATCH($H817,FX_Rates!$A:$A,0)),""))</f>
        <v>1</v>
      </c>
      <c r="S817" s="26" t="str">
        <f aca="false">IF(AND($I817="",$J817=""),"",IF($J817&lt;&gt;"",$J817,IF(OR($R817="",$R817=0),"",ROUND($I817/$R817,2))))</f>
        <v/>
      </c>
      <c r="T817" s="24" t="str">
        <f aca="false">IF($N817="","",IFERROR(INDEX(VAT_Codes!$C:$C,MATCH($N817,VAT_Codes!$A:$A,0)),"")&amp;"")</f>
        <v/>
      </c>
      <c r="U817" s="26" t="n">
        <f aca="false">IF(OR($S817="",$T817="",$T817="None"),0,IF($T817="Output",-$S817,$S817))</f>
        <v>0</v>
      </c>
      <c r="V817" s="27" t="n">
        <f aca="false">IF($N817="",0,IFERROR(INDEX(VAT_Codes!$D:$D,MATCH($N817,VAT_Codes!$A:$A,0)),0))</f>
        <v>0</v>
      </c>
      <c r="W817" s="26" t="n">
        <f aca="false">IF($U817=0,0,IF(IFERROR(INDEX(VAT_Codes!$F:$F,MATCH($N817,VAT_Codes!$A:$A,0)),"N")="Y",$U817,IF($L817&lt;&gt;"",ROUND(ABS($L817)/IF(OR($R817="",$R817=0),1,$R817),2)*SIGN($U817),ROUND($U817*$V817,2))))</f>
        <v>0</v>
      </c>
      <c r="X817" s="24" t="str">
        <f aca="false">IF($N817="","",IFERROR(INDEX(VAT_Codes!$H:$H,MATCH($N817,VAT_Codes!$A:$A,0)),"")&amp;"")</f>
        <v/>
      </c>
      <c r="Y817" s="24" t="str">
        <f aca="false">IF($A817="","",(YEAR($A817)-YEAR(Settings!$C$8))*12+MONTH($A817)-MONTH(Settings!$C$8)+1)</f>
        <v/>
      </c>
      <c r="Z817" s="24" t="str">
        <f aca="false">IF(AND($C817="",$I817="",$J817=""),"",IF($N817="","NO VAT CODE",IF($T817="","UNKNOWN VAT CODE",IF($S817="","MISSING FX RATE",IF(OR($A817&lt;Settings!$C$8,$A817&gt;Settings!$C$9),"OUTSIDE PERIOD",IF(AND(IFERROR(INDEX(VAT_Codes!$E:$E,MATCH($N817,VAT_Codes!$A:$A,0)),"ANY")&lt;&gt;"ANY",$P817=""),"MISSING COUNTERPARTY COUNTRY",IF(AND(IFERROR(INDEX(VAT_Codes!$E:$E,MATCH($N817,VAT_Codes!$A:$A,0)),"ANY")&lt;&gt;"ANY",$P817&lt;&gt;IFERROR(INDEX(VAT_Codes!$E:$E,MATCH($N817,VAT_Codes!$A:$A,0)),"ANY")),"REGION MISMATCH","OK")))))))</f>
        <v/>
      </c>
    </row>
    <row r="818" customFormat="false" ht="15" hidden="false" customHeight="false" outlineLevel="0" collapsed="false">
      <c r="M818" s="24" t="str">
        <f aca="false">IF($C818="","",IFERROR(INDEX(Account_Mapping!$C:$C,MATCH($C818&amp;"",Account_Mapping!$A:$A,0))&amp;"",""))</f>
        <v/>
      </c>
      <c r="N818" s="24" t="str">
        <f aca="false">IF($K818&lt;&gt;"",$K818,$M818)</f>
        <v/>
      </c>
      <c r="O818" s="24" t="str">
        <f aca="false">IF($F818="","",IFERROR(INDEX(Counterparties!$C:$C,MATCH($F818&amp;"",Counterparties!$A:$A,0))&amp;"",""))</f>
        <v/>
      </c>
      <c r="P818" s="24" t="str">
        <f aca="false">IF($O818="","",IF($O818="CY","CY",IF(ISNUMBER(MATCH($O818,Lists!$A:$A,0)),"EU","3RD")))</f>
        <v/>
      </c>
      <c r="Q818" s="24" t="str">
        <f aca="false">IF($F818="","N",IFERROR(IF(INDEX(Counterparties!$E:$E,MATCH($F818&amp;"",Counterparties!$A:$A,0))="Y","Y","N"),"N"))</f>
        <v>N</v>
      </c>
      <c r="R818" s="25" t="n">
        <f aca="false">IF(OR($H818="",$H818="EUR"),1,IFERROR(INDEX(FX_Rates!$D:$D,MATCH($H818,FX_Rates!$A:$A,0)),""))</f>
        <v>1</v>
      </c>
      <c r="S818" s="26" t="str">
        <f aca="false">IF(AND($I818="",$J818=""),"",IF($J818&lt;&gt;"",$J818,IF(OR($R818="",$R818=0),"",ROUND($I818/$R818,2))))</f>
        <v/>
      </c>
      <c r="T818" s="24" t="str">
        <f aca="false">IF($N818="","",IFERROR(INDEX(VAT_Codes!$C:$C,MATCH($N818,VAT_Codes!$A:$A,0)),"")&amp;"")</f>
        <v/>
      </c>
      <c r="U818" s="26" t="n">
        <f aca="false">IF(OR($S818="",$T818="",$T818="None"),0,IF($T818="Output",-$S818,$S818))</f>
        <v>0</v>
      </c>
      <c r="V818" s="27" t="n">
        <f aca="false">IF($N818="",0,IFERROR(INDEX(VAT_Codes!$D:$D,MATCH($N818,VAT_Codes!$A:$A,0)),0))</f>
        <v>0</v>
      </c>
      <c r="W818" s="26" t="n">
        <f aca="false">IF($U818=0,0,IF(IFERROR(INDEX(VAT_Codes!$F:$F,MATCH($N818,VAT_Codes!$A:$A,0)),"N")="Y",$U818,IF($L818&lt;&gt;"",ROUND(ABS($L818)/IF(OR($R818="",$R818=0),1,$R818),2)*SIGN($U818),ROUND($U818*$V818,2))))</f>
        <v>0</v>
      </c>
      <c r="X818" s="24" t="str">
        <f aca="false">IF($N818="","",IFERROR(INDEX(VAT_Codes!$H:$H,MATCH($N818,VAT_Codes!$A:$A,0)),"")&amp;"")</f>
        <v/>
      </c>
      <c r="Y818" s="24" t="str">
        <f aca="false">IF($A818="","",(YEAR($A818)-YEAR(Settings!$C$8))*12+MONTH($A818)-MONTH(Settings!$C$8)+1)</f>
        <v/>
      </c>
      <c r="Z818" s="24" t="str">
        <f aca="false">IF(AND($C818="",$I818="",$J818=""),"",IF($N818="","NO VAT CODE",IF($T818="","UNKNOWN VAT CODE",IF($S818="","MISSING FX RATE",IF(OR($A818&lt;Settings!$C$8,$A818&gt;Settings!$C$9),"OUTSIDE PERIOD",IF(AND(IFERROR(INDEX(VAT_Codes!$E:$E,MATCH($N818,VAT_Codes!$A:$A,0)),"ANY")&lt;&gt;"ANY",$P818=""),"MISSING COUNTERPARTY COUNTRY",IF(AND(IFERROR(INDEX(VAT_Codes!$E:$E,MATCH($N818,VAT_Codes!$A:$A,0)),"ANY")&lt;&gt;"ANY",$P818&lt;&gt;IFERROR(INDEX(VAT_Codes!$E:$E,MATCH($N818,VAT_Codes!$A:$A,0)),"ANY")),"REGION MISMATCH","OK")))))))</f>
        <v/>
      </c>
    </row>
    <row r="819" customFormat="false" ht="15" hidden="false" customHeight="false" outlineLevel="0" collapsed="false">
      <c r="M819" s="24" t="str">
        <f aca="false">IF($C819="","",IFERROR(INDEX(Account_Mapping!$C:$C,MATCH($C819&amp;"",Account_Mapping!$A:$A,0))&amp;"",""))</f>
        <v/>
      </c>
      <c r="N819" s="24" t="str">
        <f aca="false">IF($K819&lt;&gt;"",$K819,$M819)</f>
        <v/>
      </c>
      <c r="O819" s="24" t="str">
        <f aca="false">IF($F819="","",IFERROR(INDEX(Counterparties!$C:$C,MATCH($F819&amp;"",Counterparties!$A:$A,0))&amp;"",""))</f>
        <v/>
      </c>
      <c r="P819" s="24" t="str">
        <f aca="false">IF($O819="","",IF($O819="CY","CY",IF(ISNUMBER(MATCH($O819,Lists!$A:$A,0)),"EU","3RD")))</f>
        <v/>
      </c>
      <c r="Q819" s="24" t="str">
        <f aca="false">IF($F819="","N",IFERROR(IF(INDEX(Counterparties!$E:$E,MATCH($F819&amp;"",Counterparties!$A:$A,0))="Y","Y","N"),"N"))</f>
        <v>N</v>
      </c>
      <c r="R819" s="25" t="n">
        <f aca="false">IF(OR($H819="",$H819="EUR"),1,IFERROR(INDEX(FX_Rates!$D:$D,MATCH($H819,FX_Rates!$A:$A,0)),""))</f>
        <v>1</v>
      </c>
      <c r="S819" s="26" t="str">
        <f aca="false">IF(AND($I819="",$J819=""),"",IF($J819&lt;&gt;"",$J819,IF(OR($R819="",$R819=0),"",ROUND($I819/$R819,2))))</f>
        <v/>
      </c>
      <c r="T819" s="24" t="str">
        <f aca="false">IF($N819="","",IFERROR(INDEX(VAT_Codes!$C:$C,MATCH($N819,VAT_Codes!$A:$A,0)),"")&amp;"")</f>
        <v/>
      </c>
      <c r="U819" s="26" t="n">
        <f aca="false">IF(OR($S819="",$T819="",$T819="None"),0,IF($T819="Output",-$S819,$S819))</f>
        <v>0</v>
      </c>
      <c r="V819" s="27" t="n">
        <f aca="false">IF($N819="",0,IFERROR(INDEX(VAT_Codes!$D:$D,MATCH($N819,VAT_Codes!$A:$A,0)),0))</f>
        <v>0</v>
      </c>
      <c r="W819" s="26" t="n">
        <f aca="false">IF($U819=0,0,IF(IFERROR(INDEX(VAT_Codes!$F:$F,MATCH($N819,VAT_Codes!$A:$A,0)),"N")="Y",$U819,IF($L819&lt;&gt;"",ROUND(ABS($L819)/IF(OR($R819="",$R819=0),1,$R819),2)*SIGN($U819),ROUND($U819*$V819,2))))</f>
        <v>0</v>
      </c>
      <c r="X819" s="24" t="str">
        <f aca="false">IF($N819="","",IFERROR(INDEX(VAT_Codes!$H:$H,MATCH($N819,VAT_Codes!$A:$A,0)),"")&amp;"")</f>
        <v/>
      </c>
      <c r="Y819" s="24" t="str">
        <f aca="false">IF($A819="","",(YEAR($A819)-YEAR(Settings!$C$8))*12+MONTH($A819)-MONTH(Settings!$C$8)+1)</f>
        <v/>
      </c>
      <c r="Z819" s="24" t="str">
        <f aca="false">IF(AND($C819="",$I819="",$J819=""),"",IF($N819="","NO VAT CODE",IF($T819="","UNKNOWN VAT CODE",IF($S819="","MISSING FX RATE",IF(OR($A819&lt;Settings!$C$8,$A819&gt;Settings!$C$9),"OUTSIDE PERIOD",IF(AND(IFERROR(INDEX(VAT_Codes!$E:$E,MATCH($N819,VAT_Codes!$A:$A,0)),"ANY")&lt;&gt;"ANY",$P819=""),"MISSING COUNTERPARTY COUNTRY",IF(AND(IFERROR(INDEX(VAT_Codes!$E:$E,MATCH($N819,VAT_Codes!$A:$A,0)),"ANY")&lt;&gt;"ANY",$P819&lt;&gt;IFERROR(INDEX(VAT_Codes!$E:$E,MATCH($N819,VAT_Codes!$A:$A,0)),"ANY")),"REGION MISMATCH","OK")))))))</f>
        <v/>
      </c>
    </row>
    <row r="820" customFormat="false" ht="15" hidden="false" customHeight="false" outlineLevel="0" collapsed="false">
      <c r="M820" s="24" t="str">
        <f aca="false">IF($C820="","",IFERROR(INDEX(Account_Mapping!$C:$C,MATCH($C820&amp;"",Account_Mapping!$A:$A,0))&amp;"",""))</f>
        <v/>
      </c>
      <c r="N820" s="24" t="str">
        <f aca="false">IF($K820&lt;&gt;"",$K820,$M820)</f>
        <v/>
      </c>
      <c r="O820" s="24" t="str">
        <f aca="false">IF($F820="","",IFERROR(INDEX(Counterparties!$C:$C,MATCH($F820&amp;"",Counterparties!$A:$A,0))&amp;"",""))</f>
        <v/>
      </c>
      <c r="P820" s="24" t="str">
        <f aca="false">IF($O820="","",IF($O820="CY","CY",IF(ISNUMBER(MATCH($O820,Lists!$A:$A,0)),"EU","3RD")))</f>
        <v/>
      </c>
      <c r="Q820" s="24" t="str">
        <f aca="false">IF($F820="","N",IFERROR(IF(INDEX(Counterparties!$E:$E,MATCH($F820&amp;"",Counterparties!$A:$A,0))="Y","Y","N"),"N"))</f>
        <v>N</v>
      </c>
      <c r="R820" s="25" t="n">
        <f aca="false">IF(OR($H820="",$H820="EUR"),1,IFERROR(INDEX(FX_Rates!$D:$D,MATCH($H820,FX_Rates!$A:$A,0)),""))</f>
        <v>1</v>
      </c>
      <c r="S820" s="26" t="str">
        <f aca="false">IF(AND($I820="",$J820=""),"",IF($J820&lt;&gt;"",$J820,IF(OR($R820="",$R820=0),"",ROUND($I820/$R820,2))))</f>
        <v/>
      </c>
      <c r="T820" s="24" t="str">
        <f aca="false">IF($N820="","",IFERROR(INDEX(VAT_Codes!$C:$C,MATCH($N820,VAT_Codes!$A:$A,0)),"")&amp;"")</f>
        <v/>
      </c>
      <c r="U820" s="26" t="n">
        <f aca="false">IF(OR($S820="",$T820="",$T820="None"),0,IF($T820="Output",-$S820,$S820))</f>
        <v>0</v>
      </c>
      <c r="V820" s="27" t="n">
        <f aca="false">IF($N820="",0,IFERROR(INDEX(VAT_Codes!$D:$D,MATCH($N820,VAT_Codes!$A:$A,0)),0))</f>
        <v>0</v>
      </c>
      <c r="W820" s="26" t="n">
        <f aca="false">IF($U820=0,0,IF(IFERROR(INDEX(VAT_Codes!$F:$F,MATCH($N820,VAT_Codes!$A:$A,0)),"N")="Y",$U820,IF($L820&lt;&gt;"",ROUND(ABS($L820)/IF(OR($R820="",$R820=0),1,$R820),2)*SIGN($U820),ROUND($U820*$V820,2))))</f>
        <v>0</v>
      </c>
      <c r="X820" s="24" t="str">
        <f aca="false">IF($N820="","",IFERROR(INDEX(VAT_Codes!$H:$H,MATCH($N820,VAT_Codes!$A:$A,0)),"")&amp;"")</f>
        <v/>
      </c>
      <c r="Y820" s="24" t="str">
        <f aca="false">IF($A820="","",(YEAR($A820)-YEAR(Settings!$C$8))*12+MONTH($A820)-MONTH(Settings!$C$8)+1)</f>
        <v/>
      </c>
      <c r="Z820" s="24" t="str">
        <f aca="false">IF(AND($C820="",$I820="",$J820=""),"",IF($N820="","NO VAT CODE",IF($T820="","UNKNOWN VAT CODE",IF($S820="","MISSING FX RATE",IF(OR($A820&lt;Settings!$C$8,$A820&gt;Settings!$C$9),"OUTSIDE PERIOD",IF(AND(IFERROR(INDEX(VAT_Codes!$E:$E,MATCH($N820,VAT_Codes!$A:$A,0)),"ANY")&lt;&gt;"ANY",$P820=""),"MISSING COUNTERPARTY COUNTRY",IF(AND(IFERROR(INDEX(VAT_Codes!$E:$E,MATCH($N820,VAT_Codes!$A:$A,0)),"ANY")&lt;&gt;"ANY",$P820&lt;&gt;IFERROR(INDEX(VAT_Codes!$E:$E,MATCH($N820,VAT_Codes!$A:$A,0)),"ANY")),"REGION MISMATCH","OK")))))))</f>
        <v/>
      </c>
    </row>
    <row r="821" customFormat="false" ht="15" hidden="false" customHeight="false" outlineLevel="0" collapsed="false">
      <c r="M821" s="24" t="str">
        <f aca="false">IF($C821="","",IFERROR(INDEX(Account_Mapping!$C:$C,MATCH($C821&amp;"",Account_Mapping!$A:$A,0))&amp;"",""))</f>
        <v/>
      </c>
      <c r="N821" s="24" t="str">
        <f aca="false">IF($K821&lt;&gt;"",$K821,$M821)</f>
        <v/>
      </c>
      <c r="O821" s="24" t="str">
        <f aca="false">IF($F821="","",IFERROR(INDEX(Counterparties!$C:$C,MATCH($F821&amp;"",Counterparties!$A:$A,0))&amp;"",""))</f>
        <v/>
      </c>
      <c r="P821" s="24" t="str">
        <f aca="false">IF($O821="","",IF($O821="CY","CY",IF(ISNUMBER(MATCH($O821,Lists!$A:$A,0)),"EU","3RD")))</f>
        <v/>
      </c>
      <c r="Q821" s="24" t="str">
        <f aca="false">IF($F821="","N",IFERROR(IF(INDEX(Counterparties!$E:$E,MATCH($F821&amp;"",Counterparties!$A:$A,0))="Y","Y","N"),"N"))</f>
        <v>N</v>
      </c>
      <c r="R821" s="25" t="n">
        <f aca="false">IF(OR($H821="",$H821="EUR"),1,IFERROR(INDEX(FX_Rates!$D:$D,MATCH($H821,FX_Rates!$A:$A,0)),""))</f>
        <v>1</v>
      </c>
      <c r="S821" s="26" t="str">
        <f aca="false">IF(AND($I821="",$J821=""),"",IF($J821&lt;&gt;"",$J821,IF(OR($R821="",$R821=0),"",ROUND($I821/$R821,2))))</f>
        <v/>
      </c>
      <c r="T821" s="24" t="str">
        <f aca="false">IF($N821="","",IFERROR(INDEX(VAT_Codes!$C:$C,MATCH($N821,VAT_Codes!$A:$A,0)),"")&amp;"")</f>
        <v/>
      </c>
      <c r="U821" s="26" t="n">
        <f aca="false">IF(OR($S821="",$T821="",$T821="None"),0,IF($T821="Output",-$S821,$S821))</f>
        <v>0</v>
      </c>
      <c r="V821" s="27" t="n">
        <f aca="false">IF($N821="",0,IFERROR(INDEX(VAT_Codes!$D:$D,MATCH($N821,VAT_Codes!$A:$A,0)),0))</f>
        <v>0</v>
      </c>
      <c r="W821" s="26" t="n">
        <f aca="false">IF($U821=0,0,IF(IFERROR(INDEX(VAT_Codes!$F:$F,MATCH($N821,VAT_Codes!$A:$A,0)),"N")="Y",$U821,IF($L821&lt;&gt;"",ROUND(ABS($L821)/IF(OR($R821="",$R821=0),1,$R821),2)*SIGN($U821),ROUND($U821*$V821,2))))</f>
        <v>0</v>
      </c>
      <c r="X821" s="24" t="str">
        <f aca="false">IF($N821="","",IFERROR(INDEX(VAT_Codes!$H:$H,MATCH($N821,VAT_Codes!$A:$A,0)),"")&amp;"")</f>
        <v/>
      </c>
      <c r="Y821" s="24" t="str">
        <f aca="false">IF($A821="","",(YEAR($A821)-YEAR(Settings!$C$8))*12+MONTH($A821)-MONTH(Settings!$C$8)+1)</f>
        <v/>
      </c>
      <c r="Z821" s="24" t="str">
        <f aca="false">IF(AND($C821="",$I821="",$J821=""),"",IF($N821="","NO VAT CODE",IF($T821="","UNKNOWN VAT CODE",IF($S821="","MISSING FX RATE",IF(OR($A821&lt;Settings!$C$8,$A821&gt;Settings!$C$9),"OUTSIDE PERIOD",IF(AND(IFERROR(INDEX(VAT_Codes!$E:$E,MATCH($N821,VAT_Codes!$A:$A,0)),"ANY")&lt;&gt;"ANY",$P821=""),"MISSING COUNTERPARTY COUNTRY",IF(AND(IFERROR(INDEX(VAT_Codes!$E:$E,MATCH($N821,VAT_Codes!$A:$A,0)),"ANY")&lt;&gt;"ANY",$P821&lt;&gt;IFERROR(INDEX(VAT_Codes!$E:$E,MATCH($N821,VAT_Codes!$A:$A,0)),"ANY")),"REGION MISMATCH","OK")))))))</f>
        <v/>
      </c>
    </row>
    <row r="822" customFormat="false" ht="15" hidden="false" customHeight="false" outlineLevel="0" collapsed="false">
      <c r="M822" s="24" t="str">
        <f aca="false">IF($C822="","",IFERROR(INDEX(Account_Mapping!$C:$C,MATCH($C822&amp;"",Account_Mapping!$A:$A,0))&amp;"",""))</f>
        <v/>
      </c>
      <c r="N822" s="24" t="str">
        <f aca="false">IF($K822&lt;&gt;"",$K822,$M822)</f>
        <v/>
      </c>
      <c r="O822" s="24" t="str">
        <f aca="false">IF($F822="","",IFERROR(INDEX(Counterparties!$C:$C,MATCH($F822&amp;"",Counterparties!$A:$A,0))&amp;"",""))</f>
        <v/>
      </c>
      <c r="P822" s="24" t="str">
        <f aca="false">IF($O822="","",IF($O822="CY","CY",IF(ISNUMBER(MATCH($O822,Lists!$A:$A,0)),"EU","3RD")))</f>
        <v/>
      </c>
      <c r="Q822" s="24" t="str">
        <f aca="false">IF($F822="","N",IFERROR(IF(INDEX(Counterparties!$E:$E,MATCH($F822&amp;"",Counterparties!$A:$A,0))="Y","Y","N"),"N"))</f>
        <v>N</v>
      </c>
      <c r="R822" s="25" t="n">
        <f aca="false">IF(OR($H822="",$H822="EUR"),1,IFERROR(INDEX(FX_Rates!$D:$D,MATCH($H822,FX_Rates!$A:$A,0)),""))</f>
        <v>1</v>
      </c>
      <c r="S822" s="26" t="str">
        <f aca="false">IF(AND($I822="",$J822=""),"",IF($J822&lt;&gt;"",$J822,IF(OR($R822="",$R822=0),"",ROUND($I822/$R822,2))))</f>
        <v/>
      </c>
      <c r="T822" s="24" t="str">
        <f aca="false">IF($N822="","",IFERROR(INDEX(VAT_Codes!$C:$C,MATCH($N822,VAT_Codes!$A:$A,0)),"")&amp;"")</f>
        <v/>
      </c>
      <c r="U822" s="26" t="n">
        <f aca="false">IF(OR($S822="",$T822="",$T822="None"),0,IF($T822="Output",-$S822,$S822))</f>
        <v>0</v>
      </c>
      <c r="V822" s="27" t="n">
        <f aca="false">IF($N822="",0,IFERROR(INDEX(VAT_Codes!$D:$D,MATCH($N822,VAT_Codes!$A:$A,0)),0))</f>
        <v>0</v>
      </c>
      <c r="W822" s="26" t="n">
        <f aca="false">IF($U822=0,0,IF(IFERROR(INDEX(VAT_Codes!$F:$F,MATCH($N822,VAT_Codes!$A:$A,0)),"N")="Y",$U822,IF($L822&lt;&gt;"",ROUND(ABS($L822)/IF(OR($R822="",$R822=0),1,$R822),2)*SIGN($U822),ROUND($U822*$V822,2))))</f>
        <v>0</v>
      </c>
      <c r="X822" s="24" t="str">
        <f aca="false">IF($N822="","",IFERROR(INDEX(VAT_Codes!$H:$H,MATCH($N822,VAT_Codes!$A:$A,0)),"")&amp;"")</f>
        <v/>
      </c>
      <c r="Y822" s="24" t="str">
        <f aca="false">IF($A822="","",(YEAR($A822)-YEAR(Settings!$C$8))*12+MONTH($A822)-MONTH(Settings!$C$8)+1)</f>
        <v/>
      </c>
      <c r="Z822" s="24" t="str">
        <f aca="false">IF(AND($C822="",$I822="",$J822=""),"",IF($N822="","NO VAT CODE",IF($T822="","UNKNOWN VAT CODE",IF($S822="","MISSING FX RATE",IF(OR($A822&lt;Settings!$C$8,$A822&gt;Settings!$C$9),"OUTSIDE PERIOD",IF(AND(IFERROR(INDEX(VAT_Codes!$E:$E,MATCH($N822,VAT_Codes!$A:$A,0)),"ANY")&lt;&gt;"ANY",$P822=""),"MISSING COUNTERPARTY COUNTRY",IF(AND(IFERROR(INDEX(VAT_Codes!$E:$E,MATCH($N822,VAT_Codes!$A:$A,0)),"ANY")&lt;&gt;"ANY",$P822&lt;&gt;IFERROR(INDEX(VAT_Codes!$E:$E,MATCH($N822,VAT_Codes!$A:$A,0)),"ANY")),"REGION MISMATCH","OK")))))))</f>
        <v/>
      </c>
    </row>
    <row r="823" customFormat="false" ht="15" hidden="false" customHeight="false" outlineLevel="0" collapsed="false">
      <c r="M823" s="24" t="str">
        <f aca="false">IF($C823="","",IFERROR(INDEX(Account_Mapping!$C:$C,MATCH($C823&amp;"",Account_Mapping!$A:$A,0))&amp;"",""))</f>
        <v/>
      </c>
      <c r="N823" s="24" t="str">
        <f aca="false">IF($K823&lt;&gt;"",$K823,$M823)</f>
        <v/>
      </c>
      <c r="O823" s="24" t="str">
        <f aca="false">IF($F823="","",IFERROR(INDEX(Counterparties!$C:$C,MATCH($F823&amp;"",Counterparties!$A:$A,0))&amp;"",""))</f>
        <v/>
      </c>
      <c r="P823" s="24" t="str">
        <f aca="false">IF($O823="","",IF($O823="CY","CY",IF(ISNUMBER(MATCH($O823,Lists!$A:$A,0)),"EU","3RD")))</f>
        <v/>
      </c>
      <c r="Q823" s="24" t="str">
        <f aca="false">IF($F823="","N",IFERROR(IF(INDEX(Counterparties!$E:$E,MATCH($F823&amp;"",Counterparties!$A:$A,0))="Y","Y","N"),"N"))</f>
        <v>N</v>
      </c>
      <c r="R823" s="25" t="n">
        <f aca="false">IF(OR($H823="",$H823="EUR"),1,IFERROR(INDEX(FX_Rates!$D:$D,MATCH($H823,FX_Rates!$A:$A,0)),""))</f>
        <v>1</v>
      </c>
      <c r="S823" s="26" t="str">
        <f aca="false">IF(AND($I823="",$J823=""),"",IF($J823&lt;&gt;"",$J823,IF(OR($R823="",$R823=0),"",ROUND($I823/$R823,2))))</f>
        <v/>
      </c>
      <c r="T823" s="24" t="str">
        <f aca="false">IF($N823="","",IFERROR(INDEX(VAT_Codes!$C:$C,MATCH($N823,VAT_Codes!$A:$A,0)),"")&amp;"")</f>
        <v/>
      </c>
      <c r="U823" s="26" t="n">
        <f aca="false">IF(OR($S823="",$T823="",$T823="None"),0,IF($T823="Output",-$S823,$S823))</f>
        <v>0</v>
      </c>
      <c r="V823" s="27" t="n">
        <f aca="false">IF($N823="",0,IFERROR(INDEX(VAT_Codes!$D:$D,MATCH($N823,VAT_Codes!$A:$A,0)),0))</f>
        <v>0</v>
      </c>
      <c r="W823" s="26" t="n">
        <f aca="false">IF($U823=0,0,IF(IFERROR(INDEX(VAT_Codes!$F:$F,MATCH($N823,VAT_Codes!$A:$A,0)),"N")="Y",$U823,IF($L823&lt;&gt;"",ROUND(ABS($L823)/IF(OR($R823="",$R823=0),1,$R823),2)*SIGN($U823),ROUND($U823*$V823,2))))</f>
        <v>0</v>
      </c>
      <c r="X823" s="24" t="str">
        <f aca="false">IF($N823="","",IFERROR(INDEX(VAT_Codes!$H:$H,MATCH($N823,VAT_Codes!$A:$A,0)),"")&amp;"")</f>
        <v/>
      </c>
      <c r="Y823" s="24" t="str">
        <f aca="false">IF($A823="","",(YEAR($A823)-YEAR(Settings!$C$8))*12+MONTH($A823)-MONTH(Settings!$C$8)+1)</f>
        <v/>
      </c>
      <c r="Z823" s="24" t="str">
        <f aca="false">IF(AND($C823="",$I823="",$J823=""),"",IF($N823="","NO VAT CODE",IF($T823="","UNKNOWN VAT CODE",IF($S823="","MISSING FX RATE",IF(OR($A823&lt;Settings!$C$8,$A823&gt;Settings!$C$9),"OUTSIDE PERIOD",IF(AND(IFERROR(INDEX(VAT_Codes!$E:$E,MATCH($N823,VAT_Codes!$A:$A,0)),"ANY")&lt;&gt;"ANY",$P823=""),"MISSING COUNTERPARTY COUNTRY",IF(AND(IFERROR(INDEX(VAT_Codes!$E:$E,MATCH($N823,VAT_Codes!$A:$A,0)),"ANY")&lt;&gt;"ANY",$P823&lt;&gt;IFERROR(INDEX(VAT_Codes!$E:$E,MATCH($N823,VAT_Codes!$A:$A,0)),"ANY")),"REGION MISMATCH","OK")))))))</f>
        <v/>
      </c>
    </row>
    <row r="824" customFormat="false" ht="15" hidden="false" customHeight="false" outlineLevel="0" collapsed="false">
      <c r="M824" s="24" t="str">
        <f aca="false">IF($C824="","",IFERROR(INDEX(Account_Mapping!$C:$C,MATCH($C824&amp;"",Account_Mapping!$A:$A,0))&amp;"",""))</f>
        <v/>
      </c>
      <c r="N824" s="24" t="str">
        <f aca="false">IF($K824&lt;&gt;"",$K824,$M824)</f>
        <v/>
      </c>
      <c r="O824" s="24" t="str">
        <f aca="false">IF($F824="","",IFERROR(INDEX(Counterparties!$C:$C,MATCH($F824&amp;"",Counterparties!$A:$A,0))&amp;"",""))</f>
        <v/>
      </c>
      <c r="P824" s="24" t="str">
        <f aca="false">IF($O824="","",IF($O824="CY","CY",IF(ISNUMBER(MATCH($O824,Lists!$A:$A,0)),"EU","3RD")))</f>
        <v/>
      </c>
      <c r="Q824" s="24" t="str">
        <f aca="false">IF($F824="","N",IFERROR(IF(INDEX(Counterparties!$E:$E,MATCH($F824&amp;"",Counterparties!$A:$A,0))="Y","Y","N"),"N"))</f>
        <v>N</v>
      </c>
      <c r="R824" s="25" t="n">
        <f aca="false">IF(OR($H824="",$H824="EUR"),1,IFERROR(INDEX(FX_Rates!$D:$D,MATCH($H824,FX_Rates!$A:$A,0)),""))</f>
        <v>1</v>
      </c>
      <c r="S824" s="26" t="str">
        <f aca="false">IF(AND($I824="",$J824=""),"",IF($J824&lt;&gt;"",$J824,IF(OR($R824="",$R824=0),"",ROUND($I824/$R824,2))))</f>
        <v/>
      </c>
      <c r="T824" s="24" t="str">
        <f aca="false">IF($N824="","",IFERROR(INDEX(VAT_Codes!$C:$C,MATCH($N824,VAT_Codes!$A:$A,0)),"")&amp;"")</f>
        <v/>
      </c>
      <c r="U824" s="26" t="n">
        <f aca="false">IF(OR($S824="",$T824="",$T824="None"),0,IF($T824="Output",-$S824,$S824))</f>
        <v>0</v>
      </c>
      <c r="V824" s="27" t="n">
        <f aca="false">IF($N824="",0,IFERROR(INDEX(VAT_Codes!$D:$D,MATCH($N824,VAT_Codes!$A:$A,0)),0))</f>
        <v>0</v>
      </c>
      <c r="W824" s="26" t="n">
        <f aca="false">IF($U824=0,0,IF(IFERROR(INDEX(VAT_Codes!$F:$F,MATCH($N824,VAT_Codes!$A:$A,0)),"N")="Y",$U824,IF($L824&lt;&gt;"",ROUND(ABS($L824)/IF(OR($R824="",$R824=0),1,$R824),2)*SIGN($U824),ROUND($U824*$V824,2))))</f>
        <v>0</v>
      </c>
      <c r="X824" s="24" t="str">
        <f aca="false">IF($N824="","",IFERROR(INDEX(VAT_Codes!$H:$H,MATCH($N824,VAT_Codes!$A:$A,0)),"")&amp;"")</f>
        <v/>
      </c>
      <c r="Y824" s="24" t="str">
        <f aca="false">IF($A824="","",(YEAR($A824)-YEAR(Settings!$C$8))*12+MONTH($A824)-MONTH(Settings!$C$8)+1)</f>
        <v/>
      </c>
      <c r="Z824" s="24" t="str">
        <f aca="false">IF(AND($C824="",$I824="",$J824=""),"",IF($N824="","NO VAT CODE",IF($T824="","UNKNOWN VAT CODE",IF($S824="","MISSING FX RATE",IF(OR($A824&lt;Settings!$C$8,$A824&gt;Settings!$C$9),"OUTSIDE PERIOD",IF(AND(IFERROR(INDEX(VAT_Codes!$E:$E,MATCH($N824,VAT_Codes!$A:$A,0)),"ANY")&lt;&gt;"ANY",$P824=""),"MISSING COUNTERPARTY COUNTRY",IF(AND(IFERROR(INDEX(VAT_Codes!$E:$E,MATCH($N824,VAT_Codes!$A:$A,0)),"ANY")&lt;&gt;"ANY",$P824&lt;&gt;IFERROR(INDEX(VAT_Codes!$E:$E,MATCH($N824,VAT_Codes!$A:$A,0)),"ANY")),"REGION MISMATCH","OK")))))))</f>
        <v/>
      </c>
    </row>
    <row r="825" customFormat="false" ht="15" hidden="false" customHeight="false" outlineLevel="0" collapsed="false">
      <c r="M825" s="24" t="str">
        <f aca="false">IF($C825="","",IFERROR(INDEX(Account_Mapping!$C:$C,MATCH($C825&amp;"",Account_Mapping!$A:$A,0))&amp;"",""))</f>
        <v/>
      </c>
      <c r="N825" s="24" t="str">
        <f aca="false">IF($K825&lt;&gt;"",$K825,$M825)</f>
        <v/>
      </c>
      <c r="O825" s="24" t="str">
        <f aca="false">IF($F825="","",IFERROR(INDEX(Counterparties!$C:$C,MATCH($F825&amp;"",Counterparties!$A:$A,0))&amp;"",""))</f>
        <v/>
      </c>
      <c r="P825" s="24" t="str">
        <f aca="false">IF($O825="","",IF($O825="CY","CY",IF(ISNUMBER(MATCH($O825,Lists!$A:$A,0)),"EU","3RD")))</f>
        <v/>
      </c>
      <c r="Q825" s="24" t="str">
        <f aca="false">IF($F825="","N",IFERROR(IF(INDEX(Counterparties!$E:$E,MATCH($F825&amp;"",Counterparties!$A:$A,0))="Y","Y","N"),"N"))</f>
        <v>N</v>
      </c>
      <c r="R825" s="25" t="n">
        <f aca="false">IF(OR($H825="",$H825="EUR"),1,IFERROR(INDEX(FX_Rates!$D:$D,MATCH($H825,FX_Rates!$A:$A,0)),""))</f>
        <v>1</v>
      </c>
      <c r="S825" s="26" t="str">
        <f aca="false">IF(AND($I825="",$J825=""),"",IF($J825&lt;&gt;"",$J825,IF(OR($R825="",$R825=0),"",ROUND($I825/$R825,2))))</f>
        <v/>
      </c>
      <c r="T825" s="24" t="str">
        <f aca="false">IF($N825="","",IFERROR(INDEX(VAT_Codes!$C:$C,MATCH($N825,VAT_Codes!$A:$A,0)),"")&amp;"")</f>
        <v/>
      </c>
      <c r="U825" s="26" t="n">
        <f aca="false">IF(OR($S825="",$T825="",$T825="None"),0,IF($T825="Output",-$S825,$S825))</f>
        <v>0</v>
      </c>
      <c r="V825" s="27" t="n">
        <f aca="false">IF($N825="",0,IFERROR(INDEX(VAT_Codes!$D:$D,MATCH($N825,VAT_Codes!$A:$A,0)),0))</f>
        <v>0</v>
      </c>
      <c r="W825" s="26" t="n">
        <f aca="false">IF($U825=0,0,IF(IFERROR(INDEX(VAT_Codes!$F:$F,MATCH($N825,VAT_Codes!$A:$A,0)),"N")="Y",$U825,IF($L825&lt;&gt;"",ROUND(ABS($L825)/IF(OR($R825="",$R825=0),1,$R825),2)*SIGN($U825),ROUND($U825*$V825,2))))</f>
        <v>0</v>
      </c>
      <c r="X825" s="24" t="str">
        <f aca="false">IF($N825="","",IFERROR(INDEX(VAT_Codes!$H:$H,MATCH($N825,VAT_Codes!$A:$A,0)),"")&amp;"")</f>
        <v/>
      </c>
      <c r="Y825" s="24" t="str">
        <f aca="false">IF($A825="","",(YEAR($A825)-YEAR(Settings!$C$8))*12+MONTH($A825)-MONTH(Settings!$C$8)+1)</f>
        <v/>
      </c>
      <c r="Z825" s="24" t="str">
        <f aca="false">IF(AND($C825="",$I825="",$J825=""),"",IF($N825="","NO VAT CODE",IF($T825="","UNKNOWN VAT CODE",IF($S825="","MISSING FX RATE",IF(OR($A825&lt;Settings!$C$8,$A825&gt;Settings!$C$9),"OUTSIDE PERIOD",IF(AND(IFERROR(INDEX(VAT_Codes!$E:$E,MATCH($N825,VAT_Codes!$A:$A,0)),"ANY")&lt;&gt;"ANY",$P825=""),"MISSING COUNTERPARTY COUNTRY",IF(AND(IFERROR(INDEX(VAT_Codes!$E:$E,MATCH($N825,VAT_Codes!$A:$A,0)),"ANY")&lt;&gt;"ANY",$P825&lt;&gt;IFERROR(INDEX(VAT_Codes!$E:$E,MATCH($N825,VAT_Codes!$A:$A,0)),"ANY")),"REGION MISMATCH","OK")))))))</f>
        <v/>
      </c>
    </row>
    <row r="826" customFormat="false" ht="15" hidden="false" customHeight="false" outlineLevel="0" collapsed="false">
      <c r="M826" s="24" t="str">
        <f aca="false">IF($C826="","",IFERROR(INDEX(Account_Mapping!$C:$C,MATCH($C826&amp;"",Account_Mapping!$A:$A,0))&amp;"",""))</f>
        <v/>
      </c>
      <c r="N826" s="24" t="str">
        <f aca="false">IF($K826&lt;&gt;"",$K826,$M826)</f>
        <v/>
      </c>
      <c r="O826" s="24" t="str">
        <f aca="false">IF($F826="","",IFERROR(INDEX(Counterparties!$C:$C,MATCH($F826&amp;"",Counterparties!$A:$A,0))&amp;"",""))</f>
        <v/>
      </c>
      <c r="P826" s="24" t="str">
        <f aca="false">IF($O826="","",IF($O826="CY","CY",IF(ISNUMBER(MATCH($O826,Lists!$A:$A,0)),"EU","3RD")))</f>
        <v/>
      </c>
      <c r="Q826" s="24" t="str">
        <f aca="false">IF($F826="","N",IFERROR(IF(INDEX(Counterparties!$E:$E,MATCH($F826&amp;"",Counterparties!$A:$A,0))="Y","Y","N"),"N"))</f>
        <v>N</v>
      </c>
      <c r="R826" s="25" t="n">
        <f aca="false">IF(OR($H826="",$H826="EUR"),1,IFERROR(INDEX(FX_Rates!$D:$D,MATCH($H826,FX_Rates!$A:$A,0)),""))</f>
        <v>1</v>
      </c>
      <c r="S826" s="26" t="str">
        <f aca="false">IF(AND($I826="",$J826=""),"",IF($J826&lt;&gt;"",$J826,IF(OR($R826="",$R826=0),"",ROUND($I826/$R826,2))))</f>
        <v/>
      </c>
      <c r="T826" s="24" t="str">
        <f aca="false">IF($N826="","",IFERROR(INDEX(VAT_Codes!$C:$C,MATCH($N826,VAT_Codes!$A:$A,0)),"")&amp;"")</f>
        <v/>
      </c>
      <c r="U826" s="26" t="n">
        <f aca="false">IF(OR($S826="",$T826="",$T826="None"),0,IF($T826="Output",-$S826,$S826))</f>
        <v>0</v>
      </c>
      <c r="V826" s="27" t="n">
        <f aca="false">IF($N826="",0,IFERROR(INDEX(VAT_Codes!$D:$D,MATCH($N826,VAT_Codes!$A:$A,0)),0))</f>
        <v>0</v>
      </c>
      <c r="W826" s="26" t="n">
        <f aca="false">IF($U826=0,0,IF(IFERROR(INDEX(VAT_Codes!$F:$F,MATCH($N826,VAT_Codes!$A:$A,0)),"N")="Y",$U826,IF($L826&lt;&gt;"",ROUND(ABS($L826)/IF(OR($R826="",$R826=0),1,$R826),2)*SIGN($U826),ROUND($U826*$V826,2))))</f>
        <v>0</v>
      </c>
      <c r="X826" s="24" t="str">
        <f aca="false">IF($N826="","",IFERROR(INDEX(VAT_Codes!$H:$H,MATCH($N826,VAT_Codes!$A:$A,0)),"")&amp;"")</f>
        <v/>
      </c>
      <c r="Y826" s="24" t="str">
        <f aca="false">IF($A826="","",(YEAR($A826)-YEAR(Settings!$C$8))*12+MONTH($A826)-MONTH(Settings!$C$8)+1)</f>
        <v/>
      </c>
      <c r="Z826" s="24" t="str">
        <f aca="false">IF(AND($C826="",$I826="",$J826=""),"",IF($N826="","NO VAT CODE",IF($T826="","UNKNOWN VAT CODE",IF($S826="","MISSING FX RATE",IF(OR($A826&lt;Settings!$C$8,$A826&gt;Settings!$C$9),"OUTSIDE PERIOD",IF(AND(IFERROR(INDEX(VAT_Codes!$E:$E,MATCH($N826,VAT_Codes!$A:$A,0)),"ANY")&lt;&gt;"ANY",$P826=""),"MISSING COUNTERPARTY COUNTRY",IF(AND(IFERROR(INDEX(VAT_Codes!$E:$E,MATCH($N826,VAT_Codes!$A:$A,0)),"ANY")&lt;&gt;"ANY",$P826&lt;&gt;IFERROR(INDEX(VAT_Codes!$E:$E,MATCH($N826,VAT_Codes!$A:$A,0)),"ANY")),"REGION MISMATCH","OK")))))))</f>
        <v/>
      </c>
    </row>
    <row r="827" customFormat="false" ht="15" hidden="false" customHeight="false" outlineLevel="0" collapsed="false">
      <c r="M827" s="24" t="str">
        <f aca="false">IF($C827="","",IFERROR(INDEX(Account_Mapping!$C:$C,MATCH($C827&amp;"",Account_Mapping!$A:$A,0))&amp;"",""))</f>
        <v/>
      </c>
      <c r="N827" s="24" t="str">
        <f aca="false">IF($K827&lt;&gt;"",$K827,$M827)</f>
        <v/>
      </c>
      <c r="O827" s="24" t="str">
        <f aca="false">IF($F827="","",IFERROR(INDEX(Counterparties!$C:$C,MATCH($F827&amp;"",Counterparties!$A:$A,0))&amp;"",""))</f>
        <v/>
      </c>
      <c r="P827" s="24" t="str">
        <f aca="false">IF($O827="","",IF($O827="CY","CY",IF(ISNUMBER(MATCH($O827,Lists!$A:$A,0)),"EU","3RD")))</f>
        <v/>
      </c>
      <c r="Q827" s="24" t="str">
        <f aca="false">IF($F827="","N",IFERROR(IF(INDEX(Counterparties!$E:$E,MATCH($F827&amp;"",Counterparties!$A:$A,0))="Y","Y","N"),"N"))</f>
        <v>N</v>
      </c>
      <c r="R827" s="25" t="n">
        <f aca="false">IF(OR($H827="",$H827="EUR"),1,IFERROR(INDEX(FX_Rates!$D:$D,MATCH($H827,FX_Rates!$A:$A,0)),""))</f>
        <v>1</v>
      </c>
      <c r="S827" s="26" t="str">
        <f aca="false">IF(AND($I827="",$J827=""),"",IF($J827&lt;&gt;"",$J827,IF(OR($R827="",$R827=0),"",ROUND($I827/$R827,2))))</f>
        <v/>
      </c>
      <c r="T827" s="24" t="str">
        <f aca="false">IF($N827="","",IFERROR(INDEX(VAT_Codes!$C:$C,MATCH($N827,VAT_Codes!$A:$A,0)),"")&amp;"")</f>
        <v/>
      </c>
      <c r="U827" s="26" t="n">
        <f aca="false">IF(OR($S827="",$T827="",$T827="None"),0,IF($T827="Output",-$S827,$S827))</f>
        <v>0</v>
      </c>
      <c r="V827" s="27" t="n">
        <f aca="false">IF($N827="",0,IFERROR(INDEX(VAT_Codes!$D:$D,MATCH($N827,VAT_Codes!$A:$A,0)),0))</f>
        <v>0</v>
      </c>
      <c r="W827" s="26" t="n">
        <f aca="false">IF($U827=0,0,IF(IFERROR(INDEX(VAT_Codes!$F:$F,MATCH($N827,VAT_Codes!$A:$A,0)),"N")="Y",$U827,IF($L827&lt;&gt;"",ROUND(ABS($L827)/IF(OR($R827="",$R827=0),1,$R827),2)*SIGN($U827),ROUND($U827*$V827,2))))</f>
        <v>0</v>
      </c>
      <c r="X827" s="24" t="str">
        <f aca="false">IF($N827="","",IFERROR(INDEX(VAT_Codes!$H:$H,MATCH($N827,VAT_Codes!$A:$A,0)),"")&amp;"")</f>
        <v/>
      </c>
      <c r="Y827" s="24" t="str">
        <f aca="false">IF($A827="","",(YEAR($A827)-YEAR(Settings!$C$8))*12+MONTH($A827)-MONTH(Settings!$C$8)+1)</f>
        <v/>
      </c>
      <c r="Z827" s="24" t="str">
        <f aca="false">IF(AND($C827="",$I827="",$J827=""),"",IF($N827="","NO VAT CODE",IF($T827="","UNKNOWN VAT CODE",IF($S827="","MISSING FX RATE",IF(OR($A827&lt;Settings!$C$8,$A827&gt;Settings!$C$9),"OUTSIDE PERIOD",IF(AND(IFERROR(INDEX(VAT_Codes!$E:$E,MATCH($N827,VAT_Codes!$A:$A,0)),"ANY")&lt;&gt;"ANY",$P827=""),"MISSING COUNTERPARTY COUNTRY",IF(AND(IFERROR(INDEX(VAT_Codes!$E:$E,MATCH($N827,VAT_Codes!$A:$A,0)),"ANY")&lt;&gt;"ANY",$P827&lt;&gt;IFERROR(INDEX(VAT_Codes!$E:$E,MATCH($N827,VAT_Codes!$A:$A,0)),"ANY")),"REGION MISMATCH","OK")))))))</f>
        <v/>
      </c>
    </row>
    <row r="828" customFormat="false" ht="15" hidden="false" customHeight="false" outlineLevel="0" collapsed="false">
      <c r="M828" s="24" t="str">
        <f aca="false">IF($C828="","",IFERROR(INDEX(Account_Mapping!$C:$C,MATCH($C828&amp;"",Account_Mapping!$A:$A,0))&amp;"",""))</f>
        <v/>
      </c>
      <c r="N828" s="24" t="str">
        <f aca="false">IF($K828&lt;&gt;"",$K828,$M828)</f>
        <v/>
      </c>
      <c r="O828" s="24" t="str">
        <f aca="false">IF($F828="","",IFERROR(INDEX(Counterparties!$C:$C,MATCH($F828&amp;"",Counterparties!$A:$A,0))&amp;"",""))</f>
        <v/>
      </c>
      <c r="P828" s="24" t="str">
        <f aca="false">IF($O828="","",IF($O828="CY","CY",IF(ISNUMBER(MATCH($O828,Lists!$A:$A,0)),"EU","3RD")))</f>
        <v/>
      </c>
      <c r="Q828" s="24" t="str">
        <f aca="false">IF($F828="","N",IFERROR(IF(INDEX(Counterparties!$E:$E,MATCH($F828&amp;"",Counterparties!$A:$A,0))="Y","Y","N"),"N"))</f>
        <v>N</v>
      </c>
      <c r="R828" s="25" t="n">
        <f aca="false">IF(OR($H828="",$H828="EUR"),1,IFERROR(INDEX(FX_Rates!$D:$D,MATCH($H828,FX_Rates!$A:$A,0)),""))</f>
        <v>1</v>
      </c>
      <c r="S828" s="26" t="str">
        <f aca="false">IF(AND($I828="",$J828=""),"",IF($J828&lt;&gt;"",$J828,IF(OR($R828="",$R828=0),"",ROUND($I828/$R828,2))))</f>
        <v/>
      </c>
      <c r="T828" s="24" t="str">
        <f aca="false">IF($N828="","",IFERROR(INDEX(VAT_Codes!$C:$C,MATCH($N828,VAT_Codes!$A:$A,0)),"")&amp;"")</f>
        <v/>
      </c>
      <c r="U828" s="26" t="n">
        <f aca="false">IF(OR($S828="",$T828="",$T828="None"),0,IF($T828="Output",-$S828,$S828))</f>
        <v>0</v>
      </c>
      <c r="V828" s="27" t="n">
        <f aca="false">IF($N828="",0,IFERROR(INDEX(VAT_Codes!$D:$D,MATCH($N828,VAT_Codes!$A:$A,0)),0))</f>
        <v>0</v>
      </c>
      <c r="W828" s="26" t="n">
        <f aca="false">IF($U828=0,0,IF(IFERROR(INDEX(VAT_Codes!$F:$F,MATCH($N828,VAT_Codes!$A:$A,0)),"N")="Y",$U828,IF($L828&lt;&gt;"",ROUND(ABS($L828)/IF(OR($R828="",$R828=0),1,$R828),2)*SIGN($U828),ROUND($U828*$V828,2))))</f>
        <v>0</v>
      </c>
      <c r="X828" s="24" t="str">
        <f aca="false">IF($N828="","",IFERROR(INDEX(VAT_Codes!$H:$H,MATCH($N828,VAT_Codes!$A:$A,0)),"")&amp;"")</f>
        <v/>
      </c>
      <c r="Y828" s="24" t="str">
        <f aca="false">IF($A828="","",(YEAR($A828)-YEAR(Settings!$C$8))*12+MONTH($A828)-MONTH(Settings!$C$8)+1)</f>
        <v/>
      </c>
      <c r="Z828" s="24" t="str">
        <f aca="false">IF(AND($C828="",$I828="",$J828=""),"",IF($N828="","NO VAT CODE",IF($T828="","UNKNOWN VAT CODE",IF($S828="","MISSING FX RATE",IF(OR($A828&lt;Settings!$C$8,$A828&gt;Settings!$C$9),"OUTSIDE PERIOD",IF(AND(IFERROR(INDEX(VAT_Codes!$E:$E,MATCH($N828,VAT_Codes!$A:$A,0)),"ANY")&lt;&gt;"ANY",$P828=""),"MISSING COUNTERPARTY COUNTRY",IF(AND(IFERROR(INDEX(VAT_Codes!$E:$E,MATCH($N828,VAT_Codes!$A:$A,0)),"ANY")&lt;&gt;"ANY",$P828&lt;&gt;IFERROR(INDEX(VAT_Codes!$E:$E,MATCH($N828,VAT_Codes!$A:$A,0)),"ANY")),"REGION MISMATCH","OK")))))))</f>
        <v/>
      </c>
    </row>
    <row r="829" customFormat="false" ht="15" hidden="false" customHeight="false" outlineLevel="0" collapsed="false">
      <c r="M829" s="24" t="str">
        <f aca="false">IF($C829="","",IFERROR(INDEX(Account_Mapping!$C:$C,MATCH($C829&amp;"",Account_Mapping!$A:$A,0))&amp;"",""))</f>
        <v/>
      </c>
      <c r="N829" s="24" t="str">
        <f aca="false">IF($K829&lt;&gt;"",$K829,$M829)</f>
        <v/>
      </c>
      <c r="O829" s="24" t="str">
        <f aca="false">IF($F829="","",IFERROR(INDEX(Counterparties!$C:$C,MATCH($F829&amp;"",Counterparties!$A:$A,0))&amp;"",""))</f>
        <v/>
      </c>
      <c r="P829" s="24" t="str">
        <f aca="false">IF($O829="","",IF($O829="CY","CY",IF(ISNUMBER(MATCH($O829,Lists!$A:$A,0)),"EU","3RD")))</f>
        <v/>
      </c>
      <c r="Q829" s="24" t="str">
        <f aca="false">IF($F829="","N",IFERROR(IF(INDEX(Counterparties!$E:$E,MATCH($F829&amp;"",Counterparties!$A:$A,0))="Y","Y","N"),"N"))</f>
        <v>N</v>
      </c>
      <c r="R829" s="25" t="n">
        <f aca="false">IF(OR($H829="",$H829="EUR"),1,IFERROR(INDEX(FX_Rates!$D:$D,MATCH($H829,FX_Rates!$A:$A,0)),""))</f>
        <v>1</v>
      </c>
      <c r="S829" s="26" t="str">
        <f aca="false">IF(AND($I829="",$J829=""),"",IF($J829&lt;&gt;"",$J829,IF(OR($R829="",$R829=0),"",ROUND($I829/$R829,2))))</f>
        <v/>
      </c>
      <c r="T829" s="24" t="str">
        <f aca="false">IF($N829="","",IFERROR(INDEX(VAT_Codes!$C:$C,MATCH($N829,VAT_Codes!$A:$A,0)),"")&amp;"")</f>
        <v/>
      </c>
      <c r="U829" s="26" t="n">
        <f aca="false">IF(OR($S829="",$T829="",$T829="None"),0,IF($T829="Output",-$S829,$S829))</f>
        <v>0</v>
      </c>
      <c r="V829" s="27" t="n">
        <f aca="false">IF($N829="",0,IFERROR(INDEX(VAT_Codes!$D:$D,MATCH($N829,VAT_Codes!$A:$A,0)),0))</f>
        <v>0</v>
      </c>
      <c r="W829" s="26" t="n">
        <f aca="false">IF($U829=0,0,IF(IFERROR(INDEX(VAT_Codes!$F:$F,MATCH($N829,VAT_Codes!$A:$A,0)),"N")="Y",$U829,IF($L829&lt;&gt;"",ROUND(ABS($L829)/IF(OR($R829="",$R829=0),1,$R829),2)*SIGN($U829),ROUND($U829*$V829,2))))</f>
        <v>0</v>
      </c>
      <c r="X829" s="24" t="str">
        <f aca="false">IF($N829="","",IFERROR(INDEX(VAT_Codes!$H:$H,MATCH($N829,VAT_Codes!$A:$A,0)),"")&amp;"")</f>
        <v/>
      </c>
      <c r="Y829" s="24" t="str">
        <f aca="false">IF($A829="","",(YEAR($A829)-YEAR(Settings!$C$8))*12+MONTH($A829)-MONTH(Settings!$C$8)+1)</f>
        <v/>
      </c>
      <c r="Z829" s="24" t="str">
        <f aca="false">IF(AND($C829="",$I829="",$J829=""),"",IF($N829="","NO VAT CODE",IF($T829="","UNKNOWN VAT CODE",IF($S829="","MISSING FX RATE",IF(OR($A829&lt;Settings!$C$8,$A829&gt;Settings!$C$9),"OUTSIDE PERIOD",IF(AND(IFERROR(INDEX(VAT_Codes!$E:$E,MATCH($N829,VAT_Codes!$A:$A,0)),"ANY")&lt;&gt;"ANY",$P829=""),"MISSING COUNTERPARTY COUNTRY",IF(AND(IFERROR(INDEX(VAT_Codes!$E:$E,MATCH($N829,VAT_Codes!$A:$A,0)),"ANY")&lt;&gt;"ANY",$P829&lt;&gt;IFERROR(INDEX(VAT_Codes!$E:$E,MATCH($N829,VAT_Codes!$A:$A,0)),"ANY")),"REGION MISMATCH","OK")))))))</f>
        <v/>
      </c>
    </row>
    <row r="830" customFormat="false" ht="15" hidden="false" customHeight="false" outlineLevel="0" collapsed="false">
      <c r="M830" s="24" t="str">
        <f aca="false">IF($C830="","",IFERROR(INDEX(Account_Mapping!$C:$C,MATCH($C830&amp;"",Account_Mapping!$A:$A,0))&amp;"",""))</f>
        <v/>
      </c>
      <c r="N830" s="24" t="str">
        <f aca="false">IF($K830&lt;&gt;"",$K830,$M830)</f>
        <v/>
      </c>
      <c r="O830" s="24" t="str">
        <f aca="false">IF($F830="","",IFERROR(INDEX(Counterparties!$C:$C,MATCH($F830&amp;"",Counterparties!$A:$A,0))&amp;"",""))</f>
        <v/>
      </c>
      <c r="P830" s="24" t="str">
        <f aca="false">IF($O830="","",IF($O830="CY","CY",IF(ISNUMBER(MATCH($O830,Lists!$A:$A,0)),"EU","3RD")))</f>
        <v/>
      </c>
      <c r="Q830" s="24" t="str">
        <f aca="false">IF($F830="","N",IFERROR(IF(INDEX(Counterparties!$E:$E,MATCH($F830&amp;"",Counterparties!$A:$A,0))="Y","Y","N"),"N"))</f>
        <v>N</v>
      </c>
      <c r="R830" s="25" t="n">
        <f aca="false">IF(OR($H830="",$H830="EUR"),1,IFERROR(INDEX(FX_Rates!$D:$D,MATCH($H830,FX_Rates!$A:$A,0)),""))</f>
        <v>1</v>
      </c>
      <c r="S830" s="26" t="str">
        <f aca="false">IF(AND($I830="",$J830=""),"",IF($J830&lt;&gt;"",$J830,IF(OR($R830="",$R830=0),"",ROUND($I830/$R830,2))))</f>
        <v/>
      </c>
      <c r="T830" s="24" t="str">
        <f aca="false">IF($N830="","",IFERROR(INDEX(VAT_Codes!$C:$C,MATCH($N830,VAT_Codes!$A:$A,0)),"")&amp;"")</f>
        <v/>
      </c>
      <c r="U830" s="26" t="n">
        <f aca="false">IF(OR($S830="",$T830="",$T830="None"),0,IF($T830="Output",-$S830,$S830))</f>
        <v>0</v>
      </c>
      <c r="V830" s="27" t="n">
        <f aca="false">IF($N830="",0,IFERROR(INDEX(VAT_Codes!$D:$D,MATCH($N830,VAT_Codes!$A:$A,0)),0))</f>
        <v>0</v>
      </c>
      <c r="W830" s="26" t="n">
        <f aca="false">IF($U830=0,0,IF(IFERROR(INDEX(VAT_Codes!$F:$F,MATCH($N830,VAT_Codes!$A:$A,0)),"N")="Y",$U830,IF($L830&lt;&gt;"",ROUND(ABS($L830)/IF(OR($R830="",$R830=0),1,$R830),2)*SIGN($U830),ROUND($U830*$V830,2))))</f>
        <v>0</v>
      </c>
      <c r="X830" s="24" t="str">
        <f aca="false">IF($N830="","",IFERROR(INDEX(VAT_Codes!$H:$H,MATCH($N830,VAT_Codes!$A:$A,0)),"")&amp;"")</f>
        <v/>
      </c>
      <c r="Y830" s="24" t="str">
        <f aca="false">IF($A830="","",(YEAR($A830)-YEAR(Settings!$C$8))*12+MONTH($A830)-MONTH(Settings!$C$8)+1)</f>
        <v/>
      </c>
      <c r="Z830" s="24" t="str">
        <f aca="false">IF(AND($C830="",$I830="",$J830=""),"",IF($N830="","NO VAT CODE",IF($T830="","UNKNOWN VAT CODE",IF($S830="","MISSING FX RATE",IF(OR($A830&lt;Settings!$C$8,$A830&gt;Settings!$C$9),"OUTSIDE PERIOD",IF(AND(IFERROR(INDEX(VAT_Codes!$E:$E,MATCH($N830,VAT_Codes!$A:$A,0)),"ANY")&lt;&gt;"ANY",$P830=""),"MISSING COUNTERPARTY COUNTRY",IF(AND(IFERROR(INDEX(VAT_Codes!$E:$E,MATCH($N830,VAT_Codes!$A:$A,0)),"ANY")&lt;&gt;"ANY",$P830&lt;&gt;IFERROR(INDEX(VAT_Codes!$E:$E,MATCH($N830,VAT_Codes!$A:$A,0)),"ANY")),"REGION MISMATCH","OK")))))))</f>
        <v/>
      </c>
    </row>
    <row r="831" customFormat="false" ht="15" hidden="false" customHeight="false" outlineLevel="0" collapsed="false">
      <c r="M831" s="24" t="str">
        <f aca="false">IF($C831="","",IFERROR(INDEX(Account_Mapping!$C:$C,MATCH($C831&amp;"",Account_Mapping!$A:$A,0))&amp;"",""))</f>
        <v/>
      </c>
      <c r="N831" s="24" t="str">
        <f aca="false">IF($K831&lt;&gt;"",$K831,$M831)</f>
        <v/>
      </c>
      <c r="O831" s="24" t="str">
        <f aca="false">IF($F831="","",IFERROR(INDEX(Counterparties!$C:$C,MATCH($F831&amp;"",Counterparties!$A:$A,0))&amp;"",""))</f>
        <v/>
      </c>
      <c r="P831" s="24" t="str">
        <f aca="false">IF($O831="","",IF($O831="CY","CY",IF(ISNUMBER(MATCH($O831,Lists!$A:$A,0)),"EU","3RD")))</f>
        <v/>
      </c>
      <c r="Q831" s="24" t="str">
        <f aca="false">IF($F831="","N",IFERROR(IF(INDEX(Counterparties!$E:$E,MATCH($F831&amp;"",Counterparties!$A:$A,0))="Y","Y","N"),"N"))</f>
        <v>N</v>
      </c>
      <c r="R831" s="25" t="n">
        <f aca="false">IF(OR($H831="",$H831="EUR"),1,IFERROR(INDEX(FX_Rates!$D:$D,MATCH($H831,FX_Rates!$A:$A,0)),""))</f>
        <v>1</v>
      </c>
      <c r="S831" s="26" t="str">
        <f aca="false">IF(AND($I831="",$J831=""),"",IF($J831&lt;&gt;"",$J831,IF(OR($R831="",$R831=0),"",ROUND($I831/$R831,2))))</f>
        <v/>
      </c>
      <c r="T831" s="24" t="str">
        <f aca="false">IF($N831="","",IFERROR(INDEX(VAT_Codes!$C:$C,MATCH($N831,VAT_Codes!$A:$A,0)),"")&amp;"")</f>
        <v/>
      </c>
      <c r="U831" s="26" t="n">
        <f aca="false">IF(OR($S831="",$T831="",$T831="None"),0,IF($T831="Output",-$S831,$S831))</f>
        <v>0</v>
      </c>
      <c r="V831" s="27" t="n">
        <f aca="false">IF($N831="",0,IFERROR(INDEX(VAT_Codes!$D:$D,MATCH($N831,VAT_Codes!$A:$A,0)),0))</f>
        <v>0</v>
      </c>
      <c r="W831" s="26" t="n">
        <f aca="false">IF($U831=0,0,IF(IFERROR(INDEX(VAT_Codes!$F:$F,MATCH($N831,VAT_Codes!$A:$A,0)),"N")="Y",$U831,IF($L831&lt;&gt;"",ROUND(ABS($L831)/IF(OR($R831="",$R831=0),1,$R831),2)*SIGN($U831),ROUND($U831*$V831,2))))</f>
        <v>0</v>
      </c>
      <c r="X831" s="24" t="str">
        <f aca="false">IF($N831="","",IFERROR(INDEX(VAT_Codes!$H:$H,MATCH($N831,VAT_Codes!$A:$A,0)),"")&amp;"")</f>
        <v/>
      </c>
      <c r="Y831" s="24" t="str">
        <f aca="false">IF($A831="","",(YEAR($A831)-YEAR(Settings!$C$8))*12+MONTH($A831)-MONTH(Settings!$C$8)+1)</f>
        <v/>
      </c>
      <c r="Z831" s="24" t="str">
        <f aca="false">IF(AND($C831="",$I831="",$J831=""),"",IF($N831="","NO VAT CODE",IF($T831="","UNKNOWN VAT CODE",IF($S831="","MISSING FX RATE",IF(OR($A831&lt;Settings!$C$8,$A831&gt;Settings!$C$9),"OUTSIDE PERIOD",IF(AND(IFERROR(INDEX(VAT_Codes!$E:$E,MATCH($N831,VAT_Codes!$A:$A,0)),"ANY")&lt;&gt;"ANY",$P831=""),"MISSING COUNTERPARTY COUNTRY",IF(AND(IFERROR(INDEX(VAT_Codes!$E:$E,MATCH($N831,VAT_Codes!$A:$A,0)),"ANY")&lt;&gt;"ANY",$P831&lt;&gt;IFERROR(INDEX(VAT_Codes!$E:$E,MATCH($N831,VAT_Codes!$A:$A,0)),"ANY")),"REGION MISMATCH","OK")))))))</f>
        <v/>
      </c>
    </row>
    <row r="832" customFormat="false" ht="15" hidden="false" customHeight="false" outlineLevel="0" collapsed="false">
      <c r="M832" s="24" t="str">
        <f aca="false">IF($C832="","",IFERROR(INDEX(Account_Mapping!$C:$C,MATCH($C832&amp;"",Account_Mapping!$A:$A,0))&amp;"",""))</f>
        <v/>
      </c>
      <c r="N832" s="24" t="str">
        <f aca="false">IF($K832&lt;&gt;"",$K832,$M832)</f>
        <v/>
      </c>
      <c r="O832" s="24" t="str">
        <f aca="false">IF($F832="","",IFERROR(INDEX(Counterparties!$C:$C,MATCH($F832&amp;"",Counterparties!$A:$A,0))&amp;"",""))</f>
        <v/>
      </c>
      <c r="P832" s="24" t="str">
        <f aca="false">IF($O832="","",IF($O832="CY","CY",IF(ISNUMBER(MATCH($O832,Lists!$A:$A,0)),"EU","3RD")))</f>
        <v/>
      </c>
      <c r="Q832" s="24" t="str">
        <f aca="false">IF($F832="","N",IFERROR(IF(INDEX(Counterparties!$E:$E,MATCH($F832&amp;"",Counterparties!$A:$A,0))="Y","Y","N"),"N"))</f>
        <v>N</v>
      </c>
      <c r="R832" s="25" t="n">
        <f aca="false">IF(OR($H832="",$H832="EUR"),1,IFERROR(INDEX(FX_Rates!$D:$D,MATCH($H832,FX_Rates!$A:$A,0)),""))</f>
        <v>1</v>
      </c>
      <c r="S832" s="26" t="str">
        <f aca="false">IF(AND($I832="",$J832=""),"",IF($J832&lt;&gt;"",$J832,IF(OR($R832="",$R832=0),"",ROUND($I832/$R832,2))))</f>
        <v/>
      </c>
      <c r="T832" s="24" t="str">
        <f aca="false">IF($N832="","",IFERROR(INDEX(VAT_Codes!$C:$C,MATCH($N832,VAT_Codes!$A:$A,0)),"")&amp;"")</f>
        <v/>
      </c>
      <c r="U832" s="26" t="n">
        <f aca="false">IF(OR($S832="",$T832="",$T832="None"),0,IF($T832="Output",-$S832,$S832))</f>
        <v>0</v>
      </c>
      <c r="V832" s="27" t="n">
        <f aca="false">IF($N832="",0,IFERROR(INDEX(VAT_Codes!$D:$D,MATCH($N832,VAT_Codes!$A:$A,0)),0))</f>
        <v>0</v>
      </c>
      <c r="W832" s="26" t="n">
        <f aca="false">IF($U832=0,0,IF(IFERROR(INDEX(VAT_Codes!$F:$F,MATCH($N832,VAT_Codes!$A:$A,0)),"N")="Y",$U832,IF($L832&lt;&gt;"",ROUND(ABS($L832)/IF(OR($R832="",$R832=0),1,$R832),2)*SIGN($U832),ROUND($U832*$V832,2))))</f>
        <v>0</v>
      </c>
      <c r="X832" s="24" t="str">
        <f aca="false">IF($N832="","",IFERROR(INDEX(VAT_Codes!$H:$H,MATCH($N832,VAT_Codes!$A:$A,0)),"")&amp;"")</f>
        <v/>
      </c>
      <c r="Y832" s="24" t="str">
        <f aca="false">IF($A832="","",(YEAR($A832)-YEAR(Settings!$C$8))*12+MONTH($A832)-MONTH(Settings!$C$8)+1)</f>
        <v/>
      </c>
      <c r="Z832" s="24" t="str">
        <f aca="false">IF(AND($C832="",$I832="",$J832=""),"",IF($N832="","NO VAT CODE",IF($T832="","UNKNOWN VAT CODE",IF($S832="","MISSING FX RATE",IF(OR($A832&lt;Settings!$C$8,$A832&gt;Settings!$C$9),"OUTSIDE PERIOD",IF(AND(IFERROR(INDEX(VAT_Codes!$E:$E,MATCH($N832,VAT_Codes!$A:$A,0)),"ANY")&lt;&gt;"ANY",$P832=""),"MISSING COUNTERPARTY COUNTRY",IF(AND(IFERROR(INDEX(VAT_Codes!$E:$E,MATCH($N832,VAT_Codes!$A:$A,0)),"ANY")&lt;&gt;"ANY",$P832&lt;&gt;IFERROR(INDEX(VAT_Codes!$E:$E,MATCH($N832,VAT_Codes!$A:$A,0)),"ANY")),"REGION MISMATCH","OK")))))))</f>
        <v/>
      </c>
    </row>
    <row r="833" customFormat="false" ht="15" hidden="false" customHeight="false" outlineLevel="0" collapsed="false">
      <c r="M833" s="24" t="str">
        <f aca="false">IF($C833="","",IFERROR(INDEX(Account_Mapping!$C:$C,MATCH($C833&amp;"",Account_Mapping!$A:$A,0))&amp;"",""))</f>
        <v/>
      </c>
      <c r="N833" s="24" t="str">
        <f aca="false">IF($K833&lt;&gt;"",$K833,$M833)</f>
        <v/>
      </c>
      <c r="O833" s="24" t="str">
        <f aca="false">IF($F833="","",IFERROR(INDEX(Counterparties!$C:$C,MATCH($F833&amp;"",Counterparties!$A:$A,0))&amp;"",""))</f>
        <v/>
      </c>
      <c r="P833" s="24" t="str">
        <f aca="false">IF($O833="","",IF($O833="CY","CY",IF(ISNUMBER(MATCH($O833,Lists!$A:$A,0)),"EU","3RD")))</f>
        <v/>
      </c>
      <c r="Q833" s="24" t="str">
        <f aca="false">IF($F833="","N",IFERROR(IF(INDEX(Counterparties!$E:$E,MATCH($F833&amp;"",Counterparties!$A:$A,0))="Y","Y","N"),"N"))</f>
        <v>N</v>
      </c>
      <c r="R833" s="25" t="n">
        <f aca="false">IF(OR($H833="",$H833="EUR"),1,IFERROR(INDEX(FX_Rates!$D:$D,MATCH($H833,FX_Rates!$A:$A,0)),""))</f>
        <v>1</v>
      </c>
      <c r="S833" s="26" t="str">
        <f aca="false">IF(AND($I833="",$J833=""),"",IF($J833&lt;&gt;"",$J833,IF(OR($R833="",$R833=0),"",ROUND($I833/$R833,2))))</f>
        <v/>
      </c>
      <c r="T833" s="24" t="str">
        <f aca="false">IF($N833="","",IFERROR(INDEX(VAT_Codes!$C:$C,MATCH($N833,VAT_Codes!$A:$A,0)),"")&amp;"")</f>
        <v/>
      </c>
      <c r="U833" s="26" t="n">
        <f aca="false">IF(OR($S833="",$T833="",$T833="None"),0,IF($T833="Output",-$S833,$S833))</f>
        <v>0</v>
      </c>
      <c r="V833" s="27" t="n">
        <f aca="false">IF($N833="",0,IFERROR(INDEX(VAT_Codes!$D:$D,MATCH($N833,VAT_Codes!$A:$A,0)),0))</f>
        <v>0</v>
      </c>
      <c r="W833" s="26" t="n">
        <f aca="false">IF($U833=0,0,IF(IFERROR(INDEX(VAT_Codes!$F:$F,MATCH($N833,VAT_Codes!$A:$A,0)),"N")="Y",$U833,IF($L833&lt;&gt;"",ROUND(ABS($L833)/IF(OR($R833="",$R833=0),1,$R833),2)*SIGN($U833),ROUND($U833*$V833,2))))</f>
        <v>0</v>
      </c>
      <c r="X833" s="24" t="str">
        <f aca="false">IF($N833="","",IFERROR(INDEX(VAT_Codes!$H:$H,MATCH($N833,VAT_Codes!$A:$A,0)),"")&amp;"")</f>
        <v/>
      </c>
      <c r="Y833" s="24" t="str">
        <f aca="false">IF($A833="","",(YEAR($A833)-YEAR(Settings!$C$8))*12+MONTH($A833)-MONTH(Settings!$C$8)+1)</f>
        <v/>
      </c>
      <c r="Z833" s="24" t="str">
        <f aca="false">IF(AND($C833="",$I833="",$J833=""),"",IF($N833="","NO VAT CODE",IF($T833="","UNKNOWN VAT CODE",IF($S833="","MISSING FX RATE",IF(OR($A833&lt;Settings!$C$8,$A833&gt;Settings!$C$9),"OUTSIDE PERIOD",IF(AND(IFERROR(INDEX(VAT_Codes!$E:$E,MATCH($N833,VAT_Codes!$A:$A,0)),"ANY")&lt;&gt;"ANY",$P833=""),"MISSING COUNTERPARTY COUNTRY",IF(AND(IFERROR(INDEX(VAT_Codes!$E:$E,MATCH($N833,VAT_Codes!$A:$A,0)),"ANY")&lt;&gt;"ANY",$P833&lt;&gt;IFERROR(INDEX(VAT_Codes!$E:$E,MATCH($N833,VAT_Codes!$A:$A,0)),"ANY")),"REGION MISMATCH","OK")))))))</f>
        <v/>
      </c>
    </row>
    <row r="834" customFormat="false" ht="15" hidden="false" customHeight="false" outlineLevel="0" collapsed="false">
      <c r="M834" s="24" t="str">
        <f aca="false">IF($C834="","",IFERROR(INDEX(Account_Mapping!$C:$C,MATCH($C834&amp;"",Account_Mapping!$A:$A,0))&amp;"",""))</f>
        <v/>
      </c>
      <c r="N834" s="24" t="str">
        <f aca="false">IF($K834&lt;&gt;"",$K834,$M834)</f>
        <v/>
      </c>
      <c r="O834" s="24" t="str">
        <f aca="false">IF($F834="","",IFERROR(INDEX(Counterparties!$C:$C,MATCH($F834&amp;"",Counterparties!$A:$A,0))&amp;"",""))</f>
        <v/>
      </c>
      <c r="P834" s="24" t="str">
        <f aca="false">IF($O834="","",IF($O834="CY","CY",IF(ISNUMBER(MATCH($O834,Lists!$A:$A,0)),"EU","3RD")))</f>
        <v/>
      </c>
      <c r="Q834" s="24" t="str">
        <f aca="false">IF($F834="","N",IFERROR(IF(INDEX(Counterparties!$E:$E,MATCH($F834&amp;"",Counterparties!$A:$A,0))="Y","Y","N"),"N"))</f>
        <v>N</v>
      </c>
      <c r="R834" s="25" t="n">
        <f aca="false">IF(OR($H834="",$H834="EUR"),1,IFERROR(INDEX(FX_Rates!$D:$D,MATCH($H834,FX_Rates!$A:$A,0)),""))</f>
        <v>1</v>
      </c>
      <c r="S834" s="26" t="str">
        <f aca="false">IF(AND($I834="",$J834=""),"",IF($J834&lt;&gt;"",$J834,IF(OR($R834="",$R834=0),"",ROUND($I834/$R834,2))))</f>
        <v/>
      </c>
      <c r="T834" s="24" t="str">
        <f aca="false">IF($N834="","",IFERROR(INDEX(VAT_Codes!$C:$C,MATCH($N834,VAT_Codes!$A:$A,0)),"")&amp;"")</f>
        <v/>
      </c>
      <c r="U834" s="26" t="n">
        <f aca="false">IF(OR($S834="",$T834="",$T834="None"),0,IF($T834="Output",-$S834,$S834))</f>
        <v>0</v>
      </c>
      <c r="V834" s="27" t="n">
        <f aca="false">IF($N834="",0,IFERROR(INDEX(VAT_Codes!$D:$D,MATCH($N834,VAT_Codes!$A:$A,0)),0))</f>
        <v>0</v>
      </c>
      <c r="W834" s="26" t="n">
        <f aca="false">IF($U834=0,0,IF(IFERROR(INDEX(VAT_Codes!$F:$F,MATCH($N834,VAT_Codes!$A:$A,0)),"N")="Y",$U834,IF($L834&lt;&gt;"",ROUND(ABS($L834)/IF(OR($R834="",$R834=0),1,$R834),2)*SIGN($U834),ROUND($U834*$V834,2))))</f>
        <v>0</v>
      </c>
      <c r="X834" s="24" t="str">
        <f aca="false">IF($N834="","",IFERROR(INDEX(VAT_Codes!$H:$H,MATCH($N834,VAT_Codes!$A:$A,0)),"")&amp;"")</f>
        <v/>
      </c>
      <c r="Y834" s="24" t="str">
        <f aca="false">IF($A834="","",(YEAR($A834)-YEAR(Settings!$C$8))*12+MONTH($A834)-MONTH(Settings!$C$8)+1)</f>
        <v/>
      </c>
      <c r="Z834" s="24" t="str">
        <f aca="false">IF(AND($C834="",$I834="",$J834=""),"",IF($N834="","NO VAT CODE",IF($T834="","UNKNOWN VAT CODE",IF($S834="","MISSING FX RATE",IF(OR($A834&lt;Settings!$C$8,$A834&gt;Settings!$C$9),"OUTSIDE PERIOD",IF(AND(IFERROR(INDEX(VAT_Codes!$E:$E,MATCH($N834,VAT_Codes!$A:$A,0)),"ANY")&lt;&gt;"ANY",$P834=""),"MISSING COUNTERPARTY COUNTRY",IF(AND(IFERROR(INDEX(VAT_Codes!$E:$E,MATCH($N834,VAT_Codes!$A:$A,0)),"ANY")&lt;&gt;"ANY",$P834&lt;&gt;IFERROR(INDEX(VAT_Codes!$E:$E,MATCH($N834,VAT_Codes!$A:$A,0)),"ANY")),"REGION MISMATCH","OK")))))))</f>
        <v/>
      </c>
    </row>
    <row r="835" customFormat="false" ht="15" hidden="false" customHeight="false" outlineLevel="0" collapsed="false">
      <c r="M835" s="24" t="str">
        <f aca="false">IF($C835="","",IFERROR(INDEX(Account_Mapping!$C:$C,MATCH($C835&amp;"",Account_Mapping!$A:$A,0))&amp;"",""))</f>
        <v/>
      </c>
      <c r="N835" s="24" t="str">
        <f aca="false">IF($K835&lt;&gt;"",$K835,$M835)</f>
        <v/>
      </c>
      <c r="O835" s="24" t="str">
        <f aca="false">IF($F835="","",IFERROR(INDEX(Counterparties!$C:$C,MATCH($F835&amp;"",Counterparties!$A:$A,0))&amp;"",""))</f>
        <v/>
      </c>
      <c r="P835" s="24" t="str">
        <f aca="false">IF($O835="","",IF($O835="CY","CY",IF(ISNUMBER(MATCH($O835,Lists!$A:$A,0)),"EU","3RD")))</f>
        <v/>
      </c>
      <c r="Q835" s="24" t="str">
        <f aca="false">IF($F835="","N",IFERROR(IF(INDEX(Counterparties!$E:$E,MATCH($F835&amp;"",Counterparties!$A:$A,0))="Y","Y","N"),"N"))</f>
        <v>N</v>
      </c>
      <c r="R835" s="25" t="n">
        <f aca="false">IF(OR($H835="",$H835="EUR"),1,IFERROR(INDEX(FX_Rates!$D:$D,MATCH($H835,FX_Rates!$A:$A,0)),""))</f>
        <v>1</v>
      </c>
      <c r="S835" s="26" t="str">
        <f aca="false">IF(AND($I835="",$J835=""),"",IF($J835&lt;&gt;"",$J835,IF(OR($R835="",$R835=0),"",ROUND($I835/$R835,2))))</f>
        <v/>
      </c>
      <c r="T835" s="24" t="str">
        <f aca="false">IF($N835="","",IFERROR(INDEX(VAT_Codes!$C:$C,MATCH($N835,VAT_Codes!$A:$A,0)),"")&amp;"")</f>
        <v/>
      </c>
      <c r="U835" s="26" t="n">
        <f aca="false">IF(OR($S835="",$T835="",$T835="None"),0,IF($T835="Output",-$S835,$S835))</f>
        <v>0</v>
      </c>
      <c r="V835" s="27" t="n">
        <f aca="false">IF($N835="",0,IFERROR(INDEX(VAT_Codes!$D:$D,MATCH($N835,VAT_Codes!$A:$A,0)),0))</f>
        <v>0</v>
      </c>
      <c r="W835" s="26" t="n">
        <f aca="false">IF($U835=0,0,IF(IFERROR(INDEX(VAT_Codes!$F:$F,MATCH($N835,VAT_Codes!$A:$A,0)),"N")="Y",$U835,IF($L835&lt;&gt;"",ROUND(ABS($L835)/IF(OR($R835="",$R835=0),1,$R835),2)*SIGN($U835),ROUND($U835*$V835,2))))</f>
        <v>0</v>
      </c>
      <c r="X835" s="24" t="str">
        <f aca="false">IF($N835="","",IFERROR(INDEX(VAT_Codes!$H:$H,MATCH($N835,VAT_Codes!$A:$A,0)),"")&amp;"")</f>
        <v/>
      </c>
      <c r="Y835" s="24" t="str">
        <f aca="false">IF($A835="","",(YEAR($A835)-YEAR(Settings!$C$8))*12+MONTH($A835)-MONTH(Settings!$C$8)+1)</f>
        <v/>
      </c>
      <c r="Z835" s="24" t="str">
        <f aca="false">IF(AND($C835="",$I835="",$J835=""),"",IF($N835="","NO VAT CODE",IF($T835="","UNKNOWN VAT CODE",IF($S835="","MISSING FX RATE",IF(OR($A835&lt;Settings!$C$8,$A835&gt;Settings!$C$9),"OUTSIDE PERIOD",IF(AND(IFERROR(INDEX(VAT_Codes!$E:$E,MATCH($N835,VAT_Codes!$A:$A,0)),"ANY")&lt;&gt;"ANY",$P835=""),"MISSING COUNTERPARTY COUNTRY",IF(AND(IFERROR(INDEX(VAT_Codes!$E:$E,MATCH($N835,VAT_Codes!$A:$A,0)),"ANY")&lt;&gt;"ANY",$P835&lt;&gt;IFERROR(INDEX(VAT_Codes!$E:$E,MATCH($N835,VAT_Codes!$A:$A,0)),"ANY")),"REGION MISMATCH","OK")))))))</f>
        <v/>
      </c>
    </row>
    <row r="836" customFormat="false" ht="15" hidden="false" customHeight="false" outlineLevel="0" collapsed="false">
      <c r="M836" s="24" t="str">
        <f aca="false">IF($C836="","",IFERROR(INDEX(Account_Mapping!$C:$C,MATCH($C836&amp;"",Account_Mapping!$A:$A,0))&amp;"",""))</f>
        <v/>
      </c>
      <c r="N836" s="24" t="str">
        <f aca="false">IF($K836&lt;&gt;"",$K836,$M836)</f>
        <v/>
      </c>
      <c r="O836" s="24" t="str">
        <f aca="false">IF($F836="","",IFERROR(INDEX(Counterparties!$C:$C,MATCH($F836&amp;"",Counterparties!$A:$A,0))&amp;"",""))</f>
        <v/>
      </c>
      <c r="P836" s="24" t="str">
        <f aca="false">IF($O836="","",IF($O836="CY","CY",IF(ISNUMBER(MATCH($O836,Lists!$A:$A,0)),"EU","3RD")))</f>
        <v/>
      </c>
      <c r="Q836" s="24" t="str">
        <f aca="false">IF($F836="","N",IFERROR(IF(INDEX(Counterparties!$E:$E,MATCH($F836&amp;"",Counterparties!$A:$A,0))="Y","Y","N"),"N"))</f>
        <v>N</v>
      </c>
      <c r="R836" s="25" t="n">
        <f aca="false">IF(OR($H836="",$H836="EUR"),1,IFERROR(INDEX(FX_Rates!$D:$D,MATCH($H836,FX_Rates!$A:$A,0)),""))</f>
        <v>1</v>
      </c>
      <c r="S836" s="26" t="str">
        <f aca="false">IF(AND($I836="",$J836=""),"",IF($J836&lt;&gt;"",$J836,IF(OR($R836="",$R836=0),"",ROUND($I836/$R836,2))))</f>
        <v/>
      </c>
      <c r="T836" s="24" t="str">
        <f aca="false">IF($N836="","",IFERROR(INDEX(VAT_Codes!$C:$C,MATCH($N836,VAT_Codes!$A:$A,0)),"")&amp;"")</f>
        <v/>
      </c>
      <c r="U836" s="26" t="n">
        <f aca="false">IF(OR($S836="",$T836="",$T836="None"),0,IF($T836="Output",-$S836,$S836))</f>
        <v>0</v>
      </c>
      <c r="V836" s="27" t="n">
        <f aca="false">IF($N836="",0,IFERROR(INDEX(VAT_Codes!$D:$D,MATCH($N836,VAT_Codes!$A:$A,0)),0))</f>
        <v>0</v>
      </c>
      <c r="W836" s="26" t="n">
        <f aca="false">IF($U836=0,0,IF(IFERROR(INDEX(VAT_Codes!$F:$F,MATCH($N836,VAT_Codes!$A:$A,0)),"N")="Y",$U836,IF($L836&lt;&gt;"",ROUND(ABS($L836)/IF(OR($R836="",$R836=0),1,$R836),2)*SIGN($U836),ROUND($U836*$V836,2))))</f>
        <v>0</v>
      </c>
      <c r="X836" s="24" t="str">
        <f aca="false">IF($N836="","",IFERROR(INDEX(VAT_Codes!$H:$H,MATCH($N836,VAT_Codes!$A:$A,0)),"")&amp;"")</f>
        <v/>
      </c>
      <c r="Y836" s="24" t="str">
        <f aca="false">IF($A836="","",(YEAR($A836)-YEAR(Settings!$C$8))*12+MONTH($A836)-MONTH(Settings!$C$8)+1)</f>
        <v/>
      </c>
      <c r="Z836" s="24" t="str">
        <f aca="false">IF(AND($C836="",$I836="",$J836=""),"",IF($N836="","NO VAT CODE",IF($T836="","UNKNOWN VAT CODE",IF($S836="","MISSING FX RATE",IF(OR($A836&lt;Settings!$C$8,$A836&gt;Settings!$C$9),"OUTSIDE PERIOD",IF(AND(IFERROR(INDEX(VAT_Codes!$E:$E,MATCH($N836,VAT_Codes!$A:$A,0)),"ANY")&lt;&gt;"ANY",$P836=""),"MISSING COUNTERPARTY COUNTRY",IF(AND(IFERROR(INDEX(VAT_Codes!$E:$E,MATCH($N836,VAT_Codes!$A:$A,0)),"ANY")&lt;&gt;"ANY",$P836&lt;&gt;IFERROR(INDEX(VAT_Codes!$E:$E,MATCH($N836,VAT_Codes!$A:$A,0)),"ANY")),"REGION MISMATCH","OK")))))))</f>
        <v/>
      </c>
    </row>
    <row r="837" customFormat="false" ht="15" hidden="false" customHeight="false" outlineLevel="0" collapsed="false">
      <c r="M837" s="24" t="str">
        <f aca="false">IF($C837="","",IFERROR(INDEX(Account_Mapping!$C:$C,MATCH($C837&amp;"",Account_Mapping!$A:$A,0))&amp;"",""))</f>
        <v/>
      </c>
      <c r="N837" s="24" t="str">
        <f aca="false">IF($K837&lt;&gt;"",$K837,$M837)</f>
        <v/>
      </c>
      <c r="O837" s="24" t="str">
        <f aca="false">IF($F837="","",IFERROR(INDEX(Counterparties!$C:$C,MATCH($F837&amp;"",Counterparties!$A:$A,0))&amp;"",""))</f>
        <v/>
      </c>
      <c r="P837" s="24" t="str">
        <f aca="false">IF($O837="","",IF($O837="CY","CY",IF(ISNUMBER(MATCH($O837,Lists!$A:$A,0)),"EU","3RD")))</f>
        <v/>
      </c>
      <c r="Q837" s="24" t="str">
        <f aca="false">IF($F837="","N",IFERROR(IF(INDEX(Counterparties!$E:$E,MATCH($F837&amp;"",Counterparties!$A:$A,0))="Y","Y","N"),"N"))</f>
        <v>N</v>
      </c>
      <c r="R837" s="25" t="n">
        <f aca="false">IF(OR($H837="",$H837="EUR"),1,IFERROR(INDEX(FX_Rates!$D:$D,MATCH($H837,FX_Rates!$A:$A,0)),""))</f>
        <v>1</v>
      </c>
      <c r="S837" s="26" t="str">
        <f aca="false">IF(AND($I837="",$J837=""),"",IF($J837&lt;&gt;"",$J837,IF(OR($R837="",$R837=0),"",ROUND($I837/$R837,2))))</f>
        <v/>
      </c>
      <c r="T837" s="24" t="str">
        <f aca="false">IF($N837="","",IFERROR(INDEX(VAT_Codes!$C:$C,MATCH($N837,VAT_Codes!$A:$A,0)),"")&amp;"")</f>
        <v/>
      </c>
      <c r="U837" s="26" t="n">
        <f aca="false">IF(OR($S837="",$T837="",$T837="None"),0,IF($T837="Output",-$S837,$S837))</f>
        <v>0</v>
      </c>
      <c r="V837" s="27" t="n">
        <f aca="false">IF($N837="",0,IFERROR(INDEX(VAT_Codes!$D:$D,MATCH($N837,VAT_Codes!$A:$A,0)),0))</f>
        <v>0</v>
      </c>
      <c r="W837" s="26" t="n">
        <f aca="false">IF($U837=0,0,IF(IFERROR(INDEX(VAT_Codes!$F:$F,MATCH($N837,VAT_Codes!$A:$A,0)),"N")="Y",$U837,IF($L837&lt;&gt;"",ROUND(ABS($L837)/IF(OR($R837="",$R837=0),1,$R837),2)*SIGN($U837),ROUND($U837*$V837,2))))</f>
        <v>0</v>
      </c>
      <c r="X837" s="24" t="str">
        <f aca="false">IF($N837="","",IFERROR(INDEX(VAT_Codes!$H:$H,MATCH($N837,VAT_Codes!$A:$A,0)),"")&amp;"")</f>
        <v/>
      </c>
      <c r="Y837" s="24" t="str">
        <f aca="false">IF($A837="","",(YEAR($A837)-YEAR(Settings!$C$8))*12+MONTH($A837)-MONTH(Settings!$C$8)+1)</f>
        <v/>
      </c>
      <c r="Z837" s="24" t="str">
        <f aca="false">IF(AND($C837="",$I837="",$J837=""),"",IF($N837="","NO VAT CODE",IF($T837="","UNKNOWN VAT CODE",IF($S837="","MISSING FX RATE",IF(OR($A837&lt;Settings!$C$8,$A837&gt;Settings!$C$9),"OUTSIDE PERIOD",IF(AND(IFERROR(INDEX(VAT_Codes!$E:$E,MATCH($N837,VAT_Codes!$A:$A,0)),"ANY")&lt;&gt;"ANY",$P837=""),"MISSING COUNTERPARTY COUNTRY",IF(AND(IFERROR(INDEX(VAT_Codes!$E:$E,MATCH($N837,VAT_Codes!$A:$A,0)),"ANY")&lt;&gt;"ANY",$P837&lt;&gt;IFERROR(INDEX(VAT_Codes!$E:$E,MATCH($N837,VAT_Codes!$A:$A,0)),"ANY")),"REGION MISMATCH","OK")))))))</f>
        <v/>
      </c>
    </row>
    <row r="838" customFormat="false" ht="15" hidden="false" customHeight="false" outlineLevel="0" collapsed="false">
      <c r="M838" s="24" t="str">
        <f aca="false">IF($C838="","",IFERROR(INDEX(Account_Mapping!$C:$C,MATCH($C838&amp;"",Account_Mapping!$A:$A,0))&amp;"",""))</f>
        <v/>
      </c>
      <c r="N838" s="24" t="str">
        <f aca="false">IF($K838&lt;&gt;"",$K838,$M838)</f>
        <v/>
      </c>
      <c r="O838" s="24" t="str">
        <f aca="false">IF($F838="","",IFERROR(INDEX(Counterparties!$C:$C,MATCH($F838&amp;"",Counterparties!$A:$A,0))&amp;"",""))</f>
        <v/>
      </c>
      <c r="P838" s="24" t="str">
        <f aca="false">IF($O838="","",IF($O838="CY","CY",IF(ISNUMBER(MATCH($O838,Lists!$A:$A,0)),"EU","3RD")))</f>
        <v/>
      </c>
      <c r="Q838" s="24" t="str">
        <f aca="false">IF($F838="","N",IFERROR(IF(INDEX(Counterparties!$E:$E,MATCH($F838&amp;"",Counterparties!$A:$A,0))="Y","Y","N"),"N"))</f>
        <v>N</v>
      </c>
      <c r="R838" s="25" t="n">
        <f aca="false">IF(OR($H838="",$H838="EUR"),1,IFERROR(INDEX(FX_Rates!$D:$D,MATCH($H838,FX_Rates!$A:$A,0)),""))</f>
        <v>1</v>
      </c>
      <c r="S838" s="26" t="str">
        <f aca="false">IF(AND($I838="",$J838=""),"",IF($J838&lt;&gt;"",$J838,IF(OR($R838="",$R838=0),"",ROUND($I838/$R838,2))))</f>
        <v/>
      </c>
      <c r="T838" s="24" t="str">
        <f aca="false">IF($N838="","",IFERROR(INDEX(VAT_Codes!$C:$C,MATCH($N838,VAT_Codes!$A:$A,0)),"")&amp;"")</f>
        <v/>
      </c>
      <c r="U838" s="26" t="n">
        <f aca="false">IF(OR($S838="",$T838="",$T838="None"),0,IF($T838="Output",-$S838,$S838))</f>
        <v>0</v>
      </c>
      <c r="V838" s="27" t="n">
        <f aca="false">IF($N838="",0,IFERROR(INDEX(VAT_Codes!$D:$D,MATCH($N838,VAT_Codes!$A:$A,0)),0))</f>
        <v>0</v>
      </c>
      <c r="W838" s="26" t="n">
        <f aca="false">IF($U838=0,0,IF(IFERROR(INDEX(VAT_Codes!$F:$F,MATCH($N838,VAT_Codes!$A:$A,0)),"N")="Y",$U838,IF($L838&lt;&gt;"",ROUND(ABS($L838)/IF(OR($R838="",$R838=0),1,$R838),2)*SIGN($U838),ROUND($U838*$V838,2))))</f>
        <v>0</v>
      </c>
      <c r="X838" s="24" t="str">
        <f aca="false">IF($N838="","",IFERROR(INDEX(VAT_Codes!$H:$H,MATCH($N838,VAT_Codes!$A:$A,0)),"")&amp;"")</f>
        <v/>
      </c>
      <c r="Y838" s="24" t="str">
        <f aca="false">IF($A838="","",(YEAR($A838)-YEAR(Settings!$C$8))*12+MONTH($A838)-MONTH(Settings!$C$8)+1)</f>
        <v/>
      </c>
      <c r="Z838" s="24" t="str">
        <f aca="false">IF(AND($C838="",$I838="",$J838=""),"",IF($N838="","NO VAT CODE",IF($T838="","UNKNOWN VAT CODE",IF($S838="","MISSING FX RATE",IF(OR($A838&lt;Settings!$C$8,$A838&gt;Settings!$C$9),"OUTSIDE PERIOD",IF(AND(IFERROR(INDEX(VAT_Codes!$E:$E,MATCH($N838,VAT_Codes!$A:$A,0)),"ANY")&lt;&gt;"ANY",$P838=""),"MISSING COUNTERPARTY COUNTRY",IF(AND(IFERROR(INDEX(VAT_Codes!$E:$E,MATCH($N838,VAT_Codes!$A:$A,0)),"ANY")&lt;&gt;"ANY",$P838&lt;&gt;IFERROR(INDEX(VAT_Codes!$E:$E,MATCH($N838,VAT_Codes!$A:$A,0)),"ANY")),"REGION MISMATCH","OK")))))))</f>
        <v/>
      </c>
    </row>
    <row r="839" customFormat="false" ht="15" hidden="false" customHeight="false" outlineLevel="0" collapsed="false">
      <c r="M839" s="24" t="str">
        <f aca="false">IF($C839="","",IFERROR(INDEX(Account_Mapping!$C:$C,MATCH($C839&amp;"",Account_Mapping!$A:$A,0))&amp;"",""))</f>
        <v/>
      </c>
      <c r="N839" s="24" t="str">
        <f aca="false">IF($K839&lt;&gt;"",$K839,$M839)</f>
        <v/>
      </c>
      <c r="O839" s="24" t="str">
        <f aca="false">IF($F839="","",IFERROR(INDEX(Counterparties!$C:$C,MATCH($F839&amp;"",Counterparties!$A:$A,0))&amp;"",""))</f>
        <v/>
      </c>
      <c r="P839" s="24" t="str">
        <f aca="false">IF($O839="","",IF($O839="CY","CY",IF(ISNUMBER(MATCH($O839,Lists!$A:$A,0)),"EU","3RD")))</f>
        <v/>
      </c>
      <c r="Q839" s="24" t="str">
        <f aca="false">IF($F839="","N",IFERROR(IF(INDEX(Counterparties!$E:$E,MATCH($F839&amp;"",Counterparties!$A:$A,0))="Y","Y","N"),"N"))</f>
        <v>N</v>
      </c>
      <c r="R839" s="25" t="n">
        <f aca="false">IF(OR($H839="",$H839="EUR"),1,IFERROR(INDEX(FX_Rates!$D:$D,MATCH($H839,FX_Rates!$A:$A,0)),""))</f>
        <v>1</v>
      </c>
      <c r="S839" s="26" t="str">
        <f aca="false">IF(AND($I839="",$J839=""),"",IF($J839&lt;&gt;"",$J839,IF(OR($R839="",$R839=0),"",ROUND($I839/$R839,2))))</f>
        <v/>
      </c>
      <c r="T839" s="24" t="str">
        <f aca="false">IF($N839="","",IFERROR(INDEX(VAT_Codes!$C:$C,MATCH($N839,VAT_Codes!$A:$A,0)),"")&amp;"")</f>
        <v/>
      </c>
      <c r="U839" s="26" t="n">
        <f aca="false">IF(OR($S839="",$T839="",$T839="None"),0,IF($T839="Output",-$S839,$S839))</f>
        <v>0</v>
      </c>
      <c r="V839" s="27" t="n">
        <f aca="false">IF($N839="",0,IFERROR(INDEX(VAT_Codes!$D:$D,MATCH($N839,VAT_Codes!$A:$A,0)),0))</f>
        <v>0</v>
      </c>
      <c r="W839" s="26" t="n">
        <f aca="false">IF($U839=0,0,IF(IFERROR(INDEX(VAT_Codes!$F:$F,MATCH($N839,VAT_Codes!$A:$A,0)),"N")="Y",$U839,IF($L839&lt;&gt;"",ROUND(ABS($L839)/IF(OR($R839="",$R839=0),1,$R839),2)*SIGN($U839),ROUND($U839*$V839,2))))</f>
        <v>0</v>
      </c>
      <c r="X839" s="24" t="str">
        <f aca="false">IF($N839="","",IFERROR(INDEX(VAT_Codes!$H:$H,MATCH($N839,VAT_Codes!$A:$A,0)),"")&amp;"")</f>
        <v/>
      </c>
      <c r="Y839" s="24" t="str">
        <f aca="false">IF($A839="","",(YEAR($A839)-YEAR(Settings!$C$8))*12+MONTH($A839)-MONTH(Settings!$C$8)+1)</f>
        <v/>
      </c>
      <c r="Z839" s="24" t="str">
        <f aca="false">IF(AND($C839="",$I839="",$J839=""),"",IF($N839="","NO VAT CODE",IF($T839="","UNKNOWN VAT CODE",IF($S839="","MISSING FX RATE",IF(OR($A839&lt;Settings!$C$8,$A839&gt;Settings!$C$9),"OUTSIDE PERIOD",IF(AND(IFERROR(INDEX(VAT_Codes!$E:$E,MATCH($N839,VAT_Codes!$A:$A,0)),"ANY")&lt;&gt;"ANY",$P839=""),"MISSING COUNTERPARTY COUNTRY",IF(AND(IFERROR(INDEX(VAT_Codes!$E:$E,MATCH($N839,VAT_Codes!$A:$A,0)),"ANY")&lt;&gt;"ANY",$P839&lt;&gt;IFERROR(INDEX(VAT_Codes!$E:$E,MATCH($N839,VAT_Codes!$A:$A,0)),"ANY")),"REGION MISMATCH","OK")))))))</f>
        <v/>
      </c>
    </row>
    <row r="840" customFormat="false" ht="15" hidden="false" customHeight="false" outlineLevel="0" collapsed="false">
      <c r="M840" s="24" t="str">
        <f aca="false">IF($C840="","",IFERROR(INDEX(Account_Mapping!$C:$C,MATCH($C840&amp;"",Account_Mapping!$A:$A,0))&amp;"",""))</f>
        <v/>
      </c>
      <c r="N840" s="24" t="str">
        <f aca="false">IF($K840&lt;&gt;"",$K840,$M840)</f>
        <v/>
      </c>
      <c r="O840" s="24" t="str">
        <f aca="false">IF($F840="","",IFERROR(INDEX(Counterparties!$C:$C,MATCH($F840&amp;"",Counterparties!$A:$A,0))&amp;"",""))</f>
        <v/>
      </c>
      <c r="P840" s="24" t="str">
        <f aca="false">IF($O840="","",IF($O840="CY","CY",IF(ISNUMBER(MATCH($O840,Lists!$A:$A,0)),"EU","3RD")))</f>
        <v/>
      </c>
      <c r="Q840" s="24" t="str">
        <f aca="false">IF($F840="","N",IFERROR(IF(INDEX(Counterparties!$E:$E,MATCH($F840&amp;"",Counterparties!$A:$A,0))="Y","Y","N"),"N"))</f>
        <v>N</v>
      </c>
      <c r="R840" s="25" t="n">
        <f aca="false">IF(OR($H840="",$H840="EUR"),1,IFERROR(INDEX(FX_Rates!$D:$D,MATCH($H840,FX_Rates!$A:$A,0)),""))</f>
        <v>1</v>
      </c>
      <c r="S840" s="26" t="str">
        <f aca="false">IF(AND($I840="",$J840=""),"",IF($J840&lt;&gt;"",$J840,IF(OR($R840="",$R840=0),"",ROUND($I840/$R840,2))))</f>
        <v/>
      </c>
      <c r="T840" s="24" t="str">
        <f aca="false">IF($N840="","",IFERROR(INDEX(VAT_Codes!$C:$C,MATCH($N840,VAT_Codes!$A:$A,0)),"")&amp;"")</f>
        <v/>
      </c>
      <c r="U840" s="26" t="n">
        <f aca="false">IF(OR($S840="",$T840="",$T840="None"),0,IF($T840="Output",-$S840,$S840))</f>
        <v>0</v>
      </c>
      <c r="V840" s="27" t="n">
        <f aca="false">IF($N840="",0,IFERROR(INDEX(VAT_Codes!$D:$D,MATCH($N840,VAT_Codes!$A:$A,0)),0))</f>
        <v>0</v>
      </c>
      <c r="W840" s="26" t="n">
        <f aca="false">IF($U840=0,0,IF(IFERROR(INDEX(VAT_Codes!$F:$F,MATCH($N840,VAT_Codes!$A:$A,0)),"N")="Y",$U840,IF($L840&lt;&gt;"",ROUND(ABS($L840)/IF(OR($R840="",$R840=0),1,$R840),2)*SIGN($U840),ROUND($U840*$V840,2))))</f>
        <v>0</v>
      </c>
      <c r="X840" s="24" t="str">
        <f aca="false">IF($N840="","",IFERROR(INDEX(VAT_Codes!$H:$H,MATCH($N840,VAT_Codes!$A:$A,0)),"")&amp;"")</f>
        <v/>
      </c>
      <c r="Y840" s="24" t="str">
        <f aca="false">IF($A840="","",(YEAR($A840)-YEAR(Settings!$C$8))*12+MONTH($A840)-MONTH(Settings!$C$8)+1)</f>
        <v/>
      </c>
      <c r="Z840" s="24" t="str">
        <f aca="false">IF(AND($C840="",$I840="",$J840=""),"",IF($N840="","NO VAT CODE",IF($T840="","UNKNOWN VAT CODE",IF($S840="","MISSING FX RATE",IF(OR($A840&lt;Settings!$C$8,$A840&gt;Settings!$C$9),"OUTSIDE PERIOD",IF(AND(IFERROR(INDEX(VAT_Codes!$E:$E,MATCH($N840,VAT_Codes!$A:$A,0)),"ANY")&lt;&gt;"ANY",$P840=""),"MISSING COUNTERPARTY COUNTRY",IF(AND(IFERROR(INDEX(VAT_Codes!$E:$E,MATCH($N840,VAT_Codes!$A:$A,0)),"ANY")&lt;&gt;"ANY",$P840&lt;&gt;IFERROR(INDEX(VAT_Codes!$E:$E,MATCH($N840,VAT_Codes!$A:$A,0)),"ANY")),"REGION MISMATCH","OK")))))))</f>
        <v/>
      </c>
    </row>
    <row r="841" customFormat="false" ht="15" hidden="false" customHeight="false" outlineLevel="0" collapsed="false">
      <c r="M841" s="24" t="str">
        <f aca="false">IF($C841="","",IFERROR(INDEX(Account_Mapping!$C:$C,MATCH($C841&amp;"",Account_Mapping!$A:$A,0))&amp;"",""))</f>
        <v/>
      </c>
      <c r="N841" s="24" t="str">
        <f aca="false">IF($K841&lt;&gt;"",$K841,$M841)</f>
        <v/>
      </c>
      <c r="O841" s="24" t="str">
        <f aca="false">IF($F841="","",IFERROR(INDEX(Counterparties!$C:$C,MATCH($F841&amp;"",Counterparties!$A:$A,0))&amp;"",""))</f>
        <v/>
      </c>
      <c r="P841" s="24" t="str">
        <f aca="false">IF($O841="","",IF($O841="CY","CY",IF(ISNUMBER(MATCH($O841,Lists!$A:$A,0)),"EU","3RD")))</f>
        <v/>
      </c>
      <c r="Q841" s="24" t="str">
        <f aca="false">IF($F841="","N",IFERROR(IF(INDEX(Counterparties!$E:$E,MATCH($F841&amp;"",Counterparties!$A:$A,0))="Y","Y","N"),"N"))</f>
        <v>N</v>
      </c>
      <c r="R841" s="25" t="n">
        <f aca="false">IF(OR($H841="",$H841="EUR"),1,IFERROR(INDEX(FX_Rates!$D:$D,MATCH($H841,FX_Rates!$A:$A,0)),""))</f>
        <v>1</v>
      </c>
      <c r="S841" s="26" t="str">
        <f aca="false">IF(AND($I841="",$J841=""),"",IF($J841&lt;&gt;"",$J841,IF(OR($R841="",$R841=0),"",ROUND($I841/$R841,2))))</f>
        <v/>
      </c>
      <c r="T841" s="24" t="str">
        <f aca="false">IF($N841="","",IFERROR(INDEX(VAT_Codes!$C:$C,MATCH($N841,VAT_Codes!$A:$A,0)),"")&amp;"")</f>
        <v/>
      </c>
      <c r="U841" s="26" t="n">
        <f aca="false">IF(OR($S841="",$T841="",$T841="None"),0,IF($T841="Output",-$S841,$S841))</f>
        <v>0</v>
      </c>
      <c r="V841" s="27" t="n">
        <f aca="false">IF($N841="",0,IFERROR(INDEX(VAT_Codes!$D:$D,MATCH($N841,VAT_Codes!$A:$A,0)),0))</f>
        <v>0</v>
      </c>
      <c r="W841" s="26" t="n">
        <f aca="false">IF($U841=0,0,IF(IFERROR(INDEX(VAT_Codes!$F:$F,MATCH($N841,VAT_Codes!$A:$A,0)),"N")="Y",$U841,IF($L841&lt;&gt;"",ROUND(ABS($L841)/IF(OR($R841="",$R841=0),1,$R841),2)*SIGN($U841),ROUND($U841*$V841,2))))</f>
        <v>0</v>
      </c>
      <c r="X841" s="24" t="str">
        <f aca="false">IF($N841="","",IFERROR(INDEX(VAT_Codes!$H:$H,MATCH($N841,VAT_Codes!$A:$A,0)),"")&amp;"")</f>
        <v/>
      </c>
      <c r="Y841" s="24" t="str">
        <f aca="false">IF($A841="","",(YEAR($A841)-YEAR(Settings!$C$8))*12+MONTH($A841)-MONTH(Settings!$C$8)+1)</f>
        <v/>
      </c>
      <c r="Z841" s="24" t="str">
        <f aca="false">IF(AND($C841="",$I841="",$J841=""),"",IF($N841="","NO VAT CODE",IF($T841="","UNKNOWN VAT CODE",IF($S841="","MISSING FX RATE",IF(OR($A841&lt;Settings!$C$8,$A841&gt;Settings!$C$9),"OUTSIDE PERIOD",IF(AND(IFERROR(INDEX(VAT_Codes!$E:$E,MATCH($N841,VAT_Codes!$A:$A,0)),"ANY")&lt;&gt;"ANY",$P841=""),"MISSING COUNTERPARTY COUNTRY",IF(AND(IFERROR(INDEX(VAT_Codes!$E:$E,MATCH($N841,VAT_Codes!$A:$A,0)),"ANY")&lt;&gt;"ANY",$P841&lt;&gt;IFERROR(INDEX(VAT_Codes!$E:$E,MATCH($N841,VAT_Codes!$A:$A,0)),"ANY")),"REGION MISMATCH","OK")))))))</f>
        <v/>
      </c>
    </row>
    <row r="842" customFormat="false" ht="15" hidden="false" customHeight="false" outlineLevel="0" collapsed="false">
      <c r="M842" s="24" t="str">
        <f aca="false">IF($C842="","",IFERROR(INDEX(Account_Mapping!$C:$C,MATCH($C842&amp;"",Account_Mapping!$A:$A,0))&amp;"",""))</f>
        <v/>
      </c>
      <c r="N842" s="24" t="str">
        <f aca="false">IF($K842&lt;&gt;"",$K842,$M842)</f>
        <v/>
      </c>
      <c r="O842" s="24" t="str">
        <f aca="false">IF($F842="","",IFERROR(INDEX(Counterparties!$C:$C,MATCH($F842&amp;"",Counterparties!$A:$A,0))&amp;"",""))</f>
        <v/>
      </c>
      <c r="P842" s="24" t="str">
        <f aca="false">IF($O842="","",IF($O842="CY","CY",IF(ISNUMBER(MATCH($O842,Lists!$A:$A,0)),"EU","3RD")))</f>
        <v/>
      </c>
      <c r="Q842" s="24" t="str">
        <f aca="false">IF($F842="","N",IFERROR(IF(INDEX(Counterparties!$E:$E,MATCH($F842&amp;"",Counterparties!$A:$A,0))="Y","Y","N"),"N"))</f>
        <v>N</v>
      </c>
      <c r="R842" s="25" t="n">
        <f aca="false">IF(OR($H842="",$H842="EUR"),1,IFERROR(INDEX(FX_Rates!$D:$D,MATCH($H842,FX_Rates!$A:$A,0)),""))</f>
        <v>1</v>
      </c>
      <c r="S842" s="26" t="str">
        <f aca="false">IF(AND($I842="",$J842=""),"",IF($J842&lt;&gt;"",$J842,IF(OR($R842="",$R842=0),"",ROUND($I842/$R842,2))))</f>
        <v/>
      </c>
      <c r="T842" s="24" t="str">
        <f aca="false">IF($N842="","",IFERROR(INDEX(VAT_Codes!$C:$C,MATCH($N842,VAT_Codes!$A:$A,0)),"")&amp;"")</f>
        <v/>
      </c>
      <c r="U842" s="26" t="n">
        <f aca="false">IF(OR($S842="",$T842="",$T842="None"),0,IF($T842="Output",-$S842,$S842))</f>
        <v>0</v>
      </c>
      <c r="V842" s="27" t="n">
        <f aca="false">IF($N842="",0,IFERROR(INDEX(VAT_Codes!$D:$D,MATCH($N842,VAT_Codes!$A:$A,0)),0))</f>
        <v>0</v>
      </c>
      <c r="W842" s="26" t="n">
        <f aca="false">IF($U842=0,0,IF(IFERROR(INDEX(VAT_Codes!$F:$F,MATCH($N842,VAT_Codes!$A:$A,0)),"N")="Y",$U842,IF($L842&lt;&gt;"",ROUND(ABS($L842)/IF(OR($R842="",$R842=0),1,$R842),2)*SIGN($U842),ROUND($U842*$V842,2))))</f>
        <v>0</v>
      </c>
      <c r="X842" s="24" t="str">
        <f aca="false">IF($N842="","",IFERROR(INDEX(VAT_Codes!$H:$H,MATCH($N842,VAT_Codes!$A:$A,0)),"")&amp;"")</f>
        <v/>
      </c>
      <c r="Y842" s="24" t="str">
        <f aca="false">IF($A842="","",(YEAR($A842)-YEAR(Settings!$C$8))*12+MONTH($A842)-MONTH(Settings!$C$8)+1)</f>
        <v/>
      </c>
      <c r="Z842" s="24" t="str">
        <f aca="false">IF(AND($C842="",$I842="",$J842=""),"",IF($N842="","NO VAT CODE",IF($T842="","UNKNOWN VAT CODE",IF($S842="","MISSING FX RATE",IF(OR($A842&lt;Settings!$C$8,$A842&gt;Settings!$C$9),"OUTSIDE PERIOD",IF(AND(IFERROR(INDEX(VAT_Codes!$E:$E,MATCH($N842,VAT_Codes!$A:$A,0)),"ANY")&lt;&gt;"ANY",$P842=""),"MISSING COUNTERPARTY COUNTRY",IF(AND(IFERROR(INDEX(VAT_Codes!$E:$E,MATCH($N842,VAT_Codes!$A:$A,0)),"ANY")&lt;&gt;"ANY",$P842&lt;&gt;IFERROR(INDEX(VAT_Codes!$E:$E,MATCH($N842,VAT_Codes!$A:$A,0)),"ANY")),"REGION MISMATCH","OK")))))))</f>
        <v/>
      </c>
    </row>
    <row r="843" customFormat="false" ht="15" hidden="false" customHeight="false" outlineLevel="0" collapsed="false">
      <c r="M843" s="24" t="str">
        <f aca="false">IF($C843="","",IFERROR(INDEX(Account_Mapping!$C:$C,MATCH($C843&amp;"",Account_Mapping!$A:$A,0))&amp;"",""))</f>
        <v/>
      </c>
      <c r="N843" s="24" t="str">
        <f aca="false">IF($K843&lt;&gt;"",$K843,$M843)</f>
        <v/>
      </c>
      <c r="O843" s="24" t="str">
        <f aca="false">IF($F843="","",IFERROR(INDEX(Counterparties!$C:$C,MATCH($F843&amp;"",Counterparties!$A:$A,0))&amp;"",""))</f>
        <v/>
      </c>
      <c r="P843" s="24" t="str">
        <f aca="false">IF($O843="","",IF($O843="CY","CY",IF(ISNUMBER(MATCH($O843,Lists!$A:$A,0)),"EU","3RD")))</f>
        <v/>
      </c>
      <c r="Q843" s="24" t="str">
        <f aca="false">IF($F843="","N",IFERROR(IF(INDEX(Counterparties!$E:$E,MATCH($F843&amp;"",Counterparties!$A:$A,0))="Y","Y","N"),"N"))</f>
        <v>N</v>
      </c>
      <c r="R843" s="25" t="n">
        <f aca="false">IF(OR($H843="",$H843="EUR"),1,IFERROR(INDEX(FX_Rates!$D:$D,MATCH($H843,FX_Rates!$A:$A,0)),""))</f>
        <v>1</v>
      </c>
      <c r="S843" s="26" t="str">
        <f aca="false">IF(AND($I843="",$J843=""),"",IF($J843&lt;&gt;"",$J843,IF(OR($R843="",$R843=0),"",ROUND($I843/$R843,2))))</f>
        <v/>
      </c>
      <c r="T843" s="24" t="str">
        <f aca="false">IF($N843="","",IFERROR(INDEX(VAT_Codes!$C:$C,MATCH($N843,VAT_Codes!$A:$A,0)),"")&amp;"")</f>
        <v/>
      </c>
      <c r="U843" s="26" t="n">
        <f aca="false">IF(OR($S843="",$T843="",$T843="None"),0,IF($T843="Output",-$S843,$S843))</f>
        <v>0</v>
      </c>
      <c r="V843" s="27" t="n">
        <f aca="false">IF($N843="",0,IFERROR(INDEX(VAT_Codes!$D:$D,MATCH($N843,VAT_Codes!$A:$A,0)),0))</f>
        <v>0</v>
      </c>
      <c r="W843" s="26" t="n">
        <f aca="false">IF($U843=0,0,IF(IFERROR(INDEX(VAT_Codes!$F:$F,MATCH($N843,VAT_Codes!$A:$A,0)),"N")="Y",$U843,IF($L843&lt;&gt;"",ROUND(ABS($L843)/IF(OR($R843="",$R843=0),1,$R843),2)*SIGN($U843),ROUND($U843*$V843,2))))</f>
        <v>0</v>
      </c>
      <c r="X843" s="24" t="str">
        <f aca="false">IF($N843="","",IFERROR(INDEX(VAT_Codes!$H:$H,MATCH($N843,VAT_Codes!$A:$A,0)),"")&amp;"")</f>
        <v/>
      </c>
      <c r="Y843" s="24" t="str">
        <f aca="false">IF($A843="","",(YEAR($A843)-YEAR(Settings!$C$8))*12+MONTH($A843)-MONTH(Settings!$C$8)+1)</f>
        <v/>
      </c>
      <c r="Z843" s="24" t="str">
        <f aca="false">IF(AND($C843="",$I843="",$J843=""),"",IF($N843="","NO VAT CODE",IF($T843="","UNKNOWN VAT CODE",IF($S843="","MISSING FX RATE",IF(OR($A843&lt;Settings!$C$8,$A843&gt;Settings!$C$9),"OUTSIDE PERIOD",IF(AND(IFERROR(INDEX(VAT_Codes!$E:$E,MATCH($N843,VAT_Codes!$A:$A,0)),"ANY")&lt;&gt;"ANY",$P843=""),"MISSING COUNTERPARTY COUNTRY",IF(AND(IFERROR(INDEX(VAT_Codes!$E:$E,MATCH($N843,VAT_Codes!$A:$A,0)),"ANY")&lt;&gt;"ANY",$P843&lt;&gt;IFERROR(INDEX(VAT_Codes!$E:$E,MATCH($N843,VAT_Codes!$A:$A,0)),"ANY")),"REGION MISMATCH","OK")))))))</f>
        <v/>
      </c>
    </row>
    <row r="844" customFormat="false" ht="15" hidden="false" customHeight="false" outlineLevel="0" collapsed="false">
      <c r="M844" s="24" t="str">
        <f aca="false">IF($C844="","",IFERROR(INDEX(Account_Mapping!$C:$C,MATCH($C844&amp;"",Account_Mapping!$A:$A,0))&amp;"",""))</f>
        <v/>
      </c>
      <c r="N844" s="24" t="str">
        <f aca="false">IF($K844&lt;&gt;"",$K844,$M844)</f>
        <v/>
      </c>
      <c r="O844" s="24" t="str">
        <f aca="false">IF($F844="","",IFERROR(INDEX(Counterparties!$C:$C,MATCH($F844&amp;"",Counterparties!$A:$A,0))&amp;"",""))</f>
        <v/>
      </c>
      <c r="P844" s="24" t="str">
        <f aca="false">IF($O844="","",IF($O844="CY","CY",IF(ISNUMBER(MATCH($O844,Lists!$A:$A,0)),"EU","3RD")))</f>
        <v/>
      </c>
      <c r="Q844" s="24" t="str">
        <f aca="false">IF($F844="","N",IFERROR(IF(INDEX(Counterparties!$E:$E,MATCH($F844&amp;"",Counterparties!$A:$A,0))="Y","Y","N"),"N"))</f>
        <v>N</v>
      </c>
      <c r="R844" s="25" t="n">
        <f aca="false">IF(OR($H844="",$H844="EUR"),1,IFERROR(INDEX(FX_Rates!$D:$D,MATCH($H844,FX_Rates!$A:$A,0)),""))</f>
        <v>1</v>
      </c>
      <c r="S844" s="26" t="str">
        <f aca="false">IF(AND($I844="",$J844=""),"",IF($J844&lt;&gt;"",$J844,IF(OR($R844="",$R844=0),"",ROUND($I844/$R844,2))))</f>
        <v/>
      </c>
      <c r="T844" s="24" t="str">
        <f aca="false">IF($N844="","",IFERROR(INDEX(VAT_Codes!$C:$C,MATCH($N844,VAT_Codes!$A:$A,0)),"")&amp;"")</f>
        <v/>
      </c>
      <c r="U844" s="26" t="n">
        <f aca="false">IF(OR($S844="",$T844="",$T844="None"),0,IF($T844="Output",-$S844,$S844))</f>
        <v>0</v>
      </c>
      <c r="V844" s="27" t="n">
        <f aca="false">IF($N844="",0,IFERROR(INDEX(VAT_Codes!$D:$D,MATCH($N844,VAT_Codes!$A:$A,0)),0))</f>
        <v>0</v>
      </c>
      <c r="W844" s="26" t="n">
        <f aca="false">IF($U844=0,0,IF(IFERROR(INDEX(VAT_Codes!$F:$F,MATCH($N844,VAT_Codes!$A:$A,0)),"N")="Y",$U844,IF($L844&lt;&gt;"",ROUND(ABS($L844)/IF(OR($R844="",$R844=0),1,$R844),2)*SIGN($U844),ROUND($U844*$V844,2))))</f>
        <v>0</v>
      </c>
      <c r="X844" s="24" t="str">
        <f aca="false">IF($N844="","",IFERROR(INDEX(VAT_Codes!$H:$H,MATCH($N844,VAT_Codes!$A:$A,0)),"")&amp;"")</f>
        <v/>
      </c>
      <c r="Y844" s="24" t="str">
        <f aca="false">IF($A844="","",(YEAR($A844)-YEAR(Settings!$C$8))*12+MONTH($A844)-MONTH(Settings!$C$8)+1)</f>
        <v/>
      </c>
      <c r="Z844" s="24" t="str">
        <f aca="false">IF(AND($C844="",$I844="",$J844=""),"",IF($N844="","NO VAT CODE",IF($T844="","UNKNOWN VAT CODE",IF($S844="","MISSING FX RATE",IF(OR($A844&lt;Settings!$C$8,$A844&gt;Settings!$C$9),"OUTSIDE PERIOD",IF(AND(IFERROR(INDEX(VAT_Codes!$E:$E,MATCH($N844,VAT_Codes!$A:$A,0)),"ANY")&lt;&gt;"ANY",$P844=""),"MISSING COUNTERPARTY COUNTRY",IF(AND(IFERROR(INDEX(VAT_Codes!$E:$E,MATCH($N844,VAT_Codes!$A:$A,0)),"ANY")&lt;&gt;"ANY",$P844&lt;&gt;IFERROR(INDEX(VAT_Codes!$E:$E,MATCH($N844,VAT_Codes!$A:$A,0)),"ANY")),"REGION MISMATCH","OK")))))))</f>
        <v/>
      </c>
    </row>
    <row r="845" customFormat="false" ht="15" hidden="false" customHeight="false" outlineLevel="0" collapsed="false">
      <c r="M845" s="24" t="str">
        <f aca="false">IF($C845="","",IFERROR(INDEX(Account_Mapping!$C:$C,MATCH($C845&amp;"",Account_Mapping!$A:$A,0))&amp;"",""))</f>
        <v/>
      </c>
      <c r="N845" s="24" t="str">
        <f aca="false">IF($K845&lt;&gt;"",$K845,$M845)</f>
        <v/>
      </c>
      <c r="O845" s="24" t="str">
        <f aca="false">IF($F845="","",IFERROR(INDEX(Counterparties!$C:$C,MATCH($F845&amp;"",Counterparties!$A:$A,0))&amp;"",""))</f>
        <v/>
      </c>
      <c r="P845" s="24" t="str">
        <f aca="false">IF($O845="","",IF($O845="CY","CY",IF(ISNUMBER(MATCH($O845,Lists!$A:$A,0)),"EU","3RD")))</f>
        <v/>
      </c>
      <c r="Q845" s="24" t="str">
        <f aca="false">IF($F845="","N",IFERROR(IF(INDEX(Counterparties!$E:$E,MATCH($F845&amp;"",Counterparties!$A:$A,0))="Y","Y","N"),"N"))</f>
        <v>N</v>
      </c>
      <c r="R845" s="25" t="n">
        <f aca="false">IF(OR($H845="",$H845="EUR"),1,IFERROR(INDEX(FX_Rates!$D:$D,MATCH($H845,FX_Rates!$A:$A,0)),""))</f>
        <v>1</v>
      </c>
      <c r="S845" s="26" t="str">
        <f aca="false">IF(AND($I845="",$J845=""),"",IF($J845&lt;&gt;"",$J845,IF(OR($R845="",$R845=0),"",ROUND($I845/$R845,2))))</f>
        <v/>
      </c>
      <c r="T845" s="24" t="str">
        <f aca="false">IF($N845="","",IFERROR(INDEX(VAT_Codes!$C:$C,MATCH($N845,VAT_Codes!$A:$A,0)),"")&amp;"")</f>
        <v/>
      </c>
      <c r="U845" s="26" t="n">
        <f aca="false">IF(OR($S845="",$T845="",$T845="None"),0,IF($T845="Output",-$S845,$S845))</f>
        <v>0</v>
      </c>
      <c r="V845" s="27" t="n">
        <f aca="false">IF($N845="",0,IFERROR(INDEX(VAT_Codes!$D:$D,MATCH($N845,VAT_Codes!$A:$A,0)),0))</f>
        <v>0</v>
      </c>
      <c r="W845" s="26" t="n">
        <f aca="false">IF($U845=0,0,IF(IFERROR(INDEX(VAT_Codes!$F:$F,MATCH($N845,VAT_Codes!$A:$A,0)),"N")="Y",$U845,IF($L845&lt;&gt;"",ROUND(ABS($L845)/IF(OR($R845="",$R845=0),1,$R845),2)*SIGN($U845),ROUND($U845*$V845,2))))</f>
        <v>0</v>
      </c>
      <c r="X845" s="24" t="str">
        <f aca="false">IF($N845="","",IFERROR(INDEX(VAT_Codes!$H:$H,MATCH($N845,VAT_Codes!$A:$A,0)),"")&amp;"")</f>
        <v/>
      </c>
      <c r="Y845" s="24" t="str">
        <f aca="false">IF($A845="","",(YEAR($A845)-YEAR(Settings!$C$8))*12+MONTH($A845)-MONTH(Settings!$C$8)+1)</f>
        <v/>
      </c>
      <c r="Z845" s="24" t="str">
        <f aca="false">IF(AND($C845="",$I845="",$J845=""),"",IF($N845="","NO VAT CODE",IF($T845="","UNKNOWN VAT CODE",IF($S845="","MISSING FX RATE",IF(OR($A845&lt;Settings!$C$8,$A845&gt;Settings!$C$9),"OUTSIDE PERIOD",IF(AND(IFERROR(INDEX(VAT_Codes!$E:$E,MATCH($N845,VAT_Codes!$A:$A,0)),"ANY")&lt;&gt;"ANY",$P845=""),"MISSING COUNTERPARTY COUNTRY",IF(AND(IFERROR(INDEX(VAT_Codes!$E:$E,MATCH($N845,VAT_Codes!$A:$A,0)),"ANY")&lt;&gt;"ANY",$P845&lt;&gt;IFERROR(INDEX(VAT_Codes!$E:$E,MATCH($N845,VAT_Codes!$A:$A,0)),"ANY")),"REGION MISMATCH","OK")))))))</f>
        <v/>
      </c>
    </row>
    <row r="846" customFormat="false" ht="15" hidden="false" customHeight="false" outlineLevel="0" collapsed="false">
      <c r="M846" s="24" t="str">
        <f aca="false">IF($C846="","",IFERROR(INDEX(Account_Mapping!$C:$C,MATCH($C846&amp;"",Account_Mapping!$A:$A,0))&amp;"",""))</f>
        <v/>
      </c>
      <c r="N846" s="24" t="str">
        <f aca="false">IF($K846&lt;&gt;"",$K846,$M846)</f>
        <v/>
      </c>
      <c r="O846" s="24" t="str">
        <f aca="false">IF($F846="","",IFERROR(INDEX(Counterparties!$C:$C,MATCH($F846&amp;"",Counterparties!$A:$A,0))&amp;"",""))</f>
        <v/>
      </c>
      <c r="P846" s="24" t="str">
        <f aca="false">IF($O846="","",IF($O846="CY","CY",IF(ISNUMBER(MATCH($O846,Lists!$A:$A,0)),"EU","3RD")))</f>
        <v/>
      </c>
      <c r="Q846" s="24" t="str">
        <f aca="false">IF($F846="","N",IFERROR(IF(INDEX(Counterparties!$E:$E,MATCH($F846&amp;"",Counterparties!$A:$A,0))="Y","Y","N"),"N"))</f>
        <v>N</v>
      </c>
      <c r="R846" s="25" t="n">
        <f aca="false">IF(OR($H846="",$H846="EUR"),1,IFERROR(INDEX(FX_Rates!$D:$D,MATCH($H846,FX_Rates!$A:$A,0)),""))</f>
        <v>1</v>
      </c>
      <c r="S846" s="26" t="str">
        <f aca="false">IF(AND($I846="",$J846=""),"",IF($J846&lt;&gt;"",$J846,IF(OR($R846="",$R846=0),"",ROUND($I846/$R846,2))))</f>
        <v/>
      </c>
      <c r="T846" s="24" t="str">
        <f aca="false">IF($N846="","",IFERROR(INDEX(VAT_Codes!$C:$C,MATCH($N846,VAT_Codes!$A:$A,0)),"")&amp;"")</f>
        <v/>
      </c>
      <c r="U846" s="26" t="n">
        <f aca="false">IF(OR($S846="",$T846="",$T846="None"),0,IF($T846="Output",-$S846,$S846))</f>
        <v>0</v>
      </c>
      <c r="V846" s="27" t="n">
        <f aca="false">IF($N846="",0,IFERROR(INDEX(VAT_Codes!$D:$D,MATCH($N846,VAT_Codes!$A:$A,0)),0))</f>
        <v>0</v>
      </c>
      <c r="W846" s="26" t="n">
        <f aca="false">IF($U846=0,0,IF(IFERROR(INDEX(VAT_Codes!$F:$F,MATCH($N846,VAT_Codes!$A:$A,0)),"N")="Y",$U846,IF($L846&lt;&gt;"",ROUND(ABS($L846)/IF(OR($R846="",$R846=0),1,$R846),2)*SIGN($U846),ROUND($U846*$V846,2))))</f>
        <v>0</v>
      </c>
      <c r="X846" s="24" t="str">
        <f aca="false">IF($N846="","",IFERROR(INDEX(VAT_Codes!$H:$H,MATCH($N846,VAT_Codes!$A:$A,0)),"")&amp;"")</f>
        <v/>
      </c>
      <c r="Y846" s="24" t="str">
        <f aca="false">IF($A846="","",(YEAR($A846)-YEAR(Settings!$C$8))*12+MONTH($A846)-MONTH(Settings!$C$8)+1)</f>
        <v/>
      </c>
      <c r="Z846" s="24" t="str">
        <f aca="false">IF(AND($C846="",$I846="",$J846=""),"",IF($N846="","NO VAT CODE",IF($T846="","UNKNOWN VAT CODE",IF($S846="","MISSING FX RATE",IF(OR($A846&lt;Settings!$C$8,$A846&gt;Settings!$C$9),"OUTSIDE PERIOD",IF(AND(IFERROR(INDEX(VAT_Codes!$E:$E,MATCH($N846,VAT_Codes!$A:$A,0)),"ANY")&lt;&gt;"ANY",$P846=""),"MISSING COUNTERPARTY COUNTRY",IF(AND(IFERROR(INDEX(VAT_Codes!$E:$E,MATCH($N846,VAT_Codes!$A:$A,0)),"ANY")&lt;&gt;"ANY",$P846&lt;&gt;IFERROR(INDEX(VAT_Codes!$E:$E,MATCH($N846,VAT_Codes!$A:$A,0)),"ANY")),"REGION MISMATCH","OK")))))))</f>
        <v/>
      </c>
    </row>
    <row r="847" customFormat="false" ht="15" hidden="false" customHeight="false" outlineLevel="0" collapsed="false">
      <c r="M847" s="24" t="str">
        <f aca="false">IF($C847="","",IFERROR(INDEX(Account_Mapping!$C:$C,MATCH($C847&amp;"",Account_Mapping!$A:$A,0))&amp;"",""))</f>
        <v/>
      </c>
      <c r="N847" s="24" t="str">
        <f aca="false">IF($K847&lt;&gt;"",$K847,$M847)</f>
        <v/>
      </c>
      <c r="O847" s="24" t="str">
        <f aca="false">IF($F847="","",IFERROR(INDEX(Counterparties!$C:$C,MATCH($F847&amp;"",Counterparties!$A:$A,0))&amp;"",""))</f>
        <v/>
      </c>
      <c r="P847" s="24" t="str">
        <f aca="false">IF($O847="","",IF($O847="CY","CY",IF(ISNUMBER(MATCH($O847,Lists!$A:$A,0)),"EU","3RD")))</f>
        <v/>
      </c>
      <c r="Q847" s="24" t="str">
        <f aca="false">IF($F847="","N",IFERROR(IF(INDEX(Counterparties!$E:$E,MATCH($F847&amp;"",Counterparties!$A:$A,0))="Y","Y","N"),"N"))</f>
        <v>N</v>
      </c>
      <c r="R847" s="25" t="n">
        <f aca="false">IF(OR($H847="",$H847="EUR"),1,IFERROR(INDEX(FX_Rates!$D:$D,MATCH($H847,FX_Rates!$A:$A,0)),""))</f>
        <v>1</v>
      </c>
      <c r="S847" s="26" t="str">
        <f aca="false">IF(AND($I847="",$J847=""),"",IF($J847&lt;&gt;"",$J847,IF(OR($R847="",$R847=0),"",ROUND($I847/$R847,2))))</f>
        <v/>
      </c>
      <c r="T847" s="24" t="str">
        <f aca="false">IF($N847="","",IFERROR(INDEX(VAT_Codes!$C:$C,MATCH($N847,VAT_Codes!$A:$A,0)),"")&amp;"")</f>
        <v/>
      </c>
      <c r="U847" s="26" t="n">
        <f aca="false">IF(OR($S847="",$T847="",$T847="None"),0,IF($T847="Output",-$S847,$S847))</f>
        <v>0</v>
      </c>
      <c r="V847" s="27" t="n">
        <f aca="false">IF($N847="",0,IFERROR(INDEX(VAT_Codes!$D:$D,MATCH($N847,VAT_Codes!$A:$A,0)),0))</f>
        <v>0</v>
      </c>
      <c r="W847" s="26" t="n">
        <f aca="false">IF($U847=0,0,IF(IFERROR(INDEX(VAT_Codes!$F:$F,MATCH($N847,VAT_Codes!$A:$A,0)),"N")="Y",$U847,IF($L847&lt;&gt;"",ROUND(ABS($L847)/IF(OR($R847="",$R847=0),1,$R847),2)*SIGN($U847),ROUND($U847*$V847,2))))</f>
        <v>0</v>
      </c>
      <c r="X847" s="24" t="str">
        <f aca="false">IF($N847="","",IFERROR(INDEX(VAT_Codes!$H:$H,MATCH($N847,VAT_Codes!$A:$A,0)),"")&amp;"")</f>
        <v/>
      </c>
      <c r="Y847" s="24" t="str">
        <f aca="false">IF($A847="","",(YEAR($A847)-YEAR(Settings!$C$8))*12+MONTH($A847)-MONTH(Settings!$C$8)+1)</f>
        <v/>
      </c>
      <c r="Z847" s="24" t="str">
        <f aca="false">IF(AND($C847="",$I847="",$J847=""),"",IF($N847="","NO VAT CODE",IF($T847="","UNKNOWN VAT CODE",IF($S847="","MISSING FX RATE",IF(OR($A847&lt;Settings!$C$8,$A847&gt;Settings!$C$9),"OUTSIDE PERIOD",IF(AND(IFERROR(INDEX(VAT_Codes!$E:$E,MATCH($N847,VAT_Codes!$A:$A,0)),"ANY")&lt;&gt;"ANY",$P847=""),"MISSING COUNTERPARTY COUNTRY",IF(AND(IFERROR(INDEX(VAT_Codes!$E:$E,MATCH($N847,VAT_Codes!$A:$A,0)),"ANY")&lt;&gt;"ANY",$P847&lt;&gt;IFERROR(INDEX(VAT_Codes!$E:$E,MATCH($N847,VAT_Codes!$A:$A,0)),"ANY")),"REGION MISMATCH","OK")))))))</f>
        <v/>
      </c>
    </row>
    <row r="848" customFormat="false" ht="15" hidden="false" customHeight="false" outlineLevel="0" collapsed="false">
      <c r="M848" s="24" t="str">
        <f aca="false">IF($C848="","",IFERROR(INDEX(Account_Mapping!$C:$C,MATCH($C848&amp;"",Account_Mapping!$A:$A,0))&amp;"",""))</f>
        <v/>
      </c>
      <c r="N848" s="24" t="str">
        <f aca="false">IF($K848&lt;&gt;"",$K848,$M848)</f>
        <v/>
      </c>
      <c r="O848" s="24" t="str">
        <f aca="false">IF($F848="","",IFERROR(INDEX(Counterparties!$C:$C,MATCH($F848&amp;"",Counterparties!$A:$A,0))&amp;"",""))</f>
        <v/>
      </c>
      <c r="P848" s="24" t="str">
        <f aca="false">IF($O848="","",IF($O848="CY","CY",IF(ISNUMBER(MATCH($O848,Lists!$A:$A,0)),"EU","3RD")))</f>
        <v/>
      </c>
      <c r="Q848" s="24" t="str">
        <f aca="false">IF($F848="","N",IFERROR(IF(INDEX(Counterparties!$E:$E,MATCH($F848&amp;"",Counterparties!$A:$A,0))="Y","Y","N"),"N"))</f>
        <v>N</v>
      </c>
      <c r="R848" s="25" t="n">
        <f aca="false">IF(OR($H848="",$H848="EUR"),1,IFERROR(INDEX(FX_Rates!$D:$D,MATCH($H848,FX_Rates!$A:$A,0)),""))</f>
        <v>1</v>
      </c>
      <c r="S848" s="26" t="str">
        <f aca="false">IF(AND($I848="",$J848=""),"",IF($J848&lt;&gt;"",$J848,IF(OR($R848="",$R848=0),"",ROUND($I848/$R848,2))))</f>
        <v/>
      </c>
      <c r="T848" s="24" t="str">
        <f aca="false">IF($N848="","",IFERROR(INDEX(VAT_Codes!$C:$C,MATCH($N848,VAT_Codes!$A:$A,0)),"")&amp;"")</f>
        <v/>
      </c>
      <c r="U848" s="26" t="n">
        <f aca="false">IF(OR($S848="",$T848="",$T848="None"),0,IF($T848="Output",-$S848,$S848))</f>
        <v>0</v>
      </c>
      <c r="V848" s="27" t="n">
        <f aca="false">IF($N848="",0,IFERROR(INDEX(VAT_Codes!$D:$D,MATCH($N848,VAT_Codes!$A:$A,0)),0))</f>
        <v>0</v>
      </c>
      <c r="W848" s="26" t="n">
        <f aca="false">IF($U848=0,0,IF(IFERROR(INDEX(VAT_Codes!$F:$F,MATCH($N848,VAT_Codes!$A:$A,0)),"N")="Y",$U848,IF($L848&lt;&gt;"",ROUND(ABS($L848)/IF(OR($R848="",$R848=0),1,$R848),2)*SIGN($U848),ROUND($U848*$V848,2))))</f>
        <v>0</v>
      </c>
      <c r="X848" s="24" t="str">
        <f aca="false">IF($N848="","",IFERROR(INDEX(VAT_Codes!$H:$H,MATCH($N848,VAT_Codes!$A:$A,0)),"")&amp;"")</f>
        <v/>
      </c>
      <c r="Y848" s="24" t="str">
        <f aca="false">IF($A848="","",(YEAR($A848)-YEAR(Settings!$C$8))*12+MONTH($A848)-MONTH(Settings!$C$8)+1)</f>
        <v/>
      </c>
      <c r="Z848" s="24" t="str">
        <f aca="false">IF(AND($C848="",$I848="",$J848=""),"",IF($N848="","NO VAT CODE",IF($T848="","UNKNOWN VAT CODE",IF($S848="","MISSING FX RATE",IF(OR($A848&lt;Settings!$C$8,$A848&gt;Settings!$C$9),"OUTSIDE PERIOD",IF(AND(IFERROR(INDEX(VAT_Codes!$E:$E,MATCH($N848,VAT_Codes!$A:$A,0)),"ANY")&lt;&gt;"ANY",$P848=""),"MISSING COUNTERPARTY COUNTRY",IF(AND(IFERROR(INDEX(VAT_Codes!$E:$E,MATCH($N848,VAT_Codes!$A:$A,0)),"ANY")&lt;&gt;"ANY",$P848&lt;&gt;IFERROR(INDEX(VAT_Codes!$E:$E,MATCH($N848,VAT_Codes!$A:$A,0)),"ANY")),"REGION MISMATCH","OK")))))))</f>
        <v/>
      </c>
    </row>
    <row r="849" customFormat="false" ht="15" hidden="false" customHeight="false" outlineLevel="0" collapsed="false">
      <c r="M849" s="24" t="str">
        <f aca="false">IF($C849="","",IFERROR(INDEX(Account_Mapping!$C:$C,MATCH($C849&amp;"",Account_Mapping!$A:$A,0))&amp;"",""))</f>
        <v/>
      </c>
      <c r="N849" s="24" t="str">
        <f aca="false">IF($K849&lt;&gt;"",$K849,$M849)</f>
        <v/>
      </c>
      <c r="O849" s="24" t="str">
        <f aca="false">IF($F849="","",IFERROR(INDEX(Counterparties!$C:$C,MATCH($F849&amp;"",Counterparties!$A:$A,0))&amp;"",""))</f>
        <v/>
      </c>
      <c r="P849" s="24" t="str">
        <f aca="false">IF($O849="","",IF($O849="CY","CY",IF(ISNUMBER(MATCH($O849,Lists!$A:$A,0)),"EU","3RD")))</f>
        <v/>
      </c>
      <c r="Q849" s="24" t="str">
        <f aca="false">IF($F849="","N",IFERROR(IF(INDEX(Counterparties!$E:$E,MATCH($F849&amp;"",Counterparties!$A:$A,0))="Y","Y","N"),"N"))</f>
        <v>N</v>
      </c>
      <c r="R849" s="25" t="n">
        <f aca="false">IF(OR($H849="",$H849="EUR"),1,IFERROR(INDEX(FX_Rates!$D:$D,MATCH($H849,FX_Rates!$A:$A,0)),""))</f>
        <v>1</v>
      </c>
      <c r="S849" s="26" t="str">
        <f aca="false">IF(AND($I849="",$J849=""),"",IF($J849&lt;&gt;"",$J849,IF(OR($R849="",$R849=0),"",ROUND($I849/$R849,2))))</f>
        <v/>
      </c>
      <c r="T849" s="24" t="str">
        <f aca="false">IF($N849="","",IFERROR(INDEX(VAT_Codes!$C:$C,MATCH($N849,VAT_Codes!$A:$A,0)),"")&amp;"")</f>
        <v/>
      </c>
      <c r="U849" s="26" t="n">
        <f aca="false">IF(OR($S849="",$T849="",$T849="None"),0,IF($T849="Output",-$S849,$S849))</f>
        <v>0</v>
      </c>
      <c r="V849" s="27" t="n">
        <f aca="false">IF($N849="",0,IFERROR(INDEX(VAT_Codes!$D:$D,MATCH($N849,VAT_Codes!$A:$A,0)),0))</f>
        <v>0</v>
      </c>
      <c r="W849" s="26" t="n">
        <f aca="false">IF($U849=0,0,IF(IFERROR(INDEX(VAT_Codes!$F:$F,MATCH($N849,VAT_Codes!$A:$A,0)),"N")="Y",$U849,IF($L849&lt;&gt;"",ROUND(ABS($L849)/IF(OR($R849="",$R849=0),1,$R849),2)*SIGN($U849),ROUND($U849*$V849,2))))</f>
        <v>0</v>
      </c>
      <c r="X849" s="24" t="str">
        <f aca="false">IF($N849="","",IFERROR(INDEX(VAT_Codes!$H:$H,MATCH($N849,VAT_Codes!$A:$A,0)),"")&amp;"")</f>
        <v/>
      </c>
      <c r="Y849" s="24" t="str">
        <f aca="false">IF($A849="","",(YEAR($A849)-YEAR(Settings!$C$8))*12+MONTH($A849)-MONTH(Settings!$C$8)+1)</f>
        <v/>
      </c>
      <c r="Z849" s="24" t="str">
        <f aca="false">IF(AND($C849="",$I849="",$J849=""),"",IF($N849="","NO VAT CODE",IF($T849="","UNKNOWN VAT CODE",IF($S849="","MISSING FX RATE",IF(OR($A849&lt;Settings!$C$8,$A849&gt;Settings!$C$9),"OUTSIDE PERIOD",IF(AND(IFERROR(INDEX(VAT_Codes!$E:$E,MATCH($N849,VAT_Codes!$A:$A,0)),"ANY")&lt;&gt;"ANY",$P849=""),"MISSING COUNTERPARTY COUNTRY",IF(AND(IFERROR(INDEX(VAT_Codes!$E:$E,MATCH($N849,VAT_Codes!$A:$A,0)),"ANY")&lt;&gt;"ANY",$P849&lt;&gt;IFERROR(INDEX(VAT_Codes!$E:$E,MATCH($N849,VAT_Codes!$A:$A,0)),"ANY")),"REGION MISMATCH","OK")))))))</f>
        <v/>
      </c>
    </row>
    <row r="850" customFormat="false" ht="15" hidden="false" customHeight="false" outlineLevel="0" collapsed="false">
      <c r="M850" s="24" t="str">
        <f aca="false">IF($C850="","",IFERROR(INDEX(Account_Mapping!$C:$C,MATCH($C850&amp;"",Account_Mapping!$A:$A,0))&amp;"",""))</f>
        <v/>
      </c>
      <c r="N850" s="24" t="str">
        <f aca="false">IF($K850&lt;&gt;"",$K850,$M850)</f>
        <v/>
      </c>
      <c r="O850" s="24" t="str">
        <f aca="false">IF($F850="","",IFERROR(INDEX(Counterparties!$C:$C,MATCH($F850&amp;"",Counterparties!$A:$A,0))&amp;"",""))</f>
        <v/>
      </c>
      <c r="P850" s="24" t="str">
        <f aca="false">IF($O850="","",IF($O850="CY","CY",IF(ISNUMBER(MATCH($O850,Lists!$A:$A,0)),"EU","3RD")))</f>
        <v/>
      </c>
      <c r="Q850" s="24" t="str">
        <f aca="false">IF($F850="","N",IFERROR(IF(INDEX(Counterparties!$E:$E,MATCH($F850&amp;"",Counterparties!$A:$A,0))="Y","Y","N"),"N"))</f>
        <v>N</v>
      </c>
      <c r="R850" s="25" t="n">
        <f aca="false">IF(OR($H850="",$H850="EUR"),1,IFERROR(INDEX(FX_Rates!$D:$D,MATCH($H850,FX_Rates!$A:$A,0)),""))</f>
        <v>1</v>
      </c>
      <c r="S850" s="26" t="str">
        <f aca="false">IF(AND($I850="",$J850=""),"",IF($J850&lt;&gt;"",$J850,IF(OR($R850="",$R850=0),"",ROUND($I850/$R850,2))))</f>
        <v/>
      </c>
      <c r="T850" s="24" t="str">
        <f aca="false">IF($N850="","",IFERROR(INDEX(VAT_Codes!$C:$C,MATCH($N850,VAT_Codes!$A:$A,0)),"")&amp;"")</f>
        <v/>
      </c>
      <c r="U850" s="26" t="n">
        <f aca="false">IF(OR($S850="",$T850="",$T850="None"),0,IF($T850="Output",-$S850,$S850))</f>
        <v>0</v>
      </c>
      <c r="V850" s="27" t="n">
        <f aca="false">IF($N850="",0,IFERROR(INDEX(VAT_Codes!$D:$D,MATCH($N850,VAT_Codes!$A:$A,0)),0))</f>
        <v>0</v>
      </c>
      <c r="W850" s="26" t="n">
        <f aca="false">IF($U850=0,0,IF(IFERROR(INDEX(VAT_Codes!$F:$F,MATCH($N850,VAT_Codes!$A:$A,0)),"N")="Y",$U850,IF($L850&lt;&gt;"",ROUND(ABS($L850)/IF(OR($R850="",$R850=0),1,$R850),2)*SIGN($U850),ROUND($U850*$V850,2))))</f>
        <v>0</v>
      </c>
      <c r="X850" s="24" t="str">
        <f aca="false">IF($N850="","",IFERROR(INDEX(VAT_Codes!$H:$H,MATCH($N850,VAT_Codes!$A:$A,0)),"")&amp;"")</f>
        <v/>
      </c>
      <c r="Y850" s="24" t="str">
        <f aca="false">IF($A850="","",(YEAR($A850)-YEAR(Settings!$C$8))*12+MONTH($A850)-MONTH(Settings!$C$8)+1)</f>
        <v/>
      </c>
      <c r="Z850" s="24" t="str">
        <f aca="false">IF(AND($C850="",$I850="",$J850=""),"",IF($N850="","NO VAT CODE",IF($T850="","UNKNOWN VAT CODE",IF($S850="","MISSING FX RATE",IF(OR($A850&lt;Settings!$C$8,$A850&gt;Settings!$C$9),"OUTSIDE PERIOD",IF(AND(IFERROR(INDEX(VAT_Codes!$E:$E,MATCH($N850,VAT_Codes!$A:$A,0)),"ANY")&lt;&gt;"ANY",$P850=""),"MISSING COUNTERPARTY COUNTRY",IF(AND(IFERROR(INDEX(VAT_Codes!$E:$E,MATCH($N850,VAT_Codes!$A:$A,0)),"ANY")&lt;&gt;"ANY",$P850&lt;&gt;IFERROR(INDEX(VAT_Codes!$E:$E,MATCH($N850,VAT_Codes!$A:$A,0)),"ANY")),"REGION MISMATCH","OK")))))))</f>
        <v/>
      </c>
    </row>
    <row r="851" customFormat="false" ht="15" hidden="false" customHeight="false" outlineLevel="0" collapsed="false">
      <c r="M851" s="24" t="str">
        <f aca="false">IF($C851="","",IFERROR(INDEX(Account_Mapping!$C:$C,MATCH($C851&amp;"",Account_Mapping!$A:$A,0))&amp;"",""))</f>
        <v/>
      </c>
      <c r="N851" s="24" t="str">
        <f aca="false">IF($K851&lt;&gt;"",$K851,$M851)</f>
        <v/>
      </c>
      <c r="O851" s="24" t="str">
        <f aca="false">IF($F851="","",IFERROR(INDEX(Counterparties!$C:$C,MATCH($F851&amp;"",Counterparties!$A:$A,0))&amp;"",""))</f>
        <v/>
      </c>
      <c r="P851" s="24" t="str">
        <f aca="false">IF($O851="","",IF($O851="CY","CY",IF(ISNUMBER(MATCH($O851,Lists!$A:$A,0)),"EU","3RD")))</f>
        <v/>
      </c>
      <c r="Q851" s="24" t="str">
        <f aca="false">IF($F851="","N",IFERROR(IF(INDEX(Counterparties!$E:$E,MATCH($F851&amp;"",Counterparties!$A:$A,0))="Y","Y","N"),"N"))</f>
        <v>N</v>
      </c>
      <c r="R851" s="25" t="n">
        <f aca="false">IF(OR($H851="",$H851="EUR"),1,IFERROR(INDEX(FX_Rates!$D:$D,MATCH($H851,FX_Rates!$A:$A,0)),""))</f>
        <v>1</v>
      </c>
      <c r="S851" s="26" t="str">
        <f aca="false">IF(AND($I851="",$J851=""),"",IF($J851&lt;&gt;"",$J851,IF(OR($R851="",$R851=0),"",ROUND($I851/$R851,2))))</f>
        <v/>
      </c>
      <c r="T851" s="24" t="str">
        <f aca="false">IF($N851="","",IFERROR(INDEX(VAT_Codes!$C:$C,MATCH($N851,VAT_Codes!$A:$A,0)),"")&amp;"")</f>
        <v/>
      </c>
      <c r="U851" s="26" t="n">
        <f aca="false">IF(OR($S851="",$T851="",$T851="None"),0,IF($T851="Output",-$S851,$S851))</f>
        <v>0</v>
      </c>
      <c r="V851" s="27" t="n">
        <f aca="false">IF($N851="",0,IFERROR(INDEX(VAT_Codes!$D:$D,MATCH($N851,VAT_Codes!$A:$A,0)),0))</f>
        <v>0</v>
      </c>
      <c r="W851" s="26" t="n">
        <f aca="false">IF($U851=0,0,IF(IFERROR(INDEX(VAT_Codes!$F:$F,MATCH($N851,VAT_Codes!$A:$A,0)),"N")="Y",$U851,IF($L851&lt;&gt;"",ROUND(ABS($L851)/IF(OR($R851="",$R851=0),1,$R851),2)*SIGN($U851),ROUND($U851*$V851,2))))</f>
        <v>0</v>
      </c>
      <c r="X851" s="24" t="str">
        <f aca="false">IF($N851="","",IFERROR(INDEX(VAT_Codes!$H:$H,MATCH($N851,VAT_Codes!$A:$A,0)),"")&amp;"")</f>
        <v/>
      </c>
      <c r="Y851" s="24" t="str">
        <f aca="false">IF($A851="","",(YEAR($A851)-YEAR(Settings!$C$8))*12+MONTH($A851)-MONTH(Settings!$C$8)+1)</f>
        <v/>
      </c>
      <c r="Z851" s="24" t="str">
        <f aca="false">IF(AND($C851="",$I851="",$J851=""),"",IF($N851="","NO VAT CODE",IF($T851="","UNKNOWN VAT CODE",IF($S851="","MISSING FX RATE",IF(OR($A851&lt;Settings!$C$8,$A851&gt;Settings!$C$9),"OUTSIDE PERIOD",IF(AND(IFERROR(INDEX(VAT_Codes!$E:$E,MATCH($N851,VAT_Codes!$A:$A,0)),"ANY")&lt;&gt;"ANY",$P851=""),"MISSING COUNTERPARTY COUNTRY",IF(AND(IFERROR(INDEX(VAT_Codes!$E:$E,MATCH($N851,VAT_Codes!$A:$A,0)),"ANY")&lt;&gt;"ANY",$P851&lt;&gt;IFERROR(INDEX(VAT_Codes!$E:$E,MATCH($N851,VAT_Codes!$A:$A,0)),"ANY")),"REGION MISMATCH","OK")))))))</f>
        <v/>
      </c>
    </row>
    <row r="852" customFormat="false" ht="15" hidden="false" customHeight="false" outlineLevel="0" collapsed="false">
      <c r="M852" s="24" t="str">
        <f aca="false">IF($C852="","",IFERROR(INDEX(Account_Mapping!$C:$C,MATCH($C852&amp;"",Account_Mapping!$A:$A,0))&amp;"",""))</f>
        <v/>
      </c>
      <c r="N852" s="24" t="str">
        <f aca="false">IF($K852&lt;&gt;"",$K852,$M852)</f>
        <v/>
      </c>
      <c r="O852" s="24" t="str">
        <f aca="false">IF($F852="","",IFERROR(INDEX(Counterparties!$C:$C,MATCH($F852&amp;"",Counterparties!$A:$A,0))&amp;"",""))</f>
        <v/>
      </c>
      <c r="P852" s="24" t="str">
        <f aca="false">IF($O852="","",IF($O852="CY","CY",IF(ISNUMBER(MATCH($O852,Lists!$A:$A,0)),"EU","3RD")))</f>
        <v/>
      </c>
      <c r="Q852" s="24" t="str">
        <f aca="false">IF($F852="","N",IFERROR(IF(INDEX(Counterparties!$E:$E,MATCH($F852&amp;"",Counterparties!$A:$A,0))="Y","Y","N"),"N"))</f>
        <v>N</v>
      </c>
      <c r="R852" s="25" t="n">
        <f aca="false">IF(OR($H852="",$H852="EUR"),1,IFERROR(INDEX(FX_Rates!$D:$D,MATCH($H852,FX_Rates!$A:$A,0)),""))</f>
        <v>1</v>
      </c>
      <c r="S852" s="26" t="str">
        <f aca="false">IF(AND($I852="",$J852=""),"",IF($J852&lt;&gt;"",$J852,IF(OR($R852="",$R852=0),"",ROUND($I852/$R852,2))))</f>
        <v/>
      </c>
      <c r="T852" s="24" t="str">
        <f aca="false">IF($N852="","",IFERROR(INDEX(VAT_Codes!$C:$C,MATCH($N852,VAT_Codes!$A:$A,0)),"")&amp;"")</f>
        <v/>
      </c>
      <c r="U852" s="26" t="n">
        <f aca="false">IF(OR($S852="",$T852="",$T852="None"),0,IF($T852="Output",-$S852,$S852))</f>
        <v>0</v>
      </c>
      <c r="V852" s="27" t="n">
        <f aca="false">IF($N852="",0,IFERROR(INDEX(VAT_Codes!$D:$D,MATCH($N852,VAT_Codes!$A:$A,0)),0))</f>
        <v>0</v>
      </c>
      <c r="W852" s="26" t="n">
        <f aca="false">IF($U852=0,0,IF(IFERROR(INDEX(VAT_Codes!$F:$F,MATCH($N852,VAT_Codes!$A:$A,0)),"N")="Y",$U852,IF($L852&lt;&gt;"",ROUND(ABS($L852)/IF(OR($R852="",$R852=0),1,$R852),2)*SIGN($U852),ROUND($U852*$V852,2))))</f>
        <v>0</v>
      </c>
      <c r="X852" s="24" t="str">
        <f aca="false">IF($N852="","",IFERROR(INDEX(VAT_Codes!$H:$H,MATCH($N852,VAT_Codes!$A:$A,0)),"")&amp;"")</f>
        <v/>
      </c>
      <c r="Y852" s="24" t="str">
        <f aca="false">IF($A852="","",(YEAR($A852)-YEAR(Settings!$C$8))*12+MONTH($A852)-MONTH(Settings!$C$8)+1)</f>
        <v/>
      </c>
      <c r="Z852" s="24" t="str">
        <f aca="false">IF(AND($C852="",$I852="",$J852=""),"",IF($N852="","NO VAT CODE",IF($T852="","UNKNOWN VAT CODE",IF($S852="","MISSING FX RATE",IF(OR($A852&lt;Settings!$C$8,$A852&gt;Settings!$C$9),"OUTSIDE PERIOD",IF(AND(IFERROR(INDEX(VAT_Codes!$E:$E,MATCH($N852,VAT_Codes!$A:$A,0)),"ANY")&lt;&gt;"ANY",$P852=""),"MISSING COUNTERPARTY COUNTRY",IF(AND(IFERROR(INDEX(VAT_Codes!$E:$E,MATCH($N852,VAT_Codes!$A:$A,0)),"ANY")&lt;&gt;"ANY",$P852&lt;&gt;IFERROR(INDEX(VAT_Codes!$E:$E,MATCH($N852,VAT_Codes!$A:$A,0)),"ANY")),"REGION MISMATCH","OK")))))))</f>
        <v/>
      </c>
    </row>
    <row r="853" customFormat="false" ht="15" hidden="false" customHeight="false" outlineLevel="0" collapsed="false">
      <c r="M853" s="24" t="str">
        <f aca="false">IF($C853="","",IFERROR(INDEX(Account_Mapping!$C:$C,MATCH($C853&amp;"",Account_Mapping!$A:$A,0))&amp;"",""))</f>
        <v/>
      </c>
      <c r="N853" s="24" t="str">
        <f aca="false">IF($K853&lt;&gt;"",$K853,$M853)</f>
        <v/>
      </c>
      <c r="O853" s="24" t="str">
        <f aca="false">IF($F853="","",IFERROR(INDEX(Counterparties!$C:$C,MATCH($F853&amp;"",Counterparties!$A:$A,0))&amp;"",""))</f>
        <v/>
      </c>
      <c r="P853" s="24" t="str">
        <f aca="false">IF($O853="","",IF($O853="CY","CY",IF(ISNUMBER(MATCH($O853,Lists!$A:$A,0)),"EU","3RD")))</f>
        <v/>
      </c>
      <c r="Q853" s="24" t="str">
        <f aca="false">IF($F853="","N",IFERROR(IF(INDEX(Counterparties!$E:$E,MATCH($F853&amp;"",Counterparties!$A:$A,0))="Y","Y","N"),"N"))</f>
        <v>N</v>
      </c>
      <c r="R853" s="25" t="n">
        <f aca="false">IF(OR($H853="",$H853="EUR"),1,IFERROR(INDEX(FX_Rates!$D:$D,MATCH($H853,FX_Rates!$A:$A,0)),""))</f>
        <v>1</v>
      </c>
      <c r="S853" s="26" t="str">
        <f aca="false">IF(AND($I853="",$J853=""),"",IF($J853&lt;&gt;"",$J853,IF(OR($R853="",$R853=0),"",ROUND($I853/$R853,2))))</f>
        <v/>
      </c>
      <c r="T853" s="24" t="str">
        <f aca="false">IF($N853="","",IFERROR(INDEX(VAT_Codes!$C:$C,MATCH($N853,VAT_Codes!$A:$A,0)),"")&amp;"")</f>
        <v/>
      </c>
      <c r="U853" s="26" t="n">
        <f aca="false">IF(OR($S853="",$T853="",$T853="None"),0,IF($T853="Output",-$S853,$S853))</f>
        <v>0</v>
      </c>
      <c r="V853" s="27" t="n">
        <f aca="false">IF($N853="",0,IFERROR(INDEX(VAT_Codes!$D:$D,MATCH($N853,VAT_Codes!$A:$A,0)),0))</f>
        <v>0</v>
      </c>
      <c r="W853" s="26" t="n">
        <f aca="false">IF($U853=0,0,IF(IFERROR(INDEX(VAT_Codes!$F:$F,MATCH($N853,VAT_Codes!$A:$A,0)),"N")="Y",$U853,IF($L853&lt;&gt;"",ROUND(ABS($L853)/IF(OR($R853="",$R853=0),1,$R853),2)*SIGN($U853),ROUND($U853*$V853,2))))</f>
        <v>0</v>
      </c>
      <c r="X853" s="24" t="str">
        <f aca="false">IF($N853="","",IFERROR(INDEX(VAT_Codes!$H:$H,MATCH($N853,VAT_Codes!$A:$A,0)),"")&amp;"")</f>
        <v/>
      </c>
      <c r="Y853" s="24" t="str">
        <f aca="false">IF($A853="","",(YEAR($A853)-YEAR(Settings!$C$8))*12+MONTH($A853)-MONTH(Settings!$C$8)+1)</f>
        <v/>
      </c>
      <c r="Z853" s="24" t="str">
        <f aca="false">IF(AND($C853="",$I853="",$J853=""),"",IF($N853="","NO VAT CODE",IF($T853="","UNKNOWN VAT CODE",IF($S853="","MISSING FX RATE",IF(OR($A853&lt;Settings!$C$8,$A853&gt;Settings!$C$9),"OUTSIDE PERIOD",IF(AND(IFERROR(INDEX(VAT_Codes!$E:$E,MATCH($N853,VAT_Codes!$A:$A,0)),"ANY")&lt;&gt;"ANY",$P853=""),"MISSING COUNTERPARTY COUNTRY",IF(AND(IFERROR(INDEX(VAT_Codes!$E:$E,MATCH($N853,VAT_Codes!$A:$A,0)),"ANY")&lt;&gt;"ANY",$P853&lt;&gt;IFERROR(INDEX(VAT_Codes!$E:$E,MATCH($N853,VAT_Codes!$A:$A,0)),"ANY")),"REGION MISMATCH","OK")))))))</f>
        <v/>
      </c>
    </row>
    <row r="854" customFormat="false" ht="15" hidden="false" customHeight="false" outlineLevel="0" collapsed="false">
      <c r="M854" s="24" t="str">
        <f aca="false">IF($C854="","",IFERROR(INDEX(Account_Mapping!$C:$C,MATCH($C854&amp;"",Account_Mapping!$A:$A,0))&amp;"",""))</f>
        <v/>
      </c>
      <c r="N854" s="24" t="str">
        <f aca="false">IF($K854&lt;&gt;"",$K854,$M854)</f>
        <v/>
      </c>
      <c r="O854" s="24" t="str">
        <f aca="false">IF($F854="","",IFERROR(INDEX(Counterparties!$C:$C,MATCH($F854&amp;"",Counterparties!$A:$A,0))&amp;"",""))</f>
        <v/>
      </c>
      <c r="P854" s="24" t="str">
        <f aca="false">IF($O854="","",IF($O854="CY","CY",IF(ISNUMBER(MATCH($O854,Lists!$A:$A,0)),"EU","3RD")))</f>
        <v/>
      </c>
      <c r="Q854" s="24" t="str">
        <f aca="false">IF($F854="","N",IFERROR(IF(INDEX(Counterparties!$E:$E,MATCH($F854&amp;"",Counterparties!$A:$A,0))="Y","Y","N"),"N"))</f>
        <v>N</v>
      </c>
      <c r="R854" s="25" t="n">
        <f aca="false">IF(OR($H854="",$H854="EUR"),1,IFERROR(INDEX(FX_Rates!$D:$D,MATCH($H854,FX_Rates!$A:$A,0)),""))</f>
        <v>1</v>
      </c>
      <c r="S854" s="26" t="str">
        <f aca="false">IF(AND($I854="",$J854=""),"",IF($J854&lt;&gt;"",$J854,IF(OR($R854="",$R854=0),"",ROUND($I854/$R854,2))))</f>
        <v/>
      </c>
      <c r="T854" s="24" t="str">
        <f aca="false">IF($N854="","",IFERROR(INDEX(VAT_Codes!$C:$C,MATCH($N854,VAT_Codes!$A:$A,0)),"")&amp;"")</f>
        <v/>
      </c>
      <c r="U854" s="26" t="n">
        <f aca="false">IF(OR($S854="",$T854="",$T854="None"),0,IF($T854="Output",-$S854,$S854))</f>
        <v>0</v>
      </c>
      <c r="V854" s="27" t="n">
        <f aca="false">IF($N854="",0,IFERROR(INDEX(VAT_Codes!$D:$D,MATCH($N854,VAT_Codes!$A:$A,0)),0))</f>
        <v>0</v>
      </c>
      <c r="W854" s="26" t="n">
        <f aca="false">IF($U854=0,0,IF(IFERROR(INDEX(VAT_Codes!$F:$F,MATCH($N854,VAT_Codes!$A:$A,0)),"N")="Y",$U854,IF($L854&lt;&gt;"",ROUND(ABS($L854)/IF(OR($R854="",$R854=0),1,$R854),2)*SIGN($U854),ROUND($U854*$V854,2))))</f>
        <v>0</v>
      </c>
      <c r="X854" s="24" t="str">
        <f aca="false">IF($N854="","",IFERROR(INDEX(VAT_Codes!$H:$H,MATCH($N854,VAT_Codes!$A:$A,0)),"")&amp;"")</f>
        <v/>
      </c>
      <c r="Y854" s="24" t="str">
        <f aca="false">IF($A854="","",(YEAR($A854)-YEAR(Settings!$C$8))*12+MONTH($A854)-MONTH(Settings!$C$8)+1)</f>
        <v/>
      </c>
      <c r="Z854" s="24" t="str">
        <f aca="false">IF(AND($C854="",$I854="",$J854=""),"",IF($N854="","NO VAT CODE",IF($T854="","UNKNOWN VAT CODE",IF($S854="","MISSING FX RATE",IF(OR($A854&lt;Settings!$C$8,$A854&gt;Settings!$C$9),"OUTSIDE PERIOD",IF(AND(IFERROR(INDEX(VAT_Codes!$E:$E,MATCH($N854,VAT_Codes!$A:$A,0)),"ANY")&lt;&gt;"ANY",$P854=""),"MISSING COUNTERPARTY COUNTRY",IF(AND(IFERROR(INDEX(VAT_Codes!$E:$E,MATCH($N854,VAT_Codes!$A:$A,0)),"ANY")&lt;&gt;"ANY",$P854&lt;&gt;IFERROR(INDEX(VAT_Codes!$E:$E,MATCH($N854,VAT_Codes!$A:$A,0)),"ANY")),"REGION MISMATCH","OK")))))))</f>
        <v/>
      </c>
    </row>
    <row r="855" customFormat="false" ht="15" hidden="false" customHeight="false" outlineLevel="0" collapsed="false">
      <c r="M855" s="24" t="str">
        <f aca="false">IF($C855="","",IFERROR(INDEX(Account_Mapping!$C:$C,MATCH($C855&amp;"",Account_Mapping!$A:$A,0))&amp;"",""))</f>
        <v/>
      </c>
      <c r="N855" s="24" t="str">
        <f aca="false">IF($K855&lt;&gt;"",$K855,$M855)</f>
        <v/>
      </c>
      <c r="O855" s="24" t="str">
        <f aca="false">IF($F855="","",IFERROR(INDEX(Counterparties!$C:$C,MATCH($F855&amp;"",Counterparties!$A:$A,0))&amp;"",""))</f>
        <v/>
      </c>
      <c r="P855" s="24" t="str">
        <f aca="false">IF($O855="","",IF($O855="CY","CY",IF(ISNUMBER(MATCH($O855,Lists!$A:$A,0)),"EU","3RD")))</f>
        <v/>
      </c>
      <c r="Q855" s="24" t="str">
        <f aca="false">IF($F855="","N",IFERROR(IF(INDEX(Counterparties!$E:$E,MATCH($F855&amp;"",Counterparties!$A:$A,0))="Y","Y","N"),"N"))</f>
        <v>N</v>
      </c>
      <c r="R855" s="25" t="n">
        <f aca="false">IF(OR($H855="",$H855="EUR"),1,IFERROR(INDEX(FX_Rates!$D:$D,MATCH($H855,FX_Rates!$A:$A,0)),""))</f>
        <v>1</v>
      </c>
      <c r="S855" s="26" t="str">
        <f aca="false">IF(AND($I855="",$J855=""),"",IF($J855&lt;&gt;"",$J855,IF(OR($R855="",$R855=0),"",ROUND($I855/$R855,2))))</f>
        <v/>
      </c>
      <c r="T855" s="24" t="str">
        <f aca="false">IF($N855="","",IFERROR(INDEX(VAT_Codes!$C:$C,MATCH($N855,VAT_Codes!$A:$A,0)),"")&amp;"")</f>
        <v/>
      </c>
      <c r="U855" s="26" t="n">
        <f aca="false">IF(OR($S855="",$T855="",$T855="None"),0,IF($T855="Output",-$S855,$S855))</f>
        <v>0</v>
      </c>
      <c r="V855" s="27" t="n">
        <f aca="false">IF($N855="",0,IFERROR(INDEX(VAT_Codes!$D:$D,MATCH($N855,VAT_Codes!$A:$A,0)),0))</f>
        <v>0</v>
      </c>
      <c r="W855" s="26" t="n">
        <f aca="false">IF($U855=0,0,IF(IFERROR(INDEX(VAT_Codes!$F:$F,MATCH($N855,VAT_Codes!$A:$A,0)),"N")="Y",$U855,IF($L855&lt;&gt;"",ROUND(ABS($L855)/IF(OR($R855="",$R855=0),1,$R855),2)*SIGN($U855),ROUND($U855*$V855,2))))</f>
        <v>0</v>
      </c>
      <c r="X855" s="24" t="str">
        <f aca="false">IF($N855="","",IFERROR(INDEX(VAT_Codes!$H:$H,MATCH($N855,VAT_Codes!$A:$A,0)),"")&amp;"")</f>
        <v/>
      </c>
      <c r="Y855" s="24" t="str">
        <f aca="false">IF($A855="","",(YEAR($A855)-YEAR(Settings!$C$8))*12+MONTH($A855)-MONTH(Settings!$C$8)+1)</f>
        <v/>
      </c>
      <c r="Z855" s="24" t="str">
        <f aca="false">IF(AND($C855="",$I855="",$J855=""),"",IF($N855="","NO VAT CODE",IF($T855="","UNKNOWN VAT CODE",IF($S855="","MISSING FX RATE",IF(OR($A855&lt;Settings!$C$8,$A855&gt;Settings!$C$9),"OUTSIDE PERIOD",IF(AND(IFERROR(INDEX(VAT_Codes!$E:$E,MATCH($N855,VAT_Codes!$A:$A,0)),"ANY")&lt;&gt;"ANY",$P855=""),"MISSING COUNTERPARTY COUNTRY",IF(AND(IFERROR(INDEX(VAT_Codes!$E:$E,MATCH($N855,VAT_Codes!$A:$A,0)),"ANY")&lt;&gt;"ANY",$P855&lt;&gt;IFERROR(INDEX(VAT_Codes!$E:$E,MATCH($N855,VAT_Codes!$A:$A,0)),"ANY")),"REGION MISMATCH","OK")))))))</f>
        <v/>
      </c>
    </row>
    <row r="856" customFormat="false" ht="15" hidden="false" customHeight="false" outlineLevel="0" collapsed="false">
      <c r="M856" s="24" t="str">
        <f aca="false">IF($C856="","",IFERROR(INDEX(Account_Mapping!$C:$C,MATCH($C856&amp;"",Account_Mapping!$A:$A,0))&amp;"",""))</f>
        <v/>
      </c>
      <c r="N856" s="24" t="str">
        <f aca="false">IF($K856&lt;&gt;"",$K856,$M856)</f>
        <v/>
      </c>
      <c r="O856" s="24" t="str">
        <f aca="false">IF($F856="","",IFERROR(INDEX(Counterparties!$C:$C,MATCH($F856&amp;"",Counterparties!$A:$A,0))&amp;"",""))</f>
        <v/>
      </c>
      <c r="P856" s="24" t="str">
        <f aca="false">IF($O856="","",IF($O856="CY","CY",IF(ISNUMBER(MATCH($O856,Lists!$A:$A,0)),"EU","3RD")))</f>
        <v/>
      </c>
      <c r="Q856" s="24" t="str">
        <f aca="false">IF($F856="","N",IFERROR(IF(INDEX(Counterparties!$E:$E,MATCH($F856&amp;"",Counterparties!$A:$A,0))="Y","Y","N"),"N"))</f>
        <v>N</v>
      </c>
      <c r="R856" s="25" t="n">
        <f aca="false">IF(OR($H856="",$H856="EUR"),1,IFERROR(INDEX(FX_Rates!$D:$D,MATCH($H856,FX_Rates!$A:$A,0)),""))</f>
        <v>1</v>
      </c>
      <c r="S856" s="26" t="str">
        <f aca="false">IF(AND($I856="",$J856=""),"",IF($J856&lt;&gt;"",$J856,IF(OR($R856="",$R856=0),"",ROUND($I856/$R856,2))))</f>
        <v/>
      </c>
      <c r="T856" s="24" t="str">
        <f aca="false">IF($N856="","",IFERROR(INDEX(VAT_Codes!$C:$C,MATCH($N856,VAT_Codes!$A:$A,0)),"")&amp;"")</f>
        <v/>
      </c>
      <c r="U856" s="26" t="n">
        <f aca="false">IF(OR($S856="",$T856="",$T856="None"),0,IF($T856="Output",-$S856,$S856))</f>
        <v>0</v>
      </c>
      <c r="V856" s="27" t="n">
        <f aca="false">IF($N856="",0,IFERROR(INDEX(VAT_Codes!$D:$D,MATCH($N856,VAT_Codes!$A:$A,0)),0))</f>
        <v>0</v>
      </c>
      <c r="W856" s="26" t="n">
        <f aca="false">IF($U856=0,0,IF(IFERROR(INDEX(VAT_Codes!$F:$F,MATCH($N856,VAT_Codes!$A:$A,0)),"N")="Y",$U856,IF($L856&lt;&gt;"",ROUND(ABS($L856)/IF(OR($R856="",$R856=0),1,$R856),2)*SIGN($U856),ROUND($U856*$V856,2))))</f>
        <v>0</v>
      </c>
      <c r="X856" s="24" t="str">
        <f aca="false">IF($N856="","",IFERROR(INDEX(VAT_Codes!$H:$H,MATCH($N856,VAT_Codes!$A:$A,0)),"")&amp;"")</f>
        <v/>
      </c>
      <c r="Y856" s="24" t="str">
        <f aca="false">IF($A856="","",(YEAR($A856)-YEAR(Settings!$C$8))*12+MONTH($A856)-MONTH(Settings!$C$8)+1)</f>
        <v/>
      </c>
      <c r="Z856" s="24" t="str">
        <f aca="false">IF(AND($C856="",$I856="",$J856=""),"",IF($N856="","NO VAT CODE",IF($T856="","UNKNOWN VAT CODE",IF($S856="","MISSING FX RATE",IF(OR($A856&lt;Settings!$C$8,$A856&gt;Settings!$C$9),"OUTSIDE PERIOD",IF(AND(IFERROR(INDEX(VAT_Codes!$E:$E,MATCH($N856,VAT_Codes!$A:$A,0)),"ANY")&lt;&gt;"ANY",$P856=""),"MISSING COUNTERPARTY COUNTRY",IF(AND(IFERROR(INDEX(VAT_Codes!$E:$E,MATCH($N856,VAT_Codes!$A:$A,0)),"ANY")&lt;&gt;"ANY",$P856&lt;&gt;IFERROR(INDEX(VAT_Codes!$E:$E,MATCH($N856,VAT_Codes!$A:$A,0)),"ANY")),"REGION MISMATCH","OK")))))))</f>
        <v/>
      </c>
    </row>
    <row r="857" customFormat="false" ht="15" hidden="false" customHeight="false" outlineLevel="0" collapsed="false">
      <c r="M857" s="24" t="str">
        <f aca="false">IF($C857="","",IFERROR(INDEX(Account_Mapping!$C:$C,MATCH($C857&amp;"",Account_Mapping!$A:$A,0))&amp;"",""))</f>
        <v/>
      </c>
      <c r="N857" s="24" t="str">
        <f aca="false">IF($K857&lt;&gt;"",$K857,$M857)</f>
        <v/>
      </c>
      <c r="O857" s="24" t="str">
        <f aca="false">IF($F857="","",IFERROR(INDEX(Counterparties!$C:$C,MATCH($F857&amp;"",Counterparties!$A:$A,0))&amp;"",""))</f>
        <v/>
      </c>
      <c r="P857" s="24" t="str">
        <f aca="false">IF($O857="","",IF($O857="CY","CY",IF(ISNUMBER(MATCH($O857,Lists!$A:$A,0)),"EU","3RD")))</f>
        <v/>
      </c>
      <c r="Q857" s="24" t="str">
        <f aca="false">IF($F857="","N",IFERROR(IF(INDEX(Counterparties!$E:$E,MATCH($F857&amp;"",Counterparties!$A:$A,0))="Y","Y","N"),"N"))</f>
        <v>N</v>
      </c>
      <c r="R857" s="25" t="n">
        <f aca="false">IF(OR($H857="",$H857="EUR"),1,IFERROR(INDEX(FX_Rates!$D:$D,MATCH($H857,FX_Rates!$A:$A,0)),""))</f>
        <v>1</v>
      </c>
      <c r="S857" s="26" t="str">
        <f aca="false">IF(AND($I857="",$J857=""),"",IF($J857&lt;&gt;"",$J857,IF(OR($R857="",$R857=0),"",ROUND($I857/$R857,2))))</f>
        <v/>
      </c>
      <c r="T857" s="24" t="str">
        <f aca="false">IF($N857="","",IFERROR(INDEX(VAT_Codes!$C:$C,MATCH($N857,VAT_Codes!$A:$A,0)),"")&amp;"")</f>
        <v/>
      </c>
      <c r="U857" s="26" t="n">
        <f aca="false">IF(OR($S857="",$T857="",$T857="None"),0,IF($T857="Output",-$S857,$S857))</f>
        <v>0</v>
      </c>
      <c r="V857" s="27" t="n">
        <f aca="false">IF($N857="",0,IFERROR(INDEX(VAT_Codes!$D:$D,MATCH($N857,VAT_Codes!$A:$A,0)),0))</f>
        <v>0</v>
      </c>
      <c r="W857" s="26" t="n">
        <f aca="false">IF($U857=0,0,IF(IFERROR(INDEX(VAT_Codes!$F:$F,MATCH($N857,VAT_Codes!$A:$A,0)),"N")="Y",$U857,IF($L857&lt;&gt;"",ROUND(ABS($L857)/IF(OR($R857="",$R857=0),1,$R857),2)*SIGN($U857),ROUND($U857*$V857,2))))</f>
        <v>0</v>
      </c>
      <c r="X857" s="24" t="str">
        <f aca="false">IF($N857="","",IFERROR(INDEX(VAT_Codes!$H:$H,MATCH($N857,VAT_Codes!$A:$A,0)),"")&amp;"")</f>
        <v/>
      </c>
      <c r="Y857" s="24" t="str">
        <f aca="false">IF($A857="","",(YEAR($A857)-YEAR(Settings!$C$8))*12+MONTH($A857)-MONTH(Settings!$C$8)+1)</f>
        <v/>
      </c>
      <c r="Z857" s="24" t="str">
        <f aca="false">IF(AND($C857="",$I857="",$J857=""),"",IF($N857="","NO VAT CODE",IF($T857="","UNKNOWN VAT CODE",IF($S857="","MISSING FX RATE",IF(OR($A857&lt;Settings!$C$8,$A857&gt;Settings!$C$9),"OUTSIDE PERIOD",IF(AND(IFERROR(INDEX(VAT_Codes!$E:$E,MATCH($N857,VAT_Codes!$A:$A,0)),"ANY")&lt;&gt;"ANY",$P857=""),"MISSING COUNTERPARTY COUNTRY",IF(AND(IFERROR(INDEX(VAT_Codes!$E:$E,MATCH($N857,VAT_Codes!$A:$A,0)),"ANY")&lt;&gt;"ANY",$P857&lt;&gt;IFERROR(INDEX(VAT_Codes!$E:$E,MATCH($N857,VAT_Codes!$A:$A,0)),"ANY")),"REGION MISMATCH","OK")))))))</f>
        <v/>
      </c>
    </row>
    <row r="858" customFormat="false" ht="15" hidden="false" customHeight="false" outlineLevel="0" collapsed="false">
      <c r="M858" s="24" t="str">
        <f aca="false">IF($C858="","",IFERROR(INDEX(Account_Mapping!$C:$C,MATCH($C858&amp;"",Account_Mapping!$A:$A,0))&amp;"",""))</f>
        <v/>
      </c>
      <c r="N858" s="24" t="str">
        <f aca="false">IF($K858&lt;&gt;"",$K858,$M858)</f>
        <v/>
      </c>
      <c r="O858" s="24" t="str">
        <f aca="false">IF($F858="","",IFERROR(INDEX(Counterparties!$C:$C,MATCH($F858&amp;"",Counterparties!$A:$A,0))&amp;"",""))</f>
        <v/>
      </c>
      <c r="P858" s="24" t="str">
        <f aca="false">IF($O858="","",IF($O858="CY","CY",IF(ISNUMBER(MATCH($O858,Lists!$A:$A,0)),"EU","3RD")))</f>
        <v/>
      </c>
      <c r="Q858" s="24" t="str">
        <f aca="false">IF($F858="","N",IFERROR(IF(INDEX(Counterparties!$E:$E,MATCH($F858&amp;"",Counterparties!$A:$A,0))="Y","Y","N"),"N"))</f>
        <v>N</v>
      </c>
      <c r="R858" s="25" t="n">
        <f aca="false">IF(OR($H858="",$H858="EUR"),1,IFERROR(INDEX(FX_Rates!$D:$D,MATCH($H858,FX_Rates!$A:$A,0)),""))</f>
        <v>1</v>
      </c>
      <c r="S858" s="26" t="str">
        <f aca="false">IF(AND($I858="",$J858=""),"",IF($J858&lt;&gt;"",$J858,IF(OR($R858="",$R858=0),"",ROUND($I858/$R858,2))))</f>
        <v/>
      </c>
      <c r="T858" s="24" t="str">
        <f aca="false">IF($N858="","",IFERROR(INDEX(VAT_Codes!$C:$C,MATCH($N858,VAT_Codes!$A:$A,0)),"")&amp;"")</f>
        <v/>
      </c>
      <c r="U858" s="26" t="n">
        <f aca="false">IF(OR($S858="",$T858="",$T858="None"),0,IF($T858="Output",-$S858,$S858))</f>
        <v>0</v>
      </c>
      <c r="V858" s="27" t="n">
        <f aca="false">IF($N858="",0,IFERROR(INDEX(VAT_Codes!$D:$D,MATCH($N858,VAT_Codes!$A:$A,0)),0))</f>
        <v>0</v>
      </c>
      <c r="W858" s="26" t="n">
        <f aca="false">IF($U858=0,0,IF(IFERROR(INDEX(VAT_Codes!$F:$F,MATCH($N858,VAT_Codes!$A:$A,0)),"N")="Y",$U858,IF($L858&lt;&gt;"",ROUND(ABS($L858)/IF(OR($R858="",$R858=0),1,$R858),2)*SIGN($U858),ROUND($U858*$V858,2))))</f>
        <v>0</v>
      </c>
      <c r="X858" s="24" t="str">
        <f aca="false">IF($N858="","",IFERROR(INDEX(VAT_Codes!$H:$H,MATCH($N858,VAT_Codes!$A:$A,0)),"")&amp;"")</f>
        <v/>
      </c>
      <c r="Y858" s="24" t="str">
        <f aca="false">IF($A858="","",(YEAR($A858)-YEAR(Settings!$C$8))*12+MONTH($A858)-MONTH(Settings!$C$8)+1)</f>
        <v/>
      </c>
      <c r="Z858" s="24" t="str">
        <f aca="false">IF(AND($C858="",$I858="",$J858=""),"",IF($N858="","NO VAT CODE",IF($T858="","UNKNOWN VAT CODE",IF($S858="","MISSING FX RATE",IF(OR($A858&lt;Settings!$C$8,$A858&gt;Settings!$C$9),"OUTSIDE PERIOD",IF(AND(IFERROR(INDEX(VAT_Codes!$E:$E,MATCH($N858,VAT_Codes!$A:$A,0)),"ANY")&lt;&gt;"ANY",$P858=""),"MISSING COUNTERPARTY COUNTRY",IF(AND(IFERROR(INDEX(VAT_Codes!$E:$E,MATCH($N858,VAT_Codes!$A:$A,0)),"ANY")&lt;&gt;"ANY",$P858&lt;&gt;IFERROR(INDEX(VAT_Codes!$E:$E,MATCH($N858,VAT_Codes!$A:$A,0)),"ANY")),"REGION MISMATCH","OK")))))))</f>
        <v/>
      </c>
    </row>
    <row r="859" customFormat="false" ht="15" hidden="false" customHeight="false" outlineLevel="0" collapsed="false">
      <c r="M859" s="24" t="str">
        <f aca="false">IF($C859="","",IFERROR(INDEX(Account_Mapping!$C:$C,MATCH($C859&amp;"",Account_Mapping!$A:$A,0))&amp;"",""))</f>
        <v/>
      </c>
      <c r="N859" s="24" t="str">
        <f aca="false">IF($K859&lt;&gt;"",$K859,$M859)</f>
        <v/>
      </c>
      <c r="O859" s="24" t="str">
        <f aca="false">IF($F859="","",IFERROR(INDEX(Counterparties!$C:$C,MATCH($F859&amp;"",Counterparties!$A:$A,0))&amp;"",""))</f>
        <v/>
      </c>
      <c r="P859" s="24" t="str">
        <f aca="false">IF($O859="","",IF($O859="CY","CY",IF(ISNUMBER(MATCH($O859,Lists!$A:$A,0)),"EU","3RD")))</f>
        <v/>
      </c>
      <c r="Q859" s="24" t="str">
        <f aca="false">IF($F859="","N",IFERROR(IF(INDEX(Counterparties!$E:$E,MATCH($F859&amp;"",Counterparties!$A:$A,0))="Y","Y","N"),"N"))</f>
        <v>N</v>
      </c>
      <c r="R859" s="25" t="n">
        <f aca="false">IF(OR($H859="",$H859="EUR"),1,IFERROR(INDEX(FX_Rates!$D:$D,MATCH($H859,FX_Rates!$A:$A,0)),""))</f>
        <v>1</v>
      </c>
      <c r="S859" s="26" t="str">
        <f aca="false">IF(AND($I859="",$J859=""),"",IF($J859&lt;&gt;"",$J859,IF(OR($R859="",$R859=0),"",ROUND($I859/$R859,2))))</f>
        <v/>
      </c>
      <c r="T859" s="24" t="str">
        <f aca="false">IF($N859="","",IFERROR(INDEX(VAT_Codes!$C:$C,MATCH($N859,VAT_Codes!$A:$A,0)),"")&amp;"")</f>
        <v/>
      </c>
      <c r="U859" s="26" t="n">
        <f aca="false">IF(OR($S859="",$T859="",$T859="None"),0,IF($T859="Output",-$S859,$S859))</f>
        <v>0</v>
      </c>
      <c r="V859" s="27" t="n">
        <f aca="false">IF($N859="",0,IFERROR(INDEX(VAT_Codes!$D:$D,MATCH($N859,VAT_Codes!$A:$A,0)),0))</f>
        <v>0</v>
      </c>
      <c r="W859" s="26" t="n">
        <f aca="false">IF($U859=0,0,IF(IFERROR(INDEX(VAT_Codes!$F:$F,MATCH($N859,VAT_Codes!$A:$A,0)),"N")="Y",$U859,IF($L859&lt;&gt;"",ROUND(ABS($L859)/IF(OR($R859="",$R859=0),1,$R859),2)*SIGN($U859),ROUND($U859*$V859,2))))</f>
        <v>0</v>
      </c>
      <c r="X859" s="24" t="str">
        <f aca="false">IF($N859="","",IFERROR(INDEX(VAT_Codes!$H:$H,MATCH($N859,VAT_Codes!$A:$A,0)),"")&amp;"")</f>
        <v/>
      </c>
      <c r="Y859" s="24" t="str">
        <f aca="false">IF($A859="","",(YEAR($A859)-YEAR(Settings!$C$8))*12+MONTH($A859)-MONTH(Settings!$C$8)+1)</f>
        <v/>
      </c>
      <c r="Z859" s="24" t="str">
        <f aca="false">IF(AND($C859="",$I859="",$J859=""),"",IF($N859="","NO VAT CODE",IF($T859="","UNKNOWN VAT CODE",IF($S859="","MISSING FX RATE",IF(OR($A859&lt;Settings!$C$8,$A859&gt;Settings!$C$9),"OUTSIDE PERIOD",IF(AND(IFERROR(INDEX(VAT_Codes!$E:$E,MATCH($N859,VAT_Codes!$A:$A,0)),"ANY")&lt;&gt;"ANY",$P859=""),"MISSING COUNTERPARTY COUNTRY",IF(AND(IFERROR(INDEX(VAT_Codes!$E:$E,MATCH($N859,VAT_Codes!$A:$A,0)),"ANY")&lt;&gt;"ANY",$P859&lt;&gt;IFERROR(INDEX(VAT_Codes!$E:$E,MATCH($N859,VAT_Codes!$A:$A,0)),"ANY")),"REGION MISMATCH","OK")))))))</f>
        <v/>
      </c>
    </row>
    <row r="860" customFormat="false" ht="15" hidden="false" customHeight="false" outlineLevel="0" collapsed="false">
      <c r="M860" s="24" t="str">
        <f aca="false">IF($C860="","",IFERROR(INDEX(Account_Mapping!$C:$C,MATCH($C860&amp;"",Account_Mapping!$A:$A,0))&amp;"",""))</f>
        <v/>
      </c>
      <c r="N860" s="24" t="str">
        <f aca="false">IF($K860&lt;&gt;"",$K860,$M860)</f>
        <v/>
      </c>
      <c r="O860" s="24" t="str">
        <f aca="false">IF($F860="","",IFERROR(INDEX(Counterparties!$C:$C,MATCH($F860&amp;"",Counterparties!$A:$A,0))&amp;"",""))</f>
        <v/>
      </c>
      <c r="P860" s="24" t="str">
        <f aca="false">IF($O860="","",IF($O860="CY","CY",IF(ISNUMBER(MATCH($O860,Lists!$A:$A,0)),"EU","3RD")))</f>
        <v/>
      </c>
      <c r="Q860" s="24" t="str">
        <f aca="false">IF($F860="","N",IFERROR(IF(INDEX(Counterparties!$E:$E,MATCH($F860&amp;"",Counterparties!$A:$A,0))="Y","Y","N"),"N"))</f>
        <v>N</v>
      </c>
      <c r="R860" s="25" t="n">
        <f aca="false">IF(OR($H860="",$H860="EUR"),1,IFERROR(INDEX(FX_Rates!$D:$D,MATCH($H860,FX_Rates!$A:$A,0)),""))</f>
        <v>1</v>
      </c>
      <c r="S860" s="26" t="str">
        <f aca="false">IF(AND($I860="",$J860=""),"",IF($J860&lt;&gt;"",$J860,IF(OR($R860="",$R860=0),"",ROUND($I860/$R860,2))))</f>
        <v/>
      </c>
      <c r="T860" s="24" t="str">
        <f aca="false">IF($N860="","",IFERROR(INDEX(VAT_Codes!$C:$C,MATCH($N860,VAT_Codes!$A:$A,0)),"")&amp;"")</f>
        <v/>
      </c>
      <c r="U860" s="26" t="n">
        <f aca="false">IF(OR($S860="",$T860="",$T860="None"),0,IF($T860="Output",-$S860,$S860))</f>
        <v>0</v>
      </c>
      <c r="V860" s="27" t="n">
        <f aca="false">IF($N860="",0,IFERROR(INDEX(VAT_Codes!$D:$D,MATCH($N860,VAT_Codes!$A:$A,0)),0))</f>
        <v>0</v>
      </c>
      <c r="W860" s="26" t="n">
        <f aca="false">IF($U860=0,0,IF(IFERROR(INDEX(VAT_Codes!$F:$F,MATCH($N860,VAT_Codes!$A:$A,0)),"N")="Y",$U860,IF($L860&lt;&gt;"",ROUND(ABS($L860)/IF(OR($R860="",$R860=0),1,$R860),2)*SIGN($U860),ROUND($U860*$V860,2))))</f>
        <v>0</v>
      </c>
      <c r="X860" s="24" t="str">
        <f aca="false">IF($N860="","",IFERROR(INDEX(VAT_Codes!$H:$H,MATCH($N860,VAT_Codes!$A:$A,0)),"")&amp;"")</f>
        <v/>
      </c>
      <c r="Y860" s="24" t="str">
        <f aca="false">IF($A860="","",(YEAR($A860)-YEAR(Settings!$C$8))*12+MONTH($A860)-MONTH(Settings!$C$8)+1)</f>
        <v/>
      </c>
      <c r="Z860" s="24" t="str">
        <f aca="false">IF(AND($C860="",$I860="",$J860=""),"",IF($N860="","NO VAT CODE",IF($T860="","UNKNOWN VAT CODE",IF($S860="","MISSING FX RATE",IF(OR($A860&lt;Settings!$C$8,$A860&gt;Settings!$C$9),"OUTSIDE PERIOD",IF(AND(IFERROR(INDEX(VAT_Codes!$E:$E,MATCH($N860,VAT_Codes!$A:$A,0)),"ANY")&lt;&gt;"ANY",$P860=""),"MISSING COUNTERPARTY COUNTRY",IF(AND(IFERROR(INDEX(VAT_Codes!$E:$E,MATCH($N860,VAT_Codes!$A:$A,0)),"ANY")&lt;&gt;"ANY",$P860&lt;&gt;IFERROR(INDEX(VAT_Codes!$E:$E,MATCH($N860,VAT_Codes!$A:$A,0)),"ANY")),"REGION MISMATCH","OK")))))))</f>
        <v/>
      </c>
    </row>
    <row r="861" customFormat="false" ht="15" hidden="false" customHeight="false" outlineLevel="0" collapsed="false">
      <c r="M861" s="24" t="str">
        <f aca="false">IF($C861="","",IFERROR(INDEX(Account_Mapping!$C:$C,MATCH($C861&amp;"",Account_Mapping!$A:$A,0))&amp;"",""))</f>
        <v/>
      </c>
      <c r="N861" s="24" t="str">
        <f aca="false">IF($K861&lt;&gt;"",$K861,$M861)</f>
        <v/>
      </c>
      <c r="O861" s="24" t="str">
        <f aca="false">IF($F861="","",IFERROR(INDEX(Counterparties!$C:$C,MATCH($F861&amp;"",Counterparties!$A:$A,0))&amp;"",""))</f>
        <v/>
      </c>
      <c r="P861" s="24" t="str">
        <f aca="false">IF($O861="","",IF($O861="CY","CY",IF(ISNUMBER(MATCH($O861,Lists!$A:$A,0)),"EU","3RD")))</f>
        <v/>
      </c>
      <c r="Q861" s="24" t="str">
        <f aca="false">IF($F861="","N",IFERROR(IF(INDEX(Counterparties!$E:$E,MATCH($F861&amp;"",Counterparties!$A:$A,0))="Y","Y","N"),"N"))</f>
        <v>N</v>
      </c>
      <c r="R861" s="25" t="n">
        <f aca="false">IF(OR($H861="",$H861="EUR"),1,IFERROR(INDEX(FX_Rates!$D:$D,MATCH($H861,FX_Rates!$A:$A,0)),""))</f>
        <v>1</v>
      </c>
      <c r="S861" s="26" t="str">
        <f aca="false">IF(AND($I861="",$J861=""),"",IF($J861&lt;&gt;"",$J861,IF(OR($R861="",$R861=0),"",ROUND($I861/$R861,2))))</f>
        <v/>
      </c>
      <c r="T861" s="24" t="str">
        <f aca="false">IF($N861="","",IFERROR(INDEX(VAT_Codes!$C:$C,MATCH($N861,VAT_Codes!$A:$A,0)),"")&amp;"")</f>
        <v/>
      </c>
      <c r="U861" s="26" t="n">
        <f aca="false">IF(OR($S861="",$T861="",$T861="None"),0,IF($T861="Output",-$S861,$S861))</f>
        <v>0</v>
      </c>
      <c r="V861" s="27" t="n">
        <f aca="false">IF($N861="",0,IFERROR(INDEX(VAT_Codes!$D:$D,MATCH($N861,VAT_Codes!$A:$A,0)),0))</f>
        <v>0</v>
      </c>
      <c r="W861" s="26" t="n">
        <f aca="false">IF($U861=0,0,IF(IFERROR(INDEX(VAT_Codes!$F:$F,MATCH($N861,VAT_Codes!$A:$A,0)),"N")="Y",$U861,IF($L861&lt;&gt;"",ROUND(ABS($L861)/IF(OR($R861="",$R861=0),1,$R861),2)*SIGN($U861),ROUND($U861*$V861,2))))</f>
        <v>0</v>
      </c>
      <c r="X861" s="24" t="str">
        <f aca="false">IF($N861="","",IFERROR(INDEX(VAT_Codes!$H:$H,MATCH($N861,VAT_Codes!$A:$A,0)),"")&amp;"")</f>
        <v/>
      </c>
      <c r="Y861" s="24" t="str">
        <f aca="false">IF($A861="","",(YEAR($A861)-YEAR(Settings!$C$8))*12+MONTH($A861)-MONTH(Settings!$C$8)+1)</f>
        <v/>
      </c>
      <c r="Z861" s="24" t="str">
        <f aca="false">IF(AND($C861="",$I861="",$J861=""),"",IF($N861="","NO VAT CODE",IF($T861="","UNKNOWN VAT CODE",IF($S861="","MISSING FX RATE",IF(OR($A861&lt;Settings!$C$8,$A861&gt;Settings!$C$9),"OUTSIDE PERIOD",IF(AND(IFERROR(INDEX(VAT_Codes!$E:$E,MATCH($N861,VAT_Codes!$A:$A,0)),"ANY")&lt;&gt;"ANY",$P861=""),"MISSING COUNTERPARTY COUNTRY",IF(AND(IFERROR(INDEX(VAT_Codes!$E:$E,MATCH($N861,VAT_Codes!$A:$A,0)),"ANY")&lt;&gt;"ANY",$P861&lt;&gt;IFERROR(INDEX(VAT_Codes!$E:$E,MATCH($N861,VAT_Codes!$A:$A,0)),"ANY")),"REGION MISMATCH","OK")))))))</f>
        <v/>
      </c>
    </row>
    <row r="862" customFormat="false" ht="15" hidden="false" customHeight="false" outlineLevel="0" collapsed="false">
      <c r="M862" s="24" t="str">
        <f aca="false">IF($C862="","",IFERROR(INDEX(Account_Mapping!$C:$C,MATCH($C862&amp;"",Account_Mapping!$A:$A,0))&amp;"",""))</f>
        <v/>
      </c>
      <c r="N862" s="24" t="str">
        <f aca="false">IF($K862&lt;&gt;"",$K862,$M862)</f>
        <v/>
      </c>
      <c r="O862" s="24" t="str">
        <f aca="false">IF($F862="","",IFERROR(INDEX(Counterparties!$C:$C,MATCH($F862&amp;"",Counterparties!$A:$A,0))&amp;"",""))</f>
        <v/>
      </c>
      <c r="P862" s="24" t="str">
        <f aca="false">IF($O862="","",IF($O862="CY","CY",IF(ISNUMBER(MATCH($O862,Lists!$A:$A,0)),"EU","3RD")))</f>
        <v/>
      </c>
      <c r="Q862" s="24" t="str">
        <f aca="false">IF($F862="","N",IFERROR(IF(INDEX(Counterparties!$E:$E,MATCH($F862&amp;"",Counterparties!$A:$A,0))="Y","Y","N"),"N"))</f>
        <v>N</v>
      </c>
      <c r="R862" s="25" t="n">
        <f aca="false">IF(OR($H862="",$H862="EUR"),1,IFERROR(INDEX(FX_Rates!$D:$D,MATCH($H862,FX_Rates!$A:$A,0)),""))</f>
        <v>1</v>
      </c>
      <c r="S862" s="26" t="str">
        <f aca="false">IF(AND($I862="",$J862=""),"",IF($J862&lt;&gt;"",$J862,IF(OR($R862="",$R862=0),"",ROUND($I862/$R862,2))))</f>
        <v/>
      </c>
      <c r="T862" s="24" t="str">
        <f aca="false">IF($N862="","",IFERROR(INDEX(VAT_Codes!$C:$C,MATCH($N862,VAT_Codes!$A:$A,0)),"")&amp;"")</f>
        <v/>
      </c>
      <c r="U862" s="26" t="n">
        <f aca="false">IF(OR($S862="",$T862="",$T862="None"),0,IF($T862="Output",-$S862,$S862))</f>
        <v>0</v>
      </c>
      <c r="V862" s="27" t="n">
        <f aca="false">IF($N862="",0,IFERROR(INDEX(VAT_Codes!$D:$D,MATCH($N862,VAT_Codes!$A:$A,0)),0))</f>
        <v>0</v>
      </c>
      <c r="W862" s="26" t="n">
        <f aca="false">IF($U862=0,0,IF(IFERROR(INDEX(VAT_Codes!$F:$F,MATCH($N862,VAT_Codes!$A:$A,0)),"N")="Y",$U862,IF($L862&lt;&gt;"",ROUND(ABS($L862)/IF(OR($R862="",$R862=0),1,$R862),2)*SIGN($U862),ROUND($U862*$V862,2))))</f>
        <v>0</v>
      </c>
      <c r="X862" s="24" t="str">
        <f aca="false">IF($N862="","",IFERROR(INDEX(VAT_Codes!$H:$H,MATCH($N862,VAT_Codes!$A:$A,0)),"")&amp;"")</f>
        <v/>
      </c>
      <c r="Y862" s="24" t="str">
        <f aca="false">IF($A862="","",(YEAR($A862)-YEAR(Settings!$C$8))*12+MONTH($A862)-MONTH(Settings!$C$8)+1)</f>
        <v/>
      </c>
      <c r="Z862" s="24" t="str">
        <f aca="false">IF(AND($C862="",$I862="",$J862=""),"",IF($N862="","NO VAT CODE",IF($T862="","UNKNOWN VAT CODE",IF($S862="","MISSING FX RATE",IF(OR($A862&lt;Settings!$C$8,$A862&gt;Settings!$C$9),"OUTSIDE PERIOD",IF(AND(IFERROR(INDEX(VAT_Codes!$E:$E,MATCH($N862,VAT_Codes!$A:$A,0)),"ANY")&lt;&gt;"ANY",$P862=""),"MISSING COUNTERPARTY COUNTRY",IF(AND(IFERROR(INDEX(VAT_Codes!$E:$E,MATCH($N862,VAT_Codes!$A:$A,0)),"ANY")&lt;&gt;"ANY",$P862&lt;&gt;IFERROR(INDEX(VAT_Codes!$E:$E,MATCH($N862,VAT_Codes!$A:$A,0)),"ANY")),"REGION MISMATCH","OK")))))))</f>
        <v/>
      </c>
    </row>
    <row r="863" customFormat="false" ht="15" hidden="false" customHeight="false" outlineLevel="0" collapsed="false">
      <c r="M863" s="24" t="str">
        <f aca="false">IF($C863="","",IFERROR(INDEX(Account_Mapping!$C:$C,MATCH($C863&amp;"",Account_Mapping!$A:$A,0))&amp;"",""))</f>
        <v/>
      </c>
      <c r="N863" s="24" t="str">
        <f aca="false">IF($K863&lt;&gt;"",$K863,$M863)</f>
        <v/>
      </c>
      <c r="O863" s="24" t="str">
        <f aca="false">IF($F863="","",IFERROR(INDEX(Counterparties!$C:$C,MATCH($F863&amp;"",Counterparties!$A:$A,0))&amp;"",""))</f>
        <v/>
      </c>
      <c r="P863" s="24" t="str">
        <f aca="false">IF($O863="","",IF($O863="CY","CY",IF(ISNUMBER(MATCH($O863,Lists!$A:$A,0)),"EU","3RD")))</f>
        <v/>
      </c>
      <c r="Q863" s="24" t="str">
        <f aca="false">IF($F863="","N",IFERROR(IF(INDEX(Counterparties!$E:$E,MATCH($F863&amp;"",Counterparties!$A:$A,0))="Y","Y","N"),"N"))</f>
        <v>N</v>
      </c>
      <c r="R863" s="25" t="n">
        <f aca="false">IF(OR($H863="",$H863="EUR"),1,IFERROR(INDEX(FX_Rates!$D:$D,MATCH($H863,FX_Rates!$A:$A,0)),""))</f>
        <v>1</v>
      </c>
      <c r="S863" s="26" t="str">
        <f aca="false">IF(AND($I863="",$J863=""),"",IF($J863&lt;&gt;"",$J863,IF(OR($R863="",$R863=0),"",ROUND($I863/$R863,2))))</f>
        <v/>
      </c>
      <c r="T863" s="24" t="str">
        <f aca="false">IF($N863="","",IFERROR(INDEX(VAT_Codes!$C:$C,MATCH($N863,VAT_Codes!$A:$A,0)),"")&amp;"")</f>
        <v/>
      </c>
      <c r="U863" s="26" t="n">
        <f aca="false">IF(OR($S863="",$T863="",$T863="None"),0,IF($T863="Output",-$S863,$S863))</f>
        <v>0</v>
      </c>
      <c r="V863" s="27" t="n">
        <f aca="false">IF($N863="",0,IFERROR(INDEX(VAT_Codes!$D:$D,MATCH($N863,VAT_Codes!$A:$A,0)),0))</f>
        <v>0</v>
      </c>
      <c r="W863" s="26" t="n">
        <f aca="false">IF($U863=0,0,IF(IFERROR(INDEX(VAT_Codes!$F:$F,MATCH($N863,VAT_Codes!$A:$A,0)),"N")="Y",$U863,IF($L863&lt;&gt;"",ROUND(ABS($L863)/IF(OR($R863="",$R863=0),1,$R863),2)*SIGN($U863),ROUND($U863*$V863,2))))</f>
        <v>0</v>
      </c>
      <c r="X863" s="24" t="str">
        <f aca="false">IF($N863="","",IFERROR(INDEX(VAT_Codes!$H:$H,MATCH($N863,VAT_Codes!$A:$A,0)),"")&amp;"")</f>
        <v/>
      </c>
      <c r="Y863" s="24" t="str">
        <f aca="false">IF($A863="","",(YEAR($A863)-YEAR(Settings!$C$8))*12+MONTH($A863)-MONTH(Settings!$C$8)+1)</f>
        <v/>
      </c>
      <c r="Z863" s="24" t="str">
        <f aca="false">IF(AND($C863="",$I863="",$J863=""),"",IF($N863="","NO VAT CODE",IF($T863="","UNKNOWN VAT CODE",IF($S863="","MISSING FX RATE",IF(OR($A863&lt;Settings!$C$8,$A863&gt;Settings!$C$9),"OUTSIDE PERIOD",IF(AND(IFERROR(INDEX(VAT_Codes!$E:$E,MATCH($N863,VAT_Codes!$A:$A,0)),"ANY")&lt;&gt;"ANY",$P863=""),"MISSING COUNTERPARTY COUNTRY",IF(AND(IFERROR(INDEX(VAT_Codes!$E:$E,MATCH($N863,VAT_Codes!$A:$A,0)),"ANY")&lt;&gt;"ANY",$P863&lt;&gt;IFERROR(INDEX(VAT_Codes!$E:$E,MATCH($N863,VAT_Codes!$A:$A,0)),"ANY")),"REGION MISMATCH","OK")))))))</f>
        <v/>
      </c>
    </row>
    <row r="864" customFormat="false" ht="15" hidden="false" customHeight="false" outlineLevel="0" collapsed="false">
      <c r="M864" s="24" t="str">
        <f aca="false">IF($C864="","",IFERROR(INDEX(Account_Mapping!$C:$C,MATCH($C864&amp;"",Account_Mapping!$A:$A,0))&amp;"",""))</f>
        <v/>
      </c>
      <c r="N864" s="24" t="str">
        <f aca="false">IF($K864&lt;&gt;"",$K864,$M864)</f>
        <v/>
      </c>
      <c r="O864" s="24" t="str">
        <f aca="false">IF($F864="","",IFERROR(INDEX(Counterparties!$C:$C,MATCH($F864&amp;"",Counterparties!$A:$A,0))&amp;"",""))</f>
        <v/>
      </c>
      <c r="P864" s="24" t="str">
        <f aca="false">IF($O864="","",IF($O864="CY","CY",IF(ISNUMBER(MATCH($O864,Lists!$A:$A,0)),"EU","3RD")))</f>
        <v/>
      </c>
      <c r="Q864" s="24" t="str">
        <f aca="false">IF($F864="","N",IFERROR(IF(INDEX(Counterparties!$E:$E,MATCH($F864&amp;"",Counterparties!$A:$A,0))="Y","Y","N"),"N"))</f>
        <v>N</v>
      </c>
      <c r="R864" s="25" t="n">
        <f aca="false">IF(OR($H864="",$H864="EUR"),1,IFERROR(INDEX(FX_Rates!$D:$D,MATCH($H864,FX_Rates!$A:$A,0)),""))</f>
        <v>1</v>
      </c>
      <c r="S864" s="26" t="str">
        <f aca="false">IF(AND($I864="",$J864=""),"",IF($J864&lt;&gt;"",$J864,IF(OR($R864="",$R864=0),"",ROUND($I864/$R864,2))))</f>
        <v/>
      </c>
      <c r="T864" s="24" t="str">
        <f aca="false">IF($N864="","",IFERROR(INDEX(VAT_Codes!$C:$C,MATCH($N864,VAT_Codes!$A:$A,0)),"")&amp;"")</f>
        <v/>
      </c>
      <c r="U864" s="26" t="n">
        <f aca="false">IF(OR($S864="",$T864="",$T864="None"),0,IF($T864="Output",-$S864,$S864))</f>
        <v>0</v>
      </c>
      <c r="V864" s="27" t="n">
        <f aca="false">IF($N864="",0,IFERROR(INDEX(VAT_Codes!$D:$D,MATCH($N864,VAT_Codes!$A:$A,0)),0))</f>
        <v>0</v>
      </c>
      <c r="W864" s="26" t="n">
        <f aca="false">IF($U864=0,0,IF(IFERROR(INDEX(VAT_Codes!$F:$F,MATCH($N864,VAT_Codes!$A:$A,0)),"N")="Y",$U864,IF($L864&lt;&gt;"",ROUND(ABS($L864)/IF(OR($R864="",$R864=0),1,$R864),2)*SIGN($U864),ROUND($U864*$V864,2))))</f>
        <v>0</v>
      </c>
      <c r="X864" s="24" t="str">
        <f aca="false">IF($N864="","",IFERROR(INDEX(VAT_Codes!$H:$H,MATCH($N864,VAT_Codes!$A:$A,0)),"")&amp;"")</f>
        <v/>
      </c>
      <c r="Y864" s="24" t="str">
        <f aca="false">IF($A864="","",(YEAR($A864)-YEAR(Settings!$C$8))*12+MONTH($A864)-MONTH(Settings!$C$8)+1)</f>
        <v/>
      </c>
      <c r="Z864" s="24" t="str">
        <f aca="false">IF(AND($C864="",$I864="",$J864=""),"",IF($N864="","NO VAT CODE",IF($T864="","UNKNOWN VAT CODE",IF($S864="","MISSING FX RATE",IF(OR($A864&lt;Settings!$C$8,$A864&gt;Settings!$C$9),"OUTSIDE PERIOD",IF(AND(IFERROR(INDEX(VAT_Codes!$E:$E,MATCH($N864,VAT_Codes!$A:$A,0)),"ANY")&lt;&gt;"ANY",$P864=""),"MISSING COUNTERPARTY COUNTRY",IF(AND(IFERROR(INDEX(VAT_Codes!$E:$E,MATCH($N864,VAT_Codes!$A:$A,0)),"ANY")&lt;&gt;"ANY",$P864&lt;&gt;IFERROR(INDEX(VAT_Codes!$E:$E,MATCH($N864,VAT_Codes!$A:$A,0)),"ANY")),"REGION MISMATCH","OK")))))))</f>
        <v/>
      </c>
    </row>
    <row r="865" customFormat="false" ht="15" hidden="false" customHeight="false" outlineLevel="0" collapsed="false">
      <c r="M865" s="24" t="str">
        <f aca="false">IF($C865="","",IFERROR(INDEX(Account_Mapping!$C:$C,MATCH($C865&amp;"",Account_Mapping!$A:$A,0))&amp;"",""))</f>
        <v/>
      </c>
      <c r="N865" s="24" t="str">
        <f aca="false">IF($K865&lt;&gt;"",$K865,$M865)</f>
        <v/>
      </c>
      <c r="O865" s="24" t="str">
        <f aca="false">IF($F865="","",IFERROR(INDEX(Counterparties!$C:$C,MATCH($F865&amp;"",Counterparties!$A:$A,0))&amp;"",""))</f>
        <v/>
      </c>
      <c r="P865" s="24" t="str">
        <f aca="false">IF($O865="","",IF($O865="CY","CY",IF(ISNUMBER(MATCH($O865,Lists!$A:$A,0)),"EU","3RD")))</f>
        <v/>
      </c>
      <c r="Q865" s="24" t="str">
        <f aca="false">IF($F865="","N",IFERROR(IF(INDEX(Counterparties!$E:$E,MATCH($F865&amp;"",Counterparties!$A:$A,0))="Y","Y","N"),"N"))</f>
        <v>N</v>
      </c>
      <c r="R865" s="25" t="n">
        <f aca="false">IF(OR($H865="",$H865="EUR"),1,IFERROR(INDEX(FX_Rates!$D:$D,MATCH($H865,FX_Rates!$A:$A,0)),""))</f>
        <v>1</v>
      </c>
      <c r="S865" s="26" t="str">
        <f aca="false">IF(AND($I865="",$J865=""),"",IF($J865&lt;&gt;"",$J865,IF(OR($R865="",$R865=0),"",ROUND($I865/$R865,2))))</f>
        <v/>
      </c>
      <c r="T865" s="24" t="str">
        <f aca="false">IF($N865="","",IFERROR(INDEX(VAT_Codes!$C:$C,MATCH($N865,VAT_Codes!$A:$A,0)),"")&amp;"")</f>
        <v/>
      </c>
      <c r="U865" s="26" t="n">
        <f aca="false">IF(OR($S865="",$T865="",$T865="None"),0,IF($T865="Output",-$S865,$S865))</f>
        <v>0</v>
      </c>
      <c r="V865" s="27" t="n">
        <f aca="false">IF($N865="",0,IFERROR(INDEX(VAT_Codes!$D:$D,MATCH($N865,VAT_Codes!$A:$A,0)),0))</f>
        <v>0</v>
      </c>
      <c r="W865" s="26" t="n">
        <f aca="false">IF($U865=0,0,IF(IFERROR(INDEX(VAT_Codes!$F:$F,MATCH($N865,VAT_Codes!$A:$A,0)),"N")="Y",$U865,IF($L865&lt;&gt;"",ROUND(ABS($L865)/IF(OR($R865="",$R865=0),1,$R865),2)*SIGN($U865),ROUND($U865*$V865,2))))</f>
        <v>0</v>
      </c>
      <c r="X865" s="24" t="str">
        <f aca="false">IF($N865="","",IFERROR(INDEX(VAT_Codes!$H:$H,MATCH($N865,VAT_Codes!$A:$A,0)),"")&amp;"")</f>
        <v/>
      </c>
      <c r="Y865" s="24" t="str">
        <f aca="false">IF($A865="","",(YEAR($A865)-YEAR(Settings!$C$8))*12+MONTH($A865)-MONTH(Settings!$C$8)+1)</f>
        <v/>
      </c>
      <c r="Z865" s="24" t="str">
        <f aca="false">IF(AND($C865="",$I865="",$J865=""),"",IF($N865="","NO VAT CODE",IF($T865="","UNKNOWN VAT CODE",IF($S865="","MISSING FX RATE",IF(OR($A865&lt;Settings!$C$8,$A865&gt;Settings!$C$9),"OUTSIDE PERIOD",IF(AND(IFERROR(INDEX(VAT_Codes!$E:$E,MATCH($N865,VAT_Codes!$A:$A,0)),"ANY")&lt;&gt;"ANY",$P865=""),"MISSING COUNTERPARTY COUNTRY",IF(AND(IFERROR(INDEX(VAT_Codes!$E:$E,MATCH($N865,VAT_Codes!$A:$A,0)),"ANY")&lt;&gt;"ANY",$P865&lt;&gt;IFERROR(INDEX(VAT_Codes!$E:$E,MATCH($N865,VAT_Codes!$A:$A,0)),"ANY")),"REGION MISMATCH","OK")))))))</f>
        <v/>
      </c>
    </row>
    <row r="866" customFormat="false" ht="15" hidden="false" customHeight="false" outlineLevel="0" collapsed="false">
      <c r="M866" s="24" t="str">
        <f aca="false">IF($C866="","",IFERROR(INDEX(Account_Mapping!$C:$C,MATCH($C866&amp;"",Account_Mapping!$A:$A,0))&amp;"",""))</f>
        <v/>
      </c>
      <c r="N866" s="24" t="str">
        <f aca="false">IF($K866&lt;&gt;"",$K866,$M866)</f>
        <v/>
      </c>
      <c r="O866" s="24" t="str">
        <f aca="false">IF($F866="","",IFERROR(INDEX(Counterparties!$C:$C,MATCH($F866&amp;"",Counterparties!$A:$A,0))&amp;"",""))</f>
        <v/>
      </c>
      <c r="P866" s="24" t="str">
        <f aca="false">IF($O866="","",IF($O866="CY","CY",IF(ISNUMBER(MATCH($O866,Lists!$A:$A,0)),"EU","3RD")))</f>
        <v/>
      </c>
      <c r="Q866" s="24" t="str">
        <f aca="false">IF($F866="","N",IFERROR(IF(INDEX(Counterparties!$E:$E,MATCH($F866&amp;"",Counterparties!$A:$A,0))="Y","Y","N"),"N"))</f>
        <v>N</v>
      </c>
      <c r="R866" s="25" t="n">
        <f aca="false">IF(OR($H866="",$H866="EUR"),1,IFERROR(INDEX(FX_Rates!$D:$D,MATCH($H866,FX_Rates!$A:$A,0)),""))</f>
        <v>1</v>
      </c>
      <c r="S866" s="26" t="str">
        <f aca="false">IF(AND($I866="",$J866=""),"",IF($J866&lt;&gt;"",$J866,IF(OR($R866="",$R866=0),"",ROUND($I866/$R866,2))))</f>
        <v/>
      </c>
      <c r="T866" s="24" t="str">
        <f aca="false">IF($N866="","",IFERROR(INDEX(VAT_Codes!$C:$C,MATCH($N866,VAT_Codes!$A:$A,0)),"")&amp;"")</f>
        <v/>
      </c>
      <c r="U866" s="26" t="n">
        <f aca="false">IF(OR($S866="",$T866="",$T866="None"),0,IF($T866="Output",-$S866,$S866))</f>
        <v>0</v>
      </c>
      <c r="V866" s="27" t="n">
        <f aca="false">IF($N866="",0,IFERROR(INDEX(VAT_Codes!$D:$D,MATCH($N866,VAT_Codes!$A:$A,0)),0))</f>
        <v>0</v>
      </c>
      <c r="W866" s="26" t="n">
        <f aca="false">IF($U866=0,0,IF(IFERROR(INDEX(VAT_Codes!$F:$F,MATCH($N866,VAT_Codes!$A:$A,0)),"N")="Y",$U866,IF($L866&lt;&gt;"",ROUND(ABS($L866)/IF(OR($R866="",$R866=0),1,$R866),2)*SIGN($U866),ROUND($U866*$V866,2))))</f>
        <v>0</v>
      </c>
      <c r="X866" s="24" t="str">
        <f aca="false">IF($N866="","",IFERROR(INDEX(VAT_Codes!$H:$H,MATCH($N866,VAT_Codes!$A:$A,0)),"")&amp;"")</f>
        <v/>
      </c>
      <c r="Y866" s="24" t="str">
        <f aca="false">IF($A866="","",(YEAR($A866)-YEAR(Settings!$C$8))*12+MONTH($A866)-MONTH(Settings!$C$8)+1)</f>
        <v/>
      </c>
      <c r="Z866" s="24" t="str">
        <f aca="false">IF(AND($C866="",$I866="",$J866=""),"",IF($N866="","NO VAT CODE",IF($T866="","UNKNOWN VAT CODE",IF($S866="","MISSING FX RATE",IF(OR($A866&lt;Settings!$C$8,$A866&gt;Settings!$C$9),"OUTSIDE PERIOD",IF(AND(IFERROR(INDEX(VAT_Codes!$E:$E,MATCH($N866,VAT_Codes!$A:$A,0)),"ANY")&lt;&gt;"ANY",$P866=""),"MISSING COUNTERPARTY COUNTRY",IF(AND(IFERROR(INDEX(VAT_Codes!$E:$E,MATCH($N866,VAT_Codes!$A:$A,0)),"ANY")&lt;&gt;"ANY",$P866&lt;&gt;IFERROR(INDEX(VAT_Codes!$E:$E,MATCH($N866,VAT_Codes!$A:$A,0)),"ANY")),"REGION MISMATCH","OK")))))))</f>
        <v/>
      </c>
    </row>
    <row r="867" customFormat="false" ht="15" hidden="false" customHeight="false" outlineLevel="0" collapsed="false">
      <c r="M867" s="24" t="str">
        <f aca="false">IF($C867="","",IFERROR(INDEX(Account_Mapping!$C:$C,MATCH($C867&amp;"",Account_Mapping!$A:$A,0))&amp;"",""))</f>
        <v/>
      </c>
      <c r="N867" s="24" t="str">
        <f aca="false">IF($K867&lt;&gt;"",$K867,$M867)</f>
        <v/>
      </c>
      <c r="O867" s="24" t="str">
        <f aca="false">IF($F867="","",IFERROR(INDEX(Counterparties!$C:$C,MATCH($F867&amp;"",Counterparties!$A:$A,0))&amp;"",""))</f>
        <v/>
      </c>
      <c r="P867" s="24" t="str">
        <f aca="false">IF($O867="","",IF($O867="CY","CY",IF(ISNUMBER(MATCH($O867,Lists!$A:$A,0)),"EU","3RD")))</f>
        <v/>
      </c>
      <c r="Q867" s="24" t="str">
        <f aca="false">IF($F867="","N",IFERROR(IF(INDEX(Counterparties!$E:$E,MATCH($F867&amp;"",Counterparties!$A:$A,0))="Y","Y","N"),"N"))</f>
        <v>N</v>
      </c>
      <c r="R867" s="25" t="n">
        <f aca="false">IF(OR($H867="",$H867="EUR"),1,IFERROR(INDEX(FX_Rates!$D:$D,MATCH($H867,FX_Rates!$A:$A,0)),""))</f>
        <v>1</v>
      </c>
      <c r="S867" s="26" t="str">
        <f aca="false">IF(AND($I867="",$J867=""),"",IF($J867&lt;&gt;"",$J867,IF(OR($R867="",$R867=0),"",ROUND($I867/$R867,2))))</f>
        <v/>
      </c>
      <c r="T867" s="24" t="str">
        <f aca="false">IF($N867="","",IFERROR(INDEX(VAT_Codes!$C:$C,MATCH($N867,VAT_Codes!$A:$A,0)),"")&amp;"")</f>
        <v/>
      </c>
      <c r="U867" s="26" t="n">
        <f aca="false">IF(OR($S867="",$T867="",$T867="None"),0,IF($T867="Output",-$S867,$S867))</f>
        <v>0</v>
      </c>
      <c r="V867" s="27" t="n">
        <f aca="false">IF($N867="",0,IFERROR(INDEX(VAT_Codes!$D:$D,MATCH($N867,VAT_Codes!$A:$A,0)),0))</f>
        <v>0</v>
      </c>
      <c r="W867" s="26" t="n">
        <f aca="false">IF($U867=0,0,IF(IFERROR(INDEX(VAT_Codes!$F:$F,MATCH($N867,VAT_Codes!$A:$A,0)),"N")="Y",$U867,IF($L867&lt;&gt;"",ROUND(ABS($L867)/IF(OR($R867="",$R867=0),1,$R867),2)*SIGN($U867),ROUND($U867*$V867,2))))</f>
        <v>0</v>
      </c>
      <c r="X867" s="24" t="str">
        <f aca="false">IF($N867="","",IFERROR(INDEX(VAT_Codes!$H:$H,MATCH($N867,VAT_Codes!$A:$A,0)),"")&amp;"")</f>
        <v/>
      </c>
      <c r="Y867" s="24" t="str">
        <f aca="false">IF($A867="","",(YEAR($A867)-YEAR(Settings!$C$8))*12+MONTH($A867)-MONTH(Settings!$C$8)+1)</f>
        <v/>
      </c>
      <c r="Z867" s="24" t="str">
        <f aca="false">IF(AND($C867="",$I867="",$J867=""),"",IF($N867="","NO VAT CODE",IF($T867="","UNKNOWN VAT CODE",IF($S867="","MISSING FX RATE",IF(OR($A867&lt;Settings!$C$8,$A867&gt;Settings!$C$9),"OUTSIDE PERIOD",IF(AND(IFERROR(INDEX(VAT_Codes!$E:$E,MATCH($N867,VAT_Codes!$A:$A,0)),"ANY")&lt;&gt;"ANY",$P867=""),"MISSING COUNTERPARTY COUNTRY",IF(AND(IFERROR(INDEX(VAT_Codes!$E:$E,MATCH($N867,VAT_Codes!$A:$A,0)),"ANY")&lt;&gt;"ANY",$P867&lt;&gt;IFERROR(INDEX(VAT_Codes!$E:$E,MATCH($N867,VAT_Codes!$A:$A,0)),"ANY")),"REGION MISMATCH","OK")))))))</f>
        <v/>
      </c>
    </row>
    <row r="868" customFormat="false" ht="15" hidden="false" customHeight="false" outlineLevel="0" collapsed="false">
      <c r="M868" s="24" t="str">
        <f aca="false">IF($C868="","",IFERROR(INDEX(Account_Mapping!$C:$C,MATCH($C868&amp;"",Account_Mapping!$A:$A,0))&amp;"",""))</f>
        <v/>
      </c>
      <c r="N868" s="24" t="str">
        <f aca="false">IF($K868&lt;&gt;"",$K868,$M868)</f>
        <v/>
      </c>
      <c r="O868" s="24" t="str">
        <f aca="false">IF($F868="","",IFERROR(INDEX(Counterparties!$C:$C,MATCH($F868&amp;"",Counterparties!$A:$A,0))&amp;"",""))</f>
        <v/>
      </c>
      <c r="P868" s="24" t="str">
        <f aca="false">IF($O868="","",IF($O868="CY","CY",IF(ISNUMBER(MATCH($O868,Lists!$A:$A,0)),"EU","3RD")))</f>
        <v/>
      </c>
      <c r="Q868" s="24" t="str">
        <f aca="false">IF($F868="","N",IFERROR(IF(INDEX(Counterparties!$E:$E,MATCH($F868&amp;"",Counterparties!$A:$A,0))="Y","Y","N"),"N"))</f>
        <v>N</v>
      </c>
      <c r="R868" s="25" t="n">
        <f aca="false">IF(OR($H868="",$H868="EUR"),1,IFERROR(INDEX(FX_Rates!$D:$D,MATCH($H868,FX_Rates!$A:$A,0)),""))</f>
        <v>1</v>
      </c>
      <c r="S868" s="26" t="str">
        <f aca="false">IF(AND($I868="",$J868=""),"",IF($J868&lt;&gt;"",$J868,IF(OR($R868="",$R868=0),"",ROUND($I868/$R868,2))))</f>
        <v/>
      </c>
      <c r="T868" s="24" t="str">
        <f aca="false">IF($N868="","",IFERROR(INDEX(VAT_Codes!$C:$C,MATCH($N868,VAT_Codes!$A:$A,0)),"")&amp;"")</f>
        <v/>
      </c>
      <c r="U868" s="26" t="n">
        <f aca="false">IF(OR($S868="",$T868="",$T868="None"),0,IF($T868="Output",-$S868,$S868))</f>
        <v>0</v>
      </c>
      <c r="V868" s="27" t="n">
        <f aca="false">IF($N868="",0,IFERROR(INDEX(VAT_Codes!$D:$D,MATCH($N868,VAT_Codes!$A:$A,0)),0))</f>
        <v>0</v>
      </c>
      <c r="W868" s="26" t="n">
        <f aca="false">IF($U868=0,0,IF(IFERROR(INDEX(VAT_Codes!$F:$F,MATCH($N868,VAT_Codes!$A:$A,0)),"N")="Y",$U868,IF($L868&lt;&gt;"",ROUND(ABS($L868)/IF(OR($R868="",$R868=0),1,$R868),2)*SIGN($U868),ROUND($U868*$V868,2))))</f>
        <v>0</v>
      </c>
      <c r="X868" s="24" t="str">
        <f aca="false">IF($N868="","",IFERROR(INDEX(VAT_Codes!$H:$H,MATCH($N868,VAT_Codes!$A:$A,0)),"")&amp;"")</f>
        <v/>
      </c>
      <c r="Y868" s="24" t="str">
        <f aca="false">IF($A868="","",(YEAR($A868)-YEAR(Settings!$C$8))*12+MONTH($A868)-MONTH(Settings!$C$8)+1)</f>
        <v/>
      </c>
      <c r="Z868" s="24" t="str">
        <f aca="false">IF(AND($C868="",$I868="",$J868=""),"",IF($N868="","NO VAT CODE",IF($T868="","UNKNOWN VAT CODE",IF($S868="","MISSING FX RATE",IF(OR($A868&lt;Settings!$C$8,$A868&gt;Settings!$C$9),"OUTSIDE PERIOD",IF(AND(IFERROR(INDEX(VAT_Codes!$E:$E,MATCH($N868,VAT_Codes!$A:$A,0)),"ANY")&lt;&gt;"ANY",$P868=""),"MISSING COUNTERPARTY COUNTRY",IF(AND(IFERROR(INDEX(VAT_Codes!$E:$E,MATCH($N868,VAT_Codes!$A:$A,0)),"ANY")&lt;&gt;"ANY",$P868&lt;&gt;IFERROR(INDEX(VAT_Codes!$E:$E,MATCH($N868,VAT_Codes!$A:$A,0)),"ANY")),"REGION MISMATCH","OK")))))))</f>
        <v/>
      </c>
    </row>
    <row r="869" customFormat="false" ht="15" hidden="false" customHeight="false" outlineLevel="0" collapsed="false">
      <c r="M869" s="24" t="str">
        <f aca="false">IF($C869="","",IFERROR(INDEX(Account_Mapping!$C:$C,MATCH($C869&amp;"",Account_Mapping!$A:$A,0))&amp;"",""))</f>
        <v/>
      </c>
      <c r="N869" s="24" t="str">
        <f aca="false">IF($K869&lt;&gt;"",$K869,$M869)</f>
        <v/>
      </c>
      <c r="O869" s="24" t="str">
        <f aca="false">IF($F869="","",IFERROR(INDEX(Counterparties!$C:$C,MATCH($F869&amp;"",Counterparties!$A:$A,0))&amp;"",""))</f>
        <v/>
      </c>
      <c r="P869" s="24" t="str">
        <f aca="false">IF($O869="","",IF($O869="CY","CY",IF(ISNUMBER(MATCH($O869,Lists!$A:$A,0)),"EU","3RD")))</f>
        <v/>
      </c>
      <c r="Q869" s="24" t="str">
        <f aca="false">IF($F869="","N",IFERROR(IF(INDEX(Counterparties!$E:$E,MATCH($F869&amp;"",Counterparties!$A:$A,0))="Y","Y","N"),"N"))</f>
        <v>N</v>
      </c>
      <c r="R869" s="25" t="n">
        <f aca="false">IF(OR($H869="",$H869="EUR"),1,IFERROR(INDEX(FX_Rates!$D:$D,MATCH($H869,FX_Rates!$A:$A,0)),""))</f>
        <v>1</v>
      </c>
      <c r="S869" s="26" t="str">
        <f aca="false">IF(AND($I869="",$J869=""),"",IF($J869&lt;&gt;"",$J869,IF(OR($R869="",$R869=0),"",ROUND($I869/$R869,2))))</f>
        <v/>
      </c>
      <c r="T869" s="24" t="str">
        <f aca="false">IF($N869="","",IFERROR(INDEX(VAT_Codes!$C:$C,MATCH($N869,VAT_Codes!$A:$A,0)),"")&amp;"")</f>
        <v/>
      </c>
      <c r="U869" s="26" t="n">
        <f aca="false">IF(OR($S869="",$T869="",$T869="None"),0,IF($T869="Output",-$S869,$S869))</f>
        <v>0</v>
      </c>
      <c r="V869" s="27" t="n">
        <f aca="false">IF($N869="",0,IFERROR(INDEX(VAT_Codes!$D:$D,MATCH($N869,VAT_Codes!$A:$A,0)),0))</f>
        <v>0</v>
      </c>
      <c r="W869" s="26" t="n">
        <f aca="false">IF($U869=0,0,IF(IFERROR(INDEX(VAT_Codes!$F:$F,MATCH($N869,VAT_Codes!$A:$A,0)),"N")="Y",$U869,IF($L869&lt;&gt;"",ROUND(ABS($L869)/IF(OR($R869="",$R869=0),1,$R869),2)*SIGN($U869),ROUND($U869*$V869,2))))</f>
        <v>0</v>
      </c>
      <c r="X869" s="24" t="str">
        <f aca="false">IF($N869="","",IFERROR(INDEX(VAT_Codes!$H:$H,MATCH($N869,VAT_Codes!$A:$A,0)),"")&amp;"")</f>
        <v/>
      </c>
      <c r="Y869" s="24" t="str">
        <f aca="false">IF($A869="","",(YEAR($A869)-YEAR(Settings!$C$8))*12+MONTH($A869)-MONTH(Settings!$C$8)+1)</f>
        <v/>
      </c>
      <c r="Z869" s="24" t="str">
        <f aca="false">IF(AND($C869="",$I869="",$J869=""),"",IF($N869="","NO VAT CODE",IF($T869="","UNKNOWN VAT CODE",IF($S869="","MISSING FX RATE",IF(OR($A869&lt;Settings!$C$8,$A869&gt;Settings!$C$9),"OUTSIDE PERIOD",IF(AND(IFERROR(INDEX(VAT_Codes!$E:$E,MATCH($N869,VAT_Codes!$A:$A,0)),"ANY")&lt;&gt;"ANY",$P869=""),"MISSING COUNTERPARTY COUNTRY",IF(AND(IFERROR(INDEX(VAT_Codes!$E:$E,MATCH($N869,VAT_Codes!$A:$A,0)),"ANY")&lt;&gt;"ANY",$P869&lt;&gt;IFERROR(INDEX(VAT_Codes!$E:$E,MATCH($N869,VAT_Codes!$A:$A,0)),"ANY")),"REGION MISMATCH","OK")))))))</f>
        <v/>
      </c>
    </row>
    <row r="870" customFormat="false" ht="15" hidden="false" customHeight="false" outlineLevel="0" collapsed="false">
      <c r="M870" s="24" t="str">
        <f aca="false">IF($C870="","",IFERROR(INDEX(Account_Mapping!$C:$C,MATCH($C870&amp;"",Account_Mapping!$A:$A,0))&amp;"",""))</f>
        <v/>
      </c>
      <c r="N870" s="24" t="str">
        <f aca="false">IF($K870&lt;&gt;"",$K870,$M870)</f>
        <v/>
      </c>
      <c r="O870" s="24" t="str">
        <f aca="false">IF($F870="","",IFERROR(INDEX(Counterparties!$C:$C,MATCH($F870&amp;"",Counterparties!$A:$A,0))&amp;"",""))</f>
        <v/>
      </c>
      <c r="P870" s="24" t="str">
        <f aca="false">IF($O870="","",IF($O870="CY","CY",IF(ISNUMBER(MATCH($O870,Lists!$A:$A,0)),"EU","3RD")))</f>
        <v/>
      </c>
      <c r="Q870" s="24" t="str">
        <f aca="false">IF($F870="","N",IFERROR(IF(INDEX(Counterparties!$E:$E,MATCH($F870&amp;"",Counterparties!$A:$A,0))="Y","Y","N"),"N"))</f>
        <v>N</v>
      </c>
      <c r="R870" s="25" t="n">
        <f aca="false">IF(OR($H870="",$H870="EUR"),1,IFERROR(INDEX(FX_Rates!$D:$D,MATCH($H870,FX_Rates!$A:$A,0)),""))</f>
        <v>1</v>
      </c>
      <c r="S870" s="26" t="str">
        <f aca="false">IF(AND($I870="",$J870=""),"",IF($J870&lt;&gt;"",$J870,IF(OR($R870="",$R870=0),"",ROUND($I870/$R870,2))))</f>
        <v/>
      </c>
      <c r="T870" s="24" t="str">
        <f aca="false">IF($N870="","",IFERROR(INDEX(VAT_Codes!$C:$C,MATCH($N870,VAT_Codes!$A:$A,0)),"")&amp;"")</f>
        <v/>
      </c>
      <c r="U870" s="26" t="n">
        <f aca="false">IF(OR($S870="",$T870="",$T870="None"),0,IF($T870="Output",-$S870,$S870))</f>
        <v>0</v>
      </c>
      <c r="V870" s="27" t="n">
        <f aca="false">IF($N870="",0,IFERROR(INDEX(VAT_Codes!$D:$D,MATCH($N870,VAT_Codes!$A:$A,0)),0))</f>
        <v>0</v>
      </c>
      <c r="W870" s="26" t="n">
        <f aca="false">IF($U870=0,0,IF(IFERROR(INDEX(VAT_Codes!$F:$F,MATCH($N870,VAT_Codes!$A:$A,0)),"N")="Y",$U870,IF($L870&lt;&gt;"",ROUND(ABS($L870)/IF(OR($R870="",$R870=0),1,$R870),2)*SIGN($U870),ROUND($U870*$V870,2))))</f>
        <v>0</v>
      </c>
      <c r="X870" s="24" t="str">
        <f aca="false">IF($N870="","",IFERROR(INDEX(VAT_Codes!$H:$H,MATCH($N870,VAT_Codes!$A:$A,0)),"")&amp;"")</f>
        <v/>
      </c>
      <c r="Y870" s="24" t="str">
        <f aca="false">IF($A870="","",(YEAR($A870)-YEAR(Settings!$C$8))*12+MONTH($A870)-MONTH(Settings!$C$8)+1)</f>
        <v/>
      </c>
      <c r="Z870" s="24" t="str">
        <f aca="false">IF(AND($C870="",$I870="",$J870=""),"",IF($N870="","NO VAT CODE",IF($T870="","UNKNOWN VAT CODE",IF($S870="","MISSING FX RATE",IF(OR($A870&lt;Settings!$C$8,$A870&gt;Settings!$C$9),"OUTSIDE PERIOD",IF(AND(IFERROR(INDEX(VAT_Codes!$E:$E,MATCH($N870,VAT_Codes!$A:$A,0)),"ANY")&lt;&gt;"ANY",$P870=""),"MISSING COUNTERPARTY COUNTRY",IF(AND(IFERROR(INDEX(VAT_Codes!$E:$E,MATCH($N870,VAT_Codes!$A:$A,0)),"ANY")&lt;&gt;"ANY",$P870&lt;&gt;IFERROR(INDEX(VAT_Codes!$E:$E,MATCH($N870,VAT_Codes!$A:$A,0)),"ANY")),"REGION MISMATCH","OK")))))))</f>
        <v/>
      </c>
    </row>
    <row r="871" customFormat="false" ht="15" hidden="false" customHeight="false" outlineLevel="0" collapsed="false">
      <c r="M871" s="24" t="str">
        <f aca="false">IF($C871="","",IFERROR(INDEX(Account_Mapping!$C:$C,MATCH($C871&amp;"",Account_Mapping!$A:$A,0))&amp;"",""))</f>
        <v/>
      </c>
      <c r="N871" s="24" t="str">
        <f aca="false">IF($K871&lt;&gt;"",$K871,$M871)</f>
        <v/>
      </c>
      <c r="O871" s="24" t="str">
        <f aca="false">IF($F871="","",IFERROR(INDEX(Counterparties!$C:$C,MATCH($F871&amp;"",Counterparties!$A:$A,0))&amp;"",""))</f>
        <v/>
      </c>
      <c r="P871" s="24" t="str">
        <f aca="false">IF($O871="","",IF($O871="CY","CY",IF(ISNUMBER(MATCH($O871,Lists!$A:$A,0)),"EU","3RD")))</f>
        <v/>
      </c>
      <c r="Q871" s="24" t="str">
        <f aca="false">IF($F871="","N",IFERROR(IF(INDEX(Counterparties!$E:$E,MATCH($F871&amp;"",Counterparties!$A:$A,0))="Y","Y","N"),"N"))</f>
        <v>N</v>
      </c>
      <c r="R871" s="25" t="n">
        <f aca="false">IF(OR($H871="",$H871="EUR"),1,IFERROR(INDEX(FX_Rates!$D:$D,MATCH($H871,FX_Rates!$A:$A,0)),""))</f>
        <v>1</v>
      </c>
      <c r="S871" s="26" t="str">
        <f aca="false">IF(AND($I871="",$J871=""),"",IF($J871&lt;&gt;"",$J871,IF(OR($R871="",$R871=0),"",ROUND($I871/$R871,2))))</f>
        <v/>
      </c>
      <c r="T871" s="24" t="str">
        <f aca="false">IF($N871="","",IFERROR(INDEX(VAT_Codes!$C:$C,MATCH($N871,VAT_Codes!$A:$A,0)),"")&amp;"")</f>
        <v/>
      </c>
      <c r="U871" s="26" t="n">
        <f aca="false">IF(OR($S871="",$T871="",$T871="None"),0,IF($T871="Output",-$S871,$S871))</f>
        <v>0</v>
      </c>
      <c r="V871" s="27" t="n">
        <f aca="false">IF($N871="",0,IFERROR(INDEX(VAT_Codes!$D:$D,MATCH($N871,VAT_Codes!$A:$A,0)),0))</f>
        <v>0</v>
      </c>
      <c r="W871" s="26" t="n">
        <f aca="false">IF($U871=0,0,IF(IFERROR(INDEX(VAT_Codes!$F:$F,MATCH($N871,VAT_Codes!$A:$A,0)),"N")="Y",$U871,IF($L871&lt;&gt;"",ROUND(ABS($L871)/IF(OR($R871="",$R871=0),1,$R871),2)*SIGN($U871),ROUND($U871*$V871,2))))</f>
        <v>0</v>
      </c>
      <c r="X871" s="24" t="str">
        <f aca="false">IF($N871="","",IFERROR(INDEX(VAT_Codes!$H:$H,MATCH($N871,VAT_Codes!$A:$A,0)),"")&amp;"")</f>
        <v/>
      </c>
      <c r="Y871" s="24" t="str">
        <f aca="false">IF($A871="","",(YEAR($A871)-YEAR(Settings!$C$8))*12+MONTH($A871)-MONTH(Settings!$C$8)+1)</f>
        <v/>
      </c>
      <c r="Z871" s="24" t="str">
        <f aca="false">IF(AND($C871="",$I871="",$J871=""),"",IF($N871="","NO VAT CODE",IF($T871="","UNKNOWN VAT CODE",IF($S871="","MISSING FX RATE",IF(OR($A871&lt;Settings!$C$8,$A871&gt;Settings!$C$9),"OUTSIDE PERIOD",IF(AND(IFERROR(INDEX(VAT_Codes!$E:$E,MATCH($N871,VAT_Codes!$A:$A,0)),"ANY")&lt;&gt;"ANY",$P871=""),"MISSING COUNTERPARTY COUNTRY",IF(AND(IFERROR(INDEX(VAT_Codes!$E:$E,MATCH($N871,VAT_Codes!$A:$A,0)),"ANY")&lt;&gt;"ANY",$P871&lt;&gt;IFERROR(INDEX(VAT_Codes!$E:$E,MATCH($N871,VAT_Codes!$A:$A,0)),"ANY")),"REGION MISMATCH","OK")))))))</f>
        <v/>
      </c>
    </row>
    <row r="872" customFormat="false" ht="15" hidden="false" customHeight="false" outlineLevel="0" collapsed="false">
      <c r="M872" s="24" t="str">
        <f aca="false">IF($C872="","",IFERROR(INDEX(Account_Mapping!$C:$C,MATCH($C872&amp;"",Account_Mapping!$A:$A,0))&amp;"",""))</f>
        <v/>
      </c>
      <c r="N872" s="24" t="str">
        <f aca="false">IF($K872&lt;&gt;"",$K872,$M872)</f>
        <v/>
      </c>
      <c r="O872" s="24" t="str">
        <f aca="false">IF($F872="","",IFERROR(INDEX(Counterparties!$C:$C,MATCH($F872&amp;"",Counterparties!$A:$A,0))&amp;"",""))</f>
        <v/>
      </c>
      <c r="P872" s="24" t="str">
        <f aca="false">IF($O872="","",IF($O872="CY","CY",IF(ISNUMBER(MATCH($O872,Lists!$A:$A,0)),"EU","3RD")))</f>
        <v/>
      </c>
      <c r="Q872" s="24" t="str">
        <f aca="false">IF($F872="","N",IFERROR(IF(INDEX(Counterparties!$E:$E,MATCH($F872&amp;"",Counterparties!$A:$A,0))="Y","Y","N"),"N"))</f>
        <v>N</v>
      </c>
      <c r="R872" s="25" t="n">
        <f aca="false">IF(OR($H872="",$H872="EUR"),1,IFERROR(INDEX(FX_Rates!$D:$D,MATCH($H872,FX_Rates!$A:$A,0)),""))</f>
        <v>1</v>
      </c>
      <c r="S872" s="26" t="str">
        <f aca="false">IF(AND($I872="",$J872=""),"",IF($J872&lt;&gt;"",$J872,IF(OR($R872="",$R872=0),"",ROUND($I872/$R872,2))))</f>
        <v/>
      </c>
      <c r="T872" s="24" t="str">
        <f aca="false">IF($N872="","",IFERROR(INDEX(VAT_Codes!$C:$C,MATCH($N872,VAT_Codes!$A:$A,0)),"")&amp;"")</f>
        <v/>
      </c>
      <c r="U872" s="26" t="n">
        <f aca="false">IF(OR($S872="",$T872="",$T872="None"),0,IF($T872="Output",-$S872,$S872))</f>
        <v>0</v>
      </c>
      <c r="V872" s="27" t="n">
        <f aca="false">IF($N872="",0,IFERROR(INDEX(VAT_Codes!$D:$D,MATCH($N872,VAT_Codes!$A:$A,0)),0))</f>
        <v>0</v>
      </c>
      <c r="W872" s="26" t="n">
        <f aca="false">IF($U872=0,0,IF(IFERROR(INDEX(VAT_Codes!$F:$F,MATCH($N872,VAT_Codes!$A:$A,0)),"N")="Y",$U872,IF($L872&lt;&gt;"",ROUND(ABS($L872)/IF(OR($R872="",$R872=0),1,$R872),2)*SIGN($U872),ROUND($U872*$V872,2))))</f>
        <v>0</v>
      </c>
      <c r="X872" s="24" t="str">
        <f aca="false">IF($N872="","",IFERROR(INDEX(VAT_Codes!$H:$H,MATCH($N872,VAT_Codes!$A:$A,0)),"")&amp;"")</f>
        <v/>
      </c>
      <c r="Y872" s="24" t="str">
        <f aca="false">IF($A872="","",(YEAR($A872)-YEAR(Settings!$C$8))*12+MONTH($A872)-MONTH(Settings!$C$8)+1)</f>
        <v/>
      </c>
      <c r="Z872" s="24" t="str">
        <f aca="false">IF(AND($C872="",$I872="",$J872=""),"",IF($N872="","NO VAT CODE",IF($T872="","UNKNOWN VAT CODE",IF($S872="","MISSING FX RATE",IF(OR($A872&lt;Settings!$C$8,$A872&gt;Settings!$C$9),"OUTSIDE PERIOD",IF(AND(IFERROR(INDEX(VAT_Codes!$E:$E,MATCH($N872,VAT_Codes!$A:$A,0)),"ANY")&lt;&gt;"ANY",$P872=""),"MISSING COUNTERPARTY COUNTRY",IF(AND(IFERROR(INDEX(VAT_Codes!$E:$E,MATCH($N872,VAT_Codes!$A:$A,0)),"ANY")&lt;&gt;"ANY",$P872&lt;&gt;IFERROR(INDEX(VAT_Codes!$E:$E,MATCH($N872,VAT_Codes!$A:$A,0)),"ANY")),"REGION MISMATCH","OK")))))))</f>
        <v/>
      </c>
    </row>
    <row r="873" customFormat="false" ht="15" hidden="false" customHeight="false" outlineLevel="0" collapsed="false">
      <c r="M873" s="24" t="str">
        <f aca="false">IF($C873="","",IFERROR(INDEX(Account_Mapping!$C:$C,MATCH($C873&amp;"",Account_Mapping!$A:$A,0))&amp;"",""))</f>
        <v/>
      </c>
      <c r="N873" s="24" t="str">
        <f aca="false">IF($K873&lt;&gt;"",$K873,$M873)</f>
        <v/>
      </c>
      <c r="O873" s="24" t="str">
        <f aca="false">IF($F873="","",IFERROR(INDEX(Counterparties!$C:$C,MATCH($F873&amp;"",Counterparties!$A:$A,0))&amp;"",""))</f>
        <v/>
      </c>
      <c r="P873" s="24" t="str">
        <f aca="false">IF($O873="","",IF($O873="CY","CY",IF(ISNUMBER(MATCH($O873,Lists!$A:$A,0)),"EU","3RD")))</f>
        <v/>
      </c>
      <c r="Q873" s="24" t="str">
        <f aca="false">IF($F873="","N",IFERROR(IF(INDEX(Counterparties!$E:$E,MATCH($F873&amp;"",Counterparties!$A:$A,0))="Y","Y","N"),"N"))</f>
        <v>N</v>
      </c>
      <c r="R873" s="25" t="n">
        <f aca="false">IF(OR($H873="",$H873="EUR"),1,IFERROR(INDEX(FX_Rates!$D:$D,MATCH($H873,FX_Rates!$A:$A,0)),""))</f>
        <v>1</v>
      </c>
      <c r="S873" s="26" t="str">
        <f aca="false">IF(AND($I873="",$J873=""),"",IF($J873&lt;&gt;"",$J873,IF(OR($R873="",$R873=0),"",ROUND($I873/$R873,2))))</f>
        <v/>
      </c>
      <c r="T873" s="24" t="str">
        <f aca="false">IF($N873="","",IFERROR(INDEX(VAT_Codes!$C:$C,MATCH($N873,VAT_Codes!$A:$A,0)),"")&amp;"")</f>
        <v/>
      </c>
      <c r="U873" s="26" t="n">
        <f aca="false">IF(OR($S873="",$T873="",$T873="None"),0,IF($T873="Output",-$S873,$S873))</f>
        <v>0</v>
      </c>
      <c r="V873" s="27" t="n">
        <f aca="false">IF($N873="",0,IFERROR(INDEX(VAT_Codes!$D:$D,MATCH($N873,VAT_Codes!$A:$A,0)),0))</f>
        <v>0</v>
      </c>
      <c r="W873" s="26" t="n">
        <f aca="false">IF($U873=0,0,IF(IFERROR(INDEX(VAT_Codes!$F:$F,MATCH($N873,VAT_Codes!$A:$A,0)),"N")="Y",$U873,IF($L873&lt;&gt;"",ROUND(ABS($L873)/IF(OR($R873="",$R873=0),1,$R873),2)*SIGN($U873),ROUND($U873*$V873,2))))</f>
        <v>0</v>
      </c>
      <c r="X873" s="24" t="str">
        <f aca="false">IF($N873="","",IFERROR(INDEX(VAT_Codes!$H:$H,MATCH($N873,VAT_Codes!$A:$A,0)),"")&amp;"")</f>
        <v/>
      </c>
      <c r="Y873" s="24" t="str">
        <f aca="false">IF($A873="","",(YEAR($A873)-YEAR(Settings!$C$8))*12+MONTH($A873)-MONTH(Settings!$C$8)+1)</f>
        <v/>
      </c>
      <c r="Z873" s="24" t="str">
        <f aca="false">IF(AND($C873="",$I873="",$J873=""),"",IF($N873="","NO VAT CODE",IF($T873="","UNKNOWN VAT CODE",IF($S873="","MISSING FX RATE",IF(OR($A873&lt;Settings!$C$8,$A873&gt;Settings!$C$9),"OUTSIDE PERIOD",IF(AND(IFERROR(INDEX(VAT_Codes!$E:$E,MATCH($N873,VAT_Codes!$A:$A,0)),"ANY")&lt;&gt;"ANY",$P873=""),"MISSING COUNTERPARTY COUNTRY",IF(AND(IFERROR(INDEX(VAT_Codes!$E:$E,MATCH($N873,VAT_Codes!$A:$A,0)),"ANY")&lt;&gt;"ANY",$P873&lt;&gt;IFERROR(INDEX(VAT_Codes!$E:$E,MATCH($N873,VAT_Codes!$A:$A,0)),"ANY")),"REGION MISMATCH","OK")))))))</f>
        <v/>
      </c>
    </row>
    <row r="874" customFormat="false" ht="15" hidden="false" customHeight="false" outlineLevel="0" collapsed="false">
      <c r="M874" s="24" t="str">
        <f aca="false">IF($C874="","",IFERROR(INDEX(Account_Mapping!$C:$C,MATCH($C874&amp;"",Account_Mapping!$A:$A,0))&amp;"",""))</f>
        <v/>
      </c>
      <c r="N874" s="24" t="str">
        <f aca="false">IF($K874&lt;&gt;"",$K874,$M874)</f>
        <v/>
      </c>
      <c r="O874" s="24" t="str">
        <f aca="false">IF($F874="","",IFERROR(INDEX(Counterparties!$C:$C,MATCH($F874&amp;"",Counterparties!$A:$A,0))&amp;"",""))</f>
        <v/>
      </c>
      <c r="P874" s="24" t="str">
        <f aca="false">IF($O874="","",IF($O874="CY","CY",IF(ISNUMBER(MATCH($O874,Lists!$A:$A,0)),"EU","3RD")))</f>
        <v/>
      </c>
      <c r="Q874" s="24" t="str">
        <f aca="false">IF($F874="","N",IFERROR(IF(INDEX(Counterparties!$E:$E,MATCH($F874&amp;"",Counterparties!$A:$A,0))="Y","Y","N"),"N"))</f>
        <v>N</v>
      </c>
      <c r="R874" s="25" t="n">
        <f aca="false">IF(OR($H874="",$H874="EUR"),1,IFERROR(INDEX(FX_Rates!$D:$D,MATCH($H874,FX_Rates!$A:$A,0)),""))</f>
        <v>1</v>
      </c>
      <c r="S874" s="26" t="str">
        <f aca="false">IF(AND($I874="",$J874=""),"",IF($J874&lt;&gt;"",$J874,IF(OR($R874="",$R874=0),"",ROUND($I874/$R874,2))))</f>
        <v/>
      </c>
      <c r="T874" s="24" t="str">
        <f aca="false">IF($N874="","",IFERROR(INDEX(VAT_Codes!$C:$C,MATCH($N874,VAT_Codes!$A:$A,0)),"")&amp;"")</f>
        <v/>
      </c>
      <c r="U874" s="26" t="n">
        <f aca="false">IF(OR($S874="",$T874="",$T874="None"),0,IF($T874="Output",-$S874,$S874))</f>
        <v>0</v>
      </c>
      <c r="V874" s="27" t="n">
        <f aca="false">IF($N874="",0,IFERROR(INDEX(VAT_Codes!$D:$D,MATCH($N874,VAT_Codes!$A:$A,0)),0))</f>
        <v>0</v>
      </c>
      <c r="W874" s="26" t="n">
        <f aca="false">IF($U874=0,0,IF(IFERROR(INDEX(VAT_Codes!$F:$F,MATCH($N874,VAT_Codes!$A:$A,0)),"N")="Y",$U874,IF($L874&lt;&gt;"",ROUND(ABS($L874)/IF(OR($R874="",$R874=0),1,$R874),2)*SIGN($U874),ROUND($U874*$V874,2))))</f>
        <v>0</v>
      </c>
      <c r="X874" s="24" t="str">
        <f aca="false">IF($N874="","",IFERROR(INDEX(VAT_Codes!$H:$H,MATCH($N874,VAT_Codes!$A:$A,0)),"")&amp;"")</f>
        <v/>
      </c>
      <c r="Y874" s="24" t="str">
        <f aca="false">IF($A874="","",(YEAR($A874)-YEAR(Settings!$C$8))*12+MONTH($A874)-MONTH(Settings!$C$8)+1)</f>
        <v/>
      </c>
      <c r="Z874" s="24" t="str">
        <f aca="false">IF(AND($C874="",$I874="",$J874=""),"",IF($N874="","NO VAT CODE",IF($T874="","UNKNOWN VAT CODE",IF($S874="","MISSING FX RATE",IF(OR($A874&lt;Settings!$C$8,$A874&gt;Settings!$C$9),"OUTSIDE PERIOD",IF(AND(IFERROR(INDEX(VAT_Codes!$E:$E,MATCH($N874,VAT_Codes!$A:$A,0)),"ANY")&lt;&gt;"ANY",$P874=""),"MISSING COUNTERPARTY COUNTRY",IF(AND(IFERROR(INDEX(VAT_Codes!$E:$E,MATCH($N874,VAT_Codes!$A:$A,0)),"ANY")&lt;&gt;"ANY",$P874&lt;&gt;IFERROR(INDEX(VAT_Codes!$E:$E,MATCH($N874,VAT_Codes!$A:$A,0)),"ANY")),"REGION MISMATCH","OK")))))))</f>
        <v/>
      </c>
    </row>
    <row r="875" customFormat="false" ht="15" hidden="false" customHeight="false" outlineLevel="0" collapsed="false">
      <c r="M875" s="24" t="str">
        <f aca="false">IF($C875="","",IFERROR(INDEX(Account_Mapping!$C:$C,MATCH($C875&amp;"",Account_Mapping!$A:$A,0))&amp;"",""))</f>
        <v/>
      </c>
      <c r="N875" s="24" t="str">
        <f aca="false">IF($K875&lt;&gt;"",$K875,$M875)</f>
        <v/>
      </c>
      <c r="O875" s="24" t="str">
        <f aca="false">IF($F875="","",IFERROR(INDEX(Counterparties!$C:$C,MATCH($F875&amp;"",Counterparties!$A:$A,0))&amp;"",""))</f>
        <v/>
      </c>
      <c r="P875" s="24" t="str">
        <f aca="false">IF($O875="","",IF($O875="CY","CY",IF(ISNUMBER(MATCH($O875,Lists!$A:$A,0)),"EU","3RD")))</f>
        <v/>
      </c>
      <c r="Q875" s="24" t="str">
        <f aca="false">IF($F875="","N",IFERROR(IF(INDEX(Counterparties!$E:$E,MATCH($F875&amp;"",Counterparties!$A:$A,0))="Y","Y","N"),"N"))</f>
        <v>N</v>
      </c>
      <c r="R875" s="25" t="n">
        <f aca="false">IF(OR($H875="",$H875="EUR"),1,IFERROR(INDEX(FX_Rates!$D:$D,MATCH($H875,FX_Rates!$A:$A,0)),""))</f>
        <v>1</v>
      </c>
      <c r="S875" s="26" t="str">
        <f aca="false">IF(AND($I875="",$J875=""),"",IF($J875&lt;&gt;"",$J875,IF(OR($R875="",$R875=0),"",ROUND($I875/$R875,2))))</f>
        <v/>
      </c>
      <c r="T875" s="24" t="str">
        <f aca="false">IF($N875="","",IFERROR(INDEX(VAT_Codes!$C:$C,MATCH($N875,VAT_Codes!$A:$A,0)),"")&amp;"")</f>
        <v/>
      </c>
      <c r="U875" s="26" t="n">
        <f aca="false">IF(OR($S875="",$T875="",$T875="None"),0,IF($T875="Output",-$S875,$S875))</f>
        <v>0</v>
      </c>
      <c r="V875" s="27" t="n">
        <f aca="false">IF($N875="",0,IFERROR(INDEX(VAT_Codes!$D:$D,MATCH($N875,VAT_Codes!$A:$A,0)),0))</f>
        <v>0</v>
      </c>
      <c r="W875" s="26" t="n">
        <f aca="false">IF($U875=0,0,IF(IFERROR(INDEX(VAT_Codes!$F:$F,MATCH($N875,VAT_Codes!$A:$A,0)),"N")="Y",$U875,IF($L875&lt;&gt;"",ROUND(ABS($L875)/IF(OR($R875="",$R875=0),1,$R875),2)*SIGN($U875),ROUND($U875*$V875,2))))</f>
        <v>0</v>
      </c>
      <c r="X875" s="24" t="str">
        <f aca="false">IF($N875="","",IFERROR(INDEX(VAT_Codes!$H:$H,MATCH($N875,VAT_Codes!$A:$A,0)),"")&amp;"")</f>
        <v/>
      </c>
      <c r="Y875" s="24" t="str">
        <f aca="false">IF($A875="","",(YEAR($A875)-YEAR(Settings!$C$8))*12+MONTH($A875)-MONTH(Settings!$C$8)+1)</f>
        <v/>
      </c>
      <c r="Z875" s="24" t="str">
        <f aca="false">IF(AND($C875="",$I875="",$J875=""),"",IF($N875="","NO VAT CODE",IF($T875="","UNKNOWN VAT CODE",IF($S875="","MISSING FX RATE",IF(OR($A875&lt;Settings!$C$8,$A875&gt;Settings!$C$9),"OUTSIDE PERIOD",IF(AND(IFERROR(INDEX(VAT_Codes!$E:$E,MATCH($N875,VAT_Codes!$A:$A,0)),"ANY")&lt;&gt;"ANY",$P875=""),"MISSING COUNTERPARTY COUNTRY",IF(AND(IFERROR(INDEX(VAT_Codes!$E:$E,MATCH($N875,VAT_Codes!$A:$A,0)),"ANY")&lt;&gt;"ANY",$P875&lt;&gt;IFERROR(INDEX(VAT_Codes!$E:$E,MATCH($N875,VAT_Codes!$A:$A,0)),"ANY")),"REGION MISMATCH","OK")))))))</f>
        <v/>
      </c>
    </row>
    <row r="876" customFormat="false" ht="15" hidden="false" customHeight="false" outlineLevel="0" collapsed="false">
      <c r="M876" s="24" t="str">
        <f aca="false">IF($C876="","",IFERROR(INDEX(Account_Mapping!$C:$C,MATCH($C876&amp;"",Account_Mapping!$A:$A,0))&amp;"",""))</f>
        <v/>
      </c>
      <c r="N876" s="24" t="str">
        <f aca="false">IF($K876&lt;&gt;"",$K876,$M876)</f>
        <v/>
      </c>
      <c r="O876" s="24" t="str">
        <f aca="false">IF($F876="","",IFERROR(INDEX(Counterparties!$C:$C,MATCH($F876&amp;"",Counterparties!$A:$A,0))&amp;"",""))</f>
        <v/>
      </c>
      <c r="P876" s="24" t="str">
        <f aca="false">IF($O876="","",IF($O876="CY","CY",IF(ISNUMBER(MATCH($O876,Lists!$A:$A,0)),"EU","3RD")))</f>
        <v/>
      </c>
      <c r="Q876" s="24" t="str">
        <f aca="false">IF($F876="","N",IFERROR(IF(INDEX(Counterparties!$E:$E,MATCH($F876&amp;"",Counterparties!$A:$A,0))="Y","Y","N"),"N"))</f>
        <v>N</v>
      </c>
      <c r="R876" s="25" t="n">
        <f aca="false">IF(OR($H876="",$H876="EUR"),1,IFERROR(INDEX(FX_Rates!$D:$D,MATCH($H876,FX_Rates!$A:$A,0)),""))</f>
        <v>1</v>
      </c>
      <c r="S876" s="26" t="str">
        <f aca="false">IF(AND($I876="",$J876=""),"",IF($J876&lt;&gt;"",$J876,IF(OR($R876="",$R876=0),"",ROUND($I876/$R876,2))))</f>
        <v/>
      </c>
      <c r="T876" s="24" t="str">
        <f aca="false">IF($N876="","",IFERROR(INDEX(VAT_Codes!$C:$C,MATCH($N876,VAT_Codes!$A:$A,0)),"")&amp;"")</f>
        <v/>
      </c>
      <c r="U876" s="26" t="n">
        <f aca="false">IF(OR($S876="",$T876="",$T876="None"),0,IF($T876="Output",-$S876,$S876))</f>
        <v>0</v>
      </c>
      <c r="V876" s="27" t="n">
        <f aca="false">IF($N876="",0,IFERROR(INDEX(VAT_Codes!$D:$D,MATCH($N876,VAT_Codes!$A:$A,0)),0))</f>
        <v>0</v>
      </c>
      <c r="W876" s="26" t="n">
        <f aca="false">IF($U876=0,0,IF(IFERROR(INDEX(VAT_Codes!$F:$F,MATCH($N876,VAT_Codes!$A:$A,0)),"N")="Y",$U876,IF($L876&lt;&gt;"",ROUND(ABS($L876)/IF(OR($R876="",$R876=0),1,$R876),2)*SIGN($U876),ROUND($U876*$V876,2))))</f>
        <v>0</v>
      </c>
      <c r="X876" s="24" t="str">
        <f aca="false">IF($N876="","",IFERROR(INDEX(VAT_Codes!$H:$H,MATCH($N876,VAT_Codes!$A:$A,0)),"")&amp;"")</f>
        <v/>
      </c>
      <c r="Y876" s="24" t="str">
        <f aca="false">IF($A876="","",(YEAR($A876)-YEAR(Settings!$C$8))*12+MONTH($A876)-MONTH(Settings!$C$8)+1)</f>
        <v/>
      </c>
      <c r="Z876" s="24" t="str">
        <f aca="false">IF(AND($C876="",$I876="",$J876=""),"",IF($N876="","NO VAT CODE",IF($T876="","UNKNOWN VAT CODE",IF($S876="","MISSING FX RATE",IF(OR($A876&lt;Settings!$C$8,$A876&gt;Settings!$C$9),"OUTSIDE PERIOD",IF(AND(IFERROR(INDEX(VAT_Codes!$E:$E,MATCH($N876,VAT_Codes!$A:$A,0)),"ANY")&lt;&gt;"ANY",$P876=""),"MISSING COUNTERPARTY COUNTRY",IF(AND(IFERROR(INDEX(VAT_Codes!$E:$E,MATCH($N876,VAT_Codes!$A:$A,0)),"ANY")&lt;&gt;"ANY",$P876&lt;&gt;IFERROR(INDEX(VAT_Codes!$E:$E,MATCH($N876,VAT_Codes!$A:$A,0)),"ANY")),"REGION MISMATCH","OK")))))))</f>
        <v/>
      </c>
    </row>
    <row r="877" customFormat="false" ht="15" hidden="false" customHeight="false" outlineLevel="0" collapsed="false">
      <c r="M877" s="24" t="str">
        <f aca="false">IF($C877="","",IFERROR(INDEX(Account_Mapping!$C:$C,MATCH($C877&amp;"",Account_Mapping!$A:$A,0))&amp;"",""))</f>
        <v/>
      </c>
      <c r="N877" s="24" t="str">
        <f aca="false">IF($K877&lt;&gt;"",$K877,$M877)</f>
        <v/>
      </c>
      <c r="O877" s="24" t="str">
        <f aca="false">IF($F877="","",IFERROR(INDEX(Counterparties!$C:$C,MATCH($F877&amp;"",Counterparties!$A:$A,0))&amp;"",""))</f>
        <v/>
      </c>
      <c r="P877" s="24" t="str">
        <f aca="false">IF($O877="","",IF($O877="CY","CY",IF(ISNUMBER(MATCH($O877,Lists!$A:$A,0)),"EU","3RD")))</f>
        <v/>
      </c>
      <c r="Q877" s="24" t="str">
        <f aca="false">IF($F877="","N",IFERROR(IF(INDEX(Counterparties!$E:$E,MATCH($F877&amp;"",Counterparties!$A:$A,0))="Y","Y","N"),"N"))</f>
        <v>N</v>
      </c>
      <c r="R877" s="25" t="n">
        <f aca="false">IF(OR($H877="",$H877="EUR"),1,IFERROR(INDEX(FX_Rates!$D:$D,MATCH($H877,FX_Rates!$A:$A,0)),""))</f>
        <v>1</v>
      </c>
      <c r="S877" s="26" t="str">
        <f aca="false">IF(AND($I877="",$J877=""),"",IF($J877&lt;&gt;"",$J877,IF(OR($R877="",$R877=0),"",ROUND($I877/$R877,2))))</f>
        <v/>
      </c>
      <c r="T877" s="24" t="str">
        <f aca="false">IF($N877="","",IFERROR(INDEX(VAT_Codes!$C:$C,MATCH($N877,VAT_Codes!$A:$A,0)),"")&amp;"")</f>
        <v/>
      </c>
      <c r="U877" s="26" t="n">
        <f aca="false">IF(OR($S877="",$T877="",$T877="None"),0,IF($T877="Output",-$S877,$S877))</f>
        <v>0</v>
      </c>
      <c r="V877" s="27" t="n">
        <f aca="false">IF($N877="",0,IFERROR(INDEX(VAT_Codes!$D:$D,MATCH($N877,VAT_Codes!$A:$A,0)),0))</f>
        <v>0</v>
      </c>
      <c r="W877" s="26" t="n">
        <f aca="false">IF($U877=0,0,IF(IFERROR(INDEX(VAT_Codes!$F:$F,MATCH($N877,VAT_Codes!$A:$A,0)),"N")="Y",$U877,IF($L877&lt;&gt;"",ROUND(ABS($L877)/IF(OR($R877="",$R877=0),1,$R877),2)*SIGN($U877),ROUND($U877*$V877,2))))</f>
        <v>0</v>
      </c>
      <c r="X877" s="24" t="str">
        <f aca="false">IF($N877="","",IFERROR(INDEX(VAT_Codes!$H:$H,MATCH($N877,VAT_Codes!$A:$A,0)),"")&amp;"")</f>
        <v/>
      </c>
      <c r="Y877" s="24" t="str">
        <f aca="false">IF($A877="","",(YEAR($A877)-YEAR(Settings!$C$8))*12+MONTH($A877)-MONTH(Settings!$C$8)+1)</f>
        <v/>
      </c>
      <c r="Z877" s="24" t="str">
        <f aca="false">IF(AND($C877="",$I877="",$J877=""),"",IF($N877="","NO VAT CODE",IF($T877="","UNKNOWN VAT CODE",IF($S877="","MISSING FX RATE",IF(OR($A877&lt;Settings!$C$8,$A877&gt;Settings!$C$9),"OUTSIDE PERIOD",IF(AND(IFERROR(INDEX(VAT_Codes!$E:$E,MATCH($N877,VAT_Codes!$A:$A,0)),"ANY")&lt;&gt;"ANY",$P877=""),"MISSING COUNTERPARTY COUNTRY",IF(AND(IFERROR(INDEX(VAT_Codes!$E:$E,MATCH($N877,VAT_Codes!$A:$A,0)),"ANY")&lt;&gt;"ANY",$P877&lt;&gt;IFERROR(INDEX(VAT_Codes!$E:$E,MATCH($N877,VAT_Codes!$A:$A,0)),"ANY")),"REGION MISMATCH","OK")))))))</f>
        <v/>
      </c>
    </row>
    <row r="878" customFormat="false" ht="15" hidden="false" customHeight="false" outlineLevel="0" collapsed="false">
      <c r="M878" s="24" t="str">
        <f aca="false">IF($C878="","",IFERROR(INDEX(Account_Mapping!$C:$C,MATCH($C878&amp;"",Account_Mapping!$A:$A,0))&amp;"",""))</f>
        <v/>
      </c>
      <c r="N878" s="24" t="str">
        <f aca="false">IF($K878&lt;&gt;"",$K878,$M878)</f>
        <v/>
      </c>
      <c r="O878" s="24" t="str">
        <f aca="false">IF($F878="","",IFERROR(INDEX(Counterparties!$C:$C,MATCH($F878&amp;"",Counterparties!$A:$A,0))&amp;"",""))</f>
        <v/>
      </c>
      <c r="P878" s="24" t="str">
        <f aca="false">IF($O878="","",IF($O878="CY","CY",IF(ISNUMBER(MATCH($O878,Lists!$A:$A,0)),"EU","3RD")))</f>
        <v/>
      </c>
      <c r="Q878" s="24" t="str">
        <f aca="false">IF($F878="","N",IFERROR(IF(INDEX(Counterparties!$E:$E,MATCH($F878&amp;"",Counterparties!$A:$A,0))="Y","Y","N"),"N"))</f>
        <v>N</v>
      </c>
      <c r="R878" s="25" t="n">
        <f aca="false">IF(OR($H878="",$H878="EUR"),1,IFERROR(INDEX(FX_Rates!$D:$D,MATCH($H878,FX_Rates!$A:$A,0)),""))</f>
        <v>1</v>
      </c>
      <c r="S878" s="26" t="str">
        <f aca="false">IF(AND($I878="",$J878=""),"",IF($J878&lt;&gt;"",$J878,IF(OR($R878="",$R878=0),"",ROUND($I878/$R878,2))))</f>
        <v/>
      </c>
      <c r="T878" s="24" t="str">
        <f aca="false">IF($N878="","",IFERROR(INDEX(VAT_Codes!$C:$C,MATCH($N878,VAT_Codes!$A:$A,0)),"")&amp;"")</f>
        <v/>
      </c>
      <c r="U878" s="26" t="n">
        <f aca="false">IF(OR($S878="",$T878="",$T878="None"),0,IF($T878="Output",-$S878,$S878))</f>
        <v>0</v>
      </c>
      <c r="V878" s="27" t="n">
        <f aca="false">IF($N878="",0,IFERROR(INDEX(VAT_Codes!$D:$D,MATCH($N878,VAT_Codes!$A:$A,0)),0))</f>
        <v>0</v>
      </c>
      <c r="W878" s="26" t="n">
        <f aca="false">IF($U878=0,0,IF(IFERROR(INDEX(VAT_Codes!$F:$F,MATCH($N878,VAT_Codes!$A:$A,0)),"N")="Y",$U878,IF($L878&lt;&gt;"",ROUND(ABS($L878)/IF(OR($R878="",$R878=0),1,$R878),2)*SIGN($U878),ROUND($U878*$V878,2))))</f>
        <v>0</v>
      </c>
      <c r="X878" s="24" t="str">
        <f aca="false">IF($N878="","",IFERROR(INDEX(VAT_Codes!$H:$H,MATCH($N878,VAT_Codes!$A:$A,0)),"")&amp;"")</f>
        <v/>
      </c>
      <c r="Y878" s="24" t="str">
        <f aca="false">IF($A878="","",(YEAR($A878)-YEAR(Settings!$C$8))*12+MONTH($A878)-MONTH(Settings!$C$8)+1)</f>
        <v/>
      </c>
      <c r="Z878" s="24" t="str">
        <f aca="false">IF(AND($C878="",$I878="",$J878=""),"",IF($N878="","NO VAT CODE",IF($T878="","UNKNOWN VAT CODE",IF($S878="","MISSING FX RATE",IF(OR($A878&lt;Settings!$C$8,$A878&gt;Settings!$C$9),"OUTSIDE PERIOD",IF(AND(IFERROR(INDEX(VAT_Codes!$E:$E,MATCH($N878,VAT_Codes!$A:$A,0)),"ANY")&lt;&gt;"ANY",$P878=""),"MISSING COUNTERPARTY COUNTRY",IF(AND(IFERROR(INDEX(VAT_Codes!$E:$E,MATCH($N878,VAT_Codes!$A:$A,0)),"ANY")&lt;&gt;"ANY",$P878&lt;&gt;IFERROR(INDEX(VAT_Codes!$E:$E,MATCH($N878,VAT_Codes!$A:$A,0)),"ANY")),"REGION MISMATCH","OK")))))))</f>
        <v/>
      </c>
    </row>
    <row r="879" customFormat="false" ht="15" hidden="false" customHeight="false" outlineLevel="0" collapsed="false">
      <c r="M879" s="24" t="str">
        <f aca="false">IF($C879="","",IFERROR(INDEX(Account_Mapping!$C:$C,MATCH($C879&amp;"",Account_Mapping!$A:$A,0))&amp;"",""))</f>
        <v/>
      </c>
      <c r="N879" s="24" t="str">
        <f aca="false">IF($K879&lt;&gt;"",$K879,$M879)</f>
        <v/>
      </c>
      <c r="O879" s="24" t="str">
        <f aca="false">IF($F879="","",IFERROR(INDEX(Counterparties!$C:$C,MATCH($F879&amp;"",Counterparties!$A:$A,0))&amp;"",""))</f>
        <v/>
      </c>
      <c r="P879" s="24" t="str">
        <f aca="false">IF($O879="","",IF($O879="CY","CY",IF(ISNUMBER(MATCH($O879,Lists!$A:$A,0)),"EU","3RD")))</f>
        <v/>
      </c>
      <c r="Q879" s="24" t="str">
        <f aca="false">IF($F879="","N",IFERROR(IF(INDEX(Counterparties!$E:$E,MATCH($F879&amp;"",Counterparties!$A:$A,0))="Y","Y","N"),"N"))</f>
        <v>N</v>
      </c>
      <c r="R879" s="25" t="n">
        <f aca="false">IF(OR($H879="",$H879="EUR"),1,IFERROR(INDEX(FX_Rates!$D:$D,MATCH($H879,FX_Rates!$A:$A,0)),""))</f>
        <v>1</v>
      </c>
      <c r="S879" s="26" t="str">
        <f aca="false">IF(AND($I879="",$J879=""),"",IF($J879&lt;&gt;"",$J879,IF(OR($R879="",$R879=0),"",ROUND($I879/$R879,2))))</f>
        <v/>
      </c>
      <c r="T879" s="24" t="str">
        <f aca="false">IF($N879="","",IFERROR(INDEX(VAT_Codes!$C:$C,MATCH($N879,VAT_Codes!$A:$A,0)),"")&amp;"")</f>
        <v/>
      </c>
      <c r="U879" s="26" t="n">
        <f aca="false">IF(OR($S879="",$T879="",$T879="None"),0,IF($T879="Output",-$S879,$S879))</f>
        <v>0</v>
      </c>
      <c r="V879" s="27" t="n">
        <f aca="false">IF($N879="",0,IFERROR(INDEX(VAT_Codes!$D:$D,MATCH($N879,VAT_Codes!$A:$A,0)),0))</f>
        <v>0</v>
      </c>
      <c r="W879" s="26" t="n">
        <f aca="false">IF($U879=0,0,IF(IFERROR(INDEX(VAT_Codes!$F:$F,MATCH($N879,VAT_Codes!$A:$A,0)),"N")="Y",$U879,IF($L879&lt;&gt;"",ROUND(ABS($L879)/IF(OR($R879="",$R879=0),1,$R879),2)*SIGN($U879),ROUND($U879*$V879,2))))</f>
        <v>0</v>
      </c>
      <c r="X879" s="24" t="str">
        <f aca="false">IF($N879="","",IFERROR(INDEX(VAT_Codes!$H:$H,MATCH($N879,VAT_Codes!$A:$A,0)),"")&amp;"")</f>
        <v/>
      </c>
      <c r="Y879" s="24" t="str">
        <f aca="false">IF($A879="","",(YEAR($A879)-YEAR(Settings!$C$8))*12+MONTH($A879)-MONTH(Settings!$C$8)+1)</f>
        <v/>
      </c>
      <c r="Z879" s="24" t="str">
        <f aca="false">IF(AND($C879="",$I879="",$J879=""),"",IF($N879="","NO VAT CODE",IF($T879="","UNKNOWN VAT CODE",IF($S879="","MISSING FX RATE",IF(OR($A879&lt;Settings!$C$8,$A879&gt;Settings!$C$9),"OUTSIDE PERIOD",IF(AND(IFERROR(INDEX(VAT_Codes!$E:$E,MATCH($N879,VAT_Codes!$A:$A,0)),"ANY")&lt;&gt;"ANY",$P879=""),"MISSING COUNTERPARTY COUNTRY",IF(AND(IFERROR(INDEX(VAT_Codes!$E:$E,MATCH($N879,VAT_Codes!$A:$A,0)),"ANY")&lt;&gt;"ANY",$P879&lt;&gt;IFERROR(INDEX(VAT_Codes!$E:$E,MATCH($N879,VAT_Codes!$A:$A,0)),"ANY")),"REGION MISMATCH","OK")))))))</f>
        <v/>
      </c>
    </row>
    <row r="880" customFormat="false" ht="15" hidden="false" customHeight="false" outlineLevel="0" collapsed="false">
      <c r="M880" s="24" t="str">
        <f aca="false">IF($C880="","",IFERROR(INDEX(Account_Mapping!$C:$C,MATCH($C880&amp;"",Account_Mapping!$A:$A,0))&amp;"",""))</f>
        <v/>
      </c>
      <c r="N880" s="24" t="str">
        <f aca="false">IF($K880&lt;&gt;"",$K880,$M880)</f>
        <v/>
      </c>
      <c r="O880" s="24" t="str">
        <f aca="false">IF($F880="","",IFERROR(INDEX(Counterparties!$C:$C,MATCH($F880&amp;"",Counterparties!$A:$A,0))&amp;"",""))</f>
        <v/>
      </c>
      <c r="P880" s="24" t="str">
        <f aca="false">IF($O880="","",IF($O880="CY","CY",IF(ISNUMBER(MATCH($O880,Lists!$A:$A,0)),"EU","3RD")))</f>
        <v/>
      </c>
      <c r="Q880" s="24" t="str">
        <f aca="false">IF($F880="","N",IFERROR(IF(INDEX(Counterparties!$E:$E,MATCH($F880&amp;"",Counterparties!$A:$A,0))="Y","Y","N"),"N"))</f>
        <v>N</v>
      </c>
      <c r="R880" s="25" t="n">
        <f aca="false">IF(OR($H880="",$H880="EUR"),1,IFERROR(INDEX(FX_Rates!$D:$D,MATCH($H880,FX_Rates!$A:$A,0)),""))</f>
        <v>1</v>
      </c>
      <c r="S880" s="26" t="str">
        <f aca="false">IF(AND($I880="",$J880=""),"",IF($J880&lt;&gt;"",$J880,IF(OR($R880="",$R880=0),"",ROUND($I880/$R880,2))))</f>
        <v/>
      </c>
      <c r="T880" s="24" t="str">
        <f aca="false">IF($N880="","",IFERROR(INDEX(VAT_Codes!$C:$C,MATCH($N880,VAT_Codes!$A:$A,0)),"")&amp;"")</f>
        <v/>
      </c>
      <c r="U880" s="26" t="n">
        <f aca="false">IF(OR($S880="",$T880="",$T880="None"),0,IF($T880="Output",-$S880,$S880))</f>
        <v>0</v>
      </c>
      <c r="V880" s="27" t="n">
        <f aca="false">IF($N880="",0,IFERROR(INDEX(VAT_Codes!$D:$D,MATCH($N880,VAT_Codes!$A:$A,0)),0))</f>
        <v>0</v>
      </c>
      <c r="W880" s="26" t="n">
        <f aca="false">IF($U880=0,0,IF(IFERROR(INDEX(VAT_Codes!$F:$F,MATCH($N880,VAT_Codes!$A:$A,0)),"N")="Y",$U880,IF($L880&lt;&gt;"",ROUND(ABS($L880)/IF(OR($R880="",$R880=0),1,$R880),2)*SIGN($U880),ROUND($U880*$V880,2))))</f>
        <v>0</v>
      </c>
      <c r="X880" s="24" t="str">
        <f aca="false">IF($N880="","",IFERROR(INDEX(VAT_Codes!$H:$H,MATCH($N880,VAT_Codes!$A:$A,0)),"")&amp;"")</f>
        <v/>
      </c>
      <c r="Y880" s="24" t="str">
        <f aca="false">IF($A880="","",(YEAR($A880)-YEAR(Settings!$C$8))*12+MONTH($A880)-MONTH(Settings!$C$8)+1)</f>
        <v/>
      </c>
      <c r="Z880" s="24" t="str">
        <f aca="false">IF(AND($C880="",$I880="",$J880=""),"",IF($N880="","NO VAT CODE",IF($T880="","UNKNOWN VAT CODE",IF($S880="","MISSING FX RATE",IF(OR($A880&lt;Settings!$C$8,$A880&gt;Settings!$C$9),"OUTSIDE PERIOD",IF(AND(IFERROR(INDEX(VAT_Codes!$E:$E,MATCH($N880,VAT_Codes!$A:$A,0)),"ANY")&lt;&gt;"ANY",$P880=""),"MISSING COUNTERPARTY COUNTRY",IF(AND(IFERROR(INDEX(VAT_Codes!$E:$E,MATCH($N880,VAT_Codes!$A:$A,0)),"ANY")&lt;&gt;"ANY",$P880&lt;&gt;IFERROR(INDEX(VAT_Codes!$E:$E,MATCH($N880,VAT_Codes!$A:$A,0)),"ANY")),"REGION MISMATCH","OK")))))))</f>
        <v/>
      </c>
    </row>
    <row r="881" customFormat="false" ht="15" hidden="false" customHeight="false" outlineLevel="0" collapsed="false">
      <c r="M881" s="24" t="str">
        <f aca="false">IF($C881="","",IFERROR(INDEX(Account_Mapping!$C:$C,MATCH($C881&amp;"",Account_Mapping!$A:$A,0))&amp;"",""))</f>
        <v/>
      </c>
      <c r="N881" s="24" t="str">
        <f aca="false">IF($K881&lt;&gt;"",$K881,$M881)</f>
        <v/>
      </c>
      <c r="O881" s="24" t="str">
        <f aca="false">IF($F881="","",IFERROR(INDEX(Counterparties!$C:$C,MATCH($F881&amp;"",Counterparties!$A:$A,0))&amp;"",""))</f>
        <v/>
      </c>
      <c r="P881" s="24" t="str">
        <f aca="false">IF($O881="","",IF($O881="CY","CY",IF(ISNUMBER(MATCH($O881,Lists!$A:$A,0)),"EU","3RD")))</f>
        <v/>
      </c>
      <c r="Q881" s="24" t="str">
        <f aca="false">IF($F881="","N",IFERROR(IF(INDEX(Counterparties!$E:$E,MATCH($F881&amp;"",Counterparties!$A:$A,0))="Y","Y","N"),"N"))</f>
        <v>N</v>
      </c>
      <c r="R881" s="25" t="n">
        <f aca="false">IF(OR($H881="",$H881="EUR"),1,IFERROR(INDEX(FX_Rates!$D:$D,MATCH($H881,FX_Rates!$A:$A,0)),""))</f>
        <v>1</v>
      </c>
      <c r="S881" s="26" t="str">
        <f aca="false">IF(AND($I881="",$J881=""),"",IF($J881&lt;&gt;"",$J881,IF(OR($R881="",$R881=0),"",ROUND($I881/$R881,2))))</f>
        <v/>
      </c>
      <c r="T881" s="24" t="str">
        <f aca="false">IF($N881="","",IFERROR(INDEX(VAT_Codes!$C:$C,MATCH($N881,VAT_Codes!$A:$A,0)),"")&amp;"")</f>
        <v/>
      </c>
      <c r="U881" s="26" t="n">
        <f aca="false">IF(OR($S881="",$T881="",$T881="None"),0,IF($T881="Output",-$S881,$S881))</f>
        <v>0</v>
      </c>
      <c r="V881" s="27" t="n">
        <f aca="false">IF($N881="",0,IFERROR(INDEX(VAT_Codes!$D:$D,MATCH($N881,VAT_Codes!$A:$A,0)),0))</f>
        <v>0</v>
      </c>
      <c r="W881" s="26" t="n">
        <f aca="false">IF($U881=0,0,IF(IFERROR(INDEX(VAT_Codes!$F:$F,MATCH($N881,VAT_Codes!$A:$A,0)),"N")="Y",$U881,IF($L881&lt;&gt;"",ROUND(ABS($L881)/IF(OR($R881="",$R881=0),1,$R881),2)*SIGN($U881),ROUND($U881*$V881,2))))</f>
        <v>0</v>
      </c>
      <c r="X881" s="24" t="str">
        <f aca="false">IF($N881="","",IFERROR(INDEX(VAT_Codes!$H:$H,MATCH($N881,VAT_Codes!$A:$A,0)),"")&amp;"")</f>
        <v/>
      </c>
      <c r="Y881" s="24" t="str">
        <f aca="false">IF($A881="","",(YEAR($A881)-YEAR(Settings!$C$8))*12+MONTH($A881)-MONTH(Settings!$C$8)+1)</f>
        <v/>
      </c>
      <c r="Z881" s="24" t="str">
        <f aca="false">IF(AND($C881="",$I881="",$J881=""),"",IF($N881="","NO VAT CODE",IF($T881="","UNKNOWN VAT CODE",IF($S881="","MISSING FX RATE",IF(OR($A881&lt;Settings!$C$8,$A881&gt;Settings!$C$9),"OUTSIDE PERIOD",IF(AND(IFERROR(INDEX(VAT_Codes!$E:$E,MATCH($N881,VAT_Codes!$A:$A,0)),"ANY")&lt;&gt;"ANY",$P881=""),"MISSING COUNTERPARTY COUNTRY",IF(AND(IFERROR(INDEX(VAT_Codes!$E:$E,MATCH($N881,VAT_Codes!$A:$A,0)),"ANY")&lt;&gt;"ANY",$P881&lt;&gt;IFERROR(INDEX(VAT_Codes!$E:$E,MATCH($N881,VAT_Codes!$A:$A,0)),"ANY")),"REGION MISMATCH","OK")))))))</f>
        <v/>
      </c>
    </row>
    <row r="882" customFormat="false" ht="15" hidden="false" customHeight="false" outlineLevel="0" collapsed="false">
      <c r="M882" s="24" t="str">
        <f aca="false">IF($C882="","",IFERROR(INDEX(Account_Mapping!$C:$C,MATCH($C882&amp;"",Account_Mapping!$A:$A,0))&amp;"",""))</f>
        <v/>
      </c>
      <c r="N882" s="24" t="str">
        <f aca="false">IF($K882&lt;&gt;"",$K882,$M882)</f>
        <v/>
      </c>
      <c r="O882" s="24" t="str">
        <f aca="false">IF($F882="","",IFERROR(INDEX(Counterparties!$C:$C,MATCH($F882&amp;"",Counterparties!$A:$A,0))&amp;"",""))</f>
        <v/>
      </c>
      <c r="P882" s="24" t="str">
        <f aca="false">IF($O882="","",IF($O882="CY","CY",IF(ISNUMBER(MATCH($O882,Lists!$A:$A,0)),"EU","3RD")))</f>
        <v/>
      </c>
      <c r="Q882" s="24" t="str">
        <f aca="false">IF($F882="","N",IFERROR(IF(INDEX(Counterparties!$E:$E,MATCH($F882&amp;"",Counterparties!$A:$A,0))="Y","Y","N"),"N"))</f>
        <v>N</v>
      </c>
      <c r="R882" s="25" t="n">
        <f aca="false">IF(OR($H882="",$H882="EUR"),1,IFERROR(INDEX(FX_Rates!$D:$D,MATCH($H882,FX_Rates!$A:$A,0)),""))</f>
        <v>1</v>
      </c>
      <c r="S882" s="26" t="str">
        <f aca="false">IF(AND($I882="",$J882=""),"",IF($J882&lt;&gt;"",$J882,IF(OR($R882="",$R882=0),"",ROUND($I882/$R882,2))))</f>
        <v/>
      </c>
      <c r="T882" s="24" t="str">
        <f aca="false">IF($N882="","",IFERROR(INDEX(VAT_Codes!$C:$C,MATCH($N882,VAT_Codes!$A:$A,0)),"")&amp;"")</f>
        <v/>
      </c>
      <c r="U882" s="26" t="n">
        <f aca="false">IF(OR($S882="",$T882="",$T882="None"),0,IF($T882="Output",-$S882,$S882))</f>
        <v>0</v>
      </c>
      <c r="V882" s="27" t="n">
        <f aca="false">IF($N882="",0,IFERROR(INDEX(VAT_Codes!$D:$D,MATCH($N882,VAT_Codes!$A:$A,0)),0))</f>
        <v>0</v>
      </c>
      <c r="W882" s="26" t="n">
        <f aca="false">IF($U882=0,0,IF(IFERROR(INDEX(VAT_Codes!$F:$F,MATCH($N882,VAT_Codes!$A:$A,0)),"N")="Y",$U882,IF($L882&lt;&gt;"",ROUND(ABS($L882)/IF(OR($R882="",$R882=0),1,$R882),2)*SIGN($U882),ROUND($U882*$V882,2))))</f>
        <v>0</v>
      </c>
      <c r="X882" s="24" t="str">
        <f aca="false">IF($N882="","",IFERROR(INDEX(VAT_Codes!$H:$H,MATCH($N882,VAT_Codes!$A:$A,0)),"")&amp;"")</f>
        <v/>
      </c>
      <c r="Y882" s="24" t="str">
        <f aca="false">IF($A882="","",(YEAR($A882)-YEAR(Settings!$C$8))*12+MONTH($A882)-MONTH(Settings!$C$8)+1)</f>
        <v/>
      </c>
      <c r="Z882" s="24" t="str">
        <f aca="false">IF(AND($C882="",$I882="",$J882=""),"",IF($N882="","NO VAT CODE",IF($T882="","UNKNOWN VAT CODE",IF($S882="","MISSING FX RATE",IF(OR($A882&lt;Settings!$C$8,$A882&gt;Settings!$C$9),"OUTSIDE PERIOD",IF(AND(IFERROR(INDEX(VAT_Codes!$E:$E,MATCH($N882,VAT_Codes!$A:$A,0)),"ANY")&lt;&gt;"ANY",$P882=""),"MISSING COUNTERPARTY COUNTRY",IF(AND(IFERROR(INDEX(VAT_Codes!$E:$E,MATCH($N882,VAT_Codes!$A:$A,0)),"ANY")&lt;&gt;"ANY",$P882&lt;&gt;IFERROR(INDEX(VAT_Codes!$E:$E,MATCH($N882,VAT_Codes!$A:$A,0)),"ANY")),"REGION MISMATCH","OK")))))))</f>
        <v/>
      </c>
    </row>
    <row r="883" customFormat="false" ht="15" hidden="false" customHeight="false" outlineLevel="0" collapsed="false">
      <c r="M883" s="24" t="str">
        <f aca="false">IF($C883="","",IFERROR(INDEX(Account_Mapping!$C:$C,MATCH($C883&amp;"",Account_Mapping!$A:$A,0))&amp;"",""))</f>
        <v/>
      </c>
      <c r="N883" s="24" t="str">
        <f aca="false">IF($K883&lt;&gt;"",$K883,$M883)</f>
        <v/>
      </c>
      <c r="O883" s="24" t="str">
        <f aca="false">IF($F883="","",IFERROR(INDEX(Counterparties!$C:$C,MATCH($F883&amp;"",Counterparties!$A:$A,0))&amp;"",""))</f>
        <v/>
      </c>
      <c r="P883" s="24" t="str">
        <f aca="false">IF($O883="","",IF($O883="CY","CY",IF(ISNUMBER(MATCH($O883,Lists!$A:$A,0)),"EU","3RD")))</f>
        <v/>
      </c>
      <c r="Q883" s="24" t="str">
        <f aca="false">IF($F883="","N",IFERROR(IF(INDEX(Counterparties!$E:$E,MATCH($F883&amp;"",Counterparties!$A:$A,0))="Y","Y","N"),"N"))</f>
        <v>N</v>
      </c>
      <c r="R883" s="25" t="n">
        <f aca="false">IF(OR($H883="",$H883="EUR"),1,IFERROR(INDEX(FX_Rates!$D:$D,MATCH($H883,FX_Rates!$A:$A,0)),""))</f>
        <v>1</v>
      </c>
      <c r="S883" s="26" t="str">
        <f aca="false">IF(AND($I883="",$J883=""),"",IF($J883&lt;&gt;"",$J883,IF(OR($R883="",$R883=0),"",ROUND($I883/$R883,2))))</f>
        <v/>
      </c>
      <c r="T883" s="24" t="str">
        <f aca="false">IF($N883="","",IFERROR(INDEX(VAT_Codes!$C:$C,MATCH($N883,VAT_Codes!$A:$A,0)),"")&amp;"")</f>
        <v/>
      </c>
      <c r="U883" s="26" t="n">
        <f aca="false">IF(OR($S883="",$T883="",$T883="None"),0,IF($T883="Output",-$S883,$S883))</f>
        <v>0</v>
      </c>
      <c r="V883" s="27" t="n">
        <f aca="false">IF($N883="",0,IFERROR(INDEX(VAT_Codes!$D:$D,MATCH($N883,VAT_Codes!$A:$A,0)),0))</f>
        <v>0</v>
      </c>
      <c r="W883" s="26" t="n">
        <f aca="false">IF($U883=0,0,IF(IFERROR(INDEX(VAT_Codes!$F:$F,MATCH($N883,VAT_Codes!$A:$A,0)),"N")="Y",$U883,IF($L883&lt;&gt;"",ROUND(ABS($L883)/IF(OR($R883="",$R883=0),1,$R883),2)*SIGN($U883),ROUND($U883*$V883,2))))</f>
        <v>0</v>
      </c>
      <c r="X883" s="24" t="str">
        <f aca="false">IF($N883="","",IFERROR(INDEX(VAT_Codes!$H:$H,MATCH($N883,VAT_Codes!$A:$A,0)),"")&amp;"")</f>
        <v/>
      </c>
      <c r="Y883" s="24" t="str">
        <f aca="false">IF($A883="","",(YEAR($A883)-YEAR(Settings!$C$8))*12+MONTH($A883)-MONTH(Settings!$C$8)+1)</f>
        <v/>
      </c>
      <c r="Z883" s="24" t="str">
        <f aca="false">IF(AND($C883="",$I883="",$J883=""),"",IF($N883="","NO VAT CODE",IF($T883="","UNKNOWN VAT CODE",IF($S883="","MISSING FX RATE",IF(OR($A883&lt;Settings!$C$8,$A883&gt;Settings!$C$9),"OUTSIDE PERIOD",IF(AND(IFERROR(INDEX(VAT_Codes!$E:$E,MATCH($N883,VAT_Codes!$A:$A,0)),"ANY")&lt;&gt;"ANY",$P883=""),"MISSING COUNTERPARTY COUNTRY",IF(AND(IFERROR(INDEX(VAT_Codes!$E:$E,MATCH($N883,VAT_Codes!$A:$A,0)),"ANY")&lt;&gt;"ANY",$P883&lt;&gt;IFERROR(INDEX(VAT_Codes!$E:$E,MATCH($N883,VAT_Codes!$A:$A,0)),"ANY")),"REGION MISMATCH","OK")))))))</f>
        <v/>
      </c>
    </row>
    <row r="884" customFormat="false" ht="15" hidden="false" customHeight="false" outlineLevel="0" collapsed="false">
      <c r="M884" s="24" t="str">
        <f aca="false">IF($C884="","",IFERROR(INDEX(Account_Mapping!$C:$C,MATCH($C884&amp;"",Account_Mapping!$A:$A,0))&amp;"",""))</f>
        <v/>
      </c>
      <c r="N884" s="24" t="str">
        <f aca="false">IF($K884&lt;&gt;"",$K884,$M884)</f>
        <v/>
      </c>
      <c r="O884" s="24" t="str">
        <f aca="false">IF($F884="","",IFERROR(INDEX(Counterparties!$C:$C,MATCH($F884&amp;"",Counterparties!$A:$A,0))&amp;"",""))</f>
        <v/>
      </c>
      <c r="P884" s="24" t="str">
        <f aca="false">IF($O884="","",IF($O884="CY","CY",IF(ISNUMBER(MATCH($O884,Lists!$A:$A,0)),"EU","3RD")))</f>
        <v/>
      </c>
      <c r="Q884" s="24" t="str">
        <f aca="false">IF($F884="","N",IFERROR(IF(INDEX(Counterparties!$E:$E,MATCH($F884&amp;"",Counterparties!$A:$A,0))="Y","Y","N"),"N"))</f>
        <v>N</v>
      </c>
      <c r="R884" s="25" t="n">
        <f aca="false">IF(OR($H884="",$H884="EUR"),1,IFERROR(INDEX(FX_Rates!$D:$D,MATCH($H884,FX_Rates!$A:$A,0)),""))</f>
        <v>1</v>
      </c>
      <c r="S884" s="26" t="str">
        <f aca="false">IF(AND($I884="",$J884=""),"",IF($J884&lt;&gt;"",$J884,IF(OR($R884="",$R884=0),"",ROUND($I884/$R884,2))))</f>
        <v/>
      </c>
      <c r="T884" s="24" t="str">
        <f aca="false">IF($N884="","",IFERROR(INDEX(VAT_Codes!$C:$C,MATCH($N884,VAT_Codes!$A:$A,0)),"")&amp;"")</f>
        <v/>
      </c>
      <c r="U884" s="26" t="n">
        <f aca="false">IF(OR($S884="",$T884="",$T884="None"),0,IF($T884="Output",-$S884,$S884))</f>
        <v>0</v>
      </c>
      <c r="V884" s="27" t="n">
        <f aca="false">IF($N884="",0,IFERROR(INDEX(VAT_Codes!$D:$D,MATCH($N884,VAT_Codes!$A:$A,0)),0))</f>
        <v>0</v>
      </c>
      <c r="W884" s="26" t="n">
        <f aca="false">IF($U884=0,0,IF(IFERROR(INDEX(VAT_Codes!$F:$F,MATCH($N884,VAT_Codes!$A:$A,0)),"N")="Y",$U884,IF($L884&lt;&gt;"",ROUND(ABS($L884)/IF(OR($R884="",$R884=0),1,$R884),2)*SIGN($U884),ROUND($U884*$V884,2))))</f>
        <v>0</v>
      </c>
      <c r="X884" s="24" t="str">
        <f aca="false">IF($N884="","",IFERROR(INDEX(VAT_Codes!$H:$H,MATCH($N884,VAT_Codes!$A:$A,0)),"")&amp;"")</f>
        <v/>
      </c>
      <c r="Y884" s="24" t="str">
        <f aca="false">IF($A884="","",(YEAR($A884)-YEAR(Settings!$C$8))*12+MONTH($A884)-MONTH(Settings!$C$8)+1)</f>
        <v/>
      </c>
      <c r="Z884" s="24" t="str">
        <f aca="false">IF(AND($C884="",$I884="",$J884=""),"",IF($N884="","NO VAT CODE",IF($T884="","UNKNOWN VAT CODE",IF($S884="","MISSING FX RATE",IF(OR($A884&lt;Settings!$C$8,$A884&gt;Settings!$C$9),"OUTSIDE PERIOD",IF(AND(IFERROR(INDEX(VAT_Codes!$E:$E,MATCH($N884,VAT_Codes!$A:$A,0)),"ANY")&lt;&gt;"ANY",$P884=""),"MISSING COUNTERPARTY COUNTRY",IF(AND(IFERROR(INDEX(VAT_Codes!$E:$E,MATCH($N884,VAT_Codes!$A:$A,0)),"ANY")&lt;&gt;"ANY",$P884&lt;&gt;IFERROR(INDEX(VAT_Codes!$E:$E,MATCH($N884,VAT_Codes!$A:$A,0)),"ANY")),"REGION MISMATCH","OK")))))))</f>
        <v/>
      </c>
    </row>
    <row r="885" customFormat="false" ht="15" hidden="false" customHeight="false" outlineLevel="0" collapsed="false">
      <c r="M885" s="24" t="str">
        <f aca="false">IF($C885="","",IFERROR(INDEX(Account_Mapping!$C:$C,MATCH($C885&amp;"",Account_Mapping!$A:$A,0))&amp;"",""))</f>
        <v/>
      </c>
      <c r="N885" s="24" t="str">
        <f aca="false">IF($K885&lt;&gt;"",$K885,$M885)</f>
        <v/>
      </c>
      <c r="O885" s="24" t="str">
        <f aca="false">IF($F885="","",IFERROR(INDEX(Counterparties!$C:$C,MATCH($F885&amp;"",Counterparties!$A:$A,0))&amp;"",""))</f>
        <v/>
      </c>
      <c r="P885" s="24" t="str">
        <f aca="false">IF($O885="","",IF($O885="CY","CY",IF(ISNUMBER(MATCH($O885,Lists!$A:$A,0)),"EU","3RD")))</f>
        <v/>
      </c>
      <c r="Q885" s="24" t="str">
        <f aca="false">IF($F885="","N",IFERROR(IF(INDEX(Counterparties!$E:$E,MATCH($F885&amp;"",Counterparties!$A:$A,0))="Y","Y","N"),"N"))</f>
        <v>N</v>
      </c>
      <c r="R885" s="25" t="n">
        <f aca="false">IF(OR($H885="",$H885="EUR"),1,IFERROR(INDEX(FX_Rates!$D:$D,MATCH($H885,FX_Rates!$A:$A,0)),""))</f>
        <v>1</v>
      </c>
      <c r="S885" s="26" t="str">
        <f aca="false">IF(AND($I885="",$J885=""),"",IF($J885&lt;&gt;"",$J885,IF(OR($R885="",$R885=0),"",ROUND($I885/$R885,2))))</f>
        <v/>
      </c>
      <c r="T885" s="24" t="str">
        <f aca="false">IF($N885="","",IFERROR(INDEX(VAT_Codes!$C:$C,MATCH($N885,VAT_Codes!$A:$A,0)),"")&amp;"")</f>
        <v/>
      </c>
      <c r="U885" s="26" t="n">
        <f aca="false">IF(OR($S885="",$T885="",$T885="None"),0,IF($T885="Output",-$S885,$S885))</f>
        <v>0</v>
      </c>
      <c r="V885" s="27" t="n">
        <f aca="false">IF($N885="",0,IFERROR(INDEX(VAT_Codes!$D:$D,MATCH($N885,VAT_Codes!$A:$A,0)),0))</f>
        <v>0</v>
      </c>
      <c r="W885" s="26" t="n">
        <f aca="false">IF($U885=0,0,IF(IFERROR(INDEX(VAT_Codes!$F:$F,MATCH($N885,VAT_Codes!$A:$A,0)),"N")="Y",$U885,IF($L885&lt;&gt;"",ROUND(ABS($L885)/IF(OR($R885="",$R885=0),1,$R885),2)*SIGN($U885),ROUND($U885*$V885,2))))</f>
        <v>0</v>
      </c>
      <c r="X885" s="24" t="str">
        <f aca="false">IF($N885="","",IFERROR(INDEX(VAT_Codes!$H:$H,MATCH($N885,VAT_Codes!$A:$A,0)),"")&amp;"")</f>
        <v/>
      </c>
      <c r="Y885" s="24" t="str">
        <f aca="false">IF($A885="","",(YEAR($A885)-YEAR(Settings!$C$8))*12+MONTH($A885)-MONTH(Settings!$C$8)+1)</f>
        <v/>
      </c>
      <c r="Z885" s="24" t="str">
        <f aca="false">IF(AND($C885="",$I885="",$J885=""),"",IF($N885="","NO VAT CODE",IF($T885="","UNKNOWN VAT CODE",IF($S885="","MISSING FX RATE",IF(OR($A885&lt;Settings!$C$8,$A885&gt;Settings!$C$9),"OUTSIDE PERIOD",IF(AND(IFERROR(INDEX(VAT_Codes!$E:$E,MATCH($N885,VAT_Codes!$A:$A,0)),"ANY")&lt;&gt;"ANY",$P885=""),"MISSING COUNTERPARTY COUNTRY",IF(AND(IFERROR(INDEX(VAT_Codes!$E:$E,MATCH($N885,VAT_Codes!$A:$A,0)),"ANY")&lt;&gt;"ANY",$P885&lt;&gt;IFERROR(INDEX(VAT_Codes!$E:$E,MATCH($N885,VAT_Codes!$A:$A,0)),"ANY")),"REGION MISMATCH","OK")))))))</f>
        <v/>
      </c>
    </row>
    <row r="886" customFormat="false" ht="15" hidden="false" customHeight="false" outlineLevel="0" collapsed="false">
      <c r="M886" s="24" t="str">
        <f aca="false">IF($C886="","",IFERROR(INDEX(Account_Mapping!$C:$C,MATCH($C886&amp;"",Account_Mapping!$A:$A,0))&amp;"",""))</f>
        <v/>
      </c>
      <c r="N886" s="24" t="str">
        <f aca="false">IF($K886&lt;&gt;"",$K886,$M886)</f>
        <v/>
      </c>
      <c r="O886" s="24" t="str">
        <f aca="false">IF($F886="","",IFERROR(INDEX(Counterparties!$C:$C,MATCH($F886&amp;"",Counterparties!$A:$A,0))&amp;"",""))</f>
        <v/>
      </c>
      <c r="P886" s="24" t="str">
        <f aca="false">IF($O886="","",IF($O886="CY","CY",IF(ISNUMBER(MATCH($O886,Lists!$A:$A,0)),"EU","3RD")))</f>
        <v/>
      </c>
      <c r="Q886" s="24" t="str">
        <f aca="false">IF($F886="","N",IFERROR(IF(INDEX(Counterparties!$E:$E,MATCH($F886&amp;"",Counterparties!$A:$A,0))="Y","Y","N"),"N"))</f>
        <v>N</v>
      </c>
      <c r="R886" s="25" t="n">
        <f aca="false">IF(OR($H886="",$H886="EUR"),1,IFERROR(INDEX(FX_Rates!$D:$D,MATCH($H886,FX_Rates!$A:$A,0)),""))</f>
        <v>1</v>
      </c>
      <c r="S886" s="26" t="str">
        <f aca="false">IF(AND($I886="",$J886=""),"",IF($J886&lt;&gt;"",$J886,IF(OR($R886="",$R886=0),"",ROUND($I886/$R886,2))))</f>
        <v/>
      </c>
      <c r="T886" s="24" t="str">
        <f aca="false">IF($N886="","",IFERROR(INDEX(VAT_Codes!$C:$C,MATCH($N886,VAT_Codes!$A:$A,0)),"")&amp;"")</f>
        <v/>
      </c>
      <c r="U886" s="26" t="n">
        <f aca="false">IF(OR($S886="",$T886="",$T886="None"),0,IF($T886="Output",-$S886,$S886))</f>
        <v>0</v>
      </c>
      <c r="V886" s="27" t="n">
        <f aca="false">IF($N886="",0,IFERROR(INDEX(VAT_Codes!$D:$D,MATCH($N886,VAT_Codes!$A:$A,0)),0))</f>
        <v>0</v>
      </c>
      <c r="W886" s="26" t="n">
        <f aca="false">IF($U886=0,0,IF(IFERROR(INDEX(VAT_Codes!$F:$F,MATCH($N886,VAT_Codes!$A:$A,0)),"N")="Y",$U886,IF($L886&lt;&gt;"",ROUND(ABS($L886)/IF(OR($R886="",$R886=0),1,$R886),2)*SIGN($U886),ROUND($U886*$V886,2))))</f>
        <v>0</v>
      </c>
      <c r="X886" s="24" t="str">
        <f aca="false">IF($N886="","",IFERROR(INDEX(VAT_Codes!$H:$H,MATCH($N886,VAT_Codes!$A:$A,0)),"")&amp;"")</f>
        <v/>
      </c>
      <c r="Y886" s="24" t="str">
        <f aca="false">IF($A886="","",(YEAR($A886)-YEAR(Settings!$C$8))*12+MONTH($A886)-MONTH(Settings!$C$8)+1)</f>
        <v/>
      </c>
      <c r="Z886" s="24" t="str">
        <f aca="false">IF(AND($C886="",$I886="",$J886=""),"",IF($N886="","NO VAT CODE",IF($T886="","UNKNOWN VAT CODE",IF($S886="","MISSING FX RATE",IF(OR($A886&lt;Settings!$C$8,$A886&gt;Settings!$C$9),"OUTSIDE PERIOD",IF(AND(IFERROR(INDEX(VAT_Codes!$E:$E,MATCH($N886,VAT_Codes!$A:$A,0)),"ANY")&lt;&gt;"ANY",$P886=""),"MISSING COUNTERPARTY COUNTRY",IF(AND(IFERROR(INDEX(VAT_Codes!$E:$E,MATCH($N886,VAT_Codes!$A:$A,0)),"ANY")&lt;&gt;"ANY",$P886&lt;&gt;IFERROR(INDEX(VAT_Codes!$E:$E,MATCH($N886,VAT_Codes!$A:$A,0)),"ANY")),"REGION MISMATCH","OK")))))))</f>
        <v/>
      </c>
    </row>
    <row r="887" customFormat="false" ht="15" hidden="false" customHeight="false" outlineLevel="0" collapsed="false">
      <c r="M887" s="24" t="str">
        <f aca="false">IF($C887="","",IFERROR(INDEX(Account_Mapping!$C:$C,MATCH($C887&amp;"",Account_Mapping!$A:$A,0))&amp;"",""))</f>
        <v/>
      </c>
      <c r="N887" s="24" t="str">
        <f aca="false">IF($K887&lt;&gt;"",$K887,$M887)</f>
        <v/>
      </c>
      <c r="O887" s="24" t="str">
        <f aca="false">IF($F887="","",IFERROR(INDEX(Counterparties!$C:$C,MATCH($F887&amp;"",Counterparties!$A:$A,0))&amp;"",""))</f>
        <v/>
      </c>
      <c r="P887" s="24" t="str">
        <f aca="false">IF($O887="","",IF($O887="CY","CY",IF(ISNUMBER(MATCH($O887,Lists!$A:$A,0)),"EU","3RD")))</f>
        <v/>
      </c>
      <c r="Q887" s="24" t="str">
        <f aca="false">IF($F887="","N",IFERROR(IF(INDEX(Counterparties!$E:$E,MATCH($F887&amp;"",Counterparties!$A:$A,0))="Y","Y","N"),"N"))</f>
        <v>N</v>
      </c>
      <c r="R887" s="25" t="n">
        <f aca="false">IF(OR($H887="",$H887="EUR"),1,IFERROR(INDEX(FX_Rates!$D:$D,MATCH($H887,FX_Rates!$A:$A,0)),""))</f>
        <v>1</v>
      </c>
      <c r="S887" s="26" t="str">
        <f aca="false">IF(AND($I887="",$J887=""),"",IF($J887&lt;&gt;"",$J887,IF(OR($R887="",$R887=0),"",ROUND($I887/$R887,2))))</f>
        <v/>
      </c>
      <c r="T887" s="24" t="str">
        <f aca="false">IF($N887="","",IFERROR(INDEX(VAT_Codes!$C:$C,MATCH($N887,VAT_Codes!$A:$A,0)),"")&amp;"")</f>
        <v/>
      </c>
      <c r="U887" s="26" t="n">
        <f aca="false">IF(OR($S887="",$T887="",$T887="None"),0,IF($T887="Output",-$S887,$S887))</f>
        <v>0</v>
      </c>
      <c r="V887" s="27" t="n">
        <f aca="false">IF($N887="",0,IFERROR(INDEX(VAT_Codes!$D:$D,MATCH($N887,VAT_Codes!$A:$A,0)),0))</f>
        <v>0</v>
      </c>
      <c r="W887" s="26" t="n">
        <f aca="false">IF($U887=0,0,IF(IFERROR(INDEX(VAT_Codes!$F:$F,MATCH($N887,VAT_Codes!$A:$A,0)),"N")="Y",$U887,IF($L887&lt;&gt;"",ROUND(ABS($L887)/IF(OR($R887="",$R887=0),1,$R887),2)*SIGN($U887),ROUND($U887*$V887,2))))</f>
        <v>0</v>
      </c>
      <c r="X887" s="24" t="str">
        <f aca="false">IF($N887="","",IFERROR(INDEX(VAT_Codes!$H:$H,MATCH($N887,VAT_Codes!$A:$A,0)),"")&amp;"")</f>
        <v/>
      </c>
      <c r="Y887" s="24" t="str">
        <f aca="false">IF($A887="","",(YEAR($A887)-YEAR(Settings!$C$8))*12+MONTH($A887)-MONTH(Settings!$C$8)+1)</f>
        <v/>
      </c>
      <c r="Z887" s="24" t="str">
        <f aca="false">IF(AND($C887="",$I887="",$J887=""),"",IF($N887="","NO VAT CODE",IF($T887="","UNKNOWN VAT CODE",IF($S887="","MISSING FX RATE",IF(OR($A887&lt;Settings!$C$8,$A887&gt;Settings!$C$9),"OUTSIDE PERIOD",IF(AND(IFERROR(INDEX(VAT_Codes!$E:$E,MATCH($N887,VAT_Codes!$A:$A,0)),"ANY")&lt;&gt;"ANY",$P887=""),"MISSING COUNTERPARTY COUNTRY",IF(AND(IFERROR(INDEX(VAT_Codes!$E:$E,MATCH($N887,VAT_Codes!$A:$A,0)),"ANY")&lt;&gt;"ANY",$P887&lt;&gt;IFERROR(INDEX(VAT_Codes!$E:$E,MATCH($N887,VAT_Codes!$A:$A,0)),"ANY")),"REGION MISMATCH","OK")))))))</f>
        <v/>
      </c>
    </row>
    <row r="888" customFormat="false" ht="15" hidden="false" customHeight="false" outlineLevel="0" collapsed="false">
      <c r="M888" s="24" t="str">
        <f aca="false">IF($C888="","",IFERROR(INDEX(Account_Mapping!$C:$C,MATCH($C888&amp;"",Account_Mapping!$A:$A,0))&amp;"",""))</f>
        <v/>
      </c>
      <c r="N888" s="24" t="str">
        <f aca="false">IF($K888&lt;&gt;"",$K888,$M888)</f>
        <v/>
      </c>
      <c r="O888" s="24" t="str">
        <f aca="false">IF($F888="","",IFERROR(INDEX(Counterparties!$C:$C,MATCH($F888&amp;"",Counterparties!$A:$A,0))&amp;"",""))</f>
        <v/>
      </c>
      <c r="P888" s="24" t="str">
        <f aca="false">IF($O888="","",IF($O888="CY","CY",IF(ISNUMBER(MATCH($O888,Lists!$A:$A,0)),"EU","3RD")))</f>
        <v/>
      </c>
      <c r="Q888" s="24" t="str">
        <f aca="false">IF($F888="","N",IFERROR(IF(INDEX(Counterparties!$E:$E,MATCH($F888&amp;"",Counterparties!$A:$A,0))="Y","Y","N"),"N"))</f>
        <v>N</v>
      </c>
      <c r="R888" s="25" t="n">
        <f aca="false">IF(OR($H888="",$H888="EUR"),1,IFERROR(INDEX(FX_Rates!$D:$D,MATCH($H888,FX_Rates!$A:$A,0)),""))</f>
        <v>1</v>
      </c>
      <c r="S888" s="26" t="str">
        <f aca="false">IF(AND($I888="",$J888=""),"",IF($J888&lt;&gt;"",$J888,IF(OR($R888="",$R888=0),"",ROUND($I888/$R888,2))))</f>
        <v/>
      </c>
      <c r="T888" s="24" t="str">
        <f aca="false">IF($N888="","",IFERROR(INDEX(VAT_Codes!$C:$C,MATCH($N888,VAT_Codes!$A:$A,0)),"")&amp;"")</f>
        <v/>
      </c>
      <c r="U888" s="26" t="n">
        <f aca="false">IF(OR($S888="",$T888="",$T888="None"),0,IF($T888="Output",-$S888,$S888))</f>
        <v>0</v>
      </c>
      <c r="V888" s="27" t="n">
        <f aca="false">IF($N888="",0,IFERROR(INDEX(VAT_Codes!$D:$D,MATCH($N888,VAT_Codes!$A:$A,0)),0))</f>
        <v>0</v>
      </c>
      <c r="W888" s="26" t="n">
        <f aca="false">IF($U888=0,0,IF(IFERROR(INDEX(VAT_Codes!$F:$F,MATCH($N888,VAT_Codes!$A:$A,0)),"N")="Y",$U888,IF($L888&lt;&gt;"",ROUND(ABS($L888)/IF(OR($R888="",$R888=0),1,$R888),2)*SIGN($U888),ROUND($U888*$V888,2))))</f>
        <v>0</v>
      </c>
      <c r="X888" s="24" t="str">
        <f aca="false">IF($N888="","",IFERROR(INDEX(VAT_Codes!$H:$H,MATCH($N888,VAT_Codes!$A:$A,0)),"")&amp;"")</f>
        <v/>
      </c>
      <c r="Y888" s="24" t="str">
        <f aca="false">IF($A888="","",(YEAR($A888)-YEAR(Settings!$C$8))*12+MONTH($A888)-MONTH(Settings!$C$8)+1)</f>
        <v/>
      </c>
      <c r="Z888" s="24" t="str">
        <f aca="false">IF(AND($C888="",$I888="",$J888=""),"",IF($N888="","NO VAT CODE",IF($T888="","UNKNOWN VAT CODE",IF($S888="","MISSING FX RATE",IF(OR($A888&lt;Settings!$C$8,$A888&gt;Settings!$C$9),"OUTSIDE PERIOD",IF(AND(IFERROR(INDEX(VAT_Codes!$E:$E,MATCH($N888,VAT_Codes!$A:$A,0)),"ANY")&lt;&gt;"ANY",$P888=""),"MISSING COUNTERPARTY COUNTRY",IF(AND(IFERROR(INDEX(VAT_Codes!$E:$E,MATCH($N888,VAT_Codes!$A:$A,0)),"ANY")&lt;&gt;"ANY",$P888&lt;&gt;IFERROR(INDEX(VAT_Codes!$E:$E,MATCH($N888,VAT_Codes!$A:$A,0)),"ANY")),"REGION MISMATCH","OK")))))))</f>
        <v/>
      </c>
    </row>
    <row r="889" customFormat="false" ht="15" hidden="false" customHeight="false" outlineLevel="0" collapsed="false">
      <c r="M889" s="24" t="str">
        <f aca="false">IF($C889="","",IFERROR(INDEX(Account_Mapping!$C:$C,MATCH($C889&amp;"",Account_Mapping!$A:$A,0))&amp;"",""))</f>
        <v/>
      </c>
      <c r="N889" s="24" t="str">
        <f aca="false">IF($K889&lt;&gt;"",$K889,$M889)</f>
        <v/>
      </c>
      <c r="O889" s="24" t="str">
        <f aca="false">IF($F889="","",IFERROR(INDEX(Counterparties!$C:$C,MATCH($F889&amp;"",Counterparties!$A:$A,0))&amp;"",""))</f>
        <v/>
      </c>
      <c r="P889" s="24" t="str">
        <f aca="false">IF($O889="","",IF($O889="CY","CY",IF(ISNUMBER(MATCH($O889,Lists!$A:$A,0)),"EU","3RD")))</f>
        <v/>
      </c>
      <c r="Q889" s="24" t="str">
        <f aca="false">IF($F889="","N",IFERROR(IF(INDEX(Counterparties!$E:$E,MATCH($F889&amp;"",Counterparties!$A:$A,0))="Y","Y","N"),"N"))</f>
        <v>N</v>
      </c>
      <c r="R889" s="25" t="n">
        <f aca="false">IF(OR($H889="",$H889="EUR"),1,IFERROR(INDEX(FX_Rates!$D:$D,MATCH($H889,FX_Rates!$A:$A,0)),""))</f>
        <v>1</v>
      </c>
      <c r="S889" s="26" t="str">
        <f aca="false">IF(AND($I889="",$J889=""),"",IF($J889&lt;&gt;"",$J889,IF(OR($R889="",$R889=0),"",ROUND($I889/$R889,2))))</f>
        <v/>
      </c>
      <c r="T889" s="24" t="str">
        <f aca="false">IF($N889="","",IFERROR(INDEX(VAT_Codes!$C:$C,MATCH($N889,VAT_Codes!$A:$A,0)),"")&amp;"")</f>
        <v/>
      </c>
      <c r="U889" s="26" t="n">
        <f aca="false">IF(OR($S889="",$T889="",$T889="None"),0,IF($T889="Output",-$S889,$S889))</f>
        <v>0</v>
      </c>
      <c r="V889" s="27" t="n">
        <f aca="false">IF($N889="",0,IFERROR(INDEX(VAT_Codes!$D:$D,MATCH($N889,VAT_Codes!$A:$A,0)),0))</f>
        <v>0</v>
      </c>
      <c r="W889" s="26" t="n">
        <f aca="false">IF($U889=0,0,IF(IFERROR(INDEX(VAT_Codes!$F:$F,MATCH($N889,VAT_Codes!$A:$A,0)),"N")="Y",$U889,IF($L889&lt;&gt;"",ROUND(ABS($L889)/IF(OR($R889="",$R889=0),1,$R889),2)*SIGN($U889),ROUND($U889*$V889,2))))</f>
        <v>0</v>
      </c>
      <c r="X889" s="24" t="str">
        <f aca="false">IF($N889="","",IFERROR(INDEX(VAT_Codes!$H:$H,MATCH($N889,VAT_Codes!$A:$A,0)),"")&amp;"")</f>
        <v/>
      </c>
      <c r="Y889" s="24" t="str">
        <f aca="false">IF($A889="","",(YEAR($A889)-YEAR(Settings!$C$8))*12+MONTH($A889)-MONTH(Settings!$C$8)+1)</f>
        <v/>
      </c>
      <c r="Z889" s="24" t="str">
        <f aca="false">IF(AND($C889="",$I889="",$J889=""),"",IF($N889="","NO VAT CODE",IF($T889="","UNKNOWN VAT CODE",IF($S889="","MISSING FX RATE",IF(OR($A889&lt;Settings!$C$8,$A889&gt;Settings!$C$9),"OUTSIDE PERIOD",IF(AND(IFERROR(INDEX(VAT_Codes!$E:$E,MATCH($N889,VAT_Codes!$A:$A,0)),"ANY")&lt;&gt;"ANY",$P889=""),"MISSING COUNTERPARTY COUNTRY",IF(AND(IFERROR(INDEX(VAT_Codes!$E:$E,MATCH($N889,VAT_Codes!$A:$A,0)),"ANY")&lt;&gt;"ANY",$P889&lt;&gt;IFERROR(INDEX(VAT_Codes!$E:$E,MATCH($N889,VAT_Codes!$A:$A,0)),"ANY")),"REGION MISMATCH","OK")))))))</f>
        <v/>
      </c>
    </row>
    <row r="890" customFormat="false" ht="15" hidden="false" customHeight="false" outlineLevel="0" collapsed="false">
      <c r="M890" s="24" t="str">
        <f aca="false">IF($C890="","",IFERROR(INDEX(Account_Mapping!$C:$C,MATCH($C890&amp;"",Account_Mapping!$A:$A,0))&amp;"",""))</f>
        <v/>
      </c>
      <c r="N890" s="24" t="str">
        <f aca="false">IF($K890&lt;&gt;"",$K890,$M890)</f>
        <v/>
      </c>
      <c r="O890" s="24" t="str">
        <f aca="false">IF($F890="","",IFERROR(INDEX(Counterparties!$C:$C,MATCH($F890&amp;"",Counterparties!$A:$A,0))&amp;"",""))</f>
        <v/>
      </c>
      <c r="P890" s="24" t="str">
        <f aca="false">IF($O890="","",IF($O890="CY","CY",IF(ISNUMBER(MATCH($O890,Lists!$A:$A,0)),"EU","3RD")))</f>
        <v/>
      </c>
      <c r="Q890" s="24" t="str">
        <f aca="false">IF($F890="","N",IFERROR(IF(INDEX(Counterparties!$E:$E,MATCH($F890&amp;"",Counterparties!$A:$A,0))="Y","Y","N"),"N"))</f>
        <v>N</v>
      </c>
      <c r="R890" s="25" t="n">
        <f aca="false">IF(OR($H890="",$H890="EUR"),1,IFERROR(INDEX(FX_Rates!$D:$D,MATCH($H890,FX_Rates!$A:$A,0)),""))</f>
        <v>1</v>
      </c>
      <c r="S890" s="26" t="str">
        <f aca="false">IF(AND($I890="",$J890=""),"",IF($J890&lt;&gt;"",$J890,IF(OR($R890="",$R890=0),"",ROUND($I890/$R890,2))))</f>
        <v/>
      </c>
      <c r="T890" s="24" t="str">
        <f aca="false">IF($N890="","",IFERROR(INDEX(VAT_Codes!$C:$C,MATCH($N890,VAT_Codes!$A:$A,0)),"")&amp;"")</f>
        <v/>
      </c>
      <c r="U890" s="26" t="n">
        <f aca="false">IF(OR($S890="",$T890="",$T890="None"),0,IF($T890="Output",-$S890,$S890))</f>
        <v>0</v>
      </c>
      <c r="V890" s="27" t="n">
        <f aca="false">IF($N890="",0,IFERROR(INDEX(VAT_Codes!$D:$D,MATCH($N890,VAT_Codes!$A:$A,0)),0))</f>
        <v>0</v>
      </c>
      <c r="W890" s="26" t="n">
        <f aca="false">IF($U890=0,0,IF(IFERROR(INDEX(VAT_Codes!$F:$F,MATCH($N890,VAT_Codes!$A:$A,0)),"N")="Y",$U890,IF($L890&lt;&gt;"",ROUND(ABS($L890)/IF(OR($R890="",$R890=0),1,$R890),2)*SIGN($U890),ROUND($U890*$V890,2))))</f>
        <v>0</v>
      </c>
      <c r="X890" s="24" t="str">
        <f aca="false">IF($N890="","",IFERROR(INDEX(VAT_Codes!$H:$H,MATCH($N890,VAT_Codes!$A:$A,0)),"")&amp;"")</f>
        <v/>
      </c>
      <c r="Y890" s="24" t="str">
        <f aca="false">IF($A890="","",(YEAR($A890)-YEAR(Settings!$C$8))*12+MONTH($A890)-MONTH(Settings!$C$8)+1)</f>
        <v/>
      </c>
      <c r="Z890" s="24" t="str">
        <f aca="false">IF(AND($C890="",$I890="",$J890=""),"",IF($N890="","NO VAT CODE",IF($T890="","UNKNOWN VAT CODE",IF($S890="","MISSING FX RATE",IF(OR($A890&lt;Settings!$C$8,$A890&gt;Settings!$C$9),"OUTSIDE PERIOD",IF(AND(IFERROR(INDEX(VAT_Codes!$E:$E,MATCH($N890,VAT_Codes!$A:$A,0)),"ANY")&lt;&gt;"ANY",$P890=""),"MISSING COUNTERPARTY COUNTRY",IF(AND(IFERROR(INDEX(VAT_Codes!$E:$E,MATCH($N890,VAT_Codes!$A:$A,0)),"ANY")&lt;&gt;"ANY",$P890&lt;&gt;IFERROR(INDEX(VAT_Codes!$E:$E,MATCH($N890,VAT_Codes!$A:$A,0)),"ANY")),"REGION MISMATCH","OK")))))))</f>
        <v/>
      </c>
    </row>
    <row r="891" customFormat="false" ht="15" hidden="false" customHeight="false" outlineLevel="0" collapsed="false">
      <c r="M891" s="24" t="str">
        <f aca="false">IF($C891="","",IFERROR(INDEX(Account_Mapping!$C:$C,MATCH($C891&amp;"",Account_Mapping!$A:$A,0))&amp;"",""))</f>
        <v/>
      </c>
      <c r="N891" s="24" t="str">
        <f aca="false">IF($K891&lt;&gt;"",$K891,$M891)</f>
        <v/>
      </c>
      <c r="O891" s="24" t="str">
        <f aca="false">IF($F891="","",IFERROR(INDEX(Counterparties!$C:$C,MATCH($F891&amp;"",Counterparties!$A:$A,0))&amp;"",""))</f>
        <v/>
      </c>
      <c r="P891" s="24" t="str">
        <f aca="false">IF($O891="","",IF($O891="CY","CY",IF(ISNUMBER(MATCH($O891,Lists!$A:$A,0)),"EU","3RD")))</f>
        <v/>
      </c>
      <c r="Q891" s="24" t="str">
        <f aca="false">IF($F891="","N",IFERROR(IF(INDEX(Counterparties!$E:$E,MATCH($F891&amp;"",Counterparties!$A:$A,0))="Y","Y","N"),"N"))</f>
        <v>N</v>
      </c>
      <c r="R891" s="25" t="n">
        <f aca="false">IF(OR($H891="",$H891="EUR"),1,IFERROR(INDEX(FX_Rates!$D:$D,MATCH($H891,FX_Rates!$A:$A,0)),""))</f>
        <v>1</v>
      </c>
      <c r="S891" s="26" t="str">
        <f aca="false">IF(AND($I891="",$J891=""),"",IF($J891&lt;&gt;"",$J891,IF(OR($R891="",$R891=0),"",ROUND($I891/$R891,2))))</f>
        <v/>
      </c>
      <c r="T891" s="24" t="str">
        <f aca="false">IF($N891="","",IFERROR(INDEX(VAT_Codes!$C:$C,MATCH($N891,VAT_Codes!$A:$A,0)),"")&amp;"")</f>
        <v/>
      </c>
      <c r="U891" s="26" t="n">
        <f aca="false">IF(OR($S891="",$T891="",$T891="None"),0,IF($T891="Output",-$S891,$S891))</f>
        <v>0</v>
      </c>
      <c r="V891" s="27" t="n">
        <f aca="false">IF($N891="",0,IFERROR(INDEX(VAT_Codes!$D:$D,MATCH($N891,VAT_Codes!$A:$A,0)),0))</f>
        <v>0</v>
      </c>
      <c r="W891" s="26" t="n">
        <f aca="false">IF($U891=0,0,IF(IFERROR(INDEX(VAT_Codes!$F:$F,MATCH($N891,VAT_Codes!$A:$A,0)),"N")="Y",$U891,IF($L891&lt;&gt;"",ROUND(ABS($L891)/IF(OR($R891="",$R891=0),1,$R891),2)*SIGN($U891),ROUND($U891*$V891,2))))</f>
        <v>0</v>
      </c>
      <c r="X891" s="24" t="str">
        <f aca="false">IF($N891="","",IFERROR(INDEX(VAT_Codes!$H:$H,MATCH($N891,VAT_Codes!$A:$A,0)),"")&amp;"")</f>
        <v/>
      </c>
      <c r="Y891" s="24" t="str">
        <f aca="false">IF($A891="","",(YEAR($A891)-YEAR(Settings!$C$8))*12+MONTH($A891)-MONTH(Settings!$C$8)+1)</f>
        <v/>
      </c>
      <c r="Z891" s="24" t="str">
        <f aca="false">IF(AND($C891="",$I891="",$J891=""),"",IF($N891="","NO VAT CODE",IF($T891="","UNKNOWN VAT CODE",IF($S891="","MISSING FX RATE",IF(OR($A891&lt;Settings!$C$8,$A891&gt;Settings!$C$9),"OUTSIDE PERIOD",IF(AND(IFERROR(INDEX(VAT_Codes!$E:$E,MATCH($N891,VAT_Codes!$A:$A,0)),"ANY")&lt;&gt;"ANY",$P891=""),"MISSING COUNTERPARTY COUNTRY",IF(AND(IFERROR(INDEX(VAT_Codes!$E:$E,MATCH($N891,VAT_Codes!$A:$A,0)),"ANY")&lt;&gt;"ANY",$P891&lt;&gt;IFERROR(INDEX(VAT_Codes!$E:$E,MATCH($N891,VAT_Codes!$A:$A,0)),"ANY")),"REGION MISMATCH","OK")))))))</f>
        <v/>
      </c>
    </row>
    <row r="892" customFormat="false" ht="15" hidden="false" customHeight="false" outlineLevel="0" collapsed="false">
      <c r="M892" s="24" t="str">
        <f aca="false">IF($C892="","",IFERROR(INDEX(Account_Mapping!$C:$C,MATCH($C892&amp;"",Account_Mapping!$A:$A,0))&amp;"",""))</f>
        <v/>
      </c>
      <c r="N892" s="24" t="str">
        <f aca="false">IF($K892&lt;&gt;"",$K892,$M892)</f>
        <v/>
      </c>
      <c r="O892" s="24" t="str">
        <f aca="false">IF($F892="","",IFERROR(INDEX(Counterparties!$C:$C,MATCH($F892&amp;"",Counterparties!$A:$A,0))&amp;"",""))</f>
        <v/>
      </c>
      <c r="P892" s="24" t="str">
        <f aca="false">IF($O892="","",IF($O892="CY","CY",IF(ISNUMBER(MATCH($O892,Lists!$A:$A,0)),"EU","3RD")))</f>
        <v/>
      </c>
      <c r="Q892" s="24" t="str">
        <f aca="false">IF($F892="","N",IFERROR(IF(INDEX(Counterparties!$E:$E,MATCH($F892&amp;"",Counterparties!$A:$A,0))="Y","Y","N"),"N"))</f>
        <v>N</v>
      </c>
      <c r="R892" s="25" t="n">
        <f aca="false">IF(OR($H892="",$H892="EUR"),1,IFERROR(INDEX(FX_Rates!$D:$D,MATCH($H892,FX_Rates!$A:$A,0)),""))</f>
        <v>1</v>
      </c>
      <c r="S892" s="26" t="str">
        <f aca="false">IF(AND($I892="",$J892=""),"",IF($J892&lt;&gt;"",$J892,IF(OR($R892="",$R892=0),"",ROUND($I892/$R892,2))))</f>
        <v/>
      </c>
      <c r="T892" s="24" t="str">
        <f aca="false">IF($N892="","",IFERROR(INDEX(VAT_Codes!$C:$C,MATCH($N892,VAT_Codes!$A:$A,0)),"")&amp;"")</f>
        <v/>
      </c>
      <c r="U892" s="26" t="n">
        <f aca="false">IF(OR($S892="",$T892="",$T892="None"),0,IF($T892="Output",-$S892,$S892))</f>
        <v>0</v>
      </c>
      <c r="V892" s="27" t="n">
        <f aca="false">IF($N892="",0,IFERROR(INDEX(VAT_Codes!$D:$D,MATCH($N892,VAT_Codes!$A:$A,0)),0))</f>
        <v>0</v>
      </c>
      <c r="W892" s="26" t="n">
        <f aca="false">IF($U892=0,0,IF(IFERROR(INDEX(VAT_Codes!$F:$F,MATCH($N892,VAT_Codes!$A:$A,0)),"N")="Y",$U892,IF($L892&lt;&gt;"",ROUND(ABS($L892)/IF(OR($R892="",$R892=0),1,$R892),2)*SIGN($U892),ROUND($U892*$V892,2))))</f>
        <v>0</v>
      </c>
      <c r="X892" s="24" t="str">
        <f aca="false">IF($N892="","",IFERROR(INDEX(VAT_Codes!$H:$H,MATCH($N892,VAT_Codes!$A:$A,0)),"")&amp;"")</f>
        <v/>
      </c>
      <c r="Y892" s="24" t="str">
        <f aca="false">IF($A892="","",(YEAR($A892)-YEAR(Settings!$C$8))*12+MONTH($A892)-MONTH(Settings!$C$8)+1)</f>
        <v/>
      </c>
      <c r="Z892" s="24" t="str">
        <f aca="false">IF(AND($C892="",$I892="",$J892=""),"",IF($N892="","NO VAT CODE",IF($T892="","UNKNOWN VAT CODE",IF($S892="","MISSING FX RATE",IF(OR($A892&lt;Settings!$C$8,$A892&gt;Settings!$C$9),"OUTSIDE PERIOD",IF(AND(IFERROR(INDEX(VAT_Codes!$E:$E,MATCH($N892,VAT_Codes!$A:$A,0)),"ANY")&lt;&gt;"ANY",$P892=""),"MISSING COUNTERPARTY COUNTRY",IF(AND(IFERROR(INDEX(VAT_Codes!$E:$E,MATCH($N892,VAT_Codes!$A:$A,0)),"ANY")&lt;&gt;"ANY",$P892&lt;&gt;IFERROR(INDEX(VAT_Codes!$E:$E,MATCH($N892,VAT_Codes!$A:$A,0)),"ANY")),"REGION MISMATCH","OK")))))))</f>
        <v/>
      </c>
    </row>
    <row r="893" customFormat="false" ht="15" hidden="false" customHeight="false" outlineLevel="0" collapsed="false">
      <c r="M893" s="24" t="str">
        <f aca="false">IF($C893="","",IFERROR(INDEX(Account_Mapping!$C:$C,MATCH($C893&amp;"",Account_Mapping!$A:$A,0))&amp;"",""))</f>
        <v/>
      </c>
      <c r="N893" s="24" t="str">
        <f aca="false">IF($K893&lt;&gt;"",$K893,$M893)</f>
        <v/>
      </c>
      <c r="O893" s="24" t="str">
        <f aca="false">IF($F893="","",IFERROR(INDEX(Counterparties!$C:$C,MATCH($F893&amp;"",Counterparties!$A:$A,0))&amp;"",""))</f>
        <v/>
      </c>
      <c r="P893" s="24" t="str">
        <f aca="false">IF($O893="","",IF($O893="CY","CY",IF(ISNUMBER(MATCH($O893,Lists!$A:$A,0)),"EU","3RD")))</f>
        <v/>
      </c>
      <c r="Q893" s="24" t="str">
        <f aca="false">IF($F893="","N",IFERROR(IF(INDEX(Counterparties!$E:$E,MATCH($F893&amp;"",Counterparties!$A:$A,0))="Y","Y","N"),"N"))</f>
        <v>N</v>
      </c>
      <c r="R893" s="25" t="n">
        <f aca="false">IF(OR($H893="",$H893="EUR"),1,IFERROR(INDEX(FX_Rates!$D:$D,MATCH($H893,FX_Rates!$A:$A,0)),""))</f>
        <v>1</v>
      </c>
      <c r="S893" s="26" t="str">
        <f aca="false">IF(AND($I893="",$J893=""),"",IF($J893&lt;&gt;"",$J893,IF(OR($R893="",$R893=0),"",ROUND($I893/$R893,2))))</f>
        <v/>
      </c>
      <c r="T893" s="24" t="str">
        <f aca="false">IF($N893="","",IFERROR(INDEX(VAT_Codes!$C:$C,MATCH($N893,VAT_Codes!$A:$A,0)),"")&amp;"")</f>
        <v/>
      </c>
      <c r="U893" s="26" t="n">
        <f aca="false">IF(OR($S893="",$T893="",$T893="None"),0,IF($T893="Output",-$S893,$S893))</f>
        <v>0</v>
      </c>
      <c r="V893" s="27" t="n">
        <f aca="false">IF($N893="",0,IFERROR(INDEX(VAT_Codes!$D:$D,MATCH($N893,VAT_Codes!$A:$A,0)),0))</f>
        <v>0</v>
      </c>
      <c r="W893" s="26" t="n">
        <f aca="false">IF($U893=0,0,IF(IFERROR(INDEX(VAT_Codes!$F:$F,MATCH($N893,VAT_Codes!$A:$A,0)),"N")="Y",$U893,IF($L893&lt;&gt;"",ROUND(ABS($L893)/IF(OR($R893="",$R893=0),1,$R893),2)*SIGN($U893),ROUND($U893*$V893,2))))</f>
        <v>0</v>
      </c>
      <c r="X893" s="24" t="str">
        <f aca="false">IF($N893="","",IFERROR(INDEX(VAT_Codes!$H:$H,MATCH($N893,VAT_Codes!$A:$A,0)),"")&amp;"")</f>
        <v/>
      </c>
      <c r="Y893" s="24" t="str">
        <f aca="false">IF($A893="","",(YEAR($A893)-YEAR(Settings!$C$8))*12+MONTH($A893)-MONTH(Settings!$C$8)+1)</f>
        <v/>
      </c>
      <c r="Z893" s="24" t="str">
        <f aca="false">IF(AND($C893="",$I893="",$J893=""),"",IF($N893="","NO VAT CODE",IF($T893="","UNKNOWN VAT CODE",IF($S893="","MISSING FX RATE",IF(OR($A893&lt;Settings!$C$8,$A893&gt;Settings!$C$9),"OUTSIDE PERIOD",IF(AND(IFERROR(INDEX(VAT_Codes!$E:$E,MATCH($N893,VAT_Codes!$A:$A,0)),"ANY")&lt;&gt;"ANY",$P893=""),"MISSING COUNTERPARTY COUNTRY",IF(AND(IFERROR(INDEX(VAT_Codes!$E:$E,MATCH($N893,VAT_Codes!$A:$A,0)),"ANY")&lt;&gt;"ANY",$P893&lt;&gt;IFERROR(INDEX(VAT_Codes!$E:$E,MATCH($N893,VAT_Codes!$A:$A,0)),"ANY")),"REGION MISMATCH","OK")))))))</f>
        <v/>
      </c>
    </row>
    <row r="894" customFormat="false" ht="15" hidden="false" customHeight="false" outlineLevel="0" collapsed="false">
      <c r="M894" s="24" t="str">
        <f aca="false">IF($C894="","",IFERROR(INDEX(Account_Mapping!$C:$C,MATCH($C894&amp;"",Account_Mapping!$A:$A,0))&amp;"",""))</f>
        <v/>
      </c>
      <c r="N894" s="24" t="str">
        <f aca="false">IF($K894&lt;&gt;"",$K894,$M894)</f>
        <v/>
      </c>
      <c r="O894" s="24" t="str">
        <f aca="false">IF($F894="","",IFERROR(INDEX(Counterparties!$C:$C,MATCH($F894&amp;"",Counterparties!$A:$A,0))&amp;"",""))</f>
        <v/>
      </c>
      <c r="P894" s="24" t="str">
        <f aca="false">IF($O894="","",IF($O894="CY","CY",IF(ISNUMBER(MATCH($O894,Lists!$A:$A,0)),"EU","3RD")))</f>
        <v/>
      </c>
      <c r="Q894" s="24" t="str">
        <f aca="false">IF($F894="","N",IFERROR(IF(INDEX(Counterparties!$E:$E,MATCH($F894&amp;"",Counterparties!$A:$A,0))="Y","Y","N"),"N"))</f>
        <v>N</v>
      </c>
      <c r="R894" s="25" t="n">
        <f aca="false">IF(OR($H894="",$H894="EUR"),1,IFERROR(INDEX(FX_Rates!$D:$D,MATCH($H894,FX_Rates!$A:$A,0)),""))</f>
        <v>1</v>
      </c>
      <c r="S894" s="26" t="str">
        <f aca="false">IF(AND($I894="",$J894=""),"",IF($J894&lt;&gt;"",$J894,IF(OR($R894="",$R894=0),"",ROUND($I894/$R894,2))))</f>
        <v/>
      </c>
      <c r="T894" s="24" t="str">
        <f aca="false">IF($N894="","",IFERROR(INDEX(VAT_Codes!$C:$C,MATCH($N894,VAT_Codes!$A:$A,0)),"")&amp;"")</f>
        <v/>
      </c>
      <c r="U894" s="26" t="n">
        <f aca="false">IF(OR($S894="",$T894="",$T894="None"),0,IF($T894="Output",-$S894,$S894))</f>
        <v>0</v>
      </c>
      <c r="V894" s="27" t="n">
        <f aca="false">IF($N894="",0,IFERROR(INDEX(VAT_Codes!$D:$D,MATCH($N894,VAT_Codes!$A:$A,0)),0))</f>
        <v>0</v>
      </c>
      <c r="W894" s="26" t="n">
        <f aca="false">IF($U894=0,0,IF(IFERROR(INDEX(VAT_Codes!$F:$F,MATCH($N894,VAT_Codes!$A:$A,0)),"N")="Y",$U894,IF($L894&lt;&gt;"",ROUND(ABS($L894)/IF(OR($R894="",$R894=0),1,$R894),2)*SIGN($U894),ROUND($U894*$V894,2))))</f>
        <v>0</v>
      </c>
      <c r="X894" s="24" t="str">
        <f aca="false">IF($N894="","",IFERROR(INDEX(VAT_Codes!$H:$H,MATCH($N894,VAT_Codes!$A:$A,0)),"")&amp;"")</f>
        <v/>
      </c>
      <c r="Y894" s="24" t="str">
        <f aca="false">IF($A894="","",(YEAR($A894)-YEAR(Settings!$C$8))*12+MONTH($A894)-MONTH(Settings!$C$8)+1)</f>
        <v/>
      </c>
      <c r="Z894" s="24" t="str">
        <f aca="false">IF(AND($C894="",$I894="",$J894=""),"",IF($N894="","NO VAT CODE",IF($T894="","UNKNOWN VAT CODE",IF($S894="","MISSING FX RATE",IF(OR($A894&lt;Settings!$C$8,$A894&gt;Settings!$C$9),"OUTSIDE PERIOD",IF(AND(IFERROR(INDEX(VAT_Codes!$E:$E,MATCH($N894,VAT_Codes!$A:$A,0)),"ANY")&lt;&gt;"ANY",$P894=""),"MISSING COUNTERPARTY COUNTRY",IF(AND(IFERROR(INDEX(VAT_Codes!$E:$E,MATCH($N894,VAT_Codes!$A:$A,0)),"ANY")&lt;&gt;"ANY",$P894&lt;&gt;IFERROR(INDEX(VAT_Codes!$E:$E,MATCH($N894,VAT_Codes!$A:$A,0)),"ANY")),"REGION MISMATCH","OK")))))))</f>
        <v/>
      </c>
    </row>
    <row r="895" customFormat="false" ht="15" hidden="false" customHeight="false" outlineLevel="0" collapsed="false">
      <c r="M895" s="24" t="str">
        <f aca="false">IF($C895="","",IFERROR(INDEX(Account_Mapping!$C:$C,MATCH($C895&amp;"",Account_Mapping!$A:$A,0))&amp;"",""))</f>
        <v/>
      </c>
      <c r="N895" s="24" t="str">
        <f aca="false">IF($K895&lt;&gt;"",$K895,$M895)</f>
        <v/>
      </c>
      <c r="O895" s="24" t="str">
        <f aca="false">IF($F895="","",IFERROR(INDEX(Counterparties!$C:$C,MATCH($F895&amp;"",Counterparties!$A:$A,0))&amp;"",""))</f>
        <v/>
      </c>
      <c r="P895" s="24" t="str">
        <f aca="false">IF($O895="","",IF($O895="CY","CY",IF(ISNUMBER(MATCH($O895,Lists!$A:$A,0)),"EU","3RD")))</f>
        <v/>
      </c>
      <c r="Q895" s="24" t="str">
        <f aca="false">IF($F895="","N",IFERROR(IF(INDEX(Counterparties!$E:$E,MATCH($F895&amp;"",Counterparties!$A:$A,0))="Y","Y","N"),"N"))</f>
        <v>N</v>
      </c>
      <c r="R895" s="25" t="n">
        <f aca="false">IF(OR($H895="",$H895="EUR"),1,IFERROR(INDEX(FX_Rates!$D:$D,MATCH($H895,FX_Rates!$A:$A,0)),""))</f>
        <v>1</v>
      </c>
      <c r="S895" s="26" t="str">
        <f aca="false">IF(AND($I895="",$J895=""),"",IF($J895&lt;&gt;"",$J895,IF(OR($R895="",$R895=0),"",ROUND($I895/$R895,2))))</f>
        <v/>
      </c>
      <c r="T895" s="24" t="str">
        <f aca="false">IF($N895="","",IFERROR(INDEX(VAT_Codes!$C:$C,MATCH($N895,VAT_Codes!$A:$A,0)),"")&amp;"")</f>
        <v/>
      </c>
      <c r="U895" s="26" t="n">
        <f aca="false">IF(OR($S895="",$T895="",$T895="None"),0,IF($T895="Output",-$S895,$S895))</f>
        <v>0</v>
      </c>
      <c r="V895" s="27" t="n">
        <f aca="false">IF($N895="",0,IFERROR(INDEX(VAT_Codes!$D:$D,MATCH($N895,VAT_Codes!$A:$A,0)),0))</f>
        <v>0</v>
      </c>
      <c r="W895" s="26" t="n">
        <f aca="false">IF($U895=0,0,IF(IFERROR(INDEX(VAT_Codes!$F:$F,MATCH($N895,VAT_Codes!$A:$A,0)),"N")="Y",$U895,IF($L895&lt;&gt;"",ROUND(ABS($L895)/IF(OR($R895="",$R895=0),1,$R895),2)*SIGN($U895),ROUND($U895*$V895,2))))</f>
        <v>0</v>
      </c>
      <c r="X895" s="24" t="str">
        <f aca="false">IF($N895="","",IFERROR(INDEX(VAT_Codes!$H:$H,MATCH($N895,VAT_Codes!$A:$A,0)),"")&amp;"")</f>
        <v/>
      </c>
      <c r="Y895" s="24" t="str">
        <f aca="false">IF($A895="","",(YEAR($A895)-YEAR(Settings!$C$8))*12+MONTH($A895)-MONTH(Settings!$C$8)+1)</f>
        <v/>
      </c>
      <c r="Z895" s="24" t="str">
        <f aca="false">IF(AND($C895="",$I895="",$J895=""),"",IF($N895="","NO VAT CODE",IF($T895="","UNKNOWN VAT CODE",IF($S895="","MISSING FX RATE",IF(OR($A895&lt;Settings!$C$8,$A895&gt;Settings!$C$9),"OUTSIDE PERIOD",IF(AND(IFERROR(INDEX(VAT_Codes!$E:$E,MATCH($N895,VAT_Codes!$A:$A,0)),"ANY")&lt;&gt;"ANY",$P895=""),"MISSING COUNTERPARTY COUNTRY",IF(AND(IFERROR(INDEX(VAT_Codes!$E:$E,MATCH($N895,VAT_Codes!$A:$A,0)),"ANY")&lt;&gt;"ANY",$P895&lt;&gt;IFERROR(INDEX(VAT_Codes!$E:$E,MATCH($N895,VAT_Codes!$A:$A,0)),"ANY")),"REGION MISMATCH","OK")))))))</f>
        <v/>
      </c>
    </row>
    <row r="896" customFormat="false" ht="15" hidden="false" customHeight="false" outlineLevel="0" collapsed="false">
      <c r="M896" s="24" t="str">
        <f aca="false">IF($C896="","",IFERROR(INDEX(Account_Mapping!$C:$C,MATCH($C896&amp;"",Account_Mapping!$A:$A,0))&amp;"",""))</f>
        <v/>
      </c>
      <c r="N896" s="24" t="str">
        <f aca="false">IF($K896&lt;&gt;"",$K896,$M896)</f>
        <v/>
      </c>
      <c r="O896" s="24" t="str">
        <f aca="false">IF($F896="","",IFERROR(INDEX(Counterparties!$C:$C,MATCH($F896&amp;"",Counterparties!$A:$A,0))&amp;"",""))</f>
        <v/>
      </c>
      <c r="P896" s="24" t="str">
        <f aca="false">IF($O896="","",IF($O896="CY","CY",IF(ISNUMBER(MATCH($O896,Lists!$A:$A,0)),"EU","3RD")))</f>
        <v/>
      </c>
      <c r="Q896" s="24" t="str">
        <f aca="false">IF($F896="","N",IFERROR(IF(INDEX(Counterparties!$E:$E,MATCH($F896&amp;"",Counterparties!$A:$A,0))="Y","Y","N"),"N"))</f>
        <v>N</v>
      </c>
      <c r="R896" s="25" t="n">
        <f aca="false">IF(OR($H896="",$H896="EUR"),1,IFERROR(INDEX(FX_Rates!$D:$D,MATCH($H896,FX_Rates!$A:$A,0)),""))</f>
        <v>1</v>
      </c>
      <c r="S896" s="26" t="str">
        <f aca="false">IF(AND($I896="",$J896=""),"",IF($J896&lt;&gt;"",$J896,IF(OR($R896="",$R896=0),"",ROUND($I896/$R896,2))))</f>
        <v/>
      </c>
      <c r="T896" s="24" t="str">
        <f aca="false">IF($N896="","",IFERROR(INDEX(VAT_Codes!$C:$C,MATCH($N896,VAT_Codes!$A:$A,0)),"")&amp;"")</f>
        <v/>
      </c>
      <c r="U896" s="26" t="n">
        <f aca="false">IF(OR($S896="",$T896="",$T896="None"),0,IF($T896="Output",-$S896,$S896))</f>
        <v>0</v>
      </c>
      <c r="V896" s="27" t="n">
        <f aca="false">IF($N896="",0,IFERROR(INDEX(VAT_Codes!$D:$D,MATCH($N896,VAT_Codes!$A:$A,0)),0))</f>
        <v>0</v>
      </c>
      <c r="W896" s="26" t="n">
        <f aca="false">IF($U896=0,0,IF(IFERROR(INDEX(VAT_Codes!$F:$F,MATCH($N896,VAT_Codes!$A:$A,0)),"N")="Y",$U896,IF($L896&lt;&gt;"",ROUND(ABS($L896)/IF(OR($R896="",$R896=0),1,$R896),2)*SIGN($U896),ROUND($U896*$V896,2))))</f>
        <v>0</v>
      </c>
      <c r="X896" s="24" t="str">
        <f aca="false">IF($N896="","",IFERROR(INDEX(VAT_Codes!$H:$H,MATCH($N896,VAT_Codes!$A:$A,0)),"")&amp;"")</f>
        <v/>
      </c>
      <c r="Y896" s="24" t="str">
        <f aca="false">IF($A896="","",(YEAR($A896)-YEAR(Settings!$C$8))*12+MONTH($A896)-MONTH(Settings!$C$8)+1)</f>
        <v/>
      </c>
      <c r="Z896" s="24" t="str">
        <f aca="false">IF(AND($C896="",$I896="",$J896=""),"",IF($N896="","NO VAT CODE",IF($T896="","UNKNOWN VAT CODE",IF($S896="","MISSING FX RATE",IF(OR($A896&lt;Settings!$C$8,$A896&gt;Settings!$C$9),"OUTSIDE PERIOD",IF(AND(IFERROR(INDEX(VAT_Codes!$E:$E,MATCH($N896,VAT_Codes!$A:$A,0)),"ANY")&lt;&gt;"ANY",$P896=""),"MISSING COUNTERPARTY COUNTRY",IF(AND(IFERROR(INDEX(VAT_Codes!$E:$E,MATCH($N896,VAT_Codes!$A:$A,0)),"ANY")&lt;&gt;"ANY",$P896&lt;&gt;IFERROR(INDEX(VAT_Codes!$E:$E,MATCH($N896,VAT_Codes!$A:$A,0)),"ANY")),"REGION MISMATCH","OK")))))))</f>
        <v/>
      </c>
    </row>
    <row r="897" customFormat="false" ht="15" hidden="false" customHeight="false" outlineLevel="0" collapsed="false">
      <c r="M897" s="24" t="str">
        <f aca="false">IF($C897="","",IFERROR(INDEX(Account_Mapping!$C:$C,MATCH($C897&amp;"",Account_Mapping!$A:$A,0))&amp;"",""))</f>
        <v/>
      </c>
      <c r="N897" s="24" t="str">
        <f aca="false">IF($K897&lt;&gt;"",$K897,$M897)</f>
        <v/>
      </c>
      <c r="O897" s="24" t="str">
        <f aca="false">IF($F897="","",IFERROR(INDEX(Counterparties!$C:$C,MATCH($F897&amp;"",Counterparties!$A:$A,0))&amp;"",""))</f>
        <v/>
      </c>
      <c r="P897" s="24" t="str">
        <f aca="false">IF($O897="","",IF($O897="CY","CY",IF(ISNUMBER(MATCH($O897,Lists!$A:$A,0)),"EU","3RD")))</f>
        <v/>
      </c>
      <c r="Q897" s="24" t="str">
        <f aca="false">IF($F897="","N",IFERROR(IF(INDEX(Counterparties!$E:$E,MATCH($F897&amp;"",Counterparties!$A:$A,0))="Y","Y","N"),"N"))</f>
        <v>N</v>
      </c>
      <c r="R897" s="25" t="n">
        <f aca="false">IF(OR($H897="",$H897="EUR"),1,IFERROR(INDEX(FX_Rates!$D:$D,MATCH($H897,FX_Rates!$A:$A,0)),""))</f>
        <v>1</v>
      </c>
      <c r="S897" s="26" t="str">
        <f aca="false">IF(AND($I897="",$J897=""),"",IF($J897&lt;&gt;"",$J897,IF(OR($R897="",$R897=0),"",ROUND($I897/$R897,2))))</f>
        <v/>
      </c>
      <c r="T897" s="24" t="str">
        <f aca="false">IF($N897="","",IFERROR(INDEX(VAT_Codes!$C:$C,MATCH($N897,VAT_Codes!$A:$A,0)),"")&amp;"")</f>
        <v/>
      </c>
      <c r="U897" s="26" t="n">
        <f aca="false">IF(OR($S897="",$T897="",$T897="None"),0,IF($T897="Output",-$S897,$S897))</f>
        <v>0</v>
      </c>
      <c r="V897" s="27" t="n">
        <f aca="false">IF($N897="",0,IFERROR(INDEX(VAT_Codes!$D:$D,MATCH($N897,VAT_Codes!$A:$A,0)),0))</f>
        <v>0</v>
      </c>
      <c r="W897" s="26" t="n">
        <f aca="false">IF($U897=0,0,IF(IFERROR(INDEX(VAT_Codes!$F:$F,MATCH($N897,VAT_Codes!$A:$A,0)),"N")="Y",$U897,IF($L897&lt;&gt;"",ROUND(ABS($L897)/IF(OR($R897="",$R897=0),1,$R897),2)*SIGN($U897),ROUND($U897*$V897,2))))</f>
        <v>0</v>
      </c>
      <c r="X897" s="24" t="str">
        <f aca="false">IF($N897="","",IFERROR(INDEX(VAT_Codes!$H:$H,MATCH($N897,VAT_Codes!$A:$A,0)),"")&amp;"")</f>
        <v/>
      </c>
      <c r="Y897" s="24" t="str">
        <f aca="false">IF($A897="","",(YEAR($A897)-YEAR(Settings!$C$8))*12+MONTH($A897)-MONTH(Settings!$C$8)+1)</f>
        <v/>
      </c>
      <c r="Z897" s="24" t="str">
        <f aca="false">IF(AND($C897="",$I897="",$J897=""),"",IF($N897="","NO VAT CODE",IF($T897="","UNKNOWN VAT CODE",IF($S897="","MISSING FX RATE",IF(OR($A897&lt;Settings!$C$8,$A897&gt;Settings!$C$9),"OUTSIDE PERIOD",IF(AND(IFERROR(INDEX(VAT_Codes!$E:$E,MATCH($N897,VAT_Codes!$A:$A,0)),"ANY")&lt;&gt;"ANY",$P897=""),"MISSING COUNTERPARTY COUNTRY",IF(AND(IFERROR(INDEX(VAT_Codes!$E:$E,MATCH($N897,VAT_Codes!$A:$A,0)),"ANY")&lt;&gt;"ANY",$P897&lt;&gt;IFERROR(INDEX(VAT_Codes!$E:$E,MATCH($N897,VAT_Codes!$A:$A,0)),"ANY")),"REGION MISMATCH","OK")))))))</f>
        <v/>
      </c>
    </row>
    <row r="898" customFormat="false" ht="15" hidden="false" customHeight="false" outlineLevel="0" collapsed="false">
      <c r="M898" s="24" t="str">
        <f aca="false">IF($C898="","",IFERROR(INDEX(Account_Mapping!$C:$C,MATCH($C898&amp;"",Account_Mapping!$A:$A,0))&amp;"",""))</f>
        <v/>
      </c>
      <c r="N898" s="24" t="str">
        <f aca="false">IF($K898&lt;&gt;"",$K898,$M898)</f>
        <v/>
      </c>
      <c r="O898" s="24" t="str">
        <f aca="false">IF($F898="","",IFERROR(INDEX(Counterparties!$C:$C,MATCH($F898&amp;"",Counterparties!$A:$A,0))&amp;"",""))</f>
        <v/>
      </c>
      <c r="P898" s="24" t="str">
        <f aca="false">IF($O898="","",IF($O898="CY","CY",IF(ISNUMBER(MATCH($O898,Lists!$A:$A,0)),"EU","3RD")))</f>
        <v/>
      </c>
      <c r="Q898" s="24" t="str">
        <f aca="false">IF($F898="","N",IFERROR(IF(INDEX(Counterparties!$E:$E,MATCH($F898&amp;"",Counterparties!$A:$A,0))="Y","Y","N"),"N"))</f>
        <v>N</v>
      </c>
      <c r="R898" s="25" t="n">
        <f aca="false">IF(OR($H898="",$H898="EUR"),1,IFERROR(INDEX(FX_Rates!$D:$D,MATCH($H898,FX_Rates!$A:$A,0)),""))</f>
        <v>1</v>
      </c>
      <c r="S898" s="26" t="str">
        <f aca="false">IF(AND($I898="",$J898=""),"",IF($J898&lt;&gt;"",$J898,IF(OR($R898="",$R898=0),"",ROUND($I898/$R898,2))))</f>
        <v/>
      </c>
      <c r="T898" s="24" t="str">
        <f aca="false">IF($N898="","",IFERROR(INDEX(VAT_Codes!$C:$C,MATCH($N898,VAT_Codes!$A:$A,0)),"")&amp;"")</f>
        <v/>
      </c>
      <c r="U898" s="26" t="n">
        <f aca="false">IF(OR($S898="",$T898="",$T898="None"),0,IF($T898="Output",-$S898,$S898))</f>
        <v>0</v>
      </c>
      <c r="V898" s="27" t="n">
        <f aca="false">IF($N898="",0,IFERROR(INDEX(VAT_Codes!$D:$D,MATCH($N898,VAT_Codes!$A:$A,0)),0))</f>
        <v>0</v>
      </c>
      <c r="W898" s="26" t="n">
        <f aca="false">IF($U898=0,0,IF(IFERROR(INDEX(VAT_Codes!$F:$F,MATCH($N898,VAT_Codes!$A:$A,0)),"N")="Y",$U898,IF($L898&lt;&gt;"",ROUND(ABS($L898)/IF(OR($R898="",$R898=0),1,$R898),2)*SIGN($U898),ROUND($U898*$V898,2))))</f>
        <v>0</v>
      </c>
      <c r="X898" s="24" t="str">
        <f aca="false">IF($N898="","",IFERROR(INDEX(VAT_Codes!$H:$H,MATCH($N898,VAT_Codes!$A:$A,0)),"")&amp;"")</f>
        <v/>
      </c>
      <c r="Y898" s="24" t="str">
        <f aca="false">IF($A898="","",(YEAR($A898)-YEAR(Settings!$C$8))*12+MONTH($A898)-MONTH(Settings!$C$8)+1)</f>
        <v/>
      </c>
      <c r="Z898" s="24" t="str">
        <f aca="false">IF(AND($C898="",$I898="",$J898=""),"",IF($N898="","NO VAT CODE",IF($T898="","UNKNOWN VAT CODE",IF($S898="","MISSING FX RATE",IF(OR($A898&lt;Settings!$C$8,$A898&gt;Settings!$C$9),"OUTSIDE PERIOD",IF(AND(IFERROR(INDEX(VAT_Codes!$E:$E,MATCH($N898,VAT_Codes!$A:$A,0)),"ANY")&lt;&gt;"ANY",$P898=""),"MISSING COUNTERPARTY COUNTRY",IF(AND(IFERROR(INDEX(VAT_Codes!$E:$E,MATCH($N898,VAT_Codes!$A:$A,0)),"ANY")&lt;&gt;"ANY",$P898&lt;&gt;IFERROR(INDEX(VAT_Codes!$E:$E,MATCH($N898,VAT_Codes!$A:$A,0)),"ANY")),"REGION MISMATCH","OK")))))))</f>
        <v/>
      </c>
    </row>
    <row r="899" customFormat="false" ht="15" hidden="false" customHeight="false" outlineLevel="0" collapsed="false">
      <c r="M899" s="24" t="str">
        <f aca="false">IF($C899="","",IFERROR(INDEX(Account_Mapping!$C:$C,MATCH($C899&amp;"",Account_Mapping!$A:$A,0))&amp;"",""))</f>
        <v/>
      </c>
      <c r="N899" s="24" t="str">
        <f aca="false">IF($K899&lt;&gt;"",$K899,$M899)</f>
        <v/>
      </c>
      <c r="O899" s="24" t="str">
        <f aca="false">IF($F899="","",IFERROR(INDEX(Counterparties!$C:$C,MATCH($F899&amp;"",Counterparties!$A:$A,0))&amp;"",""))</f>
        <v/>
      </c>
      <c r="P899" s="24" t="str">
        <f aca="false">IF($O899="","",IF($O899="CY","CY",IF(ISNUMBER(MATCH($O899,Lists!$A:$A,0)),"EU","3RD")))</f>
        <v/>
      </c>
      <c r="Q899" s="24" t="str">
        <f aca="false">IF($F899="","N",IFERROR(IF(INDEX(Counterparties!$E:$E,MATCH($F899&amp;"",Counterparties!$A:$A,0))="Y","Y","N"),"N"))</f>
        <v>N</v>
      </c>
      <c r="R899" s="25" t="n">
        <f aca="false">IF(OR($H899="",$H899="EUR"),1,IFERROR(INDEX(FX_Rates!$D:$D,MATCH($H899,FX_Rates!$A:$A,0)),""))</f>
        <v>1</v>
      </c>
      <c r="S899" s="26" t="str">
        <f aca="false">IF(AND($I899="",$J899=""),"",IF($J899&lt;&gt;"",$J899,IF(OR($R899="",$R899=0),"",ROUND($I899/$R899,2))))</f>
        <v/>
      </c>
      <c r="T899" s="24" t="str">
        <f aca="false">IF($N899="","",IFERROR(INDEX(VAT_Codes!$C:$C,MATCH($N899,VAT_Codes!$A:$A,0)),"")&amp;"")</f>
        <v/>
      </c>
      <c r="U899" s="26" t="n">
        <f aca="false">IF(OR($S899="",$T899="",$T899="None"),0,IF($T899="Output",-$S899,$S899))</f>
        <v>0</v>
      </c>
      <c r="V899" s="27" t="n">
        <f aca="false">IF($N899="",0,IFERROR(INDEX(VAT_Codes!$D:$D,MATCH($N899,VAT_Codes!$A:$A,0)),0))</f>
        <v>0</v>
      </c>
      <c r="W899" s="26" t="n">
        <f aca="false">IF($U899=0,0,IF(IFERROR(INDEX(VAT_Codes!$F:$F,MATCH($N899,VAT_Codes!$A:$A,0)),"N")="Y",$U899,IF($L899&lt;&gt;"",ROUND(ABS($L899)/IF(OR($R899="",$R899=0),1,$R899),2)*SIGN($U899),ROUND($U899*$V899,2))))</f>
        <v>0</v>
      </c>
      <c r="X899" s="24" t="str">
        <f aca="false">IF($N899="","",IFERROR(INDEX(VAT_Codes!$H:$H,MATCH($N899,VAT_Codes!$A:$A,0)),"")&amp;"")</f>
        <v/>
      </c>
      <c r="Y899" s="24" t="str">
        <f aca="false">IF($A899="","",(YEAR($A899)-YEAR(Settings!$C$8))*12+MONTH($A899)-MONTH(Settings!$C$8)+1)</f>
        <v/>
      </c>
      <c r="Z899" s="24" t="str">
        <f aca="false">IF(AND($C899="",$I899="",$J899=""),"",IF($N899="","NO VAT CODE",IF($T899="","UNKNOWN VAT CODE",IF($S899="","MISSING FX RATE",IF(OR($A899&lt;Settings!$C$8,$A899&gt;Settings!$C$9),"OUTSIDE PERIOD",IF(AND(IFERROR(INDEX(VAT_Codes!$E:$E,MATCH($N899,VAT_Codes!$A:$A,0)),"ANY")&lt;&gt;"ANY",$P899=""),"MISSING COUNTERPARTY COUNTRY",IF(AND(IFERROR(INDEX(VAT_Codes!$E:$E,MATCH($N899,VAT_Codes!$A:$A,0)),"ANY")&lt;&gt;"ANY",$P899&lt;&gt;IFERROR(INDEX(VAT_Codes!$E:$E,MATCH($N899,VAT_Codes!$A:$A,0)),"ANY")),"REGION MISMATCH","OK")))))))</f>
        <v/>
      </c>
    </row>
    <row r="900" customFormat="false" ht="15" hidden="false" customHeight="false" outlineLevel="0" collapsed="false">
      <c r="M900" s="24" t="str">
        <f aca="false">IF($C900="","",IFERROR(INDEX(Account_Mapping!$C:$C,MATCH($C900&amp;"",Account_Mapping!$A:$A,0))&amp;"",""))</f>
        <v/>
      </c>
      <c r="N900" s="24" t="str">
        <f aca="false">IF($K900&lt;&gt;"",$K900,$M900)</f>
        <v/>
      </c>
      <c r="O900" s="24" t="str">
        <f aca="false">IF($F900="","",IFERROR(INDEX(Counterparties!$C:$C,MATCH($F900&amp;"",Counterparties!$A:$A,0))&amp;"",""))</f>
        <v/>
      </c>
      <c r="P900" s="24" t="str">
        <f aca="false">IF($O900="","",IF($O900="CY","CY",IF(ISNUMBER(MATCH($O900,Lists!$A:$A,0)),"EU","3RD")))</f>
        <v/>
      </c>
      <c r="Q900" s="24" t="str">
        <f aca="false">IF($F900="","N",IFERROR(IF(INDEX(Counterparties!$E:$E,MATCH($F900&amp;"",Counterparties!$A:$A,0))="Y","Y","N"),"N"))</f>
        <v>N</v>
      </c>
      <c r="R900" s="25" t="n">
        <f aca="false">IF(OR($H900="",$H900="EUR"),1,IFERROR(INDEX(FX_Rates!$D:$D,MATCH($H900,FX_Rates!$A:$A,0)),""))</f>
        <v>1</v>
      </c>
      <c r="S900" s="26" t="str">
        <f aca="false">IF(AND($I900="",$J900=""),"",IF($J900&lt;&gt;"",$J900,IF(OR($R900="",$R900=0),"",ROUND($I900/$R900,2))))</f>
        <v/>
      </c>
      <c r="T900" s="24" t="str">
        <f aca="false">IF($N900="","",IFERROR(INDEX(VAT_Codes!$C:$C,MATCH($N900,VAT_Codes!$A:$A,0)),"")&amp;"")</f>
        <v/>
      </c>
      <c r="U900" s="26" t="n">
        <f aca="false">IF(OR($S900="",$T900="",$T900="None"),0,IF($T900="Output",-$S900,$S900))</f>
        <v>0</v>
      </c>
      <c r="V900" s="27" t="n">
        <f aca="false">IF($N900="",0,IFERROR(INDEX(VAT_Codes!$D:$D,MATCH($N900,VAT_Codes!$A:$A,0)),0))</f>
        <v>0</v>
      </c>
      <c r="W900" s="26" t="n">
        <f aca="false">IF($U900=0,0,IF(IFERROR(INDEX(VAT_Codes!$F:$F,MATCH($N900,VAT_Codes!$A:$A,0)),"N")="Y",$U900,IF($L900&lt;&gt;"",ROUND(ABS($L900)/IF(OR($R900="",$R900=0),1,$R900),2)*SIGN($U900),ROUND($U900*$V900,2))))</f>
        <v>0</v>
      </c>
      <c r="X900" s="24" t="str">
        <f aca="false">IF($N900="","",IFERROR(INDEX(VAT_Codes!$H:$H,MATCH($N900,VAT_Codes!$A:$A,0)),"")&amp;"")</f>
        <v/>
      </c>
      <c r="Y900" s="24" t="str">
        <f aca="false">IF($A900="","",(YEAR($A900)-YEAR(Settings!$C$8))*12+MONTH($A900)-MONTH(Settings!$C$8)+1)</f>
        <v/>
      </c>
      <c r="Z900" s="24" t="str">
        <f aca="false">IF(AND($C900="",$I900="",$J900=""),"",IF($N900="","NO VAT CODE",IF($T900="","UNKNOWN VAT CODE",IF($S900="","MISSING FX RATE",IF(OR($A900&lt;Settings!$C$8,$A900&gt;Settings!$C$9),"OUTSIDE PERIOD",IF(AND(IFERROR(INDEX(VAT_Codes!$E:$E,MATCH($N900,VAT_Codes!$A:$A,0)),"ANY")&lt;&gt;"ANY",$P900=""),"MISSING COUNTERPARTY COUNTRY",IF(AND(IFERROR(INDEX(VAT_Codes!$E:$E,MATCH($N900,VAT_Codes!$A:$A,0)),"ANY")&lt;&gt;"ANY",$P900&lt;&gt;IFERROR(INDEX(VAT_Codes!$E:$E,MATCH($N900,VAT_Codes!$A:$A,0)),"ANY")),"REGION MISMATCH","OK")))))))</f>
        <v/>
      </c>
    </row>
    <row r="901" customFormat="false" ht="15" hidden="false" customHeight="false" outlineLevel="0" collapsed="false">
      <c r="M901" s="24" t="str">
        <f aca="false">IF($C901="","",IFERROR(INDEX(Account_Mapping!$C:$C,MATCH($C901&amp;"",Account_Mapping!$A:$A,0))&amp;"",""))</f>
        <v/>
      </c>
      <c r="N901" s="24" t="str">
        <f aca="false">IF($K901&lt;&gt;"",$K901,$M901)</f>
        <v/>
      </c>
      <c r="O901" s="24" t="str">
        <f aca="false">IF($F901="","",IFERROR(INDEX(Counterparties!$C:$C,MATCH($F901&amp;"",Counterparties!$A:$A,0))&amp;"",""))</f>
        <v/>
      </c>
      <c r="P901" s="24" t="str">
        <f aca="false">IF($O901="","",IF($O901="CY","CY",IF(ISNUMBER(MATCH($O901,Lists!$A:$A,0)),"EU","3RD")))</f>
        <v/>
      </c>
      <c r="Q901" s="24" t="str">
        <f aca="false">IF($F901="","N",IFERROR(IF(INDEX(Counterparties!$E:$E,MATCH($F901&amp;"",Counterparties!$A:$A,0))="Y","Y","N"),"N"))</f>
        <v>N</v>
      </c>
      <c r="R901" s="25" t="n">
        <f aca="false">IF(OR($H901="",$H901="EUR"),1,IFERROR(INDEX(FX_Rates!$D:$D,MATCH($H901,FX_Rates!$A:$A,0)),""))</f>
        <v>1</v>
      </c>
      <c r="S901" s="26" t="str">
        <f aca="false">IF(AND($I901="",$J901=""),"",IF($J901&lt;&gt;"",$J901,IF(OR($R901="",$R901=0),"",ROUND($I901/$R901,2))))</f>
        <v/>
      </c>
      <c r="T901" s="24" t="str">
        <f aca="false">IF($N901="","",IFERROR(INDEX(VAT_Codes!$C:$C,MATCH($N901,VAT_Codes!$A:$A,0)),"")&amp;"")</f>
        <v/>
      </c>
      <c r="U901" s="26" t="n">
        <f aca="false">IF(OR($S901="",$T901="",$T901="None"),0,IF($T901="Output",-$S901,$S901))</f>
        <v>0</v>
      </c>
      <c r="V901" s="27" t="n">
        <f aca="false">IF($N901="",0,IFERROR(INDEX(VAT_Codes!$D:$D,MATCH($N901,VAT_Codes!$A:$A,0)),0))</f>
        <v>0</v>
      </c>
      <c r="W901" s="26" t="n">
        <f aca="false">IF($U901=0,0,IF(IFERROR(INDEX(VAT_Codes!$F:$F,MATCH($N901,VAT_Codes!$A:$A,0)),"N")="Y",$U901,IF($L901&lt;&gt;"",ROUND(ABS($L901)/IF(OR($R901="",$R901=0),1,$R901),2)*SIGN($U901),ROUND($U901*$V901,2))))</f>
        <v>0</v>
      </c>
      <c r="X901" s="24" t="str">
        <f aca="false">IF($N901="","",IFERROR(INDEX(VAT_Codes!$H:$H,MATCH($N901,VAT_Codes!$A:$A,0)),"")&amp;"")</f>
        <v/>
      </c>
      <c r="Y901" s="24" t="str">
        <f aca="false">IF($A901="","",(YEAR($A901)-YEAR(Settings!$C$8))*12+MONTH($A901)-MONTH(Settings!$C$8)+1)</f>
        <v/>
      </c>
      <c r="Z901" s="24" t="str">
        <f aca="false">IF(AND($C901="",$I901="",$J901=""),"",IF($N901="","NO VAT CODE",IF($T901="","UNKNOWN VAT CODE",IF($S901="","MISSING FX RATE",IF(OR($A901&lt;Settings!$C$8,$A901&gt;Settings!$C$9),"OUTSIDE PERIOD",IF(AND(IFERROR(INDEX(VAT_Codes!$E:$E,MATCH($N901,VAT_Codes!$A:$A,0)),"ANY")&lt;&gt;"ANY",$P901=""),"MISSING COUNTERPARTY COUNTRY",IF(AND(IFERROR(INDEX(VAT_Codes!$E:$E,MATCH($N901,VAT_Codes!$A:$A,0)),"ANY")&lt;&gt;"ANY",$P901&lt;&gt;IFERROR(INDEX(VAT_Codes!$E:$E,MATCH($N901,VAT_Codes!$A:$A,0)),"ANY")),"REGION MISMATCH","OK")))))))</f>
        <v/>
      </c>
    </row>
    <row r="902" customFormat="false" ht="15" hidden="false" customHeight="false" outlineLevel="0" collapsed="false">
      <c r="M902" s="24" t="str">
        <f aca="false">IF($C902="","",IFERROR(INDEX(Account_Mapping!$C:$C,MATCH($C902&amp;"",Account_Mapping!$A:$A,0))&amp;"",""))</f>
        <v/>
      </c>
      <c r="N902" s="24" t="str">
        <f aca="false">IF($K902&lt;&gt;"",$K902,$M902)</f>
        <v/>
      </c>
      <c r="O902" s="24" t="str">
        <f aca="false">IF($F902="","",IFERROR(INDEX(Counterparties!$C:$C,MATCH($F902&amp;"",Counterparties!$A:$A,0))&amp;"",""))</f>
        <v/>
      </c>
      <c r="P902" s="24" t="str">
        <f aca="false">IF($O902="","",IF($O902="CY","CY",IF(ISNUMBER(MATCH($O902,Lists!$A:$A,0)),"EU","3RD")))</f>
        <v/>
      </c>
      <c r="Q902" s="24" t="str">
        <f aca="false">IF($F902="","N",IFERROR(IF(INDEX(Counterparties!$E:$E,MATCH($F902&amp;"",Counterparties!$A:$A,0))="Y","Y","N"),"N"))</f>
        <v>N</v>
      </c>
      <c r="R902" s="25" t="n">
        <f aca="false">IF(OR($H902="",$H902="EUR"),1,IFERROR(INDEX(FX_Rates!$D:$D,MATCH($H902,FX_Rates!$A:$A,0)),""))</f>
        <v>1</v>
      </c>
      <c r="S902" s="26" t="str">
        <f aca="false">IF(AND($I902="",$J902=""),"",IF($J902&lt;&gt;"",$J902,IF(OR($R902="",$R902=0),"",ROUND($I902/$R902,2))))</f>
        <v/>
      </c>
      <c r="T902" s="24" t="str">
        <f aca="false">IF($N902="","",IFERROR(INDEX(VAT_Codes!$C:$C,MATCH($N902,VAT_Codes!$A:$A,0)),"")&amp;"")</f>
        <v/>
      </c>
      <c r="U902" s="26" t="n">
        <f aca="false">IF(OR($S902="",$T902="",$T902="None"),0,IF($T902="Output",-$S902,$S902))</f>
        <v>0</v>
      </c>
      <c r="V902" s="27" t="n">
        <f aca="false">IF($N902="",0,IFERROR(INDEX(VAT_Codes!$D:$D,MATCH($N902,VAT_Codes!$A:$A,0)),0))</f>
        <v>0</v>
      </c>
      <c r="W902" s="26" t="n">
        <f aca="false">IF($U902=0,0,IF(IFERROR(INDEX(VAT_Codes!$F:$F,MATCH($N902,VAT_Codes!$A:$A,0)),"N")="Y",$U902,IF($L902&lt;&gt;"",ROUND(ABS($L902)/IF(OR($R902="",$R902=0),1,$R902),2)*SIGN($U902),ROUND($U902*$V902,2))))</f>
        <v>0</v>
      </c>
      <c r="X902" s="24" t="str">
        <f aca="false">IF($N902="","",IFERROR(INDEX(VAT_Codes!$H:$H,MATCH($N902,VAT_Codes!$A:$A,0)),"")&amp;"")</f>
        <v/>
      </c>
      <c r="Y902" s="24" t="str">
        <f aca="false">IF($A902="","",(YEAR($A902)-YEAR(Settings!$C$8))*12+MONTH($A902)-MONTH(Settings!$C$8)+1)</f>
        <v/>
      </c>
      <c r="Z902" s="24" t="str">
        <f aca="false">IF(AND($C902="",$I902="",$J902=""),"",IF($N902="","NO VAT CODE",IF($T902="","UNKNOWN VAT CODE",IF($S902="","MISSING FX RATE",IF(OR($A902&lt;Settings!$C$8,$A902&gt;Settings!$C$9),"OUTSIDE PERIOD",IF(AND(IFERROR(INDEX(VAT_Codes!$E:$E,MATCH($N902,VAT_Codes!$A:$A,0)),"ANY")&lt;&gt;"ANY",$P902=""),"MISSING COUNTERPARTY COUNTRY",IF(AND(IFERROR(INDEX(VAT_Codes!$E:$E,MATCH($N902,VAT_Codes!$A:$A,0)),"ANY")&lt;&gt;"ANY",$P902&lt;&gt;IFERROR(INDEX(VAT_Codes!$E:$E,MATCH($N902,VAT_Codes!$A:$A,0)),"ANY")),"REGION MISMATCH","OK")))))))</f>
        <v/>
      </c>
    </row>
    <row r="903" customFormat="false" ht="15" hidden="false" customHeight="false" outlineLevel="0" collapsed="false">
      <c r="M903" s="24" t="str">
        <f aca="false">IF($C903="","",IFERROR(INDEX(Account_Mapping!$C:$C,MATCH($C903&amp;"",Account_Mapping!$A:$A,0))&amp;"",""))</f>
        <v/>
      </c>
      <c r="N903" s="24" t="str">
        <f aca="false">IF($K903&lt;&gt;"",$K903,$M903)</f>
        <v/>
      </c>
      <c r="O903" s="24" t="str">
        <f aca="false">IF($F903="","",IFERROR(INDEX(Counterparties!$C:$C,MATCH($F903&amp;"",Counterparties!$A:$A,0))&amp;"",""))</f>
        <v/>
      </c>
      <c r="P903" s="24" t="str">
        <f aca="false">IF($O903="","",IF($O903="CY","CY",IF(ISNUMBER(MATCH($O903,Lists!$A:$A,0)),"EU","3RD")))</f>
        <v/>
      </c>
      <c r="Q903" s="24" t="str">
        <f aca="false">IF($F903="","N",IFERROR(IF(INDEX(Counterparties!$E:$E,MATCH($F903&amp;"",Counterparties!$A:$A,0))="Y","Y","N"),"N"))</f>
        <v>N</v>
      </c>
      <c r="R903" s="25" t="n">
        <f aca="false">IF(OR($H903="",$H903="EUR"),1,IFERROR(INDEX(FX_Rates!$D:$D,MATCH($H903,FX_Rates!$A:$A,0)),""))</f>
        <v>1</v>
      </c>
      <c r="S903" s="26" t="str">
        <f aca="false">IF(AND($I903="",$J903=""),"",IF($J903&lt;&gt;"",$J903,IF(OR($R903="",$R903=0),"",ROUND($I903/$R903,2))))</f>
        <v/>
      </c>
      <c r="T903" s="24" t="str">
        <f aca="false">IF($N903="","",IFERROR(INDEX(VAT_Codes!$C:$C,MATCH($N903,VAT_Codes!$A:$A,0)),"")&amp;"")</f>
        <v/>
      </c>
      <c r="U903" s="26" t="n">
        <f aca="false">IF(OR($S903="",$T903="",$T903="None"),0,IF($T903="Output",-$S903,$S903))</f>
        <v>0</v>
      </c>
      <c r="V903" s="27" t="n">
        <f aca="false">IF($N903="",0,IFERROR(INDEX(VAT_Codes!$D:$D,MATCH($N903,VAT_Codes!$A:$A,0)),0))</f>
        <v>0</v>
      </c>
      <c r="W903" s="26" t="n">
        <f aca="false">IF($U903=0,0,IF(IFERROR(INDEX(VAT_Codes!$F:$F,MATCH($N903,VAT_Codes!$A:$A,0)),"N")="Y",$U903,IF($L903&lt;&gt;"",ROUND(ABS($L903)/IF(OR($R903="",$R903=0),1,$R903),2)*SIGN($U903),ROUND($U903*$V903,2))))</f>
        <v>0</v>
      </c>
      <c r="X903" s="24" t="str">
        <f aca="false">IF($N903="","",IFERROR(INDEX(VAT_Codes!$H:$H,MATCH($N903,VAT_Codes!$A:$A,0)),"")&amp;"")</f>
        <v/>
      </c>
      <c r="Y903" s="24" t="str">
        <f aca="false">IF($A903="","",(YEAR($A903)-YEAR(Settings!$C$8))*12+MONTH($A903)-MONTH(Settings!$C$8)+1)</f>
        <v/>
      </c>
      <c r="Z903" s="24" t="str">
        <f aca="false">IF(AND($C903="",$I903="",$J903=""),"",IF($N903="","NO VAT CODE",IF($T903="","UNKNOWN VAT CODE",IF($S903="","MISSING FX RATE",IF(OR($A903&lt;Settings!$C$8,$A903&gt;Settings!$C$9),"OUTSIDE PERIOD",IF(AND(IFERROR(INDEX(VAT_Codes!$E:$E,MATCH($N903,VAT_Codes!$A:$A,0)),"ANY")&lt;&gt;"ANY",$P903=""),"MISSING COUNTERPARTY COUNTRY",IF(AND(IFERROR(INDEX(VAT_Codes!$E:$E,MATCH($N903,VAT_Codes!$A:$A,0)),"ANY")&lt;&gt;"ANY",$P903&lt;&gt;IFERROR(INDEX(VAT_Codes!$E:$E,MATCH($N903,VAT_Codes!$A:$A,0)),"ANY")),"REGION MISMATCH","OK")))))))</f>
        <v/>
      </c>
    </row>
    <row r="904" customFormat="false" ht="15" hidden="false" customHeight="false" outlineLevel="0" collapsed="false">
      <c r="M904" s="24" t="str">
        <f aca="false">IF($C904="","",IFERROR(INDEX(Account_Mapping!$C:$C,MATCH($C904&amp;"",Account_Mapping!$A:$A,0))&amp;"",""))</f>
        <v/>
      </c>
      <c r="N904" s="24" t="str">
        <f aca="false">IF($K904&lt;&gt;"",$K904,$M904)</f>
        <v/>
      </c>
      <c r="O904" s="24" t="str">
        <f aca="false">IF($F904="","",IFERROR(INDEX(Counterparties!$C:$C,MATCH($F904&amp;"",Counterparties!$A:$A,0))&amp;"",""))</f>
        <v/>
      </c>
      <c r="P904" s="24" t="str">
        <f aca="false">IF($O904="","",IF($O904="CY","CY",IF(ISNUMBER(MATCH($O904,Lists!$A:$A,0)),"EU","3RD")))</f>
        <v/>
      </c>
      <c r="Q904" s="24" t="str">
        <f aca="false">IF($F904="","N",IFERROR(IF(INDEX(Counterparties!$E:$E,MATCH($F904&amp;"",Counterparties!$A:$A,0))="Y","Y","N"),"N"))</f>
        <v>N</v>
      </c>
      <c r="R904" s="25" t="n">
        <f aca="false">IF(OR($H904="",$H904="EUR"),1,IFERROR(INDEX(FX_Rates!$D:$D,MATCH($H904,FX_Rates!$A:$A,0)),""))</f>
        <v>1</v>
      </c>
      <c r="S904" s="26" t="str">
        <f aca="false">IF(AND($I904="",$J904=""),"",IF($J904&lt;&gt;"",$J904,IF(OR($R904="",$R904=0),"",ROUND($I904/$R904,2))))</f>
        <v/>
      </c>
      <c r="T904" s="24" t="str">
        <f aca="false">IF($N904="","",IFERROR(INDEX(VAT_Codes!$C:$C,MATCH($N904,VAT_Codes!$A:$A,0)),"")&amp;"")</f>
        <v/>
      </c>
      <c r="U904" s="26" t="n">
        <f aca="false">IF(OR($S904="",$T904="",$T904="None"),0,IF($T904="Output",-$S904,$S904))</f>
        <v>0</v>
      </c>
      <c r="V904" s="27" t="n">
        <f aca="false">IF($N904="",0,IFERROR(INDEX(VAT_Codes!$D:$D,MATCH($N904,VAT_Codes!$A:$A,0)),0))</f>
        <v>0</v>
      </c>
      <c r="W904" s="26" t="n">
        <f aca="false">IF($U904=0,0,IF(IFERROR(INDEX(VAT_Codes!$F:$F,MATCH($N904,VAT_Codes!$A:$A,0)),"N")="Y",$U904,IF($L904&lt;&gt;"",ROUND(ABS($L904)/IF(OR($R904="",$R904=0),1,$R904),2)*SIGN($U904),ROUND($U904*$V904,2))))</f>
        <v>0</v>
      </c>
      <c r="X904" s="24" t="str">
        <f aca="false">IF($N904="","",IFERROR(INDEX(VAT_Codes!$H:$H,MATCH($N904,VAT_Codes!$A:$A,0)),"")&amp;"")</f>
        <v/>
      </c>
      <c r="Y904" s="24" t="str">
        <f aca="false">IF($A904="","",(YEAR($A904)-YEAR(Settings!$C$8))*12+MONTH($A904)-MONTH(Settings!$C$8)+1)</f>
        <v/>
      </c>
      <c r="Z904" s="24" t="str">
        <f aca="false">IF(AND($C904="",$I904="",$J904=""),"",IF($N904="","NO VAT CODE",IF($T904="","UNKNOWN VAT CODE",IF($S904="","MISSING FX RATE",IF(OR($A904&lt;Settings!$C$8,$A904&gt;Settings!$C$9),"OUTSIDE PERIOD",IF(AND(IFERROR(INDEX(VAT_Codes!$E:$E,MATCH($N904,VAT_Codes!$A:$A,0)),"ANY")&lt;&gt;"ANY",$P904=""),"MISSING COUNTERPARTY COUNTRY",IF(AND(IFERROR(INDEX(VAT_Codes!$E:$E,MATCH($N904,VAT_Codes!$A:$A,0)),"ANY")&lt;&gt;"ANY",$P904&lt;&gt;IFERROR(INDEX(VAT_Codes!$E:$E,MATCH($N904,VAT_Codes!$A:$A,0)),"ANY")),"REGION MISMATCH","OK")))))))</f>
        <v/>
      </c>
    </row>
    <row r="905" customFormat="false" ht="15" hidden="false" customHeight="false" outlineLevel="0" collapsed="false">
      <c r="M905" s="24" t="str">
        <f aca="false">IF($C905="","",IFERROR(INDEX(Account_Mapping!$C:$C,MATCH($C905&amp;"",Account_Mapping!$A:$A,0))&amp;"",""))</f>
        <v/>
      </c>
      <c r="N905" s="24" t="str">
        <f aca="false">IF($K905&lt;&gt;"",$K905,$M905)</f>
        <v/>
      </c>
      <c r="O905" s="24" t="str">
        <f aca="false">IF($F905="","",IFERROR(INDEX(Counterparties!$C:$C,MATCH($F905&amp;"",Counterparties!$A:$A,0))&amp;"",""))</f>
        <v/>
      </c>
      <c r="P905" s="24" t="str">
        <f aca="false">IF($O905="","",IF($O905="CY","CY",IF(ISNUMBER(MATCH($O905,Lists!$A:$A,0)),"EU","3RD")))</f>
        <v/>
      </c>
      <c r="Q905" s="24" t="str">
        <f aca="false">IF($F905="","N",IFERROR(IF(INDEX(Counterparties!$E:$E,MATCH($F905&amp;"",Counterparties!$A:$A,0))="Y","Y","N"),"N"))</f>
        <v>N</v>
      </c>
      <c r="R905" s="25" t="n">
        <f aca="false">IF(OR($H905="",$H905="EUR"),1,IFERROR(INDEX(FX_Rates!$D:$D,MATCH($H905,FX_Rates!$A:$A,0)),""))</f>
        <v>1</v>
      </c>
      <c r="S905" s="26" t="str">
        <f aca="false">IF(AND($I905="",$J905=""),"",IF($J905&lt;&gt;"",$J905,IF(OR($R905="",$R905=0),"",ROUND($I905/$R905,2))))</f>
        <v/>
      </c>
      <c r="T905" s="24" t="str">
        <f aca="false">IF($N905="","",IFERROR(INDEX(VAT_Codes!$C:$C,MATCH($N905,VAT_Codes!$A:$A,0)),"")&amp;"")</f>
        <v/>
      </c>
      <c r="U905" s="26" t="n">
        <f aca="false">IF(OR($S905="",$T905="",$T905="None"),0,IF($T905="Output",-$S905,$S905))</f>
        <v>0</v>
      </c>
      <c r="V905" s="27" t="n">
        <f aca="false">IF($N905="",0,IFERROR(INDEX(VAT_Codes!$D:$D,MATCH($N905,VAT_Codes!$A:$A,0)),0))</f>
        <v>0</v>
      </c>
      <c r="W905" s="26" t="n">
        <f aca="false">IF($U905=0,0,IF(IFERROR(INDEX(VAT_Codes!$F:$F,MATCH($N905,VAT_Codes!$A:$A,0)),"N")="Y",$U905,IF($L905&lt;&gt;"",ROUND(ABS($L905)/IF(OR($R905="",$R905=0),1,$R905),2)*SIGN($U905),ROUND($U905*$V905,2))))</f>
        <v>0</v>
      </c>
      <c r="X905" s="24" t="str">
        <f aca="false">IF($N905="","",IFERROR(INDEX(VAT_Codes!$H:$H,MATCH($N905,VAT_Codes!$A:$A,0)),"")&amp;"")</f>
        <v/>
      </c>
      <c r="Y905" s="24" t="str">
        <f aca="false">IF($A905="","",(YEAR($A905)-YEAR(Settings!$C$8))*12+MONTH($A905)-MONTH(Settings!$C$8)+1)</f>
        <v/>
      </c>
      <c r="Z905" s="24" t="str">
        <f aca="false">IF(AND($C905="",$I905="",$J905=""),"",IF($N905="","NO VAT CODE",IF($T905="","UNKNOWN VAT CODE",IF($S905="","MISSING FX RATE",IF(OR($A905&lt;Settings!$C$8,$A905&gt;Settings!$C$9),"OUTSIDE PERIOD",IF(AND(IFERROR(INDEX(VAT_Codes!$E:$E,MATCH($N905,VAT_Codes!$A:$A,0)),"ANY")&lt;&gt;"ANY",$P905=""),"MISSING COUNTERPARTY COUNTRY",IF(AND(IFERROR(INDEX(VAT_Codes!$E:$E,MATCH($N905,VAT_Codes!$A:$A,0)),"ANY")&lt;&gt;"ANY",$P905&lt;&gt;IFERROR(INDEX(VAT_Codes!$E:$E,MATCH($N905,VAT_Codes!$A:$A,0)),"ANY")),"REGION MISMATCH","OK")))))))</f>
        <v/>
      </c>
    </row>
    <row r="906" customFormat="false" ht="15" hidden="false" customHeight="false" outlineLevel="0" collapsed="false">
      <c r="M906" s="24" t="str">
        <f aca="false">IF($C906="","",IFERROR(INDEX(Account_Mapping!$C:$C,MATCH($C906&amp;"",Account_Mapping!$A:$A,0))&amp;"",""))</f>
        <v/>
      </c>
      <c r="N906" s="24" t="str">
        <f aca="false">IF($K906&lt;&gt;"",$K906,$M906)</f>
        <v/>
      </c>
      <c r="O906" s="24" t="str">
        <f aca="false">IF($F906="","",IFERROR(INDEX(Counterparties!$C:$C,MATCH($F906&amp;"",Counterparties!$A:$A,0))&amp;"",""))</f>
        <v/>
      </c>
      <c r="P906" s="24" t="str">
        <f aca="false">IF($O906="","",IF($O906="CY","CY",IF(ISNUMBER(MATCH($O906,Lists!$A:$A,0)),"EU","3RD")))</f>
        <v/>
      </c>
      <c r="Q906" s="24" t="str">
        <f aca="false">IF($F906="","N",IFERROR(IF(INDEX(Counterparties!$E:$E,MATCH($F906&amp;"",Counterparties!$A:$A,0))="Y","Y","N"),"N"))</f>
        <v>N</v>
      </c>
      <c r="R906" s="25" t="n">
        <f aca="false">IF(OR($H906="",$H906="EUR"),1,IFERROR(INDEX(FX_Rates!$D:$D,MATCH($H906,FX_Rates!$A:$A,0)),""))</f>
        <v>1</v>
      </c>
      <c r="S906" s="26" t="str">
        <f aca="false">IF(AND($I906="",$J906=""),"",IF($J906&lt;&gt;"",$J906,IF(OR($R906="",$R906=0),"",ROUND($I906/$R906,2))))</f>
        <v/>
      </c>
      <c r="T906" s="24" t="str">
        <f aca="false">IF($N906="","",IFERROR(INDEX(VAT_Codes!$C:$C,MATCH($N906,VAT_Codes!$A:$A,0)),"")&amp;"")</f>
        <v/>
      </c>
      <c r="U906" s="26" t="n">
        <f aca="false">IF(OR($S906="",$T906="",$T906="None"),0,IF($T906="Output",-$S906,$S906))</f>
        <v>0</v>
      </c>
      <c r="V906" s="27" t="n">
        <f aca="false">IF($N906="",0,IFERROR(INDEX(VAT_Codes!$D:$D,MATCH($N906,VAT_Codes!$A:$A,0)),0))</f>
        <v>0</v>
      </c>
      <c r="W906" s="26" t="n">
        <f aca="false">IF($U906=0,0,IF(IFERROR(INDEX(VAT_Codes!$F:$F,MATCH($N906,VAT_Codes!$A:$A,0)),"N")="Y",$U906,IF($L906&lt;&gt;"",ROUND(ABS($L906)/IF(OR($R906="",$R906=0),1,$R906),2)*SIGN($U906),ROUND($U906*$V906,2))))</f>
        <v>0</v>
      </c>
      <c r="X906" s="24" t="str">
        <f aca="false">IF($N906="","",IFERROR(INDEX(VAT_Codes!$H:$H,MATCH($N906,VAT_Codes!$A:$A,0)),"")&amp;"")</f>
        <v/>
      </c>
      <c r="Y906" s="24" t="str">
        <f aca="false">IF($A906="","",(YEAR($A906)-YEAR(Settings!$C$8))*12+MONTH($A906)-MONTH(Settings!$C$8)+1)</f>
        <v/>
      </c>
      <c r="Z906" s="24" t="str">
        <f aca="false">IF(AND($C906="",$I906="",$J906=""),"",IF($N906="","NO VAT CODE",IF($T906="","UNKNOWN VAT CODE",IF($S906="","MISSING FX RATE",IF(OR($A906&lt;Settings!$C$8,$A906&gt;Settings!$C$9),"OUTSIDE PERIOD",IF(AND(IFERROR(INDEX(VAT_Codes!$E:$E,MATCH($N906,VAT_Codes!$A:$A,0)),"ANY")&lt;&gt;"ANY",$P906=""),"MISSING COUNTERPARTY COUNTRY",IF(AND(IFERROR(INDEX(VAT_Codes!$E:$E,MATCH($N906,VAT_Codes!$A:$A,0)),"ANY")&lt;&gt;"ANY",$P906&lt;&gt;IFERROR(INDEX(VAT_Codes!$E:$E,MATCH($N906,VAT_Codes!$A:$A,0)),"ANY")),"REGION MISMATCH","OK")))))))</f>
        <v/>
      </c>
    </row>
    <row r="907" customFormat="false" ht="15" hidden="false" customHeight="false" outlineLevel="0" collapsed="false">
      <c r="M907" s="24" t="str">
        <f aca="false">IF($C907="","",IFERROR(INDEX(Account_Mapping!$C:$C,MATCH($C907&amp;"",Account_Mapping!$A:$A,0))&amp;"",""))</f>
        <v/>
      </c>
      <c r="N907" s="24" t="str">
        <f aca="false">IF($K907&lt;&gt;"",$K907,$M907)</f>
        <v/>
      </c>
      <c r="O907" s="24" t="str">
        <f aca="false">IF($F907="","",IFERROR(INDEX(Counterparties!$C:$C,MATCH($F907&amp;"",Counterparties!$A:$A,0))&amp;"",""))</f>
        <v/>
      </c>
      <c r="P907" s="24" t="str">
        <f aca="false">IF($O907="","",IF($O907="CY","CY",IF(ISNUMBER(MATCH($O907,Lists!$A:$A,0)),"EU","3RD")))</f>
        <v/>
      </c>
      <c r="Q907" s="24" t="str">
        <f aca="false">IF($F907="","N",IFERROR(IF(INDEX(Counterparties!$E:$E,MATCH($F907&amp;"",Counterparties!$A:$A,0))="Y","Y","N"),"N"))</f>
        <v>N</v>
      </c>
      <c r="R907" s="25" t="n">
        <f aca="false">IF(OR($H907="",$H907="EUR"),1,IFERROR(INDEX(FX_Rates!$D:$D,MATCH($H907,FX_Rates!$A:$A,0)),""))</f>
        <v>1</v>
      </c>
      <c r="S907" s="26" t="str">
        <f aca="false">IF(AND($I907="",$J907=""),"",IF($J907&lt;&gt;"",$J907,IF(OR($R907="",$R907=0),"",ROUND($I907/$R907,2))))</f>
        <v/>
      </c>
      <c r="T907" s="24" t="str">
        <f aca="false">IF($N907="","",IFERROR(INDEX(VAT_Codes!$C:$C,MATCH($N907,VAT_Codes!$A:$A,0)),"")&amp;"")</f>
        <v/>
      </c>
      <c r="U907" s="26" t="n">
        <f aca="false">IF(OR($S907="",$T907="",$T907="None"),0,IF($T907="Output",-$S907,$S907))</f>
        <v>0</v>
      </c>
      <c r="V907" s="27" t="n">
        <f aca="false">IF($N907="",0,IFERROR(INDEX(VAT_Codes!$D:$D,MATCH($N907,VAT_Codes!$A:$A,0)),0))</f>
        <v>0</v>
      </c>
      <c r="W907" s="26" t="n">
        <f aca="false">IF($U907=0,0,IF(IFERROR(INDEX(VAT_Codes!$F:$F,MATCH($N907,VAT_Codes!$A:$A,0)),"N")="Y",$U907,IF($L907&lt;&gt;"",ROUND(ABS($L907)/IF(OR($R907="",$R907=0),1,$R907),2)*SIGN($U907),ROUND($U907*$V907,2))))</f>
        <v>0</v>
      </c>
      <c r="X907" s="24" t="str">
        <f aca="false">IF($N907="","",IFERROR(INDEX(VAT_Codes!$H:$H,MATCH($N907,VAT_Codes!$A:$A,0)),"")&amp;"")</f>
        <v/>
      </c>
      <c r="Y907" s="24" t="str">
        <f aca="false">IF($A907="","",(YEAR($A907)-YEAR(Settings!$C$8))*12+MONTH($A907)-MONTH(Settings!$C$8)+1)</f>
        <v/>
      </c>
      <c r="Z907" s="24" t="str">
        <f aca="false">IF(AND($C907="",$I907="",$J907=""),"",IF($N907="","NO VAT CODE",IF($T907="","UNKNOWN VAT CODE",IF($S907="","MISSING FX RATE",IF(OR($A907&lt;Settings!$C$8,$A907&gt;Settings!$C$9),"OUTSIDE PERIOD",IF(AND(IFERROR(INDEX(VAT_Codes!$E:$E,MATCH($N907,VAT_Codes!$A:$A,0)),"ANY")&lt;&gt;"ANY",$P907=""),"MISSING COUNTERPARTY COUNTRY",IF(AND(IFERROR(INDEX(VAT_Codes!$E:$E,MATCH($N907,VAT_Codes!$A:$A,0)),"ANY")&lt;&gt;"ANY",$P907&lt;&gt;IFERROR(INDEX(VAT_Codes!$E:$E,MATCH($N907,VAT_Codes!$A:$A,0)),"ANY")),"REGION MISMATCH","OK")))))))</f>
        <v/>
      </c>
    </row>
    <row r="908" customFormat="false" ht="15" hidden="false" customHeight="false" outlineLevel="0" collapsed="false">
      <c r="M908" s="24" t="str">
        <f aca="false">IF($C908="","",IFERROR(INDEX(Account_Mapping!$C:$C,MATCH($C908&amp;"",Account_Mapping!$A:$A,0))&amp;"",""))</f>
        <v/>
      </c>
      <c r="N908" s="24" t="str">
        <f aca="false">IF($K908&lt;&gt;"",$K908,$M908)</f>
        <v/>
      </c>
      <c r="O908" s="24" t="str">
        <f aca="false">IF($F908="","",IFERROR(INDEX(Counterparties!$C:$C,MATCH($F908&amp;"",Counterparties!$A:$A,0))&amp;"",""))</f>
        <v/>
      </c>
      <c r="P908" s="24" t="str">
        <f aca="false">IF($O908="","",IF($O908="CY","CY",IF(ISNUMBER(MATCH($O908,Lists!$A:$A,0)),"EU","3RD")))</f>
        <v/>
      </c>
      <c r="Q908" s="24" t="str">
        <f aca="false">IF($F908="","N",IFERROR(IF(INDEX(Counterparties!$E:$E,MATCH($F908&amp;"",Counterparties!$A:$A,0))="Y","Y","N"),"N"))</f>
        <v>N</v>
      </c>
      <c r="R908" s="25" t="n">
        <f aca="false">IF(OR($H908="",$H908="EUR"),1,IFERROR(INDEX(FX_Rates!$D:$D,MATCH($H908,FX_Rates!$A:$A,0)),""))</f>
        <v>1</v>
      </c>
      <c r="S908" s="26" t="str">
        <f aca="false">IF(AND($I908="",$J908=""),"",IF($J908&lt;&gt;"",$J908,IF(OR($R908="",$R908=0),"",ROUND($I908/$R908,2))))</f>
        <v/>
      </c>
      <c r="T908" s="24" t="str">
        <f aca="false">IF($N908="","",IFERROR(INDEX(VAT_Codes!$C:$C,MATCH($N908,VAT_Codes!$A:$A,0)),"")&amp;"")</f>
        <v/>
      </c>
      <c r="U908" s="26" t="n">
        <f aca="false">IF(OR($S908="",$T908="",$T908="None"),0,IF($T908="Output",-$S908,$S908))</f>
        <v>0</v>
      </c>
      <c r="V908" s="27" t="n">
        <f aca="false">IF($N908="",0,IFERROR(INDEX(VAT_Codes!$D:$D,MATCH($N908,VAT_Codes!$A:$A,0)),0))</f>
        <v>0</v>
      </c>
      <c r="W908" s="26" t="n">
        <f aca="false">IF($U908=0,0,IF(IFERROR(INDEX(VAT_Codes!$F:$F,MATCH($N908,VAT_Codes!$A:$A,0)),"N")="Y",$U908,IF($L908&lt;&gt;"",ROUND(ABS($L908)/IF(OR($R908="",$R908=0),1,$R908),2)*SIGN($U908),ROUND($U908*$V908,2))))</f>
        <v>0</v>
      </c>
      <c r="X908" s="24" t="str">
        <f aca="false">IF($N908="","",IFERROR(INDEX(VAT_Codes!$H:$H,MATCH($N908,VAT_Codes!$A:$A,0)),"")&amp;"")</f>
        <v/>
      </c>
      <c r="Y908" s="24" t="str">
        <f aca="false">IF($A908="","",(YEAR($A908)-YEAR(Settings!$C$8))*12+MONTH($A908)-MONTH(Settings!$C$8)+1)</f>
        <v/>
      </c>
      <c r="Z908" s="24" t="str">
        <f aca="false">IF(AND($C908="",$I908="",$J908=""),"",IF($N908="","NO VAT CODE",IF($T908="","UNKNOWN VAT CODE",IF($S908="","MISSING FX RATE",IF(OR($A908&lt;Settings!$C$8,$A908&gt;Settings!$C$9),"OUTSIDE PERIOD",IF(AND(IFERROR(INDEX(VAT_Codes!$E:$E,MATCH($N908,VAT_Codes!$A:$A,0)),"ANY")&lt;&gt;"ANY",$P908=""),"MISSING COUNTERPARTY COUNTRY",IF(AND(IFERROR(INDEX(VAT_Codes!$E:$E,MATCH($N908,VAT_Codes!$A:$A,0)),"ANY")&lt;&gt;"ANY",$P908&lt;&gt;IFERROR(INDEX(VAT_Codes!$E:$E,MATCH($N908,VAT_Codes!$A:$A,0)),"ANY")),"REGION MISMATCH","OK")))))))</f>
        <v/>
      </c>
    </row>
    <row r="909" customFormat="false" ht="15" hidden="false" customHeight="false" outlineLevel="0" collapsed="false">
      <c r="M909" s="24" t="str">
        <f aca="false">IF($C909="","",IFERROR(INDEX(Account_Mapping!$C:$C,MATCH($C909&amp;"",Account_Mapping!$A:$A,0))&amp;"",""))</f>
        <v/>
      </c>
      <c r="N909" s="24" t="str">
        <f aca="false">IF($K909&lt;&gt;"",$K909,$M909)</f>
        <v/>
      </c>
      <c r="O909" s="24" t="str">
        <f aca="false">IF($F909="","",IFERROR(INDEX(Counterparties!$C:$C,MATCH($F909&amp;"",Counterparties!$A:$A,0))&amp;"",""))</f>
        <v/>
      </c>
      <c r="P909" s="24" t="str">
        <f aca="false">IF($O909="","",IF($O909="CY","CY",IF(ISNUMBER(MATCH($O909,Lists!$A:$A,0)),"EU","3RD")))</f>
        <v/>
      </c>
      <c r="Q909" s="24" t="str">
        <f aca="false">IF($F909="","N",IFERROR(IF(INDEX(Counterparties!$E:$E,MATCH($F909&amp;"",Counterparties!$A:$A,0))="Y","Y","N"),"N"))</f>
        <v>N</v>
      </c>
      <c r="R909" s="25" t="n">
        <f aca="false">IF(OR($H909="",$H909="EUR"),1,IFERROR(INDEX(FX_Rates!$D:$D,MATCH($H909,FX_Rates!$A:$A,0)),""))</f>
        <v>1</v>
      </c>
      <c r="S909" s="26" t="str">
        <f aca="false">IF(AND($I909="",$J909=""),"",IF($J909&lt;&gt;"",$J909,IF(OR($R909="",$R909=0),"",ROUND($I909/$R909,2))))</f>
        <v/>
      </c>
      <c r="T909" s="24" t="str">
        <f aca="false">IF($N909="","",IFERROR(INDEX(VAT_Codes!$C:$C,MATCH($N909,VAT_Codes!$A:$A,0)),"")&amp;"")</f>
        <v/>
      </c>
      <c r="U909" s="26" t="n">
        <f aca="false">IF(OR($S909="",$T909="",$T909="None"),0,IF($T909="Output",-$S909,$S909))</f>
        <v>0</v>
      </c>
      <c r="V909" s="27" t="n">
        <f aca="false">IF($N909="",0,IFERROR(INDEX(VAT_Codes!$D:$D,MATCH($N909,VAT_Codes!$A:$A,0)),0))</f>
        <v>0</v>
      </c>
      <c r="W909" s="26" t="n">
        <f aca="false">IF($U909=0,0,IF(IFERROR(INDEX(VAT_Codes!$F:$F,MATCH($N909,VAT_Codes!$A:$A,0)),"N")="Y",$U909,IF($L909&lt;&gt;"",ROUND(ABS($L909)/IF(OR($R909="",$R909=0),1,$R909),2)*SIGN($U909),ROUND($U909*$V909,2))))</f>
        <v>0</v>
      </c>
      <c r="X909" s="24" t="str">
        <f aca="false">IF($N909="","",IFERROR(INDEX(VAT_Codes!$H:$H,MATCH($N909,VAT_Codes!$A:$A,0)),"")&amp;"")</f>
        <v/>
      </c>
      <c r="Y909" s="24" t="str">
        <f aca="false">IF($A909="","",(YEAR($A909)-YEAR(Settings!$C$8))*12+MONTH($A909)-MONTH(Settings!$C$8)+1)</f>
        <v/>
      </c>
      <c r="Z909" s="24" t="str">
        <f aca="false">IF(AND($C909="",$I909="",$J909=""),"",IF($N909="","NO VAT CODE",IF($T909="","UNKNOWN VAT CODE",IF($S909="","MISSING FX RATE",IF(OR($A909&lt;Settings!$C$8,$A909&gt;Settings!$C$9),"OUTSIDE PERIOD",IF(AND(IFERROR(INDEX(VAT_Codes!$E:$E,MATCH($N909,VAT_Codes!$A:$A,0)),"ANY")&lt;&gt;"ANY",$P909=""),"MISSING COUNTERPARTY COUNTRY",IF(AND(IFERROR(INDEX(VAT_Codes!$E:$E,MATCH($N909,VAT_Codes!$A:$A,0)),"ANY")&lt;&gt;"ANY",$P909&lt;&gt;IFERROR(INDEX(VAT_Codes!$E:$E,MATCH($N909,VAT_Codes!$A:$A,0)),"ANY")),"REGION MISMATCH","OK")))))))</f>
        <v/>
      </c>
    </row>
    <row r="910" customFormat="false" ht="15" hidden="false" customHeight="false" outlineLevel="0" collapsed="false">
      <c r="M910" s="24" t="str">
        <f aca="false">IF($C910="","",IFERROR(INDEX(Account_Mapping!$C:$C,MATCH($C910&amp;"",Account_Mapping!$A:$A,0))&amp;"",""))</f>
        <v/>
      </c>
      <c r="N910" s="24" t="str">
        <f aca="false">IF($K910&lt;&gt;"",$K910,$M910)</f>
        <v/>
      </c>
      <c r="O910" s="24" t="str">
        <f aca="false">IF($F910="","",IFERROR(INDEX(Counterparties!$C:$C,MATCH($F910&amp;"",Counterparties!$A:$A,0))&amp;"",""))</f>
        <v/>
      </c>
      <c r="P910" s="24" t="str">
        <f aca="false">IF($O910="","",IF($O910="CY","CY",IF(ISNUMBER(MATCH($O910,Lists!$A:$A,0)),"EU","3RD")))</f>
        <v/>
      </c>
      <c r="Q910" s="24" t="str">
        <f aca="false">IF($F910="","N",IFERROR(IF(INDEX(Counterparties!$E:$E,MATCH($F910&amp;"",Counterparties!$A:$A,0))="Y","Y","N"),"N"))</f>
        <v>N</v>
      </c>
      <c r="R910" s="25" t="n">
        <f aca="false">IF(OR($H910="",$H910="EUR"),1,IFERROR(INDEX(FX_Rates!$D:$D,MATCH($H910,FX_Rates!$A:$A,0)),""))</f>
        <v>1</v>
      </c>
      <c r="S910" s="26" t="str">
        <f aca="false">IF(AND($I910="",$J910=""),"",IF($J910&lt;&gt;"",$J910,IF(OR($R910="",$R910=0),"",ROUND($I910/$R910,2))))</f>
        <v/>
      </c>
      <c r="T910" s="24" t="str">
        <f aca="false">IF($N910="","",IFERROR(INDEX(VAT_Codes!$C:$C,MATCH($N910,VAT_Codes!$A:$A,0)),"")&amp;"")</f>
        <v/>
      </c>
      <c r="U910" s="26" t="n">
        <f aca="false">IF(OR($S910="",$T910="",$T910="None"),0,IF($T910="Output",-$S910,$S910))</f>
        <v>0</v>
      </c>
      <c r="V910" s="27" t="n">
        <f aca="false">IF($N910="",0,IFERROR(INDEX(VAT_Codes!$D:$D,MATCH($N910,VAT_Codes!$A:$A,0)),0))</f>
        <v>0</v>
      </c>
      <c r="W910" s="26" t="n">
        <f aca="false">IF($U910=0,0,IF(IFERROR(INDEX(VAT_Codes!$F:$F,MATCH($N910,VAT_Codes!$A:$A,0)),"N")="Y",$U910,IF($L910&lt;&gt;"",ROUND(ABS($L910)/IF(OR($R910="",$R910=0),1,$R910),2)*SIGN($U910),ROUND($U910*$V910,2))))</f>
        <v>0</v>
      </c>
      <c r="X910" s="24" t="str">
        <f aca="false">IF($N910="","",IFERROR(INDEX(VAT_Codes!$H:$H,MATCH($N910,VAT_Codes!$A:$A,0)),"")&amp;"")</f>
        <v/>
      </c>
      <c r="Y910" s="24" t="str">
        <f aca="false">IF($A910="","",(YEAR($A910)-YEAR(Settings!$C$8))*12+MONTH($A910)-MONTH(Settings!$C$8)+1)</f>
        <v/>
      </c>
      <c r="Z910" s="24" t="str">
        <f aca="false">IF(AND($C910="",$I910="",$J910=""),"",IF($N910="","NO VAT CODE",IF($T910="","UNKNOWN VAT CODE",IF($S910="","MISSING FX RATE",IF(OR($A910&lt;Settings!$C$8,$A910&gt;Settings!$C$9),"OUTSIDE PERIOD",IF(AND(IFERROR(INDEX(VAT_Codes!$E:$E,MATCH($N910,VAT_Codes!$A:$A,0)),"ANY")&lt;&gt;"ANY",$P910=""),"MISSING COUNTERPARTY COUNTRY",IF(AND(IFERROR(INDEX(VAT_Codes!$E:$E,MATCH($N910,VAT_Codes!$A:$A,0)),"ANY")&lt;&gt;"ANY",$P910&lt;&gt;IFERROR(INDEX(VAT_Codes!$E:$E,MATCH($N910,VAT_Codes!$A:$A,0)),"ANY")),"REGION MISMATCH","OK")))))))</f>
        <v/>
      </c>
    </row>
    <row r="911" customFormat="false" ht="15" hidden="false" customHeight="false" outlineLevel="0" collapsed="false">
      <c r="M911" s="24" t="str">
        <f aca="false">IF($C911="","",IFERROR(INDEX(Account_Mapping!$C:$C,MATCH($C911&amp;"",Account_Mapping!$A:$A,0))&amp;"",""))</f>
        <v/>
      </c>
      <c r="N911" s="24" t="str">
        <f aca="false">IF($K911&lt;&gt;"",$K911,$M911)</f>
        <v/>
      </c>
      <c r="O911" s="24" t="str">
        <f aca="false">IF($F911="","",IFERROR(INDEX(Counterparties!$C:$C,MATCH($F911&amp;"",Counterparties!$A:$A,0))&amp;"",""))</f>
        <v/>
      </c>
      <c r="P911" s="24" t="str">
        <f aca="false">IF($O911="","",IF($O911="CY","CY",IF(ISNUMBER(MATCH($O911,Lists!$A:$A,0)),"EU","3RD")))</f>
        <v/>
      </c>
      <c r="Q911" s="24" t="str">
        <f aca="false">IF($F911="","N",IFERROR(IF(INDEX(Counterparties!$E:$E,MATCH($F911&amp;"",Counterparties!$A:$A,0))="Y","Y","N"),"N"))</f>
        <v>N</v>
      </c>
      <c r="R911" s="25" t="n">
        <f aca="false">IF(OR($H911="",$H911="EUR"),1,IFERROR(INDEX(FX_Rates!$D:$D,MATCH($H911,FX_Rates!$A:$A,0)),""))</f>
        <v>1</v>
      </c>
      <c r="S911" s="26" t="str">
        <f aca="false">IF(AND($I911="",$J911=""),"",IF($J911&lt;&gt;"",$J911,IF(OR($R911="",$R911=0),"",ROUND($I911/$R911,2))))</f>
        <v/>
      </c>
      <c r="T911" s="24" t="str">
        <f aca="false">IF($N911="","",IFERROR(INDEX(VAT_Codes!$C:$C,MATCH($N911,VAT_Codes!$A:$A,0)),"")&amp;"")</f>
        <v/>
      </c>
      <c r="U911" s="26" t="n">
        <f aca="false">IF(OR($S911="",$T911="",$T911="None"),0,IF($T911="Output",-$S911,$S911))</f>
        <v>0</v>
      </c>
      <c r="V911" s="27" t="n">
        <f aca="false">IF($N911="",0,IFERROR(INDEX(VAT_Codes!$D:$D,MATCH($N911,VAT_Codes!$A:$A,0)),0))</f>
        <v>0</v>
      </c>
      <c r="W911" s="26" t="n">
        <f aca="false">IF($U911=0,0,IF(IFERROR(INDEX(VAT_Codes!$F:$F,MATCH($N911,VAT_Codes!$A:$A,0)),"N")="Y",$U911,IF($L911&lt;&gt;"",ROUND(ABS($L911)/IF(OR($R911="",$R911=0),1,$R911),2)*SIGN($U911),ROUND($U911*$V911,2))))</f>
        <v>0</v>
      </c>
      <c r="X911" s="24" t="str">
        <f aca="false">IF($N911="","",IFERROR(INDEX(VAT_Codes!$H:$H,MATCH($N911,VAT_Codes!$A:$A,0)),"")&amp;"")</f>
        <v/>
      </c>
      <c r="Y911" s="24" t="str">
        <f aca="false">IF($A911="","",(YEAR($A911)-YEAR(Settings!$C$8))*12+MONTH($A911)-MONTH(Settings!$C$8)+1)</f>
        <v/>
      </c>
      <c r="Z911" s="24" t="str">
        <f aca="false">IF(AND($C911="",$I911="",$J911=""),"",IF($N911="","NO VAT CODE",IF($T911="","UNKNOWN VAT CODE",IF($S911="","MISSING FX RATE",IF(OR($A911&lt;Settings!$C$8,$A911&gt;Settings!$C$9),"OUTSIDE PERIOD",IF(AND(IFERROR(INDEX(VAT_Codes!$E:$E,MATCH($N911,VAT_Codes!$A:$A,0)),"ANY")&lt;&gt;"ANY",$P911=""),"MISSING COUNTERPARTY COUNTRY",IF(AND(IFERROR(INDEX(VAT_Codes!$E:$E,MATCH($N911,VAT_Codes!$A:$A,0)),"ANY")&lt;&gt;"ANY",$P911&lt;&gt;IFERROR(INDEX(VAT_Codes!$E:$E,MATCH($N911,VAT_Codes!$A:$A,0)),"ANY")),"REGION MISMATCH","OK")))))))</f>
        <v/>
      </c>
    </row>
    <row r="912" customFormat="false" ht="15" hidden="false" customHeight="false" outlineLevel="0" collapsed="false">
      <c r="M912" s="24" t="str">
        <f aca="false">IF($C912="","",IFERROR(INDEX(Account_Mapping!$C:$C,MATCH($C912&amp;"",Account_Mapping!$A:$A,0))&amp;"",""))</f>
        <v/>
      </c>
      <c r="N912" s="24" t="str">
        <f aca="false">IF($K912&lt;&gt;"",$K912,$M912)</f>
        <v/>
      </c>
      <c r="O912" s="24" t="str">
        <f aca="false">IF($F912="","",IFERROR(INDEX(Counterparties!$C:$C,MATCH($F912&amp;"",Counterparties!$A:$A,0))&amp;"",""))</f>
        <v/>
      </c>
      <c r="P912" s="24" t="str">
        <f aca="false">IF($O912="","",IF($O912="CY","CY",IF(ISNUMBER(MATCH($O912,Lists!$A:$A,0)),"EU","3RD")))</f>
        <v/>
      </c>
      <c r="Q912" s="24" t="str">
        <f aca="false">IF($F912="","N",IFERROR(IF(INDEX(Counterparties!$E:$E,MATCH($F912&amp;"",Counterparties!$A:$A,0))="Y","Y","N"),"N"))</f>
        <v>N</v>
      </c>
      <c r="R912" s="25" t="n">
        <f aca="false">IF(OR($H912="",$H912="EUR"),1,IFERROR(INDEX(FX_Rates!$D:$D,MATCH($H912,FX_Rates!$A:$A,0)),""))</f>
        <v>1</v>
      </c>
      <c r="S912" s="26" t="str">
        <f aca="false">IF(AND($I912="",$J912=""),"",IF($J912&lt;&gt;"",$J912,IF(OR($R912="",$R912=0),"",ROUND($I912/$R912,2))))</f>
        <v/>
      </c>
      <c r="T912" s="24" t="str">
        <f aca="false">IF($N912="","",IFERROR(INDEX(VAT_Codes!$C:$C,MATCH($N912,VAT_Codes!$A:$A,0)),"")&amp;"")</f>
        <v/>
      </c>
      <c r="U912" s="26" t="n">
        <f aca="false">IF(OR($S912="",$T912="",$T912="None"),0,IF($T912="Output",-$S912,$S912))</f>
        <v>0</v>
      </c>
      <c r="V912" s="27" t="n">
        <f aca="false">IF($N912="",0,IFERROR(INDEX(VAT_Codes!$D:$D,MATCH($N912,VAT_Codes!$A:$A,0)),0))</f>
        <v>0</v>
      </c>
      <c r="W912" s="26" t="n">
        <f aca="false">IF($U912=0,0,IF(IFERROR(INDEX(VAT_Codes!$F:$F,MATCH($N912,VAT_Codes!$A:$A,0)),"N")="Y",$U912,IF($L912&lt;&gt;"",ROUND(ABS($L912)/IF(OR($R912="",$R912=0),1,$R912),2)*SIGN($U912),ROUND($U912*$V912,2))))</f>
        <v>0</v>
      </c>
      <c r="X912" s="24" t="str">
        <f aca="false">IF($N912="","",IFERROR(INDEX(VAT_Codes!$H:$H,MATCH($N912,VAT_Codes!$A:$A,0)),"")&amp;"")</f>
        <v/>
      </c>
      <c r="Y912" s="24" t="str">
        <f aca="false">IF($A912="","",(YEAR($A912)-YEAR(Settings!$C$8))*12+MONTH($A912)-MONTH(Settings!$C$8)+1)</f>
        <v/>
      </c>
      <c r="Z912" s="24" t="str">
        <f aca="false">IF(AND($C912="",$I912="",$J912=""),"",IF($N912="","NO VAT CODE",IF($T912="","UNKNOWN VAT CODE",IF($S912="","MISSING FX RATE",IF(OR($A912&lt;Settings!$C$8,$A912&gt;Settings!$C$9),"OUTSIDE PERIOD",IF(AND(IFERROR(INDEX(VAT_Codes!$E:$E,MATCH($N912,VAT_Codes!$A:$A,0)),"ANY")&lt;&gt;"ANY",$P912=""),"MISSING COUNTERPARTY COUNTRY",IF(AND(IFERROR(INDEX(VAT_Codes!$E:$E,MATCH($N912,VAT_Codes!$A:$A,0)),"ANY")&lt;&gt;"ANY",$P912&lt;&gt;IFERROR(INDEX(VAT_Codes!$E:$E,MATCH($N912,VAT_Codes!$A:$A,0)),"ANY")),"REGION MISMATCH","OK")))))))</f>
        <v/>
      </c>
    </row>
    <row r="913" customFormat="false" ht="15" hidden="false" customHeight="false" outlineLevel="0" collapsed="false">
      <c r="M913" s="24" t="str">
        <f aca="false">IF($C913="","",IFERROR(INDEX(Account_Mapping!$C:$C,MATCH($C913&amp;"",Account_Mapping!$A:$A,0))&amp;"",""))</f>
        <v/>
      </c>
      <c r="N913" s="24" t="str">
        <f aca="false">IF($K913&lt;&gt;"",$K913,$M913)</f>
        <v/>
      </c>
      <c r="O913" s="24" t="str">
        <f aca="false">IF($F913="","",IFERROR(INDEX(Counterparties!$C:$C,MATCH($F913&amp;"",Counterparties!$A:$A,0))&amp;"",""))</f>
        <v/>
      </c>
      <c r="P913" s="24" t="str">
        <f aca="false">IF($O913="","",IF($O913="CY","CY",IF(ISNUMBER(MATCH($O913,Lists!$A:$A,0)),"EU","3RD")))</f>
        <v/>
      </c>
      <c r="Q913" s="24" t="str">
        <f aca="false">IF($F913="","N",IFERROR(IF(INDEX(Counterparties!$E:$E,MATCH($F913&amp;"",Counterparties!$A:$A,0))="Y","Y","N"),"N"))</f>
        <v>N</v>
      </c>
      <c r="R913" s="25" t="n">
        <f aca="false">IF(OR($H913="",$H913="EUR"),1,IFERROR(INDEX(FX_Rates!$D:$D,MATCH($H913,FX_Rates!$A:$A,0)),""))</f>
        <v>1</v>
      </c>
      <c r="S913" s="26" t="str">
        <f aca="false">IF(AND($I913="",$J913=""),"",IF($J913&lt;&gt;"",$J913,IF(OR($R913="",$R913=0),"",ROUND($I913/$R913,2))))</f>
        <v/>
      </c>
      <c r="T913" s="24" t="str">
        <f aca="false">IF($N913="","",IFERROR(INDEX(VAT_Codes!$C:$C,MATCH($N913,VAT_Codes!$A:$A,0)),"")&amp;"")</f>
        <v/>
      </c>
      <c r="U913" s="26" t="n">
        <f aca="false">IF(OR($S913="",$T913="",$T913="None"),0,IF($T913="Output",-$S913,$S913))</f>
        <v>0</v>
      </c>
      <c r="V913" s="27" t="n">
        <f aca="false">IF($N913="",0,IFERROR(INDEX(VAT_Codes!$D:$D,MATCH($N913,VAT_Codes!$A:$A,0)),0))</f>
        <v>0</v>
      </c>
      <c r="W913" s="26" t="n">
        <f aca="false">IF($U913=0,0,IF(IFERROR(INDEX(VAT_Codes!$F:$F,MATCH($N913,VAT_Codes!$A:$A,0)),"N")="Y",$U913,IF($L913&lt;&gt;"",ROUND(ABS($L913)/IF(OR($R913="",$R913=0),1,$R913),2)*SIGN($U913),ROUND($U913*$V913,2))))</f>
        <v>0</v>
      </c>
      <c r="X913" s="24" t="str">
        <f aca="false">IF($N913="","",IFERROR(INDEX(VAT_Codes!$H:$H,MATCH($N913,VAT_Codes!$A:$A,0)),"")&amp;"")</f>
        <v/>
      </c>
      <c r="Y913" s="24" t="str">
        <f aca="false">IF($A913="","",(YEAR($A913)-YEAR(Settings!$C$8))*12+MONTH($A913)-MONTH(Settings!$C$8)+1)</f>
        <v/>
      </c>
      <c r="Z913" s="24" t="str">
        <f aca="false">IF(AND($C913="",$I913="",$J913=""),"",IF($N913="","NO VAT CODE",IF($T913="","UNKNOWN VAT CODE",IF($S913="","MISSING FX RATE",IF(OR($A913&lt;Settings!$C$8,$A913&gt;Settings!$C$9),"OUTSIDE PERIOD",IF(AND(IFERROR(INDEX(VAT_Codes!$E:$E,MATCH($N913,VAT_Codes!$A:$A,0)),"ANY")&lt;&gt;"ANY",$P913=""),"MISSING COUNTERPARTY COUNTRY",IF(AND(IFERROR(INDEX(VAT_Codes!$E:$E,MATCH($N913,VAT_Codes!$A:$A,0)),"ANY")&lt;&gt;"ANY",$P913&lt;&gt;IFERROR(INDEX(VAT_Codes!$E:$E,MATCH($N913,VAT_Codes!$A:$A,0)),"ANY")),"REGION MISMATCH","OK")))))))</f>
        <v/>
      </c>
    </row>
    <row r="914" customFormat="false" ht="15" hidden="false" customHeight="false" outlineLevel="0" collapsed="false">
      <c r="M914" s="24" t="str">
        <f aca="false">IF($C914="","",IFERROR(INDEX(Account_Mapping!$C:$C,MATCH($C914&amp;"",Account_Mapping!$A:$A,0))&amp;"",""))</f>
        <v/>
      </c>
      <c r="N914" s="24" t="str">
        <f aca="false">IF($K914&lt;&gt;"",$K914,$M914)</f>
        <v/>
      </c>
      <c r="O914" s="24" t="str">
        <f aca="false">IF($F914="","",IFERROR(INDEX(Counterparties!$C:$C,MATCH($F914&amp;"",Counterparties!$A:$A,0))&amp;"",""))</f>
        <v/>
      </c>
      <c r="P914" s="24" t="str">
        <f aca="false">IF($O914="","",IF($O914="CY","CY",IF(ISNUMBER(MATCH($O914,Lists!$A:$A,0)),"EU","3RD")))</f>
        <v/>
      </c>
      <c r="Q914" s="24" t="str">
        <f aca="false">IF($F914="","N",IFERROR(IF(INDEX(Counterparties!$E:$E,MATCH($F914&amp;"",Counterparties!$A:$A,0))="Y","Y","N"),"N"))</f>
        <v>N</v>
      </c>
      <c r="R914" s="25" t="n">
        <f aca="false">IF(OR($H914="",$H914="EUR"),1,IFERROR(INDEX(FX_Rates!$D:$D,MATCH($H914,FX_Rates!$A:$A,0)),""))</f>
        <v>1</v>
      </c>
      <c r="S914" s="26" t="str">
        <f aca="false">IF(AND($I914="",$J914=""),"",IF($J914&lt;&gt;"",$J914,IF(OR($R914="",$R914=0),"",ROUND($I914/$R914,2))))</f>
        <v/>
      </c>
      <c r="T914" s="24" t="str">
        <f aca="false">IF($N914="","",IFERROR(INDEX(VAT_Codes!$C:$C,MATCH($N914,VAT_Codes!$A:$A,0)),"")&amp;"")</f>
        <v/>
      </c>
      <c r="U914" s="26" t="n">
        <f aca="false">IF(OR($S914="",$T914="",$T914="None"),0,IF($T914="Output",-$S914,$S914))</f>
        <v>0</v>
      </c>
      <c r="V914" s="27" t="n">
        <f aca="false">IF($N914="",0,IFERROR(INDEX(VAT_Codes!$D:$D,MATCH($N914,VAT_Codes!$A:$A,0)),0))</f>
        <v>0</v>
      </c>
      <c r="W914" s="26" t="n">
        <f aca="false">IF($U914=0,0,IF(IFERROR(INDEX(VAT_Codes!$F:$F,MATCH($N914,VAT_Codes!$A:$A,0)),"N")="Y",$U914,IF($L914&lt;&gt;"",ROUND(ABS($L914)/IF(OR($R914="",$R914=0),1,$R914),2)*SIGN($U914),ROUND($U914*$V914,2))))</f>
        <v>0</v>
      </c>
      <c r="X914" s="24" t="str">
        <f aca="false">IF($N914="","",IFERROR(INDEX(VAT_Codes!$H:$H,MATCH($N914,VAT_Codes!$A:$A,0)),"")&amp;"")</f>
        <v/>
      </c>
      <c r="Y914" s="24" t="str">
        <f aca="false">IF($A914="","",(YEAR($A914)-YEAR(Settings!$C$8))*12+MONTH($A914)-MONTH(Settings!$C$8)+1)</f>
        <v/>
      </c>
      <c r="Z914" s="24" t="str">
        <f aca="false">IF(AND($C914="",$I914="",$J914=""),"",IF($N914="","NO VAT CODE",IF($T914="","UNKNOWN VAT CODE",IF($S914="","MISSING FX RATE",IF(OR($A914&lt;Settings!$C$8,$A914&gt;Settings!$C$9),"OUTSIDE PERIOD",IF(AND(IFERROR(INDEX(VAT_Codes!$E:$E,MATCH($N914,VAT_Codes!$A:$A,0)),"ANY")&lt;&gt;"ANY",$P914=""),"MISSING COUNTERPARTY COUNTRY",IF(AND(IFERROR(INDEX(VAT_Codes!$E:$E,MATCH($N914,VAT_Codes!$A:$A,0)),"ANY")&lt;&gt;"ANY",$P914&lt;&gt;IFERROR(INDEX(VAT_Codes!$E:$E,MATCH($N914,VAT_Codes!$A:$A,0)),"ANY")),"REGION MISMATCH","OK")))))))</f>
        <v/>
      </c>
    </row>
    <row r="915" customFormat="false" ht="15" hidden="false" customHeight="false" outlineLevel="0" collapsed="false">
      <c r="M915" s="24" t="str">
        <f aca="false">IF($C915="","",IFERROR(INDEX(Account_Mapping!$C:$C,MATCH($C915&amp;"",Account_Mapping!$A:$A,0))&amp;"",""))</f>
        <v/>
      </c>
      <c r="N915" s="24" t="str">
        <f aca="false">IF($K915&lt;&gt;"",$K915,$M915)</f>
        <v/>
      </c>
      <c r="O915" s="24" t="str">
        <f aca="false">IF($F915="","",IFERROR(INDEX(Counterparties!$C:$C,MATCH($F915&amp;"",Counterparties!$A:$A,0))&amp;"",""))</f>
        <v/>
      </c>
      <c r="P915" s="24" t="str">
        <f aca="false">IF($O915="","",IF($O915="CY","CY",IF(ISNUMBER(MATCH($O915,Lists!$A:$A,0)),"EU","3RD")))</f>
        <v/>
      </c>
      <c r="Q915" s="24" t="str">
        <f aca="false">IF($F915="","N",IFERROR(IF(INDEX(Counterparties!$E:$E,MATCH($F915&amp;"",Counterparties!$A:$A,0))="Y","Y","N"),"N"))</f>
        <v>N</v>
      </c>
      <c r="R915" s="25" t="n">
        <f aca="false">IF(OR($H915="",$H915="EUR"),1,IFERROR(INDEX(FX_Rates!$D:$D,MATCH($H915,FX_Rates!$A:$A,0)),""))</f>
        <v>1</v>
      </c>
      <c r="S915" s="26" t="str">
        <f aca="false">IF(AND($I915="",$J915=""),"",IF($J915&lt;&gt;"",$J915,IF(OR($R915="",$R915=0),"",ROUND($I915/$R915,2))))</f>
        <v/>
      </c>
      <c r="T915" s="24" t="str">
        <f aca="false">IF($N915="","",IFERROR(INDEX(VAT_Codes!$C:$C,MATCH($N915,VAT_Codes!$A:$A,0)),"")&amp;"")</f>
        <v/>
      </c>
      <c r="U915" s="26" t="n">
        <f aca="false">IF(OR($S915="",$T915="",$T915="None"),0,IF($T915="Output",-$S915,$S915))</f>
        <v>0</v>
      </c>
      <c r="V915" s="27" t="n">
        <f aca="false">IF($N915="",0,IFERROR(INDEX(VAT_Codes!$D:$D,MATCH($N915,VAT_Codes!$A:$A,0)),0))</f>
        <v>0</v>
      </c>
      <c r="W915" s="26" t="n">
        <f aca="false">IF($U915=0,0,IF(IFERROR(INDEX(VAT_Codes!$F:$F,MATCH($N915,VAT_Codes!$A:$A,0)),"N")="Y",$U915,IF($L915&lt;&gt;"",ROUND(ABS($L915)/IF(OR($R915="",$R915=0),1,$R915),2)*SIGN($U915),ROUND($U915*$V915,2))))</f>
        <v>0</v>
      </c>
      <c r="X915" s="24" t="str">
        <f aca="false">IF($N915="","",IFERROR(INDEX(VAT_Codes!$H:$H,MATCH($N915,VAT_Codes!$A:$A,0)),"")&amp;"")</f>
        <v/>
      </c>
      <c r="Y915" s="24" t="str">
        <f aca="false">IF($A915="","",(YEAR($A915)-YEAR(Settings!$C$8))*12+MONTH($A915)-MONTH(Settings!$C$8)+1)</f>
        <v/>
      </c>
      <c r="Z915" s="24" t="str">
        <f aca="false">IF(AND($C915="",$I915="",$J915=""),"",IF($N915="","NO VAT CODE",IF($T915="","UNKNOWN VAT CODE",IF($S915="","MISSING FX RATE",IF(OR($A915&lt;Settings!$C$8,$A915&gt;Settings!$C$9),"OUTSIDE PERIOD",IF(AND(IFERROR(INDEX(VAT_Codes!$E:$E,MATCH($N915,VAT_Codes!$A:$A,0)),"ANY")&lt;&gt;"ANY",$P915=""),"MISSING COUNTERPARTY COUNTRY",IF(AND(IFERROR(INDEX(VAT_Codes!$E:$E,MATCH($N915,VAT_Codes!$A:$A,0)),"ANY")&lt;&gt;"ANY",$P915&lt;&gt;IFERROR(INDEX(VAT_Codes!$E:$E,MATCH($N915,VAT_Codes!$A:$A,0)),"ANY")),"REGION MISMATCH","OK")))))))</f>
        <v/>
      </c>
    </row>
    <row r="916" customFormat="false" ht="15" hidden="false" customHeight="false" outlineLevel="0" collapsed="false">
      <c r="M916" s="24" t="str">
        <f aca="false">IF($C916="","",IFERROR(INDEX(Account_Mapping!$C:$C,MATCH($C916&amp;"",Account_Mapping!$A:$A,0))&amp;"",""))</f>
        <v/>
      </c>
      <c r="N916" s="24" t="str">
        <f aca="false">IF($K916&lt;&gt;"",$K916,$M916)</f>
        <v/>
      </c>
      <c r="O916" s="24" t="str">
        <f aca="false">IF($F916="","",IFERROR(INDEX(Counterparties!$C:$C,MATCH($F916&amp;"",Counterparties!$A:$A,0))&amp;"",""))</f>
        <v/>
      </c>
      <c r="P916" s="24" t="str">
        <f aca="false">IF($O916="","",IF($O916="CY","CY",IF(ISNUMBER(MATCH($O916,Lists!$A:$A,0)),"EU","3RD")))</f>
        <v/>
      </c>
      <c r="Q916" s="24" t="str">
        <f aca="false">IF($F916="","N",IFERROR(IF(INDEX(Counterparties!$E:$E,MATCH($F916&amp;"",Counterparties!$A:$A,0))="Y","Y","N"),"N"))</f>
        <v>N</v>
      </c>
      <c r="R916" s="25" t="n">
        <f aca="false">IF(OR($H916="",$H916="EUR"),1,IFERROR(INDEX(FX_Rates!$D:$D,MATCH($H916,FX_Rates!$A:$A,0)),""))</f>
        <v>1</v>
      </c>
      <c r="S916" s="26" t="str">
        <f aca="false">IF(AND($I916="",$J916=""),"",IF($J916&lt;&gt;"",$J916,IF(OR($R916="",$R916=0),"",ROUND($I916/$R916,2))))</f>
        <v/>
      </c>
      <c r="T916" s="24" t="str">
        <f aca="false">IF($N916="","",IFERROR(INDEX(VAT_Codes!$C:$C,MATCH($N916,VAT_Codes!$A:$A,0)),"")&amp;"")</f>
        <v/>
      </c>
      <c r="U916" s="26" t="n">
        <f aca="false">IF(OR($S916="",$T916="",$T916="None"),0,IF($T916="Output",-$S916,$S916))</f>
        <v>0</v>
      </c>
      <c r="V916" s="27" t="n">
        <f aca="false">IF($N916="",0,IFERROR(INDEX(VAT_Codes!$D:$D,MATCH($N916,VAT_Codes!$A:$A,0)),0))</f>
        <v>0</v>
      </c>
      <c r="W916" s="26" t="n">
        <f aca="false">IF($U916=0,0,IF(IFERROR(INDEX(VAT_Codes!$F:$F,MATCH($N916,VAT_Codes!$A:$A,0)),"N")="Y",$U916,IF($L916&lt;&gt;"",ROUND(ABS($L916)/IF(OR($R916="",$R916=0),1,$R916),2)*SIGN($U916),ROUND($U916*$V916,2))))</f>
        <v>0</v>
      </c>
      <c r="X916" s="24" t="str">
        <f aca="false">IF($N916="","",IFERROR(INDEX(VAT_Codes!$H:$H,MATCH($N916,VAT_Codes!$A:$A,0)),"")&amp;"")</f>
        <v/>
      </c>
      <c r="Y916" s="24" t="str">
        <f aca="false">IF($A916="","",(YEAR($A916)-YEAR(Settings!$C$8))*12+MONTH($A916)-MONTH(Settings!$C$8)+1)</f>
        <v/>
      </c>
      <c r="Z916" s="24" t="str">
        <f aca="false">IF(AND($C916="",$I916="",$J916=""),"",IF($N916="","NO VAT CODE",IF($T916="","UNKNOWN VAT CODE",IF($S916="","MISSING FX RATE",IF(OR($A916&lt;Settings!$C$8,$A916&gt;Settings!$C$9),"OUTSIDE PERIOD",IF(AND(IFERROR(INDEX(VAT_Codes!$E:$E,MATCH($N916,VAT_Codes!$A:$A,0)),"ANY")&lt;&gt;"ANY",$P916=""),"MISSING COUNTERPARTY COUNTRY",IF(AND(IFERROR(INDEX(VAT_Codes!$E:$E,MATCH($N916,VAT_Codes!$A:$A,0)),"ANY")&lt;&gt;"ANY",$P916&lt;&gt;IFERROR(INDEX(VAT_Codes!$E:$E,MATCH($N916,VAT_Codes!$A:$A,0)),"ANY")),"REGION MISMATCH","OK")))))))</f>
        <v/>
      </c>
    </row>
    <row r="917" customFormat="false" ht="15" hidden="false" customHeight="false" outlineLevel="0" collapsed="false">
      <c r="M917" s="24" t="str">
        <f aca="false">IF($C917="","",IFERROR(INDEX(Account_Mapping!$C:$C,MATCH($C917&amp;"",Account_Mapping!$A:$A,0))&amp;"",""))</f>
        <v/>
      </c>
      <c r="N917" s="24" t="str">
        <f aca="false">IF($K917&lt;&gt;"",$K917,$M917)</f>
        <v/>
      </c>
      <c r="O917" s="24" t="str">
        <f aca="false">IF($F917="","",IFERROR(INDEX(Counterparties!$C:$C,MATCH($F917&amp;"",Counterparties!$A:$A,0))&amp;"",""))</f>
        <v/>
      </c>
      <c r="P917" s="24" t="str">
        <f aca="false">IF($O917="","",IF($O917="CY","CY",IF(ISNUMBER(MATCH($O917,Lists!$A:$A,0)),"EU","3RD")))</f>
        <v/>
      </c>
      <c r="Q917" s="24" t="str">
        <f aca="false">IF($F917="","N",IFERROR(IF(INDEX(Counterparties!$E:$E,MATCH($F917&amp;"",Counterparties!$A:$A,0))="Y","Y","N"),"N"))</f>
        <v>N</v>
      </c>
      <c r="R917" s="25" t="n">
        <f aca="false">IF(OR($H917="",$H917="EUR"),1,IFERROR(INDEX(FX_Rates!$D:$D,MATCH($H917,FX_Rates!$A:$A,0)),""))</f>
        <v>1</v>
      </c>
      <c r="S917" s="26" t="str">
        <f aca="false">IF(AND($I917="",$J917=""),"",IF($J917&lt;&gt;"",$J917,IF(OR($R917="",$R917=0),"",ROUND($I917/$R917,2))))</f>
        <v/>
      </c>
      <c r="T917" s="24" t="str">
        <f aca="false">IF($N917="","",IFERROR(INDEX(VAT_Codes!$C:$C,MATCH($N917,VAT_Codes!$A:$A,0)),"")&amp;"")</f>
        <v/>
      </c>
      <c r="U917" s="26" t="n">
        <f aca="false">IF(OR($S917="",$T917="",$T917="None"),0,IF($T917="Output",-$S917,$S917))</f>
        <v>0</v>
      </c>
      <c r="V917" s="27" t="n">
        <f aca="false">IF($N917="",0,IFERROR(INDEX(VAT_Codes!$D:$D,MATCH($N917,VAT_Codes!$A:$A,0)),0))</f>
        <v>0</v>
      </c>
      <c r="W917" s="26" t="n">
        <f aca="false">IF($U917=0,0,IF(IFERROR(INDEX(VAT_Codes!$F:$F,MATCH($N917,VAT_Codes!$A:$A,0)),"N")="Y",$U917,IF($L917&lt;&gt;"",ROUND(ABS($L917)/IF(OR($R917="",$R917=0),1,$R917),2)*SIGN($U917),ROUND($U917*$V917,2))))</f>
        <v>0</v>
      </c>
      <c r="X917" s="24" t="str">
        <f aca="false">IF($N917="","",IFERROR(INDEX(VAT_Codes!$H:$H,MATCH($N917,VAT_Codes!$A:$A,0)),"")&amp;"")</f>
        <v/>
      </c>
      <c r="Y917" s="24" t="str">
        <f aca="false">IF($A917="","",(YEAR($A917)-YEAR(Settings!$C$8))*12+MONTH($A917)-MONTH(Settings!$C$8)+1)</f>
        <v/>
      </c>
      <c r="Z917" s="24" t="str">
        <f aca="false">IF(AND($C917="",$I917="",$J917=""),"",IF($N917="","NO VAT CODE",IF($T917="","UNKNOWN VAT CODE",IF($S917="","MISSING FX RATE",IF(OR($A917&lt;Settings!$C$8,$A917&gt;Settings!$C$9),"OUTSIDE PERIOD",IF(AND(IFERROR(INDEX(VAT_Codes!$E:$E,MATCH($N917,VAT_Codes!$A:$A,0)),"ANY")&lt;&gt;"ANY",$P917=""),"MISSING COUNTERPARTY COUNTRY",IF(AND(IFERROR(INDEX(VAT_Codes!$E:$E,MATCH($N917,VAT_Codes!$A:$A,0)),"ANY")&lt;&gt;"ANY",$P917&lt;&gt;IFERROR(INDEX(VAT_Codes!$E:$E,MATCH($N917,VAT_Codes!$A:$A,0)),"ANY")),"REGION MISMATCH","OK")))))))</f>
        <v/>
      </c>
    </row>
    <row r="918" customFormat="false" ht="15" hidden="false" customHeight="false" outlineLevel="0" collapsed="false">
      <c r="M918" s="24" t="str">
        <f aca="false">IF($C918="","",IFERROR(INDEX(Account_Mapping!$C:$C,MATCH($C918&amp;"",Account_Mapping!$A:$A,0))&amp;"",""))</f>
        <v/>
      </c>
      <c r="N918" s="24" t="str">
        <f aca="false">IF($K918&lt;&gt;"",$K918,$M918)</f>
        <v/>
      </c>
      <c r="O918" s="24" t="str">
        <f aca="false">IF($F918="","",IFERROR(INDEX(Counterparties!$C:$C,MATCH($F918&amp;"",Counterparties!$A:$A,0))&amp;"",""))</f>
        <v/>
      </c>
      <c r="P918" s="24" t="str">
        <f aca="false">IF($O918="","",IF($O918="CY","CY",IF(ISNUMBER(MATCH($O918,Lists!$A:$A,0)),"EU","3RD")))</f>
        <v/>
      </c>
      <c r="Q918" s="24" t="str">
        <f aca="false">IF($F918="","N",IFERROR(IF(INDEX(Counterparties!$E:$E,MATCH($F918&amp;"",Counterparties!$A:$A,0))="Y","Y","N"),"N"))</f>
        <v>N</v>
      </c>
      <c r="R918" s="25" t="n">
        <f aca="false">IF(OR($H918="",$H918="EUR"),1,IFERROR(INDEX(FX_Rates!$D:$D,MATCH($H918,FX_Rates!$A:$A,0)),""))</f>
        <v>1</v>
      </c>
      <c r="S918" s="26" t="str">
        <f aca="false">IF(AND($I918="",$J918=""),"",IF($J918&lt;&gt;"",$J918,IF(OR($R918="",$R918=0),"",ROUND($I918/$R918,2))))</f>
        <v/>
      </c>
      <c r="T918" s="24" t="str">
        <f aca="false">IF($N918="","",IFERROR(INDEX(VAT_Codes!$C:$C,MATCH($N918,VAT_Codes!$A:$A,0)),"")&amp;"")</f>
        <v/>
      </c>
      <c r="U918" s="26" t="n">
        <f aca="false">IF(OR($S918="",$T918="",$T918="None"),0,IF($T918="Output",-$S918,$S918))</f>
        <v>0</v>
      </c>
      <c r="V918" s="27" t="n">
        <f aca="false">IF($N918="",0,IFERROR(INDEX(VAT_Codes!$D:$D,MATCH($N918,VAT_Codes!$A:$A,0)),0))</f>
        <v>0</v>
      </c>
      <c r="W918" s="26" t="n">
        <f aca="false">IF($U918=0,0,IF(IFERROR(INDEX(VAT_Codes!$F:$F,MATCH($N918,VAT_Codes!$A:$A,0)),"N")="Y",$U918,IF($L918&lt;&gt;"",ROUND(ABS($L918)/IF(OR($R918="",$R918=0),1,$R918),2)*SIGN($U918),ROUND($U918*$V918,2))))</f>
        <v>0</v>
      </c>
      <c r="X918" s="24" t="str">
        <f aca="false">IF($N918="","",IFERROR(INDEX(VAT_Codes!$H:$H,MATCH($N918,VAT_Codes!$A:$A,0)),"")&amp;"")</f>
        <v/>
      </c>
      <c r="Y918" s="24" t="str">
        <f aca="false">IF($A918="","",(YEAR($A918)-YEAR(Settings!$C$8))*12+MONTH($A918)-MONTH(Settings!$C$8)+1)</f>
        <v/>
      </c>
      <c r="Z918" s="24" t="str">
        <f aca="false">IF(AND($C918="",$I918="",$J918=""),"",IF($N918="","NO VAT CODE",IF($T918="","UNKNOWN VAT CODE",IF($S918="","MISSING FX RATE",IF(OR($A918&lt;Settings!$C$8,$A918&gt;Settings!$C$9),"OUTSIDE PERIOD",IF(AND(IFERROR(INDEX(VAT_Codes!$E:$E,MATCH($N918,VAT_Codes!$A:$A,0)),"ANY")&lt;&gt;"ANY",$P918=""),"MISSING COUNTERPARTY COUNTRY",IF(AND(IFERROR(INDEX(VAT_Codes!$E:$E,MATCH($N918,VAT_Codes!$A:$A,0)),"ANY")&lt;&gt;"ANY",$P918&lt;&gt;IFERROR(INDEX(VAT_Codes!$E:$E,MATCH($N918,VAT_Codes!$A:$A,0)),"ANY")),"REGION MISMATCH","OK")))))))</f>
        <v/>
      </c>
    </row>
    <row r="919" customFormat="false" ht="15" hidden="false" customHeight="false" outlineLevel="0" collapsed="false">
      <c r="M919" s="24" t="str">
        <f aca="false">IF($C919="","",IFERROR(INDEX(Account_Mapping!$C:$C,MATCH($C919&amp;"",Account_Mapping!$A:$A,0))&amp;"",""))</f>
        <v/>
      </c>
      <c r="N919" s="24" t="str">
        <f aca="false">IF($K919&lt;&gt;"",$K919,$M919)</f>
        <v/>
      </c>
      <c r="O919" s="24" t="str">
        <f aca="false">IF($F919="","",IFERROR(INDEX(Counterparties!$C:$C,MATCH($F919&amp;"",Counterparties!$A:$A,0))&amp;"",""))</f>
        <v/>
      </c>
      <c r="P919" s="24" t="str">
        <f aca="false">IF($O919="","",IF($O919="CY","CY",IF(ISNUMBER(MATCH($O919,Lists!$A:$A,0)),"EU","3RD")))</f>
        <v/>
      </c>
      <c r="Q919" s="24" t="str">
        <f aca="false">IF($F919="","N",IFERROR(IF(INDEX(Counterparties!$E:$E,MATCH($F919&amp;"",Counterparties!$A:$A,0))="Y","Y","N"),"N"))</f>
        <v>N</v>
      </c>
      <c r="R919" s="25" t="n">
        <f aca="false">IF(OR($H919="",$H919="EUR"),1,IFERROR(INDEX(FX_Rates!$D:$D,MATCH($H919,FX_Rates!$A:$A,0)),""))</f>
        <v>1</v>
      </c>
      <c r="S919" s="26" t="str">
        <f aca="false">IF(AND($I919="",$J919=""),"",IF($J919&lt;&gt;"",$J919,IF(OR($R919="",$R919=0),"",ROUND($I919/$R919,2))))</f>
        <v/>
      </c>
      <c r="T919" s="24" t="str">
        <f aca="false">IF($N919="","",IFERROR(INDEX(VAT_Codes!$C:$C,MATCH($N919,VAT_Codes!$A:$A,0)),"")&amp;"")</f>
        <v/>
      </c>
      <c r="U919" s="26" t="n">
        <f aca="false">IF(OR($S919="",$T919="",$T919="None"),0,IF($T919="Output",-$S919,$S919))</f>
        <v>0</v>
      </c>
      <c r="V919" s="27" t="n">
        <f aca="false">IF($N919="",0,IFERROR(INDEX(VAT_Codes!$D:$D,MATCH($N919,VAT_Codes!$A:$A,0)),0))</f>
        <v>0</v>
      </c>
      <c r="W919" s="26" t="n">
        <f aca="false">IF($U919=0,0,IF(IFERROR(INDEX(VAT_Codes!$F:$F,MATCH($N919,VAT_Codes!$A:$A,0)),"N")="Y",$U919,IF($L919&lt;&gt;"",ROUND(ABS($L919)/IF(OR($R919="",$R919=0),1,$R919),2)*SIGN($U919),ROUND($U919*$V919,2))))</f>
        <v>0</v>
      </c>
      <c r="X919" s="24" t="str">
        <f aca="false">IF($N919="","",IFERROR(INDEX(VAT_Codes!$H:$H,MATCH($N919,VAT_Codes!$A:$A,0)),"")&amp;"")</f>
        <v/>
      </c>
      <c r="Y919" s="24" t="str">
        <f aca="false">IF($A919="","",(YEAR($A919)-YEAR(Settings!$C$8))*12+MONTH($A919)-MONTH(Settings!$C$8)+1)</f>
        <v/>
      </c>
      <c r="Z919" s="24" t="str">
        <f aca="false">IF(AND($C919="",$I919="",$J919=""),"",IF($N919="","NO VAT CODE",IF($T919="","UNKNOWN VAT CODE",IF($S919="","MISSING FX RATE",IF(OR($A919&lt;Settings!$C$8,$A919&gt;Settings!$C$9),"OUTSIDE PERIOD",IF(AND(IFERROR(INDEX(VAT_Codes!$E:$E,MATCH($N919,VAT_Codes!$A:$A,0)),"ANY")&lt;&gt;"ANY",$P919=""),"MISSING COUNTERPARTY COUNTRY",IF(AND(IFERROR(INDEX(VAT_Codes!$E:$E,MATCH($N919,VAT_Codes!$A:$A,0)),"ANY")&lt;&gt;"ANY",$P919&lt;&gt;IFERROR(INDEX(VAT_Codes!$E:$E,MATCH($N919,VAT_Codes!$A:$A,0)),"ANY")),"REGION MISMATCH","OK")))))))</f>
        <v/>
      </c>
    </row>
    <row r="920" customFormat="false" ht="15" hidden="false" customHeight="false" outlineLevel="0" collapsed="false">
      <c r="M920" s="24" t="str">
        <f aca="false">IF($C920="","",IFERROR(INDEX(Account_Mapping!$C:$C,MATCH($C920&amp;"",Account_Mapping!$A:$A,0))&amp;"",""))</f>
        <v/>
      </c>
      <c r="N920" s="24" t="str">
        <f aca="false">IF($K920&lt;&gt;"",$K920,$M920)</f>
        <v/>
      </c>
      <c r="O920" s="24" t="str">
        <f aca="false">IF($F920="","",IFERROR(INDEX(Counterparties!$C:$C,MATCH($F920&amp;"",Counterparties!$A:$A,0))&amp;"",""))</f>
        <v/>
      </c>
      <c r="P920" s="24" t="str">
        <f aca="false">IF($O920="","",IF($O920="CY","CY",IF(ISNUMBER(MATCH($O920,Lists!$A:$A,0)),"EU","3RD")))</f>
        <v/>
      </c>
      <c r="Q920" s="24" t="str">
        <f aca="false">IF($F920="","N",IFERROR(IF(INDEX(Counterparties!$E:$E,MATCH($F920&amp;"",Counterparties!$A:$A,0))="Y","Y","N"),"N"))</f>
        <v>N</v>
      </c>
      <c r="R920" s="25" t="n">
        <f aca="false">IF(OR($H920="",$H920="EUR"),1,IFERROR(INDEX(FX_Rates!$D:$D,MATCH($H920,FX_Rates!$A:$A,0)),""))</f>
        <v>1</v>
      </c>
      <c r="S920" s="26" t="str">
        <f aca="false">IF(AND($I920="",$J920=""),"",IF($J920&lt;&gt;"",$J920,IF(OR($R920="",$R920=0),"",ROUND($I920/$R920,2))))</f>
        <v/>
      </c>
      <c r="T920" s="24" t="str">
        <f aca="false">IF($N920="","",IFERROR(INDEX(VAT_Codes!$C:$C,MATCH($N920,VAT_Codes!$A:$A,0)),"")&amp;"")</f>
        <v/>
      </c>
      <c r="U920" s="26" t="n">
        <f aca="false">IF(OR($S920="",$T920="",$T920="None"),0,IF($T920="Output",-$S920,$S920))</f>
        <v>0</v>
      </c>
      <c r="V920" s="27" t="n">
        <f aca="false">IF($N920="",0,IFERROR(INDEX(VAT_Codes!$D:$D,MATCH($N920,VAT_Codes!$A:$A,0)),0))</f>
        <v>0</v>
      </c>
      <c r="W920" s="26" t="n">
        <f aca="false">IF($U920=0,0,IF(IFERROR(INDEX(VAT_Codes!$F:$F,MATCH($N920,VAT_Codes!$A:$A,0)),"N")="Y",$U920,IF($L920&lt;&gt;"",ROUND(ABS($L920)/IF(OR($R920="",$R920=0),1,$R920),2)*SIGN($U920),ROUND($U920*$V920,2))))</f>
        <v>0</v>
      </c>
      <c r="X920" s="24" t="str">
        <f aca="false">IF($N920="","",IFERROR(INDEX(VAT_Codes!$H:$H,MATCH($N920,VAT_Codes!$A:$A,0)),"")&amp;"")</f>
        <v/>
      </c>
      <c r="Y920" s="24" t="str">
        <f aca="false">IF($A920="","",(YEAR($A920)-YEAR(Settings!$C$8))*12+MONTH($A920)-MONTH(Settings!$C$8)+1)</f>
        <v/>
      </c>
      <c r="Z920" s="24" t="str">
        <f aca="false">IF(AND($C920="",$I920="",$J920=""),"",IF($N920="","NO VAT CODE",IF($T920="","UNKNOWN VAT CODE",IF($S920="","MISSING FX RATE",IF(OR($A920&lt;Settings!$C$8,$A920&gt;Settings!$C$9),"OUTSIDE PERIOD",IF(AND(IFERROR(INDEX(VAT_Codes!$E:$E,MATCH($N920,VAT_Codes!$A:$A,0)),"ANY")&lt;&gt;"ANY",$P920=""),"MISSING COUNTERPARTY COUNTRY",IF(AND(IFERROR(INDEX(VAT_Codes!$E:$E,MATCH($N920,VAT_Codes!$A:$A,0)),"ANY")&lt;&gt;"ANY",$P920&lt;&gt;IFERROR(INDEX(VAT_Codes!$E:$E,MATCH($N920,VAT_Codes!$A:$A,0)),"ANY")),"REGION MISMATCH","OK")))))))</f>
        <v/>
      </c>
    </row>
    <row r="921" customFormat="false" ht="15" hidden="false" customHeight="false" outlineLevel="0" collapsed="false">
      <c r="M921" s="24" t="str">
        <f aca="false">IF($C921="","",IFERROR(INDEX(Account_Mapping!$C:$C,MATCH($C921&amp;"",Account_Mapping!$A:$A,0))&amp;"",""))</f>
        <v/>
      </c>
      <c r="N921" s="24" t="str">
        <f aca="false">IF($K921&lt;&gt;"",$K921,$M921)</f>
        <v/>
      </c>
      <c r="O921" s="24" t="str">
        <f aca="false">IF($F921="","",IFERROR(INDEX(Counterparties!$C:$C,MATCH($F921&amp;"",Counterparties!$A:$A,0))&amp;"",""))</f>
        <v/>
      </c>
      <c r="P921" s="24" t="str">
        <f aca="false">IF($O921="","",IF($O921="CY","CY",IF(ISNUMBER(MATCH($O921,Lists!$A:$A,0)),"EU","3RD")))</f>
        <v/>
      </c>
      <c r="Q921" s="24" t="str">
        <f aca="false">IF($F921="","N",IFERROR(IF(INDEX(Counterparties!$E:$E,MATCH($F921&amp;"",Counterparties!$A:$A,0))="Y","Y","N"),"N"))</f>
        <v>N</v>
      </c>
      <c r="R921" s="25" t="n">
        <f aca="false">IF(OR($H921="",$H921="EUR"),1,IFERROR(INDEX(FX_Rates!$D:$D,MATCH($H921,FX_Rates!$A:$A,0)),""))</f>
        <v>1</v>
      </c>
      <c r="S921" s="26" t="str">
        <f aca="false">IF(AND($I921="",$J921=""),"",IF($J921&lt;&gt;"",$J921,IF(OR($R921="",$R921=0),"",ROUND($I921/$R921,2))))</f>
        <v/>
      </c>
      <c r="T921" s="24" t="str">
        <f aca="false">IF($N921="","",IFERROR(INDEX(VAT_Codes!$C:$C,MATCH($N921,VAT_Codes!$A:$A,0)),"")&amp;"")</f>
        <v/>
      </c>
      <c r="U921" s="26" t="n">
        <f aca="false">IF(OR($S921="",$T921="",$T921="None"),0,IF($T921="Output",-$S921,$S921))</f>
        <v>0</v>
      </c>
      <c r="V921" s="27" t="n">
        <f aca="false">IF($N921="",0,IFERROR(INDEX(VAT_Codes!$D:$D,MATCH($N921,VAT_Codes!$A:$A,0)),0))</f>
        <v>0</v>
      </c>
      <c r="W921" s="26" t="n">
        <f aca="false">IF($U921=0,0,IF(IFERROR(INDEX(VAT_Codes!$F:$F,MATCH($N921,VAT_Codes!$A:$A,0)),"N")="Y",$U921,IF($L921&lt;&gt;"",ROUND(ABS($L921)/IF(OR($R921="",$R921=0),1,$R921),2)*SIGN($U921),ROUND($U921*$V921,2))))</f>
        <v>0</v>
      </c>
      <c r="X921" s="24" t="str">
        <f aca="false">IF($N921="","",IFERROR(INDEX(VAT_Codes!$H:$H,MATCH($N921,VAT_Codes!$A:$A,0)),"")&amp;"")</f>
        <v/>
      </c>
      <c r="Y921" s="24" t="str">
        <f aca="false">IF($A921="","",(YEAR($A921)-YEAR(Settings!$C$8))*12+MONTH($A921)-MONTH(Settings!$C$8)+1)</f>
        <v/>
      </c>
      <c r="Z921" s="24" t="str">
        <f aca="false">IF(AND($C921="",$I921="",$J921=""),"",IF($N921="","NO VAT CODE",IF($T921="","UNKNOWN VAT CODE",IF($S921="","MISSING FX RATE",IF(OR($A921&lt;Settings!$C$8,$A921&gt;Settings!$C$9),"OUTSIDE PERIOD",IF(AND(IFERROR(INDEX(VAT_Codes!$E:$E,MATCH($N921,VAT_Codes!$A:$A,0)),"ANY")&lt;&gt;"ANY",$P921=""),"MISSING COUNTERPARTY COUNTRY",IF(AND(IFERROR(INDEX(VAT_Codes!$E:$E,MATCH($N921,VAT_Codes!$A:$A,0)),"ANY")&lt;&gt;"ANY",$P921&lt;&gt;IFERROR(INDEX(VAT_Codes!$E:$E,MATCH($N921,VAT_Codes!$A:$A,0)),"ANY")),"REGION MISMATCH","OK")))))))</f>
        <v/>
      </c>
    </row>
    <row r="922" customFormat="false" ht="15" hidden="false" customHeight="false" outlineLevel="0" collapsed="false">
      <c r="M922" s="24" t="str">
        <f aca="false">IF($C922="","",IFERROR(INDEX(Account_Mapping!$C:$C,MATCH($C922&amp;"",Account_Mapping!$A:$A,0))&amp;"",""))</f>
        <v/>
      </c>
      <c r="N922" s="24" t="str">
        <f aca="false">IF($K922&lt;&gt;"",$K922,$M922)</f>
        <v/>
      </c>
      <c r="O922" s="24" t="str">
        <f aca="false">IF($F922="","",IFERROR(INDEX(Counterparties!$C:$C,MATCH($F922&amp;"",Counterparties!$A:$A,0))&amp;"",""))</f>
        <v/>
      </c>
      <c r="P922" s="24" t="str">
        <f aca="false">IF($O922="","",IF($O922="CY","CY",IF(ISNUMBER(MATCH($O922,Lists!$A:$A,0)),"EU","3RD")))</f>
        <v/>
      </c>
      <c r="Q922" s="24" t="str">
        <f aca="false">IF($F922="","N",IFERROR(IF(INDEX(Counterparties!$E:$E,MATCH($F922&amp;"",Counterparties!$A:$A,0))="Y","Y","N"),"N"))</f>
        <v>N</v>
      </c>
      <c r="R922" s="25" t="n">
        <f aca="false">IF(OR($H922="",$H922="EUR"),1,IFERROR(INDEX(FX_Rates!$D:$D,MATCH($H922,FX_Rates!$A:$A,0)),""))</f>
        <v>1</v>
      </c>
      <c r="S922" s="26" t="str">
        <f aca="false">IF(AND($I922="",$J922=""),"",IF($J922&lt;&gt;"",$J922,IF(OR($R922="",$R922=0),"",ROUND($I922/$R922,2))))</f>
        <v/>
      </c>
      <c r="T922" s="24" t="str">
        <f aca="false">IF($N922="","",IFERROR(INDEX(VAT_Codes!$C:$C,MATCH($N922,VAT_Codes!$A:$A,0)),"")&amp;"")</f>
        <v/>
      </c>
      <c r="U922" s="26" t="n">
        <f aca="false">IF(OR($S922="",$T922="",$T922="None"),0,IF($T922="Output",-$S922,$S922))</f>
        <v>0</v>
      </c>
      <c r="V922" s="27" t="n">
        <f aca="false">IF($N922="",0,IFERROR(INDEX(VAT_Codes!$D:$D,MATCH($N922,VAT_Codes!$A:$A,0)),0))</f>
        <v>0</v>
      </c>
      <c r="W922" s="26" t="n">
        <f aca="false">IF($U922=0,0,IF(IFERROR(INDEX(VAT_Codes!$F:$F,MATCH($N922,VAT_Codes!$A:$A,0)),"N")="Y",$U922,IF($L922&lt;&gt;"",ROUND(ABS($L922)/IF(OR($R922="",$R922=0),1,$R922),2)*SIGN($U922),ROUND($U922*$V922,2))))</f>
        <v>0</v>
      </c>
      <c r="X922" s="24" t="str">
        <f aca="false">IF($N922="","",IFERROR(INDEX(VAT_Codes!$H:$H,MATCH($N922,VAT_Codes!$A:$A,0)),"")&amp;"")</f>
        <v/>
      </c>
      <c r="Y922" s="24" t="str">
        <f aca="false">IF($A922="","",(YEAR($A922)-YEAR(Settings!$C$8))*12+MONTH($A922)-MONTH(Settings!$C$8)+1)</f>
        <v/>
      </c>
      <c r="Z922" s="24" t="str">
        <f aca="false">IF(AND($C922="",$I922="",$J922=""),"",IF($N922="","NO VAT CODE",IF($T922="","UNKNOWN VAT CODE",IF($S922="","MISSING FX RATE",IF(OR($A922&lt;Settings!$C$8,$A922&gt;Settings!$C$9),"OUTSIDE PERIOD",IF(AND(IFERROR(INDEX(VAT_Codes!$E:$E,MATCH($N922,VAT_Codes!$A:$A,0)),"ANY")&lt;&gt;"ANY",$P922=""),"MISSING COUNTERPARTY COUNTRY",IF(AND(IFERROR(INDEX(VAT_Codes!$E:$E,MATCH($N922,VAT_Codes!$A:$A,0)),"ANY")&lt;&gt;"ANY",$P922&lt;&gt;IFERROR(INDEX(VAT_Codes!$E:$E,MATCH($N922,VAT_Codes!$A:$A,0)),"ANY")),"REGION MISMATCH","OK")))))))</f>
        <v/>
      </c>
    </row>
    <row r="923" customFormat="false" ht="15" hidden="false" customHeight="false" outlineLevel="0" collapsed="false">
      <c r="M923" s="24" t="str">
        <f aca="false">IF($C923="","",IFERROR(INDEX(Account_Mapping!$C:$C,MATCH($C923&amp;"",Account_Mapping!$A:$A,0))&amp;"",""))</f>
        <v/>
      </c>
      <c r="N923" s="24" t="str">
        <f aca="false">IF($K923&lt;&gt;"",$K923,$M923)</f>
        <v/>
      </c>
      <c r="O923" s="24" t="str">
        <f aca="false">IF($F923="","",IFERROR(INDEX(Counterparties!$C:$C,MATCH($F923&amp;"",Counterparties!$A:$A,0))&amp;"",""))</f>
        <v/>
      </c>
      <c r="P923" s="24" t="str">
        <f aca="false">IF($O923="","",IF($O923="CY","CY",IF(ISNUMBER(MATCH($O923,Lists!$A:$A,0)),"EU","3RD")))</f>
        <v/>
      </c>
      <c r="Q923" s="24" t="str">
        <f aca="false">IF($F923="","N",IFERROR(IF(INDEX(Counterparties!$E:$E,MATCH($F923&amp;"",Counterparties!$A:$A,0))="Y","Y","N"),"N"))</f>
        <v>N</v>
      </c>
      <c r="R923" s="25" t="n">
        <f aca="false">IF(OR($H923="",$H923="EUR"),1,IFERROR(INDEX(FX_Rates!$D:$D,MATCH($H923,FX_Rates!$A:$A,0)),""))</f>
        <v>1</v>
      </c>
      <c r="S923" s="26" t="str">
        <f aca="false">IF(AND($I923="",$J923=""),"",IF($J923&lt;&gt;"",$J923,IF(OR($R923="",$R923=0),"",ROUND($I923/$R923,2))))</f>
        <v/>
      </c>
      <c r="T923" s="24" t="str">
        <f aca="false">IF($N923="","",IFERROR(INDEX(VAT_Codes!$C:$C,MATCH($N923,VAT_Codes!$A:$A,0)),"")&amp;"")</f>
        <v/>
      </c>
      <c r="U923" s="26" t="n">
        <f aca="false">IF(OR($S923="",$T923="",$T923="None"),0,IF($T923="Output",-$S923,$S923))</f>
        <v>0</v>
      </c>
      <c r="V923" s="27" t="n">
        <f aca="false">IF($N923="",0,IFERROR(INDEX(VAT_Codes!$D:$D,MATCH($N923,VAT_Codes!$A:$A,0)),0))</f>
        <v>0</v>
      </c>
      <c r="W923" s="26" t="n">
        <f aca="false">IF($U923=0,0,IF(IFERROR(INDEX(VAT_Codes!$F:$F,MATCH($N923,VAT_Codes!$A:$A,0)),"N")="Y",$U923,IF($L923&lt;&gt;"",ROUND(ABS($L923)/IF(OR($R923="",$R923=0),1,$R923),2)*SIGN($U923),ROUND($U923*$V923,2))))</f>
        <v>0</v>
      </c>
      <c r="X923" s="24" t="str">
        <f aca="false">IF($N923="","",IFERROR(INDEX(VAT_Codes!$H:$H,MATCH($N923,VAT_Codes!$A:$A,0)),"")&amp;"")</f>
        <v/>
      </c>
      <c r="Y923" s="24" t="str">
        <f aca="false">IF($A923="","",(YEAR($A923)-YEAR(Settings!$C$8))*12+MONTH($A923)-MONTH(Settings!$C$8)+1)</f>
        <v/>
      </c>
      <c r="Z923" s="24" t="str">
        <f aca="false">IF(AND($C923="",$I923="",$J923=""),"",IF($N923="","NO VAT CODE",IF($T923="","UNKNOWN VAT CODE",IF($S923="","MISSING FX RATE",IF(OR($A923&lt;Settings!$C$8,$A923&gt;Settings!$C$9),"OUTSIDE PERIOD",IF(AND(IFERROR(INDEX(VAT_Codes!$E:$E,MATCH($N923,VAT_Codes!$A:$A,0)),"ANY")&lt;&gt;"ANY",$P923=""),"MISSING COUNTERPARTY COUNTRY",IF(AND(IFERROR(INDEX(VAT_Codes!$E:$E,MATCH($N923,VAT_Codes!$A:$A,0)),"ANY")&lt;&gt;"ANY",$P923&lt;&gt;IFERROR(INDEX(VAT_Codes!$E:$E,MATCH($N923,VAT_Codes!$A:$A,0)),"ANY")),"REGION MISMATCH","OK")))))))</f>
        <v/>
      </c>
    </row>
    <row r="924" customFormat="false" ht="15" hidden="false" customHeight="false" outlineLevel="0" collapsed="false">
      <c r="M924" s="24" t="str">
        <f aca="false">IF($C924="","",IFERROR(INDEX(Account_Mapping!$C:$C,MATCH($C924&amp;"",Account_Mapping!$A:$A,0))&amp;"",""))</f>
        <v/>
      </c>
      <c r="N924" s="24" t="str">
        <f aca="false">IF($K924&lt;&gt;"",$K924,$M924)</f>
        <v/>
      </c>
      <c r="O924" s="24" t="str">
        <f aca="false">IF($F924="","",IFERROR(INDEX(Counterparties!$C:$C,MATCH($F924&amp;"",Counterparties!$A:$A,0))&amp;"",""))</f>
        <v/>
      </c>
      <c r="P924" s="24" t="str">
        <f aca="false">IF($O924="","",IF($O924="CY","CY",IF(ISNUMBER(MATCH($O924,Lists!$A:$A,0)),"EU","3RD")))</f>
        <v/>
      </c>
      <c r="Q924" s="24" t="str">
        <f aca="false">IF($F924="","N",IFERROR(IF(INDEX(Counterparties!$E:$E,MATCH($F924&amp;"",Counterparties!$A:$A,0))="Y","Y","N"),"N"))</f>
        <v>N</v>
      </c>
      <c r="R924" s="25" t="n">
        <f aca="false">IF(OR($H924="",$H924="EUR"),1,IFERROR(INDEX(FX_Rates!$D:$D,MATCH($H924,FX_Rates!$A:$A,0)),""))</f>
        <v>1</v>
      </c>
      <c r="S924" s="26" t="str">
        <f aca="false">IF(AND($I924="",$J924=""),"",IF($J924&lt;&gt;"",$J924,IF(OR($R924="",$R924=0),"",ROUND($I924/$R924,2))))</f>
        <v/>
      </c>
      <c r="T924" s="24" t="str">
        <f aca="false">IF($N924="","",IFERROR(INDEX(VAT_Codes!$C:$C,MATCH($N924,VAT_Codes!$A:$A,0)),"")&amp;"")</f>
        <v/>
      </c>
      <c r="U924" s="26" t="n">
        <f aca="false">IF(OR($S924="",$T924="",$T924="None"),0,IF($T924="Output",-$S924,$S924))</f>
        <v>0</v>
      </c>
      <c r="V924" s="27" t="n">
        <f aca="false">IF($N924="",0,IFERROR(INDEX(VAT_Codes!$D:$D,MATCH($N924,VAT_Codes!$A:$A,0)),0))</f>
        <v>0</v>
      </c>
      <c r="W924" s="26" t="n">
        <f aca="false">IF($U924=0,0,IF(IFERROR(INDEX(VAT_Codes!$F:$F,MATCH($N924,VAT_Codes!$A:$A,0)),"N")="Y",$U924,IF($L924&lt;&gt;"",ROUND(ABS($L924)/IF(OR($R924="",$R924=0),1,$R924),2)*SIGN($U924),ROUND($U924*$V924,2))))</f>
        <v>0</v>
      </c>
      <c r="X924" s="24" t="str">
        <f aca="false">IF($N924="","",IFERROR(INDEX(VAT_Codes!$H:$H,MATCH($N924,VAT_Codes!$A:$A,0)),"")&amp;"")</f>
        <v/>
      </c>
      <c r="Y924" s="24" t="str">
        <f aca="false">IF($A924="","",(YEAR($A924)-YEAR(Settings!$C$8))*12+MONTH($A924)-MONTH(Settings!$C$8)+1)</f>
        <v/>
      </c>
      <c r="Z924" s="24" t="str">
        <f aca="false">IF(AND($C924="",$I924="",$J924=""),"",IF($N924="","NO VAT CODE",IF($T924="","UNKNOWN VAT CODE",IF($S924="","MISSING FX RATE",IF(OR($A924&lt;Settings!$C$8,$A924&gt;Settings!$C$9),"OUTSIDE PERIOD",IF(AND(IFERROR(INDEX(VAT_Codes!$E:$E,MATCH($N924,VAT_Codes!$A:$A,0)),"ANY")&lt;&gt;"ANY",$P924=""),"MISSING COUNTERPARTY COUNTRY",IF(AND(IFERROR(INDEX(VAT_Codes!$E:$E,MATCH($N924,VAT_Codes!$A:$A,0)),"ANY")&lt;&gt;"ANY",$P924&lt;&gt;IFERROR(INDEX(VAT_Codes!$E:$E,MATCH($N924,VAT_Codes!$A:$A,0)),"ANY")),"REGION MISMATCH","OK")))))))</f>
        <v/>
      </c>
    </row>
    <row r="925" customFormat="false" ht="15" hidden="false" customHeight="false" outlineLevel="0" collapsed="false">
      <c r="M925" s="24" t="str">
        <f aca="false">IF($C925="","",IFERROR(INDEX(Account_Mapping!$C:$C,MATCH($C925&amp;"",Account_Mapping!$A:$A,0))&amp;"",""))</f>
        <v/>
      </c>
      <c r="N925" s="24" t="str">
        <f aca="false">IF($K925&lt;&gt;"",$K925,$M925)</f>
        <v/>
      </c>
      <c r="O925" s="24" t="str">
        <f aca="false">IF($F925="","",IFERROR(INDEX(Counterparties!$C:$C,MATCH($F925&amp;"",Counterparties!$A:$A,0))&amp;"",""))</f>
        <v/>
      </c>
      <c r="P925" s="24" t="str">
        <f aca="false">IF($O925="","",IF($O925="CY","CY",IF(ISNUMBER(MATCH($O925,Lists!$A:$A,0)),"EU","3RD")))</f>
        <v/>
      </c>
      <c r="Q925" s="24" t="str">
        <f aca="false">IF($F925="","N",IFERROR(IF(INDEX(Counterparties!$E:$E,MATCH($F925&amp;"",Counterparties!$A:$A,0))="Y","Y","N"),"N"))</f>
        <v>N</v>
      </c>
      <c r="R925" s="25" t="n">
        <f aca="false">IF(OR($H925="",$H925="EUR"),1,IFERROR(INDEX(FX_Rates!$D:$D,MATCH($H925,FX_Rates!$A:$A,0)),""))</f>
        <v>1</v>
      </c>
      <c r="S925" s="26" t="str">
        <f aca="false">IF(AND($I925="",$J925=""),"",IF($J925&lt;&gt;"",$J925,IF(OR($R925="",$R925=0),"",ROUND($I925/$R925,2))))</f>
        <v/>
      </c>
      <c r="T925" s="24" t="str">
        <f aca="false">IF($N925="","",IFERROR(INDEX(VAT_Codes!$C:$C,MATCH($N925,VAT_Codes!$A:$A,0)),"")&amp;"")</f>
        <v/>
      </c>
      <c r="U925" s="26" t="n">
        <f aca="false">IF(OR($S925="",$T925="",$T925="None"),0,IF($T925="Output",-$S925,$S925))</f>
        <v>0</v>
      </c>
      <c r="V925" s="27" t="n">
        <f aca="false">IF($N925="",0,IFERROR(INDEX(VAT_Codes!$D:$D,MATCH($N925,VAT_Codes!$A:$A,0)),0))</f>
        <v>0</v>
      </c>
      <c r="W925" s="26" t="n">
        <f aca="false">IF($U925=0,0,IF(IFERROR(INDEX(VAT_Codes!$F:$F,MATCH($N925,VAT_Codes!$A:$A,0)),"N")="Y",$U925,IF($L925&lt;&gt;"",ROUND(ABS($L925)/IF(OR($R925="",$R925=0),1,$R925),2)*SIGN($U925),ROUND($U925*$V925,2))))</f>
        <v>0</v>
      </c>
      <c r="X925" s="24" t="str">
        <f aca="false">IF($N925="","",IFERROR(INDEX(VAT_Codes!$H:$H,MATCH($N925,VAT_Codes!$A:$A,0)),"")&amp;"")</f>
        <v/>
      </c>
      <c r="Y925" s="24" t="str">
        <f aca="false">IF($A925="","",(YEAR($A925)-YEAR(Settings!$C$8))*12+MONTH($A925)-MONTH(Settings!$C$8)+1)</f>
        <v/>
      </c>
      <c r="Z925" s="24" t="str">
        <f aca="false">IF(AND($C925="",$I925="",$J925=""),"",IF($N925="","NO VAT CODE",IF($T925="","UNKNOWN VAT CODE",IF($S925="","MISSING FX RATE",IF(OR($A925&lt;Settings!$C$8,$A925&gt;Settings!$C$9),"OUTSIDE PERIOD",IF(AND(IFERROR(INDEX(VAT_Codes!$E:$E,MATCH($N925,VAT_Codes!$A:$A,0)),"ANY")&lt;&gt;"ANY",$P925=""),"MISSING COUNTERPARTY COUNTRY",IF(AND(IFERROR(INDEX(VAT_Codes!$E:$E,MATCH($N925,VAT_Codes!$A:$A,0)),"ANY")&lt;&gt;"ANY",$P925&lt;&gt;IFERROR(INDEX(VAT_Codes!$E:$E,MATCH($N925,VAT_Codes!$A:$A,0)),"ANY")),"REGION MISMATCH","OK")))))))</f>
        <v/>
      </c>
    </row>
    <row r="926" customFormat="false" ht="15" hidden="false" customHeight="false" outlineLevel="0" collapsed="false">
      <c r="M926" s="24" t="str">
        <f aca="false">IF($C926="","",IFERROR(INDEX(Account_Mapping!$C:$C,MATCH($C926&amp;"",Account_Mapping!$A:$A,0))&amp;"",""))</f>
        <v/>
      </c>
      <c r="N926" s="24" t="str">
        <f aca="false">IF($K926&lt;&gt;"",$K926,$M926)</f>
        <v/>
      </c>
      <c r="O926" s="24" t="str">
        <f aca="false">IF($F926="","",IFERROR(INDEX(Counterparties!$C:$C,MATCH($F926&amp;"",Counterparties!$A:$A,0))&amp;"",""))</f>
        <v/>
      </c>
      <c r="P926" s="24" t="str">
        <f aca="false">IF($O926="","",IF($O926="CY","CY",IF(ISNUMBER(MATCH($O926,Lists!$A:$A,0)),"EU","3RD")))</f>
        <v/>
      </c>
      <c r="Q926" s="24" t="str">
        <f aca="false">IF($F926="","N",IFERROR(IF(INDEX(Counterparties!$E:$E,MATCH($F926&amp;"",Counterparties!$A:$A,0))="Y","Y","N"),"N"))</f>
        <v>N</v>
      </c>
      <c r="R926" s="25" t="n">
        <f aca="false">IF(OR($H926="",$H926="EUR"),1,IFERROR(INDEX(FX_Rates!$D:$D,MATCH($H926,FX_Rates!$A:$A,0)),""))</f>
        <v>1</v>
      </c>
      <c r="S926" s="26" t="str">
        <f aca="false">IF(AND($I926="",$J926=""),"",IF($J926&lt;&gt;"",$J926,IF(OR($R926="",$R926=0),"",ROUND($I926/$R926,2))))</f>
        <v/>
      </c>
      <c r="T926" s="24" t="str">
        <f aca="false">IF($N926="","",IFERROR(INDEX(VAT_Codes!$C:$C,MATCH($N926,VAT_Codes!$A:$A,0)),"")&amp;"")</f>
        <v/>
      </c>
      <c r="U926" s="26" t="n">
        <f aca="false">IF(OR($S926="",$T926="",$T926="None"),0,IF($T926="Output",-$S926,$S926))</f>
        <v>0</v>
      </c>
      <c r="V926" s="27" t="n">
        <f aca="false">IF($N926="",0,IFERROR(INDEX(VAT_Codes!$D:$D,MATCH($N926,VAT_Codes!$A:$A,0)),0))</f>
        <v>0</v>
      </c>
      <c r="W926" s="26" t="n">
        <f aca="false">IF($U926=0,0,IF(IFERROR(INDEX(VAT_Codes!$F:$F,MATCH($N926,VAT_Codes!$A:$A,0)),"N")="Y",$U926,IF($L926&lt;&gt;"",ROUND(ABS($L926)/IF(OR($R926="",$R926=0),1,$R926),2)*SIGN($U926),ROUND($U926*$V926,2))))</f>
        <v>0</v>
      </c>
      <c r="X926" s="24" t="str">
        <f aca="false">IF($N926="","",IFERROR(INDEX(VAT_Codes!$H:$H,MATCH($N926,VAT_Codes!$A:$A,0)),"")&amp;"")</f>
        <v/>
      </c>
      <c r="Y926" s="24" t="str">
        <f aca="false">IF($A926="","",(YEAR($A926)-YEAR(Settings!$C$8))*12+MONTH($A926)-MONTH(Settings!$C$8)+1)</f>
        <v/>
      </c>
      <c r="Z926" s="24" t="str">
        <f aca="false">IF(AND($C926="",$I926="",$J926=""),"",IF($N926="","NO VAT CODE",IF($T926="","UNKNOWN VAT CODE",IF($S926="","MISSING FX RATE",IF(OR($A926&lt;Settings!$C$8,$A926&gt;Settings!$C$9),"OUTSIDE PERIOD",IF(AND(IFERROR(INDEX(VAT_Codes!$E:$E,MATCH($N926,VAT_Codes!$A:$A,0)),"ANY")&lt;&gt;"ANY",$P926=""),"MISSING COUNTERPARTY COUNTRY",IF(AND(IFERROR(INDEX(VAT_Codes!$E:$E,MATCH($N926,VAT_Codes!$A:$A,0)),"ANY")&lt;&gt;"ANY",$P926&lt;&gt;IFERROR(INDEX(VAT_Codes!$E:$E,MATCH($N926,VAT_Codes!$A:$A,0)),"ANY")),"REGION MISMATCH","OK")))))))</f>
        <v/>
      </c>
    </row>
    <row r="927" customFormat="false" ht="15" hidden="false" customHeight="false" outlineLevel="0" collapsed="false">
      <c r="M927" s="24" t="str">
        <f aca="false">IF($C927="","",IFERROR(INDEX(Account_Mapping!$C:$C,MATCH($C927&amp;"",Account_Mapping!$A:$A,0))&amp;"",""))</f>
        <v/>
      </c>
      <c r="N927" s="24" t="str">
        <f aca="false">IF($K927&lt;&gt;"",$K927,$M927)</f>
        <v/>
      </c>
      <c r="O927" s="24" t="str">
        <f aca="false">IF($F927="","",IFERROR(INDEX(Counterparties!$C:$C,MATCH($F927&amp;"",Counterparties!$A:$A,0))&amp;"",""))</f>
        <v/>
      </c>
      <c r="P927" s="24" t="str">
        <f aca="false">IF($O927="","",IF($O927="CY","CY",IF(ISNUMBER(MATCH($O927,Lists!$A:$A,0)),"EU","3RD")))</f>
        <v/>
      </c>
      <c r="Q927" s="24" t="str">
        <f aca="false">IF($F927="","N",IFERROR(IF(INDEX(Counterparties!$E:$E,MATCH($F927&amp;"",Counterparties!$A:$A,0))="Y","Y","N"),"N"))</f>
        <v>N</v>
      </c>
      <c r="R927" s="25" t="n">
        <f aca="false">IF(OR($H927="",$H927="EUR"),1,IFERROR(INDEX(FX_Rates!$D:$D,MATCH($H927,FX_Rates!$A:$A,0)),""))</f>
        <v>1</v>
      </c>
      <c r="S927" s="26" t="str">
        <f aca="false">IF(AND($I927="",$J927=""),"",IF($J927&lt;&gt;"",$J927,IF(OR($R927="",$R927=0),"",ROUND($I927/$R927,2))))</f>
        <v/>
      </c>
      <c r="T927" s="24" t="str">
        <f aca="false">IF($N927="","",IFERROR(INDEX(VAT_Codes!$C:$C,MATCH($N927,VAT_Codes!$A:$A,0)),"")&amp;"")</f>
        <v/>
      </c>
      <c r="U927" s="26" t="n">
        <f aca="false">IF(OR($S927="",$T927="",$T927="None"),0,IF($T927="Output",-$S927,$S927))</f>
        <v>0</v>
      </c>
      <c r="V927" s="27" t="n">
        <f aca="false">IF($N927="",0,IFERROR(INDEX(VAT_Codes!$D:$D,MATCH($N927,VAT_Codes!$A:$A,0)),0))</f>
        <v>0</v>
      </c>
      <c r="W927" s="26" t="n">
        <f aca="false">IF($U927=0,0,IF(IFERROR(INDEX(VAT_Codes!$F:$F,MATCH($N927,VAT_Codes!$A:$A,0)),"N")="Y",$U927,IF($L927&lt;&gt;"",ROUND(ABS($L927)/IF(OR($R927="",$R927=0),1,$R927),2)*SIGN($U927),ROUND($U927*$V927,2))))</f>
        <v>0</v>
      </c>
      <c r="X927" s="24" t="str">
        <f aca="false">IF($N927="","",IFERROR(INDEX(VAT_Codes!$H:$H,MATCH($N927,VAT_Codes!$A:$A,0)),"")&amp;"")</f>
        <v/>
      </c>
      <c r="Y927" s="24" t="str">
        <f aca="false">IF($A927="","",(YEAR($A927)-YEAR(Settings!$C$8))*12+MONTH($A927)-MONTH(Settings!$C$8)+1)</f>
        <v/>
      </c>
      <c r="Z927" s="24" t="str">
        <f aca="false">IF(AND($C927="",$I927="",$J927=""),"",IF($N927="","NO VAT CODE",IF($T927="","UNKNOWN VAT CODE",IF($S927="","MISSING FX RATE",IF(OR($A927&lt;Settings!$C$8,$A927&gt;Settings!$C$9),"OUTSIDE PERIOD",IF(AND(IFERROR(INDEX(VAT_Codes!$E:$E,MATCH($N927,VAT_Codes!$A:$A,0)),"ANY")&lt;&gt;"ANY",$P927=""),"MISSING COUNTERPARTY COUNTRY",IF(AND(IFERROR(INDEX(VAT_Codes!$E:$E,MATCH($N927,VAT_Codes!$A:$A,0)),"ANY")&lt;&gt;"ANY",$P927&lt;&gt;IFERROR(INDEX(VAT_Codes!$E:$E,MATCH($N927,VAT_Codes!$A:$A,0)),"ANY")),"REGION MISMATCH","OK")))))))</f>
        <v/>
      </c>
    </row>
    <row r="928" customFormat="false" ht="15" hidden="false" customHeight="false" outlineLevel="0" collapsed="false">
      <c r="M928" s="24" t="str">
        <f aca="false">IF($C928="","",IFERROR(INDEX(Account_Mapping!$C:$C,MATCH($C928&amp;"",Account_Mapping!$A:$A,0))&amp;"",""))</f>
        <v/>
      </c>
      <c r="N928" s="24" t="str">
        <f aca="false">IF($K928&lt;&gt;"",$K928,$M928)</f>
        <v/>
      </c>
      <c r="O928" s="24" t="str">
        <f aca="false">IF($F928="","",IFERROR(INDEX(Counterparties!$C:$C,MATCH($F928&amp;"",Counterparties!$A:$A,0))&amp;"",""))</f>
        <v/>
      </c>
      <c r="P928" s="24" t="str">
        <f aca="false">IF($O928="","",IF($O928="CY","CY",IF(ISNUMBER(MATCH($O928,Lists!$A:$A,0)),"EU","3RD")))</f>
        <v/>
      </c>
      <c r="Q928" s="24" t="str">
        <f aca="false">IF($F928="","N",IFERROR(IF(INDEX(Counterparties!$E:$E,MATCH($F928&amp;"",Counterparties!$A:$A,0))="Y","Y","N"),"N"))</f>
        <v>N</v>
      </c>
      <c r="R928" s="25" t="n">
        <f aca="false">IF(OR($H928="",$H928="EUR"),1,IFERROR(INDEX(FX_Rates!$D:$D,MATCH($H928,FX_Rates!$A:$A,0)),""))</f>
        <v>1</v>
      </c>
      <c r="S928" s="26" t="str">
        <f aca="false">IF(AND($I928="",$J928=""),"",IF($J928&lt;&gt;"",$J928,IF(OR($R928="",$R928=0),"",ROUND($I928/$R928,2))))</f>
        <v/>
      </c>
      <c r="T928" s="24" t="str">
        <f aca="false">IF($N928="","",IFERROR(INDEX(VAT_Codes!$C:$C,MATCH($N928,VAT_Codes!$A:$A,0)),"")&amp;"")</f>
        <v/>
      </c>
      <c r="U928" s="26" t="n">
        <f aca="false">IF(OR($S928="",$T928="",$T928="None"),0,IF($T928="Output",-$S928,$S928))</f>
        <v>0</v>
      </c>
      <c r="V928" s="27" t="n">
        <f aca="false">IF($N928="",0,IFERROR(INDEX(VAT_Codes!$D:$D,MATCH($N928,VAT_Codes!$A:$A,0)),0))</f>
        <v>0</v>
      </c>
      <c r="W928" s="26" t="n">
        <f aca="false">IF($U928=0,0,IF(IFERROR(INDEX(VAT_Codes!$F:$F,MATCH($N928,VAT_Codes!$A:$A,0)),"N")="Y",$U928,IF($L928&lt;&gt;"",ROUND(ABS($L928)/IF(OR($R928="",$R928=0),1,$R928),2)*SIGN($U928),ROUND($U928*$V928,2))))</f>
        <v>0</v>
      </c>
      <c r="X928" s="24" t="str">
        <f aca="false">IF($N928="","",IFERROR(INDEX(VAT_Codes!$H:$H,MATCH($N928,VAT_Codes!$A:$A,0)),"")&amp;"")</f>
        <v/>
      </c>
      <c r="Y928" s="24" t="str">
        <f aca="false">IF($A928="","",(YEAR($A928)-YEAR(Settings!$C$8))*12+MONTH($A928)-MONTH(Settings!$C$8)+1)</f>
        <v/>
      </c>
      <c r="Z928" s="24" t="str">
        <f aca="false">IF(AND($C928="",$I928="",$J928=""),"",IF($N928="","NO VAT CODE",IF($T928="","UNKNOWN VAT CODE",IF($S928="","MISSING FX RATE",IF(OR($A928&lt;Settings!$C$8,$A928&gt;Settings!$C$9),"OUTSIDE PERIOD",IF(AND(IFERROR(INDEX(VAT_Codes!$E:$E,MATCH($N928,VAT_Codes!$A:$A,0)),"ANY")&lt;&gt;"ANY",$P928=""),"MISSING COUNTERPARTY COUNTRY",IF(AND(IFERROR(INDEX(VAT_Codes!$E:$E,MATCH($N928,VAT_Codes!$A:$A,0)),"ANY")&lt;&gt;"ANY",$P928&lt;&gt;IFERROR(INDEX(VAT_Codes!$E:$E,MATCH($N928,VAT_Codes!$A:$A,0)),"ANY")),"REGION MISMATCH","OK")))))))</f>
        <v/>
      </c>
    </row>
    <row r="929" customFormat="false" ht="15" hidden="false" customHeight="false" outlineLevel="0" collapsed="false">
      <c r="M929" s="24" t="str">
        <f aca="false">IF($C929="","",IFERROR(INDEX(Account_Mapping!$C:$C,MATCH($C929&amp;"",Account_Mapping!$A:$A,0))&amp;"",""))</f>
        <v/>
      </c>
      <c r="N929" s="24" t="str">
        <f aca="false">IF($K929&lt;&gt;"",$K929,$M929)</f>
        <v/>
      </c>
      <c r="O929" s="24" t="str">
        <f aca="false">IF($F929="","",IFERROR(INDEX(Counterparties!$C:$C,MATCH($F929&amp;"",Counterparties!$A:$A,0))&amp;"",""))</f>
        <v/>
      </c>
      <c r="P929" s="24" t="str">
        <f aca="false">IF($O929="","",IF($O929="CY","CY",IF(ISNUMBER(MATCH($O929,Lists!$A:$A,0)),"EU","3RD")))</f>
        <v/>
      </c>
      <c r="Q929" s="24" t="str">
        <f aca="false">IF($F929="","N",IFERROR(IF(INDEX(Counterparties!$E:$E,MATCH($F929&amp;"",Counterparties!$A:$A,0))="Y","Y","N"),"N"))</f>
        <v>N</v>
      </c>
      <c r="R929" s="25" t="n">
        <f aca="false">IF(OR($H929="",$H929="EUR"),1,IFERROR(INDEX(FX_Rates!$D:$D,MATCH($H929,FX_Rates!$A:$A,0)),""))</f>
        <v>1</v>
      </c>
      <c r="S929" s="26" t="str">
        <f aca="false">IF(AND($I929="",$J929=""),"",IF($J929&lt;&gt;"",$J929,IF(OR($R929="",$R929=0),"",ROUND($I929/$R929,2))))</f>
        <v/>
      </c>
      <c r="T929" s="24" t="str">
        <f aca="false">IF($N929="","",IFERROR(INDEX(VAT_Codes!$C:$C,MATCH($N929,VAT_Codes!$A:$A,0)),"")&amp;"")</f>
        <v/>
      </c>
      <c r="U929" s="26" t="n">
        <f aca="false">IF(OR($S929="",$T929="",$T929="None"),0,IF($T929="Output",-$S929,$S929))</f>
        <v>0</v>
      </c>
      <c r="V929" s="27" t="n">
        <f aca="false">IF($N929="",0,IFERROR(INDEX(VAT_Codes!$D:$D,MATCH($N929,VAT_Codes!$A:$A,0)),0))</f>
        <v>0</v>
      </c>
      <c r="W929" s="26" t="n">
        <f aca="false">IF($U929=0,0,IF(IFERROR(INDEX(VAT_Codes!$F:$F,MATCH($N929,VAT_Codes!$A:$A,0)),"N")="Y",$U929,IF($L929&lt;&gt;"",ROUND(ABS($L929)/IF(OR($R929="",$R929=0),1,$R929),2)*SIGN($U929),ROUND($U929*$V929,2))))</f>
        <v>0</v>
      </c>
      <c r="X929" s="24" t="str">
        <f aca="false">IF($N929="","",IFERROR(INDEX(VAT_Codes!$H:$H,MATCH($N929,VAT_Codes!$A:$A,0)),"")&amp;"")</f>
        <v/>
      </c>
      <c r="Y929" s="24" t="str">
        <f aca="false">IF($A929="","",(YEAR($A929)-YEAR(Settings!$C$8))*12+MONTH($A929)-MONTH(Settings!$C$8)+1)</f>
        <v/>
      </c>
      <c r="Z929" s="24" t="str">
        <f aca="false">IF(AND($C929="",$I929="",$J929=""),"",IF($N929="","NO VAT CODE",IF($T929="","UNKNOWN VAT CODE",IF($S929="","MISSING FX RATE",IF(OR($A929&lt;Settings!$C$8,$A929&gt;Settings!$C$9),"OUTSIDE PERIOD",IF(AND(IFERROR(INDEX(VAT_Codes!$E:$E,MATCH($N929,VAT_Codes!$A:$A,0)),"ANY")&lt;&gt;"ANY",$P929=""),"MISSING COUNTERPARTY COUNTRY",IF(AND(IFERROR(INDEX(VAT_Codes!$E:$E,MATCH($N929,VAT_Codes!$A:$A,0)),"ANY")&lt;&gt;"ANY",$P929&lt;&gt;IFERROR(INDEX(VAT_Codes!$E:$E,MATCH($N929,VAT_Codes!$A:$A,0)),"ANY")),"REGION MISMATCH","OK")))))))</f>
        <v/>
      </c>
    </row>
    <row r="930" customFormat="false" ht="15" hidden="false" customHeight="false" outlineLevel="0" collapsed="false">
      <c r="M930" s="24" t="str">
        <f aca="false">IF($C930="","",IFERROR(INDEX(Account_Mapping!$C:$C,MATCH($C930&amp;"",Account_Mapping!$A:$A,0))&amp;"",""))</f>
        <v/>
      </c>
      <c r="N930" s="24" t="str">
        <f aca="false">IF($K930&lt;&gt;"",$K930,$M930)</f>
        <v/>
      </c>
      <c r="O930" s="24" t="str">
        <f aca="false">IF($F930="","",IFERROR(INDEX(Counterparties!$C:$C,MATCH($F930&amp;"",Counterparties!$A:$A,0))&amp;"",""))</f>
        <v/>
      </c>
      <c r="P930" s="24" t="str">
        <f aca="false">IF($O930="","",IF($O930="CY","CY",IF(ISNUMBER(MATCH($O930,Lists!$A:$A,0)),"EU","3RD")))</f>
        <v/>
      </c>
      <c r="Q930" s="24" t="str">
        <f aca="false">IF($F930="","N",IFERROR(IF(INDEX(Counterparties!$E:$E,MATCH($F930&amp;"",Counterparties!$A:$A,0))="Y","Y","N"),"N"))</f>
        <v>N</v>
      </c>
      <c r="R930" s="25" t="n">
        <f aca="false">IF(OR($H930="",$H930="EUR"),1,IFERROR(INDEX(FX_Rates!$D:$D,MATCH($H930,FX_Rates!$A:$A,0)),""))</f>
        <v>1</v>
      </c>
      <c r="S930" s="26" t="str">
        <f aca="false">IF(AND($I930="",$J930=""),"",IF($J930&lt;&gt;"",$J930,IF(OR($R930="",$R930=0),"",ROUND($I930/$R930,2))))</f>
        <v/>
      </c>
      <c r="T930" s="24" t="str">
        <f aca="false">IF($N930="","",IFERROR(INDEX(VAT_Codes!$C:$C,MATCH($N930,VAT_Codes!$A:$A,0)),"")&amp;"")</f>
        <v/>
      </c>
      <c r="U930" s="26" t="n">
        <f aca="false">IF(OR($S930="",$T930="",$T930="None"),0,IF($T930="Output",-$S930,$S930))</f>
        <v>0</v>
      </c>
      <c r="V930" s="27" t="n">
        <f aca="false">IF($N930="",0,IFERROR(INDEX(VAT_Codes!$D:$D,MATCH($N930,VAT_Codes!$A:$A,0)),0))</f>
        <v>0</v>
      </c>
      <c r="W930" s="26" t="n">
        <f aca="false">IF($U930=0,0,IF(IFERROR(INDEX(VAT_Codes!$F:$F,MATCH($N930,VAT_Codes!$A:$A,0)),"N")="Y",$U930,IF($L930&lt;&gt;"",ROUND(ABS($L930)/IF(OR($R930="",$R930=0),1,$R930),2)*SIGN($U930),ROUND($U930*$V930,2))))</f>
        <v>0</v>
      </c>
      <c r="X930" s="24" t="str">
        <f aca="false">IF($N930="","",IFERROR(INDEX(VAT_Codes!$H:$H,MATCH($N930,VAT_Codes!$A:$A,0)),"")&amp;"")</f>
        <v/>
      </c>
      <c r="Y930" s="24" t="str">
        <f aca="false">IF($A930="","",(YEAR($A930)-YEAR(Settings!$C$8))*12+MONTH($A930)-MONTH(Settings!$C$8)+1)</f>
        <v/>
      </c>
      <c r="Z930" s="24" t="str">
        <f aca="false">IF(AND($C930="",$I930="",$J930=""),"",IF($N930="","NO VAT CODE",IF($T930="","UNKNOWN VAT CODE",IF($S930="","MISSING FX RATE",IF(OR($A930&lt;Settings!$C$8,$A930&gt;Settings!$C$9),"OUTSIDE PERIOD",IF(AND(IFERROR(INDEX(VAT_Codes!$E:$E,MATCH($N930,VAT_Codes!$A:$A,0)),"ANY")&lt;&gt;"ANY",$P930=""),"MISSING COUNTERPARTY COUNTRY",IF(AND(IFERROR(INDEX(VAT_Codes!$E:$E,MATCH($N930,VAT_Codes!$A:$A,0)),"ANY")&lt;&gt;"ANY",$P930&lt;&gt;IFERROR(INDEX(VAT_Codes!$E:$E,MATCH($N930,VAT_Codes!$A:$A,0)),"ANY")),"REGION MISMATCH","OK")))))))</f>
        <v/>
      </c>
    </row>
    <row r="931" customFormat="false" ht="15" hidden="false" customHeight="false" outlineLevel="0" collapsed="false">
      <c r="M931" s="24" t="str">
        <f aca="false">IF($C931="","",IFERROR(INDEX(Account_Mapping!$C:$C,MATCH($C931&amp;"",Account_Mapping!$A:$A,0))&amp;"",""))</f>
        <v/>
      </c>
      <c r="N931" s="24" t="str">
        <f aca="false">IF($K931&lt;&gt;"",$K931,$M931)</f>
        <v/>
      </c>
      <c r="O931" s="24" t="str">
        <f aca="false">IF($F931="","",IFERROR(INDEX(Counterparties!$C:$C,MATCH($F931&amp;"",Counterparties!$A:$A,0))&amp;"",""))</f>
        <v/>
      </c>
      <c r="P931" s="24" t="str">
        <f aca="false">IF($O931="","",IF($O931="CY","CY",IF(ISNUMBER(MATCH($O931,Lists!$A:$A,0)),"EU","3RD")))</f>
        <v/>
      </c>
      <c r="Q931" s="24" t="str">
        <f aca="false">IF($F931="","N",IFERROR(IF(INDEX(Counterparties!$E:$E,MATCH($F931&amp;"",Counterparties!$A:$A,0))="Y","Y","N"),"N"))</f>
        <v>N</v>
      </c>
      <c r="R931" s="25" t="n">
        <f aca="false">IF(OR($H931="",$H931="EUR"),1,IFERROR(INDEX(FX_Rates!$D:$D,MATCH($H931,FX_Rates!$A:$A,0)),""))</f>
        <v>1</v>
      </c>
      <c r="S931" s="26" t="str">
        <f aca="false">IF(AND($I931="",$J931=""),"",IF($J931&lt;&gt;"",$J931,IF(OR($R931="",$R931=0),"",ROUND($I931/$R931,2))))</f>
        <v/>
      </c>
      <c r="T931" s="24" t="str">
        <f aca="false">IF($N931="","",IFERROR(INDEX(VAT_Codes!$C:$C,MATCH($N931,VAT_Codes!$A:$A,0)),"")&amp;"")</f>
        <v/>
      </c>
      <c r="U931" s="26" t="n">
        <f aca="false">IF(OR($S931="",$T931="",$T931="None"),0,IF($T931="Output",-$S931,$S931))</f>
        <v>0</v>
      </c>
      <c r="V931" s="27" t="n">
        <f aca="false">IF($N931="",0,IFERROR(INDEX(VAT_Codes!$D:$D,MATCH($N931,VAT_Codes!$A:$A,0)),0))</f>
        <v>0</v>
      </c>
      <c r="W931" s="26" t="n">
        <f aca="false">IF($U931=0,0,IF(IFERROR(INDEX(VAT_Codes!$F:$F,MATCH($N931,VAT_Codes!$A:$A,0)),"N")="Y",$U931,IF($L931&lt;&gt;"",ROUND(ABS($L931)/IF(OR($R931="",$R931=0),1,$R931),2)*SIGN($U931),ROUND($U931*$V931,2))))</f>
        <v>0</v>
      </c>
      <c r="X931" s="24" t="str">
        <f aca="false">IF($N931="","",IFERROR(INDEX(VAT_Codes!$H:$H,MATCH($N931,VAT_Codes!$A:$A,0)),"")&amp;"")</f>
        <v/>
      </c>
      <c r="Y931" s="24" t="str">
        <f aca="false">IF($A931="","",(YEAR($A931)-YEAR(Settings!$C$8))*12+MONTH($A931)-MONTH(Settings!$C$8)+1)</f>
        <v/>
      </c>
      <c r="Z931" s="24" t="str">
        <f aca="false">IF(AND($C931="",$I931="",$J931=""),"",IF($N931="","NO VAT CODE",IF($T931="","UNKNOWN VAT CODE",IF($S931="","MISSING FX RATE",IF(OR($A931&lt;Settings!$C$8,$A931&gt;Settings!$C$9),"OUTSIDE PERIOD",IF(AND(IFERROR(INDEX(VAT_Codes!$E:$E,MATCH($N931,VAT_Codes!$A:$A,0)),"ANY")&lt;&gt;"ANY",$P931=""),"MISSING COUNTERPARTY COUNTRY",IF(AND(IFERROR(INDEX(VAT_Codes!$E:$E,MATCH($N931,VAT_Codes!$A:$A,0)),"ANY")&lt;&gt;"ANY",$P931&lt;&gt;IFERROR(INDEX(VAT_Codes!$E:$E,MATCH($N931,VAT_Codes!$A:$A,0)),"ANY")),"REGION MISMATCH","OK")))))))</f>
        <v/>
      </c>
    </row>
    <row r="932" customFormat="false" ht="15" hidden="false" customHeight="false" outlineLevel="0" collapsed="false">
      <c r="M932" s="24" t="str">
        <f aca="false">IF($C932="","",IFERROR(INDEX(Account_Mapping!$C:$C,MATCH($C932&amp;"",Account_Mapping!$A:$A,0))&amp;"",""))</f>
        <v/>
      </c>
      <c r="N932" s="24" t="str">
        <f aca="false">IF($K932&lt;&gt;"",$K932,$M932)</f>
        <v/>
      </c>
      <c r="O932" s="24" t="str">
        <f aca="false">IF($F932="","",IFERROR(INDEX(Counterparties!$C:$C,MATCH($F932&amp;"",Counterparties!$A:$A,0))&amp;"",""))</f>
        <v/>
      </c>
      <c r="P932" s="24" t="str">
        <f aca="false">IF($O932="","",IF($O932="CY","CY",IF(ISNUMBER(MATCH($O932,Lists!$A:$A,0)),"EU","3RD")))</f>
        <v/>
      </c>
      <c r="Q932" s="24" t="str">
        <f aca="false">IF($F932="","N",IFERROR(IF(INDEX(Counterparties!$E:$E,MATCH($F932&amp;"",Counterparties!$A:$A,0))="Y","Y","N"),"N"))</f>
        <v>N</v>
      </c>
      <c r="R932" s="25" t="n">
        <f aca="false">IF(OR($H932="",$H932="EUR"),1,IFERROR(INDEX(FX_Rates!$D:$D,MATCH($H932,FX_Rates!$A:$A,0)),""))</f>
        <v>1</v>
      </c>
      <c r="S932" s="26" t="str">
        <f aca="false">IF(AND($I932="",$J932=""),"",IF($J932&lt;&gt;"",$J932,IF(OR($R932="",$R932=0),"",ROUND($I932/$R932,2))))</f>
        <v/>
      </c>
      <c r="T932" s="24" t="str">
        <f aca="false">IF($N932="","",IFERROR(INDEX(VAT_Codes!$C:$C,MATCH($N932,VAT_Codes!$A:$A,0)),"")&amp;"")</f>
        <v/>
      </c>
      <c r="U932" s="26" t="n">
        <f aca="false">IF(OR($S932="",$T932="",$T932="None"),0,IF($T932="Output",-$S932,$S932))</f>
        <v>0</v>
      </c>
      <c r="V932" s="27" t="n">
        <f aca="false">IF($N932="",0,IFERROR(INDEX(VAT_Codes!$D:$D,MATCH($N932,VAT_Codes!$A:$A,0)),0))</f>
        <v>0</v>
      </c>
      <c r="W932" s="26" t="n">
        <f aca="false">IF($U932=0,0,IF(IFERROR(INDEX(VAT_Codes!$F:$F,MATCH($N932,VAT_Codes!$A:$A,0)),"N")="Y",$U932,IF($L932&lt;&gt;"",ROUND(ABS($L932)/IF(OR($R932="",$R932=0),1,$R932),2)*SIGN($U932),ROUND($U932*$V932,2))))</f>
        <v>0</v>
      </c>
      <c r="X932" s="24" t="str">
        <f aca="false">IF($N932="","",IFERROR(INDEX(VAT_Codes!$H:$H,MATCH($N932,VAT_Codes!$A:$A,0)),"")&amp;"")</f>
        <v/>
      </c>
      <c r="Y932" s="24" t="str">
        <f aca="false">IF($A932="","",(YEAR($A932)-YEAR(Settings!$C$8))*12+MONTH($A932)-MONTH(Settings!$C$8)+1)</f>
        <v/>
      </c>
      <c r="Z932" s="24" t="str">
        <f aca="false">IF(AND($C932="",$I932="",$J932=""),"",IF($N932="","NO VAT CODE",IF($T932="","UNKNOWN VAT CODE",IF($S932="","MISSING FX RATE",IF(OR($A932&lt;Settings!$C$8,$A932&gt;Settings!$C$9),"OUTSIDE PERIOD",IF(AND(IFERROR(INDEX(VAT_Codes!$E:$E,MATCH($N932,VAT_Codes!$A:$A,0)),"ANY")&lt;&gt;"ANY",$P932=""),"MISSING COUNTERPARTY COUNTRY",IF(AND(IFERROR(INDEX(VAT_Codes!$E:$E,MATCH($N932,VAT_Codes!$A:$A,0)),"ANY")&lt;&gt;"ANY",$P932&lt;&gt;IFERROR(INDEX(VAT_Codes!$E:$E,MATCH($N932,VAT_Codes!$A:$A,0)),"ANY")),"REGION MISMATCH","OK")))))))</f>
        <v/>
      </c>
    </row>
    <row r="933" customFormat="false" ht="15" hidden="false" customHeight="false" outlineLevel="0" collapsed="false">
      <c r="M933" s="24" t="str">
        <f aca="false">IF($C933="","",IFERROR(INDEX(Account_Mapping!$C:$C,MATCH($C933&amp;"",Account_Mapping!$A:$A,0))&amp;"",""))</f>
        <v/>
      </c>
      <c r="N933" s="24" t="str">
        <f aca="false">IF($K933&lt;&gt;"",$K933,$M933)</f>
        <v/>
      </c>
      <c r="O933" s="24" t="str">
        <f aca="false">IF($F933="","",IFERROR(INDEX(Counterparties!$C:$C,MATCH($F933&amp;"",Counterparties!$A:$A,0))&amp;"",""))</f>
        <v/>
      </c>
      <c r="P933" s="24" t="str">
        <f aca="false">IF($O933="","",IF($O933="CY","CY",IF(ISNUMBER(MATCH($O933,Lists!$A:$A,0)),"EU","3RD")))</f>
        <v/>
      </c>
      <c r="Q933" s="24" t="str">
        <f aca="false">IF($F933="","N",IFERROR(IF(INDEX(Counterparties!$E:$E,MATCH($F933&amp;"",Counterparties!$A:$A,0))="Y","Y","N"),"N"))</f>
        <v>N</v>
      </c>
      <c r="R933" s="25" t="n">
        <f aca="false">IF(OR($H933="",$H933="EUR"),1,IFERROR(INDEX(FX_Rates!$D:$D,MATCH($H933,FX_Rates!$A:$A,0)),""))</f>
        <v>1</v>
      </c>
      <c r="S933" s="26" t="str">
        <f aca="false">IF(AND($I933="",$J933=""),"",IF($J933&lt;&gt;"",$J933,IF(OR($R933="",$R933=0),"",ROUND($I933/$R933,2))))</f>
        <v/>
      </c>
      <c r="T933" s="24" t="str">
        <f aca="false">IF($N933="","",IFERROR(INDEX(VAT_Codes!$C:$C,MATCH($N933,VAT_Codes!$A:$A,0)),"")&amp;"")</f>
        <v/>
      </c>
      <c r="U933" s="26" t="n">
        <f aca="false">IF(OR($S933="",$T933="",$T933="None"),0,IF($T933="Output",-$S933,$S933))</f>
        <v>0</v>
      </c>
      <c r="V933" s="27" t="n">
        <f aca="false">IF($N933="",0,IFERROR(INDEX(VAT_Codes!$D:$D,MATCH($N933,VAT_Codes!$A:$A,0)),0))</f>
        <v>0</v>
      </c>
      <c r="W933" s="26" t="n">
        <f aca="false">IF($U933=0,0,IF(IFERROR(INDEX(VAT_Codes!$F:$F,MATCH($N933,VAT_Codes!$A:$A,0)),"N")="Y",$U933,IF($L933&lt;&gt;"",ROUND(ABS($L933)/IF(OR($R933="",$R933=0),1,$R933),2)*SIGN($U933),ROUND($U933*$V933,2))))</f>
        <v>0</v>
      </c>
      <c r="X933" s="24" t="str">
        <f aca="false">IF($N933="","",IFERROR(INDEX(VAT_Codes!$H:$H,MATCH($N933,VAT_Codes!$A:$A,0)),"")&amp;"")</f>
        <v/>
      </c>
      <c r="Y933" s="24" t="str">
        <f aca="false">IF($A933="","",(YEAR($A933)-YEAR(Settings!$C$8))*12+MONTH($A933)-MONTH(Settings!$C$8)+1)</f>
        <v/>
      </c>
      <c r="Z933" s="24" t="str">
        <f aca="false">IF(AND($C933="",$I933="",$J933=""),"",IF($N933="","NO VAT CODE",IF($T933="","UNKNOWN VAT CODE",IF($S933="","MISSING FX RATE",IF(OR($A933&lt;Settings!$C$8,$A933&gt;Settings!$C$9),"OUTSIDE PERIOD",IF(AND(IFERROR(INDEX(VAT_Codes!$E:$E,MATCH($N933,VAT_Codes!$A:$A,0)),"ANY")&lt;&gt;"ANY",$P933=""),"MISSING COUNTERPARTY COUNTRY",IF(AND(IFERROR(INDEX(VAT_Codes!$E:$E,MATCH($N933,VAT_Codes!$A:$A,0)),"ANY")&lt;&gt;"ANY",$P933&lt;&gt;IFERROR(INDEX(VAT_Codes!$E:$E,MATCH($N933,VAT_Codes!$A:$A,0)),"ANY")),"REGION MISMATCH","OK")))))))</f>
        <v/>
      </c>
    </row>
    <row r="934" customFormat="false" ht="15" hidden="false" customHeight="false" outlineLevel="0" collapsed="false">
      <c r="M934" s="24" t="str">
        <f aca="false">IF($C934="","",IFERROR(INDEX(Account_Mapping!$C:$C,MATCH($C934&amp;"",Account_Mapping!$A:$A,0))&amp;"",""))</f>
        <v/>
      </c>
      <c r="N934" s="24" t="str">
        <f aca="false">IF($K934&lt;&gt;"",$K934,$M934)</f>
        <v/>
      </c>
      <c r="O934" s="24" t="str">
        <f aca="false">IF($F934="","",IFERROR(INDEX(Counterparties!$C:$C,MATCH($F934&amp;"",Counterparties!$A:$A,0))&amp;"",""))</f>
        <v/>
      </c>
      <c r="P934" s="24" t="str">
        <f aca="false">IF($O934="","",IF($O934="CY","CY",IF(ISNUMBER(MATCH($O934,Lists!$A:$A,0)),"EU","3RD")))</f>
        <v/>
      </c>
      <c r="Q934" s="24" t="str">
        <f aca="false">IF($F934="","N",IFERROR(IF(INDEX(Counterparties!$E:$E,MATCH($F934&amp;"",Counterparties!$A:$A,0))="Y","Y","N"),"N"))</f>
        <v>N</v>
      </c>
      <c r="R934" s="25" t="n">
        <f aca="false">IF(OR($H934="",$H934="EUR"),1,IFERROR(INDEX(FX_Rates!$D:$D,MATCH($H934,FX_Rates!$A:$A,0)),""))</f>
        <v>1</v>
      </c>
      <c r="S934" s="26" t="str">
        <f aca="false">IF(AND($I934="",$J934=""),"",IF($J934&lt;&gt;"",$J934,IF(OR($R934="",$R934=0),"",ROUND($I934/$R934,2))))</f>
        <v/>
      </c>
      <c r="T934" s="24" t="str">
        <f aca="false">IF($N934="","",IFERROR(INDEX(VAT_Codes!$C:$C,MATCH($N934,VAT_Codes!$A:$A,0)),"")&amp;"")</f>
        <v/>
      </c>
      <c r="U934" s="26" t="n">
        <f aca="false">IF(OR($S934="",$T934="",$T934="None"),0,IF($T934="Output",-$S934,$S934))</f>
        <v>0</v>
      </c>
      <c r="V934" s="27" t="n">
        <f aca="false">IF($N934="",0,IFERROR(INDEX(VAT_Codes!$D:$D,MATCH($N934,VAT_Codes!$A:$A,0)),0))</f>
        <v>0</v>
      </c>
      <c r="W934" s="26" t="n">
        <f aca="false">IF($U934=0,0,IF(IFERROR(INDEX(VAT_Codes!$F:$F,MATCH($N934,VAT_Codes!$A:$A,0)),"N")="Y",$U934,IF($L934&lt;&gt;"",ROUND(ABS($L934)/IF(OR($R934="",$R934=0),1,$R934),2)*SIGN($U934),ROUND($U934*$V934,2))))</f>
        <v>0</v>
      </c>
      <c r="X934" s="24" t="str">
        <f aca="false">IF($N934="","",IFERROR(INDEX(VAT_Codes!$H:$H,MATCH($N934,VAT_Codes!$A:$A,0)),"")&amp;"")</f>
        <v/>
      </c>
      <c r="Y934" s="24" t="str">
        <f aca="false">IF($A934="","",(YEAR($A934)-YEAR(Settings!$C$8))*12+MONTH($A934)-MONTH(Settings!$C$8)+1)</f>
        <v/>
      </c>
      <c r="Z934" s="24" t="str">
        <f aca="false">IF(AND($C934="",$I934="",$J934=""),"",IF($N934="","NO VAT CODE",IF($T934="","UNKNOWN VAT CODE",IF($S934="","MISSING FX RATE",IF(OR($A934&lt;Settings!$C$8,$A934&gt;Settings!$C$9),"OUTSIDE PERIOD",IF(AND(IFERROR(INDEX(VAT_Codes!$E:$E,MATCH($N934,VAT_Codes!$A:$A,0)),"ANY")&lt;&gt;"ANY",$P934=""),"MISSING COUNTERPARTY COUNTRY",IF(AND(IFERROR(INDEX(VAT_Codes!$E:$E,MATCH($N934,VAT_Codes!$A:$A,0)),"ANY")&lt;&gt;"ANY",$P934&lt;&gt;IFERROR(INDEX(VAT_Codes!$E:$E,MATCH($N934,VAT_Codes!$A:$A,0)),"ANY")),"REGION MISMATCH","OK")))))))</f>
        <v/>
      </c>
    </row>
    <row r="935" customFormat="false" ht="15" hidden="false" customHeight="false" outlineLevel="0" collapsed="false">
      <c r="M935" s="24" t="str">
        <f aca="false">IF($C935="","",IFERROR(INDEX(Account_Mapping!$C:$C,MATCH($C935&amp;"",Account_Mapping!$A:$A,0))&amp;"",""))</f>
        <v/>
      </c>
      <c r="N935" s="24" t="str">
        <f aca="false">IF($K935&lt;&gt;"",$K935,$M935)</f>
        <v/>
      </c>
      <c r="O935" s="24" t="str">
        <f aca="false">IF($F935="","",IFERROR(INDEX(Counterparties!$C:$C,MATCH($F935&amp;"",Counterparties!$A:$A,0))&amp;"",""))</f>
        <v/>
      </c>
      <c r="P935" s="24" t="str">
        <f aca="false">IF($O935="","",IF($O935="CY","CY",IF(ISNUMBER(MATCH($O935,Lists!$A:$A,0)),"EU","3RD")))</f>
        <v/>
      </c>
      <c r="Q935" s="24" t="str">
        <f aca="false">IF($F935="","N",IFERROR(IF(INDEX(Counterparties!$E:$E,MATCH($F935&amp;"",Counterparties!$A:$A,0))="Y","Y","N"),"N"))</f>
        <v>N</v>
      </c>
      <c r="R935" s="25" t="n">
        <f aca="false">IF(OR($H935="",$H935="EUR"),1,IFERROR(INDEX(FX_Rates!$D:$D,MATCH($H935,FX_Rates!$A:$A,0)),""))</f>
        <v>1</v>
      </c>
      <c r="S935" s="26" t="str">
        <f aca="false">IF(AND($I935="",$J935=""),"",IF($J935&lt;&gt;"",$J935,IF(OR($R935="",$R935=0),"",ROUND($I935/$R935,2))))</f>
        <v/>
      </c>
      <c r="T935" s="24" t="str">
        <f aca="false">IF($N935="","",IFERROR(INDEX(VAT_Codes!$C:$C,MATCH($N935,VAT_Codes!$A:$A,0)),"")&amp;"")</f>
        <v/>
      </c>
      <c r="U935" s="26" t="n">
        <f aca="false">IF(OR($S935="",$T935="",$T935="None"),0,IF($T935="Output",-$S935,$S935))</f>
        <v>0</v>
      </c>
      <c r="V935" s="27" t="n">
        <f aca="false">IF($N935="",0,IFERROR(INDEX(VAT_Codes!$D:$D,MATCH($N935,VAT_Codes!$A:$A,0)),0))</f>
        <v>0</v>
      </c>
      <c r="W935" s="26" t="n">
        <f aca="false">IF($U935=0,0,IF(IFERROR(INDEX(VAT_Codes!$F:$F,MATCH($N935,VAT_Codes!$A:$A,0)),"N")="Y",$U935,IF($L935&lt;&gt;"",ROUND(ABS($L935)/IF(OR($R935="",$R935=0),1,$R935),2)*SIGN($U935),ROUND($U935*$V935,2))))</f>
        <v>0</v>
      </c>
      <c r="X935" s="24" t="str">
        <f aca="false">IF($N935="","",IFERROR(INDEX(VAT_Codes!$H:$H,MATCH($N935,VAT_Codes!$A:$A,0)),"")&amp;"")</f>
        <v/>
      </c>
      <c r="Y935" s="24" t="str">
        <f aca="false">IF($A935="","",(YEAR($A935)-YEAR(Settings!$C$8))*12+MONTH($A935)-MONTH(Settings!$C$8)+1)</f>
        <v/>
      </c>
      <c r="Z935" s="24" t="str">
        <f aca="false">IF(AND($C935="",$I935="",$J935=""),"",IF($N935="","NO VAT CODE",IF($T935="","UNKNOWN VAT CODE",IF($S935="","MISSING FX RATE",IF(OR($A935&lt;Settings!$C$8,$A935&gt;Settings!$C$9),"OUTSIDE PERIOD",IF(AND(IFERROR(INDEX(VAT_Codes!$E:$E,MATCH($N935,VAT_Codes!$A:$A,0)),"ANY")&lt;&gt;"ANY",$P935=""),"MISSING COUNTERPARTY COUNTRY",IF(AND(IFERROR(INDEX(VAT_Codes!$E:$E,MATCH($N935,VAT_Codes!$A:$A,0)),"ANY")&lt;&gt;"ANY",$P935&lt;&gt;IFERROR(INDEX(VAT_Codes!$E:$E,MATCH($N935,VAT_Codes!$A:$A,0)),"ANY")),"REGION MISMATCH","OK")))))))</f>
        <v/>
      </c>
    </row>
    <row r="936" customFormat="false" ht="15" hidden="false" customHeight="false" outlineLevel="0" collapsed="false">
      <c r="M936" s="24" t="str">
        <f aca="false">IF($C936="","",IFERROR(INDEX(Account_Mapping!$C:$C,MATCH($C936&amp;"",Account_Mapping!$A:$A,0))&amp;"",""))</f>
        <v/>
      </c>
      <c r="N936" s="24" t="str">
        <f aca="false">IF($K936&lt;&gt;"",$K936,$M936)</f>
        <v/>
      </c>
      <c r="O936" s="24" t="str">
        <f aca="false">IF($F936="","",IFERROR(INDEX(Counterparties!$C:$C,MATCH($F936&amp;"",Counterparties!$A:$A,0))&amp;"",""))</f>
        <v/>
      </c>
      <c r="P936" s="24" t="str">
        <f aca="false">IF($O936="","",IF($O936="CY","CY",IF(ISNUMBER(MATCH($O936,Lists!$A:$A,0)),"EU","3RD")))</f>
        <v/>
      </c>
      <c r="Q936" s="24" t="str">
        <f aca="false">IF($F936="","N",IFERROR(IF(INDEX(Counterparties!$E:$E,MATCH($F936&amp;"",Counterparties!$A:$A,0))="Y","Y","N"),"N"))</f>
        <v>N</v>
      </c>
      <c r="R936" s="25" t="n">
        <f aca="false">IF(OR($H936="",$H936="EUR"),1,IFERROR(INDEX(FX_Rates!$D:$D,MATCH($H936,FX_Rates!$A:$A,0)),""))</f>
        <v>1</v>
      </c>
      <c r="S936" s="26" t="str">
        <f aca="false">IF(AND($I936="",$J936=""),"",IF($J936&lt;&gt;"",$J936,IF(OR($R936="",$R936=0),"",ROUND($I936/$R936,2))))</f>
        <v/>
      </c>
      <c r="T936" s="24" t="str">
        <f aca="false">IF($N936="","",IFERROR(INDEX(VAT_Codes!$C:$C,MATCH($N936,VAT_Codes!$A:$A,0)),"")&amp;"")</f>
        <v/>
      </c>
      <c r="U936" s="26" t="n">
        <f aca="false">IF(OR($S936="",$T936="",$T936="None"),0,IF($T936="Output",-$S936,$S936))</f>
        <v>0</v>
      </c>
      <c r="V936" s="27" t="n">
        <f aca="false">IF($N936="",0,IFERROR(INDEX(VAT_Codes!$D:$D,MATCH($N936,VAT_Codes!$A:$A,0)),0))</f>
        <v>0</v>
      </c>
      <c r="W936" s="26" t="n">
        <f aca="false">IF($U936=0,0,IF(IFERROR(INDEX(VAT_Codes!$F:$F,MATCH($N936,VAT_Codes!$A:$A,0)),"N")="Y",$U936,IF($L936&lt;&gt;"",ROUND(ABS($L936)/IF(OR($R936="",$R936=0),1,$R936),2)*SIGN($U936),ROUND($U936*$V936,2))))</f>
        <v>0</v>
      </c>
      <c r="X936" s="24" t="str">
        <f aca="false">IF($N936="","",IFERROR(INDEX(VAT_Codes!$H:$H,MATCH($N936,VAT_Codes!$A:$A,0)),"")&amp;"")</f>
        <v/>
      </c>
      <c r="Y936" s="24" t="str">
        <f aca="false">IF($A936="","",(YEAR($A936)-YEAR(Settings!$C$8))*12+MONTH($A936)-MONTH(Settings!$C$8)+1)</f>
        <v/>
      </c>
      <c r="Z936" s="24" t="str">
        <f aca="false">IF(AND($C936="",$I936="",$J936=""),"",IF($N936="","NO VAT CODE",IF($T936="","UNKNOWN VAT CODE",IF($S936="","MISSING FX RATE",IF(OR($A936&lt;Settings!$C$8,$A936&gt;Settings!$C$9),"OUTSIDE PERIOD",IF(AND(IFERROR(INDEX(VAT_Codes!$E:$E,MATCH($N936,VAT_Codes!$A:$A,0)),"ANY")&lt;&gt;"ANY",$P936=""),"MISSING COUNTERPARTY COUNTRY",IF(AND(IFERROR(INDEX(VAT_Codes!$E:$E,MATCH($N936,VAT_Codes!$A:$A,0)),"ANY")&lt;&gt;"ANY",$P936&lt;&gt;IFERROR(INDEX(VAT_Codes!$E:$E,MATCH($N936,VAT_Codes!$A:$A,0)),"ANY")),"REGION MISMATCH","OK")))))))</f>
        <v/>
      </c>
    </row>
    <row r="937" customFormat="false" ht="15" hidden="false" customHeight="false" outlineLevel="0" collapsed="false">
      <c r="M937" s="24" t="str">
        <f aca="false">IF($C937="","",IFERROR(INDEX(Account_Mapping!$C:$C,MATCH($C937&amp;"",Account_Mapping!$A:$A,0))&amp;"",""))</f>
        <v/>
      </c>
      <c r="N937" s="24" t="str">
        <f aca="false">IF($K937&lt;&gt;"",$K937,$M937)</f>
        <v/>
      </c>
      <c r="O937" s="24" t="str">
        <f aca="false">IF($F937="","",IFERROR(INDEX(Counterparties!$C:$C,MATCH($F937&amp;"",Counterparties!$A:$A,0))&amp;"",""))</f>
        <v/>
      </c>
      <c r="P937" s="24" t="str">
        <f aca="false">IF($O937="","",IF($O937="CY","CY",IF(ISNUMBER(MATCH($O937,Lists!$A:$A,0)),"EU","3RD")))</f>
        <v/>
      </c>
      <c r="Q937" s="24" t="str">
        <f aca="false">IF($F937="","N",IFERROR(IF(INDEX(Counterparties!$E:$E,MATCH($F937&amp;"",Counterparties!$A:$A,0))="Y","Y","N"),"N"))</f>
        <v>N</v>
      </c>
      <c r="R937" s="25" t="n">
        <f aca="false">IF(OR($H937="",$H937="EUR"),1,IFERROR(INDEX(FX_Rates!$D:$D,MATCH($H937,FX_Rates!$A:$A,0)),""))</f>
        <v>1</v>
      </c>
      <c r="S937" s="26" t="str">
        <f aca="false">IF(AND($I937="",$J937=""),"",IF($J937&lt;&gt;"",$J937,IF(OR($R937="",$R937=0),"",ROUND($I937/$R937,2))))</f>
        <v/>
      </c>
      <c r="T937" s="24" t="str">
        <f aca="false">IF($N937="","",IFERROR(INDEX(VAT_Codes!$C:$C,MATCH($N937,VAT_Codes!$A:$A,0)),"")&amp;"")</f>
        <v/>
      </c>
      <c r="U937" s="26" t="n">
        <f aca="false">IF(OR($S937="",$T937="",$T937="None"),0,IF($T937="Output",-$S937,$S937))</f>
        <v>0</v>
      </c>
      <c r="V937" s="27" t="n">
        <f aca="false">IF($N937="",0,IFERROR(INDEX(VAT_Codes!$D:$D,MATCH($N937,VAT_Codes!$A:$A,0)),0))</f>
        <v>0</v>
      </c>
      <c r="W937" s="26" t="n">
        <f aca="false">IF($U937=0,0,IF(IFERROR(INDEX(VAT_Codes!$F:$F,MATCH($N937,VAT_Codes!$A:$A,0)),"N")="Y",$U937,IF($L937&lt;&gt;"",ROUND(ABS($L937)/IF(OR($R937="",$R937=0),1,$R937),2)*SIGN($U937),ROUND($U937*$V937,2))))</f>
        <v>0</v>
      </c>
      <c r="X937" s="24" t="str">
        <f aca="false">IF($N937="","",IFERROR(INDEX(VAT_Codes!$H:$H,MATCH($N937,VAT_Codes!$A:$A,0)),"")&amp;"")</f>
        <v/>
      </c>
      <c r="Y937" s="24" t="str">
        <f aca="false">IF($A937="","",(YEAR($A937)-YEAR(Settings!$C$8))*12+MONTH($A937)-MONTH(Settings!$C$8)+1)</f>
        <v/>
      </c>
      <c r="Z937" s="24" t="str">
        <f aca="false">IF(AND($C937="",$I937="",$J937=""),"",IF($N937="","NO VAT CODE",IF($T937="","UNKNOWN VAT CODE",IF($S937="","MISSING FX RATE",IF(OR($A937&lt;Settings!$C$8,$A937&gt;Settings!$C$9),"OUTSIDE PERIOD",IF(AND(IFERROR(INDEX(VAT_Codes!$E:$E,MATCH($N937,VAT_Codes!$A:$A,0)),"ANY")&lt;&gt;"ANY",$P937=""),"MISSING COUNTERPARTY COUNTRY",IF(AND(IFERROR(INDEX(VAT_Codes!$E:$E,MATCH($N937,VAT_Codes!$A:$A,0)),"ANY")&lt;&gt;"ANY",$P937&lt;&gt;IFERROR(INDEX(VAT_Codes!$E:$E,MATCH($N937,VAT_Codes!$A:$A,0)),"ANY")),"REGION MISMATCH","OK")))))))</f>
        <v/>
      </c>
    </row>
    <row r="938" customFormat="false" ht="15" hidden="false" customHeight="false" outlineLevel="0" collapsed="false">
      <c r="M938" s="24" t="str">
        <f aca="false">IF($C938="","",IFERROR(INDEX(Account_Mapping!$C:$C,MATCH($C938&amp;"",Account_Mapping!$A:$A,0))&amp;"",""))</f>
        <v/>
      </c>
      <c r="N938" s="24" t="str">
        <f aca="false">IF($K938&lt;&gt;"",$K938,$M938)</f>
        <v/>
      </c>
      <c r="O938" s="24" t="str">
        <f aca="false">IF($F938="","",IFERROR(INDEX(Counterparties!$C:$C,MATCH($F938&amp;"",Counterparties!$A:$A,0))&amp;"",""))</f>
        <v/>
      </c>
      <c r="P938" s="24" t="str">
        <f aca="false">IF($O938="","",IF($O938="CY","CY",IF(ISNUMBER(MATCH($O938,Lists!$A:$A,0)),"EU","3RD")))</f>
        <v/>
      </c>
      <c r="Q938" s="24" t="str">
        <f aca="false">IF($F938="","N",IFERROR(IF(INDEX(Counterparties!$E:$E,MATCH($F938&amp;"",Counterparties!$A:$A,0))="Y","Y","N"),"N"))</f>
        <v>N</v>
      </c>
      <c r="R938" s="25" t="n">
        <f aca="false">IF(OR($H938="",$H938="EUR"),1,IFERROR(INDEX(FX_Rates!$D:$D,MATCH($H938,FX_Rates!$A:$A,0)),""))</f>
        <v>1</v>
      </c>
      <c r="S938" s="26" t="str">
        <f aca="false">IF(AND($I938="",$J938=""),"",IF($J938&lt;&gt;"",$J938,IF(OR($R938="",$R938=0),"",ROUND($I938/$R938,2))))</f>
        <v/>
      </c>
      <c r="T938" s="24" t="str">
        <f aca="false">IF($N938="","",IFERROR(INDEX(VAT_Codes!$C:$C,MATCH($N938,VAT_Codes!$A:$A,0)),"")&amp;"")</f>
        <v/>
      </c>
      <c r="U938" s="26" t="n">
        <f aca="false">IF(OR($S938="",$T938="",$T938="None"),0,IF($T938="Output",-$S938,$S938))</f>
        <v>0</v>
      </c>
      <c r="V938" s="27" t="n">
        <f aca="false">IF($N938="",0,IFERROR(INDEX(VAT_Codes!$D:$D,MATCH($N938,VAT_Codes!$A:$A,0)),0))</f>
        <v>0</v>
      </c>
      <c r="W938" s="26" t="n">
        <f aca="false">IF($U938=0,0,IF(IFERROR(INDEX(VAT_Codes!$F:$F,MATCH($N938,VAT_Codes!$A:$A,0)),"N")="Y",$U938,IF($L938&lt;&gt;"",ROUND(ABS($L938)/IF(OR($R938="",$R938=0),1,$R938),2)*SIGN($U938),ROUND($U938*$V938,2))))</f>
        <v>0</v>
      </c>
      <c r="X938" s="24" t="str">
        <f aca="false">IF($N938="","",IFERROR(INDEX(VAT_Codes!$H:$H,MATCH($N938,VAT_Codes!$A:$A,0)),"")&amp;"")</f>
        <v/>
      </c>
      <c r="Y938" s="24" t="str">
        <f aca="false">IF($A938="","",(YEAR($A938)-YEAR(Settings!$C$8))*12+MONTH($A938)-MONTH(Settings!$C$8)+1)</f>
        <v/>
      </c>
      <c r="Z938" s="24" t="str">
        <f aca="false">IF(AND($C938="",$I938="",$J938=""),"",IF($N938="","NO VAT CODE",IF($T938="","UNKNOWN VAT CODE",IF($S938="","MISSING FX RATE",IF(OR($A938&lt;Settings!$C$8,$A938&gt;Settings!$C$9),"OUTSIDE PERIOD",IF(AND(IFERROR(INDEX(VAT_Codes!$E:$E,MATCH($N938,VAT_Codes!$A:$A,0)),"ANY")&lt;&gt;"ANY",$P938=""),"MISSING COUNTERPARTY COUNTRY",IF(AND(IFERROR(INDEX(VAT_Codes!$E:$E,MATCH($N938,VAT_Codes!$A:$A,0)),"ANY")&lt;&gt;"ANY",$P938&lt;&gt;IFERROR(INDEX(VAT_Codes!$E:$E,MATCH($N938,VAT_Codes!$A:$A,0)),"ANY")),"REGION MISMATCH","OK")))))))</f>
        <v/>
      </c>
    </row>
    <row r="939" customFormat="false" ht="15" hidden="false" customHeight="false" outlineLevel="0" collapsed="false">
      <c r="M939" s="24" t="str">
        <f aca="false">IF($C939="","",IFERROR(INDEX(Account_Mapping!$C:$C,MATCH($C939&amp;"",Account_Mapping!$A:$A,0))&amp;"",""))</f>
        <v/>
      </c>
      <c r="N939" s="24" t="str">
        <f aca="false">IF($K939&lt;&gt;"",$K939,$M939)</f>
        <v/>
      </c>
      <c r="O939" s="24" t="str">
        <f aca="false">IF($F939="","",IFERROR(INDEX(Counterparties!$C:$C,MATCH($F939&amp;"",Counterparties!$A:$A,0))&amp;"",""))</f>
        <v/>
      </c>
      <c r="P939" s="24" t="str">
        <f aca="false">IF($O939="","",IF($O939="CY","CY",IF(ISNUMBER(MATCH($O939,Lists!$A:$A,0)),"EU","3RD")))</f>
        <v/>
      </c>
      <c r="Q939" s="24" t="str">
        <f aca="false">IF($F939="","N",IFERROR(IF(INDEX(Counterparties!$E:$E,MATCH($F939&amp;"",Counterparties!$A:$A,0))="Y","Y","N"),"N"))</f>
        <v>N</v>
      </c>
      <c r="R939" s="25" t="n">
        <f aca="false">IF(OR($H939="",$H939="EUR"),1,IFERROR(INDEX(FX_Rates!$D:$D,MATCH($H939,FX_Rates!$A:$A,0)),""))</f>
        <v>1</v>
      </c>
      <c r="S939" s="26" t="str">
        <f aca="false">IF(AND($I939="",$J939=""),"",IF($J939&lt;&gt;"",$J939,IF(OR($R939="",$R939=0),"",ROUND($I939/$R939,2))))</f>
        <v/>
      </c>
      <c r="T939" s="24" t="str">
        <f aca="false">IF($N939="","",IFERROR(INDEX(VAT_Codes!$C:$C,MATCH($N939,VAT_Codes!$A:$A,0)),"")&amp;"")</f>
        <v/>
      </c>
      <c r="U939" s="26" t="n">
        <f aca="false">IF(OR($S939="",$T939="",$T939="None"),0,IF($T939="Output",-$S939,$S939))</f>
        <v>0</v>
      </c>
      <c r="V939" s="27" t="n">
        <f aca="false">IF($N939="",0,IFERROR(INDEX(VAT_Codes!$D:$D,MATCH($N939,VAT_Codes!$A:$A,0)),0))</f>
        <v>0</v>
      </c>
      <c r="W939" s="26" t="n">
        <f aca="false">IF($U939=0,0,IF(IFERROR(INDEX(VAT_Codes!$F:$F,MATCH($N939,VAT_Codes!$A:$A,0)),"N")="Y",$U939,IF($L939&lt;&gt;"",ROUND(ABS($L939)/IF(OR($R939="",$R939=0),1,$R939),2)*SIGN($U939),ROUND($U939*$V939,2))))</f>
        <v>0</v>
      </c>
      <c r="X939" s="24" t="str">
        <f aca="false">IF($N939="","",IFERROR(INDEX(VAT_Codes!$H:$H,MATCH($N939,VAT_Codes!$A:$A,0)),"")&amp;"")</f>
        <v/>
      </c>
      <c r="Y939" s="24" t="str">
        <f aca="false">IF($A939="","",(YEAR($A939)-YEAR(Settings!$C$8))*12+MONTH($A939)-MONTH(Settings!$C$8)+1)</f>
        <v/>
      </c>
      <c r="Z939" s="24" t="str">
        <f aca="false">IF(AND($C939="",$I939="",$J939=""),"",IF($N939="","NO VAT CODE",IF($T939="","UNKNOWN VAT CODE",IF($S939="","MISSING FX RATE",IF(OR($A939&lt;Settings!$C$8,$A939&gt;Settings!$C$9),"OUTSIDE PERIOD",IF(AND(IFERROR(INDEX(VAT_Codes!$E:$E,MATCH($N939,VAT_Codes!$A:$A,0)),"ANY")&lt;&gt;"ANY",$P939=""),"MISSING COUNTERPARTY COUNTRY",IF(AND(IFERROR(INDEX(VAT_Codes!$E:$E,MATCH($N939,VAT_Codes!$A:$A,0)),"ANY")&lt;&gt;"ANY",$P939&lt;&gt;IFERROR(INDEX(VAT_Codes!$E:$E,MATCH($N939,VAT_Codes!$A:$A,0)),"ANY")),"REGION MISMATCH","OK")))))))</f>
        <v/>
      </c>
    </row>
    <row r="940" customFormat="false" ht="15" hidden="false" customHeight="false" outlineLevel="0" collapsed="false">
      <c r="M940" s="24" t="str">
        <f aca="false">IF($C940="","",IFERROR(INDEX(Account_Mapping!$C:$C,MATCH($C940&amp;"",Account_Mapping!$A:$A,0))&amp;"",""))</f>
        <v/>
      </c>
      <c r="N940" s="24" t="str">
        <f aca="false">IF($K940&lt;&gt;"",$K940,$M940)</f>
        <v/>
      </c>
      <c r="O940" s="24" t="str">
        <f aca="false">IF($F940="","",IFERROR(INDEX(Counterparties!$C:$C,MATCH($F940&amp;"",Counterparties!$A:$A,0))&amp;"",""))</f>
        <v/>
      </c>
      <c r="P940" s="24" t="str">
        <f aca="false">IF($O940="","",IF($O940="CY","CY",IF(ISNUMBER(MATCH($O940,Lists!$A:$A,0)),"EU","3RD")))</f>
        <v/>
      </c>
      <c r="Q940" s="24" t="str">
        <f aca="false">IF($F940="","N",IFERROR(IF(INDEX(Counterparties!$E:$E,MATCH($F940&amp;"",Counterparties!$A:$A,0))="Y","Y","N"),"N"))</f>
        <v>N</v>
      </c>
      <c r="R940" s="25" t="n">
        <f aca="false">IF(OR($H940="",$H940="EUR"),1,IFERROR(INDEX(FX_Rates!$D:$D,MATCH($H940,FX_Rates!$A:$A,0)),""))</f>
        <v>1</v>
      </c>
      <c r="S940" s="26" t="str">
        <f aca="false">IF(AND($I940="",$J940=""),"",IF($J940&lt;&gt;"",$J940,IF(OR($R940="",$R940=0),"",ROUND($I940/$R940,2))))</f>
        <v/>
      </c>
      <c r="T940" s="24" t="str">
        <f aca="false">IF($N940="","",IFERROR(INDEX(VAT_Codes!$C:$C,MATCH($N940,VAT_Codes!$A:$A,0)),"")&amp;"")</f>
        <v/>
      </c>
      <c r="U940" s="26" t="n">
        <f aca="false">IF(OR($S940="",$T940="",$T940="None"),0,IF($T940="Output",-$S940,$S940))</f>
        <v>0</v>
      </c>
      <c r="V940" s="27" t="n">
        <f aca="false">IF($N940="",0,IFERROR(INDEX(VAT_Codes!$D:$D,MATCH($N940,VAT_Codes!$A:$A,0)),0))</f>
        <v>0</v>
      </c>
      <c r="W940" s="26" t="n">
        <f aca="false">IF($U940=0,0,IF(IFERROR(INDEX(VAT_Codes!$F:$F,MATCH($N940,VAT_Codes!$A:$A,0)),"N")="Y",$U940,IF($L940&lt;&gt;"",ROUND(ABS($L940)/IF(OR($R940="",$R940=0),1,$R940),2)*SIGN($U940),ROUND($U940*$V940,2))))</f>
        <v>0</v>
      </c>
      <c r="X940" s="24" t="str">
        <f aca="false">IF($N940="","",IFERROR(INDEX(VAT_Codes!$H:$H,MATCH($N940,VAT_Codes!$A:$A,0)),"")&amp;"")</f>
        <v/>
      </c>
      <c r="Y940" s="24" t="str">
        <f aca="false">IF($A940="","",(YEAR($A940)-YEAR(Settings!$C$8))*12+MONTH($A940)-MONTH(Settings!$C$8)+1)</f>
        <v/>
      </c>
      <c r="Z940" s="24" t="str">
        <f aca="false">IF(AND($C940="",$I940="",$J940=""),"",IF($N940="","NO VAT CODE",IF($T940="","UNKNOWN VAT CODE",IF($S940="","MISSING FX RATE",IF(OR($A940&lt;Settings!$C$8,$A940&gt;Settings!$C$9),"OUTSIDE PERIOD",IF(AND(IFERROR(INDEX(VAT_Codes!$E:$E,MATCH($N940,VAT_Codes!$A:$A,0)),"ANY")&lt;&gt;"ANY",$P940=""),"MISSING COUNTERPARTY COUNTRY",IF(AND(IFERROR(INDEX(VAT_Codes!$E:$E,MATCH($N940,VAT_Codes!$A:$A,0)),"ANY")&lt;&gt;"ANY",$P940&lt;&gt;IFERROR(INDEX(VAT_Codes!$E:$E,MATCH($N940,VAT_Codes!$A:$A,0)),"ANY")),"REGION MISMATCH","OK")))))))</f>
        <v/>
      </c>
    </row>
    <row r="941" customFormat="false" ht="15" hidden="false" customHeight="false" outlineLevel="0" collapsed="false">
      <c r="M941" s="24" t="str">
        <f aca="false">IF($C941="","",IFERROR(INDEX(Account_Mapping!$C:$C,MATCH($C941&amp;"",Account_Mapping!$A:$A,0))&amp;"",""))</f>
        <v/>
      </c>
      <c r="N941" s="24" t="str">
        <f aca="false">IF($K941&lt;&gt;"",$K941,$M941)</f>
        <v/>
      </c>
      <c r="O941" s="24" t="str">
        <f aca="false">IF($F941="","",IFERROR(INDEX(Counterparties!$C:$C,MATCH($F941&amp;"",Counterparties!$A:$A,0))&amp;"",""))</f>
        <v/>
      </c>
      <c r="P941" s="24" t="str">
        <f aca="false">IF($O941="","",IF($O941="CY","CY",IF(ISNUMBER(MATCH($O941,Lists!$A:$A,0)),"EU","3RD")))</f>
        <v/>
      </c>
      <c r="Q941" s="24" t="str">
        <f aca="false">IF($F941="","N",IFERROR(IF(INDEX(Counterparties!$E:$E,MATCH($F941&amp;"",Counterparties!$A:$A,0))="Y","Y","N"),"N"))</f>
        <v>N</v>
      </c>
      <c r="R941" s="25" t="n">
        <f aca="false">IF(OR($H941="",$H941="EUR"),1,IFERROR(INDEX(FX_Rates!$D:$D,MATCH($H941,FX_Rates!$A:$A,0)),""))</f>
        <v>1</v>
      </c>
      <c r="S941" s="26" t="str">
        <f aca="false">IF(AND($I941="",$J941=""),"",IF($J941&lt;&gt;"",$J941,IF(OR($R941="",$R941=0),"",ROUND($I941/$R941,2))))</f>
        <v/>
      </c>
      <c r="T941" s="24" t="str">
        <f aca="false">IF($N941="","",IFERROR(INDEX(VAT_Codes!$C:$C,MATCH($N941,VAT_Codes!$A:$A,0)),"")&amp;"")</f>
        <v/>
      </c>
      <c r="U941" s="26" t="n">
        <f aca="false">IF(OR($S941="",$T941="",$T941="None"),0,IF($T941="Output",-$S941,$S941))</f>
        <v>0</v>
      </c>
      <c r="V941" s="27" t="n">
        <f aca="false">IF($N941="",0,IFERROR(INDEX(VAT_Codes!$D:$D,MATCH($N941,VAT_Codes!$A:$A,0)),0))</f>
        <v>0</v>
      </c>
      <c r="W941" s="26" t="n">
        <f aca="false">IF($U941=0,0,IF(IFERROR(INDEX(VAT_Codes!$F:$F,MATCH($N941,VAT_Codes!$A:$A,0)),"N")="Y",$U941,IF($L941&lt;&gt;"",ROUND(ABS($L941)/IF(OR($R941="",$R941=0),1,$R941),2)*SIGN($U941),ROUND($U941*$V941,2))))</f>
        <v>0</v>
      </c>
      <c r="X941" s="24" t="str">
        <f aca="false">IF($N941="","",IFERROR(INDEX(VAT_Codes!$H:$H,MATCH($N941,VAT_Codes!$A:$A,0)),"")&amp;"")</f>
        <v/>
      </c>
      <c r="Y941" s="24" t="str">
        <f aca="false">IF($A941="","",(YEAR($A941)-YEAR(Settings!$C$8))*12+MONTH($A941)-MONTH(Settings!$C$8)+1)</f>
        <v/>
      </c>
      <c r="Z941" s="24" t="str">
        <f aca="false">IF(AND($C941="",$I941="",$J941=""),"",IF($N941="","NO VAT CODE",IF($T941="","UNKNOWN VAT CODE",IF($S941="","MISSING FX RATE",IF(OR($A941&lt;Settings!$C$8,$A941&gt;Settings!$C$9),"OUTSIDE PERIOD",IF(AND(IFERROR(INDEX(VAT_Codes!$E:$E,MATCH($N941,VAT_Codes!$A:$A,0)),"ANY")&lt;&gt;"ANY",$P941=""),"MISSING COUNTERPARTY COUNTRY",IF(AND(IFERROR(INDEX(VAT_Codes!$E:$E,MATCH($N941,VAT_Codes!$A:$A,0)),"ANY")&lt;&gt;"ANY",$P941&lt;&gt;IFERROR(INDEX(VAT_Codes!$E:$E,MATCH($N941,VAT_Codes!$A:$A,0)),"ANY")),"REGION MISMATCH","OK")))))))</f>
        <v/>
      </c>
    </row>
    <row r="942" customFormat="false" ht="15" hidden="false" customHeight="false" outlineLevel="0" collapsed="false">
      <c r="M942" s="24" t="str">
        <f aca="false">IF($C942="","",IFERROR(INDEX(Account_Mapping!$C:$C,MATCH($C942&amp;"",Account_Mapping!$A:$A,0))&amp;"",""))</f>
        <v/>
      </c>
      <c r="N942" s="24" t="str">
        <f aca="false">IF($K942&lt;&gt;"",$K942,$M942)</f>
        <v/>
      </c>
      <c r="O942" s="24" t="str">
        <f aca="false">IF($F942="","",IFERROR(INDEX(Counterparties!$C:$C,MATCH($F942&amp;"",Counterparties!$A:$A,0))&amp;"",""))</f>
        <v/>
      </c>
      <c r="P942" s="24" t="str">
        <f aca="false">IF($O942="","",IF($O942="CY","CY",IF(ISNUMBER(MATCH($O942,Lists!$A:$A,0)),"EU","3RD")))</f>
        <v/>
      </c>
      <c r="Q942" s="24" t="str">
        <f aca="false">IF($F942="","N",IFERROR(IF(INDEX(Counterparties!$E:$E,MATCH($F942&amp;"",Counterparties!$A:$A,0))="Y","Y","N"),"N"))</f>
        <v>N</v>
      </c>
      <c r="R942" s="25" t="n">
        <f aca="false">IF(OR($H942="",$H942="EUR"),1,IFERROR(INDEX(FX_Rates!$D:$D,MATCH($H942,FX_Rates!$A:$A,0)),""))</f>
        <v>1</v>
      </c>
      <c r="S942" s="26" t="str">
        <f aca="false">IF(AND($I942="",$J942=""),"",IF($J942&lt;&gt;"",$J942,IF(OR($R942="",$R942=0),"",ROUND($I942/$R942,2))))</f>
        <v/>
      </c>
      <c r="T942" s="24" t="str">
        <f aca="false">IF($N942="","",IFERROR(INDEX(VAT_Codes!$C:$C,MATCH($N942,VAT_Codes!$A:$A,0)),"")&amp;"")</f>
        <v/>
      </c>
      <c r="U942" s="26" t="n">
        <f aca="false">IF(OR($S942="",$T942="",$T942="None"),0,IF($T942="Output",-$S942,$S942))</f>
        <v>0</v>
      </c>
      <c r="V942" s="27" t="n">
        <f aca="false">IF($N942="",0,IFERROR(INDEX(VAT_Codes!$D:$D,MATCH($N942,VAT_Codes!$A:$A,0)),0))</f>
        <v>0</v>
      </c>
      <c r="W942" s="26" t="n">
        <f aca="false">IF($U942=0,0,IF(IFERROR(INDEX(VAT_Codes!$F:$F,MATCH($N942,VAT_Codes!$A:$A,0)),"N")="Y",$U942,IF($L942&lt;&gt;"",ROUND(ABS($L942)/IF(OR($R942="",$R942=0),1,$R942),2)*SIGN($U942),ROUND($U942*$V942,2))))</f>
        <v>0</v>
      </c>
      <c r="X942" s="24" t="str">
        <f aca="false">IF($N942="","",IFERROR(INDEX(VAT_Codes!$H:$H,MATCH($N942,VAT_Codes!$A:$A,0)),"")&amp;"")</f>
        <v/>
      </c>
      <c r="Y942" s="24" t="str">
        <f aca="false">IF($A942="","",(YEAR($A942)-YEAR(Settings!$C$8))*12+MONTH($A942)-MONTH(Settings!$C$8)+1)</f>
        <v/>
      </c>
      <c r="Z942" s="24" t="str">
        <f aca="false">IF(AND($C942="",$I942="",$J942=""),"",IF($N942="","NO VAT CODE",IF($T942="","UNKNOWN VAT CODE",IF($S942="","MISSING FX RATE",IF(OR($A942&lt;Settings!$C$8,$A942&gt;Settings!$C$9),"OUTSIDE PERIOD",IF(AND(IFERROR(INDEX(VAT_Codes!$E:$E,MATCH($N942,VAT_Codes!$A:$A,0)),"ANY")&lt;&gt;"ANY",$P942=""),"MISSING COUNTERPARTY COUNTRY",IF(AND(IFERROR(INDEX(VAT_Codes!$E:$E,MATCH($N942,VAT_Codes!$A:$A,0)),"ANY")&lt;&gt;"ANY",$P942&lt;&gt;IFERROR(INDEX(VAT_Codes!$E:$E,MATCH($N942,VAT_Codes!$A:$A,0)),"ANY")),"REGION MISMATCH","OK")))))))</f>
        <v/>
      </c>
    </row>
    <row r="943" customFormat="false" ht="15" hidden="false" customHeight="false" outlineLevel="0" collapsed="false">
      <c r="M943" s="24" t="str">
        <f aca="false">IF($C943="","",IFERROR(INDEX(Account_Mapping!$C:$C,MATCH($C943&amp;"",Account_Mapping!$A:$A,0))&amp;"",""))</f>
        <v/>
      </c>
      <c r="N943" s="24" t="str">
        <f aca="false">IF($K943&lt;&gt;"",$K943,$M943)</f>
        <v/>
      </c>
      <c r="O943" s="24" t="str">
        <f aca="false">IF($F943="","",IFERROR(INDEX(Counterparties!$C:$C,MATCH($F943&amp;"",Counterparties!$A:$A,0))&amp;"",""))</f>
        <v/>
      </c>
      <c r="P943" s="24" t="str">
        <f aca="false">IF($O943="","",IF($O943="CY","CY",IF(ISNUMBER(MATCH($O943,Lists!$A:$A,0)),"EU","3RD")))</f>
        <v/>
      </c>
      <c r="Q943" s="24" t="str">
        <f aca="false">IF($F943="","N",IFERROR(IF(INDEX(Counterparties!$E:$E,MATCH($F943&amp;"",Counterparties!$A:$A,0))="Y","Y","N"),"N"))</f>
        <v>N</v>
      </c>
      <c r="R943" s="25" t="n">
        <f aca="false">IF(OR($H943="",$H943="EUR"),1,IFERROR(INDEX(FX_Rates!$D:$D,MATCH($H943,FX_Rates!$A:$A,0)),""))</f>
        <v>1</v>
      </c>
      <c r="S943" s="26" t="str">
        <f aca="false">IF(AND($I943="",$J943=""),"",IF($J943&lt;&gt;"",$J943,IF(OR($R943="",$R943=0),"",ROUND($I943/$R943,2))))</f>
        <v/>
      </c>
      <c r="T943" s="24" t="str">
        <f aca="false">IF($N943="","",IFERROR(INDEX(VAT_Codes!$C:$C,MATCH($N943,VAT_Codes!$A:$A,0)),"")&amp;"")</f>
        <v/>
      </c>
      <c r="U943" s="26" t="n">
        <f aca="false">IF(OR($S943="",$T943="",$T943="None"),0,IF($T943="Output",-$S943,$S943))</f>
        <v>0</v>
      </c>
      <c r="V943" s="27" t="n">
        <f aca="false">IF($N943="",0,IFERROR(INDEX(VAT_Codes!$D:$D,MATCH($N943,VAT_Codes!$A:$A,0)),0))</f>
        <v>0</v>
      </c>
      <c r="W943" s="26" t="n">
        <f aca="false">IF($U943=0,0,IF(IFERROR(INDEX(VAT_Codes!$F:$F,MATCH($N943,VAT_Codes!$A:$A,0)),"N")="Y",$U943,IF($L943&lt;&gt;"",ROUND(ABS($L943)/IF(OR($R943="",$R943=0),1,$R943),2)*SIGN($U943),ROUND($U943*$V943,2))))</f>
        <v>0</v>
      </c>
      <c r="X943" s="24" t="str">
        <f aca="false">IF($N943="","",IFERROR(INDEX(VAT_Codes!$H:$H,MATCH($N943,VAT_Codes!$A:$A,0)),"")&amp;"")</f>
        <v/>
      </c>
      <c r="Y943" s="24" t="str">
        <f aca="false">IF($A943="","",(YEAR($A943)-YEAR(Settings!$C$8))*12+MONTH($A943)-MONTH(Settings!$C$8)+1)</f>
        <v/>
      </c>
      <c r="Z943" s="24" t="str">
        <f aca="false">IF(AND($C943="",$I943="",$J943=""),"",IF($N943="","NO VAT CODE",IF($T943="","UNKNOWN VAT CODE",IF($S943="","MISSING FX RATE",IF(OR($A943&lt;Settings!$C$8,$A943&gt;Settings!$C$9),"OUTSIDE PERIOD",IF(AND(IFERROR(INDEX(VAT_Codes!$E:$E,MATCH($N943,VAT_Codes!$A:$A,0)),"ANY")&lt;&gt;"ANY",$P943=""),"MISSING COUNTERPARTY COUNTRY",IF(AND(IFERROR(INDEX(VAT_Codes!$E:$E,MATCH($N943,VAT_Codes!$A:$A,0)),"ANY")&lt;&gt;"ANY",$P943&lt;&gt;IFERROR(INDEX(VAT_Codes!$E:$E,MATCH($N943,VAT_Codes!$A:$A,0)),"ANY")),"REGION MISMATCH","OK")))))))</f>
        <v/>
      </c>
    </row>
    <row r="944" customFormat="false" ht="15" hidden="false" customHeight="false" outlineLevel="0" collapsed="false">
      <c r="M944" s="24" t="str">
        <f aca="false">IF($C944="","",IFERROR(INDEX(Account_Mapping!$C:$C,MATCH($C944&amp;"",Account_Mapping!$A:$A,0))&amp;"",""))</f>
        <v/>
      </c>
      <c r="N944" s="24" t="str">
        <f aca="false">IF($K944&lt;&gt;"",$K944,$M944)</f>
        <v/>
      </c>
      <c r="O944" s="24" t="str">
        <f aca="false">IF($F944="","",IFERROR(INDEX(Counterparties!$C:$C,MATCH($F944&amp;"",Counterparties!$A:$A,0))&amp;"",""))</f>
        <v/>
      </c>
      <c r="P944" s="24" t="str">
        <f aca="false">IF($O944="","",IF($O944="CY","CY",IF(ISNUMBER(MATCH($O944,Lists!$A:$A,0)),"EU","3RD")))</f>
        <v/>
      </c>
      <c r="Q944" s="24" t="str">
        <f aca="false">IF($F944="","N",IFERROR(IF(INDEX(Counterparties!$E:$E,MATCH($F944&amp;"",Counterparties!$A:$A,0))="Y","Y","N"),"N"))</f>
        <v>N</v>
      </c>
      <c r="R944" s="25" t="n">
        <f aca="false">IF(OR($H944="",$H944="EUR"),1,IFERROR(INDEX(FX_Rates!$D:$D,MATCH($H944,FX_Rates!$A:$A,0)),""))</f>
        <v>1</v>
      </c>
      <c r="S944" s="26" t="str">
        <f aca="false">IF(AND($I944="",$J944=""),"",IF($J944&lt;&gt;"",$J944,IF(OR($R944="",$R944=0),"",ROUND($I944/$R944,2))))</f>
        <v/>
      </c>
      <c r="T944" s="24" t="str">
        <f aca="false">IF($N944="","",IFERROR(INDEX(VAT_Codes!$C:$C,MATCH($N944,VAT_Codes!$A:$A,0)),"")&amp;"")</f>
        <v/>
      </c>
      <c r="U944" s="26" t="n">
        <f aca="false">IF(OR($S944="",$T944="",$T944="None"),0,IF($T944="Output",-$S944,$S944))</f>
        <v>0</v>
      </c>
      <c r="V944" s="27" t="n">
        <f aca="false">IF($N944="",0,IFERROR(INDEX(VAT_Codes!$D:$D,MATCH($N944,VAT_Codes!$A:$A,0)),0))</f>
        <v>0</v>
      </c>
      <c r="W944" s="26" t="n">
        <f aca="false">IF($U944=0,0,IF(IFERROR(INDEX(VAT_Codes!$F:$F,MATCH($N944,VAT_Codes!$A:$A,0)),"N")="Y",$U944,IF($L944&lt;&gt;"",ROUND(ABS($L944)/IF(OR($R944="",$R944=0),1,$R944),2)*SIGN($U944),ROUND($U944*$V944,2))))</f>
        <v>0</v>
      </c>
      <c r="X944" s="24" t="str">
        <f aca="false">IF($N944="","",IFERROR(INDEX(VAT_Codes!$H:$H,MATCH($N944,VAT_Codes!$A:$A,0)),"")&amp;"")</f>
        <v/>
      </c>
      <c r="Y944" s="24" t="str">
        <f aca="false">IF($A944="","",(YEAR($A944)-YEAR(Settings!$C$8))*12+MONTH($A944)-MONTH(Settings!$C$8)+1)</f>
        <v/>
      </c>
      <c r="Z944" s="24" t="str">
        <f aca="false">IF(AND($C944="",$I944="",$J944=""),"",IF($N944="","NO VAT CODE",IF($T944="","UNKNOWN VAT CODE",IF($S944="","MISSING FX RATE",IF(OR($A944&lt;Settings!$C$8,$A944&gt;Settings!$C$9),"OUTSIDE PERIOD",IF(AND(IFERROR(INDEX(VAT_Codes!$E:$E,MATCH($N944,VAT_Codes!$A:$A,0)),"ANY")&lt;&gt;"ANY",$P944=""),"MISSING COUNTERPARTY COUNTRY",IF(AND(IFERROR(INDEX(VAT_Codes!$E:$E,MATCH($N944,VAT_Codes!$A:$A,0)),"ANY")&lt;&gt;"ANY",$P944&lt;&gt;IFERROR(INDEX(VAT_Codes!$E:$E,MATCH($N944,VAT_Codes!$A:$A,0)),"ANY")),"REGION MISMATCH","OK")))))))</f>
        <v/>
      </c>
    </row>
    <row r="945" customFormat="false" ht="15" hidden="false" customHeight="false" outlineLevel="0" collapsed="false">
      <c r="M945" s="24" t="str">
        <f aca="false">IF($C945="","",IFERROR(INDEX(Account_Mapping!$C:$C,MATCH($C945&amp;"",Account_Mapping!$A:$A,0))&amp;"",""))</f>
        <v/>
      </c>
      <c r="N945" s="24" t="str">
        <f aca="false">IF($K945&lt;&gt;"",$K945,$M945)</f>
        <v/>
      </c>
      <c r="O945" s="24" t="str">
        <f aca="false">IF($F945="","",IFERROR(INDEX(Counterparties!$C:$C,MATCH($F945&amp;"",Counterparties!$A:$A,0))&amp;"",""))</f>
        <v/>
      </c>
      <c r="P945" s="24" t="str">
        <f aca="false">IF($O945="","",IF($O945="CY","CY",IF(ISNUMBER(MATCH($O945,Lists!$A:$A,0)),"EU","3RD")))</f>
        <v/>
      </c>
      <c r="Q945" s="24" t="str">
        <f aca="false">IF($F945="","N",IFERROR(IF(INDEX(Counterparties!$E:$E,MATCH($F945&amp;"",Counterparties!$A:$A,0))="Y","Y","N"),"N"))</f>
        <v>N</v>
      </c>
      <c r="R945" s="25" t="n">
        <f aca="false">IF(OR($H945="",$H945="EUR"),1,IFERROR(INDEX(FX_Rates!$D:$D,MATCH($H945,FX_Rates!$A:$A,0)),""))</f>
        <v>1</v>
      </c>
      <c r="S945" s="26" t="str">
        <f aca="false">IF(AND($I945="",$J945=""),"",IF($J945&lt;&gt;"",$J945,IF(OR($R945="",$R945=0),"",ROUND($I945/$R945,2))))</f>
        <v/>
      </c>
      <c r="T945" s="24" t="str">
        <f aca="false">IF($N945="","",IFERROR(INDEX(VAT_Codes!$C:$C,MATCH($N945,VAT_Codes!$A:$A,0)),"")&amp;"")</f>
        <v/>
      </c>
      <c r="U945" s="26" t="n">
        <f aca="false">IF(OR($S945="",$T945="",$T945="None"),0,IF($T945="Output",-$S945,$S945))</f>
        <v>0</v>
      </c>
      <c r="V945" s="27" t="n">
        <f aca="false">IF($N945="",0,IFERROR(INDEX(VAT_Codes!$D:$D,MATCH($N945,VAT_Codes!$A:$A,0)),0))</f>
        <v>0</v>
      </c>
      <c r="W945" s="26" t="n">
        <f aca="false">IF($U945=0,0,IF(IFERROR(INDEX(VAT_Codes!$F:$F,MATCH($N945,VAT_Codes!$A:$A,0)),"N")="Y",$U945,IF($L945&lt;&gt;"",ROUND(ABS($L945)/IF(OR($R945="",$R945=0),1,$R945),2)*SIGN($U945),ROUND($U945*$V945,2))))</f>
        <v>0</v>
      </c>
      <c r="X945" s="24" t="str">
        <f aca="false">IF($N945="","",IFERROR(INDEX(VAT_Codes!$H:$H,MATCH($N945,VAT_Codes!$A:$A,0)),"")&amp;"")</f>
        <v/>
      </c>
      <c r="Y945" s="24" t="str">
        <f aca="false">IF($A945="","",(YEAR($A945)-YEAR(Settings!$C$8))*12+MONTH($A945)-MONTH(Settings!$C$8)+1)</f>
        <v/>
      </c>
      <c r="Z945" s="24" t="str">
        <f aca="false">IF(AND($C945="",$I945="",$J945=""),"",IF($N945="","NO VAT CODE",IF($T945="","UNKNOWN VAT CODE",IF($S945="","MISSING FX RATE",IF(OR($A945&lt;Settings!$C$8,$A945&gt;Settings!$C$9),"OUTSIDE PERIOD",IF(AND(IFERROR(INDEX(VAT_Codes!$E:$E,MATCH($N945,VAT_Codes!$A:$A,0)),"ANY")&lt;&gt;"ANY",$P945=""),"MISSING COUNTERPARTY COUNTRY",IF(AND(IFERROR(INDEX(VAT_Codes!$E:$E,MATCH($N945,VAT_Codes!$A:$A,0)),"ANY")&lt;&gt;"ANY",$P945&lt;&gt;IFERROR(INDEX(VAT_Codes!$E:$E,MATCH($N945,VAT_Codes!$A:$A,0)),"ANY")),"REGION MISMATCH","OK")))))))</f>
        <v/>
      </c>
    </row>
    <row r="946" customFormat="false" ht="15" hidden="false" customHeight="false" outlineLevel="0" collapsed="false">
      <c r="M946" s="24" t="str">
        <f aca="false">IF($C946="","",IFERROR(INDEX(Account_Mapping!$C:$C,MATCH($C946&amp;"",Account_Mapping!$A:$A,0))&amp;"",""))</f>
        <v/>
      </c>
      <c r="N946" s="24" t="str">
        <f aca="false">IF($K946&lt;&gt;"",$K946,$M946)</f>
        <v/>
      </c>
      <c r="O946" s="24" t="str">
        <f aca="false">IF($F946="","",IFERROR(INDEX(Counterparties!$C:$C,MATCH($F946&amp;"",Counterparties!$A:$A,0))&amp;"",""))</f>
        <v/>
      </c>
      <c r="P946" s="24" t="str">
        <f aca="false">IF($O946="","",IF($O946="CY","CY",IF(ISNUMBER(MATCH($O946,Lists!$A:$A,0)),"EU","3RD")))</f>
        <v/>
      </c>
      <c r="Q946" s="24" t="str">
        <f aca="false">IF($F946="","N",IFERROR(IF(INDEX(Counterparties!$E:$E,MATCH($F946&amp;"",Counterparties!$A:$A,0))="Y","Y","N"),"N"))</f>
        <v>N</v>
      </c>
      <c r="R946" s="25" t="n">
        <f aca="false">IF(OR($H946="",$H946="EUR"),1,IFERROR(INDEX(FX_Rates!$D:$D,MATCH($H946,FX_Rates!$A:$A,0)),""))</f>
        <v>1</v>
      </c>
      <c r="S946" s="26" t="str">
        <f aca="false">IF(AND($I946="",$J946=""),"",IF($J946&lt;&gt;"",$J946,IF(OR($R946="",$R946=0),"",ROUND($I946/$R946,2))))</f>
        <v/>
      </c>
      <c r="T946" s="24" t="str">
        <f aca="false">IF($N946="","",IFERROR(INDEX(VAT_Codes!$C:$C,MATCH($N946,VAT_Codes!$A:$A,0)),"")&amp;"")</f>
        <v/>
      </c>
      <c r="U946" s="26" t="n">
        <f aca="false">IF(OR($S946="",$T946="",$T946="None"),0,IF($T946="Output",-$S946,$S946))</f>
        <v>0</v>
      </c>
      <c r="V946" s="27" t="n">
        <f aca="false">IF($N946="",0,IFERROR(INDEX(VAT_Codes!$D:$D,MATCH($N946,VAT_Codes!$A:$A,0)),0))</f>
        <v>0</v>
      </c>
      <c r="W946" s="26" t="n">
        <f aca="false">IF($U946=0,0,IF(IFERROR(INDEX(VAT_Codes!$F:$F,MATCH($N946,VAT_Codes!$A:$A,0)),"N")="Y",$U946,IF($L946&lt;&gt;"",ROUND(ABS($L946)/IF(OR($R946="",$R946=0),1,$R946),2)*SIGN($U946),ROUND($U946*$V946,2))))</f>
        <v>0</v>
      </c>
      <c r="X946" s="24" t="str">
        <f aca="false">IF($N946="","",IFERROR(INDEX(VAT_Codes!$H:$H,MATCH($N946,VAT_Codes!$A:$A,0)),"")&amp;"")</f>
        <v/>
      </c>
      <c r="Y946" s="24" t="str">
        <f aca="false">IF($A946="","",(YEAR($A946)-YEAR(Settings!$C$8))*12+MONTH($A946)-MONTH(Settings!$C$8)+1)</f>
        <v/>
      </c>
      <c r="Z946" s="24" t="str">
        <f aca="false">IF(AND($C946="",$I946="",$J946=""),"",IF($N946="","NO VAT CODE",IF($T946="","UNKNOWN VAT CODE",IF($S946="","MISSING FX RATE",IF(OR($A946&lt;Settings!$C$8,$A946&gt;Settings!$C$9),"OUTSIDE PERIOD",IF(AND(IFERROR(INDEX(VAT_Codes!$E:$E,MATCH($N946,VAT_Codes!$A:$A,0)),"ANY")&lt;&gt;"ANY",$P946=""),"MISSING COUNTERPARTY COUNTRY",IF(AND(IFERROR(INDEX(VAT_Codes!$E:$E,MATCH($N946,VAT_Codes!$A:$A,0)),"ANY")&lt;&gt;"ANY",$P946&lt;&gt;IFERROR(INDEX(VAT_Codes!$E:$E,MATCH($N946,VAT_Codes!$A:$A,0)),"ANY")),"REGION MISMATCH","OK")))))))</f>
        <v/>
      </c>
    </row>
    <row r="947" customFormat="false" ht="15" hidden="false" customHeight="false" outlineLevel="0" collapsed="false">
      <c r="M947" s="24" t="str">
        <f aca="false">IF($C947="","",IFERROR(INDEX(Account_Mapping!$C:$C,MATCH($C947&amp;"",Account_Mapping!$A:$A,0))&amp;"",""))</f>
        <v/>
      </c>
      <c r="N947" s="24" t="str">
        <f aca="false">IF($K947&lt;&gt;"",$K947,$M947)</f>
        <v/>
      </c>
      <c r="O947" s="24" t="str">
        <f aca="false">IF($F947="","",IFERROR(INDEX(Counterparties!$C:$C,MATCH($F947&amp;"",Counterparties!$A:$A,0))&amp;"",""))</f>
        <v/>
      </c>
      <c r="P947" s="24" t="str">
        <f aca="false">IF($O947="","",IF($O947="CY","CY",IF(ISNUMBER(MATCH($O947,Lists!$A:$A,0)),"EU","3RD")))</f>
        <v/>
      </c>
      <c r="Q947" s="24" t="str">
        <f aca="false">IF($F947="","N",IFERROR(IF(INDEX(Counterparties!$E:$E,MATCH($F947&amp;"",Counterparties!$A:$A,0))="Y","Y","N"),"N"))</f>
        <v>N</v>
      </c>
      <c r="R947" s="25" t="n">
        <f aca="false">IF(OR($H947="",$H947="EUR"),1,IFERROR(INDEX(FX_Rates!$D:$D,MATCH($H947,FX_Rates!$A:$A,0)),""))</f>
        <v>1</v>
      </c>
      <c r="S947" s="26" t="str">
        <f aca="false">IF(AND($I947="",$J947=""),"",IF($J947&lt;&gt;"",$J947,IF(OR($R947="",$R947=0),"",ROUND($I947/$R947,2))))</f>
        <v/>
      </c>
      <c r="T947" s="24" t="str">
        <f aca="false">IF($N947="","",IFERROR(INDEX(VAT_Codes!$C:$C,MATCH($N947,VAT_Codes!$A:$A,0)),"")&amp;"")</f>
        <v/>
      </c>
      <c r="U947" s="26" t="n">
        <f aca="false">IF(OR($S947="",$T947="",$T947="None"),0,IF($T947="Output",-$S947,$S947))</f>
        <v>0</v>
      </c>
      <c r="V947" s="27" t="n">
        <f aca="false">IF($N947="",0,IFERROR(INDEX(VAT_Codes!$D:$D,MATCH($N947,VAT_Codes!$A:$A,0)),0))</f>
        <v>0</v>
      </c>
      <c r="W947" s="26" t="n">
        <f aca="false">IF($U947=0,0,IF(IFERROR(INDEX(VAT_Codes!$F:$F,MATCH($N947,VAT_Codes!$A:$A,0)),"N")="Y",$U947,IF($L947&lt;&gt;"",ROUND(ABS($L947)/IF(OR($R947="",$R947=0),1,$R947),2)*SIGN($U947),ROUND($U947*$V947,2))))</f>
        <v>0</v>
      </c>
      <c r="X947" s="24" t="str">
        <f aca="false">IF($N947="","",IFERROR(INDEX(VAT_Codes!$H:$H,MATCH($N947,VAT_Codes!$A:$A,0)),"")&amp;"")</f>
        <v/>
      </c>
      <c r="Y947" s="24" t="str">
        <f aca="false">IF($A947="","",(YEAR($A947)-YEAR(Settings!$C$8))*12+MONTH($A947)-MONTH(Settings!$C$8)+1)</f>
        <v/>
      </c>
      <c r="Z947" s="24" t="str">
        <f aca="false">IF(AND($C947="",$I947="",$J947=""),"",IF($N947="","NO VAT CODE",IF($T947="","UNKNOWN VAT CODE",IF($S947="","MISSING FX RATE",IF(OR($A947&lt;Settings!$C$8,$A947&gt;Settings!$C$9),"OUTSIDE PERIOD",IF(AND(IFERROR(INDEX(VAT_Codes!$E:$E,MATCH($N947,VAT_Codes!$A:$A,0)),"ANY")&lt;&gt;"ANY",$P947=""),"MISSING COUNTERPARTY COUNTRY",IF(AND(IFERROR(INDEX(VAT_Codes!$E:$E,MATCH($N947,VAT_Codes!$A:$A,0)),"ANY")&lt;&gt;"ANY",$P947&lt;&gt;IFERROR(INDEX(VAT_Codes!$E:$E,MATCH($N947,VAT_Codes!$A:$A,0)),"ANY")),"REGION MISMATCH","OK")))))))</f>
        <v/>
      </c>
    </row>
    <row r="948" customFormat="false" ht="15" hidden="false" customHeight="false" outlineLevel="0" collapsed="false">
      <c r="M948" s="24" t="str">
        <f aca="false">IF($C948="","",IFERROR(INDEX(Account_Mapping!$C:$C,MATCH($C948&amp;"",Account_Mapping!$A:$A,0))&amp;"",""))</f>
        <v/>
      </c>
      <c r="N948" s="24" t="str">
        <f aca="false">IF($K948&lt;&gt;"",$K948,$M948)</f>
        <v/>
      </c>
      <c r="O948" s="24" t="str">
        <f aca="false">IF($F948="","",IFERROR(INDEX(Counterparties!$C:$C,MATCH($F948&amp;"",Counterparties!$A:$A,0))&amp;"",""))</f>
        <v/>
      </c>
      <c r="P948" s="24" t="str">
        <f aca="false">IF($O948="","",IF($O948="CY","CY",IF(ISNUMBER(MATCH($O948,Lists!$A:$A,0)),"EU","3RD")))</f>
        <v/>
      </c>
      <c r="Q948" s="24" t="str">
        <f aca="false">IF($F948="","N",IFERROR(IF(INDEX(Counterparties!$E:$E,MATCH($F948&amp;"",Counterparties!$A:$A,0))="Y","Y","N"),"N"))</f>
        <v>N</v>
      </c>
      <c r="R948" s="25" t="n">
        <f aca="false">IF(OR($H948="",$H948="EUR"),1,IFERROR(INDEX(FX_Rates!$D:$D,MATCH($H948,FX_Rates!$A:$A,0)),""))</f>
        <v>1</v>
      </c>
      <c r="S948" s="26" t="str">
        <f aca="false">IF(AND($I948="",$J948=""),"",IF($J948&lt;&gt;"",$J948,IF(OR($R948="",$R948=0),"",ROUND($I948/$R948,2))))</f>
        <v/>
      </c>
      <c r="T948" s="24" t="str">
        <f aca="false">IF($N948="","",IFERROR(INDEX(VAT_Codes!$C:$C,MATCH($N948,VAT_Codes!$A:$A,0)),"")&amp;"")</f>
        <v/>
      </c>
      <c r="U948" s="26" t="n">
        <f aca="false">IF(OR($S948="",$T948="",$T948="None"),0,IF($T948="Output",-$S948,$S948))</f>
        <v>0</v>
      </c>
      <c r="V948" s="27" t="n">
        <f aca="false">IF($N948="",0,IFERROR(INDEX(VAT_Codes!$D:$D,MATCH($N948,VAT_Codes!$A:$A,0)),0))</f>
        <v>0</v>
      </c>
      <c r="W948" s="26" t="n">
        <f aca="false">IF($U948=0,0,IF(IFERROR(INDEX(VAT_Codes!$F:$F,MATCH($N948,VAT_Codes!$A:$A,0)),"N")="Y",$U948,IF($L948&lt;&gt;"",ROUND(ABS($L948)/IF(OR($R948="",$R948=0),1,$R948),2)*SIGN($U948),ROUND($U948*$V948,2))))</f>
        <v>0</v>
      </c>
      <c r="X948" s="24" t="str">
        <f aca="false">IF($N948="","",IFERROR(INDEX(VAT_Codes!$H:$H,MATCH($N948,VAT_Codes!$A:$A,0)),"")&amp;"")</f>
        <v/>
      </c>
      <c r="Y948" s="24" t="str">
        <f aca="false">IF($A948="","",(YEAR($A948)-YEAR(Settings!$C$8))*12+MONTH($A948)-MONTH(Settings!$C$8)+1)</f>
        <v/>
      </c>
      <c r="Z948" s="24" t="str">
        <f aca="false">IF(AND($C948="",$I948="",$J948=""),"",IF($N948="","NO VAT CODE",IF($T948="","UNKNOWN VAT CODE",IF($S948="","MISSING FX RATE",IF(OR($A948&lt;Settings!$C$8,$A948&gt;Settings!$C$9),"OUTSIDE PERIOD",IF(AND(IFERROR(INDEX(VAT_Codes!$E:$E,MATCH($N948,VAT_Codes!$A:$A,0)),"ANY")&lt;&gt;"ANY",$P948=""),"MISSING COUNTERPARTY COUNTRY",IF(AND(IFERROR(INDEX(VAT_Codes!$E:$E,MATCH($N948,VAT_Codes!$A:$A,0)),"ANY")&lt;&gt;"ANY",$P948&lt;&gt;IFERROR(INDEX(VAT_Codes!$E:$E,MATCH($N948,VAT_Codes!$A:$A,0)),"ANY")),"REGION MISMATCH","OK")))))))</f>
        <v/>
      </c>
    </row>
    <row r="949" customFormat="false" ht="15" hidden="false" customHeight="false" outlineLevel="0" collapsed="false">
      <c r="M949" s="24" t="str">
        <f aca="false">IF($C949="","",IFERROR(INDEX(Account_Mapping!$C:$C,MATCH($C949&amp;"",Account_Mapping!$A:$A,0))&amp;"",""))</f>
        <v/>
      </c>
      <c r="N949" s="24" t="str">
        <f aca="false">IF($K949&lt;&gt;"",$K949,$M949)</f>
        <v/>
      </c>
      <c r="O949" s="24" t="str">
        <f aca="false">IF($F949="","",IFERROR(INDEX(Counterparties!$C:$C,MATCH($F949&amp;"",Counterparties!$A:$A,0))&amp;"",""))</f>
        <v/>
      </c>
      <c r="P949" s="24" t="str">
        <f aca="false">IF($O949="","",IF($O949="CY","CY",IF(ISNUMBER(MATCH($O949,Lists!$A:$A,0)),"EU","3RD")))</f>
        <v/>
      </c>
      <c r="Q949" s="24" t="str">
        <f aca="false">IF($F949="","N",IFERROR(IF(INDEX(Counterparties!$E:$E,MATCH($F949&amp;"",Counterparties!$A:$A,0))="Y","Y","N"),"N"))</f>
        <v>N</v>
      </c>
      <c r="R949" s="25" t="n">
        <f aca="false">IF(OR($H949="",$H949="EUR"),1,IFERROR(INDEX(FX_Rates!$D:$D,MATCH($H949,FX_Rates!$A:$A,0)),""))</f>
        <v>1</v>
      </c>
      <c r="S949" s="26" t="str">
        <f aca="false">IF(AND($I949="",$J949=""),"",IF($J949&lt;&gt;"",$J949,IF(OR($R949="",$R949=0),"",ROUND($I949/$R949,2))))</f>
        <v/>
      </c>
      <c r="T949" s="24" t="str">
        <f aca="false">IF($N949="","",IFERROR(INDEX(VAT_Codes!$C:$C,MATCH($N949,VAT_Codes!$A:$A,0)),"")&amp;"")</f>
        <v/>
      </c>
      <c r="U949" s="26" t="n">
        <f aca="false">IF(OR($S949="",$T949="",$T949="None"),0,IF($T949="Output",-$S949,$S949))</f>
        <v>0</v>
      </c>
      <c r="V949" s="27" t="n">
        <f aca="false">IF($N949="",0,IFERROR(INDEX(VAT_Codes!$D:$D,MATCH($N949,VAT_Codes!$A:$A,0)),0))</f>
        <v>0</v>
      </c>
      <c r="W949" s="26" t="n">
        <f aca="false">IF($U949=0,0,IF(IFERROR(INDEX(VAT_Codes!$F:$F,MATCH($N949,VAT_Codes!$A:$A,0)),"N")="Y",$U949,IF($L949&lt;&gt;"",ROUND(ABS($L949)/IF(OR($R949="",$R949=0),1,$R949),2)*SIGN($U949),ROUND($U949*$V949,2))))</f>
        <v>0</v>
      </c>
      <c r="X949" s="24" t="str">
        <f aca="false">IF($N949="","",IFERROR(INDEX(VAT_Codes!$H:$H,MATCH($N949,VAT_Codes!$A:$A,0)),"")&amp;"")</f>
        <v/>
      </c>
      <c r="Y949" s="24" t="str">
        <f aca="false">IF($A949="","",(YEAR($A949)-YEAR(Settings!$C$8))*12+MONTH($A949)-MONTH(Settings!$C$8)+1)</f>
        <v/>
      </c>
      <c r="Z949" s="24" t="str">
        <f aca="false">IF(AND($C949="",$I949="",$J949=""),"",IF($N949="","NO VAT CODE",IF($T949="","UNKNOWN VAT CODE",IF($S949="","MISSING FX RATE",IF(OR($A949&lt;Settings!$C$8,$A949&gt;Settings!$C$9),"OUTSIDE PERIOD",IF(AND(IFERROR(INDEX(VAT_Codes!$E:$E,MATCH($N949,VAT_Codes!$A:$A,0)),"ANY")&lt;&gt;"ANY",$P949=""),"MISSING COUNTERPARTY COUNTRY",IF(AND(IFERROR(INDEX(VAT_Codes!$E:$E,MATCH($N949,VAT_Codes!$A:$A,0)),"ANY")&lt;&gt;"ANY",$P949&lt;&gt;IFERROR(INDEX(VAT_Codes!$E:$E,MATCH($N949,VAT_Codes!$A:$A,0)),"ANY")),"REGION MISMATCH","OK")))))))</f>
        <v/>
      </c>
    </row>
    <row r="950" customFormat="false" ht="15" hidden="false" customHeight="false" outlineLevel="0" collapsed="false">
      <c r="M950" s="24" t="str">
        <f aca="false">IF($C950="","",IFERROR(INDEX(Account_Mapping!$C:$C,MATCH($C950&amp;"",Account_Mapping!$A:$A,0))&amp;"",""))</f>
        <v/>
      </c>
      <c r="N950" s="24" t="str">
        <f aca="false">IF($K950&lt;&gt;"",$K950,$M950)</f>
        <v/>
      </c>
      <c r="O950" s="24" t="str">
        <f aca="false">IF($F950="","",IFERROR(INDEX(Counterparties!$C:$C,MATCH($F950&amp;"",Counterparties!$A:$A,0))&amp;"",""))</f>
        <v/>
      </c>
      <c r="P950" s="24" t="str">
        <f aca="false">IF($O950="","",IF($O950="CY","CY",IF(ISNUMBER(MATCH($O950,Lists!$A:$A,0)),"EU","3RD")))</f>
        <v/>
      </c>
      <c r="Q950" s="24" t="str">
        <f aca="false">IF($F950="","N",IFERROR(IF(INDEX(Counterparties!$E:$E,MATCH($F950&amp;"",Counterparties!$A:$A,0))="Y","Y","N"),"N"))</f>
        <v>N</v>
      </c>
      <c r="R950" s="25" t="n">
        <f aca="false">IF(OR($H950="",$H950="EUR"),1,IFERROR(INDEX(FX_Rates!$D:$D,MATCH($H950,FX_Rates!$A:$A,0)),""))</f>
        <v>1</v>
      </c>
      <c r="S950" s="26" t="str">
        <f aca="false">IF(AND($I950="",$J950=""),"",IF($J950&lt;&gt;"",$J950,IF(OR($R950="",$R950=0),"",ROUND($I950/$R950,2))))</f>
        <v/>
      </c>
      <c r="T950" s="24" t="str">
        <f aca="false">IF($N950="","",IFERROR(INDEX(VAT_Codes!$C:$C,MATCH($N950,VAT_Codes!$A:$A,0)),"")&amp;"")</f>
        <v/>
      </c>
      <c r="U950" s="26" t="n">
        <f aca="false">IF(OR($S950="",$T950="",$T950="None"),0,IF($T950="Output",-$S950,$S950))</f>
        <v>0</v>
      </c>
      <c r="V950" s="27" t="n">
        <f aca="false">IF($N950="",0,IFERROR(INDEX(VAT_Codes!$D:$D,MATCH($N950,VAT_Codes!$A:$A,0)),0))</f>
        <v>0</v>
      </c>
      <c r="W950" s="26" t="n">
        <f aca="false">IF($U950=0,0,IF(IFERROR(INDEX(VAT_Codes!$F:$F,MATCH($N950,VAT_Codes!$A:$A,0)),"N")="Y",$U950,IF($L950&lt;&gt;"",ROUND(ABS($L950)/IF(OR($R950="",$R950=0),1,$R950),2)*SIGN($U950),ROUND($U950*$V950,2))))</f>
        <v>0</v>
      </c>
      <c r="X950" s="24" t="str">
        <f aca="false">IF($N950="","",IFERROR(INDEX(VAT_Codes!$H:$H,MATCH($N950,VAT_Codes!$A:$A,0)),"")&amp;"")</f>
        <v/>
      </c>
      <c r="Y950" s="24" t="str">
        <f aca="false">IF($A950="","",(YEAR($A950)-YEAR(Settings!$C$8))*12+MONTH($A950)-MONTH(Settings!$C$8)+1)</f>
        <v/>
      </c>
      <c r="Z950" s="24" t="str">
        <f aca="false">IF(AND($C950="",$I950="",$J950=""),"",IF($N950="","NO VAT CODE",IF($T950="","UNKNOWN VAT CODE",IF($S950="","MISSING FX RATE",IF(OR($A950&lt;Settings!$C$8,$A950&gt;Settings!$C$9),"OUTSIDE PERIOD",IF(AND(IFERROR(INDEX(VAT_Codes!$E:$E,MATCH($N950,VAT_Codes!$A:$A,0)),"ANY")&lt;&gt;"ANY",$P950=""),"MISSING COUNTERPARTY COUNTRY",IF(AND(IFERROR(INDEX(VAT_Codes!$E:$E,MATCH($N950,VAT_Codes!$A:$A,0)),"ANY")&lt;&gt;"ANY",$P950&lt;&gt;IFERROR(INDEX(VAT_Codes!$E:$E,MATCH($N950,VAT_Codes!$A:$A,0)),"ANY")),"REGION MISMATCH","OK")))))))</f>
        <v/>
      </c>
    </row>
    <row r="951" customFormat="false" ht="15" hidden="false" customHeight="false" outlineLevel="0" collapsed="false">
      <c r="M951" s="24" t="str">
        <f aca="false">IF($C951="","",IFERROR(INDEX(Account_Mapping!$C:$C,MATCH($C951&amp;"",Account_Mapping!$A:$A,0))&amp;"",""))</f>
        <v/>
      </c>
      <c r="N951" s="24" t="str">
        <f aca="false">IF($K951&lt;&gt;"",$K951,$M951)</f>
        <v/>
      </c>
      <c r="O951" s="24" t="str">
        <f aca="false">IF($F951="","",IFERROR(INDEX(Counterparties!$C:$C,MATCH($F951&amp;"",Counterparties!$A:$A,0))&amp;"",""))</f>
        <v/>
      </c>
      <c r="P951" s="24" t="str">
        <f aca="false">IF($O951="","",IF($O951="CY","CY",IF(ISNUMBER(MATCH($O951,Lists!$A:$A,0)),"EU","3RD")))</f>
        <v/>
      </c>
      <c r="Q951" s="24" t="str">
        <f aca="false">IF($F951="","N",IFERROR(IF(INDEX(Counterparties!$E:$E,MATCH($F951&amp;"",Counterparties!$A:$A,0))="Y","Y","N"),"N"))</f>
        <v>N</v>
      </c>
      <c r="R951" s="25" t="n">
        <f aca="false">IF(OR($H951="",$H951="EUR"),1,IFERROR(INDEX(FX_Rates!$D:$D,MATCH($H951,FX_Rates!$A:$A,0)),""))</f>
        <v>1</v>
      </c>
      <c r="S951" s="26" t="str">
        <f aca="false">IF(AND($I951="",$J951=""),"",IF($J951&lt;&gt;"",$J951,IF(OR($R951="",$R951=0),"",ROUND($I951/$R951,2))))</f>
        <v/>
      </c>
      <c r="T951" s="24" t="str">
        <f aca="false">IF($N951="","",IFERROR(INDEX(VAT_Codes!$C:$C,MATCH($N951,VAT_Codes!$A:$A,0)),"")&amp;"")</f>
        <v/>
      </c>
      <c r="U951" s="26" t="n">
        <f aca="false">IF(OR($S951="",$T951="",$T951="None"),0,IF($T951="Output",-$S951,$S951))</f>
        <v>0</v>
      </c>
      <c r="V951" s="27" t="n">
        <f aca="false">IF($N951="",0,IFERROR(INDEX(VAT_Codes!$D:$D,MATCH($N951,VAT_Codes!$A:$A,0)),0))</f>
        <v>0</v>
      </c>
      <c r="W951" s="26" t="n">
        <f aca="false">IF($U951=0,0,IF(IFERROR(INDEX(VAT_Codes!$F:$F,MATCH($N951,VAT_Codes!$A:$A,0)),"N")="Y",$U951,IF($L951&lt;&gt;"",ROUND(ABS($L951)/IF(OR($R951="",$R951=0),1,$R951),2)*SIGN($U951),ROUND($U951*$V951,2))))</f>
        <v>0</v>
      </c>
      <c r="X951" s="24" t="str">
        <f aca="false">IF($N951="","",IFERROR(INDEX(VAT_Codes!$H:$H,MATCH($N951,VAT_Codes!$A:$A,0)),"")&amp;"")</f>
        <v/>
      </c>
      <c r="Y951" s="24" t="str">
        <f aca="false">IF($A951="","",(YEAR($A951)-YEAR(Settings!$C$8))*12+MONTH($A951)-MONTH(Settings!$C$8)+1)</f>
        <v/>
      </c>
      <c r="Z951" s="24" t="str">
        <f aca="false">IF(AND($C951="",$I951="",$J951=""),"",IF($N951="","NO VAT CODE",IF($T951="","UNKNOWN VAT CODE",IF($S951="","MISSING FX RATE",IF(OR($A951&lt;Settings!$C$8,$A951&gt;Settings!$C$9),"OUTSIDE PERIOD",IF(AND(IFERROR(INDEX(VAT_Codes!$E:$E,MATCH($N951,VAT_Codes!$A:$A,0)),"ANY")&lt;&gt;"ANY",$P951=""),"MISSING COUNTERPARTY COUNTRY",IF(AND(IFERROR(INDEX(VAT_Codes!$E:$E,MATCH($N951,VAT_Codes!$A:$A,0)),"ANY")&lt;&gt;"ANY",$P951&lt;&gt;IFERROR(INDEX(VAT_Codes!$E:$E,MATCH($N951,VAT_Codes!$A:$A,0)),"ANY")),"REGION MISMATCH","OK")))))))</f>
        <v/>
      </c>
    </row>
    <row r="952" customFormat="false" ht="15" hidden="false" customHeight="false" outlineLevel="0" collapsed="false">
      <c r="M952" s="24" t="str">
        <f aca="false">IF($C952="","",IFERROR(INDEX(Account_Mapping!$C:$C,MATCH($C952&amp;"",Account_Mapping!$A:$A,0))&amp;"",""))</f>
        <v/>
      </c>
      <c r="N952" s="24" t="str">
        <f aca="false">IF($K952&lt;&gt;"",$K952,$M952)</f>
        <v/>
      </c>
      <c r="O952" s="24" t="str">
        <f aca="false">IF($F952="","",IFERROR(INDEX(Counterparties!$C:$C,MATCH($F952&amp;"",Counterparties!$A:$A,0))&amp;"",""))</f>
        <v/>
      </c>
      <c r="P952" s="24" t="str">
        <f aca="false">IF($O952="","",IF($O952="CY","CY",IF(ISNUMBER(MATCH($O952,Lists!$A:$A,0)),"EU","3RD")))</f>
        <v/>
      </c>
      <c r="Q952" s="24" t="str">
        <f aca="false">IF($F952="","N",IFERROR(IF(INDEX(Counterparties!$E:$E,MATCH($F952&amp;"",Counterparties!$A:$A,0))="Y","Y","N"),"N"))</f>
        <v>N</v>
      </c>
      <c r="R952" s="25" t="n">
        <f aca="false">IF(OR($H952="",$H952="EUR"),1,IFERROR(INDEX(FX_Rates!$D:$D,MATCH($H952,FX_Rates!$A:$A,0)),""))</f>
        <v>1</v>
      </c>
      <c r="S952" s="26" t="str">
        <f aca="false">IF(AND($I952="",$J952=""),"",IF($J952&lt;&gt;"",$J952,IF(OR($R952="",$R952=0),"",ROUND($I952/$R952,2))))</f>
        <v/>
      </c>
      <c r="T952" s="24" t="str">
        <f aca="false">IF($N952="","",IFERROR(INDEX(VAT_Codes!$C:$C,MATCH($N952,VAT_Codes!$A:$A,0)),"")&amp;"")</f>
        <v/>
      </c>
      <c r="U952" s="26" t="n">
        <f aca="false">IF(OR($S952="",$T952="",$T952="None"),0,IF($T952="Output",-$S952,$S952))</f>
        <v>0</v>
      </c>
      <c r="V952" s="27" t="n">
        <f aca="false">IF($N952="",0,IFERROR(INDEX(VAT_Codes!$D:$D,MATCH($N952,VAT_Codes!$A:$A,0)),0))</f>
        <v>0</v>
      </c>
      <c r="W952" s="26" t="n">
        <f aca="false">IF($U952=0,0,IF(IFERROR(INDEX(VAT_Codes!$F:$F,MATCH($N952,VAT_Codes!$A:$A,0)),"N")="Y",$U952,IF($L952&lt;&gt;"",ROUND(ABS($L952)/IF(OR($R952="",$R952=0),1,$R952),2)*SIGN($U952),ROUND($U952*$V952,2))))</f>
        <v>0</v>
      </c>
      <c r="X952" s="24" t="str">
        <f aca="false">IF($N952="","",IFERROR(INDEX(VAT_Codes!$H:$H,MATCH($N952,VAT_Codes!$A:$A,0)),"")&amp;"")</f>
        <v/>
      </c>
      <c r="Y952" s="24" t="str">
        <f aca="false">IF($A952="","",(YEAR($A952)-YEAR(Settings!$C$8))*12+MONTH($A952)-MONTH(Settings!$C$8)+1)</f>
        <v/>
      </c>
      <c r="Z952" s="24" t="str">
        <f aca="false">IF(AND($C952="",$I952="",$J952=""),"",IF($N952="","NO VAT CODE",IF($T952="","UNKNOWN VAT CODE",IF($S952="","MISSING FX RATE",IF(OR($A952&lt;Settings!$C$8,$A952&gt;Settings!$C$9),"OUTSIDE PERIOD",IF(AND(IFERROR(INDEX(VAT_Codes!$E:$E,MATCH($N952,VAT_Codes!$A:$A,0)),"ANY")&lt;&gt;"ANY",$P952=""),"MISSING COUNTERPARTY COUNTRY",IF(AND(IFERROR(INDEX(VAT_Codes!$E:$E,MATCH($N952,VAT_Codes!$A:$A,0)),"ANY")&lt;&gt;"ANY",$P952&lt;&gt;IFERROR(INDEX(VAT_Codes!$E:$E,MATCH($N952,VAT_Codes!$A:$A,0)),"ANY")),"REGION MISMATCH","OK")))))))</f>
        <v/>
      </c>
    </row>
    <row r="953" customFormat="false" ht="15" hidden="false" customHeight="false" outlineLevel="0" collapsed="false">
      <c r="M953" s="24" t="str">
        <f aca="false">IF($C953="","",IFERROR(INDEX(Account_Mapping!$C:$C,MATCH($C953&amp;"",Account_Mapping!$A:$A,0))&amp;"",""))</f>
        <v/>
      </c>
      <c r="N953" s="24" t="str">
        <f aca="false">IF($K953&lt;&gt;"",$K953,$M953)</f>
        <v/>
      </c>
      <c r="O953" s="24" t="str">
        <f aca="false">IF($F953="","",IFERROR(INDEX(Counterparties!$C:$C,MATCH($F953&amp;"",Counterparties!$A:$A,0))&amp;"",""))</f>
        <v/>
      </c>
      <c r="P953" s="24" t="str">
        <f aca="false">IF($O953="","",IF($O953="CY","CY",IF(ISNUMBER(MATCH($O953,Lists!$A:$A,0)),"EU","3RD")))</f>
        <v/>
      </c>
      <c r="Q953" s="24" t="str">
        <f aca="false">IF($F953="","N",IFERROR(IF(INDEX(Counterparties!$E:$E,MATCH($F953&amp;"",Counterparties!$A:$A,0))="Y","Y","N"),"N"))</f>
        <v>N</v>
      </c>
      <c r="R953" s="25" t="n">
        <f aca="false">IF(OR($H953="",$H953="EUR"),1,IFERROR(INDEX(FX_Rates!$D:$D,MATCH($H953,FX_Rates!$A:$A,0)),""))</f>
        <v>1</v>
      </c>
      <c r="S953" s="26" t="str">
        <f aca="false">IF(AND($I953="",$J953=""),"",IF($J953&lt;&gt;"",$J953,IF(OR($R953="",$R953=0),"",ROUND($I953/$R953,2))))</f>
        <v/>
      </c>
      <c r="T953" s="24" t="str">
        <f aca="false">IF($N953="","",IFERROR(INDEX(VAT_Codes!$C:$C,MATCH($N953,VAT_Codes!$A:$A,0)),"")&amp;"")</f>
        <v/>
      </c>
      <c r="U953" s="26" t="n">
        <f aca="false">IF(OR($S953="",$T953="",$T953="None"),0,IF($T953="Output",-$S953,$S953))</f>
        <v>0</v>
      </c>
      <c r="V953" s="27" t="n">
        <f aca="false">IF($N953="",0,IFERROR(INDEX(VAT_Codes!$D:$D,MATCH($N953,VAT_Codes!$A:$A,0)),0))</f>
        <v>0</v>
      </c>
      <c r="W953" s="26" t="n">
        <f aca="false">IF($U953=0,0,IF(IFERROR(INDEX(VAT_Codes!$F:$F,MATCH($N953,VAT_Codes!$A:$A,0)),"N")="Y",$U953,IF($L953&lt;&gt;"",ROUND(ABS($L953)/IF(OR($R953="",$R953=0),1,$R953),2)*SIGN($U953),ROUND($U953*$V953,2))))</f>
        <v>0</v>
      </c>
      <c r="X953" s="24" t="str">
        <f aca="false">IF($N953="","",IFERROR(INDEX(VAT_Codes!$H:$H,MATCH($N953,VAT_Codes!$A:$A,0)),"")&amp;"")</f>
        <v/>
      </c>
      <c r="Y953" s="24" t="str">
        <f aca="false">IF($A953="","",(YEAR($A953)-YEAR(Settings!$C$8))*12+MONTH($A953)-MONTH(Settings!$C$8)+1)</f>
        <v/>
      </c>
      <c r="Z953" s="24" t="str">
        <f aca="false">IF(AND($C953="",$I953="",$J953=""),"",IF($N953="","NO VAT CODE",IF($T953="","UNKNOWN VAT CODE",IF($S953="","MISSING FX RATE",IF(OR($A953&lt;Settings!$C$8,$A953&gt;Settings!$C$9),"OUTSIDE PERIOD",IF(AND(IFERROR(INDEX(VAT_Codes!$E:$E,MATCH($N953,VAT_Codes!$A:$A,0)),"ANY")&lt;&gt;"ANY",$P953=""),"MISSING COUNTERPARTY COUNTRY",IF(AND(IFERROR(INDEX(VAT_Codes!$E:$E,MATCH($N953,VAT_Codes!$A:$A,0)),"ANY")&lt;&gt;"ANY",$P953&lt;&gt;IFERROR(INDEX(VAT_Codes!$E:$E,MATCH($N953,VAT_Codes!$A:$A,0)),"ANY")),"REGION MISMATCH","OK")))))))</f>
        <v/>
      </c>
    </row>
    <row r="954" customFormat="false" ht="15" hidden="false" customHeight="false" outlineLevel="0" collapsed="false">
      <c r="M954" s="24" t="str">
        <f aca="false">IF($C954="","",IFERROR(INDEX(Account_Mapping!$C:$C,MATCH($C954&amp;"",Account_Mapping!$A:$A,0))&amp;"",""))</f>
        <v/>
      </c>
      <c r="N954" s="24" t="str">
        <f aca="false">IF($K954&lt;&gt;"",$K954,$M954)</f>
        <v/>
      </c>
      <c r="O954" s="24" t="str">
        <f aca="false">IF($F954="","",IFERROR(INDEX(Counterparties!$C:$C,MATCH($F954&amp;"",Counterparties!$A:$A,0))&amp;"",""))</f>
        <v/>
      </c>
      <c r="P954" s="24" t="str">
        <f aca="false">IF($O954="","",IF($O954="CY","CY",IF(ISNUMBER(MATCH($O954,Lists!$A:$A,0)),"EU","3RD")))</f>
        <v/>
      </c>
      <c r="Q954" s="24" t="str">
        <f aca="false">IF($F954="","N",IFERROR(IF(INDEX(Counterparties!$E:$E,MATCH($F954&amp;"",Counterparties!$A:$A,0))="Y","Y","N"),"N"))</f>
        <v>N</v>
      </c>
      <c r="R954" s="25" t="n">
        <f aca="false">IF(OR($H954="",$H954="EUR"),1,IFERROR(INDEX(FX_Rates!$D:$D,MATCH($H954,FX_Rates!$A:$A,0)),""))</f>
        <v>1</v>
      </c>
      <c r="S954" s="26" t="str">
        <f aca="false">IF(AND($I954="",$J954=""),"",IF($J954&lt;&gt;"",$J954,IF(OR($R954="",$R954=0),"",ROUND($I954/$R954,2))))</f>
        <v/>
      </c>
      <c r="T954" s="24" t="str">
        <f aca="false">IF($N954="","",IFERROR(INDEX(VAT_Codes!$C:$C,MATCH($N954,VAT_Codes!$A:$A,0)),"")&amp;"")</f>
        <v/>
      </c>
      <c r="U954" s="26" t="n">
        <f aca="false">IF(OR($S954="",$T954="",$T954="None"),0,IF($T954="Output",-$S954,$S954))</f>
        <v>0</v>
      </c>
      <c r="V954" s="27" t="n">
        <f aca="false">IF($N954="",0,IFERROR(INDEX(VAT_Codes!$D:$D,MATCH($N954,VAT_Codes!$A:$A,0)),0))</f>
        <v>0</v>
      </c>
      <c r="W954" s="26" t="n">
        <f aca="false">IF($U954=0,0,IF(IFERROR(INDEX(VAT_Codes!$F:$F,MATCH($N954,VAT_Codes!$A:$A,0)),"N")="Y",$U954,IF($L954&lt;&gt;"",ROUND(ABS($L954)/IF(OR($R954="",$R954=0),1,$R954),2)*SIGN($U954),ROUND($U954*$V954,2))))</f>
        <v>0</v>
      </c>
      <c r="X954" s="24" t="str">
        <f aca="false">IF($N954="","",IFERROR(INDEX(VAT_Codes!$H:$H,MATCH($N954,VAT_Codes!$A:$A,0)),"")&amp;"")</f>
        <v/>
      </c>
      <c r="Y954" s="24" t="str">
        <f aca="false">IF($A954="","",(YEAR($A954)-YEAR(Settings!$C$8))*12+MONTH($A954)-MONTH(Settings!$C$8)+1)</f>
        <v/>
      </c>
      <c r="Z954" s="24" t="str">
        <f aca="false">IF(AND($C954="",$I954="",$J954=""),"",IF($N954="","NO VAT CODE",IF($T954="","UNKNOWN VAT CODE",IF($S954="","MISSING FX RATE",IF(OR($A954&lt;Settings!$C$8,$A954&gt;Settings!$C$9),"OUTSIDE PERIOD",IF(AND(IFERROR(INDEX(VAT_Codes!$E:$E,MATCH($N954,VAT_Codes!$A:$A,0)),"ANY")&lt;&gt;"ANY",$P954=""),"MISSING COUNTERPARTY COUNTRY",IF(AND(IFERROR(INDEX(VAT_Codes!$E:$E,MATCH($N954,VAT_Codes!$A:$A,0)),"ANY")&lt;&gt;"ANY",$P954&lt;&gt;IFERROR(INDEX(VAT_Codes!$E:$E,MATCH($N954,VAT_Codes!$A:$A,0)),"ANY")),"REGION MISMATCH","OK")))))))</f>
        <v/>
      </c>
    </row>
    <row r="955" customFormat="false" ht="15" hidden="false" customHeight="false" outlineLevel="0" collapsed="false">
      <c r="M955" s="24" t="str">
        <f aca="false">IF($C955="","",IFERROR(INDEX(Account_Mapping!$C:$C,MATCH($C955&amp;"",Account_Mapping!$A:$A,0))&amp;"",""))</f>
        <v/>
      </c>
      <c r="N955" s="24" t="str">
        <f aca="false">IF($K955&lt;&gt;"",$K955,$M955)</f>
        <v/>
      </c>
      <c r="O955" s="24" t="str">
        <f aca="false">IF($F955="","",IFERROR(INDEX(Counterparties!$C:$C,MATCH($F955&amp;"",Counterparties!$A:$A,0))&amp;"",""))</f>
        <v/>
      </c>
      <c r="P955" s="24" t="str">
        <f aca="false">IF($O955="","",IF($O955="CY","CY",IF(ISNUMBER(MATCH($O955,Lists!$A:$A,0)),"EU","3RD")))</f>
        <v/>
      </c>
      <c r="Q955" s="24" t="str">
        <f aca="false">IF($F955="","N",IFERROR(IF(INDEX(Counterparties!$E:$E,MATCH($F955&amp;"",Counterparties!$A:$A,0))="Y","Y","N"),"N"))</f>
        <v>N</v>
      </c>
      <c r="R955" s="25" t="n">
        <f aca="false">IF(OR($H955="",$H955="EUR"),1,IFERROR(INDEX(FX_Rates!$D:$D,MATCH($H955,FX_Rates!$A:$A,0)),""))</f>
        <v>1</v>
      </c>
      <c r="S955" s="26" t="str">
        <f aca="false">IF(AND($I955="",$J955=""),"",IF($J955&lt;&gt;"",$J955,IF(OR($R955="",$R955=0),"",ROUND($I955/$R955,2))))</f>
        <v/>
      </c>
      <c r="T955" s="24" t="str">
        <f aca="false">IF($N955="","",IFERROR(INDEX(VAT_Codes!$C:$C,MATCH($N955,VAT_Codes!$A:$A,0)),"")&amp;"")</f>
        <v/>
      </c>
      <c r="U955" s="26" t="n">
        <f aca="false">IF(OR($S955="",$T955="",$T955="None"),0,IF($T955="Output",-$S955,$S955))</f>
        <v>0</v>
      </c>
      <c r="V955" s="27" t="n">
        <f aca="false">IF($N955="",0,IFERROR(INDEX(VAT_Codes!$D:$D,MATCH($N955,VAT_Codes!$A:$A,0)),0))</f>
        <v>0</v>
      </c>
      <c r="W955" s="26" t="n">
        <f aca="false">IF($U955=0,0,IF(IFERROR(INDEX(VAT_Codes!$F:$F,MATCH($N955,VAT_Codes!$A:$A,0)),"N")="Y",$U955,IF($L955&lt;&gt;"",ROUND(ABS($L955)/IF(OR($R955="",$R955=0),1,$R955),2)*SIGN($U955),ROUND($U955*$V955,2))))</f>
        <v>0</v>
      </c>
      <c r="X955" s="24" t="str">
        <f aca="false">IF($N955="","",IFERROR(INDEX(VAT_Codes!$H:$H,MATCH($N955,VAT_Codes!$A:$A,0)),"")&amp;"")</f>
        <v/>
      </c>
      <c r="Y955" s="24" t="str">
        <f aca="false">IF($A955="","",(YEAR($A955)-YEAR(Settings!$C$8))*12+MONTH($A955)-MONTH(Settings!$C$8)+1)</f>
        <v/>
      </c>
      <c r="Z955" s="24" t="str">
        <f aca="false">IF(AND($C955="",$I955="",$J955=""),"",IF($N955="","NO VAT CODE",IF($T955="","UNKNOWN VAT CODE",IF($S955="","MISSING FX RATE",IF(OR($A955&lt;Settings!$C$8,$A955&gt;Settings!$C$9),"OUTSIDE PERIOD",IF(AND(IFERROR(INDEX(VAT_Codes!$E:$E,MATCH($N955,VAT_Codes!$A:$A,0)),"ANY")&lt;&gt;"ANY",$P955=""),"MISSING COUNTERPARTY COUNTRY",IF(AND(IFERROR(INDEX(VAT_Codes!$E:$E,MATCH($N955,VAT_Codes!$A:$A,0)),"ANY")&lt;&gt;"ANY",$P955&lt;&gt;IFERROR(INDEX(VAT_Codes!$E:$E,MATCH($N955,VAT_Codes!$A:$A,0)),"ANY")),"REGION MISMATCH","OK")))))))</f>
        <v/>
      </c>
    </row>
    <row r="956" customFormat="false" ht="15" hidden="false" customHeight="false" outlineLevel="0" collapsed="false">
      <c r="M956" s="24" t="str">
        <f aca="false">IF($C956="","",IFERROR(INDEX(Account_Mapping!$C:$C,MATCH($C956&amp;"",Account_Mapping!$A:$A,0))&amp;"",""))</f>
        <v/>
      </c>
      <c r="N956" s="24" t="str">
        <f aca="false">IF($K956&lt;&gt;"",$K956,$M956)</f>
        <v/>
      </c>
      <c r="O956" s="24" t="str">
        <f aca="false">IF($F956="","",IFERROR(INDEX(Counterparties!$C:$C,MATCH($F956&amp;"",Counterparties!$A:$A,0))&amp;"",""))</f>
        <v/>
      </c>
      <c r="P956" s="24" t="str">
        <f aca="false">IF($O956="","",IF($O956="CY","CY",IF(ISNUMBER(MATCH($O956,Lists!$A:$A,0)),"EU","3RD")))</f>
        <v/>
      </c>
      <c r="Q956" s="24" t="str">
        <f aca="false">IF($F956="","N",IFERROR(IF(INDEX(Counterparties!$E:$E,MATCH($F956&amp;"",Counterparties!$A:$A,0))="Y","Y","N"),"N"))</f>
        <v>N</v>
      </c>
      <c r="R956" s="25" t="n">
        <f aca="false">IF(OR($H956="",$H956="EUR"),1,IFERROR(INDEX(FX_Rates!$D:$D,MATCH($H956,FX_Rates!$A:$A,0)),""))</f>
        <v>1</v>
      </c>
      <c r="S956" s="26" t="str">
        <f aca="false">IF(AND($I956="",$J956=""),"",IF($J956&lt;&gt;"",$J956,IF(OR($R956="",$R956=0),"",ROUND($I956/$R956,2))))</f>
        <v/>
      </c>
      <c r="T956" s="24" t="str">
        <f aca="false">IF($N956="","",IFERROR(INDEX(VAT_Codes!$C:$C,MATCH($N956,VAT_Codes!$A:$A,0)),"")&amp;"")</f>
        <v/>
      </c>
      <c r="U956" s="26" t="n">
        <f aca="false">IF(OR($S956="",$T956="",$T956="None"),0,IF($T956="Output",-$S956,$S956))</f>
        <v>0</v>
      </c>
      <c r="V956" s="27" t="n">
        <f aca="false">IF($N956="",0,IFERROR(INDEX(VAT_Codes!$D:$D,MATCH($N956,VAT_Codes!$A:$A,0)),0))</f>
        <v>0</v>
      </c>
      <c r="W956" s="26" t="n">
        <f aca="false">IF($U956=0,0,IF(IFERROR(INDEX(VAT_Codes!$F:$F,MATCH($N956,VAT_Codes!$A:$A,0)),"N")="Y",$U956,IF($L956&lt;&gt;"",ROUND(ABS($L956)/IF(OR($R956="",$R956=0),1,$R956),2)*SIGN($U956),ROUND($U956*$V956,2))))</f>
        <v>0</v>
      </c>
      <c r="X956" s="24" t="str">
        <f aca="false">IF($N956="","",IFERROR(INDEX(VAT_Codes!$H:$H,MATCH($N956,VAT_Codes!$A:$A,0)),"")&amp;"")</f>
        <v/>
      </c>
      <c r="Y956" s="24" t="str">
        <f aca="false">IF($A956="","",(YEAR($A956)-YEAR(Settings!$C$8))*12+MONTH($A956)-MONTH(Settings!$C$8)+1)</f>
        <v/>
      </c>
      <c r="Z956" s="24" t="str">
        <f aca="false">IF(AND($C956="",$I956="",$J956=""),"",IF($N956="","NO VAT CODE",IF($T956="","UNKNOWN VAT CODE",IF($S956="","MISSING FX RATE",IF(OR($A956&lt;Settings!$C$8,$A956&gt;Settings!$C$9),"OUTSIDE PERIOD",IF(AND(IFERROR(INDEX(VAT_Codes!$E:$E,MATCH($N956,VAT_Codes!$A:$A,0)),"ANY")&lt;&gt;"ANY",$P956=""),"MISSING COUNTERPARTY COUNTRY",IF(AND(IFERROR(INDEX(VAT_Codes!$E:$E,MATCH($N956,VAT_Codes!$A:$A,0)),"ANY")&lt;&gt;"ANY",$P956&lt;&gt;IFERROR(INDEX(VAT_Codes!$E:$E,MATCH($N956,VAT_Codes!$A:$A,0)),"ANY")),"REGION MISMATCH","OK")))))))</f>
        <v/>
      </c>
    </row>
    <row r="957" customFormat="false" ht="15" hidden="false" customHeight="false" outlineLevel="0" collapsed="false">
      <c r="M957" s="24" t="str">
        <f aca="false">IF($C957="","",IFERROR(INDEX(Account_Mapping!$C:$C,MATCH($C957&amp;"",Account_Mapping!$A:$A,0))&amp;"",""))</f>
        <v/>
      </c>
      <c r="N957" s="24" t="str">
        <f aca="false">IF($K957&lt;&gt;"",$K957,$M957)</f>
        <v/>
      </c>
      <c r="O957" s="24" t="str">
        <f aca="false">IF($F957="","",IFERROR(INDEX(Counterparties!$C:$C,MATCH($F957&amp;"",Counterparties!$A:$A,0))&amp;"",""))</f>
        <v/>
      </c>
      <c r="P957" s="24" t="str">
        <f aca="false">IF($O957="","",IF($O957="CY","CY",IF(ISNUMBER(MATCH($O957,Lists!$A:$A,0)),"EU","3RD")))</f>
        <v/>
      </c>
      <c r="Q957" s="24" t="str">
        <f aca="false">IF($F957="","N",IFERROR(IF(INDEX(Counterparties!$E:$E,MATCH($F957&amp;"",Counterparties!$A:$A,0))="Y","Y","N"),"N"))</f>
        <v>N</v>
      </c>
      <c r="R957" s="25" t="n">
        <f aca="false">IF(OR($H957="",$H957="EUR"),1,IFERROR(INDEX(FX_Rates!$D:$D,MATCH($H957,FX_Rates!$A:$A,0)),""))</f>
        <v>1</v>
      </c>
      <c r="S957" s="26" t="str">
        <f aca="false">IF(AND($I957="",$J957=""),"",IF($J957&lt;&gt;"",$J957,IF(OR($R957="",$R957=0),"",ROUND($I957/$R957,2))))</f>
        <v/>
      </c>
      <c r="T957" s="24" t="str">
        <f aca="false">IF($N957="","",IFERROR(INDEX(VAT_Codes!$C:$C,MATCH($N957,VAT_Codes!$A:$A,0)),"")&amp;"")</f>
        <v/>
      </c>
      <c r="U957" s="26" t="n">
        <f aca="false">IF(OR($S957="",$T957="",$T957="None"),0,IF($T957="Output",-$S957,$S957))</f>
        <v>0</v>
      </c>
      <c r="V957" s="27" t="n">
        <f aca="false">IF($N957="",0,IFERROR(INDEX(VAT_Codes!$D:$D,MATCH($N957,VAT_Codes!$A:$A,0)),0))</f>
        <v>0</v>
      </c>
      <c r="W957" s="26" t="n">
        <f aca="false">IF($U957=0,0,IF(IFERROR(INDEX(VAT_Codes!$F:$F,MATCH($N957,VAT_Codes!$A:$A,0)),"N")="Y",$U957,IF($L957&lt;&gt;"",ROUND(ABS($L957)/IF(OR($R957="",$R957=0),1,$R957),2)*SIGN($U957),ROUND($U957*$V957,2))))</f>
        <v>0</v>
      </c>
      <c r="X957" s="24" t="str">
        <f aca="false">IF($N957="","",IFERROR(INDEX(VAT_Codes!$H:$H,MATCH($N957,VAT_Codes!$A:$A,0)),"")&amp;"")</f>
        <v/>
      </c>
      <c r="Y957" s="24" t="str">
        <f aca="false">IF($A957="","",(YEAR($A957)-YEAR(Settings!$C$8))*12+MONTH($A957)-MONTH(Settings!$C$8)+1)</f>
        <v/>
      </c>
      <c r="Z957" s="24" t="str">
        <f aca="false">IF(AND($C957="",$I957="",$J957=""),"",IF($N957="","NO VAT CODE",IF($T957="","UNKNOWN VAT CODE",IF($S957="","MISSING FX RATE",IF(OR($A957&lt;Settings!$C$8,$A957&gt;Settings!$C$9),"OUTSIDE PERIOD",IF(AND(IFERROR(INDEX(VAT_Codes!$E:$E,MATCH($N957,VAT_Codes!$A:$A,0)),"ANY")&lt;&gt;"ANY",$P957=""),"MISSING COUNTERPARTY COUNTRY",IF(AND(IFERROR(INDEX(VAT_Codes!$E:$E,MATCH($N957,VAT_Codes!$A:$A,0)),"ANY")&lt;&gt;"ANY",$P957&lt;&gt;IFERROR(INDEX(VAT_Codes!$E:$E,MATCH($N957,VAT_Codes!$A:$A,0)),"ANY")),"REGION MISMATCH","OK")))))))</f>
        <v/>
      </c>
    </row>
    <row r="958" customFormat="false" ht="15" hidden="false" customHeight="false" outlineLevel="0" collapsed="false">
      <c r="M958" s="24" t="str">
        <f aca="false">IF($C958="","",IFERROR(INDEX(Account_Mapping!$C:$C,MATCH($C958&amp;"",Account_Mapping!$A:$A,0))&amp;"",""))</f>
        <v/>
      </c>
      <c r="N958" s="24" t="str">
        <f aca="false">IF($K958&lt;&gt;"",$K958,$M958)</f>
        <v/>
      </c>
      <c r="O958" s="24" t="str">
        <f aca="false">IF($F958="","",IFERROR(INDEX(Counterparties!$C:$C,MATCH($F958&amp;"",Counterparties!$A:$A,0))&amp;"",""))</f>
        <v/>
      </c>
      <c r="P958" s="24" t="str">
        <f aca="false">IF($O958="","",IF($O958="CY","CY",IF(ISNUMBER(MATCH($O958,Lists!$A:$A,0)),"EU","3RD")))</f>
        <v/>
      </c>
      <c r="Q958" s="24" t="str">
        <f aca="false">IF($F958="","N",IFERROR(IF(INDEX(Counterparties!$E:$E,MATCH($F958&amp;"",Counterparties!$A:$A,0))="Y","Y","N"),"N"))</f>
        <v>N</v>
      </c>
      <c r="R958" s="25" t="n">
        <f aca="false">IF(OR($H958="",$H958="EUR"),1,IFERROR(INDEX(FX_Rates!$D:$D,MATCH($H958,FX_Rates!$A:$A,0)),""))</f>
        <v>1</v>
      </c>
      <c r="S958" s="26" t="str">
        <f aca="false">IF(AND($I958="",$J958=""),"",IF($J958&lt;&gt;"",$J958,IF(OR($R958="",$R958=0),"",ROUND($I958/$R958,2))))</f>
        <v/>
      </c>
      <c r="T958" s="24" t="str">
        <f aca="false">IF($N958="","",IFERROR(INDEX(VAT_Codes!$C:$C,MATCH($N958,VAT_Codes!$A:$A,0)),"")&amp;"")</f>
        <v/>
      </c>
      <c r="U958" s="26" t="n">
        <f aca="false">IF(OR($S958="",$T958="",$T958="None"),0,IF($T958="Output",-$S958,$S958))</f>
        <v>0</v>
      </c>
      <c r="V958" s="27" t="n">
        <f aca="false">IF($N958="",0,IFERROR(INDEX(VAT_Codes!$D:$D,MATCH($N958,VAT_Codes!$A:$A,0)),0))</f>
        <v>0</v>
      </c>
      <c r="W958" s="26" t="n">
        <f aca="false">IF($U958=0,0,IF(IFERROR(INDEX(VAT_Codes!$F:$F,MATCH($N958,VAT_Codes!$A:$A,0)),"N")="Y",$U958,IF($L958&lt;&gt;"",ROUND(ABS($L958)/IF(OR($R958="",$R958=0),1,$R958),2)*SIGN($U958),ROUND($U958*$V958,2))))</f>
        <v>0</v>
      </c>
      <c r="X958" s="24" t="str">
        <f aca="false">IF($N958="","",IFERROR(INDEX(VAT_Codes!$H:$H,MATCH($N958,VAT_Codes!$A:$A,0)),"")&amp;"")</f>
        <v/>
      </c>
      <c r="Y958" s="24" t="str">
        <f aca="false">IF($A958="","",(YEAR($A958)-YEAR(Settings!$C$8))*12+MONTH($A958)-MONTH(Settings!$C$8)+1)</f>
        <v/>
      </c>
      <c r="Z958" s="24" t="str">
        <f aca="false">IF(AND($C958="",$I958="",$J958=""),"",IF($N958="","NO VAT CODE",IF($T958="","UNKNOWN VAT CODE",IF($S958="","MISSING FX RATE",IF(OR($A958&lt;Settings!$C$8,$A958&gt;Settings!$C$9),"OUTSIDE PERIOD",IF(AND(IFERROR(INDEX(VAT_Codes!$E:$E,MATCH($N958,VAT_Codes!$A:$A,0)),"ANY")&lt;&gt;"ANY",$P958=""),"MISSING COUNTERPARTY COUNTRY",IF(AND(IFERROR(INDEX(VAT_Codes!$E:$E,MATCH($N958,VAT_Codes!$A:$A,0)),"ANY")&lt;&gt;"ANY",$P958&lt;&gt;IFERROR(INDEX(VAT_Codes!$E:$E,MATCH($N958,VAT_Codes!$A:$A,0)),"ANY")),"REGION MISMATCH","OK")))))))</f>
        <v/>
      </c>
    </row>
    <row r="959" customFormat="false" ht="15" hidden="false" customHeight="false" outlineLevel="0" collapsed="false">
      <c r="M959" s="24" t="str">
        <f aca="false">IF($C959="","",IFERROR(INDEX(Account_Mapping!$C:$C,MATCH($C959&amp;"",Account_Mapping!$A:$A,0))&amp;"",""))</f>
        <v/>
      </c>
      <c r="N959" s="24" t="str">
        <f aca="false">IF($K959&lt;&gt;"",$K959,$M959)</f>
        <v/>
      </c>
      <c r="O959" s="24" t="str">
        <f aca="false">IF($F959="","",IFERROR(INDEX(Counterparties!$C:$C,MATCH($F959&amp;"",Counterparties!$A:$A,0))&amp;"",""))</f>
        <v/>
      </c>
      <c r="P959" s="24" t="str">
        <f aca="false">IF($O959="","",IF($O959="CY","CY",IF(ISNUMBER(MATCH($O959,Lists!$A:$A,0)),"EU","3RD")))</f>
        <v/>
      </c>
      <c r="Q959" s="24" t="str">
        <f aca="false">IF($F959="","N",IFERROR(IF(INDEX(Counterparties!$E:$E,MATCH($F959&amp;"",Counterparties!$A:$A,0))="Y","Y","N"),"N"))</f>
        <v>N</v>
      </c>
      <c r="R959" s="25" t="n">
        <f aca="false">IF(OR($H959="",$H959="EUR"),1,IFERROR(INDEX(FX_Rates!$D:$D,MATCH($H959,FX_Rates!$A:$A,0)),""))</f>
        <v>1</v>
      </c>
      <c r="S959" s="26" t="str">
        <f aca="false">IF(AND($I959="",$J959=""),"",IF($J959&lt;&gt;"",$J959,IF(OR($R959="",$R959=0),"",ROUND($I959/$R959,2))))</f>
        <v/>
      </c>
      <c r="T959" s="24" t="str">
        <f aca="false">IF($N959="","",IFERROR(INDEX(VAT_Codes!$C:$C,MATCH($N959,VAT_Codes!$A:$A,0)),"")&amp;"")</f>
        <v/>
      </c>
      <c r="U959" s="26" t="n">
        <f aca="false">IF(OR($S959="",$T959="",$T959="None"),0,IF($T959="Output",-$S959,$S959))</f>
        <v>0</v>
      </c>
      <c r="V959" s="27" t="n">
        <f aca="false">IF($N959="",0,IFERROR(INDEX(VAT_Codes!$D:$D,MATCH($N959,VAT_Codes!$A:$A,0)),0))</f>
        <v>0</v>
      </c>
      <c r="W959" s="26" t="n">
        <f aca="false">IF($U959=0,0,IF(IFERROR(INDEX(VAT_Codes!$F:$F,MATCH($N959,VAT_Codes!$A:$A,0)),"N")="Y",$U959,IF($L959&lt;&gt;"",ROUND(ABS($L959)/IF(OR($R959="",$R959=0),1,$R959),2)*SIGN($U959),ROUND($U959*$V959,2))))</f>
        <v>0</v>
      </c>
      <c r="X959" s="24" t="str">
        <f aca="false">IF($N959="","",IFERROR(INDEX(VAT_Codes!$H:$H,MATCH($N959,VAT_Codes!$A:$A,0)),"")&amp;"")</f>
        <v/>
      </c>
      <c r="Y959" s="24" t="str">
        <f aca="false">IF($A959="","",(YEAR($A959)-YEAR(Settings!$C$8))*12+MONTH($A959)-MONTH(Settings!$C$8)+1)</f>
        <v/>
      </c>
      <c r="Z959" s="24" t="str">
        <f aca="false">IF(AND($C959="",$I959="",$J959=""),"",IF($N959="","NO VAT CODE",IF($T959="","UNKNOWN VAT CODE",IF($S959="","MISSING FX RATE",IF(OR($A959&lt;Settings!$C$8,$A959&gt;Settings!$C$9),"OUTSIDE PERIOD",IF(AND(IFERROR(INDEX(VAT_Codes!$E:$E,MATCH($N959,VAT_Codes!$A:$A,0)),"ANY")&lt;&gt;"ANY",$P959=""),"MISSING COUNTERPARTY COUNTRY",IF(AND(IFERROR(INDEX(VAT_Codes!$E:$E,MATCH($N959,VAT_Codes!$A:$A,0)),"ANY")&lt;&gt;"ANY",$P959&lt;&gt;IFERROR(INDEX(VAT_Codes!$E:$E,MATCH($N959,VAT_Codes!$A:$A,0)),"ANY")),"REGION MISMATCH","OK")))))))</f>
        <v/>
      </c>
    </row>
    <row r="960" customFormat="false" ht="15" hidden="false" customHeight="false" outlineLevel="0" collapsed="false">
      <c r="M960" s="24" t="str">
        <f aca="false">IF($C960="","",IFERROR(INDEX(Account_Mapping!$C:$C,MATCH($C960&amp;"",Account_Mapping!$A:$A,0))&amp;"",""))</f>
        <v/>
      </c>
      <c r="N960" s="24" t="str">
        <f aca="false">IF($K960&lt;&gt;"",$K960,$M960)</f>
        <v/>
      </c>
      <c r="O960" s="24" t="str">
        <f aca="false">IF($F960="","",IFERROR(INDEX(Counterparties!$C:$C,MATCH($F960&amp;"",Counterparties!$A:$A,0))&amp;"",""))</f>
        <v/>
      </c>
      <c r="P960" s="24" t="str">
        <f aca="false">IF($O960="","",IF($O960="CY","CY",IF(ISNUMBER(MATCH($O960,Lists!$A:$A,0)),"EU","3RD")))</f>
        <v/>
      </c>
      <c r="Q960" s="24" t="str">
        <f aca="false">IF($F960="","N",IFERROR(IF(INDEX(Counterparties!$E:$E,MATCH($F960&amp;"",Counterparties!$A:$A,0))="Y","Y","N"),"N"))</f>
        <v>N</v>
      </c>
      <c r="R960" s="25" t="n">
        <f aca="false">IF(OR($H960="",$H960="EUR"),1,IFERROR(INDEX(FX_Rates!$D:$D,MATCH($H960,FX_Rates!$A:$A,0)),""))</f>
        <v>1</v>
      </c>
      <c r="S960" s="26" t="str">
        <f aca="false">IF(AND($I960="",$J960=""),"",IF($J960&lt;&gt;"",$J960,IF(OR($R960="",$R960=0),"",ROUND($I960/$R960,2))))</f>
        <v/>
      </c>
      <c r="T960" s="24" t="str">
        <f aca="false">IF($N960="","",IFERROR(INDEX(VAT_Codes!$C:$C,MATCH($N960,VAT_Codes!$A:$A,0)),"")&amp;"")</f>
        <v/>
      </c>
      <c r="U960" s="26" t="n">
        <f aca="false">IF(OR($S960="",$T960="",$T960="None"),0,IF($T960="Output",-$S960,$S960))</f>
        <v>0</v>
      </c>
      <c r="V960" s="27" t="n">
        <f aca="false">IF($N960="",0,IFERROR(INDEX(VAT_Codes!$D:$D,MATCH($N960,VAT_Codes!$A:$A,0)),0))</f>
        <v>0</v>
      </c>
      <c r="W960" s="26" t="n">
        <f aca="false">IF($U960=0,0,IF(IFERROR(INDEX(VAT_Codes!$F:$F,MATCH($N960,VAT_Codes!$A:$A,0)),"N")="Y",$U960,IF($L960&lt;&gt;"",ROUND(ABS($L960)/IF(OR($R960="",$R960=0),1,$R960),2)*SIGN($U960),ROUND($U960*$V960,2))))</f>
        <v>0</v>
      </c>
      <c r="X960" s="24" t="str">
        <f aca="false">IF($N960="","",IFERROR(INDEX(VAT_Codes!$H:$H,MATCH($N960,VAT_Codes!$A:$A,0)),"")&amp;"")</f>
        <v/>
      </c>
      <c r="Y960" s="24" t="str">
        <f aca="false">IF($A960="","",(YEAR($A960)-YEAR(Settings!$C$8))*12+MONTH($A960)-MONTH(Settings!$C$8)+1)</f>
        <v/>
      </c>
      <c r="Z960" s="24" t="str">
        <f aca="false">IF(AND($C960="",$I960="",$J960=""),"",IF($N960="","NO VAT CODE",IF($T960="","UNKNOWN VAT CODE",IF($S960="","MISSING FX RATE",IF(OR($A960&lt;Settings!$C$8,$A960&gt;Settings!$C$9),"OUTSIDE PERIOD",IF(AND(IFERROR(INDEX(VAT_Codes!$E:$E,MATCH($N960,VAT_Codes!$A:$A,0)),"ANY")&lt;&gt;"ANY",$P960=""),"MISSING COUNTERPARTY COUNTRY",IF(AND(IFERROR(INDEX(VAT_Codes!$E:$E,MATCH($N960,VAT_Codes!$A:$A,0)),"ANY")&lt;&gt;"ANY",$P960&lt;&gt;IFERROR(INDEX(VAT_Codes!$E:$E,MATCH($N960,VAT_Codes!$A:$A,0)),"ANY")),"REGION MISMATCH","OK")))))))</f>
        <v/>
      </c>
    </row>
    <row r="961" customFormat="false" ht="15" hidden="false" customHeight="false" outlineLevel="0" collapsed="false">
      <c r="M961" s="24" t="str">
        <f aca="false">IF($C961="","",IFERROR(INDEX(Account_Mapping!$C:$C,MATCH($C961&amp;"",Account_Mapping!$A:$A,0))&amp;"",""))</f>
        <v/>
      </c>
      <c r="N961" s="24" t="str">
        <f aca="false">IF($K961&lt;&gt;"",$K961,$M961)</f>
        <v/>
      </c>
      <c r="O961" s="24" t="str">
        <f aca="false">IF($F961="","",IFERROR(INDEX(Counterparties!$C:$C,MATCH($F961&amp;"",Counterparties!$A:$A,0))&amp;"",""))</f>
        <v/>
      </c>
      <c r="P961" s="24" t="str">
        <f aca="false">IF($O961="","",IF($O961="CY","CY",IF(ISNUMBER(MATCH($O961,Lists!$A:$A,0)),"EU","3RD")))</f>
        <v/>
      </c>
      <c r="Q961" s="24" t="str">
        <f aca="false">IF($F961="","N",IFERROR(IF(INDEX(Counterparties!$E:$E,MATCH($F961&amp;"",Counterparties!$A:$A,0))="Y","Y","N"),"N"))</f>
        <v>N</v>
      </c>
      <c r="R961" s="25" t="n">
        <f aca="false">IF(OR($H961="",$H961="EUR"),1,IFERROR(INDEX(FX_Rates!$D:$D,MATCH($H961,FX_Rates!$A:$A,0)),""))</f>
        <v>1</v>
      </c>
      <c r="S961" s="26" t="str">
        <f aca="false">IF(AND($I961="",$J961=""),"",IF($J961&lt;&gt;"",$J961,IF(OR($R961="",$R961=0),"",ROUND($I961/$R961,2))))</f>
        <v/>
      </c>
      <c r="T961" s="24" t="str">
        <f aca="false">IF($N961="","",IFERROR(INDEX(VAT_Codes!$C:$C,MATCH($N961,VAT_Codes!$A:$A,0)),"")&amp;"")</f>
        <v/>
      </c>
      <c r="U961" s="26" t="n">
        <f aca="false">IF(OR($S961="",$T961="",$T961="None"),0,IF($T961="Output",-$S961,$S961))</f>
        <v>0</v>
      </c>
      <c r="V961" s="27" t="n">
        <f aca="false">IF($N961="",0,IFERROR(INDEX(VAT_Codes!$D:$D,MATCH($N961,VAT_Codes!$A:$A,0)),0))</f>
        <v>0</v>
      </c>
      <c r="W961" s="26" t="n">
        <f aca="false">IF($U961=0,0,IF(IFERROR(INDEX(VAT_Codes!$F:$F,MATCH($N961,VAT_Codes!$A:$A,0)),"N")="Y",$U961,IF($L961&lt;&gt;"",ROUND(ABS($L961)/IF(OR($R961="",$R961=0),1,$R961),2)*SIGN($U961),ROUND($U961*$V961,2))))</f>
        <v>0</v>
      </c>
      <c r="X961" s="24" t="str">
        <f aca="false">IF($N961="","",IFERROR(INDEX(VAT_Codes!$H:$H,MATCH($N961,VAT_Codes!$A:$A,0)),"")&amp;"")</f>
        <v/>
      </c>
      <c r="Y961" s="24" t="str">
        <f aca="false">IF($A961="","",(YEAR($A961)-YEAR(Settings!$C$8))*12+MONTH($A961)-MONTH(Settings!$C$8)+1)</f>
        <v/>
      </c>
      <c r="Z961" s="24" t="str">
        <f aca="false">IF(AND($C961="",$I961="",$J961=""),"",IF($N961="","NO VAT CODE",IF($T961="","UNKNOWN VAT CODE",IF($S961="","MISSING FX RATE",IF(OR($A961&lt;Settings!$C$8,$A961&gt;Settings!$C$9),"OUTSIDE PERIOD",IF(AND(IFERROR(INDEX(VAT_Codes!$E:$E,MATCH($N961,VAT_Codes!$A:$A,0)),"ANY")&lt;&gt;"ANY",$P961=""),"MISSING COUNTERPARTY COUNTRY",IF(AND(IFERROR(INDEX(VAT_Codes!$E:$E,MATCH($N961,VAT_Codes!$A:$A,0)),"ANY")&lt;&gt;"ANY",$P961&lt;&gt;IFERROR(INDEX(VAT_Codes!$E:$E,MATCH($N961,VAT_Codes!$A:$A,0)),"ANY")),"REGION MISMATCH","OK")))))))</f>
        <v/>
      </c>
    </row>
    <row r="962" customFormat="false" ht="15" hidden="false" customHeight="false" outlineLevel="0" collapsed="false">
      <c r="M962" s="24" t="str">
        <f aca="false">IF($C962="","",IFERROR(INDEX(Account_Mapping!$C:$C,MATCH($C962&amp;"",Account_Mapping!$A:$A,0))&amp;"",""))</f>
        <v/>
      </c>
      <c r="N962" s="24" t="str">
        <f aca="false">IF($K962&lt;&gt;"",$K962,$M962)</f>
        <v/>
      </c>
      <c r="O962" s="24" t="str">
        <f aca="false">IF($F962="","",IFERROR(INDEX(Counterparties!$C:$C,MATCH($F962&amp;"",Counterparties!$A:$A,0))&amp;"",""))</f>
        <v/>
      </c>
      <c r="P962" s="24" t="str">
        <f aca="false">IF($O962="","",IF($O962="CY","CY",IF(ISNUMBER(MATCH($O962,Lists!$A:$A,0)),"EU","3RD")))</f>
        <v/>
      </c>
      <c r="Q962" s="24" t="str">
        <f aca="false">IF($F962="","N",IFERROR(IF(INDEX(Counterparties!$E:$E,MATCH($F962&amp;"",Counterparties!$A:$A,0))="Y","Y","N"),"N"))</f>
        <v>N</v>
      </c>
      <c r="R962" s="25" t="n">
        <f aca="false">IF(OR($H962="",$H962="EUR"),1,IFERROR(INDEX(FX_Rates!$D:$D,MATCH($H962,FX_Rates!$A:$A,0)),""))</f>
        <v>1</v>
      </c>
      <c r="S962" s="26" t="str">
        <f aca="false">IF(AND($I962="",$J962=""),"",IF($J962&lt;&gt;"",$J962,IF(OR($R962="",$R962=0),"",ROUND($I962/$R962,2))))</f>
        <v/>
      </c>
      <c r="T962" s="24" t="str">
        <f aca="false">IF($N962="","",IFERROR(INDEX(VAT_Codes!$C:$C,MATCH($N962,VAT_Codes!$A:$A,0)),"")&amp;"")</f>
        <v/>
      </c>
      <c r="U962" s="26" t="n">
        <f aca="false">IF(OR($S962="",$T962="",$T962="None"),0,IF($T962="Output",-$S962,$S962))</f>
        <v>0</v>
      </c>
      <c r="V962" s="27" t="n">
        <f aca="false">IF($N962="",0,IFERROR(INDEX(VAT_Codes!$D:$D,MATCH($N962,VAT_Codes!$A:$A,0)),0))</f>
        <v>0</v>
      </c>
      <c r="W962" s="26" t="n">
        <f aca="false">IF($U962=0,0,IF(IFERROR(INDEX(VAT_Codes!$F:$F,MATCH($N962,VAT_Codes!$A:$A,0)),"N")="Y",$U962,IF($L962&lt;&gt;"",ROUND(ABS($L962)/IF(OR($R962="",$R962=0),1,$R962),2)*SIGN($U962),ROUND($U962*$V962,2))))</f>
        <v>0</v>
      </c>
      <c r="X962" s="24" t="str">
        <f aca="false">IF($N962="","",IFERROR(INDEX(VAT_Codes!$H:$H,MATCH($N962,VAT_Codes!$A:$A,0)),"")&amp;"")</f>
        <v/>
      </c>
      <c r="Y962" s="24" t="str">
        <f aca="false">IF($A962="","",(YEAR($A962)-YEAR(Settings!$C$8))*12+MONTH($A962)-MONTH(Settings!$C$8)+1)</f>
        <v/>
      </c>
      <c r="Z962" s="24" t="str">
        <f aca="false">IF(AND($C962="",$I962="",$J962=""),"",IF($N962="","NO VAT CODE",IF($T962="","UNKNOWN VAT CODE",IF($S962="","MISSING FX RATE",IF(OR($A962&lt;Settings!$C$8,$A962&gt;Settings!$C$9),"OUTSIDE PERIOD",IF(AND(IFERROR(INDEX(VAT_Codes!$E:$E,MATCH($N962,VAT_Codes!$A:$A,0)),"ANY")&lt;&gt;"ANY",$P962=""),"MISSING COUNTERPARTY COUNTRY",IF(AND(IFERROR(INDEX(VAT_Codes!$E:$E,MATCH($N962,VAT_Codes!$A:$A,0)),"ANY")&lt;&gt;"ANY",$P962&lt;&gt;IFERROR(INDEX(VAT_Codes!$E:$E,MATCH($N962,VAT_Codes!$A:$A,0)),"ANY")),"REGION MISMATCH","OK")))))))</f>
        <v/>
      </c>
    </row>
    <row r="963" customFormat="false" ht="15" hidden="false" customHeight="false" outlineLevel="0" collapsed="false">
      <c r="M963" s="24" t="str">
        <f aca="false">IF($C963="","",IFERROR(INDEX(Account_Mapping!$C:$C,MATCH($C963&amp;"",Account_Mapping!$A:$A,0))&amp;"",""))</f>
        <v/>
      </c>
      <c r="N963" s="24" t="str">
        <f aca="false">IF($K963&lt;&gt;"",$K963,$M963)</f>
        <v/>
      </c>
      <c r="O963" s="24" t="str">
        <f aca="false">IF($F963="","",IFERROR(INDEX(Counterparties!$C:$C,MATCH($F963&amp;"",Counterparties!$A:$A,0))&amp;"",""))</f>
        <v/>
      </c>
      <c r="P963" s="24" t="str">
        <f aca="false">IF($O963="","",IF($O963="CY","CY",IF(ISNUMBER(MATCH($O963,Lists!$A:$A,0)),"EU","3RD")))</f>
        <v/>
      </c>
      <c r="Q963" s="24" t="str">
        <f aca="false">IF($F963="","N",IFERROR(IF(INDEX(Counterparties!$E:$E,MATCH($F963&amp;"",Counterparties!$A:$A,0))="Y","Y","N"),"N"))</f>
        <v>N</v>
      </c>
      <c r="R963" s="25" t="n">
        <f aca="false">IF(OR($H963="",$H963="EUR"),1,IFERROR(INDEX(FX_Rates!$D:$D,MATCH($H963,FX_Rates!$A:$A,0)),""))</f>
        <v>1</v>
      </c>
      <c r="S963" s="26" t="str">
        <f aca="false">IF(AND($I963="",$J963=""),"",IF($J963&lt;&gt;"",$J963,IF(OR($R963="",$R963=0),"",ROUND($I963/$R963,2))))</f>
        <v/>
      </c>
      <c r="T963" s="24" t="str">
        <f aca="false">IF($N963="","",IFERROR(INDEX(VAT_Codes!$C:$C,MATCH($N963,VAT_Codes!$A:$A,0)),"")&amp;"")</f>
        <v/>
      </c>
      <c r="U963" s="26" t="n">
        <f aca="false">IF(OR($S963="",$T963="",$T963="None"),0,IF($T963="Output",-$S963,$S963))</f>
        <v>0</v>
      </c>
      <c r="V963" s="27" t="n">
        <f aca="false">IF($N963="",0,IFERROR(INDEX(VAT_Codes!$D:$D,MATCH($N963,VAT_Codes!$A:$A,0)),0))</f>
        <v>0</v>
      </c>
      <c r="W963" s="26" t="n">
        <f aca="false">IF($U963=0,0,IF(IFERROR(INDEX(VAT_Codes!$F:$F,MATCH($N963,VAT_Codes!$A:$A,0)),"N")="Y",$U963,IF($L963&lt;&gt;"",ROUND(ABS($L963)/IF(OR($R963="",$R963=0),1,$R963),2)*SIGN($U963),ROUND($U963*$V963,2))))</f>
        <v>0</v>
      </c>
      <c r="X963" s="24" t="str">
        <f aca="false">IF($N963="","",IFERROR(INDEX(VAT_Codes!$H:$H,MATCH($N963,VAT_Codes!$A:$A,0)),"")&amp;"")</f>
        <v/>
      </c>
      <c r="Y963" s="24" t="str">
        <f aca="false">IF($A963="","",(YEAR($A963)-YEAR(Settings!$C$8))*12+MONTH($A963)-MONTH(Settings!$C$8)+1)</f>
        <v/>
      </c>
      <c r="Z963" s="24" t="str">
        <f aca="false">IF(AND($C963="",$I963="",$J963=""),"",IF($N963="","NO VAT CODE",IF($T963="","UNKNOWN VAT CODE",IF($S963="","MISSING FX RATE",IF(OR($A963&lt;Settings!$C$8,$A963&gt;Settings!$C$9),"OUTSIDE PERIOD",IF(AND(IFERROR(INDEX(VAT_Codes!$E:$E,MATCH($N963,VAT_Codes!$A:$A,0)),"ANY")&lt;&gt;"ANY",$P963=""),"MISSING COUNTERPARTY COUNTRY",IF(AND(IFERROR(INDEX(VAT_Codes!$E:$E,MATCH($N963,VAT_Codes!$A:$A,0)),"ANY")&lt;&gt;"ANY",$P963&lt;&gt;IFERROR(INDEX(VAT_Codes!$E:$E,MATCH($N963,VAT_Codes!$A:$A,0)),"ANY")),"REGION MISMATCH","OK")))))))</f>
        <v/>
      </c>
    </row>
    <row r="964" customFormat="false" ht="15" hidden="false" customHeight="false" outlineLevel="0" collapsed="false">
      <c r="M964" s="24" t="str">
        <f aca="false">IF($C964="","",IFERROR(INDEX(Account_Mapping!$C:$C,MATCH($C964&amp;"",Account_Mapping!$A:$A,0))&amp;"",""))</f>
        <v/>
      </c>
      <c r="N964" s="24" t="str">
        <f aca="false">IF($K964&lt;&gt;"",$K964,$M964)</f>
        <v/>
      </c>
      <c r="O964" s="24" t="str">
        <f aca="false">IF($F964="","",IFERROR(INDEX(Counterparties!$C:$C,MATCH($F964&amp;"",Counterparties!$A:$A,0))&amp;"",""))</f>
        <v/>
      </c>
      <c r="P964" s="24" t="str">
        <f aca="false">IF($O964="","",IF($O964="CY","CY",IF(ISNUMBER(MATCH($O964,Lists!$A:$A,0)),"EU","3RD")))</f>
        <v/>
      </c>
      <c r="Q964" s="24" t="str">
        <f aca="false">IF($F964="","N",IFERROR(IF(INDEX(Counterparties!$E:$E,MATCH($F964&amp;"",Counterparties!$A:$A,0))="Y","Y","N"),"N"))</f>
        <v>N</v>
      </c>
      <c r="R964" s="25" t="n">
        <f aca="false">IF(OR($H964="",$H964="EUR"),1,IFERROR(INDEX(FX_Rates!$D:$D,MATCH($H964,FX_Rates!$A:$A,0)),""))</f>
        <v>1</v>
      </c>
      <c r="S964" s="26" t="str">
        <f aca="false">IF(AND($I964="",$J964=""),"",IF($J964&lt;&gt;"",$J964,IF(OR($R964="",$R964=0),"",ROUND($I964/$R964,2))))</f>
        <v/>
      </c>
      <c r="T964" s="24" t="str">
        <f aca="false">IF($N964="","",IFERROR(INDEX(VAT_Codes!$C:$C,MATCH($N964,VAT_Codes!$A:$A,0)),"")&amp;"")</f>
        <v/>
      </c>
      <c r="U964" s="26" t="n">
        <f aca="false">IF(OR($S964="",$T964="",$T964="None"),0,IF($T964="Output",-$S964,$S964))</f>
        <v>0</v>
      </c>
      <c r="V964" s="27" t="n">
        <f aca="false">IF($N964="",0,IFERROR(INDEX(VAT_Codes!$D:$D,MATCH($N964,VAT_Codes!$A:$A,0)),0))</f>
        <v>0</v>
      </c>
      <c r="W964" s="26" t="n">
        <f aca="false">IF($U964=0,0,IF(IFERROR(INDEX(VAT_Codes!$F:$F,MATCH($N964,VAT_Codes!$A:$A,0)),"N")="Y",$U964,IF($L964&lt;&gt;"",ROUND(ABS($L964)/IF(OR($R964="",$R964=0),1,$R964),2)*SIGN($U964),ROUND($U964*$V964,2))))</f>
        <v>0</v>
      </c>
      <c r="X964" s="24" t="str">
        <f aca="false">IF($N964="","",IFERROR(INDEX(VAT_Codes!$H:$H,MATCH($N964,VAT_Codes!$A:$A,0)),"")&amp;"")</f>
        <v/>
      </c>
      <c r="Y964" s="24" t="str">
        <f aca="false">IF($A964="","",(YEAR($A964)-YEAR(Settings!$C$8))*12+MONTH($A964)-MONTH(Settings!$C$8)+1)</f>
        <v/>
      </c>
      <c r="Z964" s="24" t="str">
        <f aca="false">IF(AND($C964="",$I964="",$J964=""),"",IF($N964="","NO VAT CODE",IF($T964="","UNKNOWN VAT CODE",IF($S964="","MISSING FX RATE",IF(OR($A964&lt;Settings!$C$8,$A964&gt;Settings!$C$9),"OUTSIDE PERIOD",IF(AND(IFERROR(INDEX(VAT_Codes!$E:$E,MATCH($N964,VAT_Codes!$A:$A,0)),"ANY")&lt;&gt;"ANY",$P964=""),"MISSING COUNTERPARTY COUNTRY",IF(AND(IFERROR(INDEX(VAT_Codes!$E:$E,MATCH($N964,VAT_Codes!$A:$A,0)),"ANY")&lt;&gt;"ANY",$P964&lt;&gt;IFERROR(INDEX(VAT_Codes!$E:$E,MATCH($N964,VAT_Codes!$A:$A,0)),"ANY")),"REGION MISMATCH","OK")))))))</f>
        <v/>
      </c>
    </row>
    <row r="965" customFormat="false" ht="15" hidden="false" customHeight="false" outlineLevel="0" collapsed="false">
      <c r="M965" s="24" t="str">
        <f aca="false">IF($C965="","",IFERROR(INDEX(Account_Mapping!$C:$C,MATCH($C965&amp;"",Account_Mapping!$A:$A,0))&amp;"",""))</f>
        <v/>
      </c>
      <c r="N965" s="24" t="str">
        <f aca="false">IF($K965&lt;&gt;"",$K965,$M965)</f>
        <v/>
      </c>
      <c r="O965" s="24" t="str">
        <f aca="false">IF($F965="","",IFERROR(INDEX(Counterparties!$C:$C,MATCH($F965&amp;"",Counterparties!$A:$A,0))&amp;"",""))</f>
        <v/>
      </c>
      <c r="P965" s="24" t="str">
        <f aca="false">IF($O965="","",IF($O965="CY","CY",IF(ISNUMBER(MATCH($O965,Lists!$A:$A,0)),"EU","3RD")))</f>
        <v/>
      </c>
      <c r="Q965" s="24" t="str">
        <f aca="false">IF($F965="","N",IFERROR(IF(INDEX(Counterparties!$E:$E,MATCH($F965&amp;"",Counterparties!$A:$A,0))="Y","Y","N"),"N"))</f>
        <v>N</v>
      </c>
      <c r="R965" s="25" t="n">
        <f aca="false">IF(OR($H965="",$H965="EUR"),1,IFERROR(INDEX(FX_Rates!$D:$D,MATCH($H965,FX_Rates!$A:$A,0)),""))</f>
        <v>1</v>
      </c>
      <c r="S965" s="26" t="str">
        <f aca="false">IF(AND($I965="",$J965=""),"",IF($J965&lt;&gt;"",$J965,IF(OR($R965="",$R965=0),"",ROUND($I965/$R965,2))))</f>
        <v/>
      </c>
      <c r="T965" s="24" t="str">
        <f aca="false">IF($N965="","",IFERROR(INDEX(VAT_Codes!$C:$C,MATCH($N965,VAT_Codes!$A:$A,0)),"")&amp;"")</f>
        <v/>
      </c>
      <c r="U965" s="26" t="n">
        <f aca="false">IF(OR($S965="",$T965="",$T965="None"),0,IF($T965="Output",-$S965,$S965))</f>
        <v>0</v>
      </c>
      <c r="V965" s="27" t="n">
        <f aca="false">IF($N965="",0,IFERROR(INDEX(VAT_Codes!$D:$D,MATCH($N965,VAT_Codes!$A:$A,0)),0))</f>
        <v>0</v>
      </c>
      <c r="W965" s="26" t="n">
        <f aca="false">IF($U965=0,0,IF(IFERROR(INDEX(VAT_Codes!$F:$F,MATCH($N965,VAT_Codes!$A:$A,0)),"N")="Y",$U965,IF($L965&lt;&gt;"",ROUND(ABS($L965)/IF(OR($R965="",$R965=0),1,$R965),2)*SIGN($U965),ROUND($U965*$V965,2))))</f>
        <v>0</v>
      </c>
      <c r="X965" s="24" t="str">
        <f aca="false">IF($N965="","",IFERROR(INDEX(VAT_Codes!$H:$H,MATCH($N965,VAT_Codes!$A:$A,0)),"")&amp;"")</f>
        <v/>
      </c>
      <c r="Y965" s="24" t="str">
        <f aca="false">IF($A965="","",(YEAR($A965)-YEAR(Settings!$C$8))*12+MONTH($A965)-MONTH(Settings!$C$8)+1)</f>
        <v/>
      </c>
      <c r="Z965" s="24" t="str">
        <f aca="false">IF(AND($C965="",$I965="",$J965=""),"",IF($N965="","NO VAT CODE",IF($T965="","UNKNOWN VAT CODE",IF($S965="","MISSING FX RATE",IF(OR($A965&lt;Settings!$C$8,$A965&gt;Settings!$C$9),"OUTSIDE PERIOD",IF(AND(IFERROR(INDEX(VAT_Codes!$E:$E,MATCH($N965,VAT_Codes!$A:$A,0)),"ANY")&lt;&gt;"ANY",$P965=""),"MISSING COUNTERPARTY COUNTRY",IF(AND(IFERROR(INDEX(VAT_Codes!$E:$E,MATCH($N965,VAT_Codes!$A:$A,0)),"ANY")&lt;&gt;"ANY",$P965&lt;&gt;IFERROR(INDEX(VAT_Codes!$E:$E,MATCH($N965,VAT_Codes!$A:$A,0)),"ANY")),"REGION MISMATCH","OK")))))))</f>
        <v/>
      </c>
    </row>
    <row r="966" customFormat="false" ht="15" hidden="false" customHeight="false" outlineLevel="0" collapsed="false">
      <c r="M966" s="24" t="str">
        <f aca="false">IF($C966="","",IFERROR(INDEX(Account_Mapping!$C:$C,MATCH($C966&amp;"",Account_Mapping!$A:$A,0))&amp;"",""))</f>
        <v/>
      </c>
      <c r="N966" s="24" t="str">
        <f aca="false">IF($K966&lt;&gt;"",$K966,$M966)</f>
        <v/>
      </c>
      <c r="O966" s="24" t="str">
        <f aca="false">IF($F966="","",IFERROR(INDEX(Counterparties!$C:$C,MATCH($F966&amp;"",Counterparties!$A:$A,0))&amp;"",""))</f>
        <v/>
      </c>
      <c r="P966" s="24" t="str">
        <f aca="false">IF($O966="","",IF($O966="CY","CY",IF(ISNUMBER(MATCH($O966,Lists!$A:$A,0)),"EU","3RD")))</f>
        <v/>
      </c>
      <c r="Q966" s="24" t="str">
        <f aca="false">IF($F966="","N",IFERROR(IF(INDEX(Counterparties!$E:$E,MATCH($F966&amp;"",Counterparties!$A:$A,0))="Y","Y","N"),"N"))</f>
        <v>N</v>
      </c>
      <c r="R966" s="25" t="n">
        <f aca="false">IF(OR($H966="",$H966="EUR"),1,IFERROR(INDEX(FX_Rates!$D:$D,MATCH($H966,FX_Rates!$A:$A,0)),""))</f>
        <v>1</v>
      </c>
      <c r="S966" s="26" t="str">
        <f aca="false">IF(AND($I966="",$J966=""),"",IF($J966&lt;&gt;"",$J966,IF(OR($R966="",$R966=0),"",ROUND($I966/$R966,2))))</f>
        <v/>
      </c>
      <c r="T966" s="24" t="str">
        <f aca="false">IF($N966="","",IFERROR(INDEX(VAT_Codes!$C:$C,MATCH($N966,VAT_Codes!$A:$A,0)),"")&amp;"")</f>
        <v/>
      </c>
      <c r="U966" s="26" t="n">
        <f aca="false">IF(OR($S966="",$T966="",$T966="None"),0,IF($T966="Output",-$S966,$S966))</f>
        <v>0</v>
      </c>
      <c r="V966" s="27" t="n">
        <f aca="false">IF($N966="",0,IFERROR(INDEX(VAT_Codes!$D:$D,MATCH($N966,VAT_Codes!$A:$A,0)),0))</f>
        <v>0</v>
      </c>
      <c r="W966" s="26" t="n">
        <f aca="false">IF($U966=0,0,IF(IFERROR(INDEX(VAT_Codes!$F:$F,MATCH($N966,VAT_Codes!$A:$A,0)),"N")="Y",$U966,IF($L966&lt;&gt;"",ROUND(ABS($L966)/IF(OR($R966="",$R966=0),1,$R966),2)*SIGN($U966),ROUND($U966*$V966,2))))</f>
        <v>0</v>
      </c>
      <c r="X966" s="24" t="str">
        <f aca="false">IF($N966="","",IFERROR(INDEX(VAT_Codes!$H:$H,MATCH($N966,VAT_Codes!$A:$A,0)),"")&amp;"")</f>
        <v/>
      </c>
      <c r="Y966" s="24" t="str">
        <f aca="false">IF($A966="","",(YEAR($A966)-YEAR(Settings!$C$8))*12+MONTH($A966)-MONTH(Settings!$C$8)+1)</f>
        <v/>
      </c>
      <c r="Z966" s="24" t="str">
        <f aca="false">IF(AND($C966="",$I966="",$J966=""),"",IF($N966="","NO VAT CODE",IF($T966="","UNKNOWN VAT CODE",IF($S966="","MISSING FX RATE",IF(OR($A966&lt;Settings!$C$8,$A966&gt;Settings!$C$9),"OUTSIDE PERIOD",IF(AND(IFERROR(INDEX(VAT_Codes!$E:$E,MATCH($N966,VAT_Codes!$A:$A,0)),"ANY")&lt;&gt;"ANY",$P966=""),"MISSING COUNTERPARTY COUNTRY",IF(AND(IFERROR(INDEX(VAT_Codes!$E:$E,MATCH($N966,VAT_Codes!$A:$A,0)),"ANY")&lt;&gt;"ANY",$P966&lt;&gt;IFERROR(INDEX(VAT_Codes!$E:$E,MATCH($N966,VAT_Codes!$A:$A,0)),"ANY")),"REGION MISMATCH","OK")))))))</f>
        <v/>
      </c>
    </row>
    <row r="967" customFormat="false" ht="15" hidden="false" customHeight="false" outlineLevel="0" collapsed="false">
      <c r="M967" s="24" t="str">
        <f aca="false">IF($C967="","",IFERROR(INDEX(Account_Mapping!$C:$C,MATCH($C967&amp;"",Account_Mapping!$A:$A,0))&amp;"",""))</f>
        <v/>
      </c>
      <c r="N967" s="24" t="str">
        <f aca="false">IF($K967&lt;&gt;"",$K967,$M967)</f>
        <v/>
      </c>
      <c r="O967" s="24" t="str">
        <f aca="false">IF($F967="","",IFERROR(INDEX(Counterparties!$C:$C,MATCH($F967&amp;"",Counterparties!$A:$A,0))&amp;"",""))</f>
        <v/>
      </c>
      <c r="P967" s="24" t="str">
        <f aca="false">IF($O967="","",IF($O967="CY","CY",IF(ISNUMBER(MATCH($O967,Lists!$A:$A,0)),"EU","3RD")))</f>
        <v/>
      </c>
      <c r="Q967" s="24" t="str">
        <f aca="false">IF($F967="","N",IFERROR(IF(INDEX(Counterparties!$E:$E,MATCH($F967&amp;"",Counterparties!$A:$A,0))="Y","Y","N"),"N"))</f>
        <v>N</v>
      </c>
      <c r="R967" s="25" t="n">
        <f aca="false">IF(OR($H967="",$H967="EUR"),1,IFERROR(INDEX(FX_Rates!$D:$D,MATCH($H967,FX_Rates!$A:$A,0)),""))</f>
        <v>1</v>
      </c>
      <c r="S967" s="26" t="str">
        <f aca="false">IF(AND($I967="",$J967=""),"",IF($J967&lt;&gt;"",$J967,IF(OR($R967="",$R967=0),"",ROUND($I967/$R967,2))))</f>
        <v/>
      </c>
      <c r="T967" s="24" t="str">
        <f aca="false">IF($N967="","",IFERROR(INDEX(VAT_Codes!$C:$C,MATCH($N967,VAT_Codes!$A:$A,0)),"")&amp;"")</f>
        <v/>
      </c>
      <c r="U967" s="26" t="n">
        <f aca="false">IF(OR($S967="",$T967="",$T967="None"),0,IF($T967="Output",-$S967,$S967))</f>
        <v>0</v>
      </c>
      <c r="V967" s="27" t="n">
        <f aca="false">IF($N967="",0,IFERROR(INDEX(VAT_Codes!$D:$D,MATCH($N967,VAT_Codes!$A:$A,0)),0))</f>
        <v>0</v>
      </c>
      <c r="W967" s="26" t="n">
        <f aca="false">IF($U967=0,0,IF(IFERROR(INDEX(VAT_Codes!$F:$F,MATCH($N967,VAT_Codes!$A:$A,0)),"N")="Y",$U967,IF($L967&lt;&gt;"",ROUND(ABS($L967)/IF(OR($R967="",$R967=0),1,$R967),2)*SIGN($U967),ROUND($U967*$V967,2))))</f>
        <v>0</v>
      </c>
      <c r="X967" s="24" t="str">
        <f aca="false">IF($N967="","",IFERROR(INDEX(VAT_Codes!$H:$H,MATCH($N967,VAT_Codes!$A:$A,0)),"")&amp;"")</f>
        <v/>
      </c>
      <c r="Y967" s="24" t="str">
        <f aca="false">IF($A967="","",(YEAR($A967)-YEAR(Settings!$C$8))*12+MONTH($A967)-MONTH(Settings!$C$8)+1)</f>
        <v/>
      </c>
      <c r="Z967" s="24" t="str">
        <f aca="false">IF(AND($C967="",$I967="",$J967=""),"",IF($N967="","NO VAT CODE",IF($T967="","UNKNOWN VAT CODE",IF($S967="","MISSING FX RATE",IF(OR($A967&lt;Settings!$C$8,$A967&gt;Settings!$C$9),"OUTSIDE PERIOD",IF(AND(IFERROR(INDEX(VAT_Codes!$E:$E,MATCH($N967,VAT_Codes!$A:$A,0)),"ANY")&lt;&gt;"ANY",$P967=""),"MISSING COUNTERPARTY COUNTRY",IF(AND(IFERROR(INDEX(VAT_Codes!$E:$E,MATCH($N967,VAT_Codes!$A:$A,0)),"ANY")&lt;&gt;"ANY",$P967&lt;&gt;IFERROR(INDEX(VAT_Codes!$E:$E,MATCH($N967,VAT_Codes!$A:$A,0)),"ANY")),"REGION MISMATCH","OK")))))))</f>
        <v/>
      </c>
    </row>
    <row r="968" customFormat="false" ht="15" hidden="false" customHeight="false" outlineLevel="0" collapsed="false">
      <c r="M968" s="24" t="str">
        <f aca="false">IF($C968="","",IFERROR(INDEX(Account_Mapping!$C:$C,MATCH($C968&amp;"",Account_Mapping!$A:$A,0))&amp;"",""))</f>
        <v/>
      </c>
      <c r="N968" s="24" t="str">
        <f aca="false">IF($K968&lt;&gt;"",$K968,$M968)</f>
        <v/>
      </c>
      <c r="O968" s="24" t="str">
        <f aca="false">IF($F968="","",IFERROR(INDEX(Counterparties!$C:$C,MATCH($F968&amp;"",Counterparties!$A:$A,0))&amp;"",""))</f>
        <v/>
      </c>
      <c r="P968" s="24" t="str">
        <f aca="false">IF($O968="","",IF($O968="CY","CY",IF(ISNUMBER(MATCH($O968,Lists!$A:$A,0)),"EU","3RD")))</f>
        <v/>
      </c>
      <c r="Q968" s="24" t="str">
        <f aca="false">IF($F968="","N",IFERROR(IF(INDEX(Counterparties!$E:$E,MATCH($F968&amp;"",Counterparties!$A:$A,0))="Y","Y","N"),"N"))</f>
        <v>N</v>
      </c>
      <c r="R968" s="25" t="n">
        <f aca="false">IF(OR($H968="",$H968="EUR"),1,IFERROR(INDEX(FX_Rates!$D:$D,MATCH($H968,FX_Rates!$A:$A,0)),""))</f>
        <v>1</v>
      </c>
      <c r="S968" s="26" t="str">
        <f aca="false">IF(AND($I968="",$J968=""),"",IF($J968&lt;&gt;"",$J968,IF(OR($R968="",$R968=0),"",ROUND($I968/$R968,2))))</f>
        <v/>
      </c>
      <c r="T968" s="24" t="str">
        <f aca="false">IF($N968="","",IFERROR(INDEX(VAT_Codes!$C:$C,MATCH($N968,VAT_Codes!$A:$A,0)),"")&amp;"")</f>
        <v/>
      </c>
      <c r="U968" s="26" t="n">
        <f aca="false">IF(OR($S968="",$T968="",$T968="None"),0,IF($T968="Output",-$S968,$S968))</f>
        <v>0</v>
      </c>
      <c r="V968" s="27" t="n">
        <f aca="false">IF($N968="",0,IFERROR(INDEX(VAT_Codes!$D:$D,MATCH($N968,VAT_Codes!$A:$A,0)),0))</f>
        <v>0</v>
      </c>
      <c r="W968" s="26" t="n">
        <f aca="false">IF($U968=0,0,IF(IFERROR(INDEX(VAT_Codes!$F:$F,MATCH($N968,VAT_Codes!$A:$A,0)),"N")="Y",$U968,IF($L968&lt;&gt;"",ROUND(ABS($L968)/IF(OR($R968="",$R968=0),1,$R968),2)*SIGN($U968),ROUND($U968*$V968,2))))</f>
        <v>0</v>
      </c>
      <c r="X968" s="24" t="str">
        <f aca="false">IF($N968="","",IFERROR(INDEX(VAT_Codes!$H:$H,MATCH($N968,VAT_Codes!$A:$A,0)),"")&amp;"")</f>
        <v/>
      </c>
      <c r="Y968" s="24" t="str">
        <f aca="false">IF($A968="","",(YEAR($A968)-YEAR(Settings!$C$8))*12+MONTH($A968)-MONTH(Settings!$C$8)+1)</f>
        <v/>
      </c>
      <c r="Z968" s="24" t="str">
        <f aca="false">IF(AND($C968="",$I968="",$J968=""),"",IF($N968="","NO VAT CODE",IF($T968="","UNKNOWN VAT CODE",IF($S968="","MISSING FX RATE",IF(OR($A968&lt;Settings!$C$8,$A968&gt;Settings!$C$9),"OUTSIDE PERIOD",IF(AND(IFERROR(INDEX(VAT_Codes!$E:$E,MATCH($N968,VAT_Codes!$A:$A,0)),"ANY")&lt;&gt;"ANY",$P968=""),"MISSING COUNTERPARTY COUNTRY",IF(AND(IFERROR(INDEX(VAT_Codes!$E:$E,MATCH($N968,VAT_Codes!$A:$A,0)),"ANY")&lt;&gt;"ANY",$P968&lt;&gt;IFERROR(INDEX(VAT_Codes!$E:$E,MATCH($N968,VAT_Codes!$A:$A,0)),"ANY")),"REGION MISMATCH","OK")))))))</f>
        <v/>
      </c>
    </row>
    <row r="969" customFormat="false" ht="15" hidden="false" customHeight="false" outlineLevel="0" collapsed="false">
      <c r="M969" s="24" t="str">
        <f aca="false">IF($C969="","",IFERROR(INDEX(Account_Mapping!$C:$C,MATCH($C969&amp;"",Account_Mapping!$A:$A,0))&amp;"",""))</f>
        <v/>
      </c>
      <c r="N969" s="24" t="str">
        <f aca="false">IF($K969&lt;&gt;"",$K969,$M969)</f>
        <v/>
      </c>
      <c r="O969" s="24" t="str">
        <f aca="false">IF($F969="","",IFERROR(INDEX(Counterparties!$C:$C,MATCH($F969&amp;"",Counterparties!$A:$A,0))&amp;"",""))</f>
        <v/>
      </c>
      <c r="P969" s="24" t="str">
        <f aca="false">IF($O969="","",IF($O969="CY","CY",IF(ISNUMBER(MATCH($O969,Lists!$A:$A,0)),"EU","3RD")))</f>
        <v/>
      </c>
      <c r="Q969" s="24" t="str">
        <f aca="false">IF($F969="","N",IFERROR(IF(INDEX(Counterparties!$E:$E,MATCH($F969&amp;"",Counterparties!$A:$A,0))="Y","Y","N"),"N"))</f>
        <v>N</v>
      </c>
      <c r="R969" s="25" t="n">
        <f aca="false">IF(OR($H969="",$H969="EUR"),1,IFERROR(INDEX(FX_Rates!$D:$D,MATCH($H969,FX_Rates!$A:$A,0)),""))</f>
        <v>1</v>
      </c>
      <c r="S969" s="26" t="str">
        <f aca="false">IF(AND($I969="",$J969=""),"",IF($J969&lt;&gt;"",$J969,IF(OR($R969="",$R969=0),"",ROUND($I969/$R969,2))))</f>
        <v/>
      </c>
      <c r="T969" s="24" t="str">
        <f aca="false">IF($N969="","",IFERROR(INDEX(VAT_Codes!$C:$C,MATCH($N969,VAT_Codes!$A:$A,0)),"")&amp;"")</f>
        <v/>
      </c>
      <c r="U969" s="26" t="n">
        <f aca="false">IF(OR($S969="",$T969="",$T969="None"),0,IF($T969="Output",-$S969,$S969))</f>
        <v>0</v>
      </c>
      <c r="V969" s="27" t="n">
        <f aca="false">IF($N969="",0,IFERROR(INDEX(VAT_Codes!$D:$D,MATCH($N969,VAT_Codes!$A:$A,0)),0))</f>
        <v>0</v>
      </c>
      <c r="W969" s="26" t="n">
        <f aca="false">IF($U969=0,0,IF(IFERROR(INDEX(VAT_Codes!$F:$F,MATCH($N969,VAT_Codes!$A:$A,0)),"N")="Y",$U969,IF($L969&lt;&gt;"",ROUND(ABS($L969)/IF(OR($R969="",$R969=0),1,$R969),2)*SIGN($U969),ROUND($U969*$V969,2))))</f>
        <v>0</v>
      </c>
      <c r="X969" s="24" t="str">
        <f aca="false">IF($N969="","",IFERROR(INDEX(VAT_Codes!$H:$H,MATCH($N969,VAT_Codes!$A:$A,0)),"")&amp;"")</f>
        <v/>
      </c>
      <c r="Y969" s="24" t="str">
        <f aca="false">IF($A969="","",(YEAR($A969)-YEAR(Settings!$C$8))*12+MONTH($A969)-MONTH(Settings!$C$8)+1)</f>
        <v/>
      </c>
      <c r="Z969" s="24" t="str">
        <f aca="false">IF(AND($C969="",$I969="",$J969=""),"",IF($N969="","NO VAT CODE",IF($T969="","UNKNOWN VAT CODE",IF($S969="","MISSING FX RATE",IF(OR($A969&lt;Settings!$C$8,$A969&gt;Settings!$C$9),"OUTSIDE PERIOD",IF(AND(IFERROR(INDEX(VAT_Codes!$E:$E,MATCH($N969,VAT_Codes!$A:$A,0)),"ANY")&lt;&gt;"ANY",$P969=""),"MISSING COUNTERPARTY COUNTRY",IF(AND(IFERROR(INDEX(VAT_Codes!$E:$E,MATCH($N969,VAT_Codes!$A:$A,0)),"ANY")&lt;&gt;"ANY",$P969&lt;&gt;IFERROR(INDEX(VAT_Codes!$E:$E,MATCH($N969,VAT_Codes!$A:$A,0)),"ANY")),"REGION MISMATCH","OK")))))))</f>
        <v/>
      </c>
    </row>
    <row r="970" customFormat="false" ht="15" hidden="false" customHeight="false" outlineLevel="0" collapsed="false">
      <c r="M970" s="24" t="str">
        <f aca="false">IF($C970="","",IFERROR(INDEX(Account_Mapping!$C:$C,MATCH($C970&amp;"",Account_Mapping!$A:$A,0))&amp;"",""))</f>
        <v/>
      </c>
      <c r="N970" s="24" t="str">
        <f aca="false">IF($K970&lt;&gt;"",$K970,$M970)</f>
        <v/>
      </c>
      <c r="O970" s="24" t="str">
        <f aca="false">IF($F970="","",IFERROR(INDEX(Counterparties!$C:$C,MATCH($F970&amp;"",Counterparties!$A:$A,0))&amp;"",""))</f>
        <v/>
      </c>
      <c r="P970" s="24" t="str">
        <f aca="false">IF($O970="","",IF($O970="CY","CY",IF(ISNUMBER(MATCH($O970,Lists!$A:$A,0)),"EU","3RD")))</f>
        <v/>
      </c>
      <c r="Q970" s="24" t="str">
        <f aca="false">IF($F970="","N",IFERROR(IF(INDEX(Counterparties!$E:$E,MATCH($F970&amp;"",Counterparties!$A:$A,0))="Y","Y","N"),"N"))</f>
        <v>N</v>
      </c>
      <c r="R970" s="25" t="n">
        <f aca="false">IF(OR($H970="",$H970="EUR"),1,IFERROR(INDEX(FX_Rates!$D:$D,MATCH($H970,FX_Rates!$A:$A,0)),""))</f>
        <v>1</v>
      </c>
      <c r="S970" s="26" t="str">
        <f aca="false">IF(AND($I970="",$J970=""),"",IF($J970&lt;&gt;"",$J970,IF(OR($R970="",$R970=0),"",ROUND($I970/$R970,2))))</f>
        <v/>
      </c>
      <c r="T970" s="24" t="str">
        <f aca="false">IF($N970="","",IFERROR(INDEX(VAT_Codes!$C:$C,MATCH($N970,VAT_Codes!$A:$A,0)),"")&amp;"")</f>
        <v/>
      </c>
      <c r="U970" s="26" t="n">
        <f aca="false">IF(OR($S970="",$T970="",$T970="None"),0,IF($T970="Output",-$S970,$S970))</f>
        <v>0</v>
      </c>
      <c r="V970" s="27" t="n">
        <f aca="false">IF($N970="",0,IFERROR(INDEX(VAT_Codes!$D:$D,MATCH($N970,VAT_Codes!$A:$A,0)),0))</f>
        <v>0</v>
      </c>
      <c r="W970" s="26" t="n">
        <f aca="false">IF($U970=0,0,IF(IFERROR(INDEX(VAT_Codes!$F:$F,MATCH($N970,VAT_Codes!$A:$A,0)),"N")="Y",$U970,IF($L970&lt;&gt;"",ROUND(ABS($L970)/IF(OR($R970="",$R970=0),1,$R970),2)*SIGN($U970),ROUND($U970*$V970,2))))</f>
        <v>0</v>
      </c>
      <c r="X970" s="24" t="str">
        <f aca="false">IF($N970="","",IFERROR(INDEX(VAT_Codes!$H:$H,MATCH($N970,VAT_Codes!$A:$A,0)),"")&amp;"")</f>
        <v/>
      </c>
      <c r="Y970" s="24" t="str">
        <f aca="false">IF($A970="","",(YEAR($A970)-YEAR(Settings!$C$8))*12+MONTH($A970)-MONTH(Settings!$C$8)+1)</f>
        <v/>
      </c>
      <c r="Z970" s="24" t="str">
        <f aca="false">IF(AND($C970="",$I970="",$J970=""),"",IF($N970="","NO VAT CODE",IF($T970="","UNKNOWN VAT CODE",IF($S970="","MISSING FX RATE",IF(OR($A970&lt;Settings!$C$8,$A970&gt;Settings!$C$9),"OUTSIDE PERIOD",IF(AND(IFERROR(INDEX(VAT_Codes!$E:$E,MATCH($N970,VAT_Codes!$A:$A,0)),"ANY")&lt;&gt;"ANY",$P970=""),"MISSING COUNTERPARTY COUNTRY",IF(AND(IFERROR(INDEX(VAT_Codes!$E:$E,MATCH($N970,VAT_Codes!$A:$A,0)),"ANY")&lt;&gt;"ANY",$P970&lt;&gt;IFERROR(INDEX(VAT_Codes!$E:$E,MATCH($N970,VAT_Codes!$A:$A,0)),"ANY")),"REGION MISMATCH","OK")))))))</f>
        <v/>
      </c>
    </row>
    <row r="971" customFormat="false" ht="15" hidden="false" customHeight="false" outlineLevel="0" collapsed="false">
      <c r="M971" s="24" t="str">
        <f aca="false">IF($C971="","",IFERROR(INDEX(Account_Mapping!$C:$C,MATCH($C971&amp;"",Account_Mapping!$A:$A,0))&amp;"",""))</f>
        <v/>
      </c>
      <c r="N971" s="24" t="str">
        <f aca="false">IF($K971&lt;&gt;"",$K971,$M971)</f>
        <v/>
      </c>
      <c r="O971" s="24" t="str">
        <f aca="false">IF($F971="","",IFERROR(INDEX(Counterparties!$C:$C,MATCH($F971&amp;"",Counterparties!$A:$A,0))&amp;"",""))</f>
        <v/>
      </c>
      <c r="P971" s="24" t="str">
        <f aca="false">IF($O971="","",IF($O971="CY","CY",IF(ISNUMBER(MATCH($O971,Lists!$A:$A,0)),"EU","3RD")))</f>
        <v/>
      </c>
      <c r="Q971" s="24" t="str">
        <f aca="false">IF($F971="","N",IFERROR(IF(INDEX(Counterparties!$E:$E,MATCH($F971&amp;"",Counterparties!$A:$A,0))="Y","Y","N"),"N"))</f>
        <v>N</v>
      </c>
      <c r="R971" s="25" t="n">
        <f aca="false">IF(OR($H971="",$H971="EUR"),1,IFERROR(INDEX(FX_Rates!$D:$D,MATCH($H971,FX_Rates!$A:$A,0)),""))</f>
        <v>1</v>
      </c>
      <c r="S971" s="26" t="str">
        <f aca="false">IF(AND($I971="",$J971=""),"",IF($J971&lt;&gt;"",$J971,IF(OR($R971="",$R971=0),"",ROUND($I971/$R971,2))))</f>
        <v/>
      </c>
      <c r="T971" s="24" t="str">
        <f aca="false">IF($N971="","",IFERROR(INDEX(VAT_Codes!$C:$C,MATCH($N971,VAT_Codes!$A:$A,0)),"")&amp;"")</f>
        <v/>
      </c>
      <c r="U971" s="26" t="n">
        <f aca="false">IF(OR($S971="",$T971="",$T971="None"),0,IF($T971="Output",-$S971,$S971))</f>
        <v>0</v>
      </c>
      <c r="V971" s="27" t="n">
        <f aca="false">IF($N971="",0,IFERROR(INDEX(VAT_Codes!$D:$D,MATCH($N971,VAT_Codes!$A:$A,0)),0))</f>
        <v>0</v>
      </c>
      <c r="W971" s="26" t="n">
        <f aca="false">IF($U971=0,0,IF(IFERROR(INDEX(VAT_Codes!$F:$F,MATCH($N971,VAT_Codes!$A:$A,0)),"N")="Y",$U971,IF($L971&lt;&gt;"",ROUND(ABS($L971)/IF(OR($R971="",$R971=0),1,$R971),2)*SIGN($U971),ROUND($U971*$V971,2))))</f>
        <v>0</v>
      </c>
      <c r="X971" s="24" t="str">
        <f aca="false">IF($N971="","",IFERROR(INDEX(VAT_Codes!$H:$H,MATCH($N971,VAT_Codes!$A:$A,0)),"")&amp;"")</f>
        <v/>
      </c>
      <c r="Y971" s="24" t="str">
        <f aca="false">IF($A971="","",(YEAR($A971)-YEAR(Settings!$C$8))*12+MONTH($A971)-MONTH(Settings!$C$8)+1)</f>
        <v/>
      </c>
      <c r="Z971" s="24" t="str">
        <f aca="false">IF(AND($C971="",$I971="",$J971=""),"",IF($N971="","NO VAT CODE",IF($T971="","UNKNOWN VAT CODE",IF($S971="","MISSING FX RATE",IF(OR($A971&lt;Settings!$C$8,$A971&gt;Settings!$C$9),"OUTSIDE PERIOD",IF(AND(IFERROR(INDEX(VAT_Codes!$E:$E,MATCH($N971,VAT_Codes!$A:$A,0)),"ANY")&lt;&gt;"ANY",$P971=""),"MISSING COUNTERPARTY COUNTRY",IF(AND(IFERROR(INDEX(VAT_Codes!$E:$E,MATCH($N971,VAT_Codes!$A:$A,0)),"ANY")&lt;&gt;"ANY",$P971&lt;&gt;IFERROR(INDEX(VAT_Codes!$E:$E,MATCH($N971,VAT_Codes!$A:$A,0)),"ANY")),"REGION MISMATCH","OK")))))))</f>
        <v/>
      </c>
    </row>
    <row r="972" customFormat="false" ht="15" hidden="false" customHeight="false" outlineLevel="0" collapsed="false">
      <c r="M972" s="24" t="str">
        <f aca="false">IF($C972="","",IFERROR(INDEX(Account_Mapping!$C:$C,MATCH($C972&amp;"",Account_Mapping!$A:$A,0))&amp;"",""))</f>
        <v/>
      </c>
      <c r="N972" s="24" t="str">
        <f aca="false">IF($K972&lt;&gt;"",$K972,$M972)</f>
        <v/>
      </c>
      <c r="O972" s="24" t="str">
        <f aca="false">IF($F972="","",IFERROR(INDEX(Counterparties!$C:$C,MATCH($F972&amp;"",Counterparties!$A:$A,0))&amp;"",""))</f>
        <v/>
      </c>
      <c r="P972" s="24" t="str">
        <f aca="false">IF($O972="","",IF($O972="CY","CY",IF(ISNUMBER(MATCH($O972,Lists!$A:$A,0)),"EU","3RD")))</f>
        <v/>
      </c>
      <c r="Q972" s="24" t="str">
        <f aca="false">IF($F972="","N",IFERROR(IF(INDEX(Counterparties!$E:$E,MATCH($F972&amp;"",Counterparties!$A:$A,0))="Y","Y","N"),"N"))</f>
        <v>N</v>
      </c>
      <c r="R972" s="25" t="n">
        <f aca="false">IF(OR($H972="",$H972="EUR"),1,IFERROR(INDEX(FX_Rates!$D:$D,MATCH($H972,FX_Rates!$A:$A,0)),""))</f>
        <v>1</v>
      </c>
      <c r="S972" s="26" t="str">
        <f aca="false">IF(AND($I972="",$J972=""),"",IF($J972&lt;&gt;"",$J972,IF(OR($R972="",$R972=0),"",ROUND($I972/$R972,2))))</f>
        <v/>
      </c>
      <c r="T972" s="24" t="str">
        <f aca="false">IF($N972="","",IFERROR(INDEX(VAT_Codes!$C:$C,MATCH($N972,VAT_Codes!$A:$A,0)),"")&amp;"")</f>
        <v/>
      </c>
      <c r="U972" s="26" t="n">
        <f aca="false">IF(OR($S972="",$T972="",$T972="None"),0,IF($T972="Output",-$S972,$S972))</f>
        <v>0</v>
      </c>
      <c r="V972" s="27" t="n">
        <f aca="false">IF($N972="",0,IFERROR(INDEX(VAT_Codes!$D:$D,MATCH($N972,VAT_Codes!$A:$A,0)),0))</f>
        <v>0</v>
      </c>
      <c r="W972" s="26" t="n">
        <f aca="false">IF($U972=0,0,IF(IFERROR(INDEX(VAT_Codes!$F:$F,MATCH($N972,VAT_Codes!$A:$A,0)),"N")="Y",$U972,IF($L972&lt;&gt;"",ROUND(ABS($L972)/IF(OR($R972="",$R972=0),1,$R972),2)*SIGN($U972),ROUND($U972*$V972,2))))</f>
        <v>0</v>
      </c>
      <c r="X972" s="24" t="str">
        <f aca="false">IF($N972="","",IFERROR(INDEX(VAT_Codes!$H:$H,MATCH($N972,VAT_Codes!$A:$A,0)),"")&amp;"")</f>
        <v/>
      </c>
      <c r="Y972" s="24" t="str">
        <f aca="false">IF($A972="","",(YEAR($A972)-YEAR(Settings!$C$8))*12+MONTH($A972)-MONTH(Settings!$C$8)+1)</f>
        <v/>
      </c>
      <c r="Z972" s="24" t="str">
        <f aca="false">IF(AND($C972="",$I972="",$J972=""),"",IF($N972="","NO VAT CODE",IF($T972="","UNKNOWN VAT CODE",IF($S972="","MISSING FX RATE",IF(OR($A972&lt;Settings!$C$8,$A972&gt;Settings!$C$9),"OUTSIDE PERIOD",IF(AND(IFERROR(INDEX(VAT_Codes!$E:$E,MATCH($N972,VAT_Codes!$A:$A,0)),"ANY")&lt;&gt;"ANY",$P972=""),"MISSING COUNTERPARTY COUNTRY",IF(AND(IFERROR(INDEX(VAT_Codes!$E:$E,MATCH($N972,VAT_Codes!$A:$A,0)),"ANY")&lt;&gt;"ANY",$P972&lt;&gt;IFERROR(INDEX(VAT_Codes!$E:$E,MATCH($N972,VAT_Codes!$A:$A,0)),"ANY")),"REGION MISMATCH","OK")))))))</f>
        <v/>
      </c>
    </row>
    <row r="973" customFormat="false" ht="15" hidden="false" customHeight="false" outlineLevel="0" collapsed="false">
      <c r="M973" s="24" t="str">
        <f aca="false">IF($C973="","",IFERROR(INDEX(Account_Mapping!$C:$C,MATCH($C973&amp;"",Account_Mapping!$A:$A,0))&amp;"",""))</f>
        <v/>
      </c>
      <c r="N973" s="24" t="str">
        <f aca="false">IF($K973&lt;&gt;"",$K973,$M973)</f>
        <v/>
      </c>
      <c r="O973" s="24" t="str">
        <f aca="false">IF($F973="","",IFERROR(INDEX(Counterparties!$C:$C,MATCH($F973&amp;"",Counterparties!$A:$A,0))&amp;"",""))</f>
        <v/>
      </c>
      <c r="P973" s="24" t="str">
        <f aca="false">IF($O973="","",IF($O973="CY","CY",IF(ISNUMBER(MATCH($O973,Lists!$A:$A,0)),"EU","3RD")))</f>
        <v/>
      </c>
      <c r="Q973" s="24" t="str">
        <f aca="false">IF($F973="","N",IFERROR(IF(INDEX(Counterparties!$E:$E,MATCH($F973&amp;"",Counterparties!$A:$A,0))="Y","Y","N"),"N"))</f>
        <v>N</v>
      </c>
      <c r="R973" s="25" t="n">
        <f aca="false">IF(OR($H973="",$H973="EUR"),1,IFERROR(INDEX(FX_Rates!$D:$D,MATCH($H973,FX_Rates!$A:$A,0)),""))</f>
        <v>1</v>
      </c>
      <c r="S973" s="26" t="str">
        <f aca="false">IF(AND($I973="",$J973=""),"",IF($J973&lt;&gt;"",$J973,IF(OR($R973="",$R973=0),"",ROUND($I973/$R973,2))))</f>
        <v/>
      </c>
      <c r="T973" s="24" t="str">
        <f aca="false">IF($N973="","",IFERROR(INDEX(VAT_Codes!$C:$C,MATCH($N973,VAT_Codes!$A:$A,0)),"")&amp;"")</f>
        <v/>
      </c>
      <c r="U973" s="26" t="n">
        <f aca="false">IF(OR($S973="",$T973="",$T973="None"),0,IF($T973="Output",-$S973,$S973))</f>
        <v>0</v>
      </c>
      <c r="V973" s="27" t="n">
        <f aca="false">IF($N973="",0,IFERROR(INDEX(VAT_Codes!$D:$D,MATCH($N973,VAT_Codes!$A:$A,0)),0))</f>
        <v>0</v>
      </c>
      <c r="W973" s="26" t="n">
        <f aca="false">IF($U973=0,0,IF(IFERROR(INDEX(VAT_Codes!$F:$F,MATCH($N973,VAT_Codes!$A:$A,0)),"N")="Y",$U973,IF($L973&lt;&gt;"",ROUND(ABS($L973)/IF(OR($R973="",$R973=0),1,$R973),2)*SIGN($U973),ROUND($U973*$V973,2))))</f>
        <v>0</v>
      </c>
      <c r="X973" s="24" t="str">
        <f aca="false">IF($N973="","",IFERROR(INDEX(VAT_Codes!$H:$H,MATCH($N973,VAT_Codes!$A:$A,0)),"")&amp;"")</f>
        <v/>
      </c>
      <c r="Y973" s="24" t="str">
        <f aca="false">IF($A973="","",(YEAR($A973)-YEAR(Settings!$C$8))*12+MONTH($A973)-MONTH(Settings!$C$8)+1)</f>
        <v/>
      </c>
      <c r="Z973" s="24" t="str">
        <f aca="false">IF(AND($C973="",$I973="",$J973=""),"",IF($N973="","NO VAT CODE",IF($T973="","UNKNOWN VAT CODE",IF($S973="","MISSING FX RATE",IF(OR($A973&lt;Settings!$C$8,$A973&gt;Settings!$C$9),"OUTSIDE PERIOD",IF(AND(IFERROR(INDEX(VAT_Codes!$E:$E,MATCH($N973,VAT_Codes!$A:$A,0)),"ANY")&lt;&gt;"ANY",$P973=""),"MISSING COUNTERPARTY COUNTRY",IF(AND(IFERROR(INDEX(VAT_Codes!$E:$E,MATCH($N973,VAT_Codes!$A:$A,0)),"ANY")&lt;&gt;"ANY",$P973&lt;&gt;IFERROR(INDEX(VAT_Codes!$E:$E,MATCH($N973,VAT_Codes!$A:$A,0)),"ANY")),"REGION MISMATCH","OK")))))))</f>
        <v/>
      </c>
    </row>
    <row r="974" customFormat="false" ht="15" hidden="false" customHeight="false" outlineLevel="0" collapsed="false">
      <c r="M974" s="24" t="str">
        <f aca="false">IF($C974="","",IFERROR(INDEX(Account_Mapping!$C:$C,MATCH($C974&amp;"",Account_Mapping!$A:$A,0))&amp;"",""))</f>
        <v/>
      </c>
      <c r="N974" s="24" t="str">
        <f aca="false">IF($K974&lt;&gt;"",$K974,$M974)</f>
        <v/>
      </c>
      <c r="O974" s="24" t="str">
        <f aca="false">IF($F974="","",IFERROR(INDEX(Counterparties!$C:$C,MATCH($F974&amp;"",Counterparties!$A:$A,0))&amp;"",""))</f>
        <v/>
      </c>
      <c r="P974" s="24" t="str">
        <f aca="false">IF($O974="","",IF($O974="CY","CY",IF(ISNUMBER(MATCH($O974,Lists!$A:$A,0)),"EU","3RD")))</f>
        <v/>
      </c>
      <c r="Q974" s="24" t="str">
        <f aca="false">IF($F974="","N",IFERROR(IF(INDEX(Counterparties!$E:$E,MATCH($F974&amp;"",Counterparties!$A:$A,0))="Y","Y","N"),"N"))</f>
        <v>N</v>
      </c>
      <c r="R974" s="25" t="n">
        <f aca="false">IF(OR($H974="",$H974="EUR"),1,IFERROR(INDEX(FX_Rates!$D:$D,MATCH($H974,FX_Rates!$A:$A,0)),""))</f>
        <v>1</v>
      </c>
      <c r="S974" s="26" t="str">
        <f aca="false">IF(AND($I974="",$J974=""),"",IF($J974&lt;&gt;"",$J974,IF(OR($R974="",$R974=0),"",ROUND($I974/$R974,2))))</f>
        <v/>
      </c>
      <c r="T974" s="24" t="str">
        <f aca="false">IF($N974="","",IFERROR(INDEX(VAT_Codes!$C:$C,MATCH($N974,VAT_Codes!$A:$A,0)),"")&amp;"")</f>
        <v/>
      </c>
      <c r="U974" s="26" t="n">
        <f aca="false">IF(OR($S974="",$T974="",$T974="None"),0,IF($T974="Output",-$S974,$S974))</f>
        <v>0</v>
      </c>
      <c r="V974" s="27" t="n">
        <f aca="false">IF($N974="",0,IFERROR(INDEX(VAT_Codes!$D:$D,MATCH($N974,VAT_Codes!$A:$A,0)),0))</f>
        <v>0</v>
      </c>
      <c r="W974" s="26" t="n">
        <f aca="false">IF($U974=0,0,IF(IFERROR(INDEX(VAT_Codes!$F:$F,MATCH($N974,VAT_Codes!$A:$A,0)),"N")="Y",$U974,IF($L974&lt;&gt;"",ROUND(ABS($L974)/IF(OR($R974="",$R974=0),1,$R974),2)*SIGN($U974),ROUND($U974*$V974,2))))</f>
        <v>0</v>
      </c>
      <c r="X974" s="24" t="str">
        <f aca="false">IF($N974="","",IFERROR(INDEX(VAT_Codes!$H:$H,MATCH($N974,VAT_Codes!$A:$A,0)),"")&amp;"")</f>
        <v/>
      </c>
      <c r="Y974" s="24" t="str">
        <f aca="false">IF($A974="","",(YEAR($A974)-YEAR(Settings!$C$8))*12+MONTH($A974)-MONTH(Settings!$C$8)+1)</f>
        <v/>
      </c>
      <c r="Z974" s="24" t="str">
        <f aca="false">IF(AND($C974="",$I974="",$J974=""),"",IF($N974="","NO VAT CODE",IF($T974="","UNKNOWN VAT CODE",IF($S974="","MISSING FX RATE",IF(OR($A974&lt;Settings!$C$8,$A974&gt;Settings!$C$9),"OUTSIDE PERIOD",IF(AND(IFERROR(INDEX(VAT_Codes!$E:$E,MATCH($N974,VAT_Codes!$A:$A,0)),"ANY")&lt;&gt;"ANY",$P974=""),"MISSING COUNTERPARTY COUNTRY",IF(AND(IFERROR(INDEX(VAT_Codes!$E:$E,MATCH($N974,VAT_Codes!$A:$A,0)),"ANY")&lt;&gt;"ANY",$P974&lt;&gt;IFERROR(INDEX(VAT_Codes!$E:$E,MATCH($N974,VAT_Codes!$A:$A,0)),"ANY")),"REGION MISMATCH","OK")))))))</f>
        <v/>
      </c>
    </row>
    <row r="975" customFormat="false" ht="15" hidden="false" customHeight="false" outlineLevel="0" collapsed="false">
      <c r="M975" s="24" t="str">
        <f aca="false">IF($C975="","",IFERROR(INDEX(Account_Mapping!$C:$C,MATCH($C975&amp;"",Account_Mapping!$A:$A,0))&amp;"",""))</f>
        <v/>
      </c>
      <c r="N975" s="24" t="str">
        <f aca="false">IF($K975&lt;&gt;"",$K975,$M975)</f>
        <v/>
      </c>
      <c r="O975" s="24" t="str">
        <f aca="false">IF($F975="","",IFERROR(INDEX(Counterparties!$C:$C,MATCH($F975&amp;"",Counterparties!$A:$A,0))&amp;"",""))</f>
        <v/>
      </c>
      <c r="P975" s="24" t="str">
        <f aca="false">IF($O975="","",IF($O975="CY","CY",IF(ISNUMBER(MATCH($O975,Lists!$A:$A,0)),"EU","3RD")))</f>
        <v/>
      </c>
      <c r="Q975" s="24" t="str">
        <f aca="false">IF($F975="","N",IFERROR(IF(INDEX(Counterparties!$E:$E,MATCH($F975&amp;"",Counterparties!$A:$A,0))="Y","Y","N"),"N"))</f>
        <v>N</v>
      </c>
      <c r="R975" s="25" t="n">
        <f aca="false">IF(OR($H975="",$H975="EUR"),1,IFERROR(INDEX(FX_Rates!$D:$D,MATCH($H975,FX_Rates!$A:$A,0)),""))</f>
        <v>1</v>
      </c>
      <c r="S975" s="26" t="str">
        <f aca="false">IF(AND($I975="",$J975=""),"",IF($J975&lt;&gt;"",$J975,IF(OR($R975="",$R975=0),"",ROUND($I975/$R975,2))))</f>
        <v/>
      </c>
      <c r="T975" s="24" t="str">
        <f aca="false">IF($N975="","",IFERROR(INDEX(VAT_Codes!$C:$C,MATCH($N975,VAT_Codes!$A:$A,0)),"")&amp;"")</f>
        <v/>
      </c>
      <c r="U975" s="26" t="n">
        <f aca="false">IF(OR($S975="",$T975="",$T975="None"),0,IF($T975="Output",-$S975,$S975))</f>
        <v>0</v>
      </c>
      <c r="V975" s="27" t="n">
        <f aca="false">IF($N975="",0,IFERROR(INDEX(VAT_Codes!$D:$D,MATCH($N975,VAT_Codes!$A:$A,0)),0))</f>
        <v>0</v>
      </c>
      <c r="W975" s="26" t="n">
        <f aca="false">IF($U975=0,0,IF(IFERROR(INDEX(VAT_Codes!$F:$F,MATCH($N975,VAT_Codes!$A:$A,0)),"N")="Y",$U975,IF($L975&lt;&gt;"",ROUND(ABS($L975)/IF(OR($R975="",$R975=0),1,$R975),2)*SIGN($U975),ROUND($U975*$V975,2))))</f>
        <v>0</v>
      </c>
      <c r="X975" s="24" t="str">
        <f aca="false">IF($N975="","",IFERROR(INDEX(VAT_Codes!$H:$H,MATCH($N975,VAT_Codes!$A:$A,0)),"")&amp;"")</f>
        <v/>
      </c>
      <c r="Y975" s="24" t="str">
        <f aca="false">IF($A975="","",(YEAR($A975)-YEAR(Settings!$C$8))*12+MONTH($A975)-MONTH(Settings!$C$8)+1)</f>
        <v/>
      </c>
      <c r="Z975" s="24" t="str">
        <f aca="false">IF(AND($C975="",$I975="",$J975=""),"",IF($N975="","NO VAT CODE",IF($T975="","UNKNOWN VAT CODE",IF($S975="","MISSING FX RATE",IF(OR($A975&lt;Settings!$C$8,$A975&gt;Settings!$C$9),"OUTSIDE PERIOD",IF(AND(IFERROR(INDEX(VAT_Codes!$E:$E,MATCH($N975,VAT_Codes!$A:$A,0)),"ANY")&lt;&gt;"ANY",$P975=""),"MISSING COUNTERPARTY COUNTRY",IF(AND(IFERROR(INDEX(VAT_Codes!$E:$E,MATCH($N975,VAT_Codes!$A:$A,0)),"ANY")&lt;&gt;"ANY",$P975&lt;&gt;IFERROR(INDEX(VAT_Codes!$E:$E,MATCH($N975,VAT_Codes!$A:$A,0)),"ANY")),"REGION MISMATCH","OK")))))))</f>
        <v/>
      </c>
    </row>
    <row r="976" customFormat="false" ht="15" hidden="false" customHeight="false" outlineLevel="0" collapsed="false">
      <c r="M976" s="24" t="str">
        <f aca="false">IF($C976="","",IFERROR(INDEX(Account_Mapping!$C:$C,MATCH($C976&amp;"",Account_Mapping!$A:$A,0))&amp;"",""))</f>
        <v/>
      </c>
      <c r="N976" s="24" t="str">
        <f aca="false">IF($K976&lt;&gt;"",$K976,$M976)</f>
        <v/>
      </c>
      <c r="O976" s="24" t="str">
        <f aca="false">IF($F976="","",IFERROR(INDEX(Counterparties!$C:$C,MATCH($F976&amp;"",Counterparties!$A:$A,0))&amp;"",""))</f>
        <v/>
      </c>
      <c r="P976" s="24" t="str">
        <f aca="false">IF($O976="","",IF($O976="CY","CY",IF(ISNUMBER(MATCH($O976,Lists!$A:$A,0)),"EU","3RD")))</f>
        <v/>
      </c>
      <c r="Q976" s="24" t="str">
        <f aca="false">IF($F976="","N",IFERROR(IF(INDEX(Counterparties!$E:$E,MATCH($F976&amp;"",Counterparties!$A:$A,0))="Y","Y","N"),"N"))</f>
        <v>N</v>
      </c>
      <c r="R976" s="25" t="n">
        <f aca="false">IF(OR($H976="",$H976="EUR"),1,IFERROR(INDEX(FX_Rates!$D:$D,MATCH($H976,FX_Rates!$A:$A,0)),""))</f>
        <v>1</v>
      </c>
      <c r="S976" s="26" t="str">
        <f aca="false">IF(AND($I976="",$J976=""),"",IF($J976&lt;&gt;"",$J976,IF(OR($R976="",$R976=0),"",ROUND($I976/$R976,2))))</f>
        <v/>
      </c>
      <c r="T976" s="24" t="str">
        <f aca="false">IF($N976="","",IFERROR(INDEX(VAT_Codes!$C:$C,MATCH($N976,VAT_Codes!$A:$A,0)),"")&amp;"")</f>
        <v/>
      </c>
      <c r="U976" s="26" t="n">
        <f aca="false">IF(OR($S976="",$T976="",$T976="None"),0,IF($T976="Output",-$S976,$S976))</f>
        <v>0</v>
      </c>
      <c r="V976" s="27" t="n">
        <f aca="false">IF($N976="",0,IFERROR(INDEX(VAT_Codes!$D:$D,MATCH($N976,VAT_Codes!$A:$A,0)),0))</f>
        <v>0</v>
      </c>
      <c r="W976" s="26" t="n">
        <f aca="false">IF($U976=0,0,IF(IFERROR(INDEX(VAT_Codes!$F:$F,MATCH($N976,VAT_Codes!$A:$A,0)),"N")="Y",$U976,IF($L976&lt;&gt;"",ROUND(ABS($L976)/IF(OR($R976="",$R976=0),1,$R976),2)*SIGN($U976),ROUND($U976*$V976,2))))</f>
        <v>0</v>
      </c>
      <c r="X976" s="24" t="str">
        <f aca="false">IF($N976="","",IFERROR(INDEX(VAT_Codes!$H:$H,MATCH($N976,VAT_Codes!$A:$A,0)),"")&amp;"")</f>
        <v/>
      </c>
      <c r="Y976" s="24" t="str">
        <f aca="false">IF($A976="","",(YEAR($A976)-YEAR(Settings!$C$8))*12+MONTH($A976)-MONTH(Settings!$C$8)+1)</f>
        <v/>
      </c>
      <c r="Z976" s="24" t="str">
        <f aca="false">IF(AND($C976="",$I976="",$J976=""),"",IF($N976="","NO VAT CODE",IF($T976="","UNKNOWN VAT CODE",IF($S976="","MISSING FX RATE",IF(OR($A976&lt;Settings!$C$8,$A976&gt;Settings!$C$9),"OUTSIDE PERIOD",IF(AND(IFERROR(INDEX(VAT_Codes!$E:$E,MATCH($N976,VAT_Codes!$A:$A,0)),"ANY")&lt;&gt;"ANY",$P976=""),"MISSING COUNTERPARTY COUNTRY",IF(AND(IFERROR(INDEX(VAT_Codes!$E:$E,MATCH($N976,VAT_Codes!$A:$A,0)),"ANY")&lt;&gt;"ANY",$P976&lt;&gt;IFERROR(INDEX(VAT_Codes!$E:$E,MATCH($N976,VAT_Codes!$A:$A,0)),"ANY")),"REGION MISMATCH","OK")))))))</f>
        <v/>
      </c>
    </row>
    <row r="977" customFormat="false" ht="15" hidden="false" customHeight="false" outlineLevel="0" collapsed="false">
      <c r="M977" s="24" t="str">
        <f aca="false">IF($C977="","",IFERROR(INDEX(Account_Mapping!$C:$C,MATCH($C977&amp;"",Account_Mapping!$A:$A,0))&amp;"",""))</f>
        <v/>
      </c>
      <c r="N977" s="24" t="str">
        <f aca="false">IF($K977&lt;&gt;"",$K977,$M977)</f>
        <v/>
      </c>
      <c r="O977" s="24" t="str">
        <f aca="false">IF($F977="","",IFERROR(INDEX(Counterparties!$C:$C,MATCH($F977&amp;"",Counterparties!$A:$A,0))&amp;"",""))</f>
        <v/>
      </c>
      <c r="P977" s="24" t="str">
        <f aca="false">IF($O977="","",IF($O977="CY","CY",IF(ISNUMBER(MATCH($O977,Lists!$A:$A,0)),"EU","3RD")))</f>
        <v/>
      </c>
      <c r="Q977" s="24" t="str">
        <f aca="false">IF($F977="","N",IFERROR(IF(INDEX(Counterparties!$E:$E,MATCH($F977&amp;"",Counterparties!$A:$A,0))="Y","Y","N"),"N"))</f>
        <v>N</v>
      </c>
      <c r="R977" s="25" t="n">
        <f aca="false">IF(OR($H977="",$H977="EUR"),1,IFERROR(INDEX(FX_Rates!$D:$D,MATCH($H977,FX_Rates!$A:$A,0)),""))</f>
        <v>1</v>
      </c>
      <c r="S977" s="26" t="str">
        <f aca="false">IF(AND($I977="",$J977=""),"",IF($J977&lt;&gt;"",$J977,IF(OR($R977="",$R977=0),"",ROUND($I977/$R977,2))))</f>
        <v/>
      </c>
      <c r="T977" s="24" t="str">
        <f aca="false">IF($N977="","",IFERROR(INDEX(VAT_Codes!$C:$C,MATCH($N977,VAT_Codes!$A:$A,0)),"")&amp;"")</f>
        <v/>
      </c>
      <c r="U977" s="26" t="n">
        <f aca="false">IF(OR($S977="",$T977="",$T977="None"),0,IF($T977="Output",-$S977,$S977))</f>
        <v>0</v>
      </c>
      <c r="V977" s="27" t="n">
        <f aca="false">IF($N977="",0,IFERROR(INDEX(VAT_Codes!$D:$D,MATCH($N977,VAT_Codes!$A:$A,0)),0))</f>
        <v>0</v>
      </c>
      <c r="W977" s="26" t="n">
        <f aca="false">IF($U977=0,0,IF(IFERROR(INDEX(VAT_Codes!$F:$F,MATCH($N977,VAT_Codes!$A:$A,0)),"N")="Y",$U977,IF($L977&lt;&gt;"",ROUND(ABS($L977)/IF(OR($R977="",$R977=0),1,$R977),2)*SIGN($U977),ROUND($U977*$V977,2))))</f>
        <v>0</v>
      </c>
      <c r="X977" s="24" t="str">
        <f aca="false">IF($N977="","",IFERROR(INDEX(VAT_Codes!$H:$H,MATCH($N977,VAT_Codes!$A:$A,0)),"")&amp;"")</f>
        <v/>
      </c>
      <c r="Y977" s="24" t="str">
        <f aca="false">IF($A977="","",(YEAR($A977)-YEAR(Settings!$C$8))*12+MONTH($A977)-MONTH(Settings!$C$8)+1)</f>
        <v/>
      </c>
      <c r="Z977" s="24" t="str">
        <f aca="false">IF(AND($C977="",$I977="",$J977=""),"",IF($N977="","NO VAT CODE",IF($T977="","UNKNOWN VAT CODE",IF($S977="","MISSING FX RATE",IF(OR($A977&lt;Settings!$C$8,$A977&gt;Settings!$C$9),"OUTSIDE PERIOD",IF(AND(IFERROR(INDEX(VAT_Codes!$E:$E,MATCH($N977,VAT_Codes!$A:$A,0)),"ANY")&lt;&gt;"ANY",$P977=""),"MISSING COUNTERPARTY COUNTRY",IF(AND(IFERROR(INDEX(VAT_Codes!$E:$E,MATCH($N977,VAT_Codes!$A:$A,0)),"ANY")&lt;&gt;"ANY",$P977&lt;&gt;IFERROR(INDEX(VAT_Codes!$E:$E,MATCH($N977,VAT_Codes!$A:$A,0)),"ANY")),"REGION MISMATCH","OK")))))))</f>
        <v/>
      </c>
    </row>
    <row r="978" customFormat="false" ht="15" hidden="false" customHeight="false" outlineLevel="0" collapsed="false">
      <c r="M978" s="24" t="str">
        <f aca="false">IF($C978="","",IFERROR(INDEX(Account_Mapping!$C:$C,MATCH($C978&amp;"",Account_Mapping!$A:$A,0))&amp;"",""))</f>
        <v/>
      </c>
      <c r="N978" s="24" t="str">
        <f aca="false">IF($K978&lt;&gt;"",$K978,$M978)</f>
        <v/>
      </c>
      <c r="O978" s="24" t="str">
        <f aca="false">IF($F978="","",IFERROR(INDEX(Counterparties!$C:$C,MATCH($F978&amp;"",Counterparties!$A:$A,0))&amp;"",""))</f>
        <v/>
      </c>
      <c r="P978" s="24" t="str">
        <f aca="false">IF($O978="","",IF($O978="CY","CY",IF(ISNUMBER(MATCH($O978,Lists!$A:$A,0)),"EU","3RD")))</f>
        <v/>
      </c>
      <c r="Q978" s="24" t="str">
        <f aca="false">IF($F978="","N",IFERROR(IF(INDEX(Counterparties!$E:$E,MATCH($F978&amp;"",Counterparties!$A:$A,0))="Y","Y","N"),"N"))</f>
        <v>N</v>
      </c>
      <c r="R978" s="25" t="n">
        <f aca="false">IF(OR($H978="",$H978="EUR"),1,IFERROR(INDEX(FX_Rates!$D:$D,MATCH($H978,FX_Rates!$A:$A,0)),""))</f>
        <v>1</v>
      </c>
      <c r="S978" s="26" t="str">
        <f aca="false">IF(AND($I978="",$J978=""),"",IF($J978&lt;&gt;"",$J978,IF(OR($R978="",$R978=0),"",ROUND($I978/$R978,2))))</f>
        <v/>
      </c>
      <c r="T978" s="24" t="str">
        <f aca="false">IF($N978="","",IFERROR(INDEX(VAT_Codes!$C:$C,MATCH($N978,VAT_Codes!$A:$A,0)),"")&amp;"")</f>
        <v/>
      </c>
      <c r="U978" s="26" t="n">
        <f aca="false">IF(OR($S978="",$T978="",$T978="None"),0,IF($T978="Output",-$S978,$S978))</f>
        <v>0</v>
      </c>
      <c r="V978" s="27" t="n">
        <f aca="false">IF($N978="",0,IFERROR(INDEX(VAT_Codes!$D:$D,MATCH($N978,VAT_Codes!$A:$A,0)),0))</f>
        <v>0</v>
      </c>
      <c r="W978" s="26" t="n">
        <f aca="false">IF($U978=0,0,IF(IFERROR(INDEX(VAT_Codes!$F:$F,MATCH($N978,VAT_Codes!$A:$A,0)),"N")="Y",$U978,IF($L978&lt;&gt;"",ROUND(ABS($L978)/IF(OR($R978="",$R978=0),1,$R978),2)*SIGN($U978),ROUND($U978*$V978,2))))</f>
        <v>0</v>
      </c>
      <c r="X978" s="24" t="str">
        <f aca="false">IF($N978="","",IFERROR(INDEX(VAT_Codes!$H:$H,MATCH($N978,VAT_Codes!$A:$A,0)),"")&amp;"")</f>
        <v/>
      </c>
      <c r="Y978" s="24" t="str">
        <f aca="false">IF($A978="","",(YEAR($A978)-YEAR(Settings!$C$8))*12+MONTH($A978)-MONTH(Settings!$C$8)+1)</f>
        <v/>
      </c>
      <c r="Z978" s="24" t="str">
        <f aca="false">IF(AND($C978="",$I978="",$J978=""),"",IF($N978="","NO VAT CODE",IF($T978="","UNKNOWN VAT CODE",IF($S978="","MISSING FX RATE",IF(OR($A978&lt;Settings!$C$8,$A978&gt;Settings!$C$9),"OUTSIDE PERIOD",IF(AND(IFERROR(INDEX(VAT_Codes!$E:$E,MATCH($N978,VAT_Codes!$A:$A,0)),"ANY")&lt;&gt;"ANY",$P978=""),"MISSING COUNTERPARTY COUNTRY",IF(AND(IFERROR(INDEX(VAT_Codes!$E:$E,MATCH($N978,VAT_Codes!$A:$A,0)),"ANY")&lt;&gt;"ANY",$P978&lt;&gt;IFERROR(INDEX(VAT_Codes!$E:$E,MATCH($N978,VAT_Codes!$A:$A,0)),"ANY")),"REGION MISMATCH","OK")))))))</f>
        <v/>
      </c>
    </row>
    <row r="979" customFormat="false" ht="15" hidden="false" customHeight="false" outlineLevel="0" collapsed="false">
      <c r="M979" s="24" t="str">
        <f aca="false">IF($C979="","",IFERROR(INDEX(Account_Mapping!$C:$C,MATCH($C979&amp;"",Account_Mapping!$A:$A,0))&amp;"",""))</f>
        <v/>
      </c>
      <c r="N979" s="24" t="str">
        <f aca="false">IF($K979&lt;&gt;"",$K979,$M979)</f>
        <v/>
      </c>
      <c r="O979" s="24" t="str">
        <f aca="false">IF($F979="","",IFERROR(INDEX(Counterparties!$C:$C,MATCH($F979&amp;"",Counterparties!$A:$A,0))&amp;"",""))</f>
        <v/>
      </c>
      <c r="P979" s="24" t="str">
        <f aca="false">IF($O979="","",IF($O979="CY","CY",IF(ISNUMBER(MATCH($O979,Lists!$A:$A,0)),"EU","3RD")))</f>
        <v/>
      </c>
      <c r="Q979" s="24" t="str">
        <f aca="false">IF($F979="","N",IFERROR(IF(INDEX(Counterparties!$E:$E,MATCH($F979&amp;"",Counterparties!$A:$A,0))="Y","Y","N"),"N"))</f>
        <v>N</v>
      </c>
      <c r="R979" s="25" t="n">
        <f aca="false">IF(OR($H979="",$H979="EUR"),1,IFERROR(INDEX(FX_Rates!$D:$D,MATCH($H979,FX_Rates!$A:$A,0)),""))</f>
        <v>1</v>
      </c>
      <c r="S979" s="26" t="str">
        <f aca="false">IF(AND($I979="",$J979=""),"",IF($J979&lt;&gt;"",$J979,IF(OR($R979="",$R979=0),"",ROUND($I979/$R979,2))))</f>
        <v/>
      </c>
      <c r="T979" s="24" t="str">
        <f aca="false">IF($N979="","",IFERROR(INDEX(VAT_Codes!$C:$C,MATCH($N979,VAT_Codes!$A:$A,0)),"")&amp;"")</f>
        <v/>
      </c>
      <c r="U979" s="26" t="n">
        <f aca="false">IF(OR($S979="",$T979="",$T979="None"),0,IF($T979="Output",-$S979,$S979))</f>
        <v>0</v>
      </c>
      <c r="V979" s="27" t="n">
        <f aca="false">IF($N979="",0,IFERROR(INDEX(VAT_Codes!$D:$D,MATCH($N979,VAT_Codes!$A:$A,0)),0))</f>
        <v>0</v>
      </c>
      <c r="W979" s="26" t="n">
        <f aca="false">IF($U979=0,0,IF(IFERROR(INDEX(VAT_Codes!$F:$F,MATCH($N979,VAT_Codes!$A:$A,0)),"N")="Y",$U979,IF($L979&lt;&gt;"",ROUND(ABS($L979)/IF(OR($R979="",$R979=0),1,$R979),2)*SIGN($U979),ROUND($U979*$V979,2))))</f>
        <v>0</v>
      </c>
      <c r="X979" s="24" t="str">
        <f aca="false">IF($N979="","",IFERROR(INDEX(VAT_Codes!$H:$H,MATCH($N979,VAT_Codes!$A:$A,0)),"")&amp;"")</f>
        <v/>
      </c>
      <c r="Y979" s="24" t="str">
        <f aca="false">IF($A979="","",(YEAR($A979)-YEAR(Settings!$C$8))*12+MONTH($A979)-MONTH(Settings!$C$8)+1)</f>
        <v/>
      </c>
      <c r="Z979" s="24" t="str">
        <f aca="false">IF(AND($C979="",$I979="",$J979=""),"",IF($N979="","NO VAT CODE",IF($T979="","UNKNOWN VAT CODE",IF($S979="","MISSING FX RATE",IF(OR($A979&lt;Settings!$C$8,$A979&gt;Settings!$C$9),"OUTSIDE PERIOD",IF(AND(IFERROR(INDEX(VAT_Codes!$E:$E,MATCH($N979,VAT_Codes!$A:$A,0)),"ANY")&lt;&gt;"ANY",$P979=""),"MISSING COUNTERPARTY COUNTRY",IF(AND(IFERROR(INDEX(VAT_Codes!$E:$E,MATCH($N979,VAT_Codes!$A:$A,0)),"ANY")&lt;&gt;"ANY",$P979&lt;&gt;IFERROR(INDEX(VAT_Codes!$E:$E,MATCH($N979,VAT_Codes!$A:$A,0)),"ANY")),"REGION MISMATCH","OK")))))))</f>
        <v/>
      </c>
    </row>
    <row r="980" customFormat="false" ht="15" hidden="false" customHeight="false" outlineLevel="0" collapsed="false">
      <c r="M980" s="24" t="str">
        <f aca="false">IF($C980="","",IFERROR(INDEX(Account_Mapping!$C:$C,MATCH($C980&amp;"",Account_Mapping!$A:$A,0))&amp;"",""))</f>
        <v/>
      </c>
      <c r="N980" s="24" t="str">
        <f aca="false">IF($K980&lt;&gt;"",$K980,$M980)</f>
        <v/>
      </c>
      <c r="O980" s="24" t="str">
        <f aca="false">IF($F980="","",IFERROR(INDEX(Counterparties!$C:$C,MATCH($F980&amp;"",Counterparties!$A:$A,0))&amp;"",""))</f>
        <v/>
      </c>
      <c r="P980" s="24" t="str">
        <f aca="false">IF($O980="","",IF($O980="CY","CY",IF(ISNUMBER(MATCH($O980,Lists!$A:$A,0)),"EU","3RD")))</f>
        <v/>
      </c>
      <c r="Q980" s="24" t="str">
        <f aca="false">IF($F980="","N",IFERROR(IF(INDEX(Counterparties!$E:$E,MATCH($F980&amp;"",Counterparties!$A:$A,0))="Y","Y","N"),"N"))</f>
        <v>N</v>
      </c>
      <c r="R980" s="25" t="n">
        <f aca="false">IF(OR($H980="",$H980="EUR"),1,IFERROR(INDEX(FX_Rates!$D:$D,MATCH($H980,FX_Rates!$A:$A,0)),""))</f>
        <v>1</v>
      </c>
      <c r="S980" s="26" t="str">
        <f aca="false">IF(AND($I980="",$J980=""),"",IF($J980&lt;&gt;"",$J980,IF(OR($R980="",$R980=0),"",ROUND($I980/$R980,2))))</f>
        <v/>
      </c>
      <c r="T980" s="24" t="str">
        <f aca="false">IF($N980="","",IFERROR(INDEX(VAT_Codes!$C:$C,MATCH($N980,VAT_Codes!$A:$A,0)),"")&amp;"")</f>
        <v/>
      </c>
      <c r="U980" s="26" t="n">
        <f aca="false">IF(OR($S980="",$T980="",$T980="None"),0,IF($T980="Output",-$S980,$S980))</f>
        <v>0</v>
      </c>
      <c r="V980" s="27" t="n">
        <f aca="false">IF($N980="",0,IFERROR(INDEX(VAT_Codes!$D:$D,MATCH($N980,VAT_Codes!$A:$A,0)),0))</f>
        <v>0</v>
      </c>
      <c r="W980" s="26" t="n">
        <f aca="false">IF($U980=0,0,IF(IFERROR(INDEX(VAT_Codes!$F:$F,MATCH($N980,VAT_Codes!$A:$A,0)),"N")="Y",$U980,IF($L980&lt;&gt;"",ROUND(ABS($L980)/IF(OR($R980="",$R980=0),1,$R980),2)*SIGN($U980),ROUND($U980*$V980,2))))</f>
        <v>0</v>
      </c>
      <c r="X980" s="24" t="str">
        <f aca="false">IF($N980="","",IFERROR(INDEX(VAT_Codes!$H:$H,MATCH($N980,VAT_Codes!$A:$A,0)),"")&amp;"")</f>
        <v/>
      </c>
      <c r="Y980" s="24" t="str">
        <f aca="false">IF($A980="","",(YEAR($A980)-YEAR(Settings!$C$8))*12+MONTH($A980)-MONTH(Settings!$C$8)+1)</f>
        <v/>
      </c>
      <c r="Z980" s="24" t="str">
        <f aca="false">IF(AND($C980="",$I980="",$J980=""),"",IF($N980="","NO VAT CODE",IF($T980="","UNKNOWN VAT CODE",IF($S980="","MISSING FX RATE",IF(OR($A980&lt;Settings!$C$8,$A980&gt;Settings!$C$9),"OUTSIDE PERIOD",IF(AND(IFERROR(INDEX(VAT_Codes!$E:$E,MATCH($N980,VAT_Codes!$A:$A,0)),"ANY")&lt;&gt;"ANY",$P980=""),"MISSING COUNTERPARTY COUNTRY",IF(AND(IFERROR(INDEX(VAT_Codes!$E:$E,MATCH($N980,VAT_Codes!$A:$A,0)),"ANY")&lt;&gt;"ANY",$P980&lt;&gt;IFERROR(INDEX(VAT_Codes!$E:$E,MATCH($N980,VAT_Codes!$A:$A,0)),"ANY")),"REGION MISMATCH","OK")))))))</f>
        <v/>
      </c>
    </row>
    <row r="981" customFormat="false" ht="15" hidden="false" customHeight="false" outlineLevel="0" collapsed="false">
      <c r="M981" s="24" t="str">
        <f aca="false">IF($C981="","",IFERROR(INDEX(Account_Mapping!$C:$C,MATCH($C981&amp;"",Account_Mapping!$A:$A,0))&amp;"",""))</f>
        <v/>
      </c>
      <c r="N981" s="24" t="str">
        <f aca="false">IF($K981&lt;&gt;"",$K981,$M981)</f>
        <v/>
      </c>
      <c r="O981" s="24" t="str">
        <f aca="false">IF($F981="","",IFERROR(INDEX(Counterparties!$C:$C,MATCH($F981&amp;"",Counterparties!$A:$A,0))&amp;"",""))</f>
        <v/>
      </c>
      <c r="P981" s="24" t="str">
        <f aca="false">IF($O981="","",IF($O981="CY","CY",IF(ISNUMBER(MATCH($O981,Lists!$A:$A,0)),"EU","3RD")))</f>
        <v/>
      </c>
      <c r="Q981" s="24" t="str">
        <f aca="false">IF($F981="","N",IFERROR(IF(INDEX(Counterparties!$E:$E,MATCH($F981&amp;"",Counterparties!$A:$A,0))="Y","Y","N"),"N"))</f>
        <v>N</v>
      </c>
      <c r="R981" s="25" t="n">
        <f aca="false">IF(OR($H981="",$H981="EUR"),1,IFERROR(INDEX(FX_Rates!$D:$D,MATCH($H981,FX_Rates!$A:$A,0)),""))</f>
        <v>1</v>
      </c>
      <c r="S981" s="26" t="str">
        <f aca="false">IF(AND($I981="",$J981=""),"",IF($J981&lt;&gt;"",$J981,IF(OR($R981="",$R981=0),"",ROUND($I981/$R981,2))))</f>
        <v/>
      </c>
      <c r="T981" s="24" t="str">
        <f aca="false">IF($N981="","",IFERROR(INDEX(VAT_Codes!$C:$C,MATCH($N981,VAT_Codes!$A:$A,0)),"")&amp;"")</f>
        <v/>
      </c>
      <c r="U981" s="26" t="n">
        <f aca="false">IF(OR($S981="",$T981="",$T981="None"),0,IF($T981="Output",-$S981,$S981))</f>
        <v>0</v>
      </c>
      <c r="V981" s="27" t="n">
        <f aca="false">IF($N981="",0,IFERROR(INDEX(VAT_Codes!$D:$D,MATCH($N981,VAT_Codes!$A:$A,0)),0))</f>
        <v>0</v>
      </c>
      <c r="W981" s="26" t="n">
        <f aca="false">IF($U981=0,0,IF(IFERROR(INDEX(VAT_Codes!$F:$F,MATCH($N981,VAT_Codes!$A:$A,0)),"N")="Y",$U981,IF($L981&lt;&gt;"",ROUND(ABS($L981)/IF(OR($R981="",$R981=0),1,$R981),2)*SIGN($U981),ROUND($U981*$V981,2))))</f>
        <v>0</v>
      </c>
      <c r="X981" s="24" t="str">
        <f aca="false">IF($N981="","",IFERROR(INDEX(VAT_Codes!$H:$H,MATCH($N981,VAT_Codes!$A:$A,0)),"")&amp;"")</f>
        <v/>
      </c>
      <c r="Y981" s="24" t="str">
        <f aca="false">IF($A981="","",(YEAR($A981)-YEAR(Settings!$C$8))*12+MONTH($A981)-MONTH(Settings!$C$8)+1)</f>
        <v/>
      </c>
      <c r="Z981" s="24" t="str">
        <f aca="false">IF(AND($C981="",$I981="",$J981=""),"",IF($N981="","NO VAT CODE",IF($T981="","UNKNOWN VAT CODE",IF($S981="","MISSING FX RATE",IF(OR($A981&lt;Settings!$C$8,$A981&gt;Settings!$C$9),"OUTSIDE PERIOD",IF(AND(IFERROR(INDEX(VAT_Codes!$E:$E,MATCH($N981,VAT_Codes!$A:$A,0)),"ANY")&lt;&gt;"ANY",$P981=""),"MISSING COUNTERPARTY COUNTRY",IF(AND(IFERROR(INDEX(VAT_Codes!$E:$E,MATCH($N981,VAT_Codes!$A:$A,0)),"ANY")&lt;&gt;"ANY",$P981&lt;&gt;IFERROR(INDEX(VAT_Codes!$E:$E,MATCH($N981,VAT_Codes!$A:$A,0)),"ANY")),"REGION MISMATCH","OK")))))))</f>
        <v/>
      </c>
    </row>
    <row r="982" customFormat="false" ht="15" hidden="false" customHeight="false" outlineLevel="0" collapsed="false">
      <c r="M982" s="24" t="str">
        <f aca="false">IF($C982="","",IFERROR(INDEX(Account_Mapping!$C:$C,MATCH($C982&amp;"",Account_Mapping!$A:$A,0))&amp;"",""))</f>
        <v/>
      </c>
      <c r="N982" s="24" t="str">
        <f aca="false">IF($K982&lt;&gt;"",$K982,$M982)</f>
        <v/>
      </c>
      <c r="O982" s="24" t="str">
        <f aca="false">IF($F982="","",IFERROR(INDEX(Counterparties!$C:$C,MATCH($F982&amp;"",Counterparties!$A:$A,0))&amp;"",""))</f>
        <v/>
      </c>
      <c r="P982" s="24" t="str">
        <f aca="false">IF($O982="","",IF($O982="CY","CY",IF(ISNUMBER(MATCH($O982,Lists!$A:$A,0)),"EU","3RD")))</f>
        <v/>
      </c>
      <c r="Q982" s="24" t="str">
        <f aca="false">IF($F982="","N",IFERROR(IF(INDEX(Counterparties!$E:$E,MATCH($F982&amp;"",Counterparties!$A:$A,0))="Y","Y","N"),"N"))</f>
        <v>N</v>
      </c>
      <c r="R982" s="25" t="n">
        <f aca="false">IF(OR($H982="",$H982="EUR"),1,IFERROR(INDEX(FX_Rates!$D:$D,MATCH($H982,FX_Rates!$A:$A,0)),""))</f>
        <v>1</v>
      </c>
      <c r="S982" s="26" t="str">
        <f aca="false">IF(AND($I982="",$J982=""),"",IF($J982&lt;&gt;"",$J982,IF(OR($R982="",$R982=0),"",ROUND($I982/$R982,2))))</f>
        <v/>
      </c>
      <c r="T982" s="24" t="str">
        <f aca="false">IF($N982="","",IFERROR(INDEX(VAT_Codes!$C:$C,MATCH($N982,VAT_Codes!$A:$A,0)),"")&amp;"")</f>
        <v/>
      </c>
      <c r="U982" s="26" t="n">
        <f aca="false">IF(OR($S982="",$T982="",$T982="None"),0,IF($T982="Output",-$S982,$S982))</f>
        <v>0</v>
      </c>
      <c r="V982" s="27" t="n">
        <f aca="false">IF($N982="",0,IFERROR(INDEX(VAT_Codes!$D:$D,MATCH($N982,VAT_Codes!$A:$A,0)),0))</f>
        <v>0</v>
      </c>
      <c r="W982" s="26" t="n">
        <f aca="false">IF($U982=0,0,IF(IFERROR(INDEX(VAT_Codes!$F:$F,MATCH($N982,VAT_Codes!$A:$A,0)),"N")="Y",$U982,IF($L982&lt;&gt;"",ROUND(ABS($L982)/IF(OR($R982="",$R982=0),1,$R982),2)*SIGN($U982),ROUND($U982*$V982,2))))</f>
        <v>0</v>
      </c>
      <c r="X982" s="24" t="str">
        <f aca="false">IF($N982="","",IFERROR(INDEX(VAT_Codes!$H:$H,MATCH($N982,VAT_Codes!$A:$A,0)),"")&amp;"")</f>
        <v/>
      </c>
      <c r="Y982" s="24" t="str">
        <f aca="false">IF($A982="","",(YEAR($A982)-YEAR(Settings!$C$8))*12+MONTH($A982)-MONTH(Settings!$C$8)+1)</f>
        <v/>
      </c>
      <c r="Z982" s="24" t="str">
        <f aca="false">IF(AND($C982="",$I982="",$J982=""),"",IF($N982="","NO VAT CODE",IF($T982="","UNKNOWN VAT CODE",IF($S982="","MISSING FX RATE",IF(OR($A982&lt;Settings!$C$8,$A982&gt;Settings!$C$9),"OUTSIDE PERIOD",IF(AND(IFERROR(INDEX(VAT_Codes!$E:$E,MATCH($N982,VAT_Codes!$A:$A,0)),"ANY")&lt;&gt;"ANY",$P982=""),"MISSING COUNTERPARTY COUNTRY",IF(AND(IFERROR(INDEX(VAT_Codes!$E:$E,MATCH($N982,VAT_Codes!$A:$A,0)),"ANY")&lt;&gt;"ANY",$P982&lt;&gt;IFERROR(INDEX(VAT_Codes!$E:$E,MATCH($N982,VAT_Codes!$A:$A,0)),"ANY")),"REGION MISMATCH","OK")))))))</f>
        <v/>
      </c>
    </row>
    <row r="983" customFormat="false" ht="15" hidden="false" customHeight="false" outlineLevel="0" collapsed="false">
      <c r="M983" s="24" t="str">
        <f aca="false">IF($C983="","",IFERROR(INDEX(Account_Mapping!$C:$C,MATCH($C983&amp;"",Account_Mapping!$A:$A,0))&amp;"",""))</f>
        <v/>
      </c>
      <c r="N983" s="24" t="str">
        <f aca="false">IF($K983&lt;&gt;"",$K983,$M983)</f>
        <v/>
      </c>
      <c r="O983" s="24" t="str">
        <f aca="false">IF($F983="","",IFERROR(INDEX(Counterparties!$C:$C,MATCH($F983&amp;"",Counterparties!$A:$A,0))&amp;"",""))</f>
        <v/>
      </c>
      <c r="P983" s="24" t="str">
        <f aca="false">IF($O983="","",IF($O983="CY","CY",IF(ISNUMBER(MATCH($O983,Lists!$A:$A,0)),"EU","3RD")))</f>
        <v/>
      </c>
      <c r="Q983" s="24" t="str">
        <f aca="false">IF($F983="","N",IFERROR(IF(INDEX(Counterparties!$E:$E,MATCH($F983&amp;"",Counterparties!$A:$A,0))="Y","Y","N"),"N"))</f>
        <v>N</v>
      </c>
      <c r="R983" s="25" t="n">
        <f aca="false">IF(OR($H983="",$H983="EUR"),1,IFERROR(INDEX(FX_Rates!$D:$D,MATCH($H983,FX_Rates!$A:$A,0)),""))</f>
        <v>1</v>
      </c>
      <c r="S983" s="26" t="str">
        <f aca="false">IF(AND($I983="",$J983=""),"",IF($J983&lt;&gt;"",$J983,IF(OR($R983="",$R983=0),"",ROUND($I983/$R983,2))))</f>
        <v/>
      </c>
      <c r="T983" s="24" t="str">
        <f aca="false">IF($N983="","",IFERROR(INDEX(VAT_Codes!$C:$C,MATCH($N983,VAT_Codes!$A:$A,0)),"")&amp;"")</f>
        <v/>
      </c>
      <c r="U983" s="26" t="n">
        <f aca="false">IF(OR($S983="",$T983="",$T983="None"),0,IF($T983="Output",-$S983,$S983))</f>
        <v>0</v>
      </c>
      <c r="V983" s="27" t="n">
        <f aca="false">IF($N983="",0,IFERROR(INDEX(VAT_Codes!$D:$D,MATCH($N983,VAT_Codes!$A:$A,0)),0))</f>
        <v>0</v>
      </c>
      <c r="W983" s="26" t="n">
        <f aca="false">IF($U983=0,0,IF(IFERROR(INDEX(VAT_Codes!$F:$F,MATCH($N983,VAT_Codes!$A:$A,0)),"N")="Y",$U983,IF($L983&lt;&gt;"",ROUND(ABS($L983)/IF(OR($R983="",$R983=0),1,$R983),2)*SIGN($U983),ROUND($U983*$V983,2))))</f>
        <v>0</v>
      </c>
      <c r="X983" s="24" t="str">
        <f aca="false">IF($N983="","",IFERROR(INDEX(VAT_Codes!$H:$H,MATCH($N983,VAT_Codes!$A:$A,0)),"")&amp;"")</f>
        <v/>
      </c>
      <c r="Y983" s="24" t="str">
        <f aca="false">IF($A983="","",(YEAR($A983)-YEAR(Settings!$C$8))*12+MONTH($A983)-MONTH(Settings!$C$8)+1)</f>
        <v/>
      </c>
      <c r="Z983" s="24" t="str">
        <f aca="false">IF(AND($C983="",$I983="",$J983=""),"",IF($N983="","NO VAT CODE",IF($T983="","UNKNOWN VAT CODE",IF($S983="","MISSING FX RATE",IF(OR($A983&lt;Settings!$C$8,$A983&gt;Settings!$C$9),"OUTSIDE PERIOD",IF(AND(IFERROR(INDEX(VAT_Codes!$E:$E,MATCH($N983,VAT_Codes!$A:$A,0)),"ANY")&lt;&gt;"ANY",$P983=""),"MISSING COUNTERPARTY COUNTRY",IF(AND(IFERROR(INDEX(VAT_Codes!$E:$E,MATCH($N983,VAT_Codes!$A:$A,0)),"ANY")&lt;&gt;"ANY",$P983&lt;&gt;IFERROR(INDEX(VAT_Codes!$E:$E,MATCH($N983,VAT_Codes!$A:$A,0)),"ANY")),"REGION MISMATCH","OK")))))))</f>
        <v/>
      </c>
    </row>
    <row r="984" customFormat="false" ht="15" hidden="false" customHeight="false" outlineLevel="0" collapsed="false">
      <c r="M984" s="24" t="str">
        <f aca="false">IF($C984="","",IFERROR(INDEX(Account_Mapping!$C:$C,MATCH($C984&amp;"",Account_Mapping!$A:$A,0))&amp;"",""))</f>
        <v/>
      </c>
      <c r="N984" s="24" t="str">
        <f aca="false">IF($K984&lt;&gt;"",$K984,$M984)</f>
        <v/>
      </c>
      <c r="O984" s="24" t="str">
        <f aca="false">IF($F984="","",IFERROR(INDEX(Counterparties!$C:$C,MATCH($F984&amp;"",Counterparties!$A:$A,0))&amp;"",""))</f>
        <v/>
      </c>
      <c r="P984" s="24" t="str">
        <f aca="false">IF($O984="","",IF($O984="CY","CY",IF(ISNUMBER(MATCH($O984,Lists!$A:$A,0)),"EU","3RD")))</f>
        <v/>
      </c>
      <c r="Q984" s="24" t="str">
        <f aca="false">IF($F984="","N",IFERROR(IF(INDEX(Counterparties!$E:$E,MATCH($F984&amp;"",Counterparties!$A:$A,0))="Y","Y","N"),"N"))</f>
        <v>N</v>
      </c>
      <c r="R984" s="25" t="n">
        <f aca="false">IF(OR($H984="",$H984="EUR"),1,IFERROR(INDEX(FX_Rates!$D:$D,MATCH($H984,FX_Rates!$A:$A,0)),""))</f>
        <v>1</v>
      </c>
      <c r="S984" s="26" t="str">
        <f aca="false">IF(AND($I984="",$J984=""),"",IF($J984&lt;&gt;"",$J984,IF(OR($R984="",$R984=0),"",ROUND($I984/$R984,2))))</f>
        <v/>
      </c>
      <c r="T984" s="24" t="str">
        <f aca="false">IF($N984="","",IFERROR(INDEX(VAT_Codes!$C:$C,MATCH($N984,VAT_Codes!$A:$A,0)),"")&amp;"")</f>
        <v/>
      </c>
      <c r="U984" s="26" t="n">
        <f aca="false">IF(OR($S984="",$T984="",$T984="None"),0,IF($T984="Output",-$S984,$S984))</f>
        <v>0</v>
      </c>
      <c r="V984" s="27" t="n">
        <f aca="false">IF($N984="",0,IFERROR(INDEX(VAT_Codes!$D:$D,MATCH($N984,VAT_Codes!$A:$A,0)),0))</f>
        <v>0</v>
      </c>
      <c r="W984" s="26" t="n">
        <f aca="false">IF($U984=0,0,IF(IFERROR(INDEX(VAT_Codes!$F:$F,MATCH($N984,VAT_Codes!$A:$A,0)),"N")="Y",$U984,IF($L984&lt;&gt;"",ROUND(ABS($L984)/IF(OR($R984="",$R984=0),1,$R984),2)*SIGN($U984),ROUND($U984*$V984,2))))</f>
        <v>0</v>
      </c>
      <c r="X984" s="24" t="str">
        <f aca="false">IF($N984="","",IFERROR(INDEX(VAT_Codes!$H:$H,MATCH($N984,VAT_Codes!$A:$A,0)),"")&amp;"")</f>
        <v/>
      </c>
      <c r="Y984" s="24" t="str">
        <f aca="false">IF($A984="","",(YEAR($A984)-YEAR(Settings!$C$8))*12+MONTH($A984)-MONTH(Settings!$C$8)+1)</f>
        <v/>
      </c>
      <c r="Z984" s="24" t="str">
        <f aca="false">IF(AND($C984="",$I984="",$J984=""),"",IF($N984="","NO VAT CODE",IF($T984="","UNKNOWN VAT CODE",IF($S984="","MISSING FX RATE",IF(OR($A984&lt;Settings!$C$8,$A984&gt;Settings!$C$9),"OUTSIDE PERIOD",IF(AND(IFERROR(INDEX(VAT_Codes!$E:$E,MATCH($N984,VAT_Codes!$A:$A,0)),"ANY")&lt;&gt;"ANY",$P984=""),"MISSING COUNTERPARTY COUNTRY",IF(AND(IFERROR(INDEX(VAT_Codes!$E:$E,MATCH($N984,VAT_Codes!$A:$A,0)),"ANY")&lt;&gt;"ANY",$P984&lt;&gt;IFERROR(INDEX(VAT_Codes!$E:$E,MATCH($N984,VAT_Codes!$A:$A,0)),"ANY")),"REGION MISMATCH","OK")))))))</f>
        <v/>
      </c>
    </row>
    <row r="985" customFormat="false" ht="15" hidden="false" customHeight="false" outlineLevel="0" collapsed="false">
      <c r="M985" s="24" t="str">
        <f aca="false">IF($C985="","",IFERROR(INDEX(Account_Mapping!$C:$C,MATCH($C985&amp;"",Account_Mapping!$A:$A,0))&amp;"",""))</f>
        <v/>
      </c>
      <c r="N985" s="24" t="str">
        <f aca="false">IF($K985&lt;&gt;"",$K985,$M985)</f>
        <v/>
      </c>
      <c r="O985" s="24" t="str">
        <f aca="false">IF($F985="","",IFERROR(INDEX(Counterparties!$C:$C,MATCH($F985&amp;"",Counterparties!$A:$A,0))&amp;"",""))</f>
        <v/>
      </c>
      <c r="P985" s="24" t="str">
        <f aca="false">IF($O985="","",IF($O985="CY","CY",IF(ISNUMBER(MATCH($O985,Lists!$A:$A,0)),"EU","3RD")))</f>
        <v/>
      </c>
      <c r="Q985" s="24" t="str">
        <f aca="false">IF($F985="","N",IFERROR(IF(INDEX(Counterparties!$E:$E,MATCH($F985&amp;"",Counterparties!$A:$A,0))="Y","Y","N"),"N"))</f>
        <v>N</v>
      </c>
      <c r="R985" s="25" t="n">
        <f aca="false">IF(OR($H985="",$H985="EUR"),1,IFERROR(INDEX(FX_Rates!$D:$D,MATCH($H985,FX_Rates!$A:$A,0)),""))</f>
        <v>1</v>
      </c>
      <c r="S985" s="26" t="str">
        <f aca="false">IF(AND($I985="",$J985=""),"",IF($J985&lt;&gt;"",$J985,IF(OR($R985="",$R985=0),"",ROUND($I985/$R985,2))))</f>
        <v/>
      </c>
      <c r="T985" s="24" t="str">
        <f aca="false">IF($N985="","",IFERROR(INDEX(VAT_Codes!$C:$C,MATCH($N985,VAT_Codes!$A:$A,0)),"")&amp;"")</f>
        <v/>
      </c>
      <c r="U985" s="26" t="n">
        <f aca="false">IF(OR($S985="",$T985="",$T985="None"),0,IF($T985="Output",-$S985,$S985))</f>
        <v>0</v>
      </c>
      <c r="V985" s="27" t="n">
        <f aca="false">IF($N985="",0,IFERROR(INDEX(VAT_Codes!$D:$D,MATCH($N985,VAT_Codes!$A:$A,0)),0))</f>
        <v>0</v>
      </c>
      <c r="W985" s="26" t="n">
        <f aca="false">IF($U985=0,0,IF(IFERROR(INDEX(VAT_Codes!$F:$F,MATCH($N985,VAT_Codes!$A:$A,0)),"N")="Y",$U985,IF($L985&lt;&gt;"",ROUND(ABS($L985)/IF(OR($R985="",$R985=0),1,$R985),2)*SIGN($U985),ROUND($U985*$V985,2))))</f>
        <v>0</v>
      </c>
      <c r="X985" s="24" t="str">
        <f aca="false">IF($N985="","",IFERROR(INDEX(VAT_Codes!$H:$H,MATCH($N985,VAT_Codes!$A:$A,0)),"")&amp;"")</f>
        <v/>
      </c>
      <c r="Y985" s="24" t="str">
        <f aca="false">IF($A985="","",(YEAR($A985)-YEAR(Settings!$C$8))*12+MONTH($A985)-MONTH(Settings!$C$8)+1)</f>
        <v/>
      </c>
      <c r="Z985" s="24" t="str">
        <f aca="false">IF(AND($C985="",$I985="",$J985=""),"",IF($N985="","NO VAT CODE",IF($T985="","UNKNOWN VAT CODE",IF($S985="","MISSING FX RATE",IF(OR($A985&lt;Settings!$C$8,$A985&gt;Settings!$C$9),"OUTSIDE PERIOD",IF(AND(IFERROR(INDEX(VAT_Codes!$E:$E,MATCH($N985,VAT_Codes!$A:$A,0)),"ANY")&lt;&gt;"ANY",$P985=""),"MISSING COUNTERPARTY COUNTRY",IF(AND(IFERROR(INDEX(VAT_Codes!$E:$E,MATCH($N985,VAT_Codes!$A:$A,0)),"ANY")&lt;&gt;"ANY",$P985&lt;&gt;IFERROR(INDEX(VAT_Codes!$E:$E,MATCH($N985,VAT_Codes!$A:$A,0)),"ANY")),"REGION MISMATCH","OK")))))))</f>
        <v/>
      </c>
    </row>
    <row r="986" customFormat="false" ht="15" hidden="false" customHeight="false" outlineLevel="0" collapsed="false">
      <c r="M986" s="24" t="str">
        <f aca="false">IF($C986="","",IFERROR(INDEX(Account_Mapping!$C:$C,MATCH($C986&amp;"",Account_Mapping!$A:$A,0))&amp;"",""))</f>
        <v/>
      </c>
      <c r="N986" s="24" t="str">
        <f aca="false">IF($K986&lt;&gt;"",$K986,$M986)</f>
        <v/>
      </c>
      <c r="O986" s="24" t="str">
        <f aca="false">IF($F986="","",IFERROR(INDEX(Counterparties!$C:$C,MATCH($F986&amp;"",Counterparties!$A:$A,0))&amp;"",""))</f>
        <v/>
      </c>
      <c r="P986" s="24" t="str">
        <f aca="false">IF($O986="","",IF($O986="CY","CY",IF(ISNUMBER(MATCH($O986,Lists!$A:$A,0)),"EU","3RD")))</f>
        <v/>
      </c>
      <c r="Q986" s="24" t="str">
        <f aca="false">IF($F986="","N",IFERROR(IF(INDEX(Counterparties!$E:$E,MATCH($F986&amp;"",Counterparties!$A:$A,0))="Y","Y","N"),"N"))</f>
        <v>N</v>
      </c>
      <c r="R986" s="25" t="n">
        <f aca="false">IF(OR($H986="",$H986="EUR"),1,IFERROR(INDEX(FX_Rates!$D:$D,MATCH($H986,FX_Rates!$A:$A,0)),""))</f>
        <v>1</v>
      </c>
      <c r="S986" s="26" t="str">
        <f aca="false">IF(AND($I986="",$J986=""),"",IF($J986&lt;&gt;"",$J986,IF(OR($R986="",$R986=0),"",ROUND($I986/$R986,2))))</f>
        <v/>
      </c>
      <c r="T986" s="24" t="str">
        <f aca="false">IF($N986="","",IFERROR(INDEX(VAT_Codes!$C:$C,MATCH($N986,VAT_Codes!$A:$A,0)),"")&amp;"")</f>
        <v/>
      </c>
      <c r="U986" s="26" t="n">
        <f aca="false">IF(OR($S986="",$T986="",$T986="None"),0,IF($T986="Output",-$S986,$S986))</f>
        <v>0</v>
      </c>
      <c r="V986" s="27" t="n">
        <f aca="false">IF($N986="",0,IFERROR(INDEX(VAT_Codes!$D:$D,MATCH($N986,VAT_Codes!$A:$A,0)),0))</f>
        <v>0</v>
      </c>
      <c r="W986" s="26" t="n">
        <f aca="false">IF($U986=0,0,IF(IFERROR(INDEX(VAT_Codes!$F:$F,MATCH($N986,VAT_Codes!$A:$A,0)),"N")="Y",$U986,IF($L986&lt;&gt;"",ROUND(ABS($L986)/IF(OR($R986="",$R986=0),1,$R986),2)*SIGN($U986),ROUND($U986*$V986,2))))</f>
        <v>0</v>
      </c>
      <c r="X986" s="24" t="str">
        <f aca="false">IF($N986="","",IFERROR(INDEX(VAT_Codes!$H:$H,MATCH($N986,VAT_Codes!$A:$A,0)),"")&amp;"")</f>
        <v/>
      </c>
      <c r="Y986" s="24" t="str">
        <f aca="false">IF($A986="","",(YEAR($A986)-YEAR(Settings!$C$8))*12+MONTH($A986)-MONTH(Settings!$C$8)+1)</f>
        <v/>
      </c>
      <c r="Z986" s="24" t="str">
        <f aca="false">IF(AND($C986="",$I986="",$J986=""),"",IF($N986="","NO VAT CODE",IF($T986="","UNKNOWN VAT CODE",IF($S986="","MISSING FX RATE",IF(OR($A986&lt;Settings!$C$8,$A986&gt;Settings!$C$9),"OUTSIDE PERIOD",IF(AND(IFERROR(INDEX(VAT_Codes!$E:$E,MATCH($N986,VAT_Codes!$A:$A,0)),"ANY")&lt;&gt;"ANY",$P986=""),"MISSING COUNTERPARTY COUNTRY",IF(AND(IFERROR(INDEX(VAT_Codes!$E:$E,MATCH($N986,VAT_Codes!$A:$A,0)),"ANY")&lt;&gt;"ANY",$P986&lt;&gt;IFERROR(INDEX(VAT_Codes!$E:$E,MATCH($N986,VAT_Codes!$A:$A,0)),"ANY")),"REGION MISMATCH","OK")))))))</f>
        <v/>
      </c>
    </row>
    <row r="987" customFormat="false" ht="15" hidden="false" customHeight="false" outlineLevel="0" collapsed="false">
      <c r="M987" s="24" t="str">
        <f aca="false">IF($C987="","",IFERROR(INDEX(Account_Mapping!$C:$C,MATCH($C987&amp;"",Account_Mapping!$A:$A,0))&amp;"",""))</f>
        <v/>
      </c>
      <c r="N987" s="24" t="str">
        <f aca="false">IF($K987&lt;&gt;"",$K987,$M987)</f>
        <v/>
      </c>
      <c r="O987" s="24" t="str">
        <f aca="false">IF($F987="","",IFERROR(INDEX(Counterparties!$C:$C,MATCH($F987&amp;"",Counterparties!$A:$A,0))&amp;"",""))</f>
        <v/>
      </c>
      <c r="P987" s="24" t="str">
        <f aca="false">IF($O987="","",IF($O987="CY","CY",IF(ISNUMBER(MATCH($O987,Lists!$A:$A,0)),"EU","3RD")))</f>
        <v/>
      </c>
      <c r="Q987" s="24" t="str">
        <f aca="false">IF($F987="","N",IFERROR(IF(INDEX(Counterparties!$E:$E,MATCH($F987&amp;"",Counterparties!$A:$A,0))="Y","Y","N"),"N"))</f>
        <v>N</v>
      </c>
      <c r="R987" s="25" t="n">
        <f aca="false">IF(OR($H987="",$H987="EUR"),1,IFERROR(INDEX(FX_Rates!$D:$D,MATCH($H987,FX_Rates!$A:$A,0)),""))</f>
        <v>1</v>
      </c>
      <c r="S987" s="26" t="str">
        <f aca="false">IF(AND($I987="",$J987=""),"",IF($J987&lt;&gt;"",$J987,IF(OR($R987="",$R987=0),"",ROUND($I987/$R987,2))))</f>
        <v/>
      </c>
      <c r="T987" s="24" t="str">
        <f aca="false">IF($N987="","",IFERROR(INDEX(VAT_Codes!$C:$C,MATCH($N987,VAT_Codes!$A:$A,0)),"")&amp;"")</f>
        <v/>
      </c>
      <c r="U987" s="26" t="n">
        <f aca="false">IF(OR($S987="",$T987="",$T987="None"),0,IF($T987="Output",-$S987,$S987))</f>
        <v>0</v>
      </c>
      <c r="V987" s="27" t="n">
        <f aca="false">IF($N987="",0,IFERROR(INDEX(VAT_Codes!$D:$D,MATCH($N987,VAT_Codes!$A:$A,0)),0))</f>
        <v>0</v>
      </c>
      <c r="W987" s="26" t="n">
        <f aca="false">IF($U987=0,0,IF(IFERROR(INDEX(VAT_Codes!$F:$F,MATCH($N987,VAT_Codes!$A:$A,0)),"N")="Y",$U987,IF($L987&lt;&gt;"",ROUND(ABS($L987)/IF(OR($R987="",$R987=0),1,$R987),2)*SIGN($U987),ROUND($U987*$V987,2))))</f>
        <v>0</v>
      </c>
      <c r="X987" s="24" t="str">
        <f aca="false">IF($N987="","",IFERROR(INDEX(VAT_Codes!$H:$H,MATCH($N987,VAT_Codes!$A:$A,0)),"")&amp;"")</f>
        <v/>
      </c>
      <c r="Y987" s="24" t="str">
        <f aca="false">IF($A987="","",(YEAR($A987)-YEAR(Settings!$C$8))*12+MONTH($A987)-MONTH(Settings!$C$8)+1)</f>
        <v/>
      </c>
      <c r="Z987" s="24" t="str">
        <f aca="false">IF(AND($C987="",$I987="",$J987=""),"",IF($N987="","NO VAT CODE",IF($T987="","UNKNOWN VAT CODE",IF($S987="","MISSING FX RATE",IF(OR($A987&lt;Settings!$C$8,$A987&gt;Settings!$C$9),"OUTSIDE PERIOD",IF(AND(IFERROR(INDEX(VAT_Codes!$E:$E,MATCH($N987,VAT_Codes!$A:$A,0)),"ANY")&lt;&gt;"ANY",$P987=""),"MISSING COUNTERPARTY COUNTRY",IF(AND(IFERROR(INDEX(VAT_Codes!$E:$E,MATCH($N987,VAT_Codes!$A:$A,0)),"ANY")&lt;&gt;"ANY",$P987&lt;&gt;IFERROR(INDEX(VAT_Codes!$E:$E,MATCH($N987,VAT_Codes!$A:$A,0)),"ANY")),"REGION MISMATCH","OK")))))))</f>
        <v/>
      </c>
    </row>
    <row r="988" customFormat="false" ht="15" hidden="false" customHeight="false" outlineLevel="0" collapsed="false">
      <c r="M988" s="24" t="str">
        <f aca="false">IF($C988="","",IFERROR(INDEX(Account_Mapping!$C:$C,MATCH($C988&amp;"",Account_Mapping!$A:$A,0))&amp;"",""))</f>
        <v/>
      </c>
      <c r="N988" s="24" t="str">
        <f aca="false">IF($K988&lt;&gt;"",$K988,$M988)</f>
        <v/>
      </c>
      <c r="O988" s="24" t="str">
        <f aca="false">IF($F988="","",IFERROR(INDEX(Counterparties!$C:$C,MATCH($F988&amp;"",Counterparties!$A:$A,0))&amp;"",""))</f>
        <v/>
      </c>
      <c r="P988" s="24" t="str">
        <f aca="false">IF($O988="","",IF($O988="CY","CY",IF(ISNUMBER(MATCH($O988,Lists!$A:$A,0)),"EU","3RD")))</f>
        <v/>
      </c>
      <c r="Q988" s="24" t="str">
        <f aca="false">IF($F988="","N",IFERROR(IF(INDEX(Counterparties!$E:$E,MATCH($F988&amp;"",Counterparties!$A:$A,0))="Y","Y","N"),"N"))</f>
        <v>N</v>
      </c>
      <c r="R988" s="25" t="n">
        <f aca="false">IF(OR($H988="",$H988="EUR"),1,IFERROR(INDEX(FX_Rates!$D:$D,MATCH($H988,FX_Rates!$A:$A,0)),""))</f>
        <v>1</v>
      </c>
      <c r="S988" s="26" t="str">
        <f aca="false">IF(AND($I988="",$J988=""),"",IF($J988&lt;&gt;"",$J988,IF(OR($R988="",$R988=0),"",ROUND($I988/$R988,2))))</f>
        <v/>
      </c>
      <c r="T988" s="24" t="str">
        <f aca="false">IF($N988="","",IFERROR(INDEX(VAT_Codes!$C:$C,MATCH($N988,VAT_Codes!$A:$A,0)),"")&amp;"")</f>
        <v/>
      </c>
      <c r="U988" s="26" t="n">
        <f aca="false">IF(OR($S988="",$T988="",$T988="None"),0,IF($T988="Output",-$S988,$S988))</f>
        <v>0</v>
      </c>
      <c r="V988" s="27" t="n">
        <f aca="false">IF($N988="",0,IFERROR(INDEX(VAT_Codes!$D:$D,MATCH($N988,VAT_Codes!$A:$A,0)),0))</f>
        <v>0</v>
      </c>
      <c r="W988" s="26" t="n">
        <f aca="false">IF($U988=0,0,IF(IFERROR(INDEX(VAT_Codes!$F:$F,MATCH($N988,VAT_Codes!$A:$A,0)),"N")="Y",$U988,IF($L988&lt;&gt;"",ROUND(ABS($L988)/IF(OR($R988="",$R988=0),1,$R988),2)*SIGN($U988),ROUND($U988*$V988,2))))</f>
        <v>0</v>
      </c>
      <c r="X988" s="24" t="str">
        <f aca="false">IF($N988="","",IFERROR(INDEX(VAT_Codes!$H:$H,MATCH($N988,VAT_Codes!$A:$A,0)),"")&amp;"")</f>
        <v/>
      </c>
      <c r="Y988" s="24" t="str">
        <f aca="false">IF($A988="","",(YEAR($A988)-YEAR(Settings!$C$8))*12+MONTH($A988)-MONTH(Settings!$C$8)+1)</f>
        <v/>
      </c>
      <c r="Z988" s="24" t="str">
        <f aca="false">IF(AND($C988="",$I988="",$J988=""),"",IF($N988="","NO VAT CODE",IF($T988="","UNKNOWN VAT CODE",IF($S988="","MISSING FX RATE",IF(OR($A988&lt;Settings!$C$8,$A988&gt;Settings!$C$9),"OUTSIDE PERIOD",IF(AND(IFERROR(INDEX(VAT_Codes!$E:$E,MATCH($N988,VAT_Codes!$A:$A,0)),"ANY")&lt;&gt;"ANY",$P988=""),"MISSING COUNTERPARTY COUNTRY",IF(AND(IFERROR(INDEX(VAT_Codes!$E:$E,MATCH($N988,VAT_Codes!$A:$A,0)),"ANY")&lt;&gt;"ANY",$P988&lt;&gt;IFERROR(INDEX(VAT_Codes!$E:$E,MATCH($N988,VAT_Codes!$A:$A,0)),"ANY")),"REGION MISMATCH","OK")))))))</f>
        <v/>
      </c>
    </row>
    <row r="989" customFormat="false" ht="15" hidden="false" customHeight="false" outlineLevel="0" collapsed="false">
      <c r="M989" s="24" t="str">
        <f aca="false">IF($C989="","",IFERROR(INDEX(Account_Mapping!$C:$C,MATCH($C989&amp;"",Account_Mapping!$A:$A,0))&amp;"",""))</f>
        <v/>
      </c>
      <c r="N989" s="24" t="str">
        <f aca="false">IF($K989&lt;&gt;"",$K989,$M989)</f>
        <v/>
      </c>
      <c r="O989" s="24" t="str">
        <f aca="false">IF($F989="","",IFERROR(INDEX(Counterparties!$C:$C,MATCH($F989&amp;"",Counterparties!$A:$A,0))&amp;"",""))</f>
        <v/>
      </c>
      <c r="P989" s="24" t="str">
        <f aca="false">IF($O989="","",IF($O989="CY","CY",IF(ISNUMBER(MATCH($O989,Lists!$A:$A,0)),"EU","3RD")))</f>
        <v/>
      </c>
      <c r="Q989" s="24" t="str">
        <f aca="false">IF($F989="","N",IFERROR(IF(INDEX(Counterparties!$E:$E,MATCH($F989&amp;"",Counterparties!$A:$A,0))="Y","Y","N"),"N"))</f>
        <v>N</v>
      </c>
      <c r="R989" s="25" t="n">
        <f aca="false">IF(OR($H989="",$H989="EUR"),1,IFERROR(INDEX(FX_Rates!$D:$D,MATCH($H989,FX_Rates!$A:$A,0)),""))</f>
        <v>1</v>
      </c>
      <c r="S989" s="26" t="str">
        <f aca="false">IF(AND($I989="",$J989=""),"",IF($J989&lt;&gt;"",$J989,IF(OR($R989="",$R989=0),"",ROUND($I989/$R989,2))))</f>
        <v/>
      </c>
      <c r="T989" s="24" t="str">
        <f aca="false">IF($N989="","",IFERROR(INDEX(VAT_Codes!$C:$C,MATCH($N989,VAT_Codes!$A:$A,0)),"")&amp;"")</f>
        <v/>
      </c>
      <c r="U989" s="26" t="n">
        <f aca="false">IF(OR($S989="",$T989="",$T989="None"),0,IF($T989="Output",-$S989,$S989))</f>
        <v>0</v>
      </c>
      <c r="V989" s="27" t="n">
        <f aca="false">IF($N989="",0,IFERROR(INDEX(VAT_Codes!$D:$D,MATCH($N989,VAT_Codes!$A:$A,0)),0))</f>
        <v>0</v>
      </c>
      <c r="W989" s="26" t="n">
        <f aca="false">IF($U989=0,0,IF(IFERROR(INDEX(VAT_Codes!$F:$F,MATCH($N989,VAT_Codes!$A:$A,0)),"N")="Y",$U989,IF($L989&lt;&gt;"",ROUND(ABS($L989)/IF(OR($R989="",$R989=0),1,$R989),2)*SIGN($U989),ROUND($U989*$V989,2))))</f>
        <v>0</v>
      </c>
      <c r="X989" s="24" t="str">
        <f aca="false">IF($N989="","",IFERROR(INDEX(VAT_Codes!$H:$H,MATCH($N989,VAT_Codes!$A:$A,0)),"")&amp;"")</f>
        <v/>
      </c>
      <c r="Y989" s="24" t="str">
        <f aca="false">IF($A989="","",(YEAR($A989)-YEAR(Settings!$C$8))*12+MONTH($A989)-MONTH(Settings!$C$8)+1)</f>
        <v/>
      </c>
      <c r="Z989" s="24" t="str">
        <f aca="false">IF(AND($C989="",$I989="",$J989=""),"",IF($N989="","NO VAT CODE",IF($T989="","UNKNOWN VAT CODE",IF($S989="","MISSING FX RATE",IF(OR($A989&lt;Settings!$C$8,$A989&gt;Settings!$C$9),"OUTSIDE PERIOD",IF(AND(IFERROR(INDEX(VAT_Codes!$E:$E,MATCH($N989,VAT_Codes!$A:$A,0)),"ANY")&lt;&gt;"ANY",$P989=""),"MISSING COUNTERPARTY COUNTRY",IF(AND(IFERROR(INDEX(VAT_Codes!$E:$E,MATCH($N989,VAT_Codes!$A:$A,0)),"ANY")&lt;&gt;"ANY",$P989&lt;&gt;IFERROR(INDEX(VAT_Codes!$E:$E,MATCH($N989,VAT_Codes!$A:$A,0)),"ANY")),"REGION MISMATCH","OK")))))))</f>
        <v/>
      </c>
    </row>
    <row r="990" customFormat="false" ht="15" hidden="false" customHeight="false" outlineLevel="0" collapsed="false">
      <c r="M990" s="24" t="str">
        <f aca="false">IF($C990="","",IFERROR(INDEX(Account_Mapping!$C:$C,MATCH($C990&amp;"",Account_Mapping!$A:$A,0))&amp;"",""))</f>
        <v/>
      </c>
      <c r="N990" s="24" t="str">
        <f aca="false">IF($K990&lt;&gt;"",$K990,$M990)</f>
        <v/>
      </c>
      <c r="O990" s="24" t="str">
        <f aca="false">IF($F990="","",IFERROR(INDEX(Counterparties!$C:$C,MATCH($F990&amp;"",Counterparties!$A:$A,0))&amp;"",""))</f>
        <v/>
      </c>
      <c r="P990" s="24" t="str">
        <f aca="false">IF($O990="","",IF($O990="CY","CY",IF(ISNUMBER(MATCH($O990,Lists!$A:$A,0)),"EU","3RD")))</f>
        <v/>
      </c>
      <c r="Q990" s="24" t="str">
        <f aca="false">IF($F990="","N",IFERROR(IF(INDEX(Counterparties!$E:$E,MATCH($F990&amp;"",Counterparties!$A:$A,0))="Y","Y","N"),"N"))</f>
        <v>N</v>
      </c>
      <c r="R990" s="25" t="n">
        <f aca="false">IF(OR($H990="",$H990="EUR"),1,IFERROR(INDEX(FX_Rates!$D:$D,MATCH($H990,FX_Rates!$A:$A,0)),""))</f>
        <v>1</v>
      </c>
      <c r="S990" s="26" t="str">
        <f aca="false">IF(AND($I990="",$J990=""),"",IF($J990&lt;&gt;"",$J990,IF(OR($R990="",$R990=0),"",ROUND($I990/$R990,2))))</f>
        <v/>
      </c>
      <c r="T990" s="24" t="str">
        <f aca="false">IF($N990="","",IFERROR(INDEX(VAT_Codes!$C:$C,MATCH($N990,VAT_Codes!$A:$A,0)),"")&amp;"")</f>
        <v/>
      </c>
      <c r="U990" s="26" t="n">
        <f aca="false">IF(OR($S990="",$T990="",$T990="None"),0,IF($T990="Output",-$S990,$S990))</f>
        <v>0</v>
      </c>
      <c r="V990" s="27" t="n">
        <f aca="false">IF($N990="",0,IFERROR(INDEX(VAT_Codes!$D:$D,MATCH($N990,VAT_Codes!$A:$A,0)),0))</f>
        <v>0</v>
      </c>
      <c r="W990" s="26" t="n">
        <f aca="false">IF($U990=0,0,IF(IFERROR(INDEX(VAT_Codes!$F:$F,MATCH($N990,VAT_Codes!$A:$A,0)),"N")="Y",$U990,IF($L990&lt;&gt;"",ROUND(ABS($L990)/IF(OR($R990="",$R990=0),1,$R990),2)*SIGN($U990),ROUND($U990*$V990,2))))</f>
        <v>0</v>
      </c>
      <c r="X990" s="24" t="str">
        <f aca="false">IF($N990="","",IFERROR(INDEX(VAT_Codes!$H:$H,MATCH($N990,VAT_Codes!$A:$A,0)),"")&amp;"")</f>
        <v/>
      </c>
      <c r="Y990" s="24" t="str">
        <f aca="false">IF($A990="","",(YEAR($A990)-YEAR(Settings!$C$8))*12+MONTH($A990)-MONTH(Settings!$C$8)+1)</f>
        <v/>
      </c>
      <c r="Z990" s="24" t="str">
        <f aca="false">IF(AND($C990="",$I990="",$J990=""),"",IF($N990="","NO VAT CODE",IF($T990="","UNKNOWN VAT CODE",IF($S990="","MISSING FX RATE",IF(OR($A990&lt;Settings!$C$8,$A990&gt;Settings!$C$9),"OUTSIDE PERIOD",IF(AND(IFERROR(INDEX(VAT_Codes!$E:$E,MATCH($N990,VAT_Codes!$A:$A,0)),"ANY")&lt;&gt;"ANY",$P990=""),"MISSING COUNTERPARTY COUNTRY",IF(AND(IFERROR(INDEX(VAT_Codes!$E:$E,MATCH($N990,VAT_Codes!$A:$A,0)),"ANY")&lt;&gt;"ANY",$P990&lt;&gt;IFERROR(INDEX(VAT_Codes!$E:$E,MATCH($N990,VAT_Codes!$A:$A,0)),"ANY")),"REGION MISMATCH","OK")))))))</f>
        <v/>
      </c>
    </row>
    <row r="991" customFormat="false" ht="15" hidden="false" customHeight="false" outlineLevel="0" collapsed="false">
      <c r="M991" s="24" t="str">
        <f aca="false">IF($C991="","",IFERROR(INDEX(Account_Mapping!$C:$C,MATCH($C991&amp;"",Account_Mapping!$A:$A,0))&amp;"",""))</f>
        <v/>
      </c>
      <c r="N991" s="24" t="str">
        <f aca="false">IF($K991&lt;&gt;"",$K991,$M991)</f>
        <v/>
      </c>
      <c r="O991" s="24" t="str">
        <f aca="false">IF($F991="","",IFERROR(INDEX(Counterparties!$C:$C,MATCH($F991&amp;"",Counterparties!$A:$A,0))&amp;"",""))</f>
        <v/>
      </c>
      <c r="P991" s="24" t="str">
        <f aca="false">IF($O991="","",IF($O991="CY","CY",IF(ISNUMBER(MATCH($O991,Lists!$A:$A,0)),"EU","3RD")))</f>
        <v/>
      </c>
      <c r="Q991" s="24" t="str">
        <f aca="false">IF($F991="","N",IFERROR(IF(INDEX(Counterparties!$E:$E,MATCH($F991&amp;"",Counterparties!$A:$A,0))="Y","Y","N"),"N"))</f>
        <v>N</v>
      </c>
      <c r="R991" s="25" t="n">
        <f aca="false">IF(OR($H991="",$H991="EUR"),1,IFERROR(INDEX(FX_Rates!$D:$D,MATCH($H991,FX_Rates!$A:$A,0)),""))</f>
        <v>1</v>
      </c>
      <c r="S991" s="26" t="str">
        <f aca="false">IF(AND($I991="",$J991=""),"",IF($J991&lt;&gt;"",$J991,IF(OR($R991="",$R991=0),"",ROUND($I991/$R991,2))))</f>
        <v/>
      </c>
      <c r="T991" s="24" t="str">
        <f aca="false">IF($N991="","",IFERROR(INDEX(VAT_Codes!$C:$C,MATCH($N991,VAT_Codes!$A:$A,0)),"")&amp;"")</f>
        <v/>
      </c>
      <c r="U991" s="26" t="n">
        <f aca="false">IF(OR($S991="",$T991="",$T991="None"),0,IF($T991="Output",-$S991,$S991))</f>
        <v>0</v>
      </c>
      <c r="V991" s="27" t="n">
        <f aca="false">IF($N991="",0,IFERROR(INDEX(VAT_Codes!$D:$D,MATCH($N991,VAT_Codes!$A:$A,0)),0))</f>
        <v>0</v>
      </c>
      <c r="W991" s="26" t="n">
        <f aca="false">IF($U991=0,0,IF(IFERROR(INDEX(VAT_Codes!$F:$F,MATCH($N991,VAT_Codes!$A:$A,0)),"N")="Y",$U991,IF($L991&lt;&gt;"",ROUND(ABS($L991)/IF(OR($R991="",$R991=0),1,$R991),2)*SIGN($U991),ROUND($U991*$V991,2))))</f>
        <v>0</v>
      </c>
      <c r="X991" s="24" t="str">
        <f aca="false">IF($N991="","",IFERROR(INDEX(VAT_Codes!$H:$H,MATCH($N991,VAT_Codes!$A:$A,0)),"")&amp;"")</f>
        <v/>
      </c>
      <c r="Y991" s="24" t="str">
        <f aca="false">IF($A991="","",(YEAR($A991)-YEAR(Settings!$C$8))*12+MONTH($A991)-MONTH(Settings!$C$8)+1)</f>
        <v/>
      </c>
      <c r="Z991" s="24" t="str">
        <f aca="false">IF(AND($C991="",$I991="",$J991=""),"",IF($N991="","NO VAT CODE",IF($T991="","UNKNOWN VAT CODE",IF($S991="","MISSING FX RATE",IF(OR($A991&lt;Settings!$C$8,$A991&gt;Settings!$C$9),"OUTSIDE PERIOD",IF(AND(IFERROR(INDEX(VAT_Codes!$E:$E,MATCH($N991,VAT_Codes!$A:$A,0)),"ANY")&lt;&gt;"ANY",$P991=""),"MISSING COUNTERPARTY COUNTRY",IF(AND(IFERROR(INDEX(VAT_Codes!$E:$E,MATCH($N991,VAT_Codes!$A:$A,0)),"ANY")&lt;&gt;"ANY",$P991&lt;&gt;IFERROR(INDEX(VAT_Codes!$E:$E,MATCH($N991,VAT_Codes!$A:$A,0)),"ANY")),"REGION MISMATCH","OK")))))))</f>
        <v/>
      </c>
    </row>
    <row r="992" customFormat="false" ht="15" hidden="false" customHeight="false" outlineLevel="0" collapsed="false">
      <c r="M992" s="24" t="str">
        <f aca="false">IF($C992="","",IFERROR(INDEX(Account_Mapping!$C:$C,MATCH($C992&amp;"",Account_Mapping!$A:$A,0))&amp;"",""))</f>
        <v/>
      </c>
      <c r="N992" s="24" t="str">
        <f aca="false">IF($K992&lt;&gt;"",$K992,$M992)</f>
        <v/>
      </c>
      <c r="O992" s="24" t="str">
        <f aca="false">IF($F992="","",IFERROR(INDEX(Counterparties!$C:$C,MATCH($F992&amp;"",Counterparties!$A:$A,0))&amp;"",""))</f>
        <v/>
      </c>
      <c r="P992" s="24" t="str">
        <f aca="false">IF($O992="","",IF($O992="CY","CY",IF(ISNUMBER(MATCH($O992,Lists!$A:$A,0)),"EU","3RD")))</f>
        <v/>
      </c>
      <c r="Q992" s="24" t="str">
        <f aca="false">IF($F992="","N",IFERROR(IF(INDEX(Counterparties!$E:$E,MATCH($F992&amp;"",Counterparties!$A:$A,0))="Y","Y","N"),"N"))</f>
        <v>N</v>
      </c>
      <c r="R992" s="25" t="n">
        <f aca="false">IF(OR($H992="",$H992="EUR"),1,IFERROR(INDEX(FX_Rates!$D:$D,MATCH($H992,FX_Rates!$A:$A,0)),""))</f>
        <v>1</v>
      </c>
      <c r="S992" s="26" t="str">
        <f aca="false">IF(AND($I992="",$J992=""),"",IF($J992&lt;&gt;"",$J992,IF(OR($R992="",$R992=0),"",ROUND($I992/$R992,2))))</f>
        <v/>
      </c>
      <c r="T992" s="24" t="str">
        <f aca="false">IF($N992="","",IFERROR(INDEX(VAT_Codes!$C:$C,MATCH($N992,VAT_Codes!$A:$A,0)),"")&amp;"")</f>
        <v/>
      </c>
      <c r="U992" s="26" t="n">
        <f aca="false">IF(OR($S992="",$T992="",$T992="None"),0,IF($T992="Output",-$S992,$S992))</f>
        <v>0</v>
      </c>
      <c r="V992" s="27" t="n">
        <f aca="false">IF($N992="",0,IFERROR(INDEX(VAT_Codes!$D:$D,MATCH($N992,VAT_Codes!$A:$A,0)),0))</f>
        <v>0</v>
      </c>
      <c r="W992" s="26" t="n">
        <f aca="false">IF($U992=0,0,IF(IFERROR(INDEX(VAT_Codes!$F:$F,MATCH($N992,VAT_Codes!$A:$A,0)),"N")="Y",$U992,IF($L992&lt;&gt;"",ROUND(ABS($L992)/IF(OR($R992="",$R992=0),1,$R992),2)*SIGN($U992),ROUND($U992*$V992,2))))</f>
        <v>0</v>
      </c>
      <c r="X992" s="24" t="str">
        <f aca="false">IF($N992="","",IFERROR(INDEX(VAT_Codes!$H:$H,MATCH($N992,VAT_Codes!$A:$A,0)),"")&amp;"")</f>
        <v/>
      </c>
      <c r="Y992" s="24" t="str">
        <f aca="false">IF($A992="","",(YEAR($A992)-YEAR(Settings!$C$8))*12+MONTH($A992)-MONTH(Settings!$C$8)+1)</f>
        <v/>
      </c>
      <c r="Z992" s="24" t="str">
        <f aca="false">IF(AND($C992="",$I992="",$J992=""),"",IF($N992="","NO VAT CODE",IF($T992="","UNKNOWN VAT CODE",IF($S992="","MISSING FX RATE",IF(OR($A992&lt;Settings!$C$8,$A992&gt;Settings!$C$9),"OUTSIDE PERIOD",IF(AND(IFERROR(INDEX(VAT_Codes!$E:$E,MATCH($N992,VAT_Codes!$A:$A,0)),"ANY")&lt;&gt;"ANY",$P992=""),"MISSING COUNTERPARTY COUNTRY",IF(AND(IFERROR(INDEX(VAT_Codes!$E:$E,MATCH($N992,VAT_Codes!$A:$A,0)),"ANY")&lt;&gt;"ANY",$P992&lt;&gt;IFERROR(INDEX(VAT_Codes!$E:$E,MATCH($N992,VAT_Codes!$A:$A,0)),"ANY")),"REGION MISMATCH","OK")))))))</f>
        <v/>
      </c>
    </row>
    <row r="993" customFormat="false" ht="15" hidden="false" customHeight="false" outlineLevel="0" collapsed="false">
      <c r="M993" s="24" t="str">
        <f aca="false">IF($C993="","",IFERROR(INDEX(Account_Mapping!$C:$C,MATCH($C993&amp;"",Account_Mapping!$A:$A,0))&amp;"",""))</f>
        <v/>
      </c>
      <c r="N993" s="24" t="str">
        <f aca="false">IF($K993&lt;&gt;"",$K993,$M993)</f>
        <v/>
      </c>
      <c r="O993" s="24" t="str">
        <f aca="false">IF($F993="","",IFERROR(INDEX(Counterparties!$C:$C,MATCH($F993&amp;"",Counterparties!$A:$A,0))&amp;"",""))</f>
        <v/>
      </c>
      <c r="P993" s="24" t="str">
        <f aca="false">IF($O993="","",IF($O993="CY","CY",IF(ISNUMBER(MATCH($O993,Lists!$A:$A,0)),"EU","3RD")))</f>
        <v/>
      </c>
      <c r="Q993" s="24" t="str">
        <f aca="false">IF($F993="","N",IFERROR(IF(INDEX(Counterparties!$E:$E,MATCH($F993&amp;"",Counterparties!$A:$A,0))="Y","Y","N"),"N"))</f>
        <v>N</v>
      </c>
      <c r="R993" s="25" t="n">
        <f aca="false">IF(OR($H993="",$H993="EUR"),1,IFERROR(INDEX(FX_Rates!$D:$D,MATCH($H993,FX_Rates!$A:$A,0)),""))</f>
        <v>1</v>
      </c>
      <c r="S993" s="26" t="str">
        <f aca="false">IF(AND($I993="",$J993=""),"",IF($J993&lt;&gt;"",$J993,IF(OR($R993="",$R993=0),"",ROUND($I993/$R993,2))))</f>
        <v/>
      </c>
      <c r="T993" s="24" t="str">
        <f aca="false">IF($N993="","",IFERROR(INDEX(VAT_Codes!$C:$C,MATCH($N993,VAT_Codes!$A:$A,0)),"")&amp;"")</f>
        <v/>
      </c>
      <c r="U993" s="26" t="n">
        <f aca="false">IF(OR($S993="",$T993="",$T993="None"),0,IF($T993="Output",-$S993,$S993))</f>
        <v>0</v>
      </c>
      <c r="V993" s="27" t="n">
        <f aca="false">IF($N993="",0,IFERROR(INDEX(VAT_Codes!$D:$D,MATCH($N993,VAT_Codes!$A:$A,0)),0))</f>
        <v>0</v>
      </c>
      <c r="W993" s="26" t="n">
        <f aca="false">IF($U993=0,0,IF(IFERROR(INDEX(VAT_Codes!$F:$F,MATCH($N993,VAT_Codes!$A:$A,0)),"N")="Y",$U993,IF($L993&lt;&gt;"",ROUND(ABS($L993)/IF(OR($R993="",$R993=0),1,$R993),2)*SIGN($U993),ROUND($U993*$V993,2))))</f>
        <v>0</v>
      </c>
      <c r="X993" s="24" t="str">
        <f aca="false">IF($N993="","",IFERROR(INDEX(VAT_Codes!$H:$H,MATCH($N993,VAT_Codes!$A:$A,0)),"")&amp;"")</f>
        <v/>
      </c>
      <c r="Y993" s="24" t="str">
        <f aca="false">IF($A993="","",(YEAR($A993)-YEAR(Settings!$C$8))*12+MONTH($A993)-MONTH(Settings!$C$8)+1)</f>
        <v/>
      </c>
      <c r="Z993" s="24" t="str">
        <f aca="false">IF(AND($C993="",$I993="",$J993=""),"",IF($N993="","NO VAT CODE",IF($T993="","UNKNOWN VAT CODE",IF($S993="","MISSING FX RATE",IF(OR($A993&lt;Settings!$C$8,$A993&gt;Settings!$C$9),"OUTSIDE PERIOD",IF(AND(IFERROR(INDEX(VAT_Codes!$E:$E,MATCH($N993,VAT_Codes!$A:$A,0)),"ANY")&lt;&gt;"ANY",$P993=""),"MISSING COUNTERPARTY COUNTRY",IF(AND(IFERROR(INDEX(VAT_Codes!$E:$E,MATCH($N993,VAT_Codes!$A:$A,0)),"ANY")&lt;&gt;"ANY",$P993&lt;&gt;IFERROR(INDEX(VAT_Codes!$E:$E,MATCH($N993,VAT_Codes!$A:$A,0)),"ANY")),"REGION MISMATCH","OK")))))))</f>
        <v/>
      </c>
    </row>
    <row r="994" customFormat="false" ht="15" hidden="false" customHeight="false" outlineLevel="0" collapsed="false">
      <c r="M994" s="24" t="str">
        <f aca="false">IF($C994="","",IFERROR(INDEX(Account_Mapping!$C:$C,MATCH($C994&amp;"",Account_Mapping!$A:$A,0))&amp;"",""))</f>
        <v/>
      </c>
      <c r="N994" s="24" t="str">
        <f aca="false">IF($K994&lt;&gt;"",$K994,$M994)</f>
        <v/>
      </c>
      <c r="O994" s="24" t="str">
        <f aca="false">IF($F994="","",IFERROR(INDEX(Counterparties!$C:$C,MATCH($F994&amp;"",Counterparties!$A:$A,0))&amp;"",""))</f>
        <v/>
      </c>
      <c r="P994" s="24" t="str">
        <f aca="false">IF($O994="","",IF($O994="CY","CY",IF(ISNUMBER(MATCH($O994,Lists!$A:$A,0)),"EU","3RD")))</f>
        <v/>
      </c>
      <c r="Q994" s="24" t="str">
        <f aca="false">IF($F994="","N",IFERROR(IF(INDEX(Counterparties!$E:$E,MATCH($F994&amp;"",Counterparties!$A:$A,0))="Y","Y","N"),"N"))</f>
        <v>N</v>
      </c>
      <c r="R994" s="25" t="n">
        <f aca="false">IF(OR($H994="",$H994="EUR"),1,IFERROR(INDEX(FX_Rates!$D:$D,MATCH($H994,FX_Rates!$A:$A,0)),""))</f>
        <v>1</v>
      </c>
      <c r="S994" s="26" t="str">
        <f aca="false">IF(AND($I994="",$J994=""),"",IF($J994&lt;&gt;"",$J994,IF(OR($R994="",$R994=0),"",ROUND($I994/$R994,2))))</f>
        <v/>
      </c>
      <c r="T994" s="24" t="str">
        <f aca="false">IF($N994="","",IFERROR(INDEX(VAT_Codes!$C:$C,MATCH($N994,VAT_Codes!$A:$A,0)),"")&amp;"")</f>
        <v/>
      </c>
      <c r="U994" s="26" t="n">
        <f aca="false">IF(OR($S994="",$T994="",$T994="None"),0,IF($T994="Output",-$S994,$S994))</f>
        <v>0</v>
      </c>
      <c r="V994" s="27" t="n">
        <f aca="false">IF($N994="",0,IFERROR(INDEX(VAT_Codes!$D:$D,MATCH($N994,VAT_Codes!$A:$A,0)),0))</f>
        <v>0</v>
      </c>
      <c r="W994" s="26" t="n">
        <f aca="false">IF($U994=0,0,IF(IFERROR(INDEX(VAT_Codes!$F:$F,MATCH($N994,VAT_Codes!$A:$A,0)),"N")="Y",$U994,IF($L994&lt;&gt;"",ROUND(ABS($L994)/IF(OR($R994="",$R994=0),1,$R994),2)*SIGN($U994),ROUND($U994*$V994,2))))</f>
        <v>0</v>
      </c>
      <c r="X994" s="24" t="str">
        <f aca="false">IF($N994="","",IFERROR(INDEX(VAT_Codes!$H:$H,MATCH($N994,VAT_Codes!$A:$A,0)),"")&amp;"")</f>
        <v/>
      </c>
      <c r="Y994" s="24" t="str">
        <f aca="false">IF($A994="","",(YEAR($A994)-YEAR(Settings!$C$8))*12+MONTH($A994)-MONTH(Settings!$C$8)+1)</f>
        <v/>
      </c>
      <c r="Z994" s="24" t="str">
        <f aca="false">IF(AND($C994="",$I994="",$J994=""),"",IF($N994="","NO VAT CODE",IF($T994="","UNKNOWN VAT CODE",IF($S994="","MISSING FX RATE",IF(OR($A994&lt;Settings!$C$8,$A994&gt;Settings!$C$9),"OUTSIDE PERIOD",IF(AND(IFERROR(INDEX(VAT_Codes!$E:$E,MATCH($N994,VAT_Codes!$A:$A,0)),"ANY")&lt;&gt;"ANY",$P994=""),"MISSING COUNTERPARTY COUNTRY",IF(AND(IFERROR(INDEX(VAT_Codes!$E:$E,MATCH($N994,VAT_Codes!$A:$A,0)),"ANY")&lt;&gt;"ANY",$P994&lt;&gt;IFERROR(INDEX(VAT_Codes!$E:$E,MATCH($N994,VAT_Codes!$A:$A,0)),"ANY")),"REGION MISMATCH","OK")))))))</f>
        <v/>
      </c>
    </row>
    <row r="995" customFormat="false" ht="15" hidden="false" customHeight="false" outlineLevel="0" collapsed="false">
      <c r="M995" s="24" t="str">
        <f aca="false">IF($C995="","",IFERROR(INDEX(Account_Mapping!$C:$C,MATCH($C995&amp;"",Account_Mapping!$A:$A,0))&amp;"",""))</f>
        <v/>
      </c>
      <c r="N995" s="24" t="str">
        <f aca="false">IF($K995&lt;&gt;"",$K995,$M995)</f>
        <v/>
      </c>
      <c r="O995" s="24" t="str">
        <f aca="false">IF($F995="","",IFERROR(INDEX(Counterparties!$C:$C,MATCH($F995&amp;"",Counterparties!$A:$A,0))&amp;"",""))</f>
        <v/>
      </c>
      <c r="P995" s="24" t="str">
        <f aca="false">IF($O995="","",IF($O995="CY","CY",IF(ISNUMBER(MATCH($O995,Lists!$A:$A,0)),"EU","3RD")))</f>
        <v/>
      </c>
      <c r="Q995" s="24" t="str">
        <f aca="false">IF($F995="","N",IFERROR(IF(INDEX(Counterparties!$E:$E,MATCH($F995&amp;"",Counterparties!$A:$A,0))="Y","Y","N"),"N"))</f>
        <v>N</v>
      </c>
      <c r="R995" s="25" t="n">
        <f aca="false">IF(OR($H995="",$H995="EUR"),1,IFERROR(INDEX(FX_Rates!$D:$D,MATCH($H995,FX_Rates!$A:$A,0)),""))</f>
        <v>1</v>
      </c>
      <c r="S995" s="26" t="str">
        <f aca="false">IF(AND($I995="",$J995=""),"",IF($J995&lt;&gt;"",$J995,IF(OR($R995="",$R995=0),"",ROUND($I995/$R995,2))))</f>
        <v/>
      </c>
      <c r="T995" s="24" t="str">
        <f aca="false">IF($N995="","",IFERROR(INDEX(VAT_Codes!$C:$C,MATCH($N995,VAT_Codes!$A:$A,0)),"")&amp;"")</f>
        <v/>
      </c>
      <c r="U995" s="26" t="n">
        <f aca="false">IF(OR($S995="",$T995="",$T995="None"),0,IF($T995="Output",-$S995,$S995))</f>
        <v>0</v>
      </c>
      <c r="V995" s="27" t="n">
        <f aca="false">IF($N995="",0,IFERROR(INDEX(VAT_Codes!$D:$D,MATCH($N995,VAT_Codes!$A:$A,0)),0))</f>
        <v>0</v>
      </c>
      <c r="W995" s="26" t="n">
        <f aca="false">IF($U995=0,0,IF(IFERROR(INDEX(VAT_Codes!$F:$F,MATCH($N995,VAT_Codes!$A:$A,0)),"N")="Y",$U995,IF($L995&lt;&gt;"",ROUND(ABS($L995)/IF(OR($R995="",$R995=0),1,$R995),2)*SIGN($U995),ROUND($U995*$V995,2))))</f>
        <v>0</v>
      </c>
      <c r="X995" s="24" t="str">
        <f aca="false">IF($N995="","",IFERROR(INDEX(VAT_Codes!$H:$H,MATCH($N995,VAT_Codes!$A:$A,0)),"")&amp;"")</f>
        <v/>
      </c>
      <c r="Y995" s="24" t="str">
        <f aca="false">IF($A995="","",(YEAR($A995)-YEAR(Settings!$C$8))*12+MONTH($A995)-MONTH(Settings!$C$8)+1)</f>
        <v/>
      </c>
      <c r="Z995" s="24" t="str">
        <f aca="false">IF(AND($C995="",$I995="",$J995=""),"",IF($N995="","NO VAT CODE",IF($T995="","UNKNOWN VAT CODE",IF($S995="","MISSING FX RATE",IF(OR($A995&lt;Settings!$C$8,$A995&gt;Settings!$C$9),"OUTSIDE PERIOD",IF(AND(IFERROR(INDEX(VAT_Codes!$E:$E,MATCH($N995,VAT_Codes!$A:$A,0)),"ANY")&lt;&gt;"ANY",$P995=""),"MISSING COUNTERPARTY COUNTRY",IF(AND(IFERROR(INDEX(VAT_Codes!$E:$E,MATCH($N995,VAT_Codes!$A:$A,0)),"ANY")&lt;&gt;"ANY",$P995&lt;&gt;IFERROR(INDEX(VAT_Codes!$E:$E,MATCH($N995,VAT_Codes!$A:$A,0)),"ANY")),"REGION MISMATCH","OK")))))))</f>
        <v/>
      </c>
    </row>
    <row r="996" customFormat="false" ht="15" hidden="false" customHeight="false" outlineLevel="0" collapsed="false">
      <c r="M996" s="24" t="str">
        <f aca="false">IF($C996="","",IFERROR(INDEX(Account_Mapping!$C:$C,MATCH($C996&amp;"",Account_Mapping!$A:$A,0))&amp;"",""))</f>
        <v/>
      </c>
      <c r="N996" s="24" t="str">
        <f aca="false">IF($K996&lt;&gt;"",$K996,$M996)</f>
        <v/>
      </c>
      <c r="O996" s="24" t="str">
        <f aca="false">IF($F996="","",IFERROR(INDEX(Counterparties!$C:$C,MATCH($F996&amp;"",Counterparties!$A:$A,0))&amp;"",""))</f>
        <v/>
      </c>
      <c r="P996" s="24" t="str">
        <f aca="false">IF($O996="","",IF($O996="CY","CY",IF(ISNUMBER(MATCH($O996,Lists!$A:$A,0)),"EU","3RD")))</f>
        <v/>
      </c>
      <c r="Q996" s="24" t="str">
        <f aca="false">IF($F996="","N",IFERROR(IF(INDEX(Counterparties!$E:$E,MATCH($F996&amp;"",Counterparties!$A:$A,0))="Y","Y","N"),"N"))</f>
        <v>N</v>
      </c>
      <c r="R996" s="25" t="n">
        <f aca="false">IF(OR($H996="",$H996="EUR"),1,IFERROR(INDEX(FX_Rates!$D:$D,MATCH($H996,FX_Rates!$A:$A,0)),""))</f>
        <v>1</v>
      </c>
      <c r="S996" s="26" t="str">
        <f aca="false">IF(AND($I996="",$J996=""),"",IF($J996&lt;&gt;"",$J996,IF(OR($R996="",$R996=0),"",ROUND($I996/$R996,2))))</f>
        <v/>
      </c>
      <c r="T996" s="24" t="str">
        <f aca="false">IF($N996="","",IFERROR(INDEX(VAT_Codes!$C:$C,MATCH($N996,VAT_Codes!$A:$A,0)),"")&amp;"")</f>
        <v/>
      </c>
      <c r="U996" s="26" t="n">
        <f aca="false">IF(OR($S996="",$T996="",$T996="None"),0,IF($T996="Output",-$S996,$S996))</f>
        <v>0</v>
      </c>
      <c r="V996" s="27" t="n">
        <f aca="false">IF($N996="",0,IFERROR(INDEX(VAT_Codes!$D:$D,MATCH($N996,VAT_Codes!$A:$A,0)),0))</f>
        <v>0</v>
      </c>
      <c r="W996" s="26" t="n">
        <f aca="false">IF($U996=0,0,IF(IFERROR(INDEX(VAT_Codes!$F:$F,MATCH($N996,VAT_Codes!$A:$A,0)),"N")="Y",$U996,IF($L996&lt;&gt;"",ROUND(ABS($L996)/IF(OR($R996="",$R996=0),1,$R996),2)*SIGN($U996),ROUND($U996*$V996,2))))</f>
        <v>0</v>
      </c>
      <c r="X996" s="24" t="str">
        <f aca="false">IF($N996="","",IFERROR(INDEX(VAT_Codes!$H:$H,MATCH($N996,VAT_Codes!$A:$A,0)),"")&amp;"")</f>
        <v/>
      </c>
      <c r="Y996" s="24" t="str">
        <f aca="false">IF($A996="","",(YEAR($A996)-YEAR(Settings!$C$8))*12+MONTH($A996)-MONTH(Settings!$C$8)+1)</f>
        <v/>
      </c>
      <c r="Z996" s="24" t="str">
        <f aca="false">IF(AND($C996="",$I996="",$J996=""),"",IF($N996="","NO VAT CODE",IF($T996="","UNKNOWN VAT CODE",IF($S996="","MISSING FX RATE",IF(OR($A996&lt;Settings!$C$8,$A996&gt;Settings!$C$9),"OUTSIDE PERIOD",IF(AND(IFERROR(INDEX(VAT_Codes!$E:$E,MATCH($N996,VAT_Codes!$A:$A,0)),"ANY")&lt;&gt;"ANY",$P996=""),"MISSING COUNTERPARTY COUNTRY",IF(AND(IFERROR(INDEX(VAT_Codes!$E:$E,MATCH($N996,VAT_Codes!$A:$A,0)),"ANY")&lt;&gt;"ANY",$P996&lt;&gt;IFERROR(INDEX(VAT_Codes!$E:$E,MATCH($N996,VAT_Codes!$A:$A,0)),"ANY")),"REGION MISMATCH","OK")))))))</f>
        <v/>
      </c>
    </row>
    <row r="997" customFormat="false" ht="15" hidden="false" customHeight="false" outlineLevel="0" collapsed="false">
      <c r="M997" s="24" t="str">
        <f aca="false">IF($C997="","",IFERROR(INDEX(Account_Mapping!$C:$C,MATCH($C997&amp;"",Account_Mapping!$A:$A,0))&amp;"",""))</f>
        <v/>
      </c>
      <c r="N997" s="24" t="str">
        <f aca="false">IF($K997&lt;&gt;"",$K997,$M997)</f>
        <v/>
      </c>
      <c r="O997" s="24" t="str">
        <f aca="false">IF($F997="","",IFERROR(INDEX(Counterparties!$C:$C,MATCH($F997&amp;"",Counterparties!$A:$A,0))&amp;"",""))</f>
        <v/>
      </c>
      <c r="P997" s="24" t="str">
        <f aca="false">IF($O997="","",IF($O997="CY","CY",IF(ISNUMBER(MATCH($O997,Lists!$A:$A,0)),"EU","3RD")))</f>
        <v/>
      </c>
      <c r="Q997" s="24" t="str">
        <f aca="false">IF($F997="","N",IFERROR(IF(INDEX(Counterparties!$E:$E,MATCH($F997&amp;"",Counterparties!$A:$A,0))="Y","Y","N"),"N"))</f>
        <v>N</v>
      </c>
      <c r="R997" s="25" t="n">
        <f aca="false">IF(OR($H997="",$H997="EUR"),1,IFERROR(INDEX(FX_Rates!$D:$D,MATCH($H997,FX_Rates!$A:$A,0)),""))</f>
        <v>1</v>
      </c>
      <c r="S997" s="26" t="str">
        <f aca="false">IF(AND($I997="",$J997=""),"",IF($J997&lt;&gt;"",$J997,IF(OR($R997="",$R997=0),"",ROUND($I997/$R997,2))))</f>
        <v/>
      </c>
      <c r="T997" s="24" t="str">
        <f aca="false">IF($N997="","",IFERROR(INDEX(VAT_Codes!$C:$C,MATCH($N997,VAT_Codes!$A:$A,0)),"")&amp;"")</f>
        <v/>
      </c>
      <c r="U997" s="26" t="n">
        <f aca="false">IF(OR($S997="",$T997="",$T997="None"),0,IF($T997="Output",-$S997,$S997))</f>
        <v>0</v>
      </c>
      <c r="V997" s="27" t="n">
        <f aca="false">IF($N997="",0,IFERROR(INDEX(VAT_Codes!$D:$D,MATCH($N997,VAT_Codes!$A:$A,0)),0))</f>
        <v>0</v>
      </c>
      <c r="W997" s="26" t="n">
        <f aca="false">IF($U997=0,0,IF(IFERROR(INDEX(VAT_Codes!$F:$F,MATCH($N997,VAT_Codes!$A:$A,0)),"N")="Y",$U997,IF($L997&lt;&gt;"",ROUND(ABS($L997)/IF(OR($R997="",$R997=0),1,$R997),2)*SIGN($U997),ROUND($U997*$V997,2))))</f>
        <v>0</v>
      </c>
      <c r="X997" s="24" t="str">
        <f aca="false">IF($N997="","",IFERROR(INDEX(VAT_Codes!$H:$H,MATCH($N997,VAT_Codes!$A:$A,0)),"")&amp;"")</f>
        <v/>
      </c>
      <c r="Y997" s="24" t="str">
        <f aca="false">IF($A997="","",(YEAR($A997)-YEAR(Settings!$C$8))*12+MONTH($A997)-MONTH(Settings!$C$8)+1)</f>
        <v/>
      </c>
      <c r="Z997" s="24" t="str">
        <f aca="false">IF(AND($C997="",$I997="",$J997=""),"",IF($N997="","NO VAT CODE",IF($T997="","UNKNOWN VAT CODE",IF($S997="","MISSING FX RATE",IF(OR($A997&lt;Settings!$C$8,$A997&gt;Settings!$C$9),"OUTSIDE PERIOD",IF(AND(IFERROR(INDEX(VAT_Codes!$E:$E,MATCH($N997,VAT_Codes!$A:$A,0)),"ANY")&lt;&gt;"ANY",$P997=""),"MISSING COUNTERPARTY COUNTRY",IF(AND(IFERROR(INDEX(VAT_Codes!$E:$E,MATCH($N997,VAT_Codes!$A:$A,0)),"ANY")&lt;&gt;"ANY",$P997&lt;&gt;IFERROR(INDEX(VAT_Codes!$E:$E,MATCH($N997,VAT_Codes!$A:$A,0)),"ANY")),"REGION MISMATCH","OK")))))))</f>
        <v/>
      </c>
    </row>
    <row r="998" customFormat="false" ht="15" hidden="false" customHeight="false" outlineLevel="0" collapsed="false">
      <c r="M998" s="24" t="str">
        <f aca="false">IF($C998="","",IFERROR(INDEX(Account_Mapping!$C:$C,MATCH($C998&amp;"",Account_Mapping!$A:$A,0))&amp;"",""))</f>
        <v/>
      </c>
      <c r="N998" s="24" t="str">
        <f aca="false">IF($K998&lt;&gt;"",$K998,$M998)</f>
        <v/>
      </c>
      <c r="O998" s="24" t="str">
        <f aca="false">IF($F998="","",IFERROR(INDEX(Counterparties!$C:$C,MATCH($F998&amp;"",Counterparties!$A:$A,0))&amp;"",""))</f>
        <v/>
      </c>
      <c r="P998" s="24" t="str">
        <f aca="false">IF($O998="","",IF($O998="CY","CY",IF(ISNUMBER(MATCH($O998,Lists!$A:$A,0)),"EU","3RD")))</f>
        <v/>
      </c>
      <c r="Q998" s="24" t="str">
        <f aca="false">IF($F998="","N",IFERROR(IF(INDEX(Counterparties!$E:$E,MATCH($F998&amp;"",Counterparties!$A:$A,0))="Y","Y","N"),"N"))</f>
        <v>N</v>
      </c>
      <c r="R998" s="25" t="n">
        <f aca="false">IF(OR($H998="",$H998="EUR"),1,IFERROR(INDEX(FX_Rates!$D:$D,MATCH($H998,FX_Rates!$A:$A,0)),""))</f>
        <v>1</v>
      </c>
      <c r="S998" s="26" t="str">
        <f aca="false">IF(AND($I998="",$J998=""),"",IF($J998&lt;&gt;"",$J998,IF(OR($R998="",$R998=0),"",ROUND($I998/$R998,2))))</f>
        <v/>
      </c>
      <c r="T998" s="24" t="str">
        <f aca="false">IF($N998="","",IFERROR(INDEX(VAT_Codes!$C:$C,MATCH($N998,VAT_Codes!$A:$A,0)),"")&amp;"")</f>
        <v/>
      </c>
      <c r="U998" s="26" t="n">
        <f aca="false">IF(OR($S998="",$T998="",$T998="None"),0,IF($T998="Output",-$S998,$S998))</f>
        <v>0</v>
      </c>
      <c r="V998" s="27" t="n">
        <f aca="false">IF($N998="",0,IFERROR(INDEX(VAT_Codes!$D:$D,MATCH($N998,VAT_Codes!$A:$A,0)),0))</f>
        <v>0</v>
      </c>
      <c r="W998" s="26" t="n">
        <f aca="false">IF($U998=0,0,IF(IFERROR(INDEX(VAT_Codes!$F:$F,MATCH($N998,VAT_Codes!$A:$A,0)),"N")="Y",$U998,IF($L998&lt;&gt;"",ROUND(ABS($L998)/IF(OR($R998="",$R998=0),1,$R998),2)*SIGN($U998),ROUND($U998*$V998,2))))</f>
        <v>0</v>
      </c>
      <c r="X998" s="24" t="str">
        <f aca="false">IF($N998="","",IFERROR(INDEX(VAT_Codes!$H:$H,MATCH($N998,VAT_Codes!$A:$A,0)),"")&amp;"")</f>
        <v/>
      </c>
      <c r="Y998" s="24" t="str">
        <f aca="false">IF($A998="","",(YEAR($A998)-YEAR(Settings!$C$8))*12+MONTH($A998)-MONTH(Settings!$C$8)+1)</f>
        <v/>
      </c>
      <c r="Z998" s="24" t="str">
        <f aca="false">IF(AND($C998="",$I998="",$J998=""),"",IF($N998="","NO VAT CODE",IF($T998="","UNKNOWN VAT CODE",IF($S998="","MISSING FX RATE",IF(OR($A998&lt;Settings!$C$8,$A998&gt;Settings!$C$9),"OUTSIDE PERIOD",IF(AND(IFERROR(INDEX(VAT_Codes!$E:$E,MATCH($N998,VAT_Codes!$A:$A,0)),"ANY")&lt;&gt;"ANY",$P998=""),"MISSING COUNTERPARTY COUNTRY",IF(AND(IFERROR(INDEX(VAT_Codes!$E:$E,MATCH($N998,VAT_Codes!$A:$A,0)),"ANY")&lt;&gt;"ANY",$P998&lt;&gt;IFERROR(INDEX(VAT_Codes!$E:$E,MATCH($N998,VAT_Codes!$A:$A,0)),"ANY")),"REGION MISMATCH","OK")))))))</f>
        <v/>
      </c>
    </row>
    <row r="999" customFormat="false" ht="15" hidden="false" customHeight="false" outlineLevel="0" collapsed="false">
      <c r="M999" s="24" t="str">
        <f aca="false">IF($C999="","",IFERROR(INDEX(Account_Mapping!$C:$C,MATCH($C999&amp;"",Account_Mapping!$A:$A,0))&amp;"",""))</f>
        <v/>
      </c>
      <c r="N999" s="24" t="str">
        <f aca="false">IF($K999&lt;&gt;"",$K999,$M999)</f>
        <v/>
      </c>
      <c r="O999" s="24" t="str">
        <f aca="false">IF($F999="","",IFERROR(INDEX(Counterparties!$C:$C,MATCH($F999&amp;"",Counterparties!$A:$A,0))&amp;"",""))</f>
        <v/>
      </c>
      <c r="P999" s="24" t="str">
        <f aca="false">IF($O999="","",IF($O999="CY","CY",IF(ISNUMBER(MATCH($O999,Lists!$A:$A,0)),"EU","3RD")))</f>
        <v/>
      </c>
      <c r="Q999" s="24" t="str">
        <f aca="false">IF($F999="","N",IFERROR(IF(INDEX(Counterparties!$E:$E,MATCH($F999&amp;"",Counterparties!$A:$A,0))="Y","Y","N"),"N"))</f>
        <v>N</v>
      </c>
      <c r="R999" s="25" t="n">
        <f aca="false">IF(OR($H999="",$H999="EUR"),1,IFERROR(INDEX(FX_Rates!$D:$D,MATCH($H999,FX_Rates!$A:$A,0)),""))</f>
        <v>1</v>
      </c>
      <c r="S999" s="26" t="str">
        <f aca="false">IF(AND($I999="",$J999=""),"",IF($J999&lt;&gt;"",$J999,IF(OR($R999="",$R999=0),"",ROUND($I999/$R999,2))))</f>
        <v/>
      </c>
      <c r="T999" s="24" t="str">
        <f aca="false">IF($N999="","",IFERROR(INDEX(VAT_Codes!$C:$C,MATCH($N999,VAT_Codes!$A:$A,0)),"")&amp;"")</f>
        <v/>
      </c>
      <c r="U999" s="26" t="n">
        <f aca="false">IF(OR($S999="",$T999="",$T999="None"),0,IF($T999="Output",-$S999,$S999))</f>
        <v>0</v>
      </c>
      <c r="V999" s="27" t="n">
        <f aca="false">IF($N999="",0,IFERROR(INDEX(VAT_Codes!$D:$D,MATCH($N999,VAT_Codes!$A:$A,0)),0))</f>
        <v>0</v>
      </c>
      <c r="W999" s="26" t="n">
        <f aca="false">IF($U999=0,0,IF(IFERROR(INDEX(VAT_Codes!$F:$F,MATCH($N999,VAT_Codes!$A:$A,0)),"N")="Y",$U999,IF($L999&lt;&gt;"",ROUND(ABS($L999)/IF(OR($R999="",$R999=0),1,$R999),2)*SIGN($U999),ROUND($U999*$V999,2))))</f>
        <v>0</v>
      </c>
      <c r="X999" s="24" t="str">
        <f aca="false">IF($N999="","",IFERROR(INDEX(VAT_Codes!$H:$H,MATCH($N999,VAT_Codes!$A:$A,0)),"")&amp;"")</f>
        <v/>
      </c>
      <c r="Y999" s="24" t="str">
        <f aca="false">IF($A999="","",(YEAR($A999)-YEAR(Settings!$C$8))*12+MONTH($A999)-MONTH(Settings!$C$8)+1)</f>
        <v/>
      </c>
      <c r="Z999" s="24" t="str">
        <f aca="false">IF(AND($C999="",$I999="",$J999=""),"",IF($N999="","NO VAT CODE",IF($T999="","UNKNOWN VAT CODE",IF($S999="","MISSING FX RATE",IF(OR($A999&lt;Settings!$C$8,$A999&gt;Settings!$C$9),"OUTSIDE PERIOD",IF(AND(IFERROR(INDEX(VAT_Codes!$E:$E,MATCH($N999,VAT_Codes!$A:$A,0)),"ANY")&lt;&gt;"ANY",$P999=""),"MISSING COUNTERPARTY COUNTRY",IF(AND(IFERROR(INDEX(VAT_Codes!$E:$E,MATCH($N999,VAT_Codes!$A:$A,0)),"ANY")&lt;&gt;"ANY",$P999&lt;&gt;IFERROR(INDEX(VAT_Codes!$E:$E,MATCH($N999,VAT_Codes!$A:$A,0)),"ANY")),"REGION MISMATCH","OK")))))))</f>
        <v/>
      </c>
    </row>
    <row r="1000" customFormat="false" ht="15" hidden="false" customHeight="false" outlineLevel="0" collapsed="false">
      <c r="M1000" s="24" t="str">
        <f aca="false">IF($C1000="","",IFERROR(INDEX(Account_Mapping!$C:$C,MATCH($C1000&amp;"",Account_Mapping!$A:$A,0))&amp;"",""))</f>
        <v/>
      </c>
      <c r="N1000" s="24" t="str">
        <f aca="false">IF($K1000&lt;&gt;"",$K1000,$M1000)</f>
        <v/>
      </c>
      <c r="O1000" s="24" t="str">
        <f aca="false">IF($F1000="","",IFERROR(INDEX(Counterparties!$C:$C,MATCH($F1000&amp;"",Counterparties!$A:$A,0))&amp;"",""))</f>
        <v/>
      </c>
      <c r="P1000" s="24" t="str">
        <f aca="false">IF($O1000="","",IF($O1000="CY","CY",IF(ISNUMBER(MATCH($O1000,Lists!$A:$A,0)),"EU","3RD")))</f>
        <v/>
      </c>
      <c r="Q1000" s="24" t="str">
        <f aca="false">IF($F1000="","N",IFERROR(IF(INDEX(Counterparties!$E:$E,MATCH($F1000&amp;"",Counterparties!$A:$A,0))="Y","Y","N"),"N"))</f>
        <v>N</v>
      </c>
      <c r="R1000" s="25" t="n">
        <f aca="false">IF(OR($H1000="",$H1000="EUR"),1,IFERROR(INDEX(FX_Rates!$D:$D,MATCH($H1000,FX_Rates!$A:$A,0)),""))</f>
        <v>1</v>
      </c>
      <c r="S1000" s="26" t="str">
        <f aca="false">IF(AND($I1000="",$J1000=""),"",IF($J1000&lt;&gt;"",$J1000,IF(OR($R1000="",$R1000=0),"",ROUND($I1000/$R1000,2))))</f>
        <v/>
      </c>
      <c r="T1000" s="24" t="str">
        <f aca="false">IF($N1000="","",IFERROR(INDEX(VAT_Codes!$C:$C,MATCH($N1000,VAT_Codes!$A:$A,0)),"")&amp;"")</f>
        <v/>
      </c>
      <c r="U1000" s="26" t="n">
        <f aca="false">IF(OR($S1000="",$T1000="",$T1000="None"),0,IF($T1000="Output",-$S1000,$S1000))</f>
        <v>0</v>
      </c>
      <c r="V1000" s="27" t="n">
        <f aca="false">IF($N1000="",0,IFERROR(INDEX(VAT_Codes!$D:$D,MATCH($N1000,VAT_Codes!$A:$A,0)),0))</f>
        <v>0</v>
      </c>
      <c r="W1000" s="26" t="n">
        <f aca="false">IF($U1000=0,0,IF(IFERROR(INDEX(VAT_Codes!$F:$F,MATCH($N1000,VAT_Codes!$A:$A,0)),"N")="Y",$U1000,IF($L1000&lt;&gt;"",ROUND(ABS($L1000)/IF(OR($R1000="",$R1000=0),1,$R1000),2)*SIGN($U1000),ROUND($U1000*$V1000,2))))</f>
        <v>0</v>
      </c>
      <c r="X1000" s="24" t="str">
        <f aca="false">IF($N1000="","",IFERROR(INDEX(VAT_Codes!$H:$H,MATCH($N1000,VAT_Codes!$A:$A,0)),"")&amp;"")</f>
        <v/>
      </c>
      <c r="Y1000" s="24" t="str">
        <f aca="false">IF($A1000="","",(YEAR($A1000)-YEAR(Settings!$C$8))*12+MONTH($A1000)-MONTH(Settings!$C$8)+1)</f>
        <v/>
      </c>
      <c r="Z1000" s="24" t="str">
        <f aca="false">IF(AND($C1000="",$I1000="",$J1000=""),"",IF($N1000="","NO VAT CODE",IF($T1000="","UNKNOWN VAT CODE",IF($S1000="","MISSING FX RATE",IF(OR($A1000&lt;Settings!$C$8,$A1000&gt;Settings!$C$9),"OUTSIDE PERIOD",IF(AND(IFERROR(INDEX(VAT_Codes!$E:$E,MATCH($N1000,VAT_Codes!$A:$A,0)),"ANY")&lt;&gt;"ANY",$P1000=""),"MISSING COUNTERPARTY COUNTRY",IF(AND(IFERROR(INDEX(VAT_Codes!$E:$E,MATCH($N1000,VAT_Codes!$A:$A,0)),"ANY")&lt;&gt;"ANY",$P1000&lt;&gt;IFERROR(INDEX(VAT_Codes!$E:$E,MATCH($N1000,VAT_Codes!$A:$A,0)),"ANY")),"REGION MISMATCH","OK")))))))</f>
        <v/>
      </c>
    </row>
    <row r="1001" customFormat="false" ht="15" hidden="false" customHeight="false" outlineLevel="0" collapsed="false">
      <c r="M1001" s="24" t="str">
        <f aca="false">IF($C1001="","",IFERROR(INDEX(Account_Mapping!$C:$C,MATCH($C1001&amp;"",Account_Mapping!$A:$A,0))&amp;"",""))</f>
        <v/>
      </c>
      <c r="N1001" s="24" t="str">
        <f aca="false">IF($K1001&lt;&gt;"",$K1001,$M1001)</f>
        <v/>
      </c>
      <c r="O1001" s="24" t="str">
        <f aca="false">IF($F1001="","",IFERROR(INDEX(Counterparties!$C:$C,MATCH($F1001&amp;"",Counterparties!$A:$A,0))&amp;"",""))</f>
        <v/>
      </c>
      <c r="P1001" s="24" t="str">
        <f aca="false">IF($O1001="","",IF($O1001="CY","CY",IF(ISNUMBER(MATCH($O1001,Lists!$A:$A,0)),"EU","3RD")))</f>
        <v/>
      </c>
      <c r="Q1001" s="24" t="str">
        <f aca="false">IF($F1001="","N",IFERROR(IF(INDEX(Counterparties!$E:$E,MATCH($F1001&amp;"",Counterparties!$A:$A,0))="Y","Y","N"),"N"))</f>
        <v>N</v>
      </c>
      <c r="R1001" s="25" t="n">
        <f aca="false">IF(OR($H1001="",$H1001="EUR"),1,IFERROR(INDEX(FX_Rates!$D:$D,MATCH($H1001,FX_Rates!$A:$A,0)),""))</f>
        <v>1</v>
      </c>
      <c r="S1001" s="26" t="str">
        <f aca="false">IF(AND($I1001="",$J1001=""),"",IF($J1001&lt;&gt;"",$J1001,IF(OR($R1001="",$R1001=0),"",ROUND($I1001/$R1001,2))))</f>
        <v/>
      </c>
      <c r="T1001" s="24" t="str">
        <f aca="false">IF($N1001="","",IFERROR(INDEX(VAT_Codes!$C:$C,MATCH($N1001,VAT_Codes!$A:$A,0)),"")&amp;"")</f>
        <v/>
      </c>
      <c r="U1001" s="26" t="n">
        <f aca="false">IF(OR($S1001="",$T1001="",$T1001="None"),0,IF($T1001="Output",-$S1001,$S1001))</f>
        <v>0</v>
      </c>
      <c r="V1001" s="27" t="n">
        <f aca="false">IF($N1001="",0,IFERROR(INDEX(VAT_Codes!$D:$D,MATCH($N1001,VAT_Codes!$A:$A,0)),0))</f>
        <v>0</v>
      </c>
      <c r="W1001" s="26" t="n">
        <f aca="false">IF($U1001=0,0,IF(IFERROR(INDEX(VAT_Codes!$F:$F,MATCH($N1001,VAT_Codes!$A:$A,0)),"N")="Y",$U1001,IF($L1001&lt;&gt;"",ROUND(ABS($L1001)/IF(OR($R1001="",$R1001=0),1,$R1001),2)*SIGN($U1001),ROUND($U1001*$V1001,2))))</f>
        <v>0</v>
      </c>
      <c r="X1001" s="24" t="str">
        <f aca="false">IF($N1001="","",IFERROR(INDEX(VAT_Codes!$H:$H,MATCH($N1001,VAT_Codes!$A:$A,0)),"")&amp;"")</f>
        <v/>
      </c>
      <c r="Y1001" s="24" t="str">
        <f aca="false">IF($A1001="","",(YEAR($A1001)-YEAR(Settings!$C$8))*12+MONTH($A1001)-MONTH(Settings!$C$8)+1)</f>
        <v/>
      </c>
      <c r="Z1001" s="24" t="str">
        <f aca="false">IF(AND($C1001="",$I1001="",$J1001=""),"",IF($N1001="","NO VAT CODE",IF($T1001="","UNKNOWN VAT CODE",IF($S1001="","MISSING FX RATE",IF(OR($A1001&lt;Settings!$C$8,$A1001&gt;Settings!$C$9),"OUTSIDE PERIOD",IF(AND(IFERROR(INDEX(VAT_Codes!$E:$E,MATCH($N1001,VAT_Codes!$A:$A,0)),"ANY")&lt;&gt;"ANY",$P1001=""),"MISSING COUNTERPARTY COUNTRY",IF(AND(IFERROR(INDEX(VAT_Codes!$E:$E,MATCH($N1001,VAT_Codes!$A:$A,0)),"ANY")&lt;&gt;"ANY",$P1001&lt;&gt;IFERROR(INDEX(VAT_Codes!$E:$E,MATCH($N1001,VAT_Codes!$A:$A,0)),"ANY")),"REGION MISMATCH","OK")))))))</f>
        <v/>
      </c>
    </row>
    <row r="1002" customFormat="false" ht="15" hidden="false" customHeight="false" outlineLevel="0" collapsed="false">
      <c r="M1002" s="24" t="str">
        <f aca="false">IF($C1002="","",IFERROR(INDEX(Account_Mapping!$C:$C,MATCH($C1002&amp;"",Account_Mapping!$A:$A,0))&amp;"",""))</f>
        <v/>
      </c>
      <c r="N1002" s="24" t="str">
        <f aca="false">IF($K1002&lt;&gt;"",$K1002,$M1002)</f>
        <v/>
      </c>
      <c r="O1002" s="24" t="str">
        <f aca="false">IF($F1002="","",IFERROR(INDEX(Counterparties!$C:$C,MATCH($F1002&amp;"",Counterparties!$A:$A,0))&amp;"",""))</f>
        <v/>
      </c>
      <c r="P1002" s="24" t="str">
        <f aca="false">IF($O1002="","",IF($O1002="CY","CY",IF(ISNUMBER(MATCH($O1002,Lists!$A:$A,0)),"EU","3RD")))</f>
        <v/>
      </c>
      <c r="Q1002" s="24" t="str">
        <f aca="false">IF($F1002="","N",IFERROR(IF(INDEX(Counterparties!$E:$E,MATCH($F1002&amp;"",Counterparties!$A:$A,0))="Y","Y","N"),"N"))</f>
        <v>N</v>
      </c>
      <c r="R1002" s="25" t="n">
        <f aca="false">IF(OR($H1002="",$H1002="EUR"),1,IFERROR(INDEX(FX_Rates!$D:$D,MATCH($H1002,FX_Rates!$A:$A,0)),""))</f>
        <v>1</v>
      </c>
      <c r="S1002" s="26" t="str">
        <f aca="false">IF(AND($I1002="",$J1002=""),"",IF($J1002&lt;&gt;"",$J1002,IF(OR($R1002="",$R1002=0),"",ROUND($I1002/$R1002,2))))</f>
        <v/>
      </c>
      <c r="T1002" s="24" t="str">
        <f aca="false">IF($N1002="","",IFERROR(INDEX(VAT_Codes!$C:$C,MATCH($N1002,VAT_Codes!$A:$A,0)),"")&amp;"")</f>
        <v/>
      </c>
      <c r="U1002" s="26" t="n">
        <f aca="false">IF(OR($S1002="",$T1002="",$T1002="None"),0,IF($T1002="Output",-$S1002,$S1002))</f>
        <v>0</v>
      </c>
      <c r="V1002" s="27" t="n">
        <f aca="false">IF($N1002="",0,IFERROR(INDEX(VAT_Codes!$D:$D,MATCH($N1002,VAT_Codes!$A:$A,0)),0))</f>
        <v>0</v>
      </c>
      <c r="W1002" s="26" t="n">
        <f aca="false">IF($U1002=0,0,IF(IFERROR(INDEX(VAT_Codes!$F:$F,MATCH($N1002,VAT_Codes!$A:$A,0)),"N")="Y",$U1002,IF($L1002&lt;&gt;"",ROUND(ABS($L1002)/IF(OR($R1002="",$R1002=0),1,$R1002),2)*SIGN($U1002),ROUND($U1002*$V1002,2))))</f>
        <v>0</v>
      </c>
      <c r="X1002" s="24" t="str">
        <f aca="false">IF($N1002="","",IFERROR(INDEX(VAT_Codes!$H:$H,MATCH($N1002,VAT_Codes!$A:$A,0)),"")&amp;"")</f>
        <v/>
      </c>
      <c r="Y1002" s="24" t="str">
        <f aca="false">IF($A1002="","",(YEAR($A1002)-YEAR(Settings!$C$8))*12+MONTH($A1002)-MONTH(Settings!$C$8)+1)</f>
        <v/>
      </c>
      <c r="Z1002" s="24" t="str">
        <f aca="false">IF(AND($C1002="",$I1002="",$J1002=""),"",IF($N1002="","NO VAT CODE",IF($T1002="","UNKNOWN VAT CODE",IF($S1002="","MISSING FX RATE",IF(OR($A1002&lt;Settings!$C$8,$A1002&gt;Settings!$C$9),"OUTSIDE PERIOD",IF(AND(IFERROR(INDEX(VAT_Codes!$E:$E,MATCH($N1002,VAT_Codes!$A:$A,0)),"ANY")&lt;&gt;"ANY",$P1002=""),"MISSING COUNTERPARTY COUNTRY",IF(AND(IFERROR(INDEX(VAT_Codes!$E:$E,MATCH($N1002,VAT_Codes!$A:$A,0)),"ANY")&lt;&gt;"ANY",$P1002&lt;&gt;IFERROR(INDEX(VAT_Codes!$E:$E,MATCH($N1002,VAT_Codes!$A:$A,0)),"ANY")),"REGION MISMATCH","OK")))))))</f>
        <v/>
      </c>
    </row>
    <row r="1003" customFormat="false" ht="15" hidden="false" customHeight="false" outlineLevel="0" collapsed="false">
      <c r="M1003" s="24" t="str">
        <f aca="false">IF($C1003="","",IFERROR(INDEX(Account_Mapping!$C:$C,MATCH($C1003&amp;"",Account_Mapping!$A:$A,0))&amp;"",""))</f>
        <v/>
      </c>
      <c r="N1003" s="24" t="str">
        <f aca="false">IF($K1003&lt;&gt;"",$K1003,$M1003)</f>
        <v/>
      </c>
      <c r="O1003" s="24" t="str">
        <f aca="false">IF($F1003="","",IFERROR(INDEX(Counterparties!$C:$C,MATCH($F1003&amp;"",Counterparties!$A:$A,0))&amp;"",""))</f>
        <v/>
      </c>
      <c r="P1003" s="24" t="str">
        <f aca="false">IF($O1003="","",IF($O1003="CY","CY",IF(ISNUMBER(MATCH($O1003,Lists!$A:$A,0)),"EU","3RD")))</f>
        <v/>
      </c>
      <c r="Q1003" s="24" t="str">
        <f aca="false">IF($F1003="","N",IFERROR(IF(INDEX(Counterparties!$E:$E,MATCH($F1003&amp;"",Counterparties!$A:$A,0))="Y","Y","N"),"N"))</f>
        <v>N</v>
      </c>
      <c r="R1003" s="25" t="n">
        <f aca="false">IF(OR($H1003="",$H1003="EUR"),1,IFERROR(INDEX(FX_Rates!$D:$D,MATCH($H1003,FX_Rates!$A:$A,0)),""))</f>
        <v>1</v>
      </c>
      <c r="S1003" s="26" t="str">
        <f aca="false">IF(AND($I1003="",$J1003=""),"",IF($J1003&lt;&gt;"",$J1003,IF(OR($R1003="",$R1003=0),"",ROUND($I1003/$R1003,2))))</f>
        <v/>
      </c>
      <c r="T1003" s="24" t="str">
        <f aca="false">IF($N1003="","",IFERROR(INDEX(VAT_Codes!$C:$C,MATCH($N1003,VAT_Codes!$A:$A,0)),"")&amp;"")</f>
        <v/>
      </c>
      <c r="U1003" s="26" t="n">
        <f aca="false">IF(OR($S1003="",$T1003="",$T1003="None"),0,IF($T1003="Output",-$S1003,$S1003))</f>
        <v>0</v>
      </c>
      <c r="V1003" s="27" t="n">
        <f aca="false">IF($N1003="",0,IFERROR(INDEX(VAT_Codes!$D:$D,MATCH($N1003,VAT_Codes!$A:$A,0)),0))</f>
        <v>0</v>
      </c>
      <c r="W1003" s="26" t="n">
        <f aca="false">IF($U1003=0,0,IF(IFERROR(INDEX(VAT_Codes!$F:$F,MATCH($N1003,VAT_Codes!$A:$A,0)),"N")="Y",$U1003,IF($L1003&lt;&gt;"",ROUND(ABS($L1003)/IF(OR($R1003="",$R1003=0),1,$R1003),2)*SIGN($U1003),ROUND($U1003*$V1003,2))))</f>
        <v>0</v>
      </c>
      <c r="X1003" s="24" t="str">
        <f aca="false">IF($N1003="","",IFERROR(INDEX(VAT_Codes!$H:$H,MATCH($N1003,VAT_Codes!$A:$A,0)),"")&amp;"")</f>
        <v/>
      </c>
      <c r="Y1003" s="24" t="str">
        <f aca="false">IF($A1003="","",(YEAR($A1003)-YEAR(Settings!$C$8))*12+MONTH($A1003)-MONTH(Settings!$C$8)+1)</f>
        <v/>
      </c>
      <c r="Z1003" s="24" t="str">
        <f aca="false">IF(AND($C1003="",$I1003="",$J1003=""),"",IF($N1003="","NO VAT CODE",IF($T1003="","UNKNOWN VAT CODE",IF($S1003="","MISSING FX RATE",IF(OR($A1003&lt;Settings!$C$8,$A1003&gt;Settings!$C$9),"OUTSIDE PERIOD",IF(AND(IFERROR(INDEX(VAT_Codes!$E:$E,MATCH($N1003,VAT_Codes!$A:$A,0)),"ANY")&lt;&gt;"ANY",$P1003=""),"MISSING COUNTERPARTY COUNTRY",IF(AND(IFERROR(INDEX(VAT_Codes!$E:$E,MATCH($N1003,VAT_Codes!$A:$A,0)),"ANY")&lt;&gt;"ANY",$P1003&lt;&gt;IFERROR(INDEX(VAT_Codes!$E:$E,MATCH($N1003,VAT_Codes!$A:$A,0)),"ANY")),"REGION MISMATCH","OK")))))))</f>
        <v/>
      </c>
    </row>
    <row r="1004" customFormat="false" ht="15" hidden="false" customHeight="false" outlineLevel="0" collapsed="false">
      <c r="M1004" s="24" t="str">
        <f aca="false">IF($C1004="","",IFERROR(INDEX(Account_Mapping!$C:$C,MATCH($C1004&amp;"",Account_Mapping!$A:$A,0))&amp;"",""))</f>
        <v/>
      </c>
      <c r="N1004" s="24" t="str">
        <f aca="false">IF($K1004&lt;&gt;"",$K1004,$M1004)</f>
        <v/>
      </c>
      <c r="O1004" s="24" t="str">
        <f aca="false">IF($F1004="","",IFERROR(INDEX(Counterparties!$C:$C,MATCH($F1004&amp;"",Counterparties!$A:$A,0))&amp;"",""))</f>
        <v/>
      </c>
      <c r="P1004" s="24" t="str">
        <f aca="false">IF($O1004="","",IF($O1004="CY","CY",IF(ISNUMBER(MATCH($O1004,Lists!$A:$A,0)),"EU","3RD")))</f>
        <v/>
      </c>
      <c r="Q1004" s="24" t="str">
        <f aca="false">IF($F1004="","N",IFERROR(IF(INDEX(Counterparties!$E:$E,MATCH($F1004&amp;"",Counterparties!$A:$A,0))="Y","Y","N"),"N"))</f>
        <v>N</v>
      </c>
      <c r="R1004" s="25" t="n">
        <f aca="false">IF(OR($H1004="",$H1004="EUR"),1,IFERROR(INDEX(FX_Rates!$D:$D,MATCH($H1004,FX_Rates!$A:$A,0)),""))</f>
        <v>1</v>
      </c>
      <c r="S1004" s="26" t="str">
        <f aca="false">IF(AND($I1004="",$J1004=""),"",IF($J1004&lt;&gt;"",$J1004,IF(OR($R1004="",$R1004=0),"",ROUND($I1004/$R1004,2))))</f>
        <v/>
      </c>
      <c r="T1004" s="24" t="str">
        <f aca="false">IF($N1004="","",IFERROR(INDEX(VAT_Codes!$C:$C,MATCH($N1004,VAT_Codes!$A:$A,0)),"")&amp;"")</f>
        <v/>
      </c>
      <c r="U1004" s="26" t="n">
        <f aca="false">IF(OR($S1004="",$T1004="",$T1004="None"),0,IF($T1004="Output",-$S1004,$S1004))</f>
        <v>0</v>
      </c>
      <c r="V1004" s="27" t="n">
        <f aca="false">IF($N1004="",0,IFERROR(INDEX(VAT_Codes!$D:$D,MATCH($N1004,VAT_Codes!$A:$A,0)),0))</f>
        <v>0</v>
      </c>
      <c r="W1004" s="26" t="n">
        <f aca="false">IF($U1004=0,0,IF(IFERROR(INDEX(VAT_Codes!$F:$F,MATCH($N1004,VAT_Codes!$A:$A,0)),"N")="Y",$U1004,IF($L1004&lt;&gt;"",ROUND(ABS($L1004)/IF(OR($R1004="",$R1004=0),1,$R1004),2)*SIGN($U1004),ROUND($U1004*$V1004,2))))</f>
        <v>0</v>
      </c>
      <c r="X1004" s="24" t="str">
        <f aca="false">IF($N1004="","",IFERROR(INDEX(VAT_Codes!$H:$H,MATCH($N1004,VAT_Codes!$A:$A,0)),"")&amp;"")</f>
        <v/>
      </c>
      <c r="Y1004" s="24" t="str">
        <f aca="false">IF($A1004="","",(YEAR($A1004)-YEAR(Settings!$C$8))*12+MONTH($A1004)-MONTH(Settings!$C$8)+1)</f>
        <v/>
      </c>
      <c r="Z1004" s="24" t="str">
        <f aca="false">IF(AND($C1004="",$I1004="",$J1004=""),"",IF($N1004="","NO VAT CODE",IF($T1004="","UNKNOWN VAT CODE",IF($S1004="","MISSING FX RATE",IF(OR($A1004&lt;Settings!$C$8,$A1004&gt;Settings!$C$9),"OUTSIDE PERIOD",IF(AND(IFERROR(INDEX(VAT_Codes!$E:$E,MATCH($N1004,VAT_Codes!$A:$A,0)),"ANY")&lt;&gt;"ANY",$P1004=""),"MISSING COUNTERPARTY COUNTRY",IF(AND(IFERROR(INDEX(VAT_Codes!$E:$E,MATCH($N1004,VAT_Codes!$A:$A,0)),"ANY")&lt;&gt;"ANY",$P1004&lt;&gt;IFERROR(INDEX(VAT_Codes!$E:$E,MATCH($N1004,VAT_Codes!$A:$A,0)),"ANY")),"REGION MISMATCH","OK")))))))</f>
        <v/>
      </c>
    </row>
    <row r="1005" customFormat="false" ht="15" hidden="false" customHeight="false" outlineLevel="0" collapsed="false">
      <c r="M1005" s="24" t="str">
        <f aca="false">IF($C1005="","",IFERROR(INDEX(Account_Mapping!$C:$C,MATCH($C1005&amp;"",Account_Mapping!$A:$A,0))&amp;"",""))</f>
        <v/>
      </c>
      <c r="N1005" s="24" t="str">
        <f aca="false">IF($K1005&lt;&gt;"",$K1005,$M1005)</f>
        <v/>
      </c>
      <c r="O1005" s="24" t="str">
        <f aca="false">IF($F1005="","",IFERROR(INDEX(Counterparties!$C:$C,MATCH($F1005&amp;"",Counterparties!$A:$A,0))&amp;"",""))</f>
        <v/>
      </c>
      <c r="P1005" s="24" t="str">
        <f aca="false">IF($O1005="","",IF($O1005="CY","CY",IF(ISNUMBER(MATCH($O1005,Lists!$A:$A,0)),"EU","3RD")))</f>
        <v/>
      </c>
      <c r="Q1005" s="24" t="str">
        <f aca="false">IF($F1005="","N",IFERROR(IF(INDEX(Counterparties!$E:$E,MATCH($F1005&amp;"",Counterparties!$A:$A,0))="Y","Y","N"),"N"))</f>
        <v>N</v>
      </c>
      <c r="R1005" s="25" t="n">
        <f aca="false">IF(OR($H1005="",$H1005="EUR"),1,IFERROR(INDEX(FX_Rates!$D:$D,MATCH($H1005,FX_Rates!$A:$A,0)),""))</f>
        <v>1</v>
      </c>
      <c r="S1005" s="26" t="str">
        <f aca="false">IF(AND($I1005="",$J1005=""),"",IF($J1005&lt;&gt;"",$J1005,IF(OR($R1005="",$R1005=0),"",ROUND($I1005/$R1005,2))))</f>
        <v/>
      </c>
      <c r="T1005" s="24" t="str">
        <f aca="false">IF($N1005="","",IFERROR(INDEX(VAT_Codes!$C:$C,MATCH($N1005,VAT_Codes!$A:$A,0)),"")&amp;"")</f>
        <v/>
      </c>
      <c r="U1005" s="26" t="n">
        <f aca="false">IF(OR($S1005="",$T1005="",$T1005="None"),0,IF($T1005="Output",-$S1005,$S1005))</f>
        <v>0</v>
      </c>
      <c r="V1005" s="27" t="n">
        <f aca="false">IF($N1005="",0,IFERROR(INDEX(VAT_Codes!$D:$D,MATCH($N1005,VAT_Codes!$A:$A,0)),0))</f>
        <v>0</v>
      </c>
      <c r="W1005" s="26" t="n">
        <f aca="false">IF($U1005=0,0,IF(IFERROR(INDEX(VAT_Codes!$F:$F,MATCH($N1005,VAT_Codes!$A:$A,0)),"N")="Y",$U1005,IF($L1005&lt;&gt;"",ROUND(ABS($L1005)/IF(OR($R1005="",$R1005=0),1,$R1005),2)*SIGN($U1005),ROUND($U1005*$V1005,2))))</f>
        <v>0</v>
      </c>
      <c r="X1005" s="24" t="str">
        <f aca="false">IF($N1005="","",IFERROR(INDEX(VAT_Codes!$H:$H,MATCH($N1005,VAT_Codes!$A:$A,0)),"")&amp;"")</f>
        <v/>
      </c>
      <c r="Y1005" s="24" t="str">
        <f aca="false">IF($A1005="","",(YEAR($A1005)-YEAR(Settings!$C$8))*12+MONTH($A1005)-MONTH(Settings!$C$8)+1)</f>
        <v/>
      </c>
      <c r="Z1005" s="24" t="str">
        <f aca="false">IF(AND($C1005="",$I1005="",$J1005=""),"",IF($N1005="","NO VAT CODE",IF($T1005="","UNKNOWN VAT CODE",IF($S1005="","MISSING FX RATE",IF(OR($A1005&lt;Settings!$C$8,$A1005&gt;Settings!$C$9),"OUTSIDE PERIOD",IF(AND(IFERROR(INDEX(VAT_Codes!$E:$E,MATCH($N1005,VAT_Codes!$A:$A,0)),"ANY")&lt;&gt;"ANY",$P1005=""),"MISSING COUNTERPARTY COUNTRY",IF(AND(IFERROR(INDEX(VAT_Codes!$E:$E,MATCH($N1005,VAT_Codes!$A:$A,0)),"ANY")&lt;&gt;"ANY",$P1005&lt;&gt;IFERROR(INDEX(VAT_Codes!$E:$E,MATCH($N1005,VAT_Codes!$A:$A,0)),"ANY")),"REGION MISMATCH","OK")))))))</f>
        <v/>
      </c>
    </row>
    <row r="1006" customFormat="false" ht="15" hidden="false" customHeight="false" outlineLevel="0" collapsed="false">
      <c r="M1006" s="24" t="str">
        <f aca="false">IF($C1006="","",IFERROR(INDEX(Account_Mapping!$C:$C,MATCH($C1006&amp;"",Account_Mapping!$A:$A,0))&amp;"",""))</f>
        <v/>
      </c>
      <c r="N1006" s="24" t="str">
        <f aca="false">IF($K1006&lt;&gt;"",$K1006,$M1006)</f>
        <v/>
      </c>
      <c r="O1006" s="24" t="str">
        <f aca="false">IF($F1006="","",IFERROR(INDEX(Counterparties!$C:$C,MATCH($F1006&amp;"",Counterparties!$A:$A,0))&amp;"",""))</f>
        <v/>
      </c>
      <c r="P1006" s="24" t="str">
        <f aca="false">IF($O1006="","",IF($O1006="CY","CY",IF(ISNUMBER(MATCH($O1006,Lists!$A:$A,0)),"EU","3RD")))</f>
        <v/>
      </c>
      <c r="Q1006" s="24" t="str">
        <f aca="false">IF($F1006="","N",IFERROR(IF(INDEX(Counterparties!$E:$E,MATCH($F1006&amp;"",Counterparties!$A:$A,0))="Y","Y","N"),"N"))</f>
        <v>N</v>
      </c>
      <c r="R1006" s="25" t="n">
        <f aca="false">IF(OR($H1006="",$H1006="EUR"),1,IFERROR(INDEX(FX_Rates!$D:$D,MATCH($H1006,FX_Rates!$A:$A,0)),""))</f>
        <v>1</v>
      </c>
      <c r="S1006" s="26" t="str">
        <f aca="false">IF(AND($I1006="",$J1006=""),"",IF($J1006&lt;&gt;"",$J1006,IF(OR($R1006="",$R1006=0),"",ROUND($I1006/$R1006,2))))</f>
        <v/>
      </c>
      <c r="T1006" s="24" t="str">
        <f aca="false">IF($N1006="","",IFERROR(INDEX(VAT_Codes!$C:$C,MATCH($N1006,VAT_Codes!$A:$A,0)),"")&amp;"")</f>
        <v/>
      </c>
      <c r="U1006" s="26" t="n">
        <f aca="false">IF(OR($S1006="",$T1006="",$T1006="None"),0,IF($T1006="Output",-$S1006,$S1006))</f>
        <v>0</v>
      </c>
      <c r="V1006" s="27" t="n">
        <f aca="false">IF($N1006="",0,IFERROR(INDEX(VAT_Codes!$D:$D,MATCH($N1006,VAT_Codes!$A:$A,0)),0))</f>
        <v>0</v>
      </c>
      <c r="W1006" s="26" t="n">
        <f aca="false">IF($U1006=0,0,IF(IFERROR(INDEX(VAT_Codes!$F:$F,MATCH($N1006,VAT_Codes!$A:$A,0)),"N")="Y",$U1006,IF($L1006&lt;&gt;"",ROUND(ABS($L1006)/IF(OR($R1006="",$R1006=0),1,$R1006),2)*SIGN($U1006),ROUND($U1006*$V1006,2))))</f>
        <v>0</v>
      </c>
      <c r="X1006" s="24" t="str">
        <f aca="false">IF($N1006="","",IFERROR(INDEX(VAT_Codes!$H:$H,MATCH($N1006,VAT_Codes!$A:$A,0)),"")&amp;"")</f>
        <v/>
      </c>
      <c r="Y1006" s="24" t="str">
        <f aca="false">IF($A1006="","",(YEAR($A1006)-YEAR(Settings!$C$8))*12+MONTH($A1006)-MONTH(Settings!$C$8)+1)</f>
        <v/>
      </c>
      <c r="Z1006" s="24" t="str">
        <f aca="false">IF(AND($C1006="",$I1006="",$J1006=""),"",IF($N1006="","NO VAT CODE",IF($T1006="","UNKNOWN VAT CODE",IF($S1006="","MISSING FX RATE",IF(OR($A1006&lt;Settings!$C$8,$A1006&gt;Settings!$C$9),"OUTSIDE PERIOD",IF(AND(IFERROR(INDEX(VAT_Codes!$E:$E,MATCH($N1006,VAT_Codes!$A:$A,0)),"ANY")&lt;&gt;"ANY",$P1006=""),"MISSING COUNTERPARTY COUNTRY",IF(AND(IFERROR(INDEX(VAT_Codes!$E:$E,MATCH($N1006,VAT_Codes!$A:$A,0)),"ANY")&lt;&gt;"ANY",$P1006&lt;&gt;IFERROR(INDEX(VAT_Codes!$E:$E,MATCH($N1006,VAT_Codes!$A:$A,0)),"ANY")),"REGION MISMATCH","OK")))))))</f>
        <v/>
      </c>
    </row>
    <row r="1007" customFormat="false" ht="15" hidden="false" customHeight="false" outlineLevel="0" collapsed="false">
      <c r="M1007" s="24" t="str">
        <f aca="false">IF($C1007="","",IFERROR(INDEX(Account_Mapping!$C:$C,MATCH($C1007&amp;"",Account_Mapping!$A:$A,0))&amp;"",""))</f>
        <v/>
      </c>
      <c r="N1007" s="24" t="str">
        <f aca="false">IF($K1007&lt;&gt;"",$K1007,$M1007)</f>
        <v/>
      </c>
      <c r="O1007" s="24" t="str">
        <f aca="false">IF($F1007="","",IFERROR(INDEX(Counterparties!$C:$C,MATCH($F1007&amp;"",Counterparties!$A:$A,0))&amp;"",""))</f>
        <v/>
      </c>
      <c r="P1007" s="24" t="str">
        <f aca="false">IF($O1007="","",IF($O1007="CY","CY",IF(ISNUMBER(MATCH($O1007,Lists!$A:$A,0)),"EU","3RD")))</f>
        <v/>
      </c>
      <c r="Q1007" s="24" t="str">
        <f aca="false">IF($F1007="","N",IFERROR(IF(INDEX(Counterparties!$E:$E,MATCH($F1007&amp;"",Counterparties!$A:$A,0))="Y","Y","N"),"N"))</f>
        <v>N</v>
      </c>
      <c r="R1007" s="25" t="n">
        <f aca="false">IF(OR($H1007="",$H1007="EUR"),1,IFERROR(INDEX(FX_Rates!$D:$D,MATCH($H1007,FX_Rates!$A:$A,0)),""))</f>
        <v>1</v>
      </c>
      <c r="S1007" s="26" t="str">
        <f aca="false">IF(AND($I1007="",$J1007=""),"",IF($J1007&lt;&gt;"",$J1007,IF(OR($R1007="",$R1007=0),"",ROUND($I1007/$R1007,2))))</f>
        <v/>
      </c>
      <c r="T1007" s="24" t="str">
        <f aca="false">IF($N1007="","",IFERROR(INDEX(VAT_Codes!$C:$C,MATCH($N1007,VAT_Codes!$A:$A,0)),"")&amp;"")</f>
        <v/>
      </c>
      <c r="U1007" s="26" t="n">
        <f aca="false">IF(OR($S1007="",$T1007="",$T1007="None"),0,IF($T1007="Output",-$S1007,$S1007))</f>
        <v>0</v>
      </c>
      <c r="V1007" s="27" t="n">
        <f aca="false">IF($N1007="",0,IFERROR(INDEX(VAT_Codes!$D:$D,MATCH($N1007,VAT_Codes!$A:$A,0)),0))</f>
        <v>0</v>
      </c>
      <c r="W1007" s="26" t="n">
        <f aca="false">IF($U1007=0,0,IF(IFERROR(INDEX(VAT_Codes!$F:$F,MATCH($N1007,VAT_Codes!$A:$A,0)),"N")="Y",$U1007,IF($L1007&lt;&gt;"",ROUND(ABS($L1007)/IF(OR($R1007="",$R1007=0),1,$R1007),2)*SIGN($U1007),ROUND($U1007*$V1007,2))))</f>
        <v>0</v>
      </c>
      <c r="X1007" s="24" t="str">
        <f aca="false">IF($N1007="","",IFERROR(INDEX(VAT_Codes!$H:$H,MATCH($N1007,VAT_Codes!$A:$A,0)),"")&amp;"")</f>
        <v/>
      </c>
      <c r="Y1007" s="24" t="str">
        <f aca="false">IF($A1007="","",(YEAR($A1007)-YEAR(Settings!$C$8))*12+MONTH($A1007)-MONTH(Settings!$C$8)+1)</f>
        <v/>
      </c>
      <c r="Z1007" s="24" t="str">
        <f aca="false">IF(AND($C1007="",$I1007="",$J1007=""),"",IF($N1007="","NO VAT CODE",IF($T1007="","UNKNOWN VAT CODE",IF($S1007="","MISSING FX RATE",IF(OR($A1007&lt;Settings!$C$8,$A1007&gt;Settings!$C$9),"OUTSIDE PERIOD",IF(AND(IFERROR(INDEX(VAT_Codes!$E:$E,MATCH($N1007,VAT_Codes!$A:$A,0)),"ANY")&lt;&gt;"ANY",$P1007=""),"MISSING COUNTERPARTY COUNTRY",IF(AND(IFERROR(INDEX(VAT_Codes!$E:$E,MATCH($N1007,VAT_Codes!$A:$A,0)),"ANY")&lt;&gt;"ANY",$P1007&lt;&gt;IFERROR(INDEX(VAT_Codes!$E:$E,MATCH($N1007,VAT_Codes!$A:$A,0)),"ANY")),"REGION MISMATCH","OK")))))))</f>
        <v/>
      </c>
    </row>
    <row r="1008" customFormat="false" ht="15" hidden="false" customHeight="false" outlineLevel="0" collapsed="false">
      <c r="M1008" s="24" t="str">
        <f aca="false">IF($C1008="","",IFERROR(INDEX(Account_Mapping!$C:$C,MATCH($C1008&amp;"",Account_Mapping!$A:$A,0))&amp;"",""))</f>
        <v/>
      </c>
      <c r="N1008" s="24" t="str">
        <f aca="false">IF($K1008&lt;&gt;"",$K1008,$M1008)</f>
        <v/>
      </c>
      <c r="O1008" s="24" t="str">
        <f aca="false">IF($F1008="","",IFERROR(INDEX(Counterparties!$C:$C,MATCH($F1008&amp;"",Counterparties!$A:$A,0))&amp;"",""))</f>
        <v/>
      </c>
      <c r="P1008" s="24" t="str">
        <f aca="false">IF($O1008="","",IF($O1008="CY","CY",IF(ISNUMBER(MATCH($O1008,Lists!$A:$A,0)),"EU","3RD")))</f>
        <v/>
      </c>
      <c r="Q1008" s="24" t="str">
        <f aca="false">IF($F1008="","N",IFERROR(IF(INDEX(Counterparties!$E:$E,MATCH($F1008&amp;"",Counterparties!$A:$A,0))="Y","Y","N"),"N"))</f>
        <v>N</v>
      </c>
      <c r="R1008" s="25" t="n">
        <f aca="false">IF(OR($H1008="",$H1008="EUR"),1,IFERROR(INDEX(FX_Rates!$D:$D,MATCH($H1008,FX_Rates!$A:$A,0)),""))</f>
        <v>1</v>
      </c>
      <c r="S1008" s="26" t="str">
        <f aca="false">IF(AND($I1008="",$J1008=""),"",IF($J1008&lt;&gt;"",$J1008,IF(OR($R1008="",$R1008=0),"",ROUND($I1008/$R1008,2))))</f>
        <v/>
      </c>
      <c r="T1008" s="24" t="str">
        <f aca="false">IF($N1008="","",IFERROR(INDEX(VAT_Codes!$C:$C,MATCH($N1008,VAT_Codes!$A:$A,0)),"")&amp;"")</f>
        <v/>
      </c>
      <c r="U1008" s="26" t="n">
        <f aca="false">IF(OR($S1008="",$T1008="",$T1008="None"),0,IF($T1008="Output",-$S1008,$S1008))</f>
        <v>0</v>
      </c>
      <c r="V1008" s="27" t="n">
        <f aca="false">IF($N1008="",0,IFERROR(INDEX(VAT_Codes!$D:$D,MATCH($N1008,VAT_Codes!$A:$A,0)),0))</f>
        <v>0</v>
      </c>
      <c r="W1008" s="26" t="n">
        <f aca="false">IF($U1008=0,0,IF(IFERROR(INDEX(VAT_Codes!$F:$F,MATCH($N1008,VAT_Codes!$A:$A,0)),"N")="Y",$U1008,IF($L1008&lt;&gt;"",ROUND(ABS($L1008)/IF(OR($R1008="",$R1008=0),1,$R1008),2)*SIGN($U1008),ROUND($U1008*$V1008,2))))</f>
        <v>0</v>
      </c>
      <c r="X1008" s="24" t="str">
        <f aca="false">IF($N1008="","",IFERROR(INDEX(VAT_Codes!$H:$H,MATCH($N1008,VAT_Codes!$A:$A,0)),"")&amp;"")</f>
        <v/>
      </c>
      <c r="Y1008" s="24" t="str">
        <f aca="false">IF($A1008="","",(YEAR($A1008)-YEAR(Settings!$C$8))*12+MONTH($A1008)-MONTH(Settings!$C$8)+1)</f>
        <v/>
      </c>
      <c r="Z1008" s="24" t="str">
        <f aca="false">IF(AND($C1008="",$I1008="",$J1008=""),"",IF($N1008="","NO VAT CODE",IF($T1008="","UNKNOWN VAT CODE",IF($S1008="","MISSING FX RATE",IF(OR($A1008&lt;Settings!$C$8,$A1008&gt;Settings!$C$9),"OUTSIDE PERIOD",IF(AND(IFERROR(INDEX(VAT_Codes!$E:$E,MATCH($N1008,VAT_Codes!$A:$A,0)),"ANY")&lt;&gt;"ANY",$P1008=""),"MISSING COUNTERPARTY COUNTRY",IF(AND(IFERROR(INDEX(VAT_Codes!$E:$E,MATCH($N1008,VAT_Codes!$A:$A,0)),"ANY")&lt;&gt;"ANY",$P1008&lt;&gt;IFERROR(INDEX(VAT_Codes!$E:$E,MATCH($N1008,VAT_Codes!$A:$A,0)),"ANY")),"REGION MISMATCH","OK")))))))</f>
        <v/>
      </c>
    </row>
    <row r="1009" customFormat="false" ht="15" hidden="false" customHeight="false" outlineLevel="0" collapsed="false">
      <c r="M1009" s="24" t="str">
        <f aca="false">IF($C1009="","",IFERROR(INDEX(Account_Mapping!$C:$C,MATCH($C1009&amp;"",Account_Mapping!$A:$A,0))&amp;"",""))</f>
        <v/>
      </c>
      <c r="N1009" s="24" t="str">
        <f aca="false">IF($K1009&lt;&gt;"",$K1009,$M1009)</f>
        <v/>
      </c>
      <c r="O1009" s="24" t="str">
        <f aca="false">IF($F1009="","",IFERROR(INDEX(Counterparties!$C:$C,MATCH($F1009&amp;"",Counterparties!$A:$A,0))&amp;"",""))</f>
        <v/>
      </c>
      <c r="P1009" s="24" t="str">
        <f aca="false">IF($O1009="","",IF($O1009="CY","CY",IF(ISNUMBER(MATCH($O1009,Lists!$A:$A,0)),"EU","3RD")))</f>
        <v/>
      </c>
      <c r="Q1009" s="24" t="str">
        <f aca="false">IF($F1009="","N",IFERROR(IF(INDEX(Counterparties!$E:$E,MATCH($F1009&amp;"",Counterparties!$A:$A,0))="Y","Y","N"),"N"))</f>
        <v>N</v>
      </c>
      <c r="R1009" s="25" t="n">
        <f aca="false">IF(OR($H1009="",$H1009="EUR"),1,IFERROR(INDEX(FX_Rates!$D:$D,MATCH($H1009,FX_Rates!$A:$A,0)),""))</f>
        <v>1</v>
      </c>
      <c r="S1009" s="26" t="str">
        <f aca="false">IF(AND($I1009="",$J1009=""),"",IF($J1009&lt;&gt;"",$J1009,IF(OR($R1009="",$R1009=0),"",ROUND($I1009/$R1009,2))))</f>
        <v/>
      </c>
      <c r="T1009" s="24" t="str">
        <f aca="false">IF($N1009="","",IFERROR(INDEX(VAT_Codes!$C:$C,MATCH($N1009,VAT_Codes!$A:$A,0)),"")&amp;"")</f>
        <v/>
      </c>
      <c r="U1009" s="26" t="n">
        <f aca="false">IF(OR($S1009="",$T1009="",$T1009="None"),0,IF($T1009="Output",-$S1009,$S1009))</f>
        <v>0</v>
      </c>
      <c r="V1009" s="27" t="n">
        <f aca="false">IF($N1009="",0,IFERROR(INDEX(VAT_Codes!$D:$D,MATCH($N1009,VAT_Codes!$A:$A,0)),0))</f>
        <v>0</v>
      </c>
      <c r="W1009" s="26" t="n">
        <f aca="false">IF($U1009=0,0,IF(IFERROR(INDEX(VAT_Codes!$F:$F,MATCH($N1009,VAT_Codes!$A:$A,0)),"N")="Y",$U1009,IF($L1009&lt;&gt;"",ROUND(ABS($L1009)/IF(OR($R1009="",$R1009=0),1,$R1009),2)*SIGN($U1009),ROUND($U1009*$V1009,2))))</f>
        <v>0</v>
      </c>
      <c r="X1009" s="24" t="str">
        <f aca="false">IF($N1009="","",IFERROR(INDEX(VAT_Codes!$H:$H,MATCH($N1009,VAT_Codes!$A:$A,0)),"")&amp;"")</f>
        <v/>
      </c>
      <c r="Y1009" s="24" t="str">
        <f aca="false">IF($A1009="","",(YEAR($A1009)-YEAR(Settings!$C$8))*12+MONTH($A1009)-MONTH(Settings!$C$8)+1)</f>
        <v/>
      </c>
      <c r="Z1009" s="24" t="str">
        <f aca="false">IF(AND($C1009="",$I1009="",$J1009=""),"",IF($N1009="","NO VAT CODE",IF($T1009="","UNKNOWN VAT CODE",IF($S1009="","MISSING FX RATE",IF(OR($A1009&lt;Settings!$C$8,$A1009&gt;Settings!$C$9),"OUTSIDE PERIOD",IF(AND(IFERROR(INDEX(VAT_Codes!$E:$E,MATCH($N1009,VAT_Codes!$A:$A,0)),"ANY")&lt;&gt;"ANY",$P1009=""),"MISSING COUNTERPARTY COUNTRY",IF(AND(IFERROR(INDEX(VAT_Codes!$E:$E,MATCH($N1009,VAT_Codes!$A:$A,0)),"ANY")&lt;&gt;"ANY",$P1009&lt;&gt;IFERROR(INDEX(VAT_Codes!$E:$E,MATCH($N1009,VAT_Codes!$A:$A,0)),"ANY")),"REGION MISMATCH","OK")))))))</f>
        <v/>
      </c>
    </row>
    <row r="1010" customFormat="false" ht="15" hidden="false" customHeight="false" outlineLevel="0" collapsed="false">
      <c r="M1010" s="24" t="str">
        <f aca="false">IF($C1010="","",IFERROR(INDEX(Account_Mapping!$C:$C,MATCH($C1010&amp;"",Account_Mapping!$A:$A,0))&amp;"",""))</f>
        <v/>
      </c>
      <c r="N1010" s="24" t="str">
        <f aca="false">IF($K1010&lt;&gt;"",$K1010,$M1010)</f>
        <v/>
      </c>
      <c r="O1010" s="24" t="str">
        <f aca="false">IF($F1010="","",IFERROR(INDEX(Counterparties!$C:$C,MATCH($F1010&amp;"",Counterparties!$A:$A,0))&amp;"",""))</f>
        <v/>
      </c>
      <c r="P1010" s="24" t="str">
        <f aca="false">IF($O1010="","",IF($O1010="CY","CY",IF(ISNUMBER(MATCH($O1010,Lists!$A:$A,0)),"EU","3RD")))</f>
        <v/>
      </c>
      <c r="Q1010" s="24" t="str">
        <f aca="false">IF($F1010="","N",IFERROR(IF(INDEX(Counterparties!$E:$E,MATCH($F1010&amp;"",Counterparties!$A:$A,0))="Y","Y","N"),"N"))</f>
        <v>N</v>
      </c>
      <c r="R1010" s="25" t="n">
        <f aca="false">IF(OR($H1010="",$H1010="EUR"),1,IFERROR(INDEX(FX_Rates!$D:$D,MATCH($H1010,FX_Rates!$A:$A,0)),""))</f>
        <v>1</v>
      </c>
      <c r="S1010" s="26" t="str">
        <f aca="false">IF(AND($I1010="",$J1010=""),"",IF($J1010&lt;&gt;"",$J1010,IF(OR($R1010="",$R1010=0),"",ROUND($I1010/$R1010,2))))</f>
        <v/>
      </c>
      <c r="T1010" s="24" t="str">
        <f aca="false">IF($N1010="","",IFERROR(INDEX(VAT_Codes!$C:$C,MATCH($N1010,VAT_Codes!$A:$A,0)),"")&amp;"")</f>
        <v/>
      </c>
      <c r="U1010" s="26" t="n">
        <f aca="false">IF(OR($S1010="",$T1010="",$T1010="None"),0,IF($T1010="Output",-$S1010,$S1010))</f>
        <v>0</v>
      </c>
      <c r="V1010" s="27" t="n">
        <f aca="false">IF($N1010="",0,IFERROR(INDEX(VAT_Codes!$D:$D,MATCH($N1010,VAT_Codes!$A:$A,0)),0))</f>
        <v>0</v>
      </c>
      <c r="W1010" s="26" t="n">
        <f aca="false">IF($U1010=0,0,IF(IFERROR(INDEX(VAT_Codes!$F:$F,MATCH($N1010,VAT_Codes!$A:$A,0)),"N")="Y",$U1010,IF($L1010&lt;&gt;"",ROUND(ABS($L1010)/IF(OR($R1010="",$R1010=0),1,$R1010),2)*SIGN($U1010),ROUND($U1010*$V1010,2))))</f>
        <v>0</v>
      </c>
      <c r="X1010" s="24" t="str">
        <f aca="false">IF($N1010="","",IFERROR(INDEX(VAT_Codes!$H:$H,MATCH($N1010,VAT_Codes!$A:$A,0)),"")&amp;"")</f>
        <v/>
      </c>
      <c r="Y1010" s="24" t="str">
        <f aca="false">IF($A1010="","",(YEAR($A1010)-YEAR(Settings!$C$8))*12+MONTH($A1010)-MONTH(Settings!$C$8)+1)</f>
        <v/>
      </c>
      <c r="Z1010" s="24" t="str">
        <f aca="false">IF(AND($C1010="",$I1010="",$J1010=""),"",IF($N1010="","NO VAT CODE",IF($T1010="","UNKNOWN VAT CODE",IF($S1010="","MISSING FX RATE",IF(OR($A1010&lt;Settings!$C$8,$A1010&gt;Settings!$C$9),"OUTSIDE PERIOD",IF(AND(IFERROR(INDEX(VAT_Codes!$E:$E,MATCH($N1010,VAT_Codes!$A:$A,0)),"ANY")&lt;&gt;"ANY",$P1010=""),"MISSING COUNTERPARTY COUNTRY",IF(AND(IFERROR(INDEX(VAT_Codes!$E:$E,MATCH($N1010,VAT_Codes!$A:$A,0)),"ANY")&lt;&gt;"ANY",$P1010&lt;&gt;IFERROR(INDEX(VAT_Codes!$E:$E,MATCH($N1010,VAT_Codes!$A:$A,0)),"ANY")),"REGION MISMATCH","OK")))))))</f>
        <v/>
      </c>
    </row>
    <row r="1011" customFormat="false" ht="15" hidden="false" customHeight="false" outlineLevel="0" collapsed="false">
      <c r="M1011" s="24" t="str">
        <f aca="false">IF($C1011="","",IFERROR(INDEX(Account_Mapping!$C:$C,MATCH($C1011&amp;"",Account_Mapping!$A:$A,0))&amp;"",""))</f>
        <v/>
      </c>
      <c r="N1011" s="24" t="str">
        <f aca="false">IF($K1011&lt;&gt;"",$K1011,$M1011)</f>
        <v/>
      </c>
      <c r="O1011" s="24" t="str">
        <f aca="false">IF($F1011="","",IFERROR(INDEX(Counterparties!$C:$C,MATCH($F1011&amp;"",Counterparties!$A:$A,0))&amp;"",""))</f>
        <v/>
      </c>
      <c r="P1011" s="24" t="str">
        <f aca="false">IF($O1011="","",IF($O1011="CY","CY",IF(ISNUMBER(MATCH($O1011,Lists!$A:$A,0)),"EU","3RD")))</f>
        <v/>
      </c>
      <c r="Q1011" s="24" t="str">
        <f aca="false">IF($F1011="","N",IFERROR(IF(INDEX(Counterparties!$E:$E,MATCH($F1011&amp;"",Counterparties!$A:$A,0))="Y","Y","N"),"N"))</f>
        <v>N</v>
      </c>
      <c r="R1011" s="25" t="n">
        <f aca="false">IF(OR($H1011="",$H1011="EUR"),1,IFERROR(INDEX(FX_Rates!$D:$D,MATCH($H1011,FX_Rates!$A:$A,0)),""))</f>
        <v>1</v>
      </c>
      <c r="S1011" s="26" t="str">
        <f aca="false">IF(AND($I1011="",$J1011=""),"",IF($J1011&lt;&gt;"",$J1011,IF(OR($R1011="",$R1011=0),"",ROUND($I1011/$R1011,2))))</f>
        <v/>
      </c>
      <c r="T1011" s="24" t="str">
        <f aca="false">IF($N1011="","",IFERROR(INDEX(VAT_Codes!$C:$C,MATCH($N1011,VAT_Codes!$A:$A,0)),"")&amp;"")</f>
        <v/>
      </c>
      <c r="U1011" s="26" t="n">
        <f aca="false">IF(OR($S1011="",$T1011="",$T1011="None"),0,IF($T1011="Output",-$S1011,$S1011))</f>
        <v>0</v>
      </c>
      <c r="V1011" s="27" t="n">
        <f aca="false">IF($N1011="",0,IFERROR(INDEX(VAT_Codes!$D:$D,MATCH($N1011,VAT_Codes!$A:$A,0)),0))</f>
        <v>0</v>
      </c>
      <c r="W1011" s="26" t="n">
        <f aca="false">IF($U1011=0,0,IF(IFERROR(INDEX(VAT_Codes!$F:$F,MATCH($N1011,VAT_Codes!$A:$A,0)),"N")="Y",$U1011,IF($L1011&lt;&gt;"",ROUND(ABS($L1011)/IF(OR($R1011="",$R1011=0),1,$R1011),2)*SIGN($U1011),ROUND($U1011*$V1011,2))))</f>
        <v>0</v>
      </c>
      <c r="X1011" s="24" t="str">
        <f aca="false">IF($N1011="","",IFERROR(INDEX(VAT_Codes!$H:$H,MATCH($N1011,VAT_Codes!$A:$A,0)),"")&amp;"")</f>
        <v/>
      </c>
      <c r="Y1011" s="24" t="str">
        <f aca="false">IF($A1011="","",(YEAR($A1011)-YEAR(Settings!$C$8))*12+MONTH($A1011)-MONTH(Settings!$C$8)+1)</f>
        <v/>
      </c>
      <c r="Z1011" s="24" t="str">
        <f aca="false">IF(AND($C1011="",$I1011="",$J1011=""),"",IF($N1011="","NO VAT CODE",IF($T1011="","UNKNOWN VAT CODE",IF($S1011="","MISSING FX RATE",IF(OR($A1011&lt;Settings!$C$8,$A1011&gt;Settings!$C$9),"OUTSIDE PERIOD",IF(AND(IFERROR(INDEX(VAT_Codes!$E:$E,MATCH($N1011,VAT_Codes!$A:$A,0)),"ANY")&lt;&gt;"ANY",$P1011=""),"MISSING COUNTERPARTY COUNTRY",IF(AND(IFERROR(INDEX(VAT_Codes!$E:$E,MATCH($N1011,VAT_Codes!$A:$A,0)),"ANY")&lt;&gt;"ANY",$P1011&lt;&gt;IFERROR(INDEX(VAT_Codes!$E:$E,MATCH($N1011,VAT_Codes!$A:$A,0)),"ANY")),"REGION MISMATCH","OK")))))))</f>
        <v/>
      </c>
    </row>
    <row r="1012" customFormat="false" ht="15" hidden="false" customHeight="false" outlineLevel="0" collapsed="false">
      <c r="M1012" s="24" t="str">
        <f aca="false">IF($C1012="","",IFERROR(INDEX(Account_Mapping!$C:$C,MATCH($C1012&amp;"",Account_Mapping!$A:$A,0))&amp;"",""))</f>
        <v/>
      </c>
      <c r="N1012" s="24" t="str">
        <f aca="false">IF($K1012&lt;&gt;"",$K1012,$M1012)</f>
        <v/>
      </c>
      <c r="O1012" s="24" t="str">
        <f aca="false">IF($F1012="","",IFERROR(INDEX(Counterparties!$C:$C,MATCH($F1012&amp;"",Counterparties!$A:$A,0))&amp;"",""))</f>
        <v/>
      </c>
      <c r="P1012" s="24" t="str">
        <f aca="false">IF($O1012="","",IF($O1012="CY","CY",IF(ISNUMBER(MATCH($O1012,Lists!$A:$A,0)),"EU","3RD")))</f>
        <v/>
      </c>
      <c r="Q1012" s="24" t="str">
        <f aca="false">IF($F1012="","N",IFERROR(IF(INDEX(Counterparties!$E:$E,MATCH($F1012&amp;"",Counterparties!$A:$A,0))="Y","Y","N"),"N"))</f>
        <v>N</v>
      </c>
      <c r="R1012" s="25" t="n">
        <f aca="false">IF(OR($H1012="",$H1012="EUR"),1,IFERROR(INDEX(FX_Rates!$D:$D,MATCH($H1012,FX_Rates!$A:$A,0)),""))</f>
        <v>1</v>
      </c>
      <c r="S1012" s="26" t="str">
        <f aca="false">IF(AND($I1012="",$J1012=""),"",IF($J1012&lt;&gt;"",$J1012,IF(OR($R1012="",$R1012=0),"",ROUND($I1012/$R1012,2))))</f>
        <v/>
      </c>
      <c r="T1012" s="24" t="str">
        <f aca="false">IF($N1012="","",IFERROR(INDEX(VAT_Codes!$C:$C,MATCH($N1012,VAT_Codes!$A:$A,0)),"")&amp;"")</f>
        <v/>
      </c>
      <c r="U1012" s="26" t="n">
        <f aca="false">IF(OR($S1012="",$T1012="",$T1012="None"),0,IF($T1012="Output",-$S1012,$S1012))</f>
        <v>0</v>
      </c>
      <c r="V1012" s="27" t="n">
        <f aca="false">IF($N1012="",0,IFERROR(INDEX(VAT_Codes!$D:$D,MATCH($N1012,VAT_Codes!$A:$A,0)),0))</f>
        <v>0</v>
      </c>
      <c r="W1012" s="26" t="n">
        <f aca="false">IF($U1012=0,0,IF(IFERROR(INDEX(VAT_Codes!$F:$F,MATCH($N1012,VAT_Codes!$A:$A,0)),"N")="Y",$U1012,IF($L1012&lt;&gt;"",ROUND(ABS($L1012)/IF(OR($R1012="",$R1012=0),1,$R1012),2)*SIGN($U1012),ROUND($U1012*$V1012,2))))</f>
        <v>0</v>
      </c>
      <c r="X1012" s="24" t="str">
        <f aca="false">IF($N1012="","",IFERROR(INDEX(VAT_Codes!$H:$H,MATCH($N1012,VAT_Codes!$A:$A,0)),"")&amp;"")</f>
        <v/>
      </c>
      <c r="Y1012" s="24" t="str">
        <f aca="false">IF($A1012="","",(YEAR($A1012)-YEAR(Settings!$C$8))*12+MONTH($A1012)-MONTH(Settings!$C$8)+1)</f>
        <v/>
      </c>
      <c r="Z1012" s="24" t="str">
        <f aca="false">IF(AND($C1012="",$I1012="",$J1012=""),"",IF($N1012="","NO VAT CODE",IF($T1012="","UNKNOWN VAT CODE",IF($S1012="","MISSING FX RATE",IF(OR($A1012&lt;Settings!$C$8,$A1012&gt;Settings!$C$9),"OUTSIDE PERIOD",IF(AND(IFERROR(INDEX(VAT_Codes!$E:$E,MATCH($N1012,VAT_Codes!$A:$A,0)),"ANY")&lt;&gt;"ANY",$P1012=""),"MISSING COUNTERPARTY COUNTRY",IF(AND(IFERROR(INDEX(VAT_Codes!$E:$E,MATCH($N1012,VAT_Codes!$A:$A,0)),"ANY")&lt;&gt;"ANY",$P1012&lt;&gt;IFERROR(INDEX(VAT_Codes!$E:$E,MATCH($N1012,VAT_Codes!$A:$A,0)),"ANY")),"REGION MISMATCH","OK")))))))</f>
        <v/>
      </c>
    </row>
    <row r="1013" customFormat="false" ht="15" hidden="false" customHeight="false" outlineLevel="0" collapsed="false">
      <c r="M1013" s="24" t="str">
        <f aca="false">IF($C1013="","",IFERROR(INDEX(Account_Mapping!$C:$C,MATCH($C1013&amp;"",Account_Mapping!$A:$A,0))&amp;"",""))</f>
        <v/>
      </c>
      <c r="N1013" s="24" t="str">
        <f aca="false">IF($K1013&lt;&gt;"",$K1013,$M1013)</f>
        <v/>
      </c>
      <c r="O1013" s="24" t="str">
        <f aca="false">IF($F1013="","",IFERROR(INDEX(Counterparties!$C:$C,MATCH($F1013&amp;"",Counterparties!$A:$A,0))&amp;"",""))</f>
        <v/>
      </c>
      <c r="P1013" s="24" t="str">
        <f aca="false">IF($O1013="","",IF($O1013="CY","CY",IF(ISNUMBER(MATCH($O1013,Lists!$A:$A,0)),"EU","3RD")))</f>
        <v/>
      </c>
      <c r="Q1013" s="24" t="str">
        <f aca="false">IF($F1013="","N",IFERROR(IF(INDEX(Counterparties!$E:$E,MATCH($F1013&amp;"",Counterparties!$A:$A,0))="Y","Y","N"),"N"))</f>
        <v>N</v>
      </c>
      <c r="R1013" s="25" t="n">
        <f aca="false">IF(OR($H1013="",$H1013="EUR"),1,IFERROR(INDEX(FX_Rates!$D:$D,MATCH($H1013,FX_Rates!$A:$A,0)),""))</f>
        <v>1</v>
      </c>
      <c r="S1013" s="26" t="str">
        <f aca="false">IF(AND($I1013="",$J1013=""),"",IF($J1013&lt;&gt;"",$J1013,IF(OR($R1013="",$R1013=0),"",ROUND($I1013/$R1013,2))))</f>
        <v/>
      </c>
      <c r="T1013" s="24" t="str">
        <f aca="false">IF($N1013="","",IFERROR(INDEX(VAT_Codes!$C:$C,MATCH($N1013,VAT_Codes!$A:$A,0)),"")&amp;"")</f>
        <v/>
      </c>
      <c r="U1013" s="26" t="n">
        <f aca="false">IF(OR($S1013="",$T1013="",$T1013="None"),0,IF($T1013="Output",-$S1013,$S1013))</f>
        <v>0</v>
      </c>
      <c r="V1013" s="27" t="n">
        <f aca="false">IF($N1013="",0,IFERROR(INDEX(VAT_Codes!$D:$D,MATCH($N1013,VAT_Codes!$A:$A,0)),0))</f>
        <v>0</v>
      </c>
      <c r="W1013" s="26" t="n">
        <f aca="false">IF($U1013=0,0,IF(IFERROR(INDEX(VAT_Codes!$F:$F,MATCH($N1013,VAT_Codes!$A:$A,0)),"N")="Y",$U1013,IF($L1013&lt;&gt;"",ROUND(ABS($L1013)/IF(OR($R1013="",$R1013=0),1,$R1013),2)*SIGN($U1013),ROUND($U1013*$V1013,2))))</f>
        <v>0</v>
      </c>
      <c r="X1013" s="24" t="str">
        <f aca="false">IF($N1013="","",IFERROR(INDEX(VAT_Codes!$H:$H,MATCH($N1013,VAT_Codes!$A:$A,0)),"")&amp;"")</f>
        <v/>
      </c>
      <c r="Y1013" s="24" t="str">
        <f aca="false">IF($A1013="","",(YEAR($A1013)-YEAR(Settings!$C$8))*12+MONTH($A1013)-MONTH(Settings!$C$8)+1)</f>
        <v/>
      </c>
      <c r="Z1013" s="24" t="str">
        <f aca="false">IF(AND($C1013="",$I1013="",$J1013=""),"",IF($N1013="","NO VAT CODE",IF($T1013="","UNKNOWN VAT CODE",IF($S1013="","MISSING FX RATE",IF(OR($A1013&lt;Settings!$C$8,$A1013&gt;Settings!$C$9),"OUTSIDE PERIOD",IF(AND(IFERROR(INDEX(VAT_Codes!$E:$E,MATCH($N1013,VAT_Codes!$A:$A,0)),"ANY")&lt;&gt;"ANY",$P1013=""),"MISSING COUNTERPARTY COUNTRY",IF(AND(IFERROR(INDEX(VAT_Codes!$E:$E,MATCH($N1013,VAT_Codes!$A:$A,0)),"ANY")&lt;&gt;"ANY",$P1013&lt;&gt;IFERROR(INDEX(VAT_Codes!$E:$E,MATCH($N1013,VAT_Codes!$A:$A,0)),"ANY")),"REGION MISMATCH","OK")))))))</f>
        <v/>
      </c>
    </row>
    <row r="1014" customFormat="false" ht="15" hidden="false" customHeight="false" outlineLevel="0" collapsed="false">
      <c r="M1014" s="24" t="str">
        <f aca="false">IF($C1014="","",IFERROR(INDEX(Account_Mapping!$C:$C,MATCH($C1014&amp;"",Account_Mapping!$A:$A,0))&amp;"",""))</f>
        <v/>
      </c>
      <c r="N1014" s="24" t="str">
        <f aca="false">IF($K1014&lt;&gt;"",$K1014,$M1014)</f>
        <v/>
      </c>
      <c r="O1014" s="24" t="str">
        <f aca="false">IF($F1014="","",IFERROR(INDEX(Counterparties!$C:$C,MATCH($F1014&amp;"",Counterparties!$A:$A,0))&amp;"",""))</f>
        <v/>
      </c>
      <c r="P1014" s="24" t="str">
        <f aca="false">IF($O1014="","",IF($O1014="CY","CY",IF(ISNUMBER(MATCH($O1014,Lists!$A:$A,0)),"EU","3RD")))</f>
        <v/>
      </c>
      <c r="Q1014" s="24" t="str">
        <f aca="false">IF($F1014="","N",IFERROR(IF(INDEX(Counterparties!$E:$E,MATCH($F1014&amp;"",Counterparties!$A:$A,0))="Y","Y","N"),"N"))</f>
        <v>N</v>
      </c>
      <c r="R1014" s="25" t="n">
        <f aca="false">IF(OR($H1014="",$H1014="EUR"),1,IFERROR(INDEX(FX_Rates!$D:$D,MATCH($H1014,FX_Rates!$A:$A,0)),""))</f>
        <v>1</v>
      </c>
      <c r="S1014" s="26" t="str">
        <f aca="false">IF(AND($I1014="",$J1014=""),"",IF($J1014&lt;&gt;"",$J1014,IF(OR($R1014="",$R1014=0),"",ROUND($I1014/$R1014,2))))</f>
        <v/>
      </c>
      <c r="T1014" s="24" t="str">
        <f aca="false">IF($N1014="","",IFERROR(INDEX(VAT_Codes!$C:$C,MATCH($N1014,VAT_Codes!$A:$A,0)),"")&amp;"")</f>
        <v/>
      </c>
      <c r="U1014" s="26" t="n">
        <f aca="false">IF(OR($S1014="",$T1014="",$T1014="None"),0,IF($T1014="Output",-$S1014,$S1014))</f>
        <v>0</v>
      </c>
      <c r="V1014" s="27" t="n">
        <f aca="false">IF($N1014="",0,IFERROR(INDEX(VAT_Codes!$D:$D,MATCH($N1014,VAT_Codes!$A:$A,0)),0))</f>
        <v>0</v>
      </c>
      <c r="W1014" s="26" t="n">
        <f aca="false">IF($U1014=0,0,IF(IFERROR(INDEX(VAT_Codes!$F:$F,MATCH($N1014,VAT_Codes!$A:$A,0)),"N")="Y",$U1014,IF($L1014&lt;&gt;"",ROUND(ABS($L1014)/IF(OR($R1014="",$R1014=0),1,$R1014),2)*SIGN($U1014),ROUND($U1014*$V1014,2))))</f>
        <v>0</v>
      </c>
      <c r="X1014" s="24" t="str">
        <f aca="false">IF($N1014="","",IFERROR(INDEX(VAT_Codes!$H:$H,MATCH($N1014,VAT_Codes!$A:$A,0)),"")&amp;"")</f>
        <v/>
      </c>
      <c r="Y1014" s="24" t="str">
        <f aca="false">IF($A1014="","",(YEAR($A1014)-YEAR(Settings!$C$8))*12+MONTH($A1014)-MONTH(Settings!$C$8)+1)</f>
        <v/>
      </c>
      <c r="Z1014" s="24" t="str">
        <f aca="false">IF(AND($C1014="",$I1014="",$J1014=""),"",IF($N1014="","NO VAT CODE",IF($T1014="","UNKNOWN VAT CODE",IF($S1014="","MISSING FX RATE",IF(OR($A1014&lt;Settings!$C$8,$A1014&gt;Settings!$C$9),"OUTSIDE PERIOD",IF(AND(IFERROR(INDEX(VAT_Codes!$E:$E,MATCH($N1014,VAT_Codes!$A:$A,0)),"ANY")&lt;&gt;"ANY",$P1014=""),"MISSING COUNTERPARTY COUNTRY",IF(AND(IFERROR(INDEX(VAT_Codes!$E:$E,MATCH($N1014,VAT_Codes!$A:$A,0)),"ANY")&lt;&gt;"ANY",$P1014&lt;&gt;IFERROR(INDEX(VAT_Codes!$E:$E,MATCH($N1014,VAT_Codes!$A:$A,0)),"ANY")),"REGION MISMATCH","OK")))))))</f>
        <v/>
      </c>
    </row>
    <row r="1015" customFormat="false" ht="15" hidden="false" customHeight="false" outlineLevel="0" collapsed="false">
      <c r="M1015" s="24" t="str">
        <f aca="false">IF($C1015="","",IFERROR(INDEX(Account_Mapping!$C:$C,MATCH($C1015&amp;"",Account_Mapping!$A:$A,0))&amp;"",""))</f>
        <v/>
      </c>
      <c r="N1015" s="24" t="str">
        <f aca="false">IF($K1015&lt;&gt;"",$K1015,$M1015)</f>
        <v/>
      </c>
      <c r="O1015" s="24" t="str">
        <f aca="false">IF($F1015="","",IFERROR(INDEX(Counterparties!$C:$C,MATCH($F1015&amp;"",Counterparties!$A:$A,0))&amp;"",""))</f>
        <v/>
      </c>
      <c r="P1015" s="24" t="str">
        <f aca="false">IF($O1015="","",IF($O1015="CY","CY",IF(ISNUMBER(MATCH($O1015,Lists!$A:$A,0)),"EU","3RD")))</f>
        <v/>
      </c>
      <c r="Q1015" s="24" t="str">
        <f aca="false">IF($F1015="","N",IFERROR(IF(INDEX(Counterparties!$E:$E,MATCH($F1015&amp;"",Counterparties!$A:$A,0))="Y","Y","N"),"N"))</f>
        <v>N</v>
      </c>
      <c r="R1015" s="25" t="n">
        <f aca="false">IF(OR($H1015="",$H1015="EUR"),1,IFERROR(INDEX(FX_Rates!$D:$D,MATCH($H1015,FX_Rates!$A:$A,0)),""))</f>
        <v>1</v>
      </c>
      <c r="S1015" s="26" t="str">
        <f aca="false">IF(AND($I1015="",$J1015=""),"",IF($J1015&lt;&gt;"",$J1015,IF(OR($R1015="",$R1015=0),"",ROUND($I1015/$R1015,2))))</f>
        <v/>
      </c>
      <c r="T1015" s="24" t="str">
        <f aca="false">IF($N1015="","",IFERROR(INDEX(VAT_Codes!$C:$C,MATCH($N1015,VAT_Codes!$A:$A,0)),"")&amp;"")</f>
        <v/>
      </c>
      <c r="U1015" s="26" t="n">
        <f aca="false">IF(OR($S1015="",$T1015="",$T1015="None"),0,IF($T1015="Output",-$S1015,$S1015))</f>
        <v>0</v>
      </c>
      <c r="V1015" s="27" t="n">
        <f aca="false">IF($N1015="",0,IFERROR(INDEX(VAT_Codes!$D:$D,MATCH($N1015,VAT_Codes!$A:$A,0)),0))</f>
        <v>0</v>
      </c>
      <c r="W1015" s="26" t="n">
        <f aca="false">IF($U1015=0,0,IF(IFERROR(INDEX(VAT_Codes!$F:$F,MATCH($N1015,VAT_Codes!$A:$A,0)),"N")="Y",$U1015,IF($L1015&lt;&gt;"",ROUND(ABS($L1015)/IF(OR($R1015="",$R1015=0),1,$R1015),2)*SIGN($U1015),ROUND($U1015*$V1015,2))))</f>
        <v>0</v>
      </c>
      <c r="X1015" s="24" t="str">
        <f aca="false">IF($N1015="","",IFERROR(INDEX(VAT_Codes!$H:$H,MATCH($N1015,VAT_Codes!$A:$A,0)),"")&amp;"")</f>
        <v/>
      </c>
      <c r="Y1015" s="24" t="str">
        <f aca="false">IF($A1015="","",(YEAR($A1015)-YEAR(Settings!$C$8))*12+MONTH($A1015)-MONTH(Settings!$C$8)+1)</f>
        <v/>
      </c>
      <c r="Z1015" s="24" t="str">
        <f aca="false">IF(AND($C1015="",$I1015="",$J1015=""),"",IF($N1015="","NO VAT CODE",IF($T1015="","UNKNOWN VAT CODE",IF($S1015="","MISSING FX RATE",IF(OR($A1015&lt;Settings!$C$8,$A1015&gt;Settings!$C$9),"OUTSIDE PERIOD",IF(AND(IFERROR(INDEX(VAT_Codes!$E:$E,MATCH($N1015,VAT_Codes!$A:$A,0)),"ANY")&lt;&gt;"ANY",$P1015=""),"MISSING COUNTERPARTY COUNTRY",IF(AND(IFERROR(INDEX(VAT_Codes!$E:$E,MATCH($N1015,VAT_Codes!$A:$A,0)),"ANY")&lt;&gt;"ANY",$P1015&lt;&gt;IFERROR(INDEX(VAT_Codes!$E:$E,MATCH($N1015,VAT_Codes!$A:$A,0)),"ANY")),"REGION MISMATCH","OK")))))))</f>
        <v/>
      </c>
    </row>
    <row r="1016" customFormat="false" ht="15" hidden="false" customHeight="false" outlineLevel="0" collapsed="false">
      <c r="M1016" s="24" t="str">
        <f aca="false">IF($C1016="","",IFERROR(INDEX(Account_Mapping!$C:$C,MATCH($C1016&amp;"",Account_Mapping!$A:$A,0))&amp;"",""))</f>
        <v/>
      </c>
      <c r="N1016" s="24" t="str">
        <f aca="false">IF($K1016&lt;&gt;"",$K1016,$M1016)</f>
        <v/>
      </c>
      <c r="O1016" s="24" t="str">
        <f aca="false">IF($F1016="","",IFERROR(INDEX(Counterparties!$C:$C,MATCH($F1016&amp;"",Counterparties!$A:$A,0))&amp;"",""))</f>
        <v/>
      </c>
      <c r="P1016" s="24" t="str">
        <f aca="false">IF($O1016="","",IF($O1016="CY","CY",IF(ISNUMBER(MATCH($O1016,Lists!$A:$A,0)),"EU","3RD")))</f>
        <v/>
      </c>
      <c r="Q1016" s="24" t="str">
        <f aca="false">IF($F1016="","N",IFERROR(IF(INDEX(Counterparties!$E:$E,MATCH($F1016&amp;"",Counterparties!$A:$A,0))="Y","Y","N"),"N"))</f>
        <v>N</v>
      </c>
      <c r="R1016" s="25" t="n">
        <f aca="false">IF(OR($H1016="",$H1016="EUR"),1,IFERROR(INDEX(FX_Rates!$D:$D,MATCH($H1016,FX_Rates!$A:$A,0)),""))</f>
        <v>1</v>
      </c>
      <c r="S1016" s="26" t="str">
        <f aca="false">IF(AND($I1016="",$J1016=""),"",IF($J1016&lt;&gt;"",$J1016,IF(OR($R1016="",$R1016=0),"",ROUND($I1016/$R1016,2))))</f>
        <v/>
      </c>
      <c r="T1016" s="24" t="str">
        <f aca="false">IF($N1016="","",IFERROR(INDEX(VAT_Codes!$C:$C,MATCH($N1016,VAT_Codes!$A:$A,0)),"")&amp;"")</f>
        <v/>
      </c>
      <c r="U1016" s="26" t="n">
        <f aca="false">IF(OR($S1016="",$T1016="",$T1016="None"),0,IF($T1016="Output",-$S1016,$S1016))</f>
        <v>0</v>
      </c>
      <c r="V1016" s="27" t="n">
        <f aca="false">IF($N1016="",0,IFERROR(INDEX(VAT_Codes!$D:$D,MATCH($N1016,VAT_Codes!$A:$A,0)),0))</f>
        <v>0</v>
      </c>
      <c r="W1016" s="26" t="n">
        <f aca="false">IF($U1016=0,0,IF(IFERROR(INDEX(VAT_Codes!$F:$F,MATCH($N1016,VAT_Codes!$A:$A,0)),"N")="Y",$U1016,IF($L1016&lt;&gt;"",ROUND(ABS($L1016)/IF(OR($R1016="",$R1016=0),1,$R1016),2)*SIGN($U1016),ROUND($U1016*$V1016,2))))</f>
        <v>0</v>
      </c>
      <c r="X1016" s="24" t="str">
        <f aca="false">IF($N1016="","",IFERROR(INDEX(VAT_Codes!$H:$H,MATCH($N1016,VAT_Codes!$A:$A,0)),"")&amp;"")</f>
        <v/>
      </c>
      <c r="Y1016" s="24" t="str">
        <f aca="false">IF($A1016="","",(YEAR($A1016)-YEAR(Settings!$C$8))*12+MONTH($A1016)-MONTH(Settings!$C$8)+1)</f>
        <v/>
      </c>
      <c r="Z1016" s="24" t="str">
        <f aca="false">IF(AND($C1016="",$I1016="",$J1016=""),"",IF($N1016="","NO VAT CODE",IF($T1016="","UNKNOWN VAT CODE",IF($S1016="","MISSING FX RATE",IF(OR($A1016&lt;Settings!$C$8,$A1016&gt;Settings!$C$9),"OUTSIDE PERIOD",IF(AND(IFERROR(INDEX(VAT_Codes!$E:$E,MATCH($N1016,VAT_Codes!$A:$A,0)),"ANY")&lt;&gt;"ANY",$P1016=""),"MISSING COUNTERPARTY COUNTRY",IF(AND(IFERROR(INDEX(VAT_Codes!$E:$E,MATCH($N1016,VAT_Codes!$A:$A,0)),"ANY")&lt;&gt;"ANY",$P1016&lt;&gt;IFERROR(INDEX(VAT_Codes!$E:$E,MATCH($N1016,VAT_Codes!$A:$A,0)),"ANY")),"REGION MISMATCH","OK")))))))</f>
        <v/>
      </c>
    </row>
    <row r="1017" customFormat="false" ht="15" hidden="false" customHeight="false" outlineLevel="0" collapsed="false">
      <c r="M1017" s="24" t="str">
        <f aca="false">IF($C1017="","",IFERROR(INDEX(Account_Mapping!$C:$C,MATCH($C1017&amp;"",Account_Mapping!$A:$A,0))&amp;"",""))</f>
        <v/>
      </c>
      <c r="N1017" s="24" t="str">
        <f aca="false">IF($K1017&lt;&gt;"",$K1017,$M1017)</f>
        <v/>
      </c>
      <c r="O1017" s="24" t="str">
        <f aca="false">IF($F1017="","",IFERROR(INDEX(Counterparties!$C:$C,MATCH($F1017&amp;"",Counterparties!$A:$A,0))&amp;"",""))</f>
        <v/>
      </c>
      <c r="P1017" s="24" t="str">
        <f aca="false">IF($O1017="","",IF($O1017="CY","CY",IF(ISNUMBER(MATCH($O1017,Lists!$A:$A,0)),"EU","3RD")))</f>
        <v/>
      </c>
      <c r="Q1017" s="24" t="str">
        <f aca="false">IF($F1017="","N",IFERROR(IF(INDEX(Counterparties!$E:$E,MATCH($F1017&amp;"",Counterparties!$A:$A,0))="Y","Y","N"),"N"))</f>
        <v>N</v>
      </c>
      <c r="R1017" s="25" t="n">
        <f aca="false">IF(OR($H1017="",$H1017="EUR"),1,IFERROR(INDEX(FX_Rates!$D:$D,MATCH($H1017,FX_Rates!$A:$A,0)),""))</f>
        <v>1</v>
      </c>
      <c r="S1017" s="26" t="str">
        <f aca="false">IF(AND($I1017="",$J1017=""),"",IF($J1017&lt;&gt;"",$J1017,IF(OR($R1017="",$R1017=0),"",ROUND($I1017/$R1017,2))))</f>
        <v/>
      </c>
      <c r="T1017" s="24" t="str">
        <f aca="false">IF($N1017="","",IFERROR(INDEX(VAT_Codes!$C:$C,MATCH($N1017,VAT_Codes!$A:$A,0)),"")&amp;"")</f>
        <v/>
      </c>
      <c r="U1017" s="26" t="n">
        <f aca="false">IF(OR($S1017="",$T1017="",$T1017="None"),0,IF($T1017="Output",-$S1017,$S1017))</f>
        <v>0</v>
      </c>
      <c r="V1017" s="27" t="n">
        <f aca="false">IF($N1017="",0,IFERROR(INDEX(VAT_Codes!$D:$D,MATCH($N1017,VAT_Codes!$A:$A,0)),0))</f>
        <v>0</v>
      </c>
      <c r="W1017" s="26" t="n">
        <f aca="false">IF($U1017=0,0,IF(IFERROR(INDEX(VAT_Codes!$F:$F,MATCH($N1017,VAT_Codes!$A:$A,0)),"N")="Y",$U1017,IF($L1017&lt;&gt;"",ROUND(ABS($L1017)/IF(OR($R1017="",$R1017=0),1,$R1017),2)*SIGN($U1017),ROUND($U1017*$V1017,2))))</f>
        <v>0</v>
      </c>
      <c r="X1017" s="24" t="str">
        <f aca="false">IF($N1017="","",IFERROR(INDEX(VAT_Codes!$H:$H,MATCH($N1017,VAT_Codes!$A:$A,0)),"")&amp;"")</f>
        <v/>
      </c>
      <c r="Y1017" s="24" t="str">
        <f aca="false">IF($A1017="","",(YEAR($A1017)-YEAR(Settings!$C$8))*12+MONTH($A1017)-MONTH(Settings!$C$8)+1)</f>
        <v/>
      </c>
      <c r="Z1017" s="24" t="str">
        <f aca="false">IF(AND($C1017="",$I1017="",$J1017=""),"",IF($N1017="","NO VAT CODE",IF($T1017="","UNKNOWN VAT CODE",IF($S1017="","MISSING FX RATE",IF(OR($A1017&lt;Settings!$C$8,$A1017&gt;Settings!$C$9),"OUTSIDE PERIOD",IF(AND(IFERROR(INDEX(VAT_Codes!$E:$E,MATCH($N1017,VAT_Codes!$A:$A,0)),"ANY")&lt;&gt;"ANY",$P1017=""),"MISSING COUNTERPARTY COUNTRY",IF(AND(IFERROR(INDEX(VAT_Codes!$E:$E,MATCH($N1017,VAT_Codes!$A:$A,0)),"ANY")&lt;&gt;"ANY",$P1017&lt;&gt;IFERROR(INDEX(VAT_Codes!$E:$E,MATCH($N1017,VAT_Codes!$A:$A,0)),"ANY")),"REGION MISMATCH","OK")))))))</f>
        <v/>
      </c>
    </row>
    <row r="1018" customFormat="false" ht="15" hidden="false" customHeight="false" outlineLevel="0" collapsed="false">
      <c r="M1018" s="24" t="str">
        <f aca="false">IF($C1018="","",IFERROR(INDEX(Account_Mapping!$C:$C,MATCH($C1018&amp;"",Account_Mapping!$A:$A,0))&amp;"",""))</f>
        <v/>
      </c>
      <c r="N1018" s="24" t="str">
        <f aca="false">IF($K1018&lt;&gt;"",$K1018,$M1018)</f>
        <v/>
      </c>
      <c r="O1018" s="24" t="str">
        <f aca="false">IF($F1018="","",IFERROR(INDEX(Counterparties!$C:$C,MATCH($F1018&amp;"",Counterparties!$A:$A,0))&amp;"",""))</f>
        <v/>
      </c>
      <c r="P1018" s="24" t="str">
        <f aca="false">IF($O1018="","",IF($O1018="CY","CY",IF(ISNUMBER(MATCH($O1018,Lists!$A:$A,0)),"EU","3RD")))</f>
        <v/>
      </c>
      <c r="Q1018" s="24" t="str">
        <f aca="false">IF($F1018="","N",IFERROR(IF(INDEX(Counterparties!$E:$E,MATCH($F1018&amp;"",Counterparties!$A:$A,0))="Y","Y","N"),"N"))</f>
        <v>N</v>
      </c>
      <c r="R1018" s="25" t="n">
        <f aca="false">IF(OR($H1018="",$H1018="EUR"),1,IFERROR(INDEX(FX_Rates!$D:$D,MATCH($H1018,FX_Rates!$A:$A,0)),""))</f>
        <v>1</v>
      </c>
      <c r="S1018" s="26" t="str">
        <f aca="false">IF(AND($I1018="",$J1018=""),"",IF($J1018&lt;&gt;"",$J1018,IF(OR($R1018="",$R1018=0),"",ROUND($I1018/$R1018,2))))</f>
        <v/>
      </c>
      <c r="T1018" s="24" t="str">
        <f aca="false">IF($N1018="","",IFERROR(INDEX(VAT_Codes!$C:$C,MATCH($N1018,VAT_Codes!$A:$A,0)),"")&amp;"")</f>
        <v/>
      </c>
      <c r="U1018" s="26" t="n">
        <f aca="false">IF(OR($S1018="",$T1018="",$T1018="None"),0,IF($T1018="Output",-$S1018,$S1018))</f>
        <v>0</v>
      </c>
      <c r="V1018" s="27" t="n">
        <f aca="false">IF($N1018="",0,IFERROR(INDEX(VAT_Codes!$D:$D,MATCH($N1018,VAT_Codes!$A:$A,0)),0))</f>
        <v>0</v>
      </c>
      <c r="W1018" s="26" t="n">
        <f aca="false">IF($U1018=0,0,IF(IFERROR(INDEX(VAT_Codes!$F:$F,MATCH($N1018,VAT_Codes!$A:$A,0)),"N")="Y",$U1018,IF($L1018&lt;&gt;"",ROUND(ABS($L1018)/IF(OR($R1018="",$R1018=0),1,$R1018),2)*SIGN($U1018),ROUND($U1018*$V1018,2))))</f>
        <v>0</v>
      </c>
      <c r="X1018" s="24" t="str">
        <f aca="false">IF($N1018="","",IFERROR(INDEX(VAT_Codes!$H:$H,MATCH($N1018,VAT_Codes!$A:$A,0)),"")&amp;"")</f>
        <v/>
      </c>
      <c r="Y1018" s="24" t="str">
        <f aca="false">IF($A1018="","",(YEAR($A1018)-YEAR(Settings!$C$8))*12+MONTH($A1018)-MONTH(Settings!$C$8)+1)</f>
        <v/>
      </c>
      <c r="Z1018" s="24" t="str">
        <f aca="false">IF(AND($C1018="",$I1018="",$J1018=""),"",IF($N1018="","NO VAT CODE",IF($T1018="","UNKNOWN VAT CODE",IF($S1018="","MISSING FX RATE",IF(OR($A1018&lt;Settings!$C$8,$A1018&gt;Settings!$C$9),"OUTSIDE PERIOD",IF(AND(IFERROR(INDEX(VAT_Codes!$E:$E,MATCH($N1018,VAT_Codes!$A:$A,0)),"ANY")&lt;&gt;"ANY",$P1018=""),"MISSING COUNTERPARTY COUNTRY",IF(AND(IFERROR(INDEX(VAT_Codes!$E:$E,MATCH($N1018,VAT_Codes!$A:$A,0)),"ANY")&lt;&gt;"ANY",$P1018&lt;&gt;IFERROR(INDEX(VAT_Codes!$E:$E,MATCH($N1018,VAT_Codes!$A:$A,0)),"ANY")),"REGION MISMATCH","OK")))))))</f>
        <v/>
      </c>
    </row>
    <row r="1019" customFormat="false" ht="15" hidden="false" customHeight="false" outlineLevel="0" collapsed="false">
      <c r="M1019" s="24" t="str">
        <f aca="false">IF($C1019="","",IFERROR(INDEX(Account_Mapping!$C:$C,MATCH($C1019&amp;"",Account_Mapping!$A:$A,0))&amp;"",""))</f>
        <v/>
      </c>
      <c r="N1019" s="24" t="str">
        <f aca="false">IF($K1019&lt;&gt;"",$K1019,$M1019)</f>
        <v/>
      </c>
      <c r="O1019" s="24" t="str">
        <f aca="false">IF($F1019="","",IFERROR(INDEX(Counterparties!$C:$C,MATCH($F1019&amp;"",Counterparties!$A:$A,0))&amp;"",""))</f>
        <v/>
      </c>
      <c r="P1019" s="24" t="str">
        <f aca="false">IF($O1019="","",IF($O1019="CY","CY",IF(ISNUMBER(MATCH($O1019,Lists!$A:$A,0)),"EU","3RD")))</f>
        <v/>
      </c>
      <c r="Q1019" s="24" t="str">
        <f aca="false">IF($F1019="","N",IFERROR(IF(INDEX(Counterparties!$E:$E,MATCH($F1019&amp;"",Counterparties!$A:$A,0))="Y","Y","N"),"N"))</f>
        <v>N</v>
      </c>
      <c r="R1019" s="25" t="n">
        <f aca="false">IF(OR($H1019="",$H1019="EUR"),1,IFERROR(INDEX(FX_Rates!$D:$D,MATCH($H1019,FX_Rates!$A:$A,0)),""))</f>
        <v>1</v>
      </c>
      <c r="S1019" s="26" t="str">
        <f aca="false">IF(AND($I1019="",$J1019=""),"",IF($J1019&lt;&gt;"",$J1019,IF(OR($R1019="",$R1019=0),"",ROUND($I1019/$R1019,2))))</f>
        <v/>
      </c>
      <c r="T1019" s="24" t="str">
        <f aca="false">IF($N1019="","",IFERROR(INDEX(VAT_Codes!$C:$C,MATCH($N1019,VAT_Codes!$A:$A,0)),"")&amp;"")</f>
        <v/>
      </c>
      <c r="U1019" s="26" t="n">
        <f aca="false">IF(OR($S1019="",$T1019="",$T1019="None"),0,IF($T1019="Output",-$S1019,$S1019))</f>
        <v>0</v>
      </c>
      <c r="V1019" s="27" t="n">
        <f aca="false">IF($N1019="",0,IFERROR(INDEX(VAT_Codes!$D:$D,MATCH($N1019,VAT_Codes!$A:$A,0)),0))</f>
        <v>0</v>
      </c>
      <c r="W1019" s="26" t="n">
        <f aca="false">IF($U1019=0,0,IF(IFERROR(INDEX(VAT_Codes!$F:$F,MATCH($N1019,VAT_Codes!$A:$A,0)),"N")="Y",$U1019,IF($L1019&lt;&gt;"",ROUND(ABS($L1019)/IF(OR($R1019="",$R1019=0),1,$R1019),2)*SIGN($U1019),ROUND($U1019*$V1019,2))))</f>
        <v>0</v>
      </c>
      <c r="X1019" s="24" t="str">
        <f aca="false">IF($N1019="","",IFERROR(INDEX(VAT_Codes!$H:$H,MATCH($N1019,VAT_Codes!$A:$A,0)),"")&amp;"")</f>
        <v/>
      </c>
      <c r="Y1019" s="24" t="str">
        <f aca="false">IF($A1019="","",(YEAR($A1019)-YEAR(Settings!$C$8))*12+MONTH($A1019)-MONTH(Settings!$C$8)+1)</f>
        <v/>
      </c>
      <c r="Z1019" s="24" t="str">
        <f aca="false">IF(AND($C1019="",$I1019="",$J1019=""),"",IF($N1019="","NO VAT CODE",IF($T1019="","UNKNOWN VAT CODE",IF($S1019="","MISSING FX RATE",IF(OR($A1019&lt;Settings!$C$8,$A1019&gt;Settings!$C$9),"OUTSIDE PERIOD",IF(AND(IFERROR(INDEX(VAT_Codes!$E:$E,MATCH($N1019,VAT_Codes!$A:$A,0)),"ANY")&lt;&gt;"ANY",$P1019=""),"MISSING COUNTERPARTY COUNTRY",IF(AND(IFERROR(INDEX(VAT_Codes!$E:$E,MATCH($N1019,VAT_Codes!$A:$A,0)),"ANY")&lt;&gt;"ANY",$P1019&lt;&gt;IFERROR(INDEX(VAT_Codes!$E:$E,MATCH($N1019,VAT_Codes!$A:$A,0)),"ANY")),"REGION MISMATCH","OK")))))))</f>
        <v/>
      </c>
    </row>
    <row r="1020" customFormat="false" ht="15" hidden="false" customHeight="false" outlineLevel="0" collapsed="false">
      <c r="M1020" s="24" t="str">
        <f aca="false">IF($C1020="","",IFERROR(INDEX(Account_Mapping!$C:$C,MATCH($C1020&amp;"",Account_Mapping!$A:$A,0))&amp;"",""))</f>
        <v/>
      </c>
      <c r="N1020" s="24" t="str">
        <f aca="false">IF($K1020&lt;&gt;"",$K1020,$M1020)</f>
        <v/>
      </c>
      <c r="O1020" s="24" t="str">
        <f aca="false">IF($F1020="","",IFERROR(INDEX(Counterparties!$C:$C,MATCH($F1020&amp;"",Counterparties!$A:$A,0))&amp;"",""))</f>
        <v/>
      </c>
      <c r="P1020" s="24" t="str">
        <f aca="false">IF($O1020="","",IF($O1020="CY","CY",IF(ISNUMBER(MATCH($O1020,Lists!$A:$A,0)),"EU","3RD")))</f>
        <v/>
      </c>
      <c r="Q1020" s="24" t="str">
        <f aca="false">IF($F1020="","N",IFERROR(IF(INDEX(Counterparties!$E:$E,MATCH($F1020&amp;"",Counterparties!$A:$A,0))="Y","Y","N"),"N"))</f>
        <v>N</v>
      </c>
      <c r="R1020" s="25" t="n">
        <f aca="false">IF(OR($H1020="",$H1020="EUR"),1,IFERROR(INDEX(FX_Rates!$D:$D,MATCH($H1020,FX_Rates!$A:$A,0)),""))</f>
        <v>1</v>
      </c>
      <c r="S1020" s="26" t="str">
        <f aca="false">IF(AND($I1020="",$J1020=""),"",IF($J1020&lt;&gt;"",$J1020,IF(OR($R1020="",$R1020=0),"",ROUND($I1020/$R1020,2))))</f>
        <v/>
      </c>
      <c r="T1020" s="24" t="str">
        <f aca="false">IF($N1020="","",IFERROR(INDEX(VAT_Codes!$C:$C,MATCH($N1020,VAT_Codes!$A:$A,0)),"")&amp;"")</f>
        <v/>
      </c>
      <c r="U1020" s="26" t="n">
        <f aca="false">IF(OR($S1020="",$T1020="",$T1020="None"),0,IF($T1020="Output",-$S1020,$S1020))</f>
        <v>0</v>
      </c>
      <c r="V1020" s="27" t="n">
        <f aca="false">IF($N1020="",0,IFERROR(INDEX(VAT_Codes!$D:$D,MATCH($N1020,VAT_Codes!$A:$A,0)),0))</f>
        <v>0</v>
      </c>
      <c r="W1020" s="26" t="n">
        <f aca="false">IF($U1020=0,0,IF(IFERROR(INDEX(VAT_Codes!$F:$F,MATCH($N1020,VAT_Codes!$A:$A,0)),"N")="Y",$U1020,IF($L1020&lt;&gt;"",ROUND(ABS($L1020)/IF(OR($R1020="",$R1020=0),1,$R1020),2)*SIGN($U1020),ROUND($U1020*$V1020,2))))</f>
        <v>0</v>
      </c>
      <c r="X1020" s="24" t="str">
        <f aca="false">IF($N1020="","",IFERROR(INDEX(VAT_Codes!$H:$H,MATCH($N1020,VAT_Codes!$A:$A,0)),"")&amp;"")</f>
        <v/>
      </c>
      <c r="Y1020" s="24" t="str">
        <f aca="false">IF($A1020="","",(YEAR($A1020)-YEAR(Settings!$C$8))*12+MONTH($A1020)-MONTH(Settings!$C$8)+1)</f>
        <v/>
      </c>
      <c r="Z1020" s="24" t="str">
        <f aca="false">IF(AND($C1020="",$I1020="",$J1020=""),"",IF($N1020="","NO VAT CODE",IF($T1020="","UNKNOWN VAT CODE",IF($S1020="","MISSING FX RATE",IF(OR($A1020&lt;Settings!$C$8,$A1020&gt;Settings!$C$9),"OUTSIDE PERIOD",IF(AND(IFERROR(INDEX(VAT_Codes!$E:$E,MATCH($N1020,VAT_Codes!$A:$A,0)),"ANY")&lt;&gt;"ANY",$P1020=""),"MISSING COUNTERPARTY COUNTRY",IF(AND(IFERROR(INDEX(VAT_Codes!$E:$E,MATCH($N1020,VAT_Codes!$A:$A,0)),"ANY")&lt;&gt;"ANY",$P1020&lt;&gt;IFERROR(INDEX(VAT_Codes!$E:$E,MATCH($N1020,VAT_Codes!$A:$A,0)),"ANY")),"REGION MISMATCH","OK")))))))</f>
        <v/>
      </c>
    </row>
    <row r="1021" customFormat="false" ht="15" hidden="false" customHeight="false" outlineLevel="0" collapsed="false">
      <c r="M1021" s="24" t="str">
        <f aca="false">IF($C1021="","",IFERROR(INDEX(Account_Mapping!$C:$C,MATCH($C1021&amp;"",Account_Mapping!$A:$A,0))&amp;"",""))</f>
        <v/>
      </c>
      <c r="N1021" s="24" t="str">
        <f aca="false">IF($K1021&lt;&gt;"",$K1021,$M1021)</f>
        <v/>
      </c>
      <c r="O1021" s="24" t="str">
        <f aca="false">IF($F1021="","",IFERROR(INDEX(Counterparties!$C:$C,MATCH($F1021&amp;"",Counterparties!$A:$A,0))&amp;"",""))</f>
        <v/>
      </c>
      <c r="P1021" s="24" t="str">
        <f aca="false">IF($O1021="","",IF($O1021="CY","CY",IF(ISNUMBER(MATCH($O1021,Lists!$A:$A,0)),"EU","3RD")))</f>
        <v/>
      </c>
      <c r="Q1021" s="24" t="str">
        <f aca="false">IF($F1021="","N",IFERROR(IF(INDEX(Counterparties!$E:$E,MATCH($F1021&amp;"",Counterparties!$A:$A,0))="Y","Y","N"),"N"))</f>
        <v>N</v>
      </c>
      <c r="R1021" s="25" t="n">
        <f aca="false">IF(OR($H1021="",$H1021="EUR"),1,IFERROR(INDEX(FX_Rates!$D:$D,MATCH($H1021,FX_Rates!$A:$A,0)),""))</f>
        <v>1</v>
      </c>
      <c r="S1021" s="26" t="str">
        <f aca="false">IF(AND($I1021="",$J1021=""),"",IF($J1021&lt;&gt;"",$J1021,IF(OR($R1021="",$R1021=0),"",ROUND($I1021/$R1021,2))))</f>
        <v/>
      </c>
      <c r="T1021" s="24" t="str">
        <f aca="false">IF($N1021="","",IFERROR(INDEX(VAT_Codes!$C:$C,MATCH($N1021,VAT_Codes!$A:$A,0)),"")&amp;"")</f>
        <v/>
      </c>
      <c r="U1021" s="26" t="n">
        <f aca="false">IF(OR($S1021="",$T1021="",$T1021="None"),0,IF($T1021="Output",-$S1021,$S1021))</f>
        <v>0</v>
      </c>
      <c r="V1021" s="27" t="n">
        <f aca="false">IF($N1021="",0,IFERROR(INDEX(VAT_Codes!$D:$D,MATCH($N1021,VAT_Codes!$A:$A,0)),0))</f>
        <v>0</v>
      </c>
      <c r="W1021" s="26" t="n">
        <f aca="false">IF($U1021=0,0,IF(IFERROR(INDEX(VAT_Codes!$F:$F,MATCH($N1021,VAT_Codes!$A:$A,0)),"N")="Y",$U1021,IF($L1021&lt;&gt;"",ROUND(ABS($L1021)/IF(OR($R1021="",$R1021=0),1,$R1021),2)*SIGN($U1021),ROUND($U1021*$V1021,2))))</f>
        <v>0</v>
      </c>
      <c r="X1021" s="24" t="str">
        <f aca="false">IF($N1021="","",IFERROR(INDEX(VAT_Codes!$H:$H,MATCH($N1021,VAT_Codes!$A:$A,0)),"")&amp;"")</f>
        <v/>
      </c>
      <c r="Y1021" s="24" t="str">
        <f aca="false">IF($A1021="","",(YEAR($A1021)-YEAR(Settings!$C$8))*12+MONTH($A1021)-MONTH(Settings!$C$8)+1)</f>
        <v/>
      </c>
      <c r="Z1021" s="24" t="str">
        <f aca="false">IF(AND($C1021="",$I1021="",$J1021=""),"",IF($N1021="","NO VAT CODE",IF($T1021="","UNKNOWN VAT CODE",IF($S1021="","MISSING FX RATE",IF(OR($A1021&lt;Settings!$C$8,$A1021&gt;Settings!$C$9),"OUTSIDE PERIOD",IF(AND(IFERROR(INDEX(VAT_Codes!$E:$E,MATCH($N1021,VAT_Codes!$A:$A,0)),"ANY")&lt;&gt;"ANY",$P1021=""),"MISSING COUNTERPARTY COUNTRY",IF(AND(IFERROR(INDEX(VAT_Codes!$E:$E,MATCH($N1021,VAT_Codes!$A:$A,0)),"ANY")&lt;&gt;"ANY",$P1021&lt;&gt;IFERROR(INDEX(VAT_Codes!$E:$E,MATCH($N1021,VAT_Codes!$A:$A,0)),"ANY")),"REGION MISMATCH","OK")))))))</f>
        <v/>
      </c>
    </row>
    <row r="1022" customFormat="false" ht="15" hidden="false" customHeight="false" outlineLevel="0" collapsed="false">
      <c r="M1022" s="24" t="str">
        <f aca="false">IF($C1022="","",IFERROR(INDEX(Account_Mapping!$C:$C,MATCH($C1022&amp;"",Account_Mapping!$A:$A,0))&amp;"",""))</f>
        <v/>
      </c>
      <c r="N1022" s="24" t="str">
        <f aca="false">IF($K1022&lt;&gt;"",$K1022,$M1022)</f>
        <v/>
      </c>
      <c r="O1022" s="24" t="str">
        <f aca="false">IF($F1022="","",IFERROR(INDEX(Counterparties!$C:$C,MATCH($F1022&amp;"",Counterparties!$A:$A,0))&amp;"",""))</f>
        <v/>
      </c>
      <c r="P1022" s="24" t="str">
        <f aca="false">IF($O1022="","",IF($O1022="CY","CY",IF(ISNUMBER(MATCH($O1022,Lists!$A:$A,0)),"EU","3RD")))</f>
        <v/>
      </c>
      <c r="Q1022" s="24" t="str">
        <f aca="false">IF($F1022="","N",IFERROR(IF(INDEX(Counterparties!$E:$E,MATCH($F1022&amp;"",Counterparties!$A:$A,0))="Y","Y","N"),"N"))</f>
        <v>N</v>
      </c>
      <c r="R1022" s="25" t="n">
        <f aca="false">IF(OR($H1022="",$H1022="EUR"),1,IFERROR(INDEX(FX_Rates!$D:$D,MATCH($H1022,FX_Rates!$A:$A,0)),""))</f>
        <v>1</v>
      </c>
      <c r="S1022" s="26" t="str">
        <f aca="false">IF(AND($I1022="",$J1022=""),"",IF($J1022&lt;&gt;"",$J1022,IF(OR($R1022="",$R1022=0),"",ROUND($I1022/$R1022,2))))</f>
        <v/>
      </c>
      <c r="T1022" s="24" t="str">
        <f aca="false">IF($N1022="","",IFERROR(INDEX(VAT_Codes!$C:$C,MATCH($N1022,VAT_Codes!$A:$A,0)),"")&amp;"")</f>
        <v/>
      </c>
      <c r="U1022" s="26" t="n">
        <f aca="false">IF(OR($S1022="",$T1022="",$T1022="None"),0,IF($T1022="Output",-$S1022,$S1022))</f>
        <v>0</v>
      </c>
      <c r="V1022" s="27" t="n">
        <f aca="false">IF($N1022="",0,IFERROR(INDEX(VAT_Codes!$D:$D,MATCH($N1022,VAT_Codes!$A:$A,0)),0))</f>
        <v>0</v>
      </c>
      <c r="W1022" s="26" t="n">
        <f aca="false">IF($U1022=0,0,IF(IFERROR(INDEX(VAT_Codes!$F:$F,MATCH($N1022,VAT_Codes!$A:$A,0)),"N")="Y",$U1022,IF($L1022&lt;&gt;"",ROUND(ABS($L1022)/IF(OR($R1022="",$R1022=0),1,$R1022),2)*SIGN($U1022),ROUND($U1022*$V1022,2))))</f>
        <v>0</v>
      </c>
      <c r="X1022" s="24" t="str">
        <f aca="false">IF($N1022="","",IFERROR(INDEX(VAT_Codes!$H:$H,MATCH($N1022,VAT_Codes!$A:$A,0)),"")&amp;"")</f>
        <v/>
      </c>
      <c r="Y1022" s="24" t="str">
        <f aca="false">IF($A1022="","",(YEAR($A1022)-YEAR(Settings!$C$8))*12+MONTH($A1022)-MONTH(Settings!$C$8)+1)</f>
        <v/>
      </c>
      <c r="Z1022" s="24" t="str">
        <f aca="false">IF(AND($C1022="",$I1022="",$J1022=""),"",IF($N1022="","NO VAT CODE",IF($T1022="","UNKNOWN VAT CODE",IF($S1022="","MISSING FX RATE",IF(OR($A1022&lt;Settings!$C$8,$A1022&gt;Settings!$C$9),"OUTSIDE PERIOD",IF(AND(IFERROR(INDEX(VAT_Codes!$E:$E,MATCH($N1022,VAT_Codes!$A:$A,0)),"ANY")&lt;&gt;"ANY",$P1022=""),"MISSING COUNTERPARTY COUNTRY",IF(AND(IFERROR(INDEX(VAT_Codes!$E:$E,MATCH($N1022,VAT_Codes!$A:$A,0)),"ANY")&lt;&gt;"ANY",$P1022&lt;&gt;IFERROR(INDEX(VAT_Codes!$E:$E,MATCH($N1022,VAT_Codes!$A:$A,0)),"ANY")),"REGION MISMATCH","OK")))))))</f>
        <v/>
      </c>
    </row>
    <row r="1023" customFormat="false" ht="15" hidden="false" customHeight="false" outlineLevel="0" collapsed="false">
      <c r="M1023" s="24" t="str">
        <f aca="false">IF($C1023="","",IFERROR(INDEX(Account_Mapping!$C:$C,MATCH($C1023&amp;"",Account_Mapping!$A:$A,0))&amp;"",""))</f>
        <v/>
      </c>
      <c r="N1023" s="24" t="str">
        <f aca="false">IF($K1023&lt;&gt;"",$K1023,$M1023)</f>
        <v/>
      </c>
      <c r="O1023" s="24" t="str">
        <f aca="false">IF($F1023="","",IFERROR(INDEX(Counterparties!$C:$C,MATCH($F1023&amp;"",Counterparties!$A:$A,0))&amp;"",""))</f>
        <v/>
      </c>
      <c r="P1023" s="24" t="str">
        <f aca="false">IF($O1023="","",IF($O1023="CY","CY",IF(ISNUMBER(MATCH($O1023,Lists!$A:$A,0)),"EU","3RD")))</f>
        <v/>
      </c>
      <c r="Q1023" s="24" t="str">
        <f aca="false">IF($F1023="","N",IFERROR(IF(INDEX(Counterparties!$E:$E,MATCH($F1023&amp;"",Counterparties!$A:$A,0))="Y","Y","N"),"N"))</f>
        <v>N</v>
      </c>
      <c r="R1023" s="25" t="n">
        <f aca="false">IF(OR($H1023="",$H1023="EUR"),1,IFERROR(INDEX(FX_Rates!$D:$D,MATCH($H1023,FX_Rates!$A:$A,0)),""))</f>
        <v>1</v>
      </c>
      <c r="S1023" s="26" t="str">
        <f aca="false">IF(AND($I1023="",$J1023=""),"",IF($J1023&lt;&gt;"",$J1023,IF(OR($R1023="",$R1023=0),"",ROUND($I1023/$R1023,2))))</f>
        <v/>
      </c>
      <c r="T1023" s="24" t="str">
        <f aca="false">IF($N1023="","",IFERROR(INDEX(VAT_Codes!$C:$C,MATCH($N1023,VAT_Codes!$A:$A,0)),"")&amp;"")</f>
        <v/>
      </c>
      <c r="U1023" s="26" t="n">
        <f aca="false">IF(OR($S1023="",$T1023="",$T1023="None"),0,IF($T1023="Output",-$S1023,$S1023))</f>
        <v>0</v>
      </c>
      <c r="V1023" s="27" t="n">
        <f aca="false">IF($N1023="",0,IFERROR(INDEX(VAT_Codes!$D:$D,MATCH($N1023,VAT_Codes!$A:$A,0)),0))</f>
        <v>0</v>
      </c>
      <c r="W1023" s="26" t="n">
        <f aca="false">IF($U1023=0,0,IF(IFERROR(INDEX(VAT_Codes!$F:$F,MATCH($N1023,VAT_Codes!$A:$A,0)),"N")="Y",$U1023,IF($L1023&lt;&gt;"",ROUND(ABS($L1023)/IF(OR($R1023="",$R1023=0),1,$R1023),2)*SIGN($U1023),ROUND($U1023*$V1023,2))))</f>
        <v>0</v>
      </c>
      <c r="X1023" s="24" t="str">
        <f aca="false">IF($N1023="","",IFERROR(INDEX(VAT_Codes!$H:$H,MATCH($N1023,VAT_Codes!$A:$A,0)),"")&amp;"")</f>
        <v/>
      </c>
      <c r="Y1023" s="24" t="str">
        <f aca="false">IF($A1023="","",(YEAR($A1023)-YEAR(Settings!$C$8))*12+MONTH($A1023)-MONTH(Settings!$C$8)+1)</f>
        <v/>
      </c>
      <c r="Z1023" s="24" t="str">
        <f aca="false">IF(AND($C1023="",$I1023="",$J1023=""),"",IF($N1023="","NO VAT CODE",IF($T1023="","UNKNOWN VAT CODE",IF($S1023="","MISSING FX RATE",IF(OR($A1023&lt;Settings!$C$8,$A1023&gt;Settings!$C$9),"OUTSIDE PERIOD",IF(AND(IFERROR(INDEX(VAT_Codes!$E:$E,MATCH($N1023,VAT_Codes!$A:$A,0)),"ANY")&lt;&gt;"ANY",$P1023=""),"MISSING COUNTERPARTY COUNTRY",IF(AND(IFERROR(INDEX(VAT_Codes!$E:$E,MATCH($N1023,VAT_Codes!$A:$A,0)),"ANY")&lt;&gt;"ANY",$P1023&lt;&gt;IFERROR(INDEX(VAT_Codes!$E:$E,MATCH($N1023,VAT_Codes!$A:$A,0)),"ANY")),"REGION MISMATCH","OK")))))))</f>
        <v/>
      </c>
    </row>
    <row r="1024" customFormat="false" ht="15" hidden="false" customHeight="false" outlineLevel="0" collapsed="false">
      <c r="M1024" s="24" t="str">
        <f aca="false">IF($C1024="","",IFERROR(INDEX(Account_Mapping!$C:$C,MATCH($C1024&amp;"",Account_Mapping!$A:$A,0))&amp;"",""))</f>
        <v/>
      </c>
      <c r="N1024" s="24" t="str">
        <f aca="false">IF($K1024&lt;&gt;"",$K1024,$M1024)</f>
        <v/>
      </c>
      <c r="O1024" s="24" t="str">
        <f aca="false">IF($F1024="","",IFERROR(INDEX(Counterparties!$C:$C,MATCH($F1024&amp;"",Counterparties!$A:$A,0))&amp;"",""))</f>
        <v/>
      </c>
      <c r="P1024" s="24" t="str">
        <f aca="false">IF($O1024="","",IF($O1024="CY","CY",IF(ISNUMBER(MATCH($O1024,Lists!$A:$A,0)),"EU","3RD")))</f>
        <v/>
      </c>
      <c r="Q1024" s="24" t="str">
        <f aca="false">IF($F1024="","N",IFERROR(IF(INDEX(Counterparties!$E:$E,MATCH($F1024&amp;"",Counterparties!$A:$A,0))="Y","Y","N"),"N"))</f>
        <v>N</v>
      </c>
      <c r="R1024" s="25" t="n">
        <f aca="false">IF(OR($H1024="",$H1024="EUR"),1,IFERROR(INDEX(FX_Rates!$D:$D,MATCH($H1024,FX_Rates!$A:$A,0)),""))</f>
        <v>1</v>
      </c>
      <c r="S1024" s="26" t="str">
        <f aca="false">IF(AND($I1024="",$J1024=""),"",IF($J1024&lt;&gt;"",$J1024,IF(OR($R1024="",$R1024=0),"",ROUND($I1024/$R1024,2))))</f>
        <v/>
      </c>
      <c r="T1024" s="24" t="str">
        <f aca="false">IF($N1024="","",IFERROR(INDEX(VAT_Codes!$C:$C,MATCH($N1024,VAT_Codes!$A:$A,0)),"")&amp;"")</f>
        <v/>
      </c>
      <c r="U1024" s="26" t="n">
        <f aca="false">IF(OR($S1024="",$T1024="",$T1024="None"),0,IF($T1024="Output",-$S1024,$S1024))</f>
        <v>0</v>
      </c>
      <c r="V1024" s="27" t="n">
        <f aca="false">IF($N1024="",0,IFERROR(INDEX(VAT_Codes!$D:$D,MATCH($N1024,VAT_Codes!$A:$A,0)),0))</f>
        <v>0</v>
      </c>
      <c r="W1024" s="26" t="n">
        <f aca="false">IF($U1024=0,0,IF(IFERROR(INDEX(VAT_Codes!$F:$F,MATCH($N1024,VAT_Codes!$A:$A,0)),"N")="Y",$U1024,IF($L1024&lt;&gt;"",ROUND(ABS($L1024)/IF(OR($R1024="",$R1024=0),1,$R1024),2)*SIGN($U1024),ROUND($U1024*$V1024,2))))</f>
        <v>0</v>
      </c>
      <c r="X1024" s="24" t="str">
        <f aca="false">IF($N1024="","",IFERROR(INDEX(VAT_Codes!$H:$H,MATCH($N1024,VAT_Codes!$A:$A,0)),"")&amp;"")</f>
        <v/>
      </c>
      <c r="Y1024" s="24" t="str">
        <f aca="false">IF($A1024="","",(YEAR($A1024)-YEAR(Settings!$C$8))*12+MONTH($A1024)-MONTH(Settings!$C$8)+1)</f>
        <v/>
      </c>
      <c r="Z1024" s="24" t="str">
        <f aca="false">IF(AND($C1024="",$I1024="",$J1024=""),"",IF($N1024="","NO VAT CODE",IF($T1024="","UNKNOWN VAT CODE",IF($S1024="","MISSING FX RATE",IF(OR($A1024&lt;Settings!$C$8,$A1024&gt;Settings!$C$9),"OUTSIDE PERIOD",IF(AND(IFERROR(INDEX(VAT_Codes!$E:$E,MATCH($N1024,VAT_Codes!$A:$A,0)),"ANY")&lt;&gt;"ANY",$P1024=""),"MISSING COUNTERPARTY COUNTRY",IF(AND(IFERROR(INDEX(VAT_Codes!$E:$E,MATCH($N1024,VAT_Codes!$A:$A,0)),"ANY")&lt;&gt;"ANY",$P1024&lt;&gt;IFERROR(INDEX(VAT_Codes!$E:$E,MATCH($N1024,VAT_Codes!$A:$A,0)),"ANY")),"REGION MISMATCH","OK")))))))</f>
        <v/>
      </c>
    </row>
    <row r="1025" customFormat="false" ht="15" hidden="false" customHeight="false" outlineLevel="0" collapsed="false">
      <c r="M1025" s="24" t="str">
        <f aca="false">IF($C1025="","",IFERROR(INDEX(Account_Mapping!$C:$C,MATCH($C1025&amp;"",Account_Mapping!$A:$A,0))&amp;"",""))</f>
        <v/>
      </c>
      <c r="N1025" s="24" t="str">
        <f aca="false">IF($K1025&lt;&gt;"",$K1025,$M1025)</f>
        <v/>
      </c>
      <c r="O1025" s="24" t="str">
        <f aca="false">IF($F1025="","",IFERROR(INDEX(Counterparties!$C:$C,MATCH($F1025&amp;"",Counterparties!$A:$A,0))&amp;"",""))</f>
        <v/>
      </c>
      <c r="P1025" s="24" t="str">
        <f aca="false">IF($O1025="","",IF($O1025="CY","CY",IF(ISNUMBER(MATCH($O1025,Lists!$A:$A,0)),"EU","3RD")))</f>
        <v/>
      </c>
      <c r="Q1025" s="24" t="str">
        <f aca="false">IF($F1025="","N",IFERROR(IF(INDEX(Counterparties!$E:$E,MATCH($F1025&amp;"",Counterparties!$A:$A,0))="Y","Y","N"),"N"))</f>
        <v>N</v>
      </c>
      <c r="R1025" s="25" t="n">
        <f aca="false">IF(OR($H1025="",$H1025="EUR"),1,IFERROR(INDEX(FX_Rates!$D:$D,MATCH($H1025,FX_Rates!$A:$A,0)),""))</f>
        <v>1</v>
      </c>
      <c r="S1025" s="26" t="str">
        <f aca="false">IF(AND($I1025="",$J1025=""),"",IF($J1025&lt;&gt;"",$J1025,IF(OR($R1025="",$R1025=0),"",ROUND($I1025/$R1025,2))))</f>
        <v/>
      </c>
      <c r="T1025" s="24" t="str">
        <f aca="false">IF($N1025="","",IFERROR(INDEX(VAT_Codes!$C:$C,MATCH($N1025,VAT_Codes!$A:$A,0)),"")&amp;"")</f>
        <v/>
      </c>
      <c r="U1025" s="26" t="n">
        <f aca="false">IF(OR($S1025="",$T1025="",$T1025="None"),0,IF($T1025="Output",-$S1025,$S1025))</f>
        <v>0</v>
      </c>
      <c r="V1025" s="27" t="n">
        <f aca="false">IF($N1025="",0,IFERROR(INDEX(VAT_Codes!$D:$D,MATCH($N1025,VAT_Codes!$A:$A,0)),0))</f>
        <v>0</v>
      </c>
      <c r="W1025" s="26" t="n">
        <f aca="false">IF($U1025=0,0,IF(IFERROR(INDEX(VAT_Codes!$F:$F,MATCH($N1025,VAT_Codes!$A:$A,0)),"N")="Y",$U1025,IF($L1025&lt;&gt;"",ROUND(ABS($L1025)/IF(OR($R1025="",$R1025=0),1,$R1025),2)*SIGN($U1025),ROUND($U1025*$V1025,2))))</f>
        <v>0</v>
      </c>
      <c r="X1025" s="24" t="str">
        <f aca="false">IF($N1025="","",IFERROR(INDEX(VAT_Codes!$H:$H,MATCH($N1025,VAT_Codes!$A:$A,0)),"")&amp;"")</f>
        <v/>
      </c>
      <c r="Y1025" s="24" t="str">
        <f aca="false">IF($A1025="","",(YEAR($A1025)-YEAR(Settings!$C$8))*12+MONTH($A1025)-MONTH(Settings!$C$8)+1)</f>
        <v/>
      </c>
      <c r="Z1025" s="24" t="str">
        <f aca="false">IF(AND($C1025="",$I1025="",$J1025=""),"",IF($N1025="","NO VAT CODE",IF($T1025="","UNKNOWN VAT CODE",IF($S1025="","MISSING FX RATE",IF(OR($A1025&lt;Settings!$C$8,$A1025&gt;Settings!$C$9),"OUTSIDE PERIOD",IF(AND(IFERROR(INDEX(VAT_Codes!$E:$E,MATCH($N1025,VAT_Codes!$A:$A,0)),"ANY")&lt;&gt;"ANY",$P1025=""),"MISSING COUNTERPARTY COUNTRY",IF(AND(IFERROR(INDEX(VAT_Codes!$E:$E,MATCH($N1025,VAT_Codes!$A:$A,0)),"ANY")&lt;&gt;"ANY",$P1025&lt;&gt;IFERROR(INDEX(VAT_Codes!$E:$E,MATCH($N1025,VAT_Codes!$A:$A,0)),"ANY")),"REGION MISMATCH","OK")))))))</f>
        <v/>
      </c>
    </row>
    <row r="1026" customFormat="false" ht="15" hidden="false" customHeight="false" outlineLevel="0" collapsed="false">
      <c r="M1026" s="24" t="str">
        <f aca="false">IF($C1026="","",IFERROR(INDEX(Account_Mapping!$C:$C,MATCH($C1026&amp;"",Account_Mapping!$A:$A,0))&amp;"",""))</f>
        <v/>
      </c>
      <c r="N1026" s="24" t="str">
        <f aca="false">IF($K1026&lt;&gt;"",$K1026,$M1026)</f>
        <v/>
      </c>
      <c r="O1026" s="24" t="str">
        <f aca="false">IF($F1026="","",IFERROR(INDEX(Counterparties!$C:$C,MATCH($F1026&amp;"",Counterparties!$A:$A,0))&amp;"",""))</f>
        <v/>
      </c>
      <c r="P1026" s="24" t="str">
        <f aca="false">IF($O1026="","",IF($O1026="CY","CY",IF(ISNUMBER(MATCH($O1026,Lists!$A:$A,0)),"EU","3RD")))</f>
        <v/>
      </c>
      <c r="Q1026" s="24" t="str">
        <f aca="false">IF($F1026="","N",IFERROR(IF(INDEX(Counterparties!$E:$E,MATCH($F1026&amp;"",Counterparties!$A:$A,0))="Y","Y","N"),"N"))</f>
        <v>N</v>
      </c>
      <c r="R1026" s="25" t="n">
        <f aca="false">IF(OR($H1026="",$H1026="EUR"),1,IFERROR(INDEX(FX_Rates!$D:$D,MATCH($H1026,FX_Rates!$A:$A,0)),""))</f>
        <v>1</v>
      </c>
      <c r="S1026" s="26" t="str">
        <f aca="false">IF(AND($I1026="",$J1026=""),"",IF($J1026&lt;&gt;"",$J1026,IF(OR($R1026="",$R1026=0),"",ROUND($I1026/$R1026,2))))</f>
        <v/>
      </c>
      <c r="T1026" s="24" t="str">
        <f aca="false">IF($N1026="","",IFERROR(INDEX(VAT_Codes!$C:$C,MATCH($N1026,VAT_Codes!$A:$A,0)),"")&amp;"")</f>
        <v/>
      </c>
      <c r="U1026" s="26" t="n">
        <f aca="false">IF(OR($S1026="",$T1026="",$T1026="None"),0,IF($T1026="Output",-$S1026,$S1026))</f>
        <v>0</v>
      </c>
      <c r="V1026" s="27" t="n">
        <f aca="false">IF($N1026="",0,IFERROR(INDEX(VAT_Codes!$D:$D,MATCH($N1026,VAT_Codes!$A:$A,0)),0))</f>
        <v>0</v>
      </c>
      <c r="W1026" s="26" t="n">
        <f aca="false">IF($U1026=0,0,IF(IFERROR(INDEX(VAT_Codes!$F:$F,MATCH($N1026,VAT_Codes!$A:$A,0)),"N")="Y",$U1026,IF($L1026&lt;&gt;"",ROUND(ABS($L1026)/IF(OR($R1026="",$R1026=0),1,$R1026),2)*SIGN($U1026),ROUND($U1026*$V1026,2))))</f>
        <v>0</v>
      </c>
      <c r="X1026" s="24" t="str">
        <f aca="false">IF($N1026="","",IFERROR(INDEX(VAT_Codes!$H:$H,MATCH($N1026,VAT_Codes!$A:$A,0)),"")&amp;"")</f>
        <v/>
      </c>
      <c r="Y1026" s="24" t="str">
        <f aca="false">IF($A1026="","",(YEAR($A1026)-YEAR(Settings!$C$8))*12+MONTH($A1026)-MONTH(Settings!$C$8)+1)</f>
        <v/>
      </c>
      <c r="Z1026" s="24" t="str">
        <f aca="false">IF(AND($C1026="",$I1026="",$J1026=""),"",IF($N1026="","NO VAT CODE",IF($T1026="","UNKNOWN VAT CODE",IF($S1026="","MISSING FX RATE",IF(OR($A1026&lt;Settings!$C$8,$A1026&gt;Settings!$C$9),"OUTSIDE PERIOD",IF(AND(IFERROR(INDEX(VAT_Codes!$E:$E,MATCH($N1026,VAT_Codes!$A:$A,0)),"ANY")&lt;&gt;"ANY",$P1026=""),"MISSING COUNTERPARTY COUNTRY",IF(AND(IFERROR(INDEX(VAT_Codes!$E:$E,MATCH($N1026,VAT_Codes!$A:$A,0)),"ANY")&lt;&gt;"ANY",$P1026&lt;&gt;IFERROR(INDEX(VAT_Codes!$E:$E,MATCH($N1026,VAT_Codes!$A:$A,0)),"ANY")),"REGION MISMATCH","OK")))))))</f>
        <v/>
      </c>
    </row>
    <row r="1027" customFormat="false" ht="15" hidden="false" customHeight="false" outlineLevel="0" collapsed="false">
      <c r="M1027" s="24" t="str">
        <f aca="false">IF($C1027="","",IFERROR(INDEX(Account_Mapping!$C:$C,MATCH($C1027&amp;"",Account_Mapping!$A:$A,0))&amp;"",""))</f>
        <v/>
      </c>
      <c r="N1027" s="24" t="str">
        <f aca="false">IF($K1027&lt;&gt;"",$K1027,$M1027)</f>
        <v/>
      </c>
      <c r="O1027" s="24" t="str">
        <f aca="false">IF($F1027="","",IFERROR(INDEX(Counterparties!$C:$C,MATCH($F1027&amp;"",Counterparties!$A:$A,0))&amp;"",""))</f>
        <v/>
      </c>
      <c r="P1027" s="24" t="str">
        <f aca="false">IF($O1027="","",IF($O1027="CY","CY",IF(ISNUMBER(MATCH($O1027,Lists!$A:$A,0)),"EU","3RD")))</f>
        <v/>
      </c>
      <c r="Q1027" s="24" t="str">
        <f aca="false">IF($F1027="","N",IFERROR(IF(INDEX(Counterparties!$E:$E,MATCH($F1027&amp;"",Counterparties!$A:$A,0))="Y","Y","N"),"N"))</f>
        <v>N</v>
      </c>
      <c r="R1027" s="25" t="n">
        <f aca="false">IF(OR($H1027="",$H1027="EUR"),1,IFERROR(INDEX(FX_Rates!$D:$D,MATCH($H1027,FX_Rates!$A:$A,0)),""))</f>
        <v>1</v>
      </c>
      <c r="S1027" s="26" t="str">
        <f aca="false">IF(AND($I1027="",$J1027=""),"",IF($J1027&lt;&gt;"",$J1027,IF(OR($R1027="",$R1027=0),"",ROUND($I1027/$R1027,2))))</f>
        <v/>
      </c>
      <c r="T1027" s="24" t="str">
        <f aca="false">IF($N1027="","",IFERROR(INDEX(VAT_Codes!$C:$C,MATCH($N1027,VAT_Codes!$A:$A,0)),"")&amp;"")</f>
        <v/>
      </c>
      <c r="U1027" s="26" t="n">
        <f aca="false">IF(OR($S1027="",$T1027="",$T1027="None"),0,IF($T1027="Output",-$S1027,$S1027))</f>
        <v>0</v>
      </c>
      <c r="V1027" s="27" t="n">
        <f aca="false">IF($N1027="",0,IFERROR(INDEX(VAT_Codes!$D:$D,MATCH($N1027,VAT_Codes!$A:$A,0)),0))</f>
        <v>0</v>
      </c>
      <c r="W1027" s="26" t="n">
        <f aca="false">IF($U1027=0,0,IF(IFERROR(INDEX(VAT_Codes!$F:$F,MATCH($N1027,VAT_Codes!$A:$A,0)),"N")="Y",$U1027,IF($L1027&lt;&gt;"",ROUND(ABS($L1027)/IF(OR($R1027="",$R1027=0),1,$R1027),2)*SIGN($U1027),ROUND($U1027*$V1027,2))))</f>
        <v>0</v>
      </c>
      <c r="X1027" s="24" t="str">
        <f aca="false">IF($N1027="","",IFERROR(INDEX(VAT_Codes!$H:$H,MATCH($N1027,VAT_Codes!$A:$A,0)),"")&amp;"")</f>
        <v/>
      </c>
      <c r="Y1027" s="24" t="str">
        <f aca="false">IF($A1027="","",(YEAR($A1027)-YEAR(Settings!$C$8))*12+MONTH($A1027)-MONTH(Settings!$C$8)+1)</f>
        <v/>
      </c>
      <c r="Z1027" s="24" t="str">
        <f aca="false">IF(AND($C1027="",$I1027="",$J1027=""),"",IF($N1027="","NO VAT CODE",IF($T1027="","UNKNOWN VAT CODE",IF($S1027="","MISSING FX RATE",IF(OR($A1027&lt;Settings!$C$8,$A1027&gt;Settings!$C$9),"OUTSIDE PERIOD",IF(AND(IFERROR(INDEX(VAT_Codes!$E:$E,MATCH($N1027,VAT_Codes!$A:$A,0)),"ANY")&lt;&gt;"ANY",$P1027=""),"MISSING COUNTERPARTY COUNTRY",IF(AND(IFERROR(INDEX(VAT_Codes!$E:$E,MATCH($N1027,VAT_Codes!$A:$A,0)),"ANY")&lt;&gt;"ANY",$P1027&lt;&gt;IFERROR(INDEX(VAT_Codes!$E:$E,MATCH($N1027,VAT_Codes!$A:$A,0)),"ANY")),"REGION MISMATCH","OK")))))))</f>
        <v/>
      </c>
    </row>
    <row r="1028" customFormat="false" ht="15" hidden="false" customHeight="false" outlineLevel="0" collapsed="false">
      <c r="M1028" s="24" t="str">
        <f aca="false">IF($C1028="","",IFERROR(INDEX(Account_Mapping!$C:$C,MATCH($C1028&amp;"",Account_Mapping!$A:$A,0))&amp;"",""))</f>
        <v/>
      </c>
      <c r="N1028" s="24" t="str">
        <f aca="false">IF($K1028&lt;&gt;"",$K1028,$M1028)</f>
        <v/>
      </c>
      <c r="O1028" s="24" t="str">
        <f aca="false">IF($F1028="","",IFERROR(INDEX(Counterparties!$C:$C,MATCH($F1028&amp;"",Counterparties!$A:$A,0))&amp;"",""))</f>
        <v/>
      </c>
      <c r="P1028" s="24" t="str">
        <f aca="false">IF($O1028="","",IF($O1028="CY","CY",IF(ISNUMBER(MATCH($O1028,Lists!$A:$A,0)),"EU","3RD")))</f>
        <v/>
      </c>
      <c r="Q1028" s="24" t="str">
        <f aca="false">IF($F1028="","N",IFERROR(IF(INDEX(Counterparties!$E:$E,MATCH($F1028&amp;"",Counterparties!$A:$A,0))="Y","Y","N"),"N"))</f>
        <v>N</v>
      </c>
      <c r="R1028" s="25" t="n">
        <f aca="false">IF(OR($H1028="",$H1028="EUR"),1,IFERROR(INDEX(FX_Rates!$D:$D,MATCH($H1028,FX_Rates!$A:$A,0)),""))</f>
        <v>1</v>
      </c>
      <c r="S1028" s="26" t="str">
        <f aca="false">IF(AND($I1028="",$J1028=""),"",IF($J1028&lt;&gt;"",$J1028,IF(OR($R1028="",$R1028=0),"",ROUND($I1028/$R1028,2))))</f>
        <v/>
      </c>
      <c r="T1028" s="24" t="str">
        <f aca="false">IF($N1028="","",IFERROR(INDEX(VAT_Codes!$C:$C,MATCH($N1028,VAT_Codes!$A:$A,0)),"")&amp;"")</f>
        <v/>
      </c>
      <c r="U1028" s="26" t="n">
        <f aca="false">IF(OR($S1028="",$T1028="",$T1028="None"),0,IF($T1028="Output",-$S1028,$S1028))</f>
        <v>0</v>
      </c>
      <c r="V1028" s="27" t="n">
        <f aca="false">IF($N1028="",0,IFERROR(INDEX(VAT_Codes!$D:$D,MATCH($N1028,VAT_Codes!$A:$A,0)),0))</f>
        <v>0</v>
      </c>
      <c r="W1028" s="26" t="n">
        <f aca="false">IF($U1028=0,0,IF(IFERROR(INDEX(VAT_Codes!$F:$F,MATCH($N1028,VAT_Codes!$A:$A,0)),"N")="Y",$U1028,IF($L1028&lt;&gt;"",ROUND(ABS($L1028)/IF(OR($R1028="",$R1028=0),1,$R1028),2)*SIGN($U1028),ROUND($U1028*$V1028,2))))</f>
        <v>0</v>
      </c>
      <c r="X1028" s="24" t="str">
        <f aca="false">IF($N1028="","",IFERROR(INDEX(VAT_Codes!$H:$H,MATCH($N1028,VAT_Codes!$A:$A,0)),"")&amp;"")</f>
        <v/>
      </c>
      <c r="Y1028" s="24" t="str">
        <f aca="false">IF($A1028="","",(YEAR($A1028)-YEAR(Settings!$C$8))*12+MONTH($A1028)-MONTH(Settings!$C$8)+1)</f>
        <v/>
      </c>
      <c r="Z1028" s="24" t="str">
        <f aca="false">IF(AND($C1028="",$I1028="",$J1028=""),"",IF($N1028="","NO VAT CODE",IF($T1028="","UNKNOWN VAT CODE",IF($S1028="","MISSING FX RATE",IF(OR($A1028&lt;Settings!$C$8,$A1028&gt;Settings!$C$9),"OUTSIDE PERIOD",IF(AND(IFERROR(INDEX(VAT_Codes!$E:$E,MATCH($N1028,VAT_Codes!$A:$A,0)),"ANY")&lt;&gt;"ANY",$P1028=""),"MISSING COUNTERPARTY COUNTRY",IF(AND(IFERROR(INDEX(VAT_Codes!$E:$E,MATCH($N1028,VAT_Codes!$A:$A,0)),"ANY")&lt;&gt;"ANY",$P1028&lt;&gt;IFERROR(INDEX(VAT_Codes!$E:$E,MATCH($N1028,VAT_Codes!$A:$A,0)),"ANY")),"REGION MISMATCH","OK")))))))</f>
        <v/>
      </c>
    </row>
    <row r="1029" customFormat="false" ht="15" hidden="false" customHeight="false" outlineLevel="0" collapsed="false">
      <c r="M1029" s="24" t="str">
        <f aca="false">IF($C1029="","",IFERROR(INDEX(Account_Mapping!$C:$C,MATCH($C1029&amp;"",Account_Mapping!$A:$A,0))&amp;"",""))</f>
        <v/>
      </c>
      <c r="N1029" s="24" t="str">
        <f aca="false">IF($K1029&lt;&gt;"",$K1029,$M1029)</f>
        <v/>
      </c>
      <c r="O1029" s="24" t="str">
        <f aca="false">IF($F1029="","",IFERROR(INDEX(Counterparties!$C:$C,MATCH($F1029&amp;"",Counterparties!$A:$A,0))&amp;"",""))</f>
        <v/>
      </c>
      <c r="P1029" s="24" t="str">
        <f aca="false">IF($O1029="","",IF($O1029="CY","CY",IF(ISNUMBER(MATCH($O1029,Lists!$A:$A,0)),"EU","3RD")))</f>
        <v/>
      </c>
      <c r="Q1029" s="24" t="str">
        <f aca="false">IF($F1029="","N",IFERROR(IF(INDEX(Counterparties!$E:$E,MATCH($F1029&amp;"",Counterparties!$A:$A,0))="Y","Y","N"),"N"))</f>
        <v>N</v>
      </c>
      <c r="R1029" s="25" t="n">
        <f aca="false">IF(OR($H1029="",$H1029="EUR"),1,IFERROR(INDEX(FX_Rates!$D:$D,MATCH($H1029,FX_Rates!$A:$A,0)),""))</f>
        <v>1</v>
      </c>
      <c r="S1029" s="26" t="str">
        <f aca="false">IF(AND($I1029="",$J1029=""),"",IF($J1029&lt;&gt;"",$J1029,IF(OR($R1029="",$R1029=0),"",ROUND($I1029/$R1029,2))))</f>
        <v/>
      </c>
      <c r="T1029" s="24" t="str">
        <f aca="false">IF($N1029="","",IFERROR(INDEX(VAT_Codes!$C:$C,MATCH($N1029,VAT_Codes!$A:$A,0)),"")&amp;"")</f>
        <v/>
      </c>
      <c r="U1029" s="26" t="n">
        <f aca="false">IF(OR($S1029="",$T1029="",$T1029="None"),0,IF($T1029="Output",-$S1029,$S1029))</f>
        <v>0</v>
      </c>
      <c r="V1029" s="27" t="n">
        <f aca="false">IF($N1029="",0,IFERROR(INDEX(VAT_Codes!$D:$D,MATCH($N1029,VAT_Codes!$A:$A,0)),0))</f>
        <v>0</v>
      </c>
      <c r="W1029" s="26" t="n">
        <f aca="false">IF($U1029=0,0,IF(IFERROR(INDEX(VAT_Codes!$F:$F,MATCH($N1029,VAT_Codes!$A:$A,0)),"N")="Y",$U1029,IF($L1029&lt;&gt;"",ROUND(ABS($L1029)/IF(OR($R1029="",$R1029=0),1,$R1029),2)*SIGN($U1029),ROUND($U1029*$V1029,2))))</f>
        <v>0</v>
      </c>
      <c r="X1029" s="24" t="str">
        <f aca="false">IF($N1029="","",IFERROR(INDEX(VAT_Codes!$H:$H,MATCH($N1029,VAT_Codes!$A:$A,0)),"")&amp;"")</f>
        <v/>
      </c>
      <c r="Y1029" s="24" t="str">
        <f aca="false">IF($A1029="","",(YEAR($A1029)-YEAR(Settings!$C$8))*12+MONTH($A1029)-MONTH(Settings!$C$8)+1)</f>
        <v/>
      </c>
      <c r="Z1029" s="24" t="str">
        <f aca="false">IF(AND($C1029="",$I1029="",$J1029=""),"",IF($N1029="","NO VAT CODE",IF($T1029="","UNKNOWN VAT CODE",IF($S1029="","MISSING FX RATE",IF(OR($A1029&lt;Settings!$C$8,$A1029&gt;Settings!$C$9),"OUTSIDE PERIOD",IF(AND(IFERROR(INDEX(VAT_Codes!$E:$E,MATCH($N1029,VAT_Codes!$A:$A,0)),"ANY")&lt;&gt;"ANY",$P1029=""),"MISSING COUNTERPARTY COUNTRY",IF(AND(IFERROR(INDEX(VAT_Codes!$E:$E,MATCH($N1029,VAT_Codes!$A:$A,0)),"ANY")&lt;&gt;"ANY",$P1029&lt;&gt;IFERROR(INDEX(VAT_Codes!$E:$E,MATCH($N1029,VAT_Codes!$A:$A,0)),"ANY")),"REGION MISMATCH","OK")))))))</f>
        <v/>
      </c>
    </row>
    <row r="1030" customFormat="false" ht="15" hidden="false" customHeight="false" outlineLevel="0" collapsed="false">
      <c r="M1030" s="24" t="str">
        <f aca="false">IF($C1030="","",IFERROR(INDEX(Account_Mapping!$C:$C,MATCH($C1030&amp;"",Account_Mapping!$A:$A,0))&amp;"",""))</f>
        <v/>
      </c>
      <c r="N1030" s="24" t="str">
        <f aca="false">IF($K1030&lt;&gt;"",$K1030,$M1030)</f>
        <v/>
      </c>
      <c r="O1030" s="24" t="str">
        <f aca="false">IF($F1030="","",IFERROR(INDEX(Counterparties!$C:$C,MATCH($F1030&amp;"",Counterparties!$A:$A,0))&amp;"",""))</f>
        <v/>
      </c>
      <c r="P1030" s="24" t="str">
        <f aca="false">IF($O1030="","",IF($O1030="CY","CY",IF(ISNUMBER(MATCH($O1030,Lists!$A:$A,0)),"EU","3RD")))</f>
        <v/>
      </c>
      <c r="Q1030" s="24" t="str">
        <f aca="false">IF($F1030="","N",IFERROR(IF(INDEX(Counterparties!$E:$E,MATCH($F1030&amp;"",Counterparties!$A:$A,0))="Y","Y","N"),"N"))</f>
        <v>N</v>
      </c>
      <c r="R1030" s="25" t="n">
        <f aca="false">IF(OR($H1030="",$H1030="EUR"),1,IFERROR(INDEX(FX_Rates!$D:$D,MATCH($H1030,FX_Rates!$A:$A,0)),""))</f>
        <v>1</v>
      </c>
      <c r="S1030" s="26" t="str">
        <f aca="false">IF(AND($I1030="",$J1030=""),"",IF($J1030&lt;&gt;"",$J1030,IF(OR($R1030="",$R1030=0),"",ROUND($I1030/$R1030,2))))</f>
        <v/>
      </c>
      <c r="T1030" s="24" t="str">
        <f aca="false">IF($N1030="","",IFERROR(INDEX(VAT_Codes!$C:$C,MATCH($N1030,VAT_Codes!$A:$A,0)),"")&amp;"")</f>
        <v/>
      </c>
      <c r="U1030" s="26" t="n">
        <f aca="false">IF(OR($S1030="",$T1030="",$T1030="None"),0,IF($T1030="Output",-$S1030,$S1030))</f>
        <v>0</v>
      </c>
      <c r="V1030" s="27" t="n">
        <f aca="false">IF($N1030="",0,IFERROR(INDEX(VAT_Codes!$D:$D,MATCH($N1030,VAT_Codes!$A:$A,0)),0))</f>
        <v>0</v>
      </c>
      <c r="W1030" s="26" t="n">
        <f aca="false">IF($U1030=0,0,IF(IFERROR(INDEX(VAT_Codes!$F:$F,MATCH($N1030,VAT_Codes!$A:$A,0)),"N")="Y",$U1030,IF($L1030&lt;&gt;"",ROUND(ABS($L1030)/IF(OR($R1030="",$R1030=0),1,$R1030),2)*SIGN($U1030),ROUND($U1030*$V1030,2))))</f>
        <v>0</v>
      </c>
      <c r="X1030" s="24" t="str">
        <f aca="false">IF($N1030="","",IFERROR(INDEX(VAT_Codes!$H:$H,MATCH($N1030,VAT_Codes!$A:$A,0)),"")&amp;"")</f>
        <v/>
      </c>
      <c r="Y1030" s="24" t="str">
        <f aca="false">IF($A1030="","",(YEAR($A1030)-YEAR(Settings!$C$8))*12+MONTH($A1030)-MONTH(Settings!$C$8)+1)</f>
        <v/>
      </c>
      <c r="Z1030" s="24" t="str">
        <f aca="false">IF(AND($C1030="",$I1030="",$J1030=""),"",IF($N1030="","NO VAT CODE",IF($T1030="","UNKNOWN VAT CODE",IF($S1030="","MISSING FX RATE",IF(OR($A1030&lt;Settings!$C$8,$A1030&gt;Settings!$C$9),"OUTSIDE PERIOD",IF(AND(IFERROR(INDEX(VAT_Codes!$E:$E,MATCH($N1030,VAT_Codes!$A:$A,0)),"ANY")&lt;&gt;"ANY",$P1030=""),"MISSING COUNTERPARTY COUNTRY",IF(AND(IFERROR(INDEX(VAT_Codes!$E:$E,MATCH($N1030,VAT_Codes!$A:$A,0)),"ANY")&lt;&gt;"ANY",$P1030&lt;&gt;IFERROR(INDEX(VAT_Codes!$E:$E,MATCH($N1030,VAT_Codes!$A:$A,0)),"ANY")),"REGION MISMATCH","OK")))))))</f>
        <v/>
      </c>
    </row>
    <row r="1031" customFormat="false" ht="15" hidden="false" customHeight="false" outlineLevel="0" collapsed="false">
      <c r="M1031" s="24" t="str">
        <f aca="false">IF($C1031="","",IFERROR(INDEX(Account_Mapping!$C:$C,MATCH($C1031&amp;"",Account_Mapping!$A:$A,0))&amp;"",""))</f>
        <v/>
      </c>
      <c r="N1031" s="24" t="str">
        <f aca="false">IF($K1031&lt;&gt;"",$K1031,$M1031)</f>
        <v/>
      </c>
      <c r="O1031" s="24" t="str">
        <f aca="false">IF($F1031="","",IFERROR(INDEX(Counterparties!$C:$C,MATCH($F1031&amp;"",Counterparties!$A:$A,0))&amp;"",""))</f>
        <v/>
      </c>
      <c r="P1031" s="24" t="str">
        <f aca="false">IF($O1031="","",IF($O1031="CY","CY",IF(ISNUMBER(MATCH($O1031,Lists!$A:$A,0)),"EU","3RD")))</f>
        <v/>
      </c>
      <c r="Q1031" s="24" t="str">
        <f aca="false">IF($F1031="","N",IFERROR(IF(INDEX(Counterparties!$E:$E,MATCH($F1031&amp;"",Counterparties!$A:$A,0))="Y","Y","N"),"N"))</f>
        <v>N</v>
      </c>
      <c r="R1031" s="25" t="n">
        <f aca="false">IF(OR($H1031="",$H1031="EUR"),1,IFERROR(INDEX(FX_Rates!$D:$D,MATCH($H1031,FX_Rates!$A:$A,0)),""))</f>
        <v>1</v>
      </c>
      <c r="S1031" s="26" t="str">
        <f aca="false">IF(AND($I1031="",$J1031=""),"",IF($J1031&lt;&gt;"",$J1031,IF(OR($R1031="",$R1031=0),"",ROUND($I1031/$R1031,2))))</f>
        <v/>
      </c>
      <c r="T1031" s="24" t="str">
        <f aca="false">IF($N1031="","",IFERROR(INDEX(VAT_Codes!$C:$C,MATCH($N1031,VAT_Codes!$A:$A,0)),"")&amp;"")</f>
        <v/>
      </c>
      <c r="U1031" s="26" t="n">
        <f aca="false">IF(OR($S1031="",$T1031="",$T1031="None"),0,IF($T1031="Output",-$S1031,$S1031))</f>
        <v>0</v>
      </c>
      <c r="V1031" s="27" t="n">
        <f aca="false">IF($N1031="",0,IFERROR(INDEX(VAT_Codes!$D:$D,MATCH($N1031,VAT_Codes!$A:$A,0)),0))</f>
        <v>0</v>
      </c>
      <c r="W1031" s="26" t="n">
        <f aca="false">IF($U1031=0,0,IF(IFERROR(INDEX(VAT_Codes!$F:$F,MATCH($N1031,VAT_Codes!$A:$A,0)),"N")="Y",$U1031,IF($L1031&lt;&gt;"",ROUND(ABS($L1031)/IF(OR($R1031="",$R1031=0),1,$R1031),2)*SIGN($U1031),ROUND($U1031*$V1031,2))))</f>
        <v>0</v>
      </c>
      <c r="X1031" s="24" t="str">
        <f aca="false">IF($N1031="","",IFERROR(INDEX(VAT_Codes!$H:$H,MATCH($N1031,VAT_Codes!$A:$A,0)),"")&amp;"")</f>
        <v/>
      </c>
      <c r="Y1031" s="24" t="str">
        <f aca="false">IF($A1031="","",(YEAR($A1031)-YEAR(Settings!$C$8))*12+MONTH($A1031)-MONTH(Settings!$C$8)+1)</f>
        <v/>
      </c>
      <c r="Z1031" s="24" t="str">
        <f aca="false">IF(AND($C1031="",$I1031="",$J1031=""),"",IF($N1031="","NO VAT CODE",IF($T1031="","UNKNOWN VAT CODE",IF($S1031="","MISSING FX RATE",IF(OR($A1031&lt;Settings!$C$8,$A1031&gt;Settings!$C$9),"OUTSIDE PERIOD",IF(AND(IFERROR(INDEX(VAT_Codes!$E:$E,MATCH($N1031,VAT_Codes!$A:$A,0)),"ANY")&lt;&gt;"ANY",$P1031=""),"MISSING COUNTERPARTY COUNTRY",IF(AND(IFERROR(INDEX(VAT_Codes!$E:$E,MATCH($N1031,VAT_Codes!$A:$A,0)),"ANY")&lt;&gt;"ANY",$P1031&lt;&gt;IFERROR(INDEX(VAT_Codes!$E:$E,MATCH($N1031,VAT_Codes!$A:$A,0)),"ANY")),"REGION MISMATCH","OK")))))))</f>
        <v/>
      </c>
    </row>
    <row r="1032" customFormat="false" ht="15" hidden="false" customHeight="false" outlineLevel="0" collapsed="false">
      <c r="M1032" s="24" t="str">
        <f aca="false">IF($C1032="","",IFERROR(INDEX(Account_Mapping!$C:$C,MATCH($C1032&amp;"",Account_Mapping!$A:$A,0))&amp;"",""))</f>
        <v/>
      </c>
      <c r="N1032" s="24" t="str">
        <f aca="false">IF($K1032&lt;&gt;"",$K1032,$M1032)</f>
        <v/>
      </c>
      <c r="O1032" s="24" t="str">
        <f aca="false">IF($F1032="","",IFERROR(INDEX(Counterparties!$C:$C,MATCH($F1032&amp;"",Counterparties!$A:$A,0))&amp;"",""))</f>
        <v/>
      </c>
      <c r="P1032" s="24" t="str">
        <f aca="false">IF($O1032="","",IF($O1032="CY","CY",IF(ISNUMBER(MATCH($O1032,Lists!$A:$A,0)),"EU","3RD")))</f>
        <v/>
      </c>
      <c r="Q1032" s="24" t="str">
        <f aca="false">IF($F1032="","N",IFERROR(IF(INDEX(Counterparties!$E:$E,MATCH($F1032&amp;"",Counterparties!$A:$A,0))="Y","Y","N"),"N"))</f>
        <v>N</v>
      </c>
      <c r="R1032" s="25" t="n">
        <f aca="false">IF(OR($H1032="",$H1032="EUR"),1,IFERROR(INDEX(FX_Rates!$D:$D,MATCH($H1032,FX_Rates!$A:$A,0)),""))</f>
        <v>1</v>
      </c>
      <c r="S1032" s="26" t="str">
        <f aca="false">IF(AND($I1032="",$J1032=""),"",IF($J1032&lt;&gt;"",$J1032,IF(OR($R1032="",$R1032=0),"",ROUND($I1032/$R1032,2))))</f>
        <v/>
      </c>
      <c r="T1032" s="24" t="str">
        <f aca="false">IF($N1032="","",IFERROR(INDEX(VAT_Codes!$C:$C,MATCH($N1032,VAT_Codes!$A:$A,0)),"")&amp;"")</f>
        <v/>
      </c>
      <c r="U1032" s="26" t="n">
        <f aca="false">IF(OR($S1032="",$T1032="",$T1032="None"),0,IF($T1032="Output",-$S1032,$S1032))</f>
        <v>0</v>
      </c>
      <c r="V1032" s="27" t="n">
        <f aca="false">IF($N1032="",0,IFERROR(INDEX(VAT_Codes!$D:$D,MATCH($N1032,VAT_Codes!$A:$A,0)),0))</f>
        <v>0</v>
      </c>
      <c r="W1032" s="26" t="n">
        <f aca="false">IF($U1032=0,0,IF(IFERROR(INDEX(VAT_Codes!$F:$F,MATCH($N1032,VAT_Codes!$A:$A,0)),"N")="Y",$U1032,IF($L1032&lt;&gt;"",ROUND(ABS($L1032)/IF(OR($R1032="",$R1032=0),1,$R1032),2)*SIGN($U1032),ROUND($U1032*$V1032,2))))</f>
        <v>0</v>
      </c>
      <c r="X1032" s="24" t="str">
        <f aca="false">IF($N1032="","",IFERROR(INDEX(VAT_Codes!$H:$H,MATCH($N1032,VAT_Codes!$A:$A,0)),"")&amp;"")</f>
        <v/>
      </c>
      <c r="Y1032" s="24" t="str">
        <f aca="false">IF($A1032="","",(YEAR($A1032)-YEAR(Settings!$C$8))*12+MONTH($A1032)-MONTH(Settings!$C$8)+1)</f>
        <v/>
      </c>
      <c r="Z1032" s="24" t="str">
        <f aca="false">IF(AND($C1032="",$I1032="",$J1032=""),"",IF($N1032="","NO VAT CODE",IF($T1032="","UNKNOWN VAT CODE",IF($S1032="","MISSING FX RATE",IF(OR($A1032&lt;Settings!$C$8,$A1032&gt;Settings!$C$9),"OUTSIDE PERIOD",IF(AND(IFERROR(INDEX(VAT_Codes!$E:$E,MATCH($N1032,VAT_Codes!$A:$A,0)),"ANY")&lt;&gt;"ANY",$P1032=""),"MISSING COUNTERPARTY COUNTRY",IF(AND(IFERROR(INDEX(VAT_Codes!$E:$E,MATCH($N1032,VAT_Codes!$A:$A,0)),"ANY")&lt;&gt;"ANY",$P1032&lt;&gt;IFERROR(INDEX(VAT_Codes!$E:$E,MATCH($N1032,VAT_Codes!$A:$A,0)),"ANY")),"REGION MISMATCH","OK")))))))</f>
        <v/>
      </c>
    </row>
    <row r="1033" customFormat="false" ht="15" hidden="false" customHeight="false" outlineLevel="0" collapsed="false">
      <c r="M1033" s="24" t="str">
        <f aca="false">IF($C1033="","",IFERROR(INDEX(Account_Mapping!$C:$C,MATCH($C1033&amp;"",Account_Mapping!$A:$A,0))&amp;"",""))</f>
        <v/>
      </c>
      <c r="N1033" s="24" t="str">
        <f aca="false">IF($K1033&lt;&gt;"",$K1033,$M1033)</f>
        <v/>
      </c>
      <c r="O1033" s="24" t="str">
        <f aca="false">IF($F1033="","",IFERROR(INDEX(Counterparties!$C:$C,MATCH($F1033&amp;"",Counterparties!$A:$A,0))&amp;"",""))</f>
        <v/>
      </c>
      <c r="P1033" s="24" t="str">
        <f aca="false">IF($O1033="","",IF($O1033="CY","CY",IF(ISNUMBER(MATCH($O1033,Lists!$A:$A,0)),"EU","3RD")))</f>
        <v/>
      </c>
      <c r="Q1033" s="24" t="str">
        <f aca="false">IF($F1033="","N",IFERROR(IF(INDEX(Counterparties!$E:$E,MATCH($F1033&amp;"",Counterparties!$A:$A,0))="Y","Y","N"),"N"))</f>
        <v>N</v>
      </c>
      <c r="R1033" s="25" t="n">
        <f aca="false">IF(OR($H1033="",$H1033="EUR"),1,IFERROR(INDEX(FX_Rates!$D:$D,MATCH($H1033,FX_Rates!$A:$A,0)),""))</f>
        <v>1</v>
      </c>
      <c r="S1033" s="26" t="str">
        <f aca="false">IF(AND($I1033="",$J1033=""),"",IF($J1033&lt;&gt;"",$J1033,IF(OR($R1033="",$R1033=0),"",ROUND($I1033/$R1033,2))))</f>
        <v/>
      </c>
      <c r="T1033" s="24" t="str">
        <f aca="false">IF($N1033="","",IFERROR(INDEX(VAT_Codes!$C:$C,MATCH($N1033,VAT_Codes!$A:$A,0)),"")&amp;"")</f>
        <v/>
      </c>
      <c r="U1033" s="26" t="n">
        <f aca="false">IF(OR($S1033="",$T1033="",$T1033="None"),0,IF($T1033="Output",-$S1033,$S1033))</f>
        <v>0</v>
      </c>
      <c r="V1033" s="27" t="n">
        <f aca="false">IF($N1033="",0,IFERROR(INDEX(VAT_Codes!$D:$D,MATCH($N1033,VAT_Codes!$A:$A,0)),0))</f>
        <v>0</v>
      </c>
      <c r="W1033" s="26" t="n">
        <f aca="false">IF($U1033=0,0,IF(IFERROR(INDEX(VAT_Codes!$F:$F,MATCH($N1033,VAT_Codes!$A:$A,0)),"N")="Y",$U1033,IF($L1033&lt;&gt;"",ROUND(ABS($L1033)/IF(OR($R1033="",$R1033=0),1,$R1033),2)*SIGN($U1033),ROUND($U1033*$V1033,2))))</f>
        <v>0</v>
      </c>
      <c r="X1033" s="24" t="str">
        <f aca="false">IF($N1033="","",IFERROR(INDEX(VAT_Codes!$H:$H,MATCH($N1033,VAT_Codes!$A:$A,0)),"")&amp;"")</f>
        <v/>
      </c>
      <c r="Y1033" s="24" t="str">
        <f aca="false">IF($A1033="","",(YEAR($A1033)-YEAR(Settings!$C$8))*12+MONTH($A1033)-MONTH(Settings!$C$8)+1)</f>
        <v/>
      </c>
      <c r="Z1033" s="24" t="str">
        <f aca="false">IF(AND($C1033="",$I1033="",$J1033=""),"",IF($N1033="","NO VAT CODE",IF($T1033="","UNKNOWN VAT CODE",IF($S1033="","MISSING FX RATE",IF(OR($A1033&lt;Settings!$C$8,$A1033&gt;Settings!$C$9),"OUTSIDE PERIOD",IF(AND(IFERROR(INDEX(VAT_Codes!$E:$E,MATCH($N1033,VAT_Codes!$A:$A,0)),"ANY")&lt;&gt;"ANY",$P1033=""),"MISSING COUNTERPARTY COUNTRY",IF(AND(IFERROR(INDEX(VAT_Codes!$E:$E,MATCH($N1033,VAT_Codes!$A:$A,0)),"ANY")&lt;&gt;"ANY",$P1033&lt;&gt;IFERROR(INDEX(VAT_Codes!$E:$E,MATCH($N1033,VAT_Codes!$A:$A,0)),"ANY")),"REGION MISMATCH","OK")))))))</f>
        <v/>
      </c>
    </row>
    <row r="1034" customFormat="false" ht="15" hidden="false" customHeight="false" outlineLevel="0" collapsed="false">
      <c r="M1034" s="24" t="str">
        <f aca="false">IF($C1034="","",IFERROR(INDEX(Account_Mapping!$C:$C,MATCH($C1034&amp;"",Account_Mapping!$A:$A,0))&amp;"",""))</f>
        <v/>
      </c>
      <c r="N1034" s="24" t="str">
        <f aca="false">IF($K1034&lt;&gt;"",$K1034,$M1034)</f>
        <v/>
      </c>
      <c r="O1034" s="24" t="str">
        <f aca="false">IF($F1034="","",IFERROR(INDEX(Counterparties!$C:$C,MATCH($F1034&amp;"",Counterparties!$A:$A,0))&amp;"",""))</f>
        <v/>
      </c>
      <c r="P1034" s="24" t="str">
        <f aca="false">IF($O1034="","",IF($O1034="CY","CY",IF(ISNUMBER(MATCH($O1034,Lists!$A:$A,0)),"EU","3RD")))</f>
        <v/>
      </c>
      <c r="Q1034" s="24" t="str">
        <f aca="false">IF($F1034="","N",IFERROR(IF(INDEX(Counterparties!$E:$E,MATCH($F1034&amp;"",Counterparties!$A:$A,0))="Y","Y","N"),"N"))</f>
        <v>N</v>
      </c>
      <c r="R1034" s="25" t="n">
        <f aca="false">IF(OR($H1034="",$H1034="EUR"),1,IFERROR(INDEX(FX_Rates!$D:$D,MATCH($H1034,FX_Rates!$A:$A,0)),""))</f>
        <v>1</v>
      </c>
      <c r="S1034" s="26" t="str">
        <f aca="false">IF(AND($I1034="",$J1034=""),"",IF($J1034&lt;&gt;"",$J1034,IF(OR($R1034="",$R1034=0),"",ROUND($I1034/$R1034,2))))</f>
        <v/>
      </c>
      <c r="T1034" s="24" t="str">
        <f aca="false">IF($N1034="","",IFERROR(INDEX(VAT_Codes!$C:$C,MATCH($N1034,VAT_Codes!$A:$A,0)),"")&amp;"")</f>
        <v/>
      </c>
      <c r="U1034" s="26" t="n">
        <f aca="false">IF(OR($S1034="",$T1034="",$T1034="None"),0,IF($T1034="Output",-$S1034,$S1034))</f>
        <v>0</v>
      </c>
      <c r="V1034" s="27" t="n">
        <f aca="false">IF($N1034="",0,IFERROR(INDEX(VAT_Codes!$D:$D,MATCH($N1034,VAT_Codes!$A:$A,0)),0))</f>
        <v>0</v>
      </c>
      <c r="W1034" s="26" t="n">
        <f aca="false">IF($U1034=0,0,IF(IFERROR(INDEX(VAT_Codes!$F:$F,MATCH($N1034,VAT_Codes!$A:$A,0)),"N")="Y",$U1034,IF($L1034&lt;&gt;"",ROUND(ABS($L1034)/IF(OR($R1034="",$R1034=0),1,$R1034),2)*SIGN($U1034),ROUND($U1034*$V1034,2))))</f>
        <v>0</v>
      </c>
      <c r="X1034" s="24" t="str">
        <f aca="false">IF($N1034="","",IFERROR(INDEX(VAT_Codes!$H:$H,MATCH($N1034,VAT_Codes!$A:$A,0)),"")&amp;"")</f>
        <v/>
      </c>
      <c r="Y1034" s="24" t="str">
        <f aca="false">IF($A1034="","",(YEAR($A1034)-YEAR(Settings!$C$8))*12+MONTH($A1034)-MONTH(Settings!$C$8)+1)</f>
        <v/>
      </c>
      <c r="Z1034" s="24" t="str">
        <f aca="false">IF(AND($C1034="",$I1034="",$J1034=""),"",IF($N1034="","NO VAT CODE",IF($T1034="","UNKNOWN VAT CODE",IF($S1034="","MISSING FX RATE",IF(OR($A1034&lt;Settings!$C$8,$A1034&gt;Settings!$C$9),"OUTSIDE PERIOD",IF(AND(IFERROR(INDEX(VAT_Codes!$E:$E,MATCH($N1034,VAT_Codes!$A:$A,0)),"ANY")&lt;&gt;"ANY",$P1034=""),"MISSING COUNTERPARTY COUNTRY",IF(AND(IFERROR(INDEX(VAT_Codes!$E:$E,MATCH($N1034,VAT_Codes!$A:$A,0)),"ANY")&lt;&gt;"ANY",$P1034&lt;&gt;IFERROR(INDEX(VAT_Codes!$E:$E,MATCH($N1034,VAT_Codes!$A:$A,0)),"ANY")),"REGION MISMATCH","OK")))))))</f>
        <v/>
      </c>
    </row>
    <row r="1035" customFormat="false" ht="15" hidden="false" customHeight="false" outlineLevel="0" collapsed="false">
      <c r="M1035" s="24" t="str">
        <f aca="false">IF($C1035="","",IFERROR(INDEX(Account_Mapping!$C:$C,MATCH($C1035&amp;"",Account_Mapping!$A:$A,0))&amp;"",""))</f>
        <v/>
      </c>
      <c r="N1035" s="24" t="str">
        <f aca="false">IF($K1035&lt;&gt;"",$K1035,$M1035)</f>
        <v/>
      </c>
      <c r="O1035" s="24" t="str">
        <f aca="false">IF($F1035="","",IFERROR(INDEX(Counterparties!$C:$C,MATCH($F1035&amp;"",Counterparties!$A:$A,0))&amp;"",""))</f>
        <v/>
      </c>
      <c r="P1035" s="24" t="str">
        <f aca="false">IF($O1035="","",IF($O1035="CY","CY",IF(ISNUMBER(MATCH($O1035,Lists!$A:$A,0)),"EU","3RD")))</f>
        <v/>
      </c>
      <c r="Q1035" s="24" t="str">
        <f aca="false">IF($F1035="","N",IFERROR(IF(INDEX(Counterparties!$E:$E,MATCH($F1035&amp;"",Counterparties!$A:$A,0))="Y","Y","N"),"N"))</f>
        <v>N</v>
      </c>
      <c r="R1035" s="25" t="n">
        <f aca="false">IF(OR($H1035="",$H1035="EUR"),1,IFERROR(INDEX(FX_Rates!$D:$D,MATCH($H1035,FX_Rates!$A:$A,0)),""))</f>
        <v>1</v>
      </c>
      <c r="S1035" s="26" t="str">
        <f aca="false">IF(AND($I1035="",$J1035=""),"",IF($J1035&lt;&gt;"",$J1035,IF(OR($R1035="",$R1035=0),"",ROUND($I1035/$R1035,2))))</f>
        <v/>
      </c>
      <c r="T1035" s="24" t="str">
        <f aca="false">IF($N1035="","",IFERROR(INDEX(VAT_Codes!$C:$C,MATCH($N1035,VAT_Codes!$A:$A,0)),"")&amp;"")</f>
        <v/>
      </c>
      <c r="U1035" s="26" t="n">
        <f aca="false">IF(OR($S1035="",$T1035="",$T1035="None"),0,IF($T1035="Output",-$S1035,$S1035))</f>
        <v>0</v>
      </c>
      <c r="V1035" s="27" t="n">
        <f aca="false">IF($N1035="",0,IFERROR(INDEX(VAT_Codes!$D:$D,MATCH($N1035,VAT_Codes!$A:$A,0)),0))</f>
        <v>0</v>
      </c>
      <c r="W1035" s="26" t="n">
        <f aca="false">IF($U1035=0,0,IF(IFERROR(INDEX(VAT_Codes!$F:$F,MATCH($N1035,VAT_Codes!$A:$A,0)),"N")="Y",$U1035,IF($L1035&lt;&gt;"",ROUND(ABS($L1035)/IF(OR($R1035="",$R1035=0),1,$R1035),2)*SIGN($U1035),ROUND($U1035*$V1035,2))))</f>
        <v>0</v>
      </c>
      <c r="X1035" s="24" t="str">
        <f aca="false">IF($N1035="","",IFERROR(INDEX(VAT_Codes!$H:$H,MATCH($N1035,VAT_Codes!$A:$A,0)),"")&amp;"")</f>
        <v/>
      </c>
      <c r="Y1035" s="24" t="str">
        <f aca="false">IF($A1035="","",(YEAR($A1035)-YEAR(Settings!$C$8))*12+MONTH($A1035)-MONTH(Settings!$C$8)+1)</f>
        <v/>
      </c>
      <c r="Z1035" s="24" t="str">
        <f aca="false">IF(AND($C1035="",$I1035="",$J1035=""),"",IF($N1035="","NO VAT CODE",IF($T1035="","UNKNOWN VAT CODE",IF($S1035="","MISSING FX RATE",IF(OR($A1035&lt;Settings!$C$8,$A1035&gt;Settings!$C$9),"OUTSIDE PERIOD",IF(AND(IFERROR(INDEX(VAT_Codes!$E:$E,MATCH($N1035,VAT_Codes!$A:$A,0)),"ANY")&lt;&gt;"ANY",$P1035=""),"MISSING COUNTERPARTY COUNTRY",IF(AND(IFERROR(INDEX(VAT_Codes!$E:$E,MATCH($N1035,VAT_Codes!$A:$A,0)),"ANY")&lt;&gt;"ANY",$P1035&lt;&gt;IFERROR(INDEX(VAT_Codes!$E:$E,MATCH($N1035,VAT_Codes!$A:$A,0)),"ANY")),"REGION MISMATCH","OK")))))))</f>
        <v/>
      </c>
    </row>
    <row r="1036" customFormat="false" ht="15" hidden="false" customHeight="false" outlineLevel="0" collapsed="false">
      <c r="M1036" s="24" t="str">
        <f aca="false">IF($C1036="","",IFERROR(INDEX(Account_Mapping!$C:$C,MATCH($C1036&amp;"",Account_Mapping!$A:$A,0))&amp;"",""))</f>
        <v/>
      </c>
      <c r="N1036" s="24" t="str">
        <f aca="false">IF($K1036&lt;&gt;"",$K1036,$M1036)</f>
        <v/>
      </c>
      <c r="O1036" s="24" t="str">
        <f aca="false">IF($F1036="","",IFERROR(INDEX(Counterparties!$C:$C,MATCH($F1036&amp;"",Counterparties!$A:$A,0))&amp;"",""))</f>
        <v/>
      </c>
      <c r="P1036" s="24" t="str">
        <f aca="false">IF($O1036="","",IF($O1036="CY","CY",IF(ISNUMBER(MATCH($O1036,Lists!$A:$A,0)),"EU","3RD")))</f>
        <v/>
      </c>
      <c r="Q1036" s="24" t="str">
        <f aca="false">IF($F1036="","N",IFERROR(IF(INDEX(Counterparties!$E:$E,MATCH($F1036&amp;"",Counterparties!$A:$A,0))="Y","Y","N"),"N"))</f>
        <v>N</v>
      </c>
      <c r="R1036" s="25" t="n">
        <f aca="false">IF(OR($H1036="",$H1036="EUR"),1,IFERROR(INDEX(FX_Rates!$D:$D,MATCH($H1036,FX_Rates!$A:$A,0)),""))</f>
        <v>1</v>
      </c>
      <c r="S1036" s="26" t="str">
        <f aca="false">IF(AND($I1036="",$J1036=""),"",IF($J1036&lt;&gt;"",$J1036,IF(OR($R1036="",$R1036=0),"",ROUND($I1036/$R1036,2))))</f>
        <v/>
      </c>
      <c r="T1036" s="24" t="str">
        <f aca="false">IF($N1036="","",IFERROR(INDEX(VAT_Codes!$C:$C,MATCH($N1036,VAT_Codes!$A:$A,0)),"")&amp;"")</f>
        <v/>
      </c>
      <c r="U1036" s="26" t="n">
        <f aca="false">IF(OR($S1036="",$T1036="",$T1036="None"),0,IF($T1036="Output",-$S1036,$S1036))</f>
        <v>0</v>
      </c>
      <c r="V1036" s="27" t="n">
        <f aca="false">IF($N1036="",0,IFERROR(INDEX(VAT_Codes!$D:$D,MATCH($N1036,VAT_Codes!$A:$A,0)),0))</f>
        <v>0</v>
      </c>
      <c r="W1036" s="26" t="n">
        <f aca="false">IF($U1036=0,0,IF(IFERROR(INDEX(VAT_Codes!$F:$F,MATCH($N1036,VAT_Codes!$A:$A,0)),"N")="Y",$U1036,IF($L1036&lt;&gt;"",ROUND(ABS($L1036)/IF(OR($R1036="",$R1036=0),1,$R1036),2)*SIGN($U1036),ROUND($U1036*$V1036,2))))</f>
        <v>0</v>
      </c>
      <c r="X1036" s="24" t="str">
        <f aca="false">IF($N1036="","",IFERROR(INDEX(VAT_Codes!$H:$H,MATCH($N1036,VAT_Codes!$A:$A,0)),"")&amp;"")</f>
        <v/>
      </c>
      <c r="Y1036" s="24" t="str">
        <f aca="false">IF($A1036="","",(YEAR($A1036)-YEAR(Settings!$C$8))*12+MONTH($A1036)-MONTH(Settings!$C$8)+1)</f>
        <v/>
      </c>
      <c r="Z1036" s="24" t="str">
        <f aca="false">IF(AND($C1036="",$I1036="",$J1036=""),"",IF($N1036="","NO VAT CODE",IF($T1036="","UNKNOWN VAT CODE",IF($S1036="","MISSING FX RATE",IF(OR($A1036&lt;Settings!$C$8,$A1036&gt;Settings!$C$9),"OUTSIDE PERIOD",IF(AND(IFERROR(INDEX(VAT_Codes!$E:$E,MATCH($N1036,VAT_Codes!$A:$A,0)),"ANY")&lt;&gt;"ANY",$P1036=""),"MISSING COUNTERPARTY COUNTRY",IF(AND(IFERROR(INDEX(VAT_Codes!$E:$E,MATCH($N1036,VAT_Codes!$A:$A,0)),"ANY")&lt;&gt;"ANY",$P1036&lt;&gt;IFERROR(INDEX(VAT_Codes!$E:$E,MATCH($N1036,VAT_Codes!$A:$A,0)),"ANY")),"REGION MISMATCH","OK")))))))</f>
        <v/>
      </c>
    </row>
    <row r="1037" customFormat="false" ht="15" hidden="false" customHeight="false" outlineLevel="0" collapsed="false">
      <c r="M1037" s="24" t="str">
        <f aca="false">IF($C1037="","",IFERROR(INDEX(Account_Mapping!$C:$C,MATCH($C1037&amp;"",Account_Mapping!$A:$A,0))&amp;"",""))</f>
        <v/>
      </c>
      <c r="N1037" s="24" t="str">
        <f aca="false">IF($K1037&lt;&gt;"",$K1037,$M1037)</f>
        <v/>
      </c>
      <c r="O1037" s="24" t="str">
        <f aca="false">IF($F1037="","",IFERROR(INDEX(Counterparties!$C:$C,MATCH($F1037&amp;"",Counterparties!$A:$A,0))&amp;"",""))</f>
        <v/>
      </c>
      <c r="P1037" s="24" t="str">
        <f aca="false">IF($O1037="","",IF($O1037="CY","CY",IF(ISNUMBER(MATCH($O1037,Lists!$A:$A,0)),"EU","3RD")))</f>
        <v/>
      </c>
      <c r="Q1037" s="24" t="str">
        <f aca="false">IF($F1037="","N",IFERROR(IF(INDEX(Counterparties!$E:$E,MATCH($F1037&amp;"",Counterparties!$A:$A,0))="Y","Y","N"),"N"))</f>
        <v>N</v>
      </c>
      <c r="R1037" s="25" t="n">
        <f aca="false">IF(OR($H1037="",$H1037="EUR"),1,IFERROR(INDEX(FX_Rates!$D:$D,MATCH($H1037,FX_Rates!$A:$A,0)),""))</f>
        <v>1</v>
      </c>
      <c r="S1037" s="26" t="str">
        <f aca="false">IF(AND($I1037="",$J1037=""),"",IF($J1037&lt;&gt;"",$J1037,IF(OR($R1037="",$R1037=0),"",ROUND($I1037/$R1037,2))))</f>
        <v/>
      </c>
      <c r="T1037" s="24" t="str">
        <f aca="false">IF($N1037="","",IFERROR(INDEX(VAT_Codes!$C:$C,MATCH($N1037,VAT_Codes!$A:$A,0)),"")&amp;"")</f>
        <v/>
      </c>
      <c r="U1037" s="26" t="n">
        <f aca="false">IF(OR($S1037="",$T1037="",$T1037="None"),0,IF($T1037="Output",-$S1037,$S1037))</f>
        <v>0</v>
      </c>
      <c r="V1037" s="27" t="n">
        <f aca="false">IF($N1037="",0,IFERROR(INDEX(VAT_Codes!$D:$D,MATCH($N1037,VAT_Codes!$A:$A,0)),0))</f>
        <v>0</v>
      </c>
      <c r="W1037" s="26" t="n">
        <f aca="false">IF($U1037=0,0,IF(IFERROR(INDEX(VAT_Codes!$F:$F,MATCH($N1037,VAT_Codes!$A:$A,0)),"N")="Y",$U1037,IF($L1037&lt;&gt;"",ROUND(ABS($L1037)/IF(OR($R1037="",$R1037=0),1,$R1037),2)*SIGN($U1037),ROUND($U1037*$V1037,2))))</f>
        <v>0</v>
      </c>
      <c r="X1037" s="24" t="str">
        <f aca="false">IF($N1037="","",IFERROR(INDEX(VAT_Codes!$H:$H,MATCH($N1037,VAT_Codes!$A:$A,0)),"")&amp;"")</f>
        <v/>
      </c>
      <c r="Y1037" s="24" t="str">
        <f aca="false">IF($A1037="","",(YEAR($A1037)-YEAR(Settings!$C$8))*12+MONTH($A1037)-MONTH(Settings!$C$8)+1)</f>
        <v/>
      </c>
      <c r="Z1037" s="24" t="str">
        <f aca="false">IF(AND($C1037="",$I1037="",$J1037=""),"",IF($N1037="","NO VAT CODE",IF($T1037="","UNKNOWN VAT CODE",IF($S1037="","MISSING FX RATE",IF(OR($A1037&lt;Settings!$C$8,$A1037&gt;Settings!$C$9),"OUTSIDE PERIOD",IF(AND(IFERROR(INDEX(VAT_Codes!$E:$E,MATCH($N1037,VAT_Codes!$A:$A,0)),"ANY")&lt;&gt;"ANY",$P1037=""),"MISSING COUNTERPARTY COUNTRY",IF(AND(IFERROR(INDEX(VAT_Codes!$E:$E,MATCH($N1037,VAT_Codes!$A:$A,0)),"ANY")&lt;&gt;"ANY",$P1037&lt;&gt;IFERROR(INDEX(VAT_Codes!$E:$E,MATCH($N1037,VAT_Codes!$A:$A,0)),"ANY")),"REGION MISMATCH","OK")))))))</f>
        <v/>
      </c>
    </row>
    <row r="1038" customFormat="false" ht="15" hidden="false" customHeight="false" outlineLevel="0" collapsed="false">
      <c r="M1038" s="24" t="str">
        <f aca="false">IF($C1038="","",IFERROR(INDEX(Account_Mapping!$C:$C,MATCH($C1038&amp;"",Account_Mapping!$A:$A,0))&amp;"",""))</f>
        <v/>
      </c>
      <c r="N1038" s="24" t="str">
        <f aca="false">IF($K1038&lt;&gt;"",$K1038,$M1038)</f>
        <v/>
      </c>
      <c r="O1038" s="24" t="str">
        <f aca="false">IF($F1038="","",IFERROR(INDEX(Counterparties!$C:$C,MATCH($F1038&amp;"",Counterparties!$A:$A,0))&amp;"",""))</f>
        <v/>
      </c>
      <c r="P1038" s="24" t="str">
        <f aca="false">IF($O1038="","",IF($O1038="CY","CY",IF(ISNUMBER(MATCH($O1038,Lists!$A:$A,0)),"EU","3RD")))</f>
        <v/>
      </c>
      <c r="Q1038" s="24" t="str">
        <f aca="false">IF($F1038="","N",IFERROR(IF(INDEX(Counterparties!$E:$E,MATCH($F1038&amp;"",Counterparties!$A:$A,0))="Y","Y","N"),"N"))</f>
        <v>N</v>
      </c>
      <c r="R1038" s="25" t="n">
        <f aca="false">IF(OR($H1038="",$H1038="EUR"),1,IFERROR(INDEX(FX_Rates!$D:$D,MATCH($H1038,FX_Rates!$A:$A,0)),""))</f>
        <v>1</v>
      </c>
      <c r="S1038" s="26" t="str">
        <f aca="false">IF(AND($I1038="",$J1038=""),"",IF($J1038&lt;&gt;"",$J1038,IF(OR($R1038="",$R1038=0),"",ROUND($I1038/$R1038,2))))</f>
        <v/>
      </c>
      <c r="T1038" s="24" t="str">
        <f aca="false">IF($N1038="","",IFERROR(INDEX(VAT_Codes!$C:$C,MATCH($N1038,VAT_Codes!$A:$A,0)),"")&amp;"")</f>
        <v/>
      </c>
      <c r="U1038" s="26" t="n">
        <f aca="false">IF(OR($S1038="",$T1038="",$T1038="None"),0,IF($T1038="Output",-$S1038,$S1038))</f>
        <v>0</v>
      </c>
      <c r="V1038" s="27" t="n">
        <f aca="false">IF($N1038="",0,IFERROR(INDEX(VAT_Codes!$D:$D,MATCH($N1038,VAT_Codes!$A:$A,0)),0))</f>
        <v>0</v>
      </c>
      <c r="W1038" s="26" t="n">
        <f aca="false">IF($U1038=0,0,IF(IFERROR(INDEX(VAT_Codes!$F:$F,MATCH($N1038,VAT_Codes!$A:$A,0)),"N")="Y",$U1038,IF($L1038&lt;&gt;"",ROUND(ABS($L1038)/IF(OR($R1038="",$R1038=0),1,$R1038),2)*SIGN($U1038),ROUND($U1038*$V1038,2))))</f>
        <v>0</v>
      </c>
      <c r="X1038" s="24" t="str">
        <f aca="false">IF($N1038="","",IFERROR(INDEX(VAT_Codes!$H:$H,MATCH($N1038,VAT_Codes!$A:$A,0)),"")&amp;"")</f>
        <v/>
      </c>
      <c r="Y1038" s="24" t="str">
        <f aca="false">IF($A1038="","",(YEAR($A1038)-YEAR(Settings!$C$8))*12+MONTH($A1038)-MONTH(Settings!$C$8)+1)</f>
        <v/>
      </c>
      <c r="Z1038" s="24" t="str">
        <f aca="false">IF(AND($C1038="",$I1038="",$J1038=""),"",IF($N1038="","NO VAT CODE",IF($T1038="","UNKNOWN VAT CODE",IF($S1038="","MISSING FX RATE",IF(OR($A1038&lt;Settings!$C$8,$A1038&gt;Settings!$C$9),"OUTSIDE PERIOD",IF(AND(IFERROR(INDEX(VAT_Codes!$E:$E,MATCH($N1038,VAT_Codes!$A:$A,0)),"ANY")&lt;&gt;"ANY",$P1038=""),"MISSING COUNTERPARTY COUNTRY",IF(AND(IFERROR(INDEX(VAT_Codes!$E:$E,MATCH($N1038,VAT_Codes!$A:$A,0)),"ANY")&lt;&gt;"ANY",$P1038&lt;&gt;IFERROR(INDEX(VAT_Codes!$E:$E,MATCH($N1038,VAT_Codes!$A:$A,0)),"ANY")),"REGION MISMATCH","OK")))))))</f>
        <v/>
      </c>
    </row>
    <row r="1039" customFormat="false" ht="15" hidden="false" customHeight="false" outlineLevel="0" collapsed="false">
      <c r="M1039" s="24" t="str">
        <f aca="false">IF($C1039="","",IFERROR(INDEX(Account_Mapping!$C:$C,MATCH($C1039&amp;"",Account_Mapping!$A:$A,0))&amp;"",""))</f>
        <v/>
      </c>
      <c r="N1039" s="24" t="str">
        <f aca="false">IF($K1039&lt;&gt;"",$K1039,$M1039)</f>
        <v/>
      </c>
      <c r="O1039" s="24" t="str">
        <f aca="false">IF($F1039="","",IFERROR(INDEX(Counterparties!$C:$C,MATCH($F1039&amp;"",Counterparties!$A:$A,0))&amp;"",""))</f>
        <v/>
      </c>
      <c r="P1039" s="24" t="str">
        <f aca="false">IF($O1039="","",IF($O1039="CY","CY",IF(ISNUMBER(MATCH($O1039,Lists!$A:$A,0)),"EU","3RD")))</f>
        <v/>
      </c>
      <c r="Q1039" s="24" t="str">
        <f aca="false">IF($F1039="","N",IFERROR(IF(INDEX(Counterparties!$E:$E,MATCH($F1039&amp;"",Counterparties!$A:$A,0))="Y","Y","N"),"N"))</f>
        <v>N</v>
      </c>
      <c r="R1039" s="25" t="n">
        <f aca="false">IF(OR($H1039="",$H1039="EUR"),1,IFERROR(INDEX(FX_Rates!$D:$D,MATCH($H1039,FX_Rates!$A:$A,0)),""))</f>
        <v>1</v>
      </c>
      <c r="S1039" s="26" t="str">
        <f aca="false">IF(AND($I1039="",$J1039=""),"",IF($J1039&lt;&gt;"",$J1039,IF(OR($R1039="",$R1039=0),"",ROUND($I1039/$R1039,2))))</f>
        <v/>
      </c>
      <c r="T1039" s="24" t="str">
        <f aca="false">IF($N1039="","",IFERROR(INDEX(VAT_Codes!$C:$C,MATCH($N1039,VAT_Codes!$A:$A,0)),"")&amp;"")</f>
        <v/>
      </c>
      <c r="U1039" s="26" t="n">
        <f aca="false">IF(OR($S1039="",$T1039="",$T1039="None"),0,IF($T1039="Output",-$S1039,$S1039))</f>
        <v>0</v>
      </c>
      <c r="V1039" s="27" t="n">
        <f aca="false">IF($N1039="",0,IFERROR(INDEX(VAT_Codes!$D:$D,MATCH($N1039,VAT_Codes!$A:$A,0)),0))</f>
        <v>0</v>
      </c>
      <c r="W1039" s="26" t="n">
        <f aca="false">IF($U1039=0,0,IF(IFERROR(INDEX(VAT_Codes!$F:$F,MATCH($N1039,VAT_Codes!$A:$A,0)),"N")="Y",$U1039,IF($L1039&lt;&gt;"",ROUND(ABS($L1039)/IF(OR($R1039="",$R1039=0),1,$R1039),2)*SIGN($U1039),ROUND($U1039*$V1039,2))))</f>
        <v>0</v>
      </c>
      <c r="X1039" s="24" t="str">
        <f aca="false">IF($N1039="","",IFERROR(INDEX(VAT_Codes!$H:$H,MATCH($N1039,VAT_Codes!$A:$A,0)),"")&amp;"")</f>
        <v/>
      </c>
      <c r="Y1039" s="24" t="str">
        <f aca="false">IF($A1039="","",(YEAR($A1039)-YEAR(Settings!$C$8))*12+MONTH($A1039)-MONTH(Settings!$C$8)+1)</f>
        <v/>
      </c>
      <c r="Z1039" s="24" t="str">
        <f aca="false">IF(AND($C1039="",$I1039="",$J1039=""),"",IF($N1039="","NO VAT CODE",IF($T1039="","UNKNOWN VAT CODE",IF($S1039="","MISSING FX RATE",IF(OR($A1039&lt;Settings!$C$8,$A1039&gt;Settings!$C$9),"OUTSIDE PERIOD",IF(AND(IFERROR(INDEX(VAT_Codes!$E:$E,MATCH($N1039,VAT_Codes!$A:$A,0)),"ANY")&lt;&gt;"ANY",$P1039=""),"MISSING COUNTERPARTY COUNTRY",IF(AND(IFERROR(INDEX(VAT_Codes!$E:$E,MATCH($N1039,VAT_Codes!$A:$A,0)),"ANY")&lt;&gt;"ANY",$P1039&lt;&gt;IFERROR(INDEX(VAT_Codes!$E:$E,MATCH($N1039,VAT_Codes!$A:$A,0)),"ANY")),"REGION MISMATCH","OK")))))))</f>
        <v/>
      </c>
    </row>
    <row r="1040" customFormat="false" ht="15" hidden="false" customHeight="false" outlineLevel="0" collapsed="false">
      <c r="M1040" s="24" t="str">
        <f aca="false">IF($C1040="","",IFERROR(INDEX(Account_Mapping!$C:$C,MATCH($C1040&amp;"",Account_Mapping!$A:$A,0))&amp;"",""))</f>
        <v/>
      </c>
      <c r="N1040" s="24" t="str">
        <f aca="false">IF($K1040&lt;&gt;"",$K1040,$M1040)</f>
        <v/>
      </c>
      <c r="O1040" s="24" t="str">
        <f aca="false">IF($F1040="","",IFERROR(INDEX(Counterparties!$C:$C,MATCH($F1040&amp;"",Counterparties!$A:$A,0))&amp;"",""))</f>
        <v/>
      </c>
      <c r="P1040" s="24" t="str">
        <f aca="false">IF($O1040="","",IF($O1040="CY","CY",IF(ISNUMBER(MATCH($O1040,Lists!$A:$A,0)),"EU","3RD")))</f>
        <v/>
      </c>
      <c r="Q1040" s="24" t="str">
        <f aca="false">IF($F1040="","N",IFERROR(IF(INDEX(Counterparties!$E:$E,MATCH($F1040&amp;"",Counterparties!$A:$A,0))="Y","Y","N"),"N"))</f>
        <v>N</v>
      </c>
      <c r="R1040" s="25" t="n">
        <f aca="false">IF(OR($H1040="",$H1040="EUR"),1,IFERROR(INDEX(FX_Rates!$D:$D,MATCH($H1040,FX_Rates!$A:$A,0)),""))</f>
        <v>1</v>
      </c>
      <c r="S1040" s="26" t="str">
        <f aca="false">IF(AND($I1040="",$J1040=""),"",IF($J1040&lt;&gt;"",$J1040,IF(OR($R1040="",$R1040=0),"",ROUND($I1040/$R1040,2))))</f>
        <v/>
      </c>
      <c r="T1040" s="24" t="str">
        <f aca="false">IF($N1040="","",IFERROR(INDEX(VAT_Codes!$C:$C,MATCH($N1040,VAT_Codes!$A:$A,0)),"")&amp;"")</f>
        <v/>
      </c>
      <c r="U1040" s="26" t="n">
        <f aca="false">IF(OR($S1040="",$T1040="",$T1040="None"),0,IF($T1040="Output",-$S1040,$S1040))</f>
        <v>0</v>
      </c>
      <c r="V1040" s="27" t="n">
        <f aca="false">IF($N1040="",0,IFERROR(INDEX(VAT_Codes!$D:$D,MATCH($N1040,VAT_Codes!$A:$A,0)),0))</f>
        <v>0</v>
      </c>
      <c r="W1040" s="26" t="n">
        <f aca="false">IF($U1040=0,0,IF(IFERROR(INDEX(VAT_Codes!$F:$F,MATCH($N1040,VAT_Codes!$A:$A,0)),"N")="Y",$U1040,IF($L1040&lt;&gt;"",ROUND(ABS($L1040)/IF(OR($R1040="",$R1040=0),1,$R1040),2)*SIGN($U1040),ROUND($U1040*$V1040,2))))</f>
        <v>0</v>
      </c>
      <c r="X1040" s="24" t="str">
        <f aca="false">IF($N1040="","",IFERROR(INDEX(VAT_Codes!$H:$H,MATCH($N1040,VAT_Codes!$A:$A,0)),"")&amp;"")</f>
        <v/>
      </c>
      <c r="Y1040" s="24" t="str">
        <f aca="false">IF($A1040="","",(YEAR($A1040)-YEAR(Settings!$C$8))*12+MONTH($A1040)-MONTH(Settings!$C$8)+1)</f>
        <v/>
      </c>
      <c r="Z1040" s="24" t="str">
        <f aca="false">IF(AND($C1040="",$I1040="",$J1040=""),"",IF($N1040="","NO VAT CODE",IF($T1040="","UNKNOWN VAT CODE",IF($S1040="","MISSING FX RATE",IF(OR($A1040&lt;Settings!$C$8,$A1040&gt;Settings!$C$9),"OUTSIDE PERIOD",IF(AND(IFERROR(INDEX(VAT_Codes!$E:$E,MATCH($N1040,VAT_Codes!$A:$A,0)),"ANY")&lt;&gt;"ANY",$P1040=""),"MISSING COUNTERPARTY COUNTRY",IF(AND(IFERROR(INDEX(VAT_Codes!$E:$E,MATCH($N1040,VAT_Codes!$A:$A,0)),"ANY")&lt;&gt;"ANY",$P1040&lt;&gt;IFERROR(INDEX(VAT_Codes!$E:$E,MATCH($N1040,VAT_Codes!$A:$A,0)),"ANY")),"REGION MISMATCH","OK")))))))</f>
        <v/>
      </c>
    </row>
    <row r="1041" customFormat="false" ht="15" hidden="false" customHeight="false" outlineLevel="0" collapsed="false">
      <c r="M1041" s="24" t="str">
        <f aca="false">IF($C1041="","",IFERROR(INDEX(Account_Mapping!$C:$C,MATCH($C1041&amp;"",Account_Mapping!$A:$A,0))&amp;"",""))</f>
        <v/>
      </c>
      <c r="N1041" s="24" t="str">
        <f aca="false">IF($K1041&lt;&gt;"",$K1041,$M1041)</f>
        <v/>
      </c>
      <c r="O1041" s="24" t="str">
        <f aca="false">IF($F1041="","",IFERROR(INDEX(Counterparties!$C:$C,MATCH($F1041&amp;"",Counterparties!$A:$A,0))&amp;"",""))</f>
        <v/>
      </c>
      <c r="P1041" s="24" t="str">
        <f aca="false">IF($O1041="","",IF($O1041="CY","CY",IF(ISNUMBER(MATCH($O1041,Lists!$A:$A,0)),"EU","3RD")))</f>
        <v/>
      </c>
      <c r="Q1041" s="24" t="str">
        <f aca="false">IF($F1041="","N",IFERROR(IF(INDEX(Counterparties!$E:$E,MATCH($F1041&amp;"",Counterparties!$A:$A,0))="Y","Y","N"),"N"))</f>
        <v>N</v>
      </c>
      <c r="R1041" s="25" t="n">
        <f aca="false">IF(OR($H1041="",$H1041="EUR"),1,IFERROR(INDEX(FX_Rates!$D:$D,MATCH($H1041,FX_Rates!$A:$A,0)),""))</f>
        <v>1</v>
      </c>
      <c r="S1041" s="26" t="str">
        <f aca="false">IF(AND($I1041="",$J1041=""),"",IF($J1041&lt;&gt;"",$J1041,IF(OR($R1041="",$R1041=0),"",ROUND($I1041/$R1041,2))))</f>
        <v/>
      </c>
      <c r="T1041" s="24" t="str">
        <f aca="false">IF($N1041="","",IFERROR(INDEX(VAT_Codes!$C:$C,MATCH($N1041,VAT_Codes!$A:$A,0)),"")&amp;"")</f>
        <v/>
      </c>
      <c r="U1041" s="26" t="n">
        <f aca="false">IF(OR($S1041="",$T1041="",$T1041="None"),0,IF($T1041="Output",-$S1041,$S1041))</f>
        <v>0</v>
      </c>
      <c r="V1041" s="27" t="n">
        <f aca="false">IF($N1041="",0,IFERROR(INDEX(VAT_Codes!$D:$D,MATCH($N1041,VAT_Codes!$A:$A,0)),0))</f>
        <v>0</v>
      </c>
      <c r="W1041" s="26" t="n">
        <f aca="false">IF($U1041=0,0,IF(IFERROR(INDEX(VAT_Codes!$F:$F,MATCH($N1041,VAT_Codes!$A:$A,0)),"N")="Y",$U1041,IF($L1041&lt;&gt;"",ROUND(ABS($L1041)/IF(OR($R1041="",$R1041=0),1,$R1041),2)*SIGN($U1041),ROUND($U1041*$V1041,2))))</f>
        <v>0</v>
      </c>
      <c r="X1041" s="24" t="str">
        <f aca="false">IF($N1041="","",IFERROR(INDEX(VAT_Codes!$H:$H,MATCH($N1041,VAT_Codes!$A:$A,0)),"")&amp;"")</f>
        <v/>
      </c>
      <c r="Y1041" s="24" t="str">
        <f aca="false">IF($A1041="","",(YEAR($A1041)-YEAR(Settings!$C$8))*12+MONTH($A1041)-MONTH(Settings!$C$8)+1)</f>
        <v/>
      </c>
      <c r="Z1041" s="24" t="str">
        <f aca="false">IF(AND($C1041="",$I1041="",$J1041=""),"",IF($N1041="","NO VAT CODE",IF($T1041="","UNKNOWN VAT CODE",IF($S1041="","MISSING FX RATE",IF(OR($A1041&lt;Settings!$C$8,$A1041&gt;Settings!$C$9),"OUTSIDE PERIOD",IF(AND(IFERROR(INDEX(VAT_Codes!$E:$E,MATCH($N1041,VAT_Codes!$A:$A,0)),"ANY")&lt;&gt;"ANY",$P1041=""),"MISSING COUNTERPARTY COUNTRY",IF(AND(IFERROR(INDEX(VAT_Codes!$E:$E,MATCH($N1041,VAT_Codes!$A:$A,0)),"ANY")&lt;&gt;"ANY",$P1041&lt;&gt;IFERROR(INDEX(VAT_Codes!$E:$E,MATCH($N1041,VAT_Codes!$A:$A,0)),"ANY")),"REGION MISMATCH","OK")))))))</f>
        <v/>
      </c>
    </row>
    <row r="1042" customFormat="false" ht="15" hidden="false" customHeight="false" outlineLevel="0" collapsed="false">
      <c r="M1042" s="24" t="str">
        <f aca="false">IF($C1042="","",IFERROR(INDEX(Account_Mapping!$C:$C,MATCH($C1042&amp;"",Account_Mapping!$A:$A,0))&amp;"",""))</f>
        <v/>
      </c>
      <c r="N1042" s="24" t="str">
        <f aca="false">IF($K1042&lt;&gt;"",$K1042,$M1042)</f>
        <v/>
      </c>
      <c r="O1042" s="24" t="str">
        <f aca="false">IF($F1042="","",IFERROR(INDEX(Counterparties!$C:$C,MATCH($F1042&amp;"",Counterparties!$A:$A,0))&amp;"",""))</f>
        <v/>
      </c>
      <c r="P1042" s="24" t="str">
        <f aca="false">IF($O1042="","",IF($O1042="CY","CY",IF(ISNUMBER(MATCH($O1042,Lists!$A:$A,0)),"EU","3RD")))</f>
        <v/>
      </c>
      <c r="Q1042" s="24" t="str">
        <f aca="false">IF($F1042="","N",IFERROR(IF(INDEX(Counterparties!$E:$E,MATCH($F1042&amp;"",Counterparties!$A:$A,0))="Y","Y","N"),"N"))</f>
        <v>N</v>
      </c>
      <c r="R1042" s="25" t="n">
        <f aca="false">IF(OR($H1042="",$H1042="EUR"),1,IFERROR(INDEX(FX_Rates!$D:$D,MATCH($H1042,FX_Rates!$A:$A,0)),""))</f>
        <v>1</v>
      </c>
      <c r="S1042" s="26" t="str">
        <f aca="false">IF(AND($I1042="",$J1042=""),"",IF($J1042&lt;&gt;"",$J1042,IF(OR($R1042="",$R1042=0),"",ROUND($I1042/$R1042,2))))</f>
        <v/>
      </c>
      <c r="T1042" s="24" t="str">
        <f aca="false">IF($N1042="","",IFERROR(INDEX(VAT_Codes!$C:$C,MATCH($N1042,VAT_Codes!$A:$A,0)),"")&amp;"")</f>
        <v/>
      </c>
      <c r="U1042" s="26" t="n">
        <f aca="false">IF(OR($S1042="",$T1042="",$T1042="None"),0,IF($T1042="Output",-$S1042,$S1042))</f>
        <v>0</v>
      </c>
      <c r="V1042" s="27" t="n">
        <f aca="false">IF($N1042="",0,IFERROR(INDEX(VAT_Codes!$D:$D,MATCH($N1042,VAT_Codes!$A:$A,0)),0))</f>
        <v>0</v>
      </c>
      <c r="W1042" s="26" t="n">
        <f aca="false">IF($U1042=0,0,IF(IFERROR(INDEX(VAT_Codes!$F:$F,MATCH($N1042,VAT_Codes!$A:$A,0)),"N")="Y",$U1042,IF($L1042&lt;&gt;"",ROUND(ABS($L1042)/IF(OR($R1042="",$R1042=0),1,$R1042),2)*SIGN($U1042),ROUND($U1042*$V1042,2))))</f>
        <v>0</v>
      </c>
      <c r="X1042" s="24" t="str">
        <f aca="false">IF($N1042="","",IFERROR(INDEX(VAT_Codes!$H:$H,MATCH($N1042,VAT_Codes!$A:$A,0)),"")&amp;"")</f>
        <v/>
      </c>
      <c r="Y1042" s="24" t="str">
        <f aca="false">IF($A1042="","",(YEAR($A1042)-YEAR(Settings!$C$8))*12+MONTH($A1042)-MONTH(Settings!$C$8)+1)</f>
        <v/>
      </c>
      <c r="Z1042" s="24" t="str">
        <f aca="false">IF(AND($C1042="",$I1042="",$J1042=""),"",IF($N1042="","NO VAT CODE",IF($T1042="","UNKNOWN VAT CODE",IF($S1042="","MISSING FX RATE",IF(OR($A1042&lt;Settings!$C$8,$A1042&gt;Settings!$C$9),"OUTSIDE PERIOD",IF(AND(IFERROR(INDEX(VAT_Codes!$E:$E,MATCH($N1042,VAT_Codes!$A:$A,0)),"ANY")&lt;&gt;"ANY",$P1042=""),"MISSING COUNTERPARTY COUNTRY",IF(AND(IFERROR(INDEX(VAT_Codes!$E:$E,MATCH($N1042,VAT_Codes!$A:$A,0)),"ANY")&lt;&gt;"ANY",$P1042&lt;&gt;IFERROR(INDEX(VAT_Codes!$E:$E,MATCH($N1042,VAT_Codes!$A:$A,0)),"ANY")),"REGION MISMATCH","OK")))))))</f>
        <v/>
      </c>
    </row>
    <row r="1043" customFormat="false" ht="15" hidden="false" customHeight="false" outlineLevel="0" collapsed="false">
      <c r="M1043" s="24" t="str">
        <f aca="false">IF($C1043="","",IFERROR(INDEX(Account_Mapping!$C:$C,MATCH($C1043&amp;"",Account_Mapping!$A:$A,0))&amp;"",""))</f>
        <v/>
      </c>
      <c r="N1043" s="24" t="str">
        <f aca="false">IF($K1043&lt;&gt;"",$K1043,$M1043)</f>
        <v/>
      </c>
      <c r="O1043" s="24" t="str">
        <f aca="false">IF($F1043="","",IFERROR(INDEX(Counterparties!$C:$C,MATCH($F1043&amp;"",Counterparties!$A:$A,0))&amp;"",""))</f>
        <v/>
      </c>
      <c r="P1043" s="24" t="str">
        <f aca="false">IF($O1043="","",IF($O1043="CY","CY",IF(ISNUMBER(MATCH($O1043,Lists!$A:$A,0)),"EU","3RD")))</f>
        <v/>
      </c>
      <c r="Q1043" s="24" t="str">
        <f aca="false">IF($F1043="","N",IFERROR(IF(INDEX(Counterparties!$E:$E,MATCH($F1043&amp;"",Counterparties!$A:$A,0))="Y","Y","N"),"N"))</f>
        <v>N</v>
      </c>
      <c r="R1043" s="25" t="n">
        <f aca="false">IF(OR($H1043="",$H1043="EUR"),1,IFERROR(INDEX(FX_Rates!$D:$D,MATCH($H1043,FX_Rates!$A:$A,0)),""))</f>
        <v>1</v>
      </c>
      <c r="S1043" s="26" t="str">
        <f aca="false">IF(AND($I1043="",$J1043=""),"",IF($J1043&lt;&gt;"",$J1043,IF(OR($R1043="",$R1043=0),"",ROUND($I1043/$R1043,2))))</f>
        <v/>
      </c>
      <c r="T1043" s="24" t="str">
        <f aca="false">IF($N1043="","",IFERROR(INDEX(VAT_Codes!$C:$C,MATCH($N1043,VAT_Codes!$A:$A,0)),"")&amp;"")</f>
        <v/>
      </c>
      <c r="U1043" s="26" t="n">
        <f aca="false">IF(OR($S1043="",$T1043="",$T1043="None"),0,IF($T1043="Output",-$S1043,$S1043))</f>
        <v>0</v>
      </c>
      <c r="V1043" s="27" t="n">
        <f aca="false">IF($N1043="",0,IFERROR(INDEX(VAT_Codes!$D:$D,MATCH($N1043,VAT_Codes!$A:$A,0)),0))</f>
        <v>0</v>
      </c>
      <c r="W1043" s="26" t="n">
        <f aca="false">IF($U1043=0,0,IF(IFERROR(INDEX(VAT_Codes!$F:$F,MATCH($N1043,VAT_Codes!$A:$A,0)),"N")="Y",$U1043,IF($L1043&lt;&gt;"",ROUND(ABS($L1043)/IF(OR($R1043="",$R1043=0),1,$R1043),2)*SIGN($U1043),ROUND($U1043*$V1043,2))))</f>
        <v>0</v>
      </c>
      <c r="X1043" s="24" t="str">
        <f aca="false">IF($N1043="","",IFERROR(INDEX(VAT_Codes!$H:$H,MATCH($N1043,VAT_Codes!$A:$A,0)),"")&amp;"")</f>
        <v/>
      </c>
      <c r="Y1043" s="24" t="str">
        <f aca="false">IF($A1043="","",(YEAR($A1043)-YEAR(Settings!$C$8))*12+MONTH($A1043)-MONTH(Settings!$C$8)+1)</f>
        <v/>
      </c>
      <c r="Z1043" s="24" t="str">
        <f aca="false">IF(AND($C1043="",$I1043="",$J1043=""),"",IF($N1043="","NO VAT CODE",IF($T1043="","UNKNOWN VAT CODE",IF($S1043="","MISSING FX RATE",IF(OR($A1043&lt;Settings!$C$8,$A1043&gt;Settings!$C$9),"OUTSIDE PERIOD",IF(AND(IFERROR(INDEX(VAT_Codes!$E:$E,MATCH($N1043,VAT_Codes!$A:$A,0)),"ANY")&lt;&gt;"ANY",$P1043=""),"MISSING COUNTERPARTY COUNTRY",IF(AND(IFERROR(INDEX(VAT_Codes!$E:$E,MATCH($N1043,VAT_Codes!$A:$A,0)),"ANY")&lt;&gt;"ANY",$P1043&lt;&gt;IFERROR(INDEX(VAT_Codes!$E:$E,MATCH($N1043,VAT_Codes!$A:$A,0)),"ANY")),"REGION MISMATCH","OK")))))))</f>
        <v/>
      </c>
    </row>
    <row r="1044" customFormat="false" ht="15" hidden="false" customHeight="false" outlineLevel="0" collapsed="false">
      <c r="M1044" s="24" t="str">
        <f aca="false">IF($C1044="","",IFERROR(INDEX(Account_Mapping!$C:$C,MATCH($C1044&amp;"",Account_Mapping!$A:$A,0))&amp;"",""))</f>
        <v/>
      </c>
      <c r="N1044" s="24" t="str">
        <f aca="false">IF($K1044&lt;&gt;"",$K1044,$M1044)</f>
        <v/>
      </c>
      <c r="O1044" s="24" t="str">
        <f aca="false">IF($F1044="","",IFERROR(INDEX(Counterparties!$C:$C,MATCH($F1044&amp;"",Counterparties!$A:$A,0))&amp;"",""))</f>
        <v/>
      </c>
      <c r="P1044" s="24" t="str">
        <f aca="false">IF($O1044="","",IF($O1044="CY","CY",IF(ISNUMBER(MATCH($O1044,Lists!$A:$A,0)),"EU","3RD")))</f>
        <v/>
      </c>
      <c r="Q1044" s="24" t="str">
        <f aca="false">IF($F1044="","N",IFERROR(IF(INDEX(Counterparties!$E:$E,MATCH($F1044&amp;"",Counterparties!$A:$A,0))="Y","Y","N"),"N"))</f>
        <v>N</v>
      </c>
      <c r="R1044" s="25" t="n">
        <f aca="false">IF(OR($H1044="",$H1044="EUR"),1,IFERROR(INDEX(FX_Rates!$D:$D,MATCH($H1044,FX_Rates!$A:$A,0)),""))</f>
        <v>1</v>
      </c>
      <c r="S1044" s="26" t="str">
        <f aca="false">IF(AND($I1044="",$J1044=""),"",IF($J1044&lt;&gt;"",$J1044,IF(OR($R1044="",$R1044=0),"",ROUND($I1044/$R1044,2))))</f>
        <v/>
      </c>
      <c r="T1044" s="24" t="str">
        <f aca="false">IF($N1044="","",IFERROR(INDEX(VAT_Codes!$C:$C,MATCH($N1044,VAT_Codes!$A:$A,0)),"")&amp;"")</f>
        <v/>
      </c>
      <c r="U1044" s="26" t="n">
        <f aca="false">IF(OR($S1044="",$T1044="",$T1044="None"),0,IF($T1044="Output",-$S1044,$S1044))</f>
        <v>0</v>
      </c>
      <c r="V1044" s="27" t="n">
        <f aca="false">IF($N1044="",0,IFERROR(INDEX(VAT_Codes!$D:$D,MATCH($N1044,VAT_Codes!$A:$A,0)),0))</f>
        <v>0</v>
      </c>
      <c r="W1044" s="26" t="n">
        <f aca="false">IF($U1044=0,0,IF(IFERROR(INDEX(VAT_Codes!$F:$F,MATCH($N1044,VAT_Codes!$A:$A,0)),"N")="Y",$U1044,IF($L1044&lt;&gt;"",ROUND(ABS($L1044)/IF(OR($R1044="",$R1044=0),1,$R1044),2)*SIGN($U1044),ROUND($U1044*$V1044,2))))</f>
        <v>0</v>
      </c>
      <c r="X1044" s="24" t="str">
        <f aca="false">IF($N1044="","",IFERROR(INDEX(VAT_Codes!$H:$H,MATCH($N1044,VAT_Codes!$A:$A,0)),"")&amp;"")</f>
        <v/>
      </c>
      <c r="Y1044" s="24" t="str">
        <f aca="false">IF($A1044="","",(YEAR($A1044)-YEAR(Settings!$C$8))*12+MONTH($A1044)-MONTH(Settings!$C$8)+1)</f>
        <v/>
      </c>
      <c r="Z1044" s="24" t="str">
        <f aca="false">IF(AND($C1044="",$I1044="",$J1044=""),"",IF($N1044="","NO VAT CODE",IF($T1044="","UNKNOWN VAT CODE",IF($S1044="","MISSING FX RATE",IF(OR($A1044&lt;Settings!$C$8,$A1044&gt;Settings!$C$9),"OUTSIDE PERIOD",IF(AND(IFERROR(INDEX(VAT_Codes!$E:$E,MATCH($N1044,VAT_Codes!$A:$A,0)),"ANY")&lt;&gt;"ANY",$P1044=""),"MISSING COUNTERPARTY COUNTRY",IF(AND(IFERROR(INDEX(VAT_Codes!$E:$E,MATCH($N1044,VAT_Codes!$A:$A,0)),"ANY")&lt;&gt;"ANY",$P1044&lt;&gt;IFERROR(INDEX(VAT_Codes!$E:$E,MATCH($N1044,VAT_Codes!$A:$A,0)),"ANY")),"REGION MISMATCH","OK")))))))</f>
        <v/>
      </c>
    </row>
    <row r="1045" customFormat="false" ht="15" hidden="false" customHeight="false" outlineLevel="0" collapsed="false">
      <c r="M1045" s="24" t="str">
        <f aca="false">IF($C1045="","",IFERROR(INDEX(Account_Mapping!$C:$C,MATCH($C1045&amp;"",Account_Mapping!$A:$A,0))&amp;"",""))</f>
        <v/>
      </c>
      <c r="N1045" s="24" t="str">
        <f aca="false">IF($K1045&lt;&gt;"",$K1045,$M1045)</f>
        <v/>
      </c>
      <c r="O1045" s="24" t="str">
        <f aca="false">IF($F1045="","",IFERROR(INDEX(Counterparties!$C:$C,MATCH($F1045&amp;"",Counterparties!$A:$A,0))&amp;"",""))</f>
        <v/>
      </c>
      <c r="P1045" s="24" t="str">
        <f aca="false">IF($O1045="","",IF($O1045="CY","CY",IF(ISNUMBER(MATCH($O1045,Lists!$A:$A,0)),"EU","3RD")))</f>
        <v/>
      </c>
      <c r="Q1045" s="24" t="str">
        <f aca="false">IF($F1045="","N",IFERROR(IF(INDEX(Counterparties!$E:$E,MATCH($F1045&amp;"",Counterparties!$A:$A,0))="Y","Y","N"),"N"))</f>
        <v>N</v>
      </c>
      <c r="R1045" s="25" t="n">
        <f aca="false">IF(OR($H1045="",$H1045="EUR"),1,IFERROR(INDEX(FX_Rates!$D:$D,MATCH($H1045,FX_Rates!$A:$A,0)),""))</f>
        <v>1</v>
      </c>
      <c r="S1045" s="26" t="str">
        <f aca="false">IF(AND($I1045="",$J1045=""),"",IF($J1045&lt;&gt;"",$J1045,IF(OR($R1045="",$R1045=0),"",ROUND($I1045/$R1045,2))))</f>
        <v/>
      </c>
      <c r="T1045" s="24" t="str">
        <f aca="false">IF($N1045="","",IFERROR(INDEX(VAT_Codes!$C:$C,MATCH($N1045,VAT_Codes!$A:$A,0)),"")&amp;"")</f>
        <v/>
      </c>
      <c r="U1045" s="26" t="n">
        <f aca="false">IF(OR($S1045="",$T1045="",$T1045="None"),0,IF($T1045="Output",-$S1045,$S1045))</f>
        <v>0</v>
      </c>
      <c r="V1045" s="27" t="n">
        <f aca="false">IF($N1045="",0,IFERROR(INDEX(VAT_Codes!$D:$D,MATCH($N1045,VAT_Codes!$A:$A,0)),0))</f>
        <v>0</v>
      </c>
      <c r="W1045" s="26" t="n">
        <f aca="false">IF($U1045=0,0,IF(IFERROR(INDEX(VAT_Codes!$F:$F,MATCH($N1045,VAT_Codes!$A:$A,0)),"N")="Y",$U1045,IF($L1045&lt;&gt;"",ROUND(ABS($L1045)/IF(OR($R1045="",$R1045=0),1,$R1045),2)*SIGN($U1045),ROUND($U1045*$V1045,2))))</f>
        <v>0</v>
      </c>
      <c r="X1045" s="24" t="str">
        <f aca="false">IF($N1045="","",IFERROR(INDEX(VAT_Codes!$H:$H,MATCH($N1045,VAT_Codes!$A:$A,0)),"")&amp;"")</f>
        <v/>
      </c>
      <c r="Y1045" s="24" t="str">
        <f aca="false">IF($A1045="","",(YEAR($A1045)-YEAR(Settings!$C$8))*12+MONTH($A1045)-MONTH(Settings!$C$8)+1)</f>
        <v/>
      </c>
      <c r="Z1045" s="24" t="str">
        <f aca="false">IF(AND($C1045="",$I1045="",$J1045=""),"",IF($N1045="","NO VAT CODE",IF($T1045="","UNKNOWN VAT CODE",IF($S1045="","MISSING FX RATE",IF(OR($A1045&lt;Settings!$C$8,$A1045&gt;Settings!$C$9),"OUTSIDE PERIOD",IF(AND(IFERROR(INDEX(VAT_Codes!$E:$E,MATCH($N1045,VAT_Codes!$A:$A,0)),"ANY")&lt;&gt;"ANY",$P1045=""),"MISSING COUNTERPARTY COUNTRY",IF(AND(IFERROR(INDEX(VAT_Codes!$E:$E,MATCH($N1045,VAT_Codes!$A:$A,0)),"ANY")&lt;&gt;"ANY",$P1045&lt;&gt;IFERROR(INDEX(VAT_Codes!$E:$E,MATCH($N1045,VAT_Codes!$A:$A,0)),"ANY")),"REGION MISMATCH","OK")))))))</f>
        <v/>
      </c>
    </row>
    <row r="1046" customFormat="false" ht="15" hidden="false" customHeight="false" outlineLevel="0" collapsed="false">
      <c r="M1046" s="24" t="str">
        <f aca="false">IF($C1046="","",IFERROR(INDEX(Account_Mapping!$C:$C,MATCH($C1046&amp;"",Account_Mapping!$A:$A,0))&amp;"",""))</f>
        <v/>
      </c>
      <c r="N1046" s="24" t="str">
        <f aca="false">IF($K1046&lt;&gt;"",$K1046,$M1046)</f>
        <v/>
      </c>
      <c r="O1046" s="24" t="str">
        <f aca="false">IF($F1046="","",IFERROR(INDEX(Counterparties!$C:$C,MATCH($F1046&amp;"",Counterparties!$A:$A,0))&amp;"",""))</f>
        <v/>
      </c>
      <c r="P1046" s="24" t="str">
        <f aca="false">IF($O1046="","",IF($O1046="CY","CY",IF(ISNUMBER(MATCH($O1046,Lists!$A:$A,0)),"EU","3RD")))</f>
        <v/>
      </c>
      <c r="Q1046" s="24" t="str">
        <f aca="false">IF($F1046="","N",IFERROR(IF(INDEX(Counterparties!$E:$E,MATCH($F1046&amp;"",Counterparties!$A:$A,0))="Y","Y","N"),"N"))</f>
        <v>N</v>
      </c>
      <c r="R1046" s="25" t="n">
        <f aca="false">IF(OR($H1046="",$H1046="EUR"),1,IFERROR(INDEX(FX_Rates!$D:$D,MATCH($H1046,FX_Rates!$A:$A,0)),""))</f>
        <v>1</v>
      </c>
      <c r="S1046" s="26" t="str">
        <f aca="false">IF(AND($I1046="",$J1046=""),"",IF($J1046&lt;&gt;"",$J1046,IF(OR($R1046="",$R1046=0),"",ROUND($I1046/$R1046,2))))</f>
        <v/>
      </c>
      <c r="T1046" s="24" t="str">
        <f aca="false">IF($N1046="","",IFERROR(INDEX(VAT_Codes!$C:$C,MATCH($N1046,VAT_Codes!$A:$A,0)),"")&amp;"")</f>
        <v/>
      </c>
      <c r="U1046" s="26" t="n">
        <f aca="false">IF(OR($S1046="",$T1046="",$T1046="None"),0,IF($T1046="Output",-$S1046,$S1046))</f>
        <v>0</v>
      </c>
      <c r="V1046" s="27" t="n">
        <f aca="false">IF($N1046="",0,IFERROR(INDEX(VAT_Codes!$D:$D,MATCH($N1046,VAT_Codes!$A:$A,0)),0))</f>
        <v>0</v>
      </c>
      <c r="W1046" s="26" t="n">
        <f aca="false">IF($U1046=0,0,IF(IFERROR(INDEX(VAT_Codes!$F:$F,MATCH($N1046,VAT_Codes!$A:$A,0)),"N")="Y",$U1046,IF($L1046&lt;&gt;"",ROUND(ABS($L1046)/IF(OR($R1046="",$R1046=0),1,$R1046),2)*SIGN($U1046),ROUND($U1046*$V1046,2))))</f>
        <v>0</v>
      </c>
      <c r="X1046" s="24" t="str">
        <f aca="false">IF($N1046="","",IFERROR(INDEX(VAT_Codes!$H:$H,MATCH($N1046,VAT_Codes!$A:$A,0)),"")&amp;"")</f>
        <v/>
      </c>
      <c r="Y1046" s="24" t="str">
        <f aca="false">IF($A1046="","",(YEAR($A1046)-YEAR(Settings!$C$8))*12+MONTH($A1046)-MONTH(Settings!$C$8)+1)</f>
        <v/>
      </c>
      <c r="Z1046" s="24" t="str">
        <f aca="false">IF(AND($C1046="",$I1046="",$J1046=""),"",IF($N1046="","NO VAT CODE",IF($T1046="","UNKNOWN VAT CODE",IF($S1046="","MISSING FX RATE",IF(OR($A1046&lt;Settings!$C$8,$A1046&gt;Settings!$C$9),"OUTSIDE PERIOD",IF(AND(IFERROR(INDEX(VAT_Codes!$E:$E,MATCH($N1046,VAT_Codes!$A:$A,0)),"ANY")&lt;&gt;"ANY",$P1046=""),"MISSING COUNTERPARTY COUNTRY",IF(AND(IFERROR(INDEX(VAT_Codes!$E:$E,MATCH($N1046,VAT_Codes!$A:$A,0)),"ANY")&lt;&gt;"ANY",$P1046&lt;&gt;IFERROR(INDEX(VAT_Codes!$E:$E,MATCH($N1046,VAT_Codes!$A:$A,0)),"ANY")),"REGION MISMATCH","OK")))))))</f>
        <v/>
      </c>
    </row>
    <row r="1047" customFormat="false" ht="15" hidden="false" customHeight="false" outlineLevel="0" collapsed="false">
      <c r="M1047" s="24" t="str">
        <f aca="false">IF($C1047="","",IFERROR(INDEX(Account_Mapping!$C:$C,MATCH($C1047&amp;"",Account_Mapping!$A:$A,0))&amp;"",""))</f>
        <v/>
      </c>
      <c r="N1047" s="24" t="str">
        <f aca="false">IF($K1047&lt;&gt;"",$K1047,$M1047)</f>
        <v/>
      </c>
      <c r="O1047" s="24" t="str">
        <f aca="false">IF($F1047="","",IFERROR(INDEX(Counterparties!$C:$C,MATCH($F1047&amp;"",Counterparties!$A:$A,0))&amp;"",""))</f>
        <v/>
      </c>
      <c r="P1047" s="24" t="str">
        <f aca="false">IF($O1047="","",IF($O1047="CY","CY",IF(ISNUMBER(MATCH($O1047,Lists!$A:$A,0)),"EU","3RD")))</f>
        <v/>
      </c>
      <c r="Q1047" s="24" t="str">
        <f aca="false">IF($F1047="","N",IFERROR(IF(INDEX(Counterparties!$E:$E,MATCH($F1047&amp;"",Counterparties!$A:$A,0))="Y","Y","N"),"N"))</f>
        <v>N</v>
      </c>
      <c r="R1047" s="25" t="n">
        <f aca="false">IF(OR($H1047="",$H1047="EUR"),1,IFERROR(INDEX(FX_Rates!$D:$D,MATCH($H1047,FX_Rates!$A:$A,0)),""))</f>
        <v>1</v>
      </c>
      <c r="S1047" s="26" t="str">
        <f aca="false">IF(AND($I1047="",$J1047=""),"",IF($J1047&lt;&gt;"",$J1047,IF(OR($R1047="",$R1047=0),"",ROUND($I1047/$R1047,2))))</f>
        <v/>
      </c>
      <c r="T1047" s="24" t="str">
        <f aca="false">IF($N1047="","",IFERROR(INDEX(VAT_Codes!$C:$C,MATCH($N1047,VAT_Codes!$A:$A,0)),"")&amp;"")</f>
        <v/>
      </c>
      <c r="U1047" s="26" t="n">
        <f aca="false">IF(OR($S1047="",$T1047="",$T1047="None"),0,IF($T1047="Output",-$S1047,$S1047))</f>
        <v>0</v>
      </c>
      <c r="V1047" s="27" t="n">
        <f aca="false">IF($N1047="",0,IFERROR(INDEX(VAT_Codes!$D:$D,MATCH($N1047,VAT_Codes!$A:$A,0)),0))</f>
        <v>0</v>
      </c>
      <c r="W1047" s="26" t="n">
        <f aca="false">IF($U1047=0,0,IF(IFERROR(INDEX(VAT_Codes!$F:$F,MATCH($N1047,VAT_Codes!$A:$A,0)),"N")="Y",$U1047,IF($L1047&lt;&gt;"",ROUND(ABS($L1047)/IF(OR($R1047="",$R1047=0),1,$R1047),2)*SIGN($U1047),ROUND($U1047*$V1047,2))))</f>
        <v>0</v>
      </c>
      <c r="X1047" s="24" t="str">
        <f aca="false">IF($N1047="","",IFERROR(INDEX(VAT_Codes!$H:$H,MATCH($N1047,VAT_Codes!$A:$A,0)),"")&amp;"")</f>
        <v/>
      </c>
      <c r="Y1047" s="24" t="str">
        <f aca="false">IF($A1047="","",(YEAR($A1047)-YEAR(Settings!$C$8))*12+MONTH($A1047)-MONTH(Settings!$C$8)+1)</f>
        <v/>
      </c>
      <c r="Z1047" s="24" t="str">
        <f aca="false">IF(AND($C1047="",$I1047="",$J1047=""),"",IF($N1047="","NO VAT CODE",IF($T1047="","UNKNOWN VAT CODE",IF($S1047="","MISSING FX RATE",IF(OR($A1047&lt;Settings!$C$8,$A1047&gt;Settings!$C$9),"OUTSIDE PERIOD",IF(AND(IFERROR(INDEX(VAT_Codes!$E:$E,MATCH($N1047,VAT_Codes!$A:$A,0)),"ANY")&lt;&gt;"ANY",$P1047=""),"MISSING COUNTERPARTY COUNTRY",IF(AND(IFERROR(INDEX(VAT_Codes!$E:$E,MATCH($N1047,VAT_Codes!$A:$A,0)),"ANY")&lt;&gt;"ANY",$P1047&lt;&gt;IFERROR(INDEX(VAT_Codes!$E:$E,MATCH($N1047,VAT_Codes!$A:$A,0)),"ANY")),"REGION MISMATCH","OK")))))))</f>
        <v/>
      </c>
    </row>
    <row r="1048" customFormat="false" ht="15" hidden="false" customHeight="false" outlineLevel="0" collapsed="false">
      <c r="M1048" s="24" t="str">
        <f aca="false">IF($C1048="","",IFERROR(INDEX(Account_Mapping!$C:$C,MATCH($C1048&amp;"",Account_Mapping!$A:$A,0))&amp;"",""))</f>
        <v/>
      </c>
      <c r="N1048" s="24" t="str">
        <f aca="false">IF($K1048&lt;&gt;"",$K1048,$M1048)</f>
        <v/>
      </c>
      <c r="O1048" s="24" t="str">
        <f aca="false">IF($F1048="","",IFERROR(INDEX(Counterparties!$C:$C,MATCH($F1048&amp;"",Counterparties!$A:$A,0))&amp;"",""))</f>
        <v/>
      </c>
      <c r="P1048" s="24" t="str">
        <f aca="false">IF($O1048="","",IF($O1048="CY","CY",IF(ISNUMBER(MATCH($O1048,Lists!$A:$A,0)),"EU","3RD")))</f>
        <v/>
      </c>
      <c r="Q1048" s="24" t="str">
        <f aca="false">IF($F1048="","N",IFERROR(IF(INDEX(Counterparties!$E:$E,MATCH($F1048&amp;"",Counterparties!$A:$A,0))="Y","Y","N"),"N"))</f>
        <v>N</v>
      </c>
      <c r="R1048" s="25" t="n">
        <f aca="false">IF(OR($H1048="",$H1048="EUR"),1,IFERROR(INDEX(FX_Rates!$D:$D,MATCH($H1048,FX_Rates!$A:$A,0)),""))</f>
        <v>1</v>
      </c>
      <c r="S1048" s="26" t="str">
        <f aca="false">IF(AND($I1048="",$J1048=""),"",IF($J1048&lt;&gt;"",$J1048,IF(OR($R1048="",$R1048=0),"",ROUND($I1048/$R1048,2))))</f>
        <v/>
      </c>
      <c r="T1048" s="24" t="str">
        <f aca="false">IF($N1048="","",IFERROR(INDEX(VAT_Codes!$C:$C,MATCH($N1048,VAT_Codes!$A:$A,0)),"")&amp;"")</f>
        <v/>
      </c>
      <c r="U1048" s="26" t="n">
        <f aca="false">IF(OR($S1048="",$T1048="",$T1048="None"),0,IF($T1048="Output",-$S1048,$S1048))</f>
        <v>0</v>
      </c>
      <c r="V1048" s="27" t="n">
        <f aca="false">IF($N1048="",0,IFERROR(INDEX(VAT_Codes!$D:$D,MATCH($N1048,VAT_Codes!$A:$A,0)),0))</f>
        <v>0</v>
      </c>
      <c r="W1048" s="26" t="n">
        <f aca="false">IF($U1048=0,0,IF(IFERROR(INDEX(VAT_Codes!$F:$F,MATCH($N1048,VAT_Codes!$A:$A,0)),"N")="Y",$U1048,IF($L1048&lt;&gt;"",ROUND(ABS($L1048)/IF(OR($R1048="",$R1048=0),1,$R1048),2)*SIGN($U1048),ROUND($U1048*$V1048,2))))</f>
        <v>0</v>
      </c>
      <c r="X1048" s="24" t="str">
        <f aca="false">IF($N1048="","",IFERROR(INDEX(VAT_Codes!$H:$H,MATCH($N1048,VAT_Codes!$A:$A,0)),"")&amp;"")</f>
        <v/>
      </c>
      <c r="Y1048" s="24" t="str">
        <f aca="false">IF($A1048="","",(YEAR($A1048)-YEAR(Settings!$C$8))*12+MONTH($A1048)-MONTH(Settings!$C$8)+1)</f>
        <v/>
      </c>
      <c r="Z1048" s="24" t="str">
        <f aca="false">IF(AND($C1048="",$I1048="",$J1048=""),"",IF($N1048="","NO VAT CODE",IF($T1048="","UNKNOWN VAT CODE",IF($S1048="","MISSING FX RATE",IF(OR($A1048&lt;Settings!$C$8,$A1048&gt;Settings!$C$9),"OUTSIDE PERIOD",IF(AND(IFERROR(INDEX(VAT_Codes!$E:$E,MATCH($N1048,VAT_Codes!$A:$A,0)),"ANY")&lt;&gt;"ANY",$P1048=""),"MISSING COUNTERPARTY COUNTRY",IF(AND(IFERROR(INDEX(VAT_Codes!$E:$E,MATCH($N1048,VAT_Codes!$A:$A,0)),"ANY")&lt;&gt;"ANY",$P1048&lt;&gt;IFERROR(INDEX(VAT_Codes!$E:$E,MATCH($N1048,VAT_Codes!$A:$A,0)),"ANY")),"REGION MISMATCH","OK")))))))</f>
        <v/>
      </c>
    </row>
    <row r="1049" customFormat="false" ht="15" hidden="false" customHeight="false" outlineLevel="0" collapsed="false">
      <c r="M1049" s="24" t="str">
        <f aca="false">IF($C1049="","",IFERROR(INDEX(Account_Mapping!$C:$C,MATCH($C1049&amp;"",Account_Mapping!$A:$A,0))&amp;"",""))</f>
        <v/>
      </c>
      <c r="N1049" s="24" t="str">
        <f aca="false">IF($K1049&lt;&gt;"",$K1049,$M1049)</f>
        <v/>
      </c>
      <c r="O1049" s="24" t="str">
        <f aca="false">IF($F1049="","",IFERROR(INDEX(Counterparties!$C:$C,MATCH($F1049&amp;"",Counterparties!$A:$A,0))&amp;"",""))</f>
        <v/>
      </c>
      <c r="P1049" s="24" t="str">
        <f aca="false">IF($O1049="","",IF($O1049="CY","CY",IF(ISNUMBER(MATCH($O1049,Lists!$A:$A,0)),"EU","3RD")))</f>
        <v/>
      </c>
      <c r="Q1049" s="24" t="str">
        <f aca="false">IF($F1049="","N",IFERROR(IF(INDEX(Counterparties!$E:$E,MATCH($F1049&amp;"",Counterparties!$A:$A,0))="Y","Y","N"),"N"))</f>
        <v>N</v>
      </c>
      <c r="R1049" s="25" t="n">
        <f aca="false">IF(OR($H1049="",$H1049="EUR"),1,IFERROR(INDEX(FX_Rates!$D:$D,MATCH($H1049,FX_Rates!$A:$A,0)),""))</f>
        <v>1</v>
      </c>
      <c r="S1049" s="26" t="str">
        <f aca="false">IF(AND($I1049="",$J1049=""),"",IF($J1049&lt;&gt;"",$J1049,IF(OR($R1049="",$R1049=0),"",ROUND($I1049/$R1049,2))))</f>
        <v/>
      </c>
      <c r="T1049" s="24" t="str">
        <f aca="false">IF($N1049="","",IFERROR(INDEX(VAT_Codes!$C:$C,MATCH($N1049,VAT_Codes!$A:$A,0)),"")&amp;"")</f>
        <v/>
      </c>
      <c r="U1049" s="26" t="n">
        <f aca="false">IF(OR($S1049="",$T1049="",$T1049="None"),0,IF($T1049="Output",-$S1049,$S1049))</f>
        <v>0</v>
      </c>
      <c r="V1049" s="27" t="n">
        <f aca="false">IF($N1049="",0,IFERROR(INDEX(VAT_Codes!$D:$D,MATCH($N1049,VAT_Codes!$A:$A,0)),0))</f>
        <v>0</v>
      </c>
      <c r="W1049" s="26" t="n">
        <f aca="false">IF($U1049=0,0,IF(IFERROR(INDEX(VAT_Codes!$F:$F,MATCH($N1049,VAT_Codes!$A:$A,0)),"N")="Y",$U1049,IF($L1049&lt;&gt;"",ROUND(ABS($L1049)/IF(OR($R1049="",$R1049=0),1,$R1049),2)*SIGN($U1049),ROUND($U1049*$V1049,2))))</f>
        <v>0</v>
      </c>
      <c r="X1049" s="24" t="str">
        <f aca="false">IF($N1049="","",IFERROR(INDEX(VAT_Codes!$H:$H,MATCH($N1049,VAT_Codes!$A:$A,0)),"")&amp;"")</f>
        <v/>
      </c>
      <c r="Y1049" s="24" t="str">
        <f aca="false">IF($A1049="","",(YEAR($A1049)-YEAR(Settings!$C$8))*12+MONTH($A1049)-MONTH(Settings!$C$8)+1)</f>
        <v/>
      </c>
      <c r="Z1049" s="24" t="str">
        <f aca="false">IF(AND($C1049="",$I1049="",$J1049=""),"",IF($N1049="","NO VAT CODE",IF($T1049="","UNKNOWN VAT CODE",IF($S1049="","MISSING FX RATE",IF(OR($A1049&lt;Settings!$C$8,$A1049&gt;Settings!$C$9),"OUTSIDE PERIOD",IF(AND(IFERROR(INDEX(VAT_Codes!$E:$E,MATCH($N1049,VAT_Codes!$A:$A,0)),"ANY")&lt;&gt;"ANY",$P1049=""),"MISSING COUNTERPARTY COUNTRY",IF(AND(IFERROR(INDEX(VAT_Codes!$E:$E,MATCH($N1049,VAT_Codes!$A:$A,0)),"ANY")&lt;&gt;"ANY",$P1049&lt;&gt;IFERROR(INDEX(VAT_Codes!$E:$E,MATCH($N1049,VAT_Codes!$A:$A,0)),"ANY")),"REGION MISMATCH","OK")))))))</f>
        <v/>
      </c>
    </row>
    <row r="1050" customFormat="false" ht="15" hidden="false" customHeight="false" outlineLevel="0" collapsed="false">
      <c r="M1050" s="24" t="str">
        <f aca="false">IF($C1050="","",IFERROR(INDEX(Account_Mapping!$C:$C,MATCH($C1050&amp;"",Account_Mapping!$A:$A,0))&amp;"",""))</f>
        <v/>
      </c>
      <c r="N1050" s="24" t="str">
        <f aca="false">IF($K1050&lt;&gt;"",$K1050,$M1050)</f>
        <v/>
      </c>
      <c r="O1050" s="24" t="str">
        <f aca="false">IF($F1050="","",IFERROR(INDEX(Counterparties!$C:$C,MATCH($F1050&amp;"",Counterparties!$A:$A,0))&amp;"",""))</f>
        <v/>
      </c>
      <c r="P1050" s="24" t="str">
        <f aca="false">IF($O1050="","",IF($O1050="CY","CY",IF(ISNUMBER(MATCH($O1050,Lists!$A:$A,0)),"EU","3RD")))</f>
        <v/>
      </c>
      <c r="Q1050" s="24" t="str">
        <f aca="false">IF($F1050="","N",IFERROR(IF(INDEX(Counterparties!$E:$E,MATCH($F1050&amp;"",Counterparties!$A:$A,0))="Y","Y","N"),"N"))</f>
        <v>N</v>
      </c>
      <c r="R1050" s="25" t="n">
        <f aca="false">IF(OR($H1050="",$H1050="EUR"),1,IFERROR(INDEX(FX_Rates!$D:$D,MATCH($H1050,FX_Rates!$A:$A,0)),""))</f>
        <v>1</v>
      </c>
      <c r="S1050" s="26" t="str">
        <f aca="false">IF(AND($I1050="",$J1050=""),"",IF($J1050&lt;&gt;"",$J1050,IF(OR($R1050="",$R1050=0),"",ROUND($I1050/$R1050,2))))</f>
        <v/>
      </c>
      <c r="T1050" s="24" t="str">
        <f aca="false">IF($N1050="","",IFERROR(INDEX(VAT_Codes!$C:$C,MATCH($N1050,VAT_Codes!$A:$A,0)),"")&amp;"")</f>
        <v/>
      </c>
      <c r="U1050" s="26" t="n">
        <f aca="false">IF(OR($S1050="",$T1050="",$T1050="None"),0,IF($T1050="Output",-$S1050,$S1050))</f>
        <v>0</v>
      </c>
      <c r="V1050" s="27" t="n">
        <f aca="false">IF($N1050="",0,IFERROR(INDEX(VAT_Codes!$D:$D,MATCH($N1050,VAT_Codes!$A:$A,0)),0))</f>
        <v>0</v>
      </c>
      <c r="W1050" s="26" t="n">
        <f aca="false">IF($U1050=0,0,IF(IFERROR(INDEX(VAT_Codes!$F:$F,MATCH($N1050,VAT_Codes!$A:$A,0)),"N")="Y",$U1050,IF($L1050&lt;&gt;"",ROUND(ABS($L1050)/IF(OR($R1050="",$R1050=0),1,$R1050),2)*SIGN($U1050),ROUND($U1050*$V1050,2))))</f>
        <v>0</v>
      </c>
      <c r="X1050" s="24" t="str">
        <f aca="false">IF($N1050="","",IFERROR(INDEX(VAT_Codes!$H:$H,MATCH($N1050,VAT_Codes!$A:$A,0)),"")&amp;"")</f>
        <v/>
      </c>
      <c r="Y1050" s="24" t="str">
        <f aca="false">IF($A1050="","",(YEAR($A1050)-YEAR(Settings!$C$8))*12+MONTH($A1050)-MONTH(Settings!$C$8)+1)</f>
        <v/>
      </c>
      <c r="Z1050" s="24" t="str">
        <f aca="false">IF(AND($C1050="",$I1050="",$J1050=""),"",IF($N1050="","NO VAT CODE",IF($T1050="","UNKNOWN VAT CODE",IF($S1050="","MISSING FX RATE",IF(OR($A1050&lt;Settings!$C$8,$A1050&gt;Settings!$C$9),"OUTSIDE PERIOD",IF(AND(IFERROR(INDEX(VAT_Codes!$E:$E,MATCH($N1050,VAT_Codes!$A:$A,0)),"ANY")&lt;&gt;"ANY",$P1050=""),"MISSING COUNTERPARTY COUNTRY",IF(AND(IFERROR(INDEX(VAT_Codes!$E:$E,MATCH($N1050,VAT_Codes!$A:$A,0)),"ANY")&lt;&gt;"ANY",$P1050&lt;&gt;IFERROR(INDEX(VAT_Codes!$E:$E,MATCH($N1050,VAT_Codes!$A:$A,0)),"ANY")),"REGION MISMATCH","OK")))))))</f>
        <v/>
      </c>
    </row>
    <row r="1051" customFormat="false" ht="15" hidden="false" customHeight="false" outlineLevel="0" collapsed="false">
      <c r="M1051" s="24" t="str">
        <f aca="false">IF($C1051="","",IFERROR(INDEX(Account_Mapping!$C:$C,MATCH($C1051&amp;"",Account_Mapping!$A:$A,0))&amp;"",""))</f>
        <v/>
      </c>
      <c r="N1051" s="24" t="str">
        <f aca="false">IF($K1051&lt;&gt;"",$K1051,$M1051)</f>
        <v/>
      </c>
      <c r="O1051" s="24" t="str">
        <f aca="false">IF($F1051="","",IFERROR(INDEX(Counterparties!$C:$C,MATCH($F1051&amp;"",Counterparties!$A:$A,0))&amp;"",""))</f>
        <v/>
      </c>
      <c r="P1051" s="24" t="str">
        <f aca="false">IF($O1051="","",IF($O1051="CY","CY",IF(ISNUMBER(MATCH($O1051,Lists!$A:$A,0)),"EU","3RD")))</f>
        <v/>
      </c>
      <c r="Q1051" s="24" t="str">
        <f aca="false">IF($F1051="","N",IFERROR(IF(INDEX(Counterparties!$E:$E,MATCH($F1051&amp;"",Counterparties!$A:$A,0))="Y","Y","N"),"N"))</f>
        <v>N</v>
      </c>
      <c r="R1051" s="25" t="n">
        <f aca="false">IF(OR($H1051="",$H1051="EUR"),1,IFERROR(INDEX(FX_Rates!$D:$D,MATCH($H1051,FX_Rates!$A:$A,0)),""))</f>
        <v>1</v>
      </c>
      <c r="S1051" s="26" t="str">
        <f aca="false">IF(AND($I1051="",$J1051=""),"",IF($J1051&lt;&gt;"",$J1051,IF(OR($R1051="",$R1051=0),"",ROUND($I1051/$R1051,2))))</f>
        <v/>
      </c>
      <c r="T1051" s="24" t="str">
        <f aca="false">IF($N1051="","",IFERROR(INDEX(VAT_Codes!$C:$C,MATCH($N1051,VAT_Codes!$A:$A,0)),"")&amp;"")</f>
        <v/>
      </c>
      <c r="U1051" s="26" t="n">
        <f aca="false">IF(OR($S1051="",$T1051="",$T1051="None"),0,IF($T1051="Output",-$S1051,$S1051))</f>
        <v>0</v>
      </c>
      <c r="V1051" s="27" t="n">
        <f aca="false">IF($N1051="",0,IFERROR(INDEX(VAT_Codes!$D:$D,MATCH($N1051,VAT_Codes!$A:$A,0)),0))</f>
        <v>0</v>
      </c>
      <c r="W1051" s="26" t="n">
        <f aca="false">IF($U1051=0,0,IF(IFERROR(INDEX(VAT_Codes!$F:$F,MATCH($N1051,VAT_Codes!$A:$A,0)),"N")="Y",$U1051,IF($L1051&lt;&gt;"",ROUND(ABS($L1051)/IF(OR($R1051="",$R1051=0),1,$R1051),2)*SIGN($U1051),ROUND($U1051*$V1051,2))))</f>
        <v>0</v>
      </c>
      <c r="X1051" s="24" t="str">
        <f aca="false">IF($N1051="","",IFERROR(INDEX(VAT_Codes!$H:$H,MATCH($N1051,VAT_Codes!$A:$A,0)),"")&amp;"")</f>
        <v/>
      </c>
      <c r="Y1051" s="24" t="str">
        <f aca="false">IF($A1051="","",(YEAR($A1051)-YEAR(Settings!$C$8))*12+MONTH($A1051)-MONTH(Settings!$C$8)+1)</f>
        <v/>
      </c>
      <c r="Z1051" s="24" t="str">
        <f aca="false">IF(AND($C1051="",$I1051="",$J1051=""),"",IF($N1051="","NO VAT CODE",IF($T1051="","UNKNOWN VAT CODE",IF($S1051="","MISSING FX RATE",IF(OR($A1051&lt;Settings!$C$8,$A1051&gt;Settings!$C$9),"OUTSIDE PERIOD",IF(AND(IFERROR(INDEX(VAT_Codes!$E:$E,MATCH($N1051,VAT_Codes!$A:$A,0)),"ANY")&lt;&gt;"ANY",$P1051=""),"MISSING COUNTERPARTY COUNTRY",IF(AND(IFERROR(INDEX(VAT_Codes!$E:$E,MATCH($N1051,VAT_Codes!$A:$A,0)),"ANY")&lt;&gt;"ANY",$P1051&lt;&gt;IFERROR(INDEX(VAT_Codes!$E:$E,MATCH($N1051,VAT_Codes!$A:$A,0)),"ANY")),"REGION MISMATCH","OK")))))))</f>
        <v/>
      </c>
    </row>
    <row r="1052" customFormat="false" ht="15" hidden="false" customHeight="false" outlineLevel="0" collapsed="false">
      <c r="M1052" s="24" t="str">
        <f aca="false">IF($C1052="","",IFERROR(INDEX(Account_Mapping!$C:$C,MATCH($C1052&amp;"",Account_Mapping!$A:$A,0))&amp;"",""))</f>
        <v/>
      </c>
      <c r="N1052" s="24" t="str">
        <f aca="false">IF($K1052&lt;&gt;"",$K1052,$M1052)</f>
        <v/>
      </c>
      <c r="O1052" s="24" t="str">
        <f aca="false">IF($F1052="","",IFERROR(INDEX(Counterparties!$C:$C,MATCH($F1052&amp;"",Counterparties!$A:$A,0))&amp;"",""))</f>
        <v/>
      </c>
      <c r="P1052" s="24" t="str">
        <f aca="false">IF($O1052="","",IF($O1052="CY","CY",IF(ISNUMBER(MATCH($O1052,Lists!$A:$A,0)),"EU","3RD")))</f>
        <v/>
      </c>
      <c r="Q1052" s="24" t="str">
        <f aca="false">IF($F1052="","N",IFERROR(IF(INDEX(Counterparties!$E:$E,MATCH($F1052&amp;"",Counterparties!$A:$A,0))="Y","Y","N"),"N"))</f>
        <v>N</v>
      </c>
      <c r="R1052" s="25" t="n">
        <f aca="false">IF(OR($H1052="",$H1052="EUR"),1,IFERROR(INDEX(FX_Rates!$D:$D,MATCH($H1052,FX_Rates!$A:$A,0)),""))</f>
        <v>1</v>
      </c>
      <c r="S1052" s="26" t="str">
        <f aca="false">IF(AND($I1052="",$J1052=""),"",IF($J1052&lt;&gt;"",$J1052,IF(OR($R1052="",$R1052=0),"",ROUND($I1052/$R1052,2))))</f>
        <v/>
      </c>
      <c r="T1052" s="24" t="str">
        <f aca="false">IF($N1052="","",IFERROR(INDEX(VAT_Codes!$C:$C,MATCH($N1052,VAT_Codes!$A:$A,0)),"")&amp;"")</f>
        <v/>
      </c>
      <c r="U1052" s="26" t="n">
        <f aca="false">IF(OR($S1052="",$T1052="",$T1052="None"),0,IF($T1052="Output",-$S1052,$S1052))</f>
        <v>0</v>
      </c>
      <c r="V1052" s="27" t="n">
        <f aca="false">IF($N1052="",0,IFERROR(INDEX(VAT_Codes!$D:$D,MATCH($N1052,VAT_Codes!$A:$A,0)),0))</f>
        <v>0</v>
      </c>
      <c r="W1052" s="26" t="n">
        <f aca="false">IF($U1052=0,0,IF(IFERROR(INDEX(VAT_Codes!$F:$F,MATCH($N1052,VAT_Codes!$A:$A,0)),"N")="Y",$U1052,IF($L1052&lt;&gt;"",ROUND(ABS($L1052)/IF(OR($R1052="",$R1052=0),1,$R1052),2)*SIGN($U1052),ROUND($U1052*$V1052,2))))</f>
        <v>0</v>
      </c>
      <c r="X1052" s="24" t="str">
        <f aca="false">IF($N1052="","",IFERROR(INDEX(VAT_Codes!$H:$H,MATCH($N1052,VAT_Codes!$A:$A,0)),"")&amp;"")</f>
        <v/>
      </c>
      <c r="Y1052" s="24" t="str">
        <f aca="false">IF($A1052="","",(YEAR($A1052)-YEAR(Settings!$C$8))*12+MONTH($A1052)-MONTH(Settings!$C$8)+1)</f>
        <v/>
      </c>
      <c r="Z1052" s="24" t="str">
        <f aca="false">IF(AND($C1052="",$I1052="",$J1052=""),"",IF($N1052="","NO VAT CODE",IF($T1052="","UNKNOWN VAT CODE",IF($S1052="","MISSING FX RATE",IF(OR($A1052&lt;Settings!$C$8,$A1052&gt;Settings!$C$9),"OUTSIDE PERIOD",IF(AND(IFERROR(INDEX(VAT_Codes!$E:$E,MATCH($N1052,VAT_Codes!$A:$A,0)),"ANY")&lt;&gt;"ANY",$P1052=""),"MISSING COUNTERPARTY COUNTRY",IF(AND(IFERROR(INDEX(VAT_Codes!$E:$E,MATCH($N1052,VAT_Codes!$A:$A,0)),"ANY")&lt;&gt;"ANY",$P1052&lt;&gt;IFERROR(INDEX(VAT_Codes!$E:$E,MATCH($N1052,VAT_Codes!$A:$A,0)),"ANY")),"REGION MISMATCH","OK")))))))</f>
        <v/>
      </c>
    </row>
    <row r="1053" customFormat="false" ht="15" hidden="false" customHeight="false" outlineLevel="0" collapsed="false">
      <c r="M1053" s="24" t="str">
        <f aca="false">IF($C1053="","",IFERROR(INDEX(Account_Mapping!$C:$C,MATCH($C1053&amp;"",Account_Mapping!$A:$A,0))&amp;"",""))</f>
        <v/>
      </c>
      <c r="N1053" s="24" t="str">
        <f aca="false">IF($K1053&lt;&gt;"",$K1053,$M1053)</f>
        <v/>
      </c>
      <c r="O1053" s="24" t="str">
        <f aca="false">IF($F1053="","",IFERROR(INDEX(Counterparties!$C:$C,MATCH($F1053&amp;"",Counterparties!$A:$A,0))&amp;"",""))</f>
        <v/>
      </c>
      <c r="P1053" s="24" t="str">
        <f aca="false">IF($O1053="","",IF($O1053="CY","CY",IF(ISNUMBER(MATCH($O1053,Lists!$A:$A,0)),"EU","3RD")))</f>
        <v/>
      </c>
      <c r="Q1053" s="24" t="str">
        <f aca="false">IF($F1053="","N",IFERROR(IF(INDEX(Counterparties!$E:$E,MATCH($F1053&amp;"",Counterparties!$A:$A,0))="Y","Y","N"),"N"))</f>
        <v>N</v>
      </c>
      <c r="R1053" s="25" t="n">
        <f aca="false">IF(OR($H1053="",$H1053="EUR"),1,IFERROR(INDEX(FX_Rates!$D:$D,MATCH($H1053,FX_Rates!$A:$A,0)),""))</f>
        <v>1</v>
      </c>
      <c r="S1053" s="26" t="str">
        <f aca="false">IF(AND($I1053="",$J1053=""),"",IF($J1053&lt;&gt;"",$J1053,IF(OR($R1053="",$R1053=0),"",ROUND($I1053/$R1053,2))))</f>
        <v/>
      </c>
      <c r="T1053" s="24" t="str">
        <f aca="false">IF($N1053="","",IFERROR(INDEX(VAT_Codes!$C:$C,MATCH($N1053,VAT_Codes!$A:$A,0)),"")&amp;"")</f>
        <v/>
      </c>
      <c r="U1053" s="26" t="n">
        <f aca="false">IF(OR($S1053="",$T1053="",$T1053="None"),0,IF($T1053="Output",-$S1053,$S1053))</f>
        <v>0</v>
      </c>
      <c r="V1053" s="27" t="n">
        <f aca="false">IF($N1053="",0,IFERROR(INDEX(VAT_Codes!$D:$D,MATCH($N1053,VAT_Codes!$A:$A,0)),0))</f>
        <v>0</v>
      </c>
      <c r="W1053" s="26" t="n">
        <f aca="false">IF($U1053=0,0,IF(IFERROR(INDEX(VAT_Codes!$F:$F,MATCH($N1053,VAT_Codes!$A:$A,0)),"N")="Y",$U1053,IF($L1053&lt;&gt;"",ROUND(ABS($L1053)/IF(OR($R1053="",$R1053=0),1,$R1053),2)*SIGN($U1053),ROUND($U1053*$V1053,2))))</f>
        <v>0</v>
      </c>
      <c r="X1053" s="24" t="str">
        <f aca="false">IF($N1053="","",IFERROR(INDEX(VAT_Codes!$H:$H,MATCH($N1053,VAT_Codes!$A:$A,0)),"")&amp;"")</f>
        <v/>
      </c>
      <c r="Y1053" s="24" t="str">
        <f aca="false">IF($A1053="","",(YEAR($A1053)-YEAR(Settings!$C$8))*12+MONTH($A1053)-MONTH(Settings!$C$8)+1)</f>
        <v/>
      </c>
      <c r="Z1053" s="24" t="str">
        <f aca="false">IF(AND($C1053="",$I1053="",$J1053=""),"",IF($N1053="","NO VAT CODE",IF($T1053="","UNKNOWN VAT CODE",IF($S1053="","MISSING FX RATE",IF(OR($A1053&lt;Settings!$C$8,$A1053&gt;Settings!$C$9),"OUTSIDE PERIOD",IF(AND(IFERROR(INDEX(VAT_Codes!$E:$E,MATCH($N1053,VAT_Codes!$A:$A,0)),"ANY")&lt;&gt;"ANY",$P1053=""),"MISSING COUNTERPARTY COUNTRY",IF(AND(IFERROR(INDEX(VAT_Codes!$E:$E,MATCH($N1053,VAT_Codes!$A:$A,0)),"ANY")&lt;&gt;"ANY",$P1053&lt;&gt;IFERROR(INDEX(VAT_Codes!$E:$E,MATCH($N1053,VAT_Codes!$A:$A,0)),"ANY")),"REGION MISMATCH","OK")))))))</f>
        <v/>
      </c>
    </row>
    <row r="1054" customFormat="false" ht="15" hidden="false" customHeight="false" outlineLevel="0" collapsed="false">
      <c r="M1054" s="24" t="str">
        <f aca="false">IF($C1054="","",IFERROR(INDEX(Account_Mapping!$C:$C,MATCH($C1054&amp;"",Account_Mapping!$A:$A,0))&amp;"",""))</f>
        <v/>
      </c>
      <c r="N1054" s="24" t="str">
        <f aca="false">IF($K1054&lt;&gt;"",$K1054,$M1054)</f>
        <v/>
      </c>
      <c r="O1054" s="24" t="str">
        <f aca="false">IF($F1054="","",IFERROR(INDEX(Counterparties!$C:$C,MATCH($F1054&amp;"",Counterparties!$A:$A,0))&amp;"",""))</f>
        <v/>
      </c>
      <c r="P1054" s="24" t="str">
        <f aca="false">IF($O1054="","",IF($O1054="CY","CY",IF(ISNUMBER(MATCH($O1054,Lists!$A:$A,0)),"EU","3RD")))</f>
        <v/>
      </c>
      <c r="Q1054" s="24" t="str">
        <f aca="false">IF($F1054="","N",IFERROR(IF(INDEX(Counterparties!$E:$E,MATCH($F1054&amp;"",Counterparties!$A:$A,0))="Y","Y","N"),"N"))</f>
        <v>N</v>
      </c>
      <c r="R1054" s="25" t="n">
        <f aca="false">IF(OR($H1054="",$H1054="EUR"),1,IFERROR(INDEX(FX_Rates!$D:$D,MATCH($H1054,FX_Rates!$A:$A,0)),""))</f>
        <v>1</v>
      </c>
      <c r="S1054" s="26" t="str">
        <f aca="false">IF(AND($I1054="",$J1054=""),"",IF($J1054&lt;&gt;"",$J1054,IF(OR($R1054="",$R1054=0),"",ROUND($I1054/$R1054,2))))</f>
        <v/>
      </c>
      <c r="T1054" s="24" t="str">
        <f aca="false">IF($N1054="","",IFERROR(INDEX(VAT_Codes!$C:$C,MATCH($N1054,VAT_Codes!$A:$A,0)),"")&amp;"")</f>
        <v/>
      </c>
      <c r="U1054" s="26" t="n">
        <f aca="false">IF(OR($S1054="",$T1054="",$T1054="None"),0,IF($T1054="Output",-$S1054,$S1054))</f>
        <v>0</v>
      </c>
      <c r="V1054" s="27" t="n">
        <f aca="false">IF($N1054="",0,IFERROR(INDEX(VAT_Codes!$D:$D,MATCH($N1054,VAT_Codes!$A:$A,0)),0))</f>
        <v>0</v>
      </c>
      <c r="W1054" s="26" t="n">
        <f aca="false">IF($U1054=0,0,IF(IFERROR(INDEX(VAT_Codes!$F:$F,MATCH($N1054,VAT_Codes!$A:$A,0)),"N")="Y",$U1054,IF($L1054&lt;&gt;"",ROUND(ABS($L1054)/IF(OR($R1054="",$R1054=0),1,$R1054),2)*SIGN($U1054),ROUND($U1054*$V1054,2))))</f>
        <v>0</v>
      </c>
      <c r="X1054" s="24" t="str">
        <f aca="false">IF($N1054="","",IFERROR(INDEX(VAT_Codes!$H:$H,MATCH($N1054,VAT_Codes!$A:$A,0)),"")&amp;"")</f>
        <v/>
      </c>
      <c r="Y1054" s="24" t="str">
        <f aca="false">IF($A1054="","",(YEAR($A1054)-YEAR(Settings!$C$8))*12+MONTH($A1054)-MONTH(Settings!$C$8)+1)</f>
        <v/>
      </c>
      <c r="Z1054" s="24" t="str">
        <f aca="false">IF(AND($C1054="",$I1054="",$J1054=""),"",IF($N1054="","NO VAT CODE",IF($T1054="","UNKNOWN VAT CODE",IF($S1054="","MISSING FX RATE",IF(OR($A1054&lt;Settings!$C$8,$A1054&gt;Settings!$C$9),"OUTSIDE PERIOD",IF(AND(IFERROR(INDEX(VAT_Codes!$E:$E,MATCH($N1054,VAT_Codes!$A:$A,0)),"ANY")&lt;&gt;"ANY",$P1054=""),"MISSING COUNTERPARTY COUNTRY",IF(AND(IFERROR(INDEX(VAT_Codes!$E:$E,MATCH($N1054,VAT_Codes!$A:$A,0)),"ANY")&lt;&gt;"ANY",$P1054&lt;&gt;IFERROR(INDEX(VAT_Codes!$E:$E,MATCH($N1054,VAT_Codes!$A:$A,0)),"ANY")),"REGION MISMATCH","OK")))))))</f>
        <v/>
      </c>
    </row>
    <row r="1055" customFormat="false" ht="15" hidden="false" customHeight="false" outlineLevel="0" collapsed="false">
      <c r="M1055" s="24" t="str">
        <f aca="false">IF($C1055="","",IFERROR(INDEX(Account_Mapping!$C:$C,MATCH($C1055&amp;"",Account_Mapping!$A:$A,0))&amp;"",""))</f>
        <v/>
      </c>
      <c r="N1055" s="24" t="str">
        <f aca="false">IF($K1055&lt;&gt;"",$K1055,$M1055)</f>
        <v/>
      </c>
      <c r="O1055" s="24" t="str">
        <f aca="false">IF($F1055="","",IFERROR(INDEX(Counterparties!$C:$C,MATCH($F1055&amp;"",Counterparties!$A:$A,0))&amp;"",""))</f>
        <v/>
      </c>
      <c r="P1055" s="24" t="str">
        <f aca="false">IF($O1055="","",IF($O1055="CY","CY",IF(ISNUMBER(MATCH($O1055,Lists!$A:$A,0)),"EU","3RD")))</f>
        <v/>
      </c>
      <c r="Q1055" s="24" t="str">
        <f aca="false">IF($F1055="","N",IFERROR(IF(INDEX(Counterparties!$E:$E,MATCH($F1055&amp;"",Counterparties!$A:$A,0))="Y","Y","N"),"N"))</f>
        <v>N</v>
      </c>
      <c r="R1055" s="25" t="n">
        <f aca="false">IF(OR($H1055="",$H1055="EUR"),1,IFERROR(INDEX(FX_Rates!$D:$D,MATCH($H1055,FX_Rates!$A:$A,0)),""))</f>
        <v>1</v>
      </c>
      <c r="S1055" s="26" t="str">
        <f aca="false">IF(AND($I1055="",$J1055=""),"",IF($J1055&lt;&gt;"",$J1055,IF(OR($R1055="",$R1055=0),"",ROUND($I1055/$R1055,2))))</f>
        <v/>
      </c>
      <c r="T1055" s="24" t="str">
        <f aca="false">IF($N1055="","",IFERROR(INDEX(VAT_Codes!$C:$C,MATCH($N1055,VAT_Codes!$A:$A,0)),"")&amp;"")</f>
        <v/>
      </c>
      <c r="U1055" s="26" t="n">
        <f aca="false">IF(OR($S1055="",$T1055="",$T1055="None"),0,IF($T1055="Output",-$S1055,$S1055))</f>
        <v>0</v>
      </c>
      <c r="V1055" s="27" t="n">
        <f aca="false">IF($N1055="",0,IFERROR(INDEX(VAT_Codes!$D:$D,MATCH($N1055,VAT_Codes!$A:$A,0)),0))</f>
        <v>0</v>
      </c>
      <c r="W1055" s="26" t="n">
        <f aca="false">IF($U1055=0,0,IF(IFERROR(INDEX(VAT_Codes!$F:$F,MATCH($N1055,VAT_Codes!$A:$A,0)),"N")="Y",$U1055,IF($L1055&lt;&gt;"",ROUND(ABS($L1055)/IF(OR($R1055="",$R1055=0),1,$R1055),2)*SIGN($U1055),ROUND($U1055*$V1055,2))))</f>
        <v>0</v>
      </c>
      <c r="X1055" s="24" t="str">
        <f aca="false">IF($N1055="","",IFERROR(INDEX(VAT_Codes!$H:$H,MATCH($N1055,VAT_Codes!$A:$A,0)),"")&amp;"")</f>
        <v/>
      </c>
      <c r="Y1055" s="24" t="str">
        <f aca="false">IF($A1055="","",(YEAR($A1055)-YEAR(Settings!$C$8))*12+MONTH($A1055)-MONTH(Settings!$C$8)+1)</f>
        <v/>
      </c>
      <c r="Z1055" s="24" t="str">
        <f aca="false">IF(AND($C1055="",$I1055="",$J1055=""),"",IF($N1055="","NO VAT CODE",IF($T1055="","UNKNOWN VAT CODE",IF($S1055="","MISSING FX RATE",IF(OR($A1055&lt;Settings!$C$8,$A1055&gt;Settings!$C$9),"OUTSIDE PERIOD",IF(AND(IFERROR(INDEX(VAT_Codes!$E:$E,MATCH($N1055,VAT_Codes!$A:$A,0)),"ANY")&lt;&gt;"ANY",$P1055=""),"MISSING COUNTERPARTY COUNTRY",IF(AND(IFERROR(INDEX(VAT_Codes!$E:$E,MATCH($N1055,VAT_Codes!$A:$A,0)),"ANY")&lt;&gt;"ANY",$P1055&lt;&gt;IFERROR(INDEX(VAT_Codes!$E:$E,MATCH($N1055,VAT_Codes!$A:$A,0)),"ANY")),"REGION MISMATCH","OK")))))))</f>
        <v/>
      </c>
    </row>
    <row r="1056" customFormat="false" ht="15" hidden="false" customHeight="false" outlineLevel="0" collapsed="false">
      <c r="M1056" s="24" t="str">
        <f aca="false">IF($C1056="","",IFERROR(INDEX(Account_Mapping!$C:$C,MATCH($C1056&amp;"",Account_Mapping!$A:$A,0))&amp;"",""))</f>
        <v/>
      </c>
      <c r="N1056" s="24" t="str">
        <f aca="false">IF($K1056&lt;&gt;"",$K1056,$M1056)</f>
        <v/>
      </c>
      <c r="O1056" s="24" t="str">
        <f aca="false">IF($F1056="","",IFERROR(INDEX(Counterparties!$C:$C,MATCH($F1056&amp;"",Counterparties!$A:$A,0))&amp;"",""))</f>
        <v/>
      </c>
      <c r="P1056" s="24" t="str">
        <f aca="false">IF($O1056="","",IF($O1056="CY","CY",IF(ISNUMBER(MATCH($O1056,Lists!$A:$A,0)),"EU","3RD")))</f>
        <v/>
      </c>
      <c r="Q1056" s="24" t="str">
        <f aca="false">IF($F1056="","N",IFERROR(IF(INDEX(Counterparties!$E:$E,MATCH($F1056&amp;"",Counterparties!$A:$A,0))="Y","Y","N"),"N"))</f>
        <v>N</v>
      </c>
      <c r="R1056" s="25" t="n">
        <f aca="false">IF(OR($H1056="",$H1056="EUR"),1,IFERROR(INDEX(FX_Rates!$D:$D,MATCH($H1056,FX_Rates!$A:$A,0)),""))</f>
        <v>1</v>
      </c>
      <c r="S1056" s="26" t="str">
        <f aca="false">IF(AND($I1056="",$J1056=""),"",IF($J1056&lt;&gt;"",$J1056,IF(OR($R1056="",$R1056=0),"",ROUND($I1056/$R1056,2))))</f>
        <v/>
      </c>
      <c r="T1056" s="24" t="str">
        <f aca="false">IF($N1056="","",IFERROR(INDEX(VAT_Codes!$C:$C,MATCH($N1056,VAT_Codes!$A:$A,0)),"")&amp;"")</f>
        <v/>
      </c>
      <c r="U1056" s="26" t="n">
        <f aca="false">IF(OR($S1056="",$T1056="",$T1056="None"),0,IF($T1056="Output",-$S1056,$S1056))</f>
        <v>0</v>
      </c>
      <c r="V1056" s="27" t="n">
        <f aca="false">IF($N1056="",0,IFERROR(INDEX(VAT_Codes!$D:$D,MATCH($N1056,VAT_Codes!$A:$A,0)),0))</f>
        <v>0</v>
      </c>
      <c r="W1056" s="26" t="n">
        <f aca="false">IF($U1056=0,0,IF(IFERROR(INDEX(VAT_Codes!$F:$F,MATCH($N1056,VAT_Codes!$A:$A,0)),"N")="Y",$U1056,IF($L1056&lt;&gt;"",ROUND(ABS($L1056)/IF(OR($R1056="",$R1056=0),1,$R1056),2)*SIGN($U1056),ROUND($U1056*$V1056,2))))</f>
        <v>0</v>
      </c>
      <c r="X1056" s="24" t="str">
        <f aca="false">IF($N1056="","",IFERROR(INDEX(VAT_Codes!$H:$H,MATCH($N1056,VAT_Codes!$A:$A,0)),"")&amp;"")</f>
        <v/>
      </c>
      <c r="Y1056" s="24" t="str">
        <f aca="false">IF($A1056="","",(YEAR($A1056)-YEAR(Settings!$C$8))*12+MONTH($A1056)-MONTH(Settings!$C$8)+1)</f>
        <v/>
      </c>
      <c r="Z1056" s="24" t="str">
        <f aca="false">IF(AND($C1056="",$I1056="",$J1056=""),"",IF($N1056="","NO VAT CODE",IF($T1056="","UNKNOWN VAT CODE",IF($S1056="","MISSING FX RATE",IF(OR($A1056&lt;Settings!$C$8,$A1056&gt;Settings!$C$9),"OUTSIDE PERIOD",IF(AND(IFERROR(INDEX(VAT_Codes!$E:$E,MATCH($N1056,VAT_Codes!$A:$A,0)),"ANY")&lt;&gt;"ANY",$P1056=""),"MISSING COUNTERPARTY COUNTRY",IF(AND(IFERROR(INDEX(VAT_Codes!$E:$E,MATCH($N1056,VAT_Codes!$A:$A,0)),"ANY")&lt;&gt;"ANY",$P1056&lt;&gt;IFERROR(INDEX(VAT_Codes!$E:$E,MATCH($N1056,VAT_Codes!$A:$A,0)),"ANY")),"REGION MISMATCH","OK")))))))</f>
        <v/>
      </c>
    </row>
    <row r="1057" customFormat="false" ht="15" hidden="false" customHeight="false" outlineLevel="0" collapsed="false">
      <c r="M1057" s="24" t="str">
        <f aca="false">IF($C1057="","",IFERROR(INDEX(Account_Mapping!$C:$C,MATCH($C1057&amp;"",Account_Mapping!$A:$A,0))&amp;"",""))</f>
        <v/>
      </c>
      <c r="N1057" s="24" t="str">
        <f aca="false">IF($K1057&lt;&gt;"",$K1057,$M1057)</f>
        <v/>
      </c>
      <c r="O1057" s="24" t="str">
        <f aca="false">IF($F1057="","",IFERROR(INDEX(Counterparties!$C:$C,MATCH($F1057&amp;"",Counterparties!$A:$A,0))&amp;"",""))</f>
        <v/>
      </c>
      <c r="P1057" s="24" t="str">
        <f aca="false">IF($O1057="","",IF($O1057="CY","CY",IF(ISNUMBER(MATCH($O1057,Lists!$A:$A,0)),"EU","3RD")))</f>
        <v/>
      </c>
      <c r="Q1057" s="24" t="str">
        <f aca="false">IF($F1057="","N",IFERROR(IF(INDEX(Counterparties!$E:$E,MATCH($F1057&amp;"",Counterparties!$A:$A,0))="Y","Y","N"),"N"))</f>
        <v>N</v>
      </c>
      <c r="R1057" s="25" t="n">
        <f aca="false">IF(OR($H1057="",$H1057="EUR"),1,IFERROR(INDEX(FX_Rates!$D:$D,MATCH($H1057,FX_Rates!$A:$A,0)),""))</f>
        <v>1</v>
      </c>
      <c r="S1057" s="26" t="str">
        <f aca="false">IF(AND($I1057="",$J1057=""),"",IF($J1057&lt;&gt;"",$J1057,IF(OR($R1057="",$R1057=0),"",ROUND($I1057/$R1057,2))))</f>
        <v/>
      </c>
      <c r="T1057" s="24" t="str">
        <f aca="false">IF($N1057="","",IFERROR(INDEX(VAT_Codes!$C:$C,MATCH($N1057,VAT_Codes!$A:$A,0)),"")&amp;"")</f>
        <v/>
      </c>
      <c r="U1057" s="26" t="n">
        <f aca="false">IF(OR($S1057="",$T1057="",$T1057="None"),0,IF($T1057="Output",-$S1057,$S1057))</f>
        <v>0</v>
      </c>
      <c r="V1057" s="27" t="n">
        <f aca="false">IF($N1057="",0,IFERROR(INDEX(VAT_Codes!$D:$D,MATCH($N1057,VAT_Codes!$A:$A,0)),0))</f>
        <v>0</v>
      </c>
      <c r="W1057" s="26" t="n">
        <f aca="false">IF($U1057=0,0,IF(IFERROR(INDEX(VAT_Codes!$F:$F,MATCH($N1057,VAT_Codes!$A:$A,0)),"N")="Y",$U1057,IF($L1057&lt;&gt;"",ROUND(ABS($L1057)/IF(OR($R1057="",$R1057=0),1,$R1057),2)*SIGN($U1057),ROUND($U1057*$V1057,2))))</f>
        <v>0</v>
      </c>
      <c r="X1057" s="24" t="str">
        <f aca="false">IF($N1057="","",IFERROR(INDEX(VAT_Codes!$H:$H,MATCH($N1057,VAT_Codes!$A:$A,0)),"")&amp;"")</f>
        <v/>
      </c>
      <c r="Y1057" s="24" t="str">
        <f aca="false">IF($A1057="","",(YEAR($A1057)-YEAR(Settings!$C$8))*12+MONTH($A1057)-MONTH(Settings!$C$8)+1)</f>
        <v/>
      </c>
      <c r="Z1057" s="24" t="str">
        <f aca="false">IF(AND($C1057="",$I1057="",$J1057=""),"",IF($N1057="","NO VAT CODE",IF($T1057="","UNKNOWN VAT CODE",IF($S1057="","MISSING FX RATE",IF(OR($A1057&lt;Settings!$C$8,$A1057&gt;Settings!$C$9),"OUTSIDE PERIOD",IF(AND(IFERROR(INDEX(VAT_Codes!$E:$E,MATCH($N1057,VAT_Codes!$A:$A,0)),"ANY")&lt;&gt;"ANY",$P1057=""),"MISSING COUNTERPARTY COUNTRY",IF(AND(IFERROR(INDEX(VAT_Codes!$E:$E,MATCH($N1057,VAT_Codes!$A:$A,0)),"ANY")&lt;&gt;"ANY",$P1057&lt;&gt;IFERROR(INDEX(VAT_Codes!$E:$E,MATCH($N1057,VAT_Codes!$A:$A,0)),"ANY")),"REGION MISMATCH","OK")))))))</f>
        <v/>
      </c>
    </row>
    <row r="1058" customFormat="false" ht="15" hidden="false" customHeight="false" outlineLevel="0" collapsed="false">
      <c r="M1058" s="24" t="str">
        <f aca="false">IF($C1058="","",IFERROR(INDEX(Account_Mapping!$C:$C,MATCH($C1058&amp;"",Account_Mapping!$A:$A,0))&amp;"",""))</f>
        <v/>
      </c>
      <c r="N1058" s="24" t="str">
        <f aca="false">IF($K1058&lt;&gt;"",$K1058,$M1058)</f>
        <v/>
      </c>
      <c r="O1058" s="24" t="str">
        <f aca="false">IF($F1058="","",IFERROR(INDEX(Counterparties!$C:$C,MATCH($F1058&amp;"",Counterparties!$A:$A,0))&amp;"",""))</f>
        <v/>
      </c>
      <c r="P1058" s="24" t="str">
        <f aca="false">IF($O1058="","",IF($O1058="CY","CY",IF(ISNUMBER(MATCH($O1058,Lists!$A:$A,0)),"EU","3RD")))</f>
        <v/>
      </c>
      <c r="Q1058" s="24" t="str">
        <f aca="false">IF($F1058="","N",IFERROR(IF(INDEX(Counterparties!$E:$E,MATCH($F1058&amp;"",Counterparties!$A:$A,0))="Y","Y","N"),"N"))</f>
        <v>N</v>
      </c>
      <c r="R1058" s="25" t="n">
        <f aca="false">IF(OR($H1058="",$H1058="EUR"),1,IFERROR(INDEX(FX_Rates!$D:$D,MATCH($H1058,FX_Rates!$A:$A,0)),""))</f>
        <v>1</v>
      </c>
      <c r="S1058" s="26" t="str">
        <f aca="false">IF(AND($I1058="",$J1058=""),"",IF($J1058&lt;&gt;"",$J1058,IF(OR($R1058="",$R1058=0),"",ROUND($I1058/$R1058,2))))</f>
        <v/>
      </c>
      <c r="T1058" s="24" t="str">
        <f aca="false">IF($N1058="","",IFERROR(INDEX(VAT_Codes!$C:$C,MATCH($N1058,VAT_Codes!$A:$A,0)),"")&amp;"")</f>
        <v/>
      </c>
      <c r="U1058" s="26" t="n">
        <f aca="false">IF(OR($S1058="",$T1058="",$T1058="None"),0,IF($T1058="Output",-$S1058,$S1058))</f>
        <v>0</v>
      </c>
      <c r="V1058" s="27" t="n">
        <f aca="false">IF($N1058="",0,IFERROR(INDEX(VAT_Codes!$D:$D,MATCH($N1058,VAT_Codes!$A:$A,0)),0))</f>
        <v>0</v>
      </c>
      <c r="W1058" s="26" t="n">
        <f aca="false">IF($U1058=0,0,IF(IFERROR(INDEX(VAT_Codes!$F:$F,MATCH($N1058,VAT_Codes!$A:$A,0)),"N")="Y",$U1058,IF($L1058&lt;&gt;"",ROUND(ABS($L1058)/IF(OR($R1058="",$R1058=0),1,$R1058),2)*SIGN($U1058),ROUND($U1058*$V1058,2))))</f>
        <v>0</v>
      </c>
      <c r="X1058" s="24" t="str">
        <f aca="false">IF($N1058="","",IFERROR(INDEX(VAT_Codes!$H:$H,MATCH($N1058,VAT_Codes!$A:$A,0)),"")&amp;"")</f>
        <v/>
      </c>
      <c r="Y1058" s="24" t="str">
        <f aca="false">IF($A1058="","",(YEAR($A1058)-YEAR(Settings!$C$8))*12+MONTH($A1058)-MONTH(Settings!$C$8)+1)</f>
        <v/>
      </c>
      <c r="Z1058" s="24" t="str">
        <f aca="false">IF(AND($C1058="",$I1058="",$J1058=""),"",IF($N1058="","NO VAT CODE",IF($T1058="","UNKNOWN VAT CODE",IF($S1058="","MISSING FX RATE",IF(OR($A1058&lt;Settings!$C$8,$A1058&gt;Settings!$C$9),"OUTSIDE PERIOD",IF(AND(IFERROR(INDEX(VAT_Codes!$E:$E,MATCH($N1058,VAT_Codes!$A:$A,0)),"ANY")&lt;&gt;"ANY",$P1058=""),"MISSING COUNTERPARTY COUNTRY",IF(AND(IFERROR(INDEX(VAT_Codes!$E:$E,MATCH($N1058,VAT_Codes!$A:$A,0)),"ANY")&lt;&gt;"ANY",$P1058&lt;&gt;IFERROR(INDEX(VAT_Codes!$E:$E,MATCH($N1058,VAT_Codes!$A:$A,0)),"ANY")),"REGION MISMATCH","OK")))))))</f>
        <v/>
      </c>
    </row>
    <row r="1059" customFormat="false" ht="15" hidden="false" customHeight="false" outlineLevel="0" collapsed="false">
      <c r="M1059" s="24" t="str">
        <f aca="false">IF($C1059="","",IFERROR(INDEX(Account_Mapping!$C:$C,MATCH($C1059&amp;"",Account_Mapping!$A:$A,0))&amp;"",""))</f>
        <v/>
      </c>
      <c r="N1059" s="24" t="str">
        <f aca="false">IF($K1059&lt;&gt;"",$K1059,$M1059)</f>
        <v/>
      </c>
      <c r="O1059" s="24" t="str">
        <f aca="false">IF($F1059="","",IFERROR(INDEX(Counterparties!$C:$C,MATCH($F1059&amp;"",Counterparties!$A:$A,0))&amp;"",""))</f>
        <v/>
      </c>
      <c r="P1059" s="24" t="str">
        <f aca="false">IF($O1059="","",IF($O1059="CY","CY",IF(ISNUMBER(MATCH($O1059,Lists!$A:$A,0)),"EU","3RD")))</f>
        <v/>
      </c>
      <c r="Q1059" s="24" t="str">
        <f aca="false">IF($F1059="","N",IFERROR(IF(INDEX(Counterparties!$E:$E,MATCH($F1059&amp;"",Counterparties!$A:$A,0))="Y","Y","N"),"N"))</f>
        <v>N</v>
      </c>
      <c r="R1059" s="25" t="n">
        <f aca="false">IF(OR($H1059="",$H1059="EUR"),1,IFERROR(INDEX(FX_Rates!$D:$D,MATCH($H1059,FX_Rates!$A:$A,0)),""))</f>
        <v>1</v>
      </c>
      <c r="S1059" s="26" t="str">
        <f aca="false">IF(AND($I1059="",$J1059=""),"",IF($J1059&lt;&gt;"",$J1059,IF(OR($R1059="",$R1059=0),"",ROUND($I1059/$R1059,2))))</f>
        <v/>
      </c>
      <c r="T1059" s="24" t="str">
        <f aca="false">IF($N1059="","",IFERROR(INDEX(VAT_Codes!$C:$C,MATCH($N1059,VAT_Codes!$A:$A,0)),"")&amp;"")</f>
        <v/>
      </c>
      <c r="U1059" s="26" t="n">
        <f aca="false">IF(OR($S1059="",$T1059="",$T1059="None"),0,IF($T1059="Output",-$S1059,$S1059))</f>
        <v>0</v>
      </c>
      <c r="V1059" s="27" t="n">
        <f aca="false">IF($N1059="",0,IFERROR(INDEX(VAT_Codes!$D:$D,MATCH($N1059,VAT_Codes!$A:$A,0)),0))</f>
        <v>0</v>
      </c>
      <c r="W1059" s="26" t="n">
        <f aca="false">IF($U1059=0,0,IF(IFERROR(INDEX(VAT_Codes!$F:$F,MATCH($N1059,VAT_Codes!$A:$A,0)),"N")="Y",$U1059,IF($L1059&lt;&gt;"",ROUND(ABS($L1059)/IF(OR($R1059="",$R1059=0),1,$R1059),2)*SIGN($U1059),ROUND($U1059*$V1059,2))))</f>
        <v>0</v>
      </c>
      <c r="X1059" s="24" t="str">
        <f aca="false">IF($N1059="","",IFERROR(INDEX(VAT_Codes!$H:$H,MATCH($N1059,VAT_Codes!$A:$A,0)),"")&amp;"")</f>
        <v/>
      </c>
      <c r="Y1059" s="24" t="str">
        <f aca="false">IF($A1059="","",(YEAR($A1059)-YEAR(Settings!$C$8))*12+MONTH($A1059)-MONTH(Settings!$C$8)+1)</f>
        <v/>
      </c>
      <c r="Z1059" s="24" t="str">
        <f aca="false">IF(AND($C1059="",$I1059="",$J1059=""),"",IF($N1059="","NO VAT CODE",IF($T1059="","UNKNOWN VAT CODE",IF($S1059="","MISSING FX RATE",IF(OR($A1059&lt;Settings!$C$8,$A1059&gt;Settings!$C$9),"OUTSIDE PERIOD",IF(AND(IFERROR(INDEX(VAT_Codes!$E:$E,MATCH($N1059,VAT_Codes!$A:$A,0)),"ANY")&lt;&gt;"ANY",$P1059=""),"MISSING COUNTERPARTY COUNTRY",IF(AND(IFERROR(INDEX(VAT_Codes!$E:$E,MATCH($N1059,VAT_Codes!$A:$A,0)),"ANY")&lt;&gt;"ANY",$P1059&lt;&gt;IFERROR(INDEX(VAT_Codes!$E:$E,MATCH($N1059,VAT_Codes!$A:$A,0)),"ANY")),"REGION MISMATCH","OK")))))))</f>
        <v/>
      </c>
    </row>
    <row r="1060" customFormat="false" ht="15" hidden="false" customHeight="false" outlineLevel="0" collapsed="false">
      <c r="M1060" s="24" t="str">
        <f aca="false">IF($C1060="","",IFERROR(INDEX(Account_Mapping!$C:$C,MATCH($C1060&amp;"",Account_Mapping!$A:$A,0))&amp;"",""))</f>
        <v/>
      </c>
      <c r="N1060" s="24" t="str">
        <f aca="false">IF($K1060&lt;&gt;"",$K1060,$M1060)</f>
        <v/>
      </c>
      <c r="O1060" s="24" t="str">
        <f aca="false">IF($F1060="","",IFERROR(INDEX(Counterparties!$C:$C,MATCH($F1060&amp;"",Counterparties!$A:$A,0))&amp;"",""))</f>
        <v/>
      </c>
      <c r="P1060" s="24" t="str">
        <f aca="false">IF($O1060="","",IF($O1060="CY","CY",IF(ISNUMBER(MATCH($O1060,Lists!$A:$A,0)),"EU","3RD")))</f>
        <v/>
      </c>
      <c r="Q1060" s="24" t="str">
        <f aca="false">IF($F1060="","N",IFERROR(IF(INDEX(Counterparties!$E:$E,MATCH($F1060&amp;"",Counterparties!$A:$A,0))="Y","Y","N"),"N"))</f>
        <v>N</v>
      </c>
      <c r="R1060" s="25" t="n">
        <f aca="false">IF(OR($H1060="",$H1060="EUR"),1,IFERROR(INDEX(FX_Rates!$D:$D,MATCH($H1060,FX_Rates!$A:$A,0)),""))</f>
        <v>1</v>
      </c>
      <c r="S1060" s="26" t="str">
        <f aca="false">IF(AND($I1060="",$J1060=""),"",IF($J1060&lt;&gt;"",$J1060,IF(OR($R1060="",$R1060=0),"",ROUND($I1060/$R1060,2))))</f>
        <v/>
      </c>
      <c r="T1060" s="24" t="str">
        <f aca="false">IF($N1060="","",IFERROR(INDEX(VAT_Codes!$C:$C,MATCH($N1060,VAT_Codes!$A:$A,0)),"")&amp;"")</f>
        <v/>
      </c>
      <c r="U1060" s="26" t="n">
        <f aca="false">IF(OR($S1060="",$T1060="",$T1060="None"),0,IF($T1060="Output",-$S1060,$S1060))</f>
        <v>0</v>
      </c>
      <c r="V1060" s="27" t="n">
        <f aca="false">IF($N1060="",0,IFERROR(INDEX(VAT_Codes!$D:$D,MATCH($N1060,VAT_Codes!$A:$A,0)),0))</f>
        <v>0</v>
      </c>
      <c r="W1060" s="26" t="n">
        <f aca="false">IF($U1060=0,0,IF(IFERROR(INDEX(VAT_Codes!$F:$F,MATCH($N1060,VAT_Codes!$A:$A,0)),"N")="Y",$U1060,IF($L1060&lt;&gt;"",ROUND(ABS($L1060)/IF(OR($R1060="",$R1060=0),1,$R1060),2)*SIGN($U1060),ROUND($U1060*$V1060,2))))</f>
        <v>0</v>
      </c>
      <c r="X1060" s="24" t="str">
        <f aca="false">IF($N1060="","",IFERROR(INDEX(VAT_Codes!$H:$H,MATCH($N1060,VAT_Codes!$A:$A,0)),"")&amp;"")</f>
        <v/>
      </c>
      <c r="Y1060" s="24" t="str">
        <f aca="false">IF($A1060="","",(YEAR($A1060)-YEAR(Settings!$C$8))*12+MONTH($A1060)-MONTH(Settings!$C$8)+1)</f>
        <v/>
      </c>
      <c r="Z1060" s="24" t="str">
        <f aca="false">IF(AND($C1060="",$I1060="",$J1060=""),"",IF($N1060="","NO VAT CODE",IF($T1060="","UNKNOWN VAT CODE",IF($S1060="","MISSING FX RATE",IF(OR($A1060&lt;Settings!$C$8,$A1060&gt;Settings!$C$9),"OUTSIDE PERIOD",IF(AND(IFERROR(INDEX(VAT_Codes!$E:$E,MATCH($N1060,VAT_Codes!$A:$A,0)),"ANY")&lt;&gt;"ANY",$P1060=""),"MISSING COUNTERPARTY COUNTRY",IF(AND(IFERROR(INDEX(VAT_Codes!$E:$E,MATCH($N1060,VAT_Codes!$A:$A,0)),"ANY")&lt;&gt;"ANY",$P1060&lt;&gt;IFERROR(INDEX(VAT_Codes!$E:$E,MATCH($N1060,VAT_Codes!$A:$A,0)),"ANY")),"REGION MISMATCH","OK")))))))</f>
        <v/>
      </c>
    </row>
    <row r="1061" customFormat="false" ht="15" hidden="false" customHeight="false" outlineLevel="0" collapsed="false">
      <c r="M1061" s="24" t="str">
        <f aca="false">IF($C1061="","",IFERROR(INDEX(Account_Mapping!$C:$C,MATCH($C1061&amp;"",Account_Mapping!$A:$A,0))&amp;"",""))</f>
        <v/>
      </c>
      <c r="N1061" s="24" t="str">
        <f aca="false">IF($K1061&lt;&gt;"",$K1061,$M1061)</f>
        <v/>
      </c>
      <c r="O1061" s="24" t="str">
        <f aca="false">IF($F1061="","",IFERROR(INDEX(Counterparties!$C:$C,MATCH($F1061&amp;"",Counterparties!$A:$A,0))&amp;"",""))</f>
        <v/>
      </c>
      <c r="P1061" s="24" t="str">
        <f aca="false">IF($O1061="","",IF($O1061="CY","CY",IF(ISNUMBER(MATCH($O1061,Lists!$A:$A,0)),"EU","3RD")))</f>
        <v/>
      </c>
      <c r="Q1061" s="24" t="str">
        <f aca="false">IF($F1061="","N",IFERROR(IF(INDEX(Counterparties!$E:$E,MATCH($F1061&amp;"",Counterparties!$A:$A,0))="Y","Y","N"),"N"))</f>
        <v>N</v>
      </c>
      <c r="R1061" s="25" t="n">
        <f aca="false">IF(OR($H1061="",$H1061="EUR"),1,IFERROR(INDEX(FX_Rates!$D:$D,MATCH($H1061,FX_Rates!$A:$A,0)),""))</f>
        <v>1</v>
      </c>
      <c r="S1061" s="26" t="str">
        <f aca="false">IF(AND($I1061="",$J1061=""),"",IF($J1061&lt;&gt;"",$J1061,IF(OR($R1061="",$R1061=0),"",ROUND($I1061/$R1061,2))))</f>
        <v/>
      </c>
      <c r="T1061" s="24" t="str">
        <f aca="false">IF($N1061="","",IFERROR(INDEX(VAT_Codes!$C:$C,MATCH($N1061,VAT_Codes!$A:$A,0)),"")&amp;"")</f>
        <v/>
      </c>
      <c r="U1061" s="26" t="n">
        <f aca="false">IF(OR($S1061="",$T1061="",$T1061="None"),0,IF($T1061="Output",-$S1061,$S1061))</f>
        <v>0</v>
      </c>
      <c r="V1061" s="27" t="n">
        <f aca="false">IF($N1061="",0,IFERROR(INDEX(VAT_Codes!$D:$D,MATCH($N1061,VAT_Codes!$A:$A,0)),0))</f>
        <v>0</v>
      </c>
      <c r="W1061" s="26" t="n">
        <f aca="false">IF($U1061=0,0,IF(IFERROR(INDEX(VAT_Codes!$F:$F,MATCH($N1061,VAT_Codes!$A:$A,0)),"N")="Y",$U1061,IF($L1061&lt;&gt;"",ROUND(ABS($L1061)/IF(OR($R1061="",$R1061=0),1,$R1061),2)*SIGN($U1061),ROUND($U1061*$V1061,2))))</f>
        <v>0</v>
      </c>
      <c r="X1061" s="24" t="str">
        <f aca="false">IF($N1061="","",IFERROR(INDEX(VAT_Codes!$H:$H,MATCH($N1061,VAT_Codes!$A:$A,0)),"")&amp;"")</f>
        <v/>
      </c>
      <c r="Y1061" s="24" t="str">
        <f aca="false">IF($A1061="","",(YEAR($A1061)-YEAR(Settings!$C$8))*12+MONTH($A1061)-MONTH(Settings!$C$8)+1)</f>
        <v/>
      </c>
      <c r="Z1061" s="24" t="str">
        <f aca="false">IF(AND($C1061="",$I1061="",$J1061=""),"",IF($N1061="","NO VAT CODE",IF($T1061="","UNKNOWN VAT CODE",IF($S1061="","MISSING FX RATE",IF(OR($A1061&lt;Settings!$C$8,$A1061&gt;Settings!$C$9),"OUTSIDE PERIOD",IF(AND(IFERROR(INDEX(VAT_Codes!$E:$E,MATCH($N1061,VAT_Codes!$A:$A,0)),"ANY")&lt;&gt;"ANY",$P1061=""),"MISSING COUNTERPARTY COUNTRY",IF(AND(IFERROR(INDEX(VAT_Codes!$E:$E,MATCH($N1061,VAT_Codes!$A:$A,0)),"ANY")&lt;&gt;"ANY",$P1061&lt;&gt;IFERROR(INDEX(VAT_Codes!$E:$E,MATCH($N1061,VAT_Codes!$A:$A,0)),"ANY")),"REGION MISMATCH","OK")))))))</f>
        <v/>
      </c>
    </row>
    <row r="1062" customFormat="false" ht="15" hidden="false" customHeight="false" outlineLevel="0" collapsed="false">
      <c r="M1062" s="24" t="str">
        <f aca="false">IF($C1062="","",IFERROR(INDEX(Account_Mapping!$C:$C,MATCH($C1062&amp;"",Account_Mapping!$A:$A,0))&amp;"",""))</f>
        <v/>
      </c>
      <c r="N1062" s="24" t="str">
        <f aca="false">IF($K1062&lt;&gt;"",$K1062,$M1062)</f>
        <v/>
      </c>
      <c r="O1062" s="24" t="str">
        <f aca="false">IF($F1062="","",IFERROR(INDEX(Counterparties!$C:$C,MATCH($F1062&amp;"",Counterparties!$A:$A,0))&amp;"",""))</f>
        <v/>
      </c>
      <c r="P1062" s="24" t="str">
        <f aca="false">IF($O1062="","",IF($O1062="CY","CY",IF(ISNUMBER(MATCH($O1062,Lists!$A:$A,0)),"EU","3RD")))</f>
        <v/>
      </c>
      <c r="Q1062" s="24" t="str">
        <f aca="false">IF($F1062="","N",IFERROR(IF(INDEX(Counterparties!$E:$E,MATCH($F1062&amp;"",Counterparties!$A:$A,0))="Y","Y","N"),"N"))</f>
        <v>N</v>
      </c>
      <c r="R1062" s="25" t="n">
        <f aca="false">IF(OR($H1062="",$H1062="EUR"),1,IFERROR(INDEX(FX_Rates!$D:$D,MATCH($H1062,FX_Rates!$A:$A,0)),""))</f>
        <v>1</v>
      </c>
      <c r="S1062" s="26" t="str">
        <f aca="false">IF(AND($I1062="",$J1062=""),"",IF($J1062&lt;&gt;"",$J1062,IF(OR($R1062="",$R1062=0),"",ROUND($I1062/$R1062,2))))</f>
        <v/>
      </c>
      <c r="T1062" s="24" t="str">
        <f aca="false">IF($N1062="","",IFERROR(INDEX(VAT_Codes!$C:$C,MATCH($N1062,VAT_Codes!$A:$A,0)),"")&amp;"")</f>
        <v/>
      </c>
      <c r="U1062" s="26" t="n">
        <f aca="false">IF(OR($S1062="",$T1062="",$T1062="None"),0,IF($T1062="Output",-$S1062,$S1062))</f>
        <v>0</v>
      </c>
      <c r="V1062" s="27" t="n">
        <f aca="false">IF($N1062="",0,IFERROR(INDEX(VAT_Codes!$D:$D,MATCH($N1062,VAT_Codes!$A:$A,0)),0))</f>
        <v>0</v>
      </c>
      <c r="W1062" s="26" t="n">
        <f aca="false">IF($U1062=0,0,IF(IFERROR(INDEX(VAT_Codes!$F:$F,MATCH($N1062,VAT_Codes!$A:$A,0)),"N")="Y",$U1062,IF($L1062&lt;&gt;"",ROUND(ABS($L1062)/IF(OR($R1062="",$R1062=0),1,$R1062),2)*SIGN($U1062),ROUND($U1062*$V1062,2))))</f>
        <v>0</v>
      </c>
      <c r="X1062" s="24" t="str">
        <f aca="false">IF($N1062="","",IFERROR(INDEX(VAT_Codes!$H:$H,MATCH($N1062,VAT_Codes!$A:$A,0)),"")&amp;"")</f>
        <v/>
      </c>
      <c r="Y1062" s="24" t="str">
        <f aca="false">IF($A1062="","",(YEAR($A1062)-YEAR(Settings!$C$8))*12+MONTH($A1062)-MONTH(Settings!$C$8)+1)</f>
        <v/>
      </c>
      <c r="Z1062" s="24" t="str">
        <f aca="false">IF(AND($C1062="",$I1062="",$J1062=""),"",IF($N1062="","NO VAT CODE",IF($T1062="","UNKNOWN VAT CODE",IF($S1062="","MISSING FX RATE",IF(OR($A1062&lt;Settings!$C$8,$A1062&gt;Settings!$C$9),"OUTSIDE PERIOD",IF(AND(IFERROR(INDEX(VAT_Codes!$E:$E,MATCH($N1062,VAT_Codes!$A:$A,0)),"ANY")&lt;&gt;"ANY",$P1062=""),"MISSING COUNTERPARTY COUNTRY",IF(AND(IFERROR(INDEX(VAT_Codes!$E:$E,MATCH($N1062,VAT_Codes!$A:$A,0)),"ANY")&lt;&gt;"ANY",$P1062&lt;&gt;IFERROR(INDEX(VAT_Codes!$E:$E,MATCH($N1062,VAT_Codes!$A:$A,0)),"ANY")),"REGION MISMATCH","OK")))))))</f>
        <v/>
      </c>
    </row>
    <row r="1063" customFormat="false" ht="15" hidden="false" customHeight="false" outlineLevel="0" collapsed="false">
      <c r="M1063" s="24" t="str">
        <f aca="false">IF($C1063="","",IFERROR(INDEX(Account_Mapping!$C:$C,MATCH($C1063&amp;"",Account_Mapping!$A:$A,0))&amp;"",""))</f>
        <v/>
      </c>
      <c r="N1063" s="24" t="str">
        <f aca="false">IF($K1063&lt;&gt;"",$K1063,$M1063)</f>
        <v/>
      </c>
      <c r="O1063" s="24" t="str">
        <f aca="false">IF($F1063="","",IFERROR(INDEX(Counterparties!$C:$C,MATCH($F1063&amp;"",Counterparties!$A:$A,0))&amp;"",""))</f>
        <v/>
      </c>
      <c r="P1063" s="24" t="str">
        <f aca="false">IF($O1063="","",IF($O1063="CY","CY",IF(ISNUMBER(MATCH($O1063,Lists!$A:$A,0)),"EU","3RD")))</f>
        <v/>
      </c>
      <c r="Q1063" s="24" t="str">
        <f aca="false">IF($F1063="","N",IFERROR(IF(INDEX(Counterparties!$E:$E,MATCH($F1063&amp;"",Counterparties!$A:$A,0))="Y","Y","N"),"N"))</f>
        <v>N</v>
      </c>
      <c r="R1063" s="25" t="n">
        <f aca="false">IF(OR($H1063="",$H1063="EUR"),1,IFERROR(INDEX(FX_Rates!$D:$D,MATCH($H1063,FX_Rates!$A:$A,0)),""))</f>
        <v>1</v>
      </c>
      <c r="S1063" s="26" t="str">
        <f aca="false">IF(AND($I1063="",$J1063=""),"",IF($J1063&lt;&gt;"",$J1063,IF(OR($R1063="",$R1063=0),"",ROUND($I1063/$R1063,2))))</f>
        <v/>
      </c>
      <c r="T1063" s="24" t="str">
        <f aca="false">IF($N1063="","",IFERROR(INDEX(VAT_Codes!$C:$C,MATCH($N1063,VAT_Codes!$A:$A,0)),"")&amp;"")</f>
        <v/>
      </c>
      <c r="U1063" s="26" t="n">
        <f aca="false">IF(OR($S1063="",$T1063="",$T1063="None"),0,IF($T1063="Output",-$S1063,$S1063))</f>
        <v>0</v>
      </c>
      <c r="V1063" s="27" t="n">
        <f aca="false">IF($N1063="",0,IFERROR(INDEX(VAT_Codes!$D:$D,MATCH($N1063,VAT_Codes!$A:$A,0)),0))</f>
        <v>0</v>
      </c>
      <c r="W1063" s="26" t="n">
        <f aca="false">IF($U1063=0,0,IF(IFERROR(INDEX(VAT_Codes!$F:$F,MATCH($N1063,VAT_Codes!$A:$A,0)),"N")="Y",$U1063,IF($L1063&lt;&gt;"",ROUND(ABS($L1063)/IF(OR($R1063="",$R1063=0),1,$R1063),2)*SIGN($U1063),ROUND($U1063*$V1063,2))))</f>
        <v>0</v>
      </c>
      <c r="X1063" s="24" t="str">
        <f aca="false">IF($N1063="","",IFERROR(INDEX(VAT_Codes!$H:$H,MATCH($N1063,VAT_Codes!$A:$A,0)),"")&amp;"")</f>
        <v/>
      </c>
      <c r="Y1063" s="24" t="str">
        <f aca="false">IF($A1063="","",(YEAR($A1063)-YEAR(Settings!$C$8))*12+MONTH($A1063)-MONTH(Settings!$C$8)+1)</f>
        <v/>
      </c>
      <c r="Z1063" s="24" t="str">
        <f aca="false">IF(AND($C1063="",$I1063="",$J1063=""),"",IF($N1063="","NO VAT CODE",IF($T1063="","UNKNOWN VAT CODE",IF($S1063="","MISSING FX RATE",IF(OR($A1063&lt;Settings!$C$8,$A1063&gt;Settings!$C$9),"OUTSIDE PERIOD",IF(AND(IFERROR(INDEX(VAT_Codes!$E:$E,MATCH($N1063,VAT_Codes!$A:$A,0)),"ANY")&lt;&gt;"ANY",$P1063=""),"MISSING COUNTERPARTY COUNTRY",IF(AND(IFERROR(INDEX(VAT_Codes!$E:$E,MATCH($N1063,VAT_Codes!$A:$A,0)),"ANY")&lt;&gt;"ANY",$P1063&lt;&gt;IFERROR(INDEX(VAT_Codes!$E:$E,MATCH($N1063,VAT_Codes!$A:$A,0)),"ANY")),"REGION MISMATCH","OK")))))))</f>
        <v/>
      </c>
    </row>
    <row r="1064" customFormat="false" ht="15" hidden="false" customHeight="false" outlineLevel="0" collapsed="false">
      <c r="M1064" s="24" t="str">
        <f aca="false">IF($C1064="","",IFERROR(INDEX(Account_Mapping!$C:$C,MATCH($C1064&amp;"",Account_Mapping!$A:$A,0))&amp;"",""))</f>
        <v/>
      </c>
      <c r="N1064" s="24" t="str">
        <f aca="false">IF($K1064&lt;&gt;"",$K1064,$M1064)</f>
        <v/>
      </c>
      <c r="O1064" s="24" t="str">
        <f aca="false">IF($F1064="","",IFERROR(INDEX(Counterparties!$C:$C,MATCH($F1064&amp;"",Counterparties!$A:$A,0))&amp;"",""))</f>
        <v/>
      </c>
      <c r="P1064" s="24" t="str">
        <f aca="false">IF($O1064="","",IF($O1064="CY","CY",IF(ISNUMBER(MATCH($O1064,Lists!$A:$A,0)),"EU","3RD")))</f>
        <v/>
      </c>
      <c r="Q1064" s="24" t="str">
        <f aca="false">IF($F1064="","N",IFERROR(IF(INDEX(Counterparties!$E:$E,MATCH($F1064&amp;"",Counterparties!$A:$A,0))="Y","Y","N"),"N"))</f>
        <v>N</v>
      </c>
      <c r="R1064" s="25" t="n">
        <f aca="false">IF(OR($H1064="",$H1064="EUR"),1,IFERROR(INDEX(FX_Rates!$D:$D,MATCH($H1064,FX_Rates!$A:$A,0)),""))</f>
        <v>1</v>
      </c>
      <c r="S1064" s="26" t="str">
        <f aca="false">IF(AND($I1064="",$J1064=""),"",IF($J1064&lt;&gt;"",$J1064,IF(OR($R1064="",$R1064=0),"",ROUND($I1064/$R1064,2))))</f>
        <v/>
      </c>
      <c r="T1064" s="24" t="str">
        <f aca="false">IF($N1064="","",IFERROR(INDEX(VAT_Codes!$C:$C,MATCH($N1064,VAT_Codes!$A:$A,0)),"")&amp;"")</f>
        <v/>
      </c>
      <c r="U1064" s="26" t="n">
        <f aca="false">IF(OR($S1064="",$T1064="",$T1064="None"),0,IF($T1064="Output",-$S1064,$S1064))</f>
        <v>0</v>
      </c>
      <c r="V1064" s="27" t="n">
        <f aca="false">IF($N1064="",0,IFERROR(INDEX(VAT_Codes!$D:$D,MATCH($N1064,VAT_Codes!$A:$A,0)),0))</f>
        <v>0</v>
      </c>
      <c r="W1064" s="26" t="n">
        <f aca="false">IF($U1064=0,0,IF(IFERROR(INDEX(VAT_Codes!$F:$F,MATCH($N1064,VAT_Codes!$A:$A,0)),"N")="Y",$U1064,IF($L1064&lt;&gt;"",ROUND(ABS($L1064)/IF(OR($R1064="",$R1064=0),1,$R1064),2)*SIGN($U1064),ROUND($U1064*$V1064,2))))</f>
        <v>0</v>
      </c>
      <c r="X1064" s="24" t="str">
        <f aca="false">IF($N1064="","",IFERROR(INDEX(VAT_Codes!$H:$H,MATCH($N1064,VAT_Codes!$A:$A,0)),"")&amp;"")</f>
        <v/>
      </c>
      <c r="Y1064" s="24" t="str">
        <f aca="false">IF($A1064="","",(YEAR($A1064)-YEAR(Settings!$C$8))*12+MONTH($A1064)-MONTH(Settings!$C$8)+1)</f>
        <v/>
      </c>
      <c r="Z1064" s="24" t="str">
        <f aca="false">IF(AND($C1064="",$I1064="",$J1064=""),"",IF($N1064="","NO VAT CODE",IF($T1064="","UNKNOWN VAT CODE",IF($S1064="","MISSING FX RATE",IF(OR($A1064&lt;Settings!$C$8,$A1064&gt;Settings!$C$9),"OUTSIDE PERIOD",IF(AND(IFERROR(INDEX(VAT_Codes!$E:$E,MATCH($N1064,VAT_Codes!$A:$A,0)),"ANY")&lt;&gt;"ANY",$P1064=""),"MISSING COUNTERPARTY COUNTRY",IF(AND(IFERROR(INDEX(VAT_Codes!$E:$E,MATCH($N1064,VAT_Codes!$A:$A,0)),"ANY")&lt;&gt;"ANY",$P1064&lt;&gt;IFERROR(INDEX(VAT_Codes!$E:$E,MATCH($N1064,VAT_Codes!$A:$A,0)),"ANY")),"REGION MISMATCH","OK")))))))</f>
        <v/>
      </c>
    </row>
    <row r="1065" customFormat="false" ht="15" hidden="false" customHeight="false" outlineLevel="0" collapsed="false">
      <c r="M1065" s="24" t="str">
        <f aca="false">IF($C1065="","",IFERROR(INDEX(Account_Mapping!$C:$C,MATCH($C1065&amp;"",Account_Mapping!$A:$A,0))&amp;"",""))</f>
        <v/>
      </c>
      <c r="N1065" s="24" t="str">
        <f aca="false">IF($K1065&lt;&gt;"",$K1065,$M1065)</f>
        <v/>
      </c>
      <c r="O1065" s="24" t="str">
        <f aca="false">IF($F1065="","",IFERROR(INDEX(Counterparties!$C:$C,MATCH($F1065&amp;"",Counterparties!$A:$A,0))&amp;"",""))</f>
        <v/>
      </c>
      <c r="P1065" s="24" t="str">
        <f aca="false">IF($O1065="","",IF($O1065="CY","CY",IF(ISNUMBER(MATCH($O1065,Lists!$A:$A,0)),"EU","3RD")))</f>
        <v/>
      </c>
      <c r="Q1065" s="24" t="str">
        <f aca="false">IF($F1065="","N",IFERROR(IF(INDEX(Counterparties!$E:$E,MATCH($F1065&amp;"",Counterparties!$A:$A,0))="Y","Y","N"),"N"))</f>
        <v>N</v>
      </c>
      <c r="R1065" s="25" t="n">
        <f aca="false">IF(OR($H1065="",$H1065="EUR"),1,IFERROR(INDEX(FX_Rates!$D:$D,MATCH($H1065,FX_Rates!$A:$A,0)),""))</f>
        <v>1</v>
      </c>
      <c r="S1065" s="26" t="str">
        <f aca="false">IF(AND($I1065="",$J1065=""),"",IF($J1065&lt;&gt;"",$J1065,IF(OR($R1065="",$R1065=0),"",ROUND($I1065/$R1065,2))))</f>
        <v/>
      </c>
      <c r="T1065" s="24" t="str">
        <f aca="false">IF($N1065="","",IFERROR(INDEX(VAT_Codes!$C:$C,MATCH($N1065,VAT_Codes!$A:$A,0)),"")&amp;"")</f>
        <v/>
      </c>
      <c r="U1065" s="26" t="n">
        <f aca="false">IF(OR($S1065="",$T1065="",$T1065="None"),0,IF($T1065="Output",-$S1065,$S1065))</f>
        <v>0</v>
      </c>
      <c r="V1065" s="27" t="n">
        <f aca="false">IF($N1065="",0,IFERROR(INDEX(VAT_Codes!$D:$D,MATCH($N1065,VAT_Codes!$A:$A,0)),0))</f>
        <v>0</v>
      </c>
      <c r="W1065" s="26" t="n">
        <f aca="false">IF($U1065=0,0,IF(IFERROR(INDEX(VAT_Codes!$F:$F,MATCH($N1065,VAT_Codes!$A:$A,0)),"N")="Y",$U1065,IF($L1065&lt;&gt;"",ROUND(ABS($L1065)/IF(OR($R1065="",$R1065=0),1,$R1065),2)*SIGN($U1065),ROUND($U1065*$V1065,2))))</f>
        <v>0</v>
      </c>
      <c r="X1065" s="24" t="str">
        <f aca="false">IF($N1065="","",IFERROR(INDEX(VAT_Codes!$H:$H,MATCH($N1065,VAT_Codes!$A:$A,0)),"")&amp;"")</f>
        <v/>
      </c>
      <c r="Y1065" s="24" t="str">
        <f aca="false">IF($A1065="","",(YEAR($A1065)-YEAR(Settings!$C$8))*12+MONTH($A1065)-MONTH(Settings!$C$8)+1)</f>
        <v/>
      </c>
      <c r="Z1065" s="24" t="str">
        <f aca="false">IF(AND($C1065="",$I1065="",$J1065=""),"",IF($N1065="","NO VAT CODE",IF($T1065="","UNKNOWN VAT CODE",IF($S1065="","MISSING FX RATE",IF(OR($A1065&lt;Settings!$C$8,$A1065&gt;Settings!$C$9),"OUTSIDE PERIOD",IF(AND(IFERROR(INDEX(VAT_Codes!$E:$E,MATCH($N1065,VAT_Codes!$A:$A,0)),"ANY")&lt;&gt;"ANY",$P1065=""),"MISSING COUNTERPARTY COUNTRY",IF(AND(IFERROR(INDEX(VAT_Codes!$E:$E,MATCH($N1065,VAT_Codes!$A:$A,0)),"ANY")&lt;&gt;"ANY",$P1065&lt;&gt;IFERROR(INDEX(VAT_Codes!$E:$E,MATCH($N1065,VAT_Codes!$A:$A,0)),"ANY")),"REGION MISMATCH","OK")))))))</f>
        <v/>
      </c>
    </row>
    <row r="1066" customFormat="false" ht="15" hidden="false" customHeight="false" outlineLevel="0" collapsed="false">
      <c r="M1066" s="24" t="str">
        <f aca="false">IF($C1066="","",IFERROR(INDEX(Account_Mapping!$C:$C,MATCH($C1066&amp;"",Account_Mapping!$A:$A,0))&amp;"",""))</f>
        <v/>
      </c>
      <c r="N1066" s="24" t="str">
        <f aca="false">IF($K1066&lt;&gt;"",$K1066,$M1066)</f>
        <v/>
      </c>
      <c r="O1066" s="24" t="str">
        <f aca="false">IF($F1066="","",IFERROR(INDEX(Counterparties!$C:$C,MATCH($F1066&amp;"",Counterparties!$A:$A,0))&amp;"",""))</f>
        <v/>
      </c>
      <c r="P1066" s="24" t="str">
        <f aca="false">IF($O1066="","",IF($O1066="CY","CY",IF(ISNUMBER(MATCH($O1066,Lists!$A:$A,0)),"EU","3RD")))</f>
        <v/>
      </c>
      <c r="Q1066" s="24" t="str">
        <f aca="false">IF($F1066="","N",IFERROR(IF(INDEX(Counterparties!$E:$E,MATCH($F1066&amp;"",Counterparties!$A:$A,0))="Y","Y","N"),"N"))</f>
        <v>N</v>
      </c>
      <c r="R1066" s="25" t="n">
        <f aca="false">IF(OR($H1066="",$H1066="EUR"),1,IFERROR(INDEX(FX_Rates!$D:$D,MATCH($H1066,FX_Rates!$A:$A,0)),""))</f>
        <v>1</v>
      </c>
      <c r="S1066" s="26" t="str">
        <f aca="false">IF(AND($I1066="",$J1066=""),"",IF($J1066&lt;&gt;"",$J1066,IF(OR($R1066="",$R1066=0),"",ROUND($I1066/$R1066,2))))</f>
        <v/>
      </c>
      <c r="T1066" s="24" t="str">
        <f aca="false">IF($N1066="","",IFERROR(INDEX(VAT_Codes!$C:$C,MATCH($N1066,VAT_Codes!$A:$A,0)),"")&amp;"")</f>
        <v/>
      </c>
      <c r="U1066" s="26" t="n">
        <f aca="false">IF(OR($S1066="",$T1066="",$T1066="None"),0,IF($T1066="Output",-$S1066,$S1066))</f>
        <v>0</v>
      </c>
      <c r="V1066" s="27" t="n">
        <f aca="false">IF($N1066="",0,IFERROR(INDEX(VAT_Codes!$D:$D,MATCH($N1066,VAT_Codes!$A:$A,0)),0))</f>
        <v>0</v>
      </c>
      <c r="W1066" s="26" t="n">
        <f aca="false">IF($U1066=0,0,IF(IFERROR(INDEX(VAT_Codes!$F:$F,MATCH($N1066,VAT_Codes!$A:$A,0)),"N")="Y",$U1066,IF($L1066&lt;&gt;"",ROUND(ABS($L1066)/IF(OR($R1066="",$R1066=0),1,$R1066),2)*SIGN($U1066),ROUND($U1066*$V1066,2))))</f>
        <v>0</v>
      </c>
      <c r="X1066" s="24" t="str">
        <f aca="false">IF($N1066="","",IFERROR(INDEX(VAT_Codes!$H:$H,MATCH($N1066,VAT_Codes!$A:$A,0)),"")&amp;"")</f>
        <v/>
      </c>
      <c r="Y1066" s="24" t="str">
        <f aca="false">IF($A1066="","",(YEAR($A1066)-YEAR(Settings!$C$8))*12+MONTH($A1066)-MONTH(Settings!$C$8)+1)</f>
        <v/>
      </c>
      <c r="Z1066" s="24" t="str">
        <f aca="false">IF(AND($C1066="",$I1066="",$J1066=""),"",IF($N1066="","NO VAT CODE",IF($T1066="","UNKNOWN VAT CODE",IF($S1066="","MISSING FX RATE",IF(OR($A1066&lt;Settings!$C$8,$A1066&gt;Settings!$C$9),"OUTSIDE PERIOD",IF(AND(IFERROR(INDEX(VAT_Codes!$E:$E,MATCH($N1066,VAT_Codes!$A:$A,0)),"ANY")&lt;&gt;"ANY",$P1066=""),"MISSING COUNTERPARTY COUNTRY",IF(AND(IFERROR(INDEX(VAT_Codes!$E:$E,MATCH($N1066,VAT_Codes!$A:$A,0)),"ANY")&lt;&gt;"ANY",$P1066&lt;&gt;IFERROR(INDEX(VAT_Codes!$E:$E,MATCH($N1066,VAT_Codes!$A:$A,0)),"ANY")),"REGION MISMATCH","OK")))))))</f>
        <v/>
      </c>
    </row>
    <row r="1067" customFormat="false" ht="15" hidden="false" customHeight="false" outlineLevel="0" collapsed="false">
      <c r="M1067" s="24" t="str">
        <f aca="false">IF($C1067="","",IFERROR(INDEX(Account_Mapping!$C:$C,MATCH($C1067&amp;"",Account_Mapping!$A:$A,0))&amp;"",""))</f>
        <v/>
      </c>
      <c r="N1067" s="24" t="str">
        <f aca="false">IF($K1067&lt;&gt;"",$K1067,$M1067)</f>
        <v/>
      </c>
      <c r="O1067" s="24" t="str">
        <f aca="false">IF($F1067="","",IFERROR(INDEX(Counterparties!$C:$C,MATCH($F1067&amp;"",Counterparties!$A:$A,0))&amp;"",""))</f>
        <v/>
      </c>
      <c r="P1067" s="24" t="str">
        <f aca="false">IF($O1067="","",IF($O1067="CY","CY",IF(ISNUMBER(MATCH($O1067,Lists!$A:$A,0)),"EU","3RD")))</f>
        <v/>
      </c>
      <c r="Q1067" s="24" t="str">
        <f aca="false">IF($F1067="","N",IFERROR(IF(INDEX(Counterparties!$E:$E,MATCH($F1067&amp;"",Counterparties!$A:$A,0))="Y","Y","N"),"N"))</f>
        <v>N</v>
      </c>
      <c r="R1067" s="25" t="n">
        <f aca="false">IF(OR($H1067="",$H1067="EUR"),1,IFERROR(INDEX(FX_Rates!$D:$D,MATCH($H1067,FX_Rates!$A:$A,0)),""))</f>
        <v>1</v>
      </c>
      <c r="S1067" s="26" t="str">
        <f aca="false">IF(AND($I1067="",$J1067=""),"",IF($J1067&lt;&gt;"",$J1067,IF(OR($R1067="",$R1067=0),"",ROUND($I1067/$R1067,2))))</f>
        <v/>
      </c>
      <c r="T1067" s="24" t="str">
        <f aca="false">IF($N1067="","",IFERROR(INDEX(VAT_Codes!$C:$C,MATCH($N1067,VAT_Codes!$A:$A,0)),"")&amp;"")</f>
        <v/>
      </c>
      <c r="U1067" s="26" t="n">
        <f aca="false">IF(OR($S1067="",$T1067="",$T1067="None"),0,IF($T1067="Output",-$S1067,$S1067))</f>
        <v>0</v>
      </c>
      <c r="V1067" s="27" t="n">
        <f aca="false">IF($N1067="",0,IFERROR(INDEX(VAT_Codes!$D:$D,MATCH($N1067,VAT_Codes!$A:$A,0)),0))</f>
        <v>0</v>
      </c>
      <c r="W1067" s="26" t="n">
        <f aca="false">IF($U1067=0,0,IF(IFERROR(INDEX(VAT_Codes!$F:$F,MATCH($N1067,VAT_Codes!$A:$A,0)),"N")="Y",$U1067,IF($L1067&lt;&gt;"",ROUND(ABS($L1067)/IF(OR($R1067="",$R1067=0),1,$R1067),2)*SIGN($U1067),ROUND($U1067*$V1067,2))))</f>
        <v>0</v>
      </c>
      <c r="X1067" s="24" t="str">
        <f aca="false">IF($N1067="","",IFERROR(INDEX(VAT_Codes!$H:$H,MATCH($N1067,VAT_Codes!$A:$A,0)),"")&amp;"")</f>
        <v/>
      </c>
      <c r="Y1067" s="24" t="str">
        <f aca="false">IF($A1067="","",(YEAR($A1067)-YEAR(Settings!$C$8))*12+MONTH($A1067)-MONTH(Settings!$C$8)+1)</f>
        <v/>
      </c>
      <c r="Z1067" s="24" t="str">
        <f aca="false">IF(AND($C1067="",$I1067="",$J1067=""),"",IF($N1067="","NO VAT CODE",IF($T1067="","UNKNOWN VAT CODE",IF($S1067="","MISSING FX RATE",IF(OR($A1067&lt;Settings!$C$8,$A1067&gt;Settings!$C$9),"OUTSIDE PERIOD",IF(AND(IFERROR(INDEX(VAT_Codes!$E:$E,MATCH($N1067,VAT_Codes!$A:$A,0)),"ANY")&lt;&gt;"ANY",$P1067=""),"MISSING COUNTERPARTY COUNTRY",IF(AND(IFERROR(INDEX(VAT_Codes!$E:$E,MATCH($N1067,VAT_Codes!$A:$A,0)),"ANY")&lt;&gt;"ANY",$P1067&lt;&gt;IFERROR(INDEX(VAT_Codes!$E:$E,MATCH($N1067,VAT_Codes!$A:$A,0)),"ANY")),"REGION MISMATCH","OK")))))))</f>
        <v/>
      </c>
    </row>
    <row r="1068" customFormat="false" ht="15" hidden="false" customHeight="false" outlineLevel="0" collapsed="false">
      <c r="M1068" s="24" t="str">
        <f aca="false">IF($C1068="","",IFERROR(INDEX(Account_Mapping!$C:$C,MATCH($C1068&amp;"",Account_Mapping!$A:$A,0))&amp;"",""))</f>
        <v/>
      </c>
      <c r="N1068" s="24" t="str">
        <f aca="false">IF($K1068&lt;&gt;"",$K1068,$M1068)</f>
        <v/>
      </c>
      <c r="O1068" s="24" t="str">
        <f aca="false">IF($F1068="","",IFERROR(INDEX(Counterparties!$C:$C,MATCH($F1068&amp;"",Counterparties!$A:$A,0))&amp;"",""))</f>
        <v/>
      </c>
      <c r="P1068" s="24" t="str">
        <f aca="false">IF($O1068="","",IF($O1068="CY","CY",IF(ISNUMBER(MATCH($O1068,Lists!$A:$A,0)),"EU","3RD")))</f>
        <v/>
      </c>
      <c r="Q1068" s="24" t="str">
        <f aca="false">IF($F1068="","N",IFERROR(IF(INDEX(Counterparties!$E:$E,MATCH($F1068&amp;"",Counterparties!$A:$A,0))="Y","Y","N"),"N"))</f>
        <v>N</v>
      </c>
      <c r="R1068" s="25" t="n">
        <f aca="false">IF(OR($H1068="",$H1068="EUR"),1,IFERROR(INDEX(FX_Rates!$D:$D,MATCH($H1068,FX_Rates!$A:$A,0)),""))</f>
        <v>1</v>
      </c>
      <c r="S1068" s="26" t="str">
        <f aca="false">IF(AND($I1068="",$J1068=""),"",IF($J1068&lt;&gt;"",$J1068,IF(OR($R1068="",$R1068=0),"",ROUND($I1068/$R1068,2))))</f>
        <v/>
      </c>
      <c r="T1068" s="24" t="str">
        <f aca="false">IF($N1068="","",IFERROR(INDEX(VAT_Codes!$C:$C,MATCH($N1068,VAT_Codes!$A:$A,0)),"")&amp;"")</f>
        <v/>
      </c>
      <c r="U1068" s="26" t="n">
        <f aca="false">IF(OR($S1068="",$T1068="",$T1068="None"),0,IF($T1068="Output",-$S1068,$S1068))</f>
        <v>0</v>
      </c>
      <c r="V1068" s="27" t="n">
        <f aca="false">IF($N1068="",0,IFERROR(INDEX(VAT_Codes!$D:$D,MATCH($N1068,VAT_Codes!$A:$A,0)),0))</f>
        <v>0</v>
      </c>
      <c r="W1068" s="26" t="n">
        <f aca="false">IF($U1068=0,0,IF(IFERROR(INDEX(VAT_Codes!$F:$F,MATCH($N1068,VAT_Codes!$A:$A,0)),"N")="Y",$U1068,IF($L1068&lt;&gt;"",ROUND(ABS($L1068)/IF(OR($R1068="",$R1068=0),1,$R1068),2)*SIGN($U1068),ROUND($U1068*$V1068,2))))</f>
        <v>0</v>
      </c>
      <c r="X1068" s="24" t="str">
        <f aca="false">IF($N1068="","",IFERROR(INDEX(VAT_Codes!$H:$H,MATCH($N1068,VAT_Codes!$A:$A,0)),"")&amp;"")</f>
        <v/>
      </c>
      <c r="Y1068" s="24" t="str">
        <f aca="false">IF($A1068="","",(YEAR($A1068)-YEAR(Settings!$C$8))*12+MONTH($A1068)-MONTH(Settings!$C$8)+1)</f>
        <v/>
      </c>
      <c r="Z1068" s="24" t="str">
        <f aca="false">IF(AND($C1068="",$I1068="",$J1068=""),"",IF($N1068="","NO VAT CODE",IF($T1068="","UNKNOWN VAT CODE",IF($S1068="","MISSING FX RATE",IF(OR($A1068&lt;Settings!$C$8,$A1068&gt;Settings!$C$9),"OUTSIDE PERIOD",IF(AND(IFERROR(INDEX(VAT_Codes!$E:$E,MATCH($N1068,VAT_Codes!$A:$A,0)),"ANY")&lt;&gt;"ANY",$P1068=""),"MISSING COUNTERPARTY COUNTRY",IF(AND(IFERROR(INDEX(VAT_Codes!$E:$E,MATCH($N1068,VAT_Codes!$A:$A,0)),"ANY")&lt;&gt;"ANY",$P1068&lt;&gt;IFERROR(INDEX(VAT_Codes!$E:$E,MATCH($N1068,VAT_Codes!$A:$A,0)),"ANY")),"REGION MISMATCH","OK")))))))</f>
        <v/>
      </c>
    </row>
    <row r="1069" customFormat="false" ht="15" hidden="false" customHeight="false" outlineLevel="0" collapsed="false">
      <c r="M1069" s="24" t="str">
        <f aca="false">IF($C1069="","",IFERROR(INDEX(Account_Mapping!$C:$C,MATCH($C1069&amp;"",Account_Mapping!$A:$A,0))&amp;"",""))</f>
        <v/>
      </c>
      <c r="N1069" s="24" t="str">
        <f aca="false">IF($K1069&lt;&gt;"",$K1069,$M1069)</f>
        <v/>
      </c>
      <c r="O1069" s="24" t="str">
        <f aca="false">IF($F1069="","",IFERROR(INDEX(Counterparties!$C:$C,MATCH($F1069&amp;"",Counterparties!$A:$A,0))&amp;"",""))</f>
        <v/>
      </c>
      <c r="P1069" s="24" t="str">
        <f aca="false">IF($O1069="","",IF($O1069="CY","CY",IF(ISNUMBER(MATCH($O1069,Lists!$A:$A,0)),"EU","3RD")))</f>
        <v/>
      </c>
      <c r="Q1069" s="24" t="str">
        <f aca="false">IF($F1069="","N",IFERROR(IF(INDEX(Counterparties!$E:$E,MATCH($F1069&amp;"",Counterparties!$A:$A,0))="Y","Y","N"),"N"))</f>
        <v>N</v>
      </c>
      <c r="R1069" s="25" t="n">
        <f aca="false">IF(OR($H1069="",$H1069="EUR"),1,IFERROR(INDEX(FX_Rates!$D:$D,MATCH($H1069,FX_Rates!$A:$A,0)),""))</f>
        <v>1</v>
      </c>
      <c r="S1069" s="26" t="str">
        <f aca="false">IF(AND($I1069="",$J1069=""),"",IF($J1069&lt;&gt;"",$J1069,IF(OR($R1069="",$R1069=0),"",ROUND($I1069/$R1069,2))))</f>
        <v/>
      </c>
      <c r="T1069" s="24" t="str">
        <f aca="false">IF($N1069="","",IFERROR(INDEX(VAT_Codes!$C:$C,MATCH($N1069,VAT_Codes!$A:$A,0)),"")&amp;"")</f>
        <v/>
      </c>
      <c r="U1069" s="26" t="n">
        <f aca="false">IF(OR($S1069="",$T1069="",$T1069="None"),0,IF($T1069="Output",-$S1069,$S1069))</f>
        <v>0</v>
      </c>
      <c r="V1069" s="27" t="n">
        <f aca="false">IF($N1069="",0,IFERROR(INDEX(VAT_Codes!$D:$D,MATCH($N1069,VAT_Codes!$A:$A,0)),0))</f>
        <v>0</v>
      </c>
      <c r="W1069" s="26" t="n">
        <f aca="false">IF($U1069=0,0,IF(IFERROR(INDEX(VAT_Codes!$F:$F,MATCH($N1069,VAT_Codes!$A:$A,0)),"N")="Y",$U1069,IF($L1069&lt;&gt;"",ROUND(ABS($L1069)/IF(OR($R1069="",$R1069=0),1,$R1069),2)*SIGN($U1069),ROUND($U1069*$V1069,2))))</f>
        <v>0</v>
      </c>
      <c r="X1069" s="24" t="str">
        <f aca="false">IF($N1069="","",IFERROR(INDEX(VAT_Codes!$H:$H,MATCH($N1069,VAT_Codes!$A:$A,0)),"")&amp;"")</f>
        <v/>
      </c>
      <c r="Y1069" s="24" t="str">
        <f aca="false">IF($A1069="","",(YEAR($A1069)-YEAR(Settings!$C$8))*12+MONTH($A1069)-MONTH(Settings!$C$8)+1)</f>
        <v/>
      </c>
      <c r="Z1069" s="24" t="str">
        <f aca="false">IF(AND($C1069="",$I1069="",$J1069=""),"",IF($N1069="","NO VAT CODE",IF($T1069="","UNKNOWN VAT CODE",IF($S1069="","MISSING FX RATE",IF(OR($A1069&lt;Settings!$C$8,$A1069&gt;Settings!$C$9),"OUTSIDE PERIOD",IF(AND(IFERROR(INDEX(VAT_Codes!$E:$E,MATCH($N1069,VAT_Codes!$A:$A,0)),"ANY")&lt;&gt;"ANY",$P1069=""),"MISSING COUNTERPARTY COUNTRY",IF(AND(IFERROR(INDEX(VAT_Codes!$E:$E,MATCH($N1069,VAT_Codes!$A:$A,0)),"ANY")&lt;&gt;"ANY",$P1069&lt;&gt;IFERROR(INDEX(VAT_Codes!$E:$E,MATCH($N1069,VAT_Codes!$A:$A,0)),"ANY")),"REGION MISMATCH","OK")))))))</f>
        <v/>
      </c>
    </row>
    <row r="1070" customFormat="false" ht="15" hidden="false" customHeight="false" outlineLevel="0" collapsed="false">
      <c r="M1070" s="24" t="str">
        <f aca="false">IF($C1070="","",IFERROR(INDEX(Account_Mapping!$C:$C,MATCH($C1070&amp;"",Account_Mapping!$A:$A,0))&amp;"",""))</f>
        <v/>
      </c>
      <c r="N1070" s="24" t="str">
        <f aca="false">IF($K1070&lt;&gt;"",$K1070,$M1070)</f>
        <v/>
      </c>
      <c r="O1070" s="24" t="str">
        <f aca="false">IF($F1070="","",IFERROR(INDEX(Counterparties!$C:$C,MATCH($F1070&amp;"",Counterparties!$A:$A,0))&amp;"",""))</f>
        <v/>
      </c>
      <c r="P1070" s="24" t="str">
        <f aca="false">IF($O1070="","",IF($O1070="CY","CY",IF(ISNUMBER(MATCH($O1070,Lists!$A:$A,0)),"EU","3RD")))</f>
        <v/>
      </c>
      <c r="Q1070" s="24" t="str">
        <f aca="false">IF($F1070="","N",IFERROR(IF(INDEX(Counterparties!$E:$E,MATCH($F1070&amp;"",Counterparties!$A:$A,0))="Y","Y","N"),"N"))</f>
        <v>N</v>
      </c>
      <c r="R1070" s="25" t="n">
        <f aca="false">IF(OR($H1070="",$H1070="EUR"),1,IFERROR(INDEX(FX_Rates!$D:$D,MATCH($H1070,FX_Rates!$A:$A,0)),""))</f>
        <v>1</v>
      </c>
      <c r="S1070" s="26" t="str">
        <f aca="false">IF(AND($I1070="",$J1070=""),"",IF($J1070&lt;&gt;"",$J1070,IF(OR($R1070="",$R1070=0),"",ROUND($I1070/$R1070,2))))</f>
        <v/>
      </c>
      <c r="T1070" s="24" t="str">
        <f aca="false">IF($N1070="","",IFERROR(INDEX(VAT_Codes!$C:$C,MATCH($N1070,VAT_Codes!$A:$A,0)),"")&amp;"")</f>
        <v/>
      </c>
      <c r="U1070" s="26" t="n">
        <f aca="false">IF(OR($S1070="",$T1070="",$T1070="None"),0,IF($T1070="Output",-$S1070,$S1070))</f>
        <v>0</v>
      </c>
      <c r="V1070" s="27" t="n">
        <f aca="false">IF($N1070="",0,IFERROR(INDEX(VAT_Codes!$D:$D,MATCH($N1070,VAT_Codes!$A:$A,0)),0))</f>
        <v>0</v>
      </c>
      <c r="W1070" s="26" t="n">
        <f aca="false">IF($U1070=0,0,IF(IFERROR(INDEX(VAT_Codes!$F:$F,MATCH($N1070,VAT_Codes!$A:$A,0)),"N")="Y",$U1070,IF($L1070&lt;&gt;"",ROUND(ABS($L1070)/IF(OR($R1070="",$R1070=0),1,$R1070),2)*SIGN($U1070),ROUND($U1070*$V1070,2))))</f>
        <v>0</v>
      </c>
      <c r="X1070" s="24" t="str">
        <f aca="false">IF($N1070="","",IFERROR(INDEX(VAT_Codes!$H:$H,MATCH($N1070,VAT_Codes!$A:$A,0)),"")&amp;"")</f>
        <v/>
      </c>
      <c r="Y1070" s="24" t="str">
        <f aca="false">IF($A1070="","",(YEAR($A1070)-YEAR(Settings!$C$8))*12+MONTH($A1070)-MONTH(Settings!$C$8)+1)</f>
        <v/>
      </c>
      <c r="Z1070" s="24" t="str">
        <f aca="false">IF(AND($C1070="",$I1070="",$J1070=""),"",IF($N1070="","NO VAT CODE",IF($T1070="","UNKNOWN VAT CODE",IF($S1070="","MISSING FX RATE",IF(OR($A1070&lt;Settings!$C$8,$A1070&gt;Settings!$C$9),"OUTSIDE PERIOD",IF(AND(IFERROR(INDEX(VAT_Codes!$E:$E,MATCH($N1070,VAT_Codes!$A:$A,0)),"ANY")&lt;&gt;"ANY",$P1070=""),"MISSING COUNTERPARTY COUNTRY",IF(AND(IFERROR(INDEX(VAT_Codes!$E:$E,MATCH($N1070,VAT_Codes!$A:$A,0)),"ANY")&lt;&gt;"ANY",$P1070&lt;&gt;IFERROR(INDEX(VAT_Codes!$E:$E,MATCH($N1070,VAT_Codes!$A:$A,0)),"ANY")),"REGION MISMATCH","OK")))))))</f>
        <v/>
      </c>
    </row>
    <row r="1071" customFormat="false" ht="15" hidden="false" customHeight="false" outlineLevel="0" collapsed="false">
      <c r="M1071" s="24" t="str">
        <f aca="false">IF($C1071="","",IFERROR(INDEX(Account_Mapping!$C:$C,MATCH($C1071&amp;"",Account_Mapping!$A:$A,0))&amp;"",""))</f>
        <v/>
      </c>
      <c r="N1071" s="24" t="str">
        <f aca="false">IF($K1071&lt;&gt;"",$K1071,$M1071)</f>
        <v/>
      </c>
      <c r="O1071" s="24" t="str">
        <f aca="false">IF($F1071="","",IFERROR(INDEX(Counterparties!$C:$C,MATCH($F1071&amp;"",Counterparties!$A:$A,0))&amp;"",""))</f>
        <v/>
      </c>
      <c r="P1071" s="24" t="str">
        <f aca="false">IF($O1071="","",IF($O1071="CY","CY",IF(ISNUMBER(MATCH($O1071,Lists!$A:$A,0)),"EU","3RD")))</f>
        <v/>
      </c>
      <c r="Q1071" s="24" t="str">
        <f aca="false">IF($F1071="","N",IFERROR(IF(INDEX(Counterparties!$E:$E,MATCH($F1071&amp;"",Counterparties!$A:$A,0))="Y","Y","N"),"N"))</f>
        <v>N</v>
      </c>
      <c r="R1071" s="25" t="n">
        <f aca="false">IF(OR($H1071="",$H1071="EUR"),1,IFERROR(INDEX(FX_Rates!$D:$D,MATCH($H1071,FX_Rates!$A:$A,0)),""))</f>
        <v>1</v>
      </c>
      <c r="S1071" s="26" t="str">
        <f aca="false">IF(AND($I1071="",$J1071=""),"",IF($J1071&lt;&gt;"",$J1071,IF(OR($R1071="",$R1071=0),"",ROUND($I1071/$R1071,2))))</f>
        <v/>
      </c>
      <c r="T1071" s="24" t="str">
        <f aca="false">IF($N1071="","",IFERROR(INDEX(VAT_Codes!$C:$C,MATCH($N1071,VAT_Codes!$A:$A,0)),"")&amp;"")</f>
        <v/>
      </c>
      <c r="U1071" s="26" t="n">
        <f aca="false">IF(OR($S1071="",$T1071="",$T1071="None"),0,IF($T1071="Output",-$S1071,$S1071))</f>
        <v>0</v>
      </c>
      <c r="V1071" s="27" t="n">
        <f aca="false">IF($N1071="",0,IFERROR(INDEX(VAT_Codes!$D:$D,MATCH($N1071,VAT_Codes!$A:$A,0)),0))</f>
        <v>0</v>
      </c>
      <c r="W1071" s="26" t="n">
        <f aca="false">IF($U1071=0,0,IF(IFERROR(INDEX(VAT_Codes!$F:$F,MATCH($N1071,VAT_Codes!$A:$A,0)),"N")="Y",$U1071,IF($L1071&lt;&gt;"",ROUND(ABS($L1071)/IF(OR($R1071="",$R1071=0),1,$R1071),2)*SIGN($U1071),ROUND($U1071*$V1071,2))))</f>
        <v>0</v>
      </c>
      <c r="X1071" s="24" t="str">
        <f aca="false">IF($N1071="","",IFERROR(INDEX(VAT_Codes!$H:$H,MATCH($N1071,VAT_Codes!$A:$A,0)),"")&amp;"")</f>
        <v/>
      </c>
      <c r="Y1071" s="24" t="str">
        <f aca="false">IF($A1071="","",(YEAR($A1071)-YEAR(Settings!$C$8))*12+MONTH($A1071)-MONTH(Settings!$C$8)+1)</f>
        <v/>
      </c>
      <c r="Z1071" s="24" t="str">
        <f aca="false">IF(AND($C1071="",$I1071="",$J1071=""),"",IF($N1071="","NO VAT CODE",IF($T1071="","UNKNOWN VAT CODE",IF($S1071="","MISSING FX RATE",IF(OR($A1071&lt;Settings!$C$8,$A1071&gt;Settings!$C$9),"OUTSIDE PERIOD",IF(AND(IFERROR(INDEX(VAT_Codes!$E:$E,MATCH($N1071,VAT_Codes!$A:$A,0)),"ANY")&lt;&gt;"ANY",$P1071=""),"MISSING COUNTERPARTY COUNTRY",IF(AND(IFERROR(INDEX(VAT_Codes!$E:$E,MATCH($N1071,VAT_Codes!$A:$A,0)),"ANY")&lt;&gt;"ANY",$P1071&lt;&gt;IFERROR(INDEX(VAT_Codes!$E:$E,MATCH($N1071,VAT_Codes!$A:$A,0)),"ANY")),"REGION MISMATCH","OK")))))))</f>
        <v/>
      </c>
    </row>
    <row r="1072" customFormat="false" ht="15" hidden="false" customHeight="false" outlineLevel="0" collapsed="false">
      <c r="M1072" s="24" t="str">
        <f aca="false">IF($C1072="","",IFERROR(INDEX(Account_Mapping!$C:$C,MATCH($C1072&amp;"",Account_Mapping!$A:$A,0))&amp;"",""))</f>
        <v/>
      </c>
      <c r="N1072" s="24" t="str">
        <f aca="false">IF($K1072&lt;&gt;"",$K1072,$M1072)</f>
        <v/>
      </c>
      <c r="O1072" s="24" t="str">
        <f aca="false">IF($F1072="","",IFERROR(INDEX(Counterparties!$C:$C,MATCH($F1072&amp;"",Counterparties!$A:$A,0))&amp;"",""))</f>
        <v/>
      </c>
      <c r="P1072" s="24" t="str">
        <f aca="false">IF($O1072="","",IF($O1072="CY","CY",IF(ISNUMBER(MATCH($O1072,Lists!$A:$A,0)),"EU","3RD")))</f>
        <v/>
      </c>
      <c r="Q1072" s="24" t="str">
        <f aca="false">IF($F1072="","N",IFERROR(IF(INDEX(Counterparties!$E:$E,MATCH($F1072&amp;"",Counterparties!$A:$A,0))="Y","Y","N"),"N"))</f>
        <v>N</v>
      </c>
      <c r="R1072" s="25" t="n">
        <f aca="false">IF(OR($H1072="",$H1072="EUR"),1,IFERROR(INDEX(FX_Rates!$D:$D,MATCH($H1072,FX_Rates!$A:$A,0)),""))</f>
        <v>1</v>
      </c>
      <c r="S1072" s="26" t="str">
        <f aca="false">IF(AND($I1072="",$J1072=""),"",IF($J1072&lt;&gt;"",$J1072,IF(OR($R1072="",$R1072=0),"",ROUND($I1072/$R1072,2))))</f>
        <v/>
      </c>
      <c r="T1072" s="24" t="str">
        <f aca="false">IF($N1072="","",IFERROR(INDEX(VAT_Codes!$C:$C,MATCH($N1072,VAT_Codes!$A:$A,0)),"")&amp;"")</f>
        <v/>
      </c>
      <c r="U1072" s="26" t="n">
        <f aca="false">IF(OR($S1072="",$T1072="",$T1072="None"),0,IF($T1072="Output",-$S1072,$S1072))</f>
        <v>0</v>
      </c>
      <c r="V1072" s="27" t="n">
        <f aca="false">IF($N1072="",0,IFERROR(INDEX(VAT_Codes!$D:$D,MATCH($N1072,VAT_Codes!$A:$A,0)),0))</f>
        <v>0</v>
      </c>
      <c r="W1072" s="26" t="n">
        <f aca="false">IF($U1072=0,0,IF(IFERROR(INDEX(VAT_Codes!$F:$F,MATCH($N1072,VAT_Codes!$A:$A,0)),"N")="Y",$U1072,IF($L1072&lt;&gt;"",ROUND(ABS($L1072)/IF(OR($R1072="",$R1072=0),1,$R1072),2)*SIGN($U1072),ROUND($U1072*$V1072,2))))</f>
        <v>0</v>
      </c>
      <c r="X1072" s="24" t="str">
        <f aca="false">IF($N1072="","",IFERROR(INDEX(VAT_Codes!$H:$H,MATCH($N1072,VAT_Codes!$A:$A,0)),"")&amp;"")</f>
        <v/>
      </c>
      <c r="Y1072" s="24" t="str">
        <f aca="false">IF($A1072="","",(YEAR($A1072)-YEAR(Settings!$C$8))*12+MONTH($A1072)-MONTH(Settings!$C$8)+1)</f>
        <v/>
      </c>
      <c r="Z1072" s="24" t="str">
        <f aca="false">IF(AND($C1072="",$I1072="",$J1072=""),"",IF($N1072="","NO VAT CODE",IF($T1072="","UNKNOWN VAT CODE",IF($S1072="","MISSING FX RATE",IF(OR($A1072&lt;Settings!$C$8,$A1072&gt;Settings!$C$9),"OUTSIDE PERIOD",IF(AND(IFERROR(INDEX(VAT_Codes!$E:$E,MATCH($N1072,VAT_Codes!$A:$A,0)),"ANY")&lt;&gt;"ANY",$P1072=""),"MISSING COUNTERPARTY COUNTRY",IF(AND(IFERROR(INDEX(VAT_Codes!$E:$E,MATCH($N1072,VAT_Codes!$A:$A,0)),"ANY")&lt;&gt;"ANY",$P1072&lt;&gt;IFERROR(INDEX(VAT_Codes!$E:$E,MATCH($N1072,VAT_Codes!$A:$A,0)),"ANY")),"REGION MISMATCH","OK")))))))</f>
        <v/>
      </c>
    </row>
    <row r="1073" customFormat="false" ht="15" hidden="false" customHeight="false" outlineLevel="0" collapsed="false">
      <c r="M1073" s="24" t="str">
        <f aca="false">IF($C1073="","",IFERROR(INDEX(Account_Mapping!$C:$C,MATCH($C1073&amp;"",Account_Mapping!$A:$A,0))&amp;"",""))</f>
        <v/>
      </c>
      <c r="N1073" s="24" t="str">
        <f aca="false">IF($K1073&lt;&gt;"",$K1073,$M1073)</f>
        <v/>
      </c>
      <c r="O1073" s="24" t="str">
        <f aca="false">IF($F1073="","",IFERROR(INDEX(Counterparties!$C:$C,MATCH($F1073&amp;"",Counterparties!$A:$A,0))&amp;"",""))</f>
        <v/>
      </c>
      <c r="P1073" s="24" t="str">
        <f aca="false">IF($O1073="","",IF($O1073="CY","CY",IF(ISNUMBER(MATCH($O1073,Lists!$A:$A,0)),"EU","3RD")))</f>
        <v/>
      </c>
      <c r="Q1073" s="24" t="str">
        <f aca="false">IF($F1073="","N",IFERROR(IF(INDEX(Counterparties!$E:$E,MATCH($F1073&amp;"",Counterparties!$A:$A,0))="Y","Y","N"),"N"))</f>
        <v>N</v>
      </c>
      <c r="R1073" s="25" t="n">
        <f aca="false">IF(OR($H1073="",$H1073="EUR"),1,IFERROR(INDEX(FX_Rates!$D:$D,MATCH($H1073,FX_Rates!$A:$A,0)),""))</f>
        <v>1</v>
      </c>
      <c r="S1073" s="26" t="str">
        <f aca="false">IF(AND($I1073="",$J1073=""),"",IF($J1073&lt;&gt;"",$J1073,IF(OR($R1073="",$R1073=0),"",ROUND($I1073/$R1073,2))))</f>
        <v/>
      </c>
      <c r="T1073" s="24" t="str">
        <f aca="false">IF($N1073="","",IFERROR(INDEX(VAT_Codes!$C:$C,MATCH($N1073,VAT_Codes!$A:$A,0)),"")&amp;"")</f>
        <v/>
      </c>
      <c r="U1073" s="26" t="n">
        <f aca="false">IF(OR($S1073="",$T1073="",$T1073="None"),0,IF($T1073="Output",-$S1073,$S1073))</f>
        <v>0</v>
      </c>
      <c r="V1073" s="27" t="n">
        <f aca="false">IF($N1073="",0,IFERROR(INDEX(VAT_Codes!$D:$D,MATCH($N1073,VAT_Codes!$A:$A,0)),0))</f>
        <v>0</v>
      </c>
      <c r="W1073" s="26" t="n">
        <f aca="false">IF($U1073=0,0,IF(IFERROR(INDEX(VAT_Codes!$F:$F,MATCH($N1073,VAT_Codes!$A:$A,0)),"N")="Y",$U1073,IF($L1073&lt;&gt;"",ROUND(ABS($L1073)/IF(OR($R1073="",$R1073=0),1,$R1073),2)*SIGN($U1073),ROUND($U1073*$V1073,2))))</f>
        <v>0</v>
      </c>
      <c r="X1073" s="24" t="str">
        <f aca="false">IF($N1073="","",IFERROR(INDEX(VAT_Codes!$H:$H,MATCH($N1073,VAT_Codes!$A:$A,0)),"")&amp;"")</f>
        <v/>
      </c>
      <c r="Y1073" s="24" t="str">
        <f aca="false">IF($A1073="","",(YEAR($A1073)-YEAR(Settings!$C$8))*12+MONTH($A1073)-MONTH(Settings!$C$8)+1)</f>
        <v/>
      </c>
      <c r="Z1073" s="24" t="str">
        <f aca="false">IF(AND($C1073="",$I1073="",$J1073=""),"",IF($N1073="","NO VAT CODE",IF($T1073="","UNKNOWN VAT CODE",IF($S1073="","MISSING FX RATE",IF(OR($A1073&lt;Settings!$C$8,$A1073&gt;Settings!$C$9),"OUTSIDE PERIOD",IF(AND(IFERROR(INDEX(VAT_Codes!$E:$E,MATCH($N1073,VAT_Codes!$A:$A,0)),"ANY")&lt;&gt;"ANY",$P1073=""),"MISSING COUNTERPARTY COUNTRY",IF(AND(IFERROR(INDEX(VAT_Codes!$E:$E,MATCH($N1073,VAT_Codes!$A:$A,0)),"ANY")&lt;&gt;"ANY",$P1073&lt;&gt;IFERROR(INDEX(VAT_Codes!$E:$E,MATCH($N1073,VAT_Codes!$A:$A,0)),"ANY")),"REGION MISMATCH","OK")))))))</f>
        <v/>
      </c>
    </row>
    <row r="1074" customFormat="false" ht="15" hidden="false" customHeight="false" outlineLevel="0" collapsed="false">
      <c r="M1074" s="24" t="str">
        <f aca="false">IF($C1074="","",IFERROR(INDEX(Account_Mapping!$C:$C,MATCH($C1074&amp;"",Account_Mapping!$A:$A,0))&amp;"",""))</f>
        <v/>
      </c>
      <c r="N1074" s="24" t="str">
        <f aca="false">IF($K1074&lt;&gt;"",$K1074,$M1074)</f>
        <v/>
      </c>
      <c r="O1074" s="24" t="str">
        <f aca="false">IF($F1074="","",IFERROR(INDEX(Counterparties!$C:$C,MATCH($F1074&amp;"",Counterparties!$A:$A,0))&amp;"",""))</f>
        <v/>
      </c>
      <c r="P1074" s="24" t="str">
        <f aca="false">IF($O1074="","",IF($O1074="CY","CY",IF(ISNUMBER(MATCH($O1074,Lists!$A:$A,0)),"EU","3RD")))</f>
        <v/>
      </c>
      <c r="Q1074" s="24" t="str">
        <f aca="false">IF($F1074="","N",IFERROR(IF(INDEX(Counterparties!$E:$E,MATCH($F1074&amp;"",Counterparties!$A:$A,0))="Y","Y","N"),"N"))</f>
        <v>N</v>
      </c>
      <c r="R1074" s="25" t="n">
        <f aca="false">IF(OR($H1074="",$H1074="EUR"),1,IFERROR(INDEX(FX_Rates!$D:$D,MATCH($H1074,FX_Rates!$A:$A,0)),""))</f>
        <v>1</v>
      </c>
      <c r="S1074" s="26" t="str">
        <f aca="false">IF(AND($I1074="",$J1074=""),"",IF($J1074&lt;&gt;"",$J1074,IF(OR($R1074="",$R1074=0),"",ROUND($I1074/$R1074,2))))</f>
        <v/>
      </c>
      <c r="T1074" s="24" t="str">
        <f aca="false">IF($N1074="","",IFERROR(INDEX(VAT_Codes!$C:$C,MATCH($N1074,VAT_Codes!$A:$A,0)),"")&amp;"")</f>
        <v/>
      </c>
      <c r="U1074" s="26" t="n">
        <f aca="false">IF(OR($S1074="",$T1074="",$T1074="None"),0,IF($T1074="Output",-$S1074,$S1074))</f>
        <v>0</v>
      </c>
      <c r="V1074" s="27" t="n">
        <f aca="false">IF($N1074="",0,IFERROR(INDEX(VAT_Codes!$D:$D,MATCH($N1074,VAT_Codes!$A:$A,0)),0))</f>
        <v>0</v>
      </c>
      <c r="W1074" s="26" t="n">
        <f aca="false">IF($U1074=0,0,IF(IFERROR(INDEX(VAT_Codes!$F:$F,MATCH($N1074,VAT_Codes!$A:$A,0)),"N")="Y",$U1074,IF($L1074&lt;&gt;"",ROUND(ABS($L1074)/IF(OR($R1074="",$R1074=0),1,$R1074),2)*SIGN($U1074),ROUND($U1074*$V1074,2))))</f>
        <v>0</v>
      </c>
      <c r="X1074" s="24" t="str">
        <f aca="false">IF($N1074="","",IFERROR(INDEX(VAT_Codes!$H:$H,MATCH($N1074,VAT_Codes!$A:$A,0)),"")&amp;"")</f>
        <v/>
      </c>
      <c r="Y1074" s="24" t="str">
        <f aca="false">IF($A1074="","",(YEAR($A1074)-YEAR(Settings!$C$8))*12+MONTH($A1074)-MONTH(Settings!$C$8)+1)</f>
        <v/>
      </c>
      <c r="Z1074" s="24" t="str">
        <f aca="false">IF(AND($C1074="",$I1074="",$J1074=""),"",IF($N1074="","NO VAT CODE",IF($T1074="","UNKNOWN VAT CODE",IF($S1074="","MISSING FX RATE",IF(OR($A1074&lt;Settings!$C$8,$A1074&gt;Settings!$C$9),"OUTSIDE PERIOD",IF(AND(IFERROR(INDEX(VAT_Codes!$E:$E,MATCH($N1074,VAT_Codes!$A:$A,0)),"ANY")&lt;&gt;"ANY",$P1074=""),"MISSING COUNTERPARTY COUNTRY",IF(AND(IFERROR(INDEX(VAT_Codes!$E:$E,MATCH($N1074,VAT_Codes!$A:$A,0)),"ANY")&lt;&gt;"ANY",$P1074&lt;&gt;IFERROR(INDEX(VAT_Codes!$E:$E,MATCH($N1074,VAT_Codes!$A:$A,0)),"ANY")),"REGION MISMATCH","OK")))))))</f>
        <v/>
      </c>
    </row>
    <row r="1075" customFormat="false" ht="15" hidden="false" customHeight="false" outlineLevel="0" collapsed="false">
      <c r="M1075" s="24" t="str">
        <f aca="false">IF($C1075="","",IFERROR(INDEX(Account_Mapping!$C:$C,MATCH($C1075&amp;"",Account_Mapping!$A:$A,0))&amp;"",""))</f>
        <v/>
      </c>
      <c r="N1075" s="24" t="str">
        <f aca="false">IF($K1075&lt;&gt;"",$K1075,$M1075)</f>
        <v/>
      </c>
      <c r="O1075" s="24" t="str">
        <f aca="false">IF($F1075="","",IFERROR(INDEX(Counterparties!$C:$C,MATCH($F1075&amp;"",Counterparties!$A:$A,0))&amp;"",""))</f>
        <v/>
      </c>
      <c r="P1075" s="24" t="str">
        <f aca="false">IF($O1075="","",IF($O1075="CY","CY",IF(ISNUMBER(MATCH($O1075,Lists!$A:$A,0)),"EU","3RD")))</f>
        <v/>
      </c>
      <c r="Q1075" s="24" t="str">
        <f aca="false">IF($F1075="","N",IFERROR(IF(INDEX(Counterparties!$E:$E,MATCH($F1075&amp;"",Counterparties!$A:$A,0))="Y","Y","N"),"N"))</f>
        <v>N</v>
      </c>
      <c r="R1075" s="25" t="n">
        <f aca="false">IF(OR($H1075="",$H1075="EUR"),1,IFERROR(INDEX(FX_Rates!$D:$D,MATCH($H1075,FX_Rates!$A:$A,0)),""))</f>
        <v>1</v>
      </c>
      <c r="S1075" s="26" t="str">
        <f aca="false">IF(AND($I1075="",$J1075=""),"",IF($J1075&lt;&gt;"",$J1075,IF(OR($R1075="",$R1075=0),"",ROUND($I1075/$R1075,2))))</f>
        <v/>
      </c>
      <c r="T1075" s="24" t="str">
        <f aca="false">IF($N1075="","",IFERROR(INDEX(VAT_Codes!$C:$C,MATCH($N1075,VAT_Codes!$A:$A,0)),"")&amp;"")</f>
        <v/>
      </c>
      <c r="U1075" s="26" t="n">
        <f aca="false">IF(OR($S1075="",$T1075="",$T1075="None"),0,IF($T1075="Output",-$S1075,$S1075))</f>
        <v>0</v>
      </c>
      <c r="V1075" s="27" t="n">
        <f aca="false">IF($N1075="",0,IFERROR(INDEX(VAT_Codes!$D:$D,MATCH($N1075,VAT_Codes!$A:$A,0)),0))</f>
        <v>0</v>
      </c>
      <c r="W1075" s="26" t="n">
        <f aca="false">IF($U1075=0,0,IF(IFERROR(INDEX(VAT_Codes!$F:$F,MATCH($N1075,VAT_Codes!$A:$A,0)),"N")="Y",$U1075,IF($L1075&lt;&gt;"",ROUND(ABS($L1075)/IF(OR($R1075="",$R1075=0),1,$R1075),2)*SIGN($U1075),ROUND($U1075*$V1075,2))))</f>
        <v>0</v>
      </c>
      <c r="X1075" s="24" t="str">
        <f aca="false">IF($N1075="","",IFERROR(INDEX(VAT_Codes!$H:$H,MATCH($N1075,VAT_Codes!$A:$A,0)),"")&amp;"")</f>
        <v/>
      </c>
      <c r="Y1075" s="24" t="str">
        <f aca="false">IF($A1075="","",(YEAR($A1075)-YEAR(Settings!$C$8))*12+MONTH($A1075)-MONTH(Settings!$C$8)+1)</f>
        <v/>
      </c>
      <c r="Z1075" s="24" t="str">
        <f aca="false">IF(AND($C1075="",$I1075="",$J1075=""),"",IF($N1075="","NO VAT CODE",IF($T1075="","UNKNOWN VAT CODE",IF($S1075="","MISSING FX RATE",IF(OR($A1075&lt;Settings!$C$8,$A1075&gt;Settings!$C$9),"OUTSIDE PERIOD",IF(AND(IFERROR(INDEX(VAT_Codes!$E:$E,MATCH($N1075,VAT_Codes!$A:$A,0)),"ANY")&lt;&gt;"ANY",$P1075=""),"MISSING COUNTERPARTY COUNTRY",IF(AND(IFERROR(INDEX(VAT_Codes!$E:$E,MATCH($N1075,VAT_Codes!$A:$A,0)),"ANY")&lt;&gt;"ANY",$P1075&lt;&gt;IFERROR(INDEX(VAT_Codes!$E:$E,MATCH($N1075,VAT_Codes!$A:$A,0)),"ANY")),"REGION MISMATCH","OK")))))))</f>
        <v/>
      </c>
    </row>
    <row r="1076" customFormat="false" ht="15" hidden="false" customHeight="false" outlineLevel="0" collapsed="false">
      <c r="M1076" s="24" t="str">
        <f aca="false">IF($C1076="","",IFERROR(INDEX(Account_Mapping!$C:$C,MATCH($C1076&amp;"",Account_Mapping!$A:$A,0))&amp;"",""))</f>
        <v/>
      </c>
      <c r="N1076" s="24" t="str">
        <f aca="false">IF($K1076&lt;&gt;"",$K1076,$M1076)</f>
        <v/>
      </c>
      <c r="O1076" s="24" t="str">
        <f aca="false">IF($F1076="","",IFERROR(INDEX(Counterparties!$C:$C,MATCH($F1076&amp;"",Counterparties!$A:$A,0))&amp;"",""))</f>
        <v/>
      </c>
      <c r="P1076" s="24" t="str">
        <f aca="false">IF($O1076="","",IF($O1076="CY","CY",IF(ISNUMBER(MATCH($O1076,Lists!$A:$A,0)),"EU","3RD")))</f>
        <v/>
      </c>
      <c r="Q1076" s="24" t="str">
        <f aca="false">IF($F1076="","N",IFERROR(IF(INDEX(Counterparties!$E:$E,MATCH($F1076&amp;"",Counterparties!$A:$A,0))="Y","Y","N"),"N"))</f>
        <v>N</v>
      </c>
      <c r="R1076" s="25" t="n">
        <f aca="false">IF(OR($H1076="",$H1076="EUR"),1,IFERROR(INDEX(FX_Rates!$D:$D,MATCH($H1076,FX_Rates!$A:$A,0)),""))</f>
        <v>1</v>
      </c>
      <c r="S1076" s="26" t="str">
        <f aca="false">IF(AND($I1076="",$J1076=""),"",IF($J1076&lt;&gt;"",$J1076,IF(OR($R1076="",$R1076=0),"",ROUND($I1076/$R1076,2))))</f>
        <v/>
      </c>
      <c r="T1076" s="24" t="str">
        <f aca="false">IF($N1076="","",IFERROR(INDEX(VAT_Codes!$C:$C,MATCH($N1076,VAT_Codes!$A:$A,0)),"")&amp;"")</f>
        <v/>
      </c>
      <c r="U1076" s="26" t="n">
        <f aca="false">IF(OR($S1076="",$T1076="",$T1076="None"),0,IF($T1076="Output",-$S1076,$S1076))</f>
        <v>0</v>
      </c>
      <c r="V1076" s="27" t="n">
        <f aca="false">IF($N1076="",0,IFERROR(INDEX(VAT_Codes!$D:$D,MATCH($N1076,VAT_Codes!$A:$A,0)),0))</f>
        <v>0</v>
      </c>
      <c r="W1076" s="26" t="n">
        <f aca="false">IF($U1076=0,0,IF(IFERROR(INDEX(VAT_Codes!$F:$F,MATCH($N1076,VAT_Codes!$A:$A,0)),"N")="Y",$U1076,IF($L1076&lt;&gt;"",ROUND(ABS($L1076)/IF(OR($R1076="",$R1076=0),1,$R1076),2)*SIGN($U1076),ROUND($U1076*$V1076,2))))</f>
        <v>0</v>
      </c>
      <c r="X1076" s="24" t="str">
        <f aca="false">IF($N1076="","",IFERROR(INDEX(VAT_Codes!$H:$H,MATCH($N1076,VAT_Codes!$A:$A,0)),"")&amp;"")</f>
        <v/>
      </c>
      <c r="Y1076" s="24" t="str">
        <f aca="false">IF($A1076="","",(YEAR($A1076)-YEAR(Settings!$C$8))*12+MONTH($A1076)-MONTH(Settings!$C$8)+1)</f>
        <v/>
      </c>
      <c r="Z1076" s="24" t="str">
        <f aca="false">IF(AND($C1076="",$I1076="",$J1076=""),"",IF($N1076="","NO VAT CODE",IF($T1076="","UNKNOWN VAT CODE",IF($S1076="","MISSING FX RATE",IF(OR($A1076&lt;Settings!$C$8,$A1076&gt;Settings!$C$9),"OUTSIDE PERIOD",IF(AND(IFERROR(INDEX(VAT_Codes!$E:$E,MATCH($N1076,VAT_Codes!$A:$A,0)),"ANY")&lt;&gt;"ANY",$P1076=""),"MISSING COUNTERPARTY COUNTRY",IF(AND(IFERROR(INDEX(VAT_Codes!$E:$E,MATCH($N1076,VAT_Codes!$A:$A,0)),"ANY")&lt;&gt;"ANY",$P1076&lt;&gt;IFERROR(INDEX(VAT_Codes!$E:$E,MATCH($N1076,VAT_Codes!$A:$A,0)),"ANY")),"REGION MISMATCH","OK")))))))</f>
        <v/>
      </c>
    </row>
    <row r="1077" customFormat="false" ht="15" hidden="false" customHeight="false" outlineLevel="0" collapsed="false">
      <c r="M1077" s="24" t="str">
        <f aca="false">IF($C1077="","",IFERROR(INDEX(Account_Mapping!$C:$C,MATCH($C1077&amp;"",Account_Mapping!$A:$A,0))&amp;"",""))</f>
        <v/>
      </c>
      <c r="N1077" s="24" t="str">
        <f aca="false">IF($K1077&lt;&gt;"",$K1077,$M1077)</f>
        <v/>
      </c>
      <c r="O1077" s="24" t="str">
        <f aca="false">IF($F1077="","",IFERROR(INDEX(Counterparties!$C:$C,MATCH($F1077&amp;"",Counterparties!$A:$A,0))&amp;"",""))</f>
        <v/>
      </c>
      <c r="P1077" s="24" t="str">
        <f aca="false">IF($O1077="","",IF($O1077="CY","CY",IF(ISNUMBER(MATCH($O1077,Lists!$A:$A,0)),"EU","3RD")))</f>
        <v/>
      </c>
      <c r="Q1077" s="24" t="str">
        <f aca="false">IF($F1077="","N",IFERROR(IF(INDEX(Counterparties!$E:$E,MATCH($F1077&amp;"",Counterparties!$A:$A,0))="Y","Y","N"),"N"))</f>
        <v>N</v>
      </c>
      <c r="R1077" s="25" t="n">
        <f aca="false">IF(OR($H1077="",$H1077="EUR"),1,IFERROR(INDEX(FX_Rates!$D:$D,MATCH($H1077,FX_Rates!$A:$A,0)),""))</f>
        <v>1</v>
      </c>
      <c r="S1077" s="26" t="str">
        <f aca="false">IF(AND($I1077="",$J1077=""),"",IF($J1077&lt;&gt;"",$J1077,IF(OR($R1077="",$R1077=0),"",ROUND($I1077/$R1077,2))))</f>
        <v/>
      </c>
      <c r="T1077" s="24" t="str">
        <f aca="false">IF($N1077="","",IFERROR(INDEX(VAT_Codes!$C:$C,MATCH($N1077,VAT_Codes!$A:$A,0)),"")&amp;"")</f>
        <v/>
      </c>
      <c r="U1077" s="26" t="n">
        <f aca="false">IF(OR($S1077="",$T1077="",$T1077="None"),0,IF($T1077="Output",-$S1077,$S1077))</f>
        <v>0</v>
      </c>
      <c r="V1077" s="27" t="n">
        <f aca="false">IF($N1077="",0,IFERROR(INDEX(VAT_Codes!$D:$D,MATCH($N1077,VAT_Codes!$A:$A,0)),0))</f>
        <v>0</v>
      </c>
      <c r="W1077" s="26" t="n">
        <f aca="false">IF($U1077=0,0,IF(IFERROR(INDEX(VAT_Codes!$F:$F,MATCH($N1077,VAT_Codes!$A:$A,0)),"N")="Y",$U1077,IF($L1077&lt;&gt;"",ROUND(ABS($L1077)/IF(OR($R1077="",$R1077=0),1,$R1077),2)*SIGN($U1077),ROUND($U1077*$V1077,2))))</f>
        <v>0</v>
      </c>
      <c r="X1077" s="24" t="str">
        <f aca="false">IF($N1077="","",IFERROR(INDEX(VAT_Codes!$H:$H,MATCH($N1077,VAT_Codes!$A:$A,0)),"")&amp;"")</f>
        <v/>
      </c>
      <c r="Y1077" s="24" t="str">
        <f aca="false">IF($A1077="","",(YEAR($A1077)-YEAR(Settings!$C$8))*12+MONTH($A1077)-MONTH(Settings!$C$8)+1)</f>
        <v/>
      </c>
      <c r="Z1077" s="24" t="str">
        <f aca="false">IF(AND($C1077="",$I1077="",$J1077=""),"",IF($N1077="","NO VAT CODE",IF($T1077="","UNKNOWN VAT CODE",IF($S1077="","MISSING FX RATE",IF(OR($A1077&lt;Settings!$C$8,$A1077&gt;Settings!$C$9),"OUTSIDE PERIOD",IF(AND(IFERROR(INDEX(VAT_Codes!$E:$E,MATCH($N1077,VAT_Codes!$A:$A,0)),"ANY")&lt;&gt;"ANY",$P1077=""),"MISSING COUNTERPARTY COUNTRY",IF(AND(IFERROR(INDEX(VAT_Codes!$E:$E,MATCH($N1077,VAT_Codes!$A:$A,0)),"ANY")&lt;&gt;"ANY",$P1077&lt;&gt;IFERROR(INDEX(VAT_Codes!$E:$E,MATCH($N1077,VAT_Codes!$A:$A,0)),"ANY")),"REGION MISMATCH","OK")))))))</f>
        <v/>
      </c>
    </row>
    <row r="1078" customFormat="false" ht="15" hidden="false" customHeight="false" outlineLevel="0" collapsed="false">
      <c r="M1078" s="24" t="str">
        <f aca="false">IF($C1078="","",IFERROR(INDEX(Account_Mapping!$C:$C,MATCH($C1078&amp;"",Account_Mapping!$A:$A,0))&amp;"",""))</f>
        <v/>
      </c>
      <c r="N1078" s="24" t="str">
        <f aca="false">IF($K1078&lt;&gt;"",$K1078,$M1078)</f>
        <v/>
      </c>
      <c r="O1078" s="24" t="str">
        <f aca="false">IF($F1078="","",IFERROR(INDEX(Counterparties!$C:$C,MATCH($F1078&amp;"",Counterparties!$A:$A,0))&amp;"",""))</f>
        <v/>
      </c>
      <c r="P1078" s="24" t="str">
        <f aca="false">IF($O1078="","",IF($O1078="CY","CY",IF(ISNUMBER(MATCH($O1078,Lists!$A:$A,0)),"EU","3RD")))</f>
        <v/>
      </c>
      <c r="Q1078" s="24" t="str">
        <f aca="false">IF($F1078="","N",IFERROR(IF(INDEX(Counterparties!$E:$E,MATCH($F1078&amp;"",Counterparties!$A:$A,0))="Y","Y","N"),"N"))</f>
        <v>N</v>
      </c>
      <c r="R1078" s="25" t="n">
        <f aca="false">IF(OR($H1078="",$H1078="EUR"),1,IFERROR(INDEX(FX_Rates!$D:$D,MATCH($H1078,FX_Rates!$A:$A,0)),""))</f>
        <v>1</v>
      </c>
      <c r="S1078" s="26" t="str">
        <f aca="false">IF(AND($I1078="",$J1078=""),"",IF($J1078&lt;&gt;"",$J1078,IF(OR($R1078="",$R1078=0),"",ROUND($I1078/$R1078,2))))</f>
        <v/>
      </c>
      <c r="T1078" s="24" t="str">
        <f aca="false">IF($N1078="","",IFERROR(INDEX(VAT_Codes!$C:$C,MATCH($N1078,VAT_Codes!$A:$A,0)),"")&amp;"")</f>
        <v/>
      </c>
      <c r="U1078" s="26" t="n">
        <f aca="false">IF(OR($S1078="",$T1078="",$T1078="None"),0,IF($T1078="Output",-$S1078,$S1078))</f>
        <v>0</v>
      </c>
      <c r="V1078" s="27" t="n">
        <f aca="false">IF($N1078="",0,IFERROR(INDEX(VAT_Codes!$D:$D,MATCH($N1078,VAT_Codes!$A:$A,0)),0))</f>
        <v>0</v>
      </c>
      <c r="W1078" s="26" t="n">
        <f aca="false">IF($U1078=0,0,IF(IFERROR(INDEX(VAT_Codes!$F:$F,MATCH($N1078,VAT_Codes!$A:$A,0)),"N")="Y",$U1078,IF($L1078&lt;&gt;"",ROUND(ABS($L1078)/IF(OR($R1078="",$R1078=0),1,$R1078),2)*SIGN($U1078),ROUND($U1078*$V1078,2))))</f>
        <v>0</v>
      </c>
      <c r="X1078" s="24" t="str">
        <f aca="false">IF($N1078="","",IFERROR(INDEX(VAT_Codes!$H:$H,MATCH($N1078,VAT_Codes!$A:$A,0)),"")&amp;"")</f>
        <v/>
      </c>
      <c r="Y1078" s="24" t="str">
        <f aca="false">IF($A1078="","",(YEAR($A1078)-YEAR(Settings!$C$8))*12+MONTH($A1078)-MONTH(Settings!$C$8)+1)</f>
        <v/>
      </c>
      <c r="Z1078" s="24" t="str">
        <f aca="false">IF(AND($C1078="",$I1078="",$J1078=""),"",IF($N1078="","NO VAT CODE",IF($T1078="","UNKNOWN VAT CODE",IF($S1078="","MISSING FX RATE",IF(OR($A1078&lt;Settings!$C$8,$A1078&gt;Settings!$C$9),"OUTSIDE PERIOD",IF(AND(IFERROR(INDEX(VAT_Codes!$E:$E,MATCH($N1078,VAT_Codes!$A:$A,0)),"ANY")&lt;&gt;"ANY",$P1078=""),"MISSING COUNTERPARTY COUNTRY",IF(AND(IFERROR(INDEX(VAT_Codes!$E:$E,MATCH($N1078,VAT_Codes!$A:$A,0)),"ANY")&lt;&gt;"ANY",$P1078&lt;&gt;IFERROR(INDEX(VAT_Codes!$E:$E,MATCH($N1078,VAT_Codes!$A:$A,0)),"ANY")),"REGION MISMATCH","OK")))))))</f>
        <v/>
      </c>
    </row>
    <row r="1079" customFormat="false" ht="15" hidden="false" customHeight="false" outlineLevel="0" collapsed="false">
      <c r="M1079" s="24" t="str">
        <f aca="false">IF($C1079="","",IFERROR(INDEX(Account_Mapping!$C:$C,MATCH($C1079&amp;"",Account_Mapping!$A:$A,0))&amp;"",""))</f>
        <v/>
      </c>
      <c r="N1079" s="24" t="str">
        <f aca="false">IF($K1079&lt;&gt;"",$K1079,$M1079)</f>
        <v/>
      </c>
      <c r="O1079" s="24" t="str">
        <f aca="false">IF($F1079="","",IFERROR(INDEX(Counterparties!$C:$C,MATCH($F1079&amp;"",Counterparties!$A:$A,0))&amp;"",""))</f>
        <v/>
      </c>
      <c r="P1079" s="24" t="str">
        <f aca="false">IF($O1079="","",IF($O1079="CY","CY",IF(ISNUMBER(MATCH($O1079,Lists!$A:$A,0)),"EU","3RD")))</f>
        <v/>
      </c>
      <c r="Q1079" s="24" t="str">
        <f aca="false">IF($F1079="","N",IFERROR(IF(INDEX(Counterparties!$E:$E,MATCH($F1079&amp;"",Counterparties!$A:$A,0))="Y","Y","N"),"N"))</f>
        <v>N</v>
      </c>
      <c r="R1079" s="25" t="n">
        <f aca="false">IF(OR($H1079="",$H1079="EUR"),1,IFERROR(INDEX(FX_Rates!$D:$D,MATCH($H1079,FX_Rates!$A:$A,0)),""))</f>
        <v>1</v>
      </c>
      <c r="S1079" s="26" t="str">
        <f aca="false">IF(AND($I1079="",$J1079=""),"",IF($J1079&lt;&gt;"",$J1079,IF(OR($R1079="",$R1079=0),"",ROUND($I1079/$R1079,2))))</f>
        <v/>
      </c>
      <c r="T1079" s="24" t="str">
        <f aca="false">IF($N1079="","",IFERROR(INDEX(VAT_Codes!$C:$C,MATCH($N1079,VAT_Codes!$A:$A,0)),"")&amp;"")</f>
        <v/>
      </c>
      <c r="U1079" s="26" t="n">
        <f aca="false">IF(OR($S1079="",$T1079="",$T1079="None"),0,IF($T1079="Output",-$S1079,$S1079))</f>
        <v>0</v>
      </c>
      <c r="V1079" s="27" t="n">
        <f aca="false">IF($N1079="",0,IFERROR(INDEX(VAT_Codes!$D:$D,MATCH($N1079,VAT_Codes!$A:$A,0)),0))</f>
        <v>0</v>
      </c>
      <c r="W1079" s="26" t="n">
        <f aca="false">IF($U1079=0,0,IF(IFERROR(INDEX(VAT_Codes!$F:$F,MATCH($N1079,VAT_Codes!$A:$A,0)),"N")="Y",$U1079,IF($L1079&lt;&gt;"",ROUND(ABS($L1079)/IF(OR($R1079="",$R1079=0),1,$R1079),2)*SIGN($U1079),ROUND($U1079*$V1079,2))))</f>
        <v>0</v>
      </c>
      <c r="X1079" s="24" t="str">
        <f aca="false">IF($N1079="","",IFERROR(INDEX(VAT_Codes!$H:$H,MATCH($N1079,VAT_Codes!$A:$A,0)),"")&amp;"")</f>
        <v/>
      </c>
      <c r="Y1079" s="24" t="str">
        <f aca="false">IF($A1079="","",(YEAR($A1079)-YEAR(Settings!$C$8))*12+MONTH($A1079)-MONTH(Settings!$C$8)+1)</f>
        <v/>
      </c>
      <c r="Z1079" s="24" t="str">
        <f aca="false">IF(AND($C1079="",$I1079="",$J1079=""),"",IF($N1079="","NO VAT CODE",IF($T1079="","UNKNOWN VAT CODE",IF($S1079="","MISSING FX RATE",IF(OR($A1079&lt;Settings!$C$8,$A1079&gt;Settings!$C$9),"OUTSIDE PERIOD",IF(AND(IFERROR(INDEX(VAT_Codes!$E:$E,MATCH($N1079,VAT_Codes!$A:$A,0)),"ANY")&lt;&gt;"ANY",$P1079=""),"MISSING COUNTERPARTY COUNTRY",IF(AND(IFERROR(INDEX(VAT_Codes!$E:$E,MATCH($N1079,VAT_Codes!$A:$A,0)),"ANY")&lt;&gt;"ANY",$P1079&lt;&gt;IFERROR(INDEX(VAT_Codes!$E:$E,MATCH($N1079,VAT_Codes!$A:$A,0)),"ANY")),"REGION MISMATCH","OK")))))))</f>
        <v/>
      </c>
    </row>
    <row r="1080" customFormat="false" ht="15" hidden="false" customHeight="false" outlineLevel="0" collapsed="false">
      <c r="M1080" s="24" t="str">
        <f aca="false">IF($C1080="","",IFERROR(INDEX(Account_Mapping!$C:$C,MATCH($C1080&amp;"",Account_Mapping!$A:$A,0))&amp;"",""))</f>
        <v/>
      </c>
      <c r="N1080" s="24" t="str">
        <f aca="false">IF($K1080&lt;&gt;"",$K1080,$M1080)</f>
        <v/>
      </c>
      <c r="O1080" s="24" t="str">
        <f aca="false">IF($F1080="","",IFERROR(INDEX(Counterparties!$C:$C,MATCH($F1080&amp;"",Counterparties!$A:$A,0))&amp;"",""))</f>
        <v/>
      </c>
      <c r="P1080" s="24" t="str">
        <f aca="false">IF($O1080="","",IF($O1080="CY","CY",IF(ISNUMBER(MATCH($O1080,Lists!$A:$A,0)),"EU","3RD")))</f>
        <v/>
      </c>
      <c r="Q1080" s="24" t="str">
        <f aca="false">IF($F1080="","N",IFERROR(IF(INDEX(Counterparties!$E:$E,MATCH($F1080&amp;"",Counterparties!$A:$A,0))="Y","Y","N"),"N"))</f>
        <v>N</v>
      </c>
      <c r="R1080" s="25" t="n">
        <f aca="false">IF(OR($H1080="",$H1080="EUR"),1,IFERROR(INDEX(FX_Rates!$D:$D,MATCH($H1080,FX_Rates!$A:$A,0)),""))</f>
        <v>1</v>
      </c>
      <c r="S1080" s="26" t="str">
        <f aca="false">IF(AND($I1080="",$J1080=""),"",IF($J1080&lt;&gt;"",$J1080,IF(OR($R1080="",$R1080=0),"",ROUND($I1080/$R1080,2))))</f>
        <v/>
      </c>
      <c r="T1080" s="24" t="str">
        <f aca="false">IF($N1080="","",IFERROR(INDEX(VAT_Codes!$C:$C,MATCH($N1080,VAT_Codes!$A:$A,0)),"")&amp;"")</f>
        <v/>
      </c>
      <c r="U1080" s="26" t="n">
        <f aca="false">IF(OR($S1080="",$T1080="",$T1080="None"),0,IF($T1080="Output",-$S1080,$S1080))</f>
        <v>0</v>
      </c>
      <c r="V1080" s="27" t="n">
        <f aca="false">IF($N1080="",0,IFERROR(INDEX(VAT_Codes!$D:$D,MATCH($N1080,VAT_Codes!$A:$A,0)),0))</f>
        <v>0</v>
      </c>
      <c r="W1080" s="26" t="n">
        <f aca="false">IF($U1080=0,0,IF(IFERROR(INDEX(VAT_Codes!$F:$F,MATCH($N1080,VAT_Codes!$A:$A,0)),"N")="Y",$U1080,IF($L1080&lt;&gt;"",ROUND(ABS($L1080)/IF(OR($R1080="",$R1080=0),1,$R1080),2)*SIGN($U1080),ROUND($U1080*$V1080,2))))</f>
        <v>0</v>
      </c>
      <c r="X1080" s="24" t="str">
        <f aca="false">IF($N1080="","",IFERROR(INDEX(VAT_Codes!$H:$H,MATCH($N1080,VAT_Codes!$A:$A,0)),"")&amp;"")</f>
        <v/>
      </c>
      <c r="Y1080" s="24" t="str">
        <f aca="false">IF($A1080="","",(YEAR($A1080)-YEAR(Settings!$C$8))*12+MONTH($A1080)-MONTH(Settings!$C$8)+1)</f>
        <v/>
      </c>
      <c r="Z1080" s="24" t="str">
        <f aca="false">IF(AND($C1080="",$I1080="",$J1080=""),"",IF($N1080="","NO VAT CODE",IF($T1080="","UNKNOWN VAT CODE",IF($S1080="","MISSING FX RATE",IF(OR($A1080&lt;Settings!$C$8,$A1080&gt;Settings!$C$9),"OUTSIDE PERIOD",IF(AND(IFERROR(INDEX(VAT_Codes!$E:$E,MATCH($N1080,VAT_Codes!$A:$A,0)),"ANY")&lt;&gt;"ANY",$P1080=""),"MISSING COUNTERPARTY COUNTRY",IF(AND(IFERROR(INDEX(VAT_Codes!$E:$E,MATCH($N1080,VAT_Codes!$A:$A,0)),"ANY")&lt;&gt;"ANY",$P1080&lt;&gt;IFERROR(INDEX(VAT_Codes!$E:$E,MATCH($N1080,VAT_Codes!$A:$A,0)),"ANY")),"REGION MISMATCH","OK")))))))</f>
        <v/>
      </c>
    </row>
    <row r="1081" customFormat="false" ht="15" hidden="false" customHeight="false" outlineLevel="0" collapsed="false">
      <c r="M1081" s="24" t="str">
        <f aca="false">IF($C1081="","",IFERROR(INDEX(Account_Mapping!$C:$C,MATCH($C1081&amp;"",Account_Mapping!$A:$A,0))&amp;"",""))</f>
        <v/>
      </c>
      <c r="N1081" s="24" t="str">
        <f aca="false">IF($K1081&lt;&gt;"",$K1081,$M1081)</f>
        <v/>
      </c>
      <c r="O1081" s="24" t="str">
        <f aca="false">IF($F1081="","",IFERROR(INDEX(Counterparties!$C:$C,MATCH($F1081&amp;"",Counterparties!$A:$A,0))&amp;"",""))</f>
        <v/>
      </c>
      <c r="P1081" s="24" t="str">
        <f aca="false">IF($O1081="","",IF($O1081="CY","CY",IF(ISNUMBER(MATCH($O1081,Lists!$A:$A,0)),"EU","3RD")))</f>
        <v/>
      </c>
      <c r="Q1081" s="24" t="str">
        <f aca="false">IF($F1081="","N",IFERROR(IF(INDEX(Counterparties!$E:$E,MATCH($F1081&amp;"",Counterparties!$A:$A,0))="Y","Y","N"),"N"))</f>
        <v>N</v>
      </c>
      <c r="R1081" s="25" t="n">
        <f aca="false">IF(OR($H1081="",$H1081="EUR"),1,IFERROR(INDEX(FX_Rates!$D:$D,MATCH($H1081,FX_Rates!$A:$A,0)),""))</f>
        <v>1</v>
      </c>
      <c r="S1081" s="26" t="str">
        <f aca="false">IF(AND($I1081="",$J1081=""),"",IF($J1081&lt;&gt;"",$J1081,IF(OR($R1081="",$R1081=0),"",ROUND($I1081/$R1081,2))))</f>
        <v/>
      </c>
      <c r="T1081" s="24" t="str">
        <f aca="false">IF($N1081="","",IFERROR(INDEX(VAT_Codes!$C:$C,MATCH($N1081,VAT_Codes!$A:$A,0)),"")&amp;"")</f>
        <v/>
      </c>
      <c r="U1081" s="26" t="n">
        <f aca="false">IF(OR($S1081="",$T1081="",$T1081="None"),0,IF($T1081="Output",-$S1081,$S1081))</f>
        <v>0</v>
      </c>
      <c r="V1081" s="27" t="n">
        <f aca="false">IF($N1081="",0,IFERROR(INDEX(VAT_Codes!$D:$D,MATCH($N1081,VAT_Codes!$A:$A,0)),0))</f>
        <v>0</v>
      </c>
      <c r="W1081" s="26" t="n">
        <f aca="false">IF($U1081=0,0,IF(IFERROR(INDEX(VAT_Codes!$F:$F,MATCH($N1081,VAT_Codes!$A:$A,0)),"N")="Y",$U1081,IF($L1081&lt;&gt;"",ROUND(ABS($L1081)/IF(OR($R1081="",$R1081=0),1,$R1081),2)*SIGN($U1081),ROUND($U1081*$V1081,2))))</f>
        <v>0</v>
      </c>
      <c r="X1081" s="24" t="str">
        <f aca="false">IF($N1081="","",IFERROR(INDEX(VAT_Codes!$H:$H,MATCH($N1081,VAT_Codes!$A:$A,0)),"")&amp;"")</f>
        <v/>
      </c>
      <c r="Y1081" s="24" t="str">
        <f aca="false">IF($A1081="","",(YEAR($A1081)-YEAR(Settings!$C$8))*12+MONTH($A1081)-MONTH(Settings!$C$8)+1)</f>
        <v/>
      </c>
      <c r="Z1081" s="24" t="str">
        <f aca="false">IF(AND($C1081="",$I1081="",$J1081=""),"",IF($N1081="","NO VAT CODE",IF($T1081="","UNKNOWN VAT CODE",IF($S1081="","MISSING FX RATE",IF(OR($A1081&lt;Settings!$C$8,$A1081&gt;Settings!$C$9),"OUTSIDE PERIOD",IF(AND(IFERROR(INDEX(VAT_Codes!$E:$E,MATCH($N1081,VAT_Codes!$A:$A,0)),"ANY")&lt;&gt;"ANY",$P1081=""),"MISSING COUNTERPARTY COUNTRY",IF(AND(IFERROR(INDEX(VAT_Codes!$E:$E,MATCH($N1081,VAT_Codes!$A:$A,0)),"ANY")&lt;&gt;"ANY",$P1081&lt;&gt;IFERROR(INDEX(VAT_Codes!$E:$E,MATCH($N1081,VAT_Codes!$A:$A,0)),"ANY")),"REGION MISMATCH","OK")))))))</f>
        <v/>
      </c>
    </row>
    <row r="1082" customFormat="false" ht="15" hidden="false" customHeight="false" outlineLevel="0" collapsed="false">
      <c r="M1082" s="24" t="str">
        <f aca="false">IF($C1082="","",IFERROR(INDEX(Account_Mapping!$C:$C,MATCH($C1082&amp;"",Account_Mapping!$A:$A,0))&amp;"",""))</f>
        <v/>
      </c>
      <c r="N1082" s="24" t="str">
        <f aca="false">IF($K1082&lt;&gt;"",$K1082,$M1082)</f>
        <v/>
      </c>
      <c r="O1082" s="24" t="str">
        <f aca="false">IF($F1082="","",IFERROR(INDEX(Counterparties!$C:$C,MATCH($F1082&amp;"",Counterparties!$A:$A,0))&amp;"",""))</f>
        <v/>
      </c>
      <c r="P1082" s="24" t="str">
        <f aca="false">IF($O1082="","",IF($O1082="CY","CY",IF(ISNUMBER(MATCH($O1082,Lists!$A:$A,0)),"EU","3RD")))</f>
        <v/>
      </c>
      <c r="Q1082" s="24" t="str">
        <f aca="false">IF($F1082="","N",IFERROR(IF(INDEX(Counterparties!$E:$E,MATCH($F1082&amp;"",Counterparties!$A:$A,0))="Y","Y","N"),"N"))</f>
        <v>N</v>
      </c>
      <c r="R1082" s="25" t="n">
        <f aca="false">IF(OR($H1082="",$H1082="EUR"),1,IFERROR(INDEX(FX_Rates!$D:$D,MATCH($H1082,FX_Rates!$A:$A,0)),""))</f>
        <v>1</v>
      </c>
      <c r="S1082" s="26" t="str">
        <f aca="false">IF(AND($I1082="",$J1082=""),"",IF($J1082&lt;&gt;"",$J1082,IF(OR($R1082="",$R1082=0),"",ROUND($I1082/$R1082,2))))</f>
        <v/>
      </c>
      <c r="T1082" s="24" t="str">
        <f aca="false">IF($N1082="","",IFERROR(INDEX(VAT_Codes!$C:$C,MATCH($N1082,VAT_Codes!$A:$A,0)),"")&amp;"")</f>
        <v/>
      </c>
      <c r="U1082" s="26" t="n">
        <f aca="false">IF(OR($S1082="",$T1082="",$T1082="None"),0,IF($T1082="Output",-$S1082,$S1082))</f>
        <v>0</v>
      </c>
      <c r="V1082" s="27" t="n">
        <f aca="false">IF($N1082="",0,IFERROR(INDEX(VAT_Codes!$D:$D,MATCH($N1082,VAT_Codes!$A:$A,0)),0))</f>
        <v>0</v>
      </c>
      <c r="W1082" s="26" t="n">
        <f aca="false">IF($U1082=0,0,IF(IFERROR(INDEX(VAT_Codes!$F:$F,MATCH($N1082,VAT_Codes!$A:$A,0)),"N")="Y",$U1082,IF($L1082&lt;&gt;"",ROUND(ABS($L1082)/IF(OR($R1082="",$R1082=0),1,$R1082),2)*SIGN($U1082),ROUND($U1082*$V1082,2))))</f>
        <v>0</v>
      </c>
      <c r="X1082" s="24" t="str">
        <f aca="false">IF($N1082="","",IFERROR(INDEX(VAT_Codes!$H:$H,MATCH($N1082,VAT_Codes!$A:$A,0)),"")&amp;"")</f>
        <v/>
      </c>
      <c r="Y1082" s="24" t="str">
        <f aca="false">IF($A1082="","",(YEAR($A1082)-YEAR(Settings!$C$8))*12+MONTH($A1082)-MONTH(Settings!$C$8)+1)</f>
        <v/>
      </c>
      <c r="Z1082" s="24" t="str">
        <f aca="false">IF(AND($C1082="",$I1082="",$J1082=""),"",IF($N1082="","NO VAT CODE",IF($T1082="","UNKNOWN VAT CODE",IF($S1082="","MISSING FX RATE",IF(OR($A1082&lt;Settings!$C$8,$A1082&gt;Settings!$C$9),"OUTSIDE PERIOD",IF(AND(IFERROR(INDEX(VAT_Codes!$E:$E,MATCH($N1082,VAT_Codes!$A:$A,0)),"ANY")&lt;&gt;"ANY",$P1082=""),"MISSING COUNTERPARTY COUNTRY",IF(AND(IFERROR(INDEX(VAT_Codes!$E:$E,MATCH($N1082,VAT_Codes!$A:$A,0)),"ANY")&lt;&gt;"ANY",$P1082&lt;&gt;IFERROR(INDEX(VAT_Codes!$E:$E,MATCH($N1082,VAT_Codes!$A:$A,0)),"ANY")),"REGION MISMATCH","OK")))))))</f>
        <v/>
      </c>
    </row>
    <row r="1083" customFormat="false" ht="15" hidden="false" customHeight="false" outlineLevel="0" collapsed="false">
      <c r="M1083" s="24" t="str">
        <f aca="false">IF($C1083="","",IFERROR(INDEX(Account_Mapping!$C:$C,MATCH($C1083&amp;"",Account_Mapping!$A:$A,0))&amp;"",""))</f>
        <v/>
      </c>
      <c r="N1083" s="24" t="str">
        <f aca="false">IF($K1083&lt;&gt;"",$K1083,$M1083)</f>
        <v/>
      </c>
      <c r="O1083" s="24" t="str">
        <f aca="false">IF($F1083="","",IFERROR(INDEX(Counterparties!$C:$C,MATCH($F1083&amp;"",Counterparties!$A:$A,0))&amp;"",""))</f>
        <v/>
      </c>
      <c r="P1083" s="24" t="str">
        <f aca="false">IF($O1083="","",IF($O1083="CY","CY",IF(ISNUMBER(MATCH($O1083,Lists!$A:$A,0)),"EU","3RD")))</f>
        <v/>
      </c>
      <c r="Q1083" s="24" t="str">
        <f aca="false">IF($F1083="","N",IFERROR(IF(INDEX(Counterparties!$E:$E,MATCH($F1083&amp;"",Counterparties!$A:$A,0))="Y","Y","N"),"N"))</f>
        <v>N</v>
      </c>
      <c r="R1083" s="25" t="n">
        <f aca="false">IF(OR($H1083="",$H1083="EUR"),1,IFERROR(INDEX(FX_Rates!$D:$D,MATCH($H1083,FX_Rates!$A:$A,0)),""))</f>
        <v>1</v>
      </c>
      <c r="S1083" s="26" t="str">
        <f aca="false">IF(AND($I1083="",$J1083=""),"",IF($J1083&lt;&gt;"",$J1083,IF(OR($R1083="",$R1083=0),"",ROUND($I1083/$R1083,2))))</f>
        <v/>
      </c>
      <c r="T1083" s="24" t="str">
        <f aca="false">IF($N1083="","",IFERROR(INDEX(VAT_Codes!$C:$C,MATCH($N1083,VAT_Codes!$A:$A,0)),"")&amp;"")</f>
        <v/>
      </c>
      <c r="U1083" s="26" t="n">
        <f aca="false">IF(OR($S1083="",$T1083="",$T1083="None"),0,IF($T1083="Output",-$S1083,$S1083))</f>
        <v>0</v>
      </c>
      <c r="V1083" s="27" t="n">
        <f aca="false">IF($N1083="",0,IFERROR(INDEX(VAT_Codes!$D:$D,MATCH($N1083,VAT_Codes!$A:$A,0)),0))</f>
        <v>0</v>
      </c>
      <c r="W1083" s="26" t="n">
        <f aca="false">IF($U1083=0,0,IF(IFERROR(INDEX(VAT_Codes!$F:$F,MATCH($N1083,VAT_Codes!$A:$A,0)),"N")="Y",$U1083,IF($L1083&lt;&gt;"",ROUND(ABS($L1083)/IF(OR($R1083="",$R1083=0),1,$R1083),2)*SIGN($U1083),ROUND($U1083*$V1083,2))))</f>
        <v>0</v>
      </c>
      <c r="X1083" s="24" t="str">
        <f aca="false">IF($N1083="","",IFERROR(INDEX(VAT_Codes!$H:$H,MATCH($N1083,VAT_Codes!$A:$A,0)),"")&amp;"")</f>
        <v/>
      </c>
      <c r="Y1083" s="24" t="str">
        <f aca="false">IF($A1083="","",(YEAR($A1083)-YEAR(Settings!$C$8))*12+MONTH($A1083)-MONTH(Settings!$C$8)+1)</f>
        <v/>
      </c>
      <c r="Z1083" s="24" t="str">
        <f aca="false">IF(AND($C1083="",$I1083="",$J1083=""),"",IF($N1083="","NO VAT CODE",IF($T1083="","UNKNOWN VAT CODE",IF($S1083="","MISSING FX RATE",IF(OR($A1083&lt;Settings!$C$8,$A1083&gt;Settings!$C$9),"OUTSIDE PERIOD",IF(AND(IFERROR(INDEX(VAT_Codes!$E:$E,MATCH($N1083,VAT_Codes!$A:$A,0)),"ANY")&lt;&gt;"ANY",$P1083=""),"MISSING COUNTERPARTY COUNTRY",IF(AND(IFERROR(INDEX(VAT_Codes!$E:$E,MATCH($N1083,VAT_Codes!$A:$A,0)),"ANY")&lt;&gt;"ANY",$P1083&lt;&gt;IFERROR(INDEX(VAT_Codes!$E:$E,MATCH($N1083,VAT_Codes!$A:$A,0)),"ANY")),"REGION MISMATCH","OK")))))))</f>
        <v/>
      </c>
    </row>
    <row r="1084" customFormat="false" ht="15" hidden="false" customHeight="false" outlineLevel="0" collapsed="false">
      <c r="M1084" s="24" t="str">
        <f aca="false">IF($C1084="","",IFERROR(INDEX(Account_Mapping!$C:$C,MATCH($C1084&amp;"",Account_Mapping!$A:$A,0))&amp;"",""))</f>
        <v/>
      </c>
      <c r="N1084" s="24" t="str">
        <f aca="false">IF($K1084&lt;&gt;"",$K1084,$M1084)</f>
        <v/>
      </c>
      <c r="O1084" s="24" t="str">
        <f aca="false">IF($F1084="","",IFERROR(INDEX(Counterparties!$C:$C,MATCH($F1084&amp;"",Counterparties!$A:$A,0))&amp;"",""))</f>
        <v/>
      </c>
      <c r="P1084" s="24" t="str">
        <f aca="false">IF($O1084="","",IF($O1084="CY","CY",IF(ISNUMBER(MATCH($O1084,Lists!$A:$A,0)),"EU","3RD")))</f>
        <v/>
      </c>
      <c r="Q1084" s="24" t="str">
        <f aca="false">IF($F1084="","N",IFERROR(IF(INDEX(Counterparties!$E:$E,MATCH($F1084&amp;"",Counterparties!$A:$A,0))="Y","Y","N"),"N"))</f>
        <v>N</v>
      </c>
      <c r="R1084" s="25" t="n">
        <f aca="false">IF(OR($H1084="",$H1084="EUR"),1,IFERROR(INDEX(FX_Rates!$D:$D,MATCH($H1084,FX_Rates!$A:$A,0)),""))</f>
        <v>1</v>
      </c>
      <c r="S1084" s="26" t="str">
        <f aca="false">IF(AND($I1084="",$J1084=""),"",IF($J1084&lt;&gt;"",$J1084,IF(OR($R1084="",$R1084=0),"",ROUND($I1084/$R1084,2))))</f>
        <v/>
      </c>
      <c r="T1084" s="24" t="str">
        <f aca="false">IF($N1084="","",IFERROR(INDEX(VAT_Codes!$C:$C,MATCH($N1084,VAT_Codes!$A:$A,0)),"")&amp;"")</f>
        <v/>
      </c>
      <c r="U1084" s="26" t="n">
        <f aca="false">IF(OR($S1084="",$T1084="",$T1084="None"),0,IF($T1084="Output",-$S1084,$S1084))</f>
        <v>0</v>
      </c>
      <c r="V1084" s="27" t="n">
        <f aca="false">IF($N1084="",0,IFERROR(INDEX(VAT_Codes!$D:$D,MATCH($N1084,VAT_Codes!$A:$A,0)),0))</f>
        <v>0</v>
      </c>
      <c r="W1084" s="26" t="n">
        <f aca="false">IF($U1084=0,0,IF(IFERROR(INDEX(VAT_Codes!$F:$F,MATCH($N1084,VAT_Codes!$A:$A,0)),"N")="Y",$U1084,IF($L1084&lt;&gt;"",ROUND(ABS($L1084)/IF(OR($R1084="",$R1084=0),1,$R1084),2)*SIGN($U1084),ROUND($U1084*$V1084,2))))</f>
        <v>0</v>
      </c>
      <c r="X1084" s="24" t="str">
        <f aca="false">IF($N1084="","",IFERROR(INDEX(VAT_Codes!$H:$H,MATCH($N1084,VAT_Codes!$A:$A,0)),"")&amp;"")</f>
        <v/>
      </c>
      <c r="Y1084" s="24" t="str">
        <f aca="false">IF($A1084="","",(YEAR($A1084)-YEAR(Settings!$C$8))*12+MONTH($A1084)-MONTH(Settings!$C$8)+1)</f>
        <v/>
      </c>
      <c r="Z1084" s="24" t="str">
        <f aca="false">IF(AND($C1084="",$I1084="",$J1084=""),"",IF($N1084="","NO VAT CODE",IF($T1084="","UNKNOWN VAT CODE",IF($S1084="","MISSING FX RATE",IF(OR($A1084&lt;Settings!$C$8,$A1084&gt;Settings!$C$9),"OUTSIDE PERIOD",IF(AND(IFERROR(INDEX(VAT_Codes!$E:$E,MATCH($N1084,VAT_Codes!$A:$A,0)),"ANY")&lt;&gt;"ANY",$P1084=""),"MISSING COUNTERPARTY COUNTRY",IF(AND(IFERROR(INDEX(VAT_Codes!$E:$E,MATCH($N1084,VAT_Codes!$A:$A,0)),"ANY")&lt;&gt;"ANY",$P1084&lt;&gt;IFERROR(INDEX(VAT_Codes!$E:$E,MATCH($N1084,VAT_Codes!$A:$A,0)),"ANY")),"REGION MISMATCH","OK")))))))</f>
        <v/>
      </c>
    </row>
    <row r="1085" customFormat="false" ht="15" hidden="false" customHeight="false" outlineLevel="0" collapsed="false">
      <c r="M1085" s="24" t="str">
        <f aca="false">IF($C1085="","",IFERROR(INDEX(Account_Mapping!$C:$C,MATCH($C1085&amp;"",Account_Mapping!$A:$A,0))&amp;"",""))</f>
        <v/>
      </c>
      <c r="N1085" s="24" t="str">
        <f aca="false">IF($K1085&lt;&gt;"",$K1085,$M1085)</f>
        <v/>
      </c>
      <c r="O1085" s="24" t="str">
        <f aca="false">IF($F1085="","",IFERROR(INDEX(Counterparties!$C:$C,MATCH($F1085&amp;"",Counterparties!$A:$A,0))&amp;"",""))</f>
        <v/>
      </c>
      <c r="P1085" s="24" t="str">
        <f aca="false">IF($O1085="","",IF($O1085="CY","CY",IF(ISNUMBER(MATCH($O1085,Lists!$A:$A,0)),"EU","3RD")))</f>
        <v/>
      </c>
      <c r="Q1085" s="24" t="str">
        <f aca="false">IF($F1085="","N",IFERROR(IF(INDEX(Counterparties!$E:$E,MATCH($F1085&amp;"",Counterparties!$A:$A,0))="Y","Y","N"),"N"))</f>
        <v>N</v>
      </c>
      <c r="R1085" s="25" t="n">
        <f aca="false">IF(OR($H1085="",$H1085="EUR"),1,IFERROR(INDEX(FX_Rates!$D:$D,MATCH($H1085,FX_Rates!$A:$A,0)),""))</f>
        <v>1</v>
      </c>
      <c r="S1085" s="26" t="str">
        <f aca="false">IF(AND($I1085="",$J1085=""),"",IF($J1085&lt;&gt;"",$J1085,IF(OR($R1085="",$R1085=0),"",ROUND($I1085/$R1085,2))))</f>
        <v/>
      </c>
      <c r="T1085" s="24" t="str">
        <f aca="false">IF($N1085="","",IFERROR(INDEX(VAT_Codes!$C:$C,MATCH($N1085,VAT_Codes!$A:$A,0)),"")&amp;"")</f>
        <v/>
      </c>
      <c r="U1085" s="26" t="n">
        <f aca="false">IF(OR($S1085="",$T1085="",$T1085="None"),0,IF($T1085="Output",-$S1085,$S1085))</f>
        <v>0</v>
      </c>
      <c r="V1085" s="27" t="n">
        <f aca="false">IF($N1085="",0,IFERROR(INDEX(VAT_Codes!$D:$D,MATCH($N1085,VAT_Codes!$A:$A,0)),0))</f>
        <v>0</v>
      </c>
      <c r="W1085" s="26" t="n">
        <f aca="false">IF($U1085=0,0,IF(IFERROR(INDEX(VAT_Codes!$F:$F,MATCH($N1085,VAT_Codes!$A:$A,0)),"N")="Y",$U1085,IF($L1085&lt;&gt;"",ROUND(ABS($L1085)/IF(OR($R1085="",$R1085=0),1,$R1085),2)*SIGN($U1085),ROUND($U1085*$V1085,2))))</f>
        <v>0</v>
      </c>
      <c r="X1085" s="24" t="str">
        <f aca="false">IF($N1085="","",IFERROR(INDEX(VAT_Codes!$H:$H,MATCH($N1085,VAT_Codes!$A:$A,0)),"")&amp;"")</f>
        <v/>
      </c>
      <c r="Y1085" s="24" t="str">
        <f aca="false">IF($A1085="","",(YEAR($A1085)-YEAR(Settings!$C$8))*12+MONTH($A1085)-MONTH(Settings!$C$8)+1)</f>
        <v/>
      </c>
      <c r="Z1085" s="24" t="str">
        <f aca="false">IF(AND($C1085="",$I1085="",$J1085=""),"",IF($N1085="","NO VAT CODE",IF($T1085="","UNKNOWN VAT CODE",IF($S1085="","MISSING FX RATE",IF(OR($A1085&lt;Settings!$C$8,$A1085&gt;Settings!$C$9),"OUTSIDE PERIOD",IF(AND(IFERROR(INDEX(VAT_Codes!$E:$E,MATCH($N1085,VAT_Codes!$A:$A,0)),"ANY")&lt;&gt;"ANY",$P1085=""),"MISSING COUNTERPARTY COUNTRY",IF(AND(IFERROR(INDEX(VAT_Codes!$E:$E,MATCH($N1085,VAT_Codes!$A:$A,0)),"ANY")&lt;&gt;"ANY",$P1085&lt;&gt;IFERROR(INDEX(VAT_Codes!$E:$E,MATCH($N1085,VAT_Codes!$A:$A,0)),"ANY")),"REGION MISMATCH","OK")))))))</f>
        <v/>
      </c>
    </row>
    <row r="1086" customFormat="false" ht="15" hidden="false" customHeight="false" outlineLevel="0" collapsed="false">
      <c r="M1086" s="24" t="str">
        <f aca="false">IF($C1086="","",IFERROR(INDEX(Account_Mapping!$C:$C,MATCH($C1086&amp;"",Account_Mapping!$A:$A,0))&amp;"",""))</f>
        <v/>
      </c>
      <c r="N1086" s="24" t="str">
        <f aca="false">IF($K1086&lt;&gt;"",$K1086,$M1086)</f>
        <v/>
      </c>
      <c r="O1086" s="24" t="str">
        <f aca="false">IF($F1086="","",IFERROR(INDEX(Counterparties!$C:$C,MATCH($F1086&amp;"",Counterparties!$A:$A,0))&amp;"",""))</f>
        <v/>
      </c>
      <c r="P1086" s="24" t="str">
        <f aca="false">IF($O1086="","",IF($O1086="CY","CY",IF(ISNUMBER(MATCH($O1086,Lists!$A:$A,0)),"EU","3RD")))</f>
        <v/>
      </c>
      <c r="Q1086" s="24" t="str">
        <f aca="false">IF($F1086="","N",IFERROR(IF(INDEX(Counterparties!$E:$E,MATCH($F1086&amp;"",Counterparties!$A:$A,0))="Y","Y","N"),"N"))</f>
        <v>N</v>
      </c>
      <c r="R1086" s="25" t="n">
        <f aca="false">IF(OR($H1086="",$H1086="EUR"),1,IFERROR(INDEX(FX_Rates!$D:$D,MATCH($H1086,FX_Rates!$A:$A,0)),""))</f>
        <v>1</v>
      </c>
      <c r="S1086" s="26" t="str">
        <f aca="false">IF(AND($I1086="",$J1086=""),"",IF($J1086&lt;&gt;"",$J1086,IF(OR($R1086="",$R1086=0),"",ROUND($I1086/$R1086,2))))</f>
        <v/>
      </c>
      <c r="T1086" s="24" t="str">
        <f aca="false">IF($N1086="","",IFERROR(INDEX(VAT_Codes!$C:$C,MATCH($N1086,VAT_Codes!$A:$A,0)),"")&amp;"")</f>
        <v/>
      </c>
      <c r="U1086" s="26" t="n">
        <f aca="false">IF(OR($S1086="",$T1086="",$T1086="None"),0,IF($T1086="Output",-$S1086,$S1086))</f>
        <v>0</v>
      </c>
      <c r="V1086" s="27" t="n">
        <f aca="false">IF($N1086="",0,IFERROR(INDEX(VAT_Codes!$D:$D,MATCH($N1086,VAT_Codes!$A:$A,0)),0))</f>
        <v>0</v>
      </c>
      <c r="W1086" s="26" t="n">
        <f aca="false">IF($U1086=0,0,IF(IFERROR(INDEX(VAT_Codes!$F:$F,MATCH($N1086,VAT_Codes!$A:$A,0)),"N")="Y",$U1086,IF($L1086&lt;&gt;"",ROUND(ABS($L1086)/IF(OR($R1086="",$R1086=0),1,$R1086),2)*SIGN($U1086),ROUND($U1086*$V1086,2))))</f>
        <v>0</v>
      </c>
      <c r="X1086" s="24" t="str">
        <f aca="false">IF($N1086="","",IFERROR(INDEX(VAT_Codes!$H:$H,MATCH($N1086,VAT_Codes!$A:$A,0)),"")&amp;"")</f>
        <v/>
      </c>
      <c r="Y1086" s="24" t="str">
        <f aca="false">IF($A1086="","",(YEAR($A1086)-YEAR(Settings!$C$8))*12+MONTH($A1086)-MONTH(Settings!$C$8)+1)</f>
        <v/>
      </c>
      <c r="Z1086" s="24" t="str">
        <f aca="false">IF(AND($C1086="",$I1086="",$J1086=""),"",IF($N1086="","NO VAT CODE",IF($T1086="","UNKNOWN VAT CODE",IF($S1086="","MISSING FX RATE",IF(OR($A1086&lt;Settings!$C$8,$A1086&gt;Settings!$C$9),"OUTSIDE PERIOD",IF(AND(IFERROR(INDEX(VAT_Codes!$E:$E,MATCH($N1086,VAT_Codes!$A:$A,0)),"ANY")&lt;&gt;"ANY",$P1086=""),"MISSING COUNTERPARTY COUNTRY",IF(AND(IFERROR(INDEX(VAT_Codes!$E:$E,MATCH($N1086,VAT_Codes!$A:$A,0)),"ANY")&lt;&gt;"ANY",$P1086&lt;&gt;IFERROR(INDEX(VAT_Codes!$E:$E,MATCH($N1086,VAT_Codes!$A:$A,0)),"ANY")),"REGION MISMATCH","OK")))))))</f>
        <v/>
      </c>
    </row>
    <row r="1087" customFormat="false" ht="15" hidden="false" customHeight="false" outlineLevel="0" collapsed="false">
      <c r="M1087" s="24" t="str">
        <f aca="false">IF($C1087="","",IFERROR(INDEX(Account_Mapping!$C:$C,MATCH($C1087&amp;"",Account_Mapping!$A:$A,0))&amp;"",""))</f>
        <v/>
      </c>
      <c r="N1087" s="24" t="str">
        <f aca="false">IF($K1087&lt;&gt;"",$K1087,$M1087)</f>
        <v/>
      </c>
      <c r="O1087" s="24" t="str">
        <f aca="false">IF($F1087="","",IFERROR(INDEX(Counterparties!$C:$C,MATCH($F1087&amp;"",Counterparties!$A:$A,0))&amp;"",""))</f>
        <v/>
      </c>
      <c r="P1087" s="24" t="str">
        <f aca="false">IF($O1087="","",IF($O1087="CY","CY",IF(ISNUMBER(MATCH($O1087,Lists!$A:$A,0)),"EU","3RD")))</f>
        <v/>
      </c>
      <c r="Q1087" s="24" t="str">
        <f aca="false">IF($F1087="","N",IFERROR(IF(INDEX(Counterparties!$E:$E,MATCH($F1087&amp;"",Counterparties!$A:$A,0))="Y","Y","N"),"N"))</f>
        <v>N</v>
      </c>
      <c r="R1087" s="25" t="n">
        <f aca="false">IF(OR($H1087="",$H1087="EUR"),1,IFERROR(INDEX(FX_Rates!$D:$D,MATCH($H1087,FX_Rates!$A:$A,0)),""))</f>
        <v>1</v>
      </c>
      <c r="S1087" s="26" t="str">
        <f aca="false">IF(AND($I1087="",$J1087=""),"",IF($J1087&lt;&gt;"",$J1087,IF(OR($R1087="",$R1087=0),"",ROUND($I1087/$R1087,2))))</f>
        <v/>
      </c>
      <c r="T1087" s="24" t="str">
        <f aca="false">IF($N1087="","",IFERROR(INDEX(VAT_Codes!$C:$C,MATCH($N1087,VAT_Codes!$A:$A,0)),"")&amp;"")</f>
        <v/>
      </c>
      <c r="U1087" s="26" t="n">
        <f aca="false">IF(OR($S1087="",$T1087="",$T1087="None"),0,IF($T1087="Output",-$S1087,$S1087))</f>
        <v>0</v>
      </c>
      <c r="V1087" s="27" t="n">
        <f aca="false">IF($N1087="",0,IFERROR(INDEX(VAT_Codes!$D:$D,MATCH($N1087,VAT_Codes!$A:$A,0)),0))</f>
        <v>0</v>
      </c>
      <c r="W1087" s="26" t="n">
        <f aca="false">IF($U1087=0,0,IF(IFERROR(INDEX(VAT_Codes!$F:$F,MATCH($N1087,VAT_Codes!$A:$A,0)),"N")="Y",$U1087,IF($L1087&lt;&gt;"",ROUND(ABS($L1087)/IF(OR($R1087="",$R1087=0),1,$R1087),2)*SIGN($U1087),ROUND($U1087*$V1087,2))))</f>
        <v>0</v>
      </c>
      <c r="X1087" s="24" t="str">
        <f aca="false">IF($N1087="","",IFERROR(INDEX(VAT_Codes!$H:$H,MATCH($N1087,VAT_Codes!$A:$A,0)),"")&amp;"")</f>
        <v/>
      </c>
      <c r="Y1087" s="24" t="str">
        <f aca="false">IF($A1087="","",(YEAR($A1087)-YEAR(Settings!$C$8))*12+MONTH($A1087)-MONTH(Settings!$C$8)+1)</f>
        <v/>
      </c>
      <c r="Z1087" s="24" t="str">
        <f aca="false">IF(AND($C1087="",$I1087="",$J1087=""),"",IF($N1087="","NO VAT CODE",IF($T1087="","UNKNOWN VAT CODE",IF($S1087="","MISSING FX RATE",IF(OR($A1087&lt;Settings!$C$8,$A1087&gt;Settings!$C$9),"OUTSIDE PERIOD",IF(AND(IFERROR(INDEX(VAT_Codes!$E:$E,MATCH($N1087,VAT_Codes!$A:$A,0)),"ANY")&lt;&gt;"ANY",$P1087=""),"MISSING COUNTERPARTY COUNTRY",IF(AND(IFERROR(INDEX(VAT_Codes!$E:$E,MATCH($N1087,VAT_Codes!$A:$A,0)),"ANY")&lt;&gt;"ANY",$P1087&lt;&gt;IFERROR(INDEX(VAT_Codes!$E:$E,MATCH($N1087,VAT_Codes!$A:$A,0)),"ANY")),"REGION MISMATCH","OK")))))))</f>
        <v/>
      </c>
    </row>
    <row r="1088" customFormat="false" ht="15" hidden="false" customHeight="false" outlineLevel="0" collapsed="false">
      <c r="M1088" s="24" t="str">
        <f aca="false">IF($C1088="","",IFERROR(INDEX(Account_Mapping!$C:$C,MATCH($C1088&amp;"",Account_Mapping!$A:$A,0))&amp;"",""))</f>
        <v/>
      </c>
      <c r="N1088" s="24" t="str">
        <f aca="false">IF($K1088&lt;&gt;"",$K1088,$M1088)</f>
        <v/>
      </c>
      <c r="O1088" s="24" t="str">
        <f aca="false">IF($F1088="","",IFERROR(INDEX(Counterparties!$C:$C,MATCH($F1088&amp;"",Counterparties!$A:$A,0))&amp;"",""))</f>
        <v/>
      </c>
      <c r="P1088" s="24" t="str">
        <f aca="false">IF($O1088="","",IF($O1088="CY","CY",IF(ISNUMBER(MATCH($O1088,Lists!$A:$A,0)),"EU","3RD")))</f>
        <v/>
      </c>
      <c r="Q1088" s="24" t="str">
        <f aca="false">IF($F1088="","N",IFERROR(IF(INDEX(Counterparties!$E:$E,MATCH($F1088&amp;"",Counterparties!$A:$A,0))="Y","Y","N"),"N"))</f>
        <v>N</v>
      </c>
      <c r="R1088" s="25" t="n">
        <f aca="false">IF(OR($H1088="",$H1088="EUR"),1,IFERROR(INDEX(FX_Rates!$D:$D,MATCH($H1088,FX_Rates!$A:$A,0)),""))</f>
        <v>1</v>
      </c>
      <c r="S1088" s="26" t="str">
        <f aca="false">IF(AND($I1088="",$J1088=""),"",IF($J1088&lt;&gt;"",$J1088,IF(OR($R1088="",$R1088=0),"",ROUND($I1088/$R1088,2))))</f>
        <v/>
      </c>
      <c r="T1088" s="24" t="str">
        <f aca="false">IF($N1088="","",IFERROR(INDEX(VAT_Codes!$C:$C,MATCH($N1088,VAT_Codes!$A:$A,0)),"")&amp;"")</f>
        <v/>
      </c>
      <c r="U1088" s="26" t="n">
        <f aca="false">IF(OR($S1088="",$T1088="",$T1088="None"),0,IF($T1088="Output",-$S1088,$S1088))</f>
        <v>0</v>
      </c>
      <c r="V1088" s="27" t="n">
        <f aca="false">IF($N1088="",0,IFERROR(INDEX(VAT_Codes!$D:$D,MATCH($N1088,VAT_Codes!$A:$A,0)),0))</f>
        <v>0</v>
      </c>
      <c r="W1088" s="26" t="n">
        <f aca="false">IF($U1088=0,0,IF(IFERROR(INDEX(VAT_Codes!$F:$F,MATCH($N1088,VAT_Codes!$A:$A,0)),"N")="Y",$U1088,IF($L1088&lt;&gt;"",ROUND(ABS($L1088)/IF(OR($R1088="",$R1088=0),1,$R1088),2)*SIGN($U1088),ROUND($U1088*$V1088,2))))</f>
        <v>0</v>
      </c>
      <c r="X1088" s="24" t="str">
        <f aca="false">IF($N1088="","",IFERROR(INDEX(VAT_Codes!$H:$H,MATCH($N1088,VAT_Codes!$A:$A,0)),"")&amp;"")</f>
        <v/>
      </c>
      <c r="Y1088" s="24" t="str">
        <f aca="false">IF($A1088="","",(YEAR($A1088)-YEAR(Settings!$C$8))*12+MONTH($A1088)-MONTH(Settings!$C$8)+1)</f>
        <v/>
      </c>
      <c r="Z1088" s="24" t="str">
        <f aca="false">IF(AND($C1088="",$I1088="",$J1088=""),"",IF($N1088="","NO VAT CODE",IF($T1088="","UNKNOWN VAT CODE",IF($S1088="","MISSING FX RATE",IF(OR($A1088&lt;Settings!$C$8,$A1088&gt;Settings!$C$9),"OUTSIDE PERIOD",IF(AND(IFERROR(INDEX(VAT_Codes!$E:$E,MATCH($N1088,VAT_Codes!$A:$A,0)),"ANY")&lt;&gt;"ANY",$P1088=""),"MISSING COUNTERPARTY COUNTRY",IF(AND(IFERROR(INDEX(VAT_Codes!$E:$E,MATCH($N1088,VAT_Codes!$A:$A,0)),"ANY")&lt;&gt;"ANY",$P1088&lt;&gt;IFERROR(INDEX(VAT_Codes!$E:$E,MATCH($N1088,VAT_Codes!$A:$A,0)),"ANY")),"REGION MISMATCH","OK")))))))</f>
        <v/>
      </c>
    </row>
    <row r="1089" customFormat="false" ht="15" hidden="false" customHeight="false" outlineLevel="0" collapsed="false">
      <c r="M1089" s="24" t="str">
        <f aca="false">IF($C1089="","",IFERROR(INDEX(Account_Mapping!$C:$C,MATCH($C1089&amp;"",Account_Mapping!$A:$A,0))&amp;"",""))</f>
        <v/>
      </c>
      <c r="N1089" s="24" t="str">
        <f aca="false">IF($K1089&lt;&gt;"",$K1089,$M1089)</f>
        <v/>
      </c>
      <c r="O1089" s="24" t="str">
        <f aca="false">IF($F1089="","",IFERROR(INDEX(Counterparties!$C:$C,MATCH($F1089&amp;"",Counterparties!$A:$A,0))&amp;"",""))</f>
        <v/>
      </c>
      <c r="P1089" s="24" t="str">
        <f aca="false">IF($O1089="","",IF($O1089="CY","CY",IF(ISNUMBER(MATCH($O1089,Lists!$A:$A,0)),"EU","3RD")))</f>
        <v/>
      </c>
      <c r="Q1089" s="24" t="str">
        <f aca="false">IF($F1089="","N",IFERROR(IF(INDEX(Counterparties!$E:$E,MATCH($F1089&amp;"",Counterparties!$A:$A,0))="Y","Y","N"),"N"))</f>
        <v>N</v>
      </c>
      <c r="R1089" s="25" t="n">
        <f aca="false">IF(OR($H1089="",$H1089="EUR"),1,IFERROR(INDEX(FX_Rates!$D:$D,MATCH($H1089,FX_Rates!$A:$A,0)),""))</f>
        <v>1</v>
      </c>
      <c r="S1089" s="26" t="str">
        <f aca="false">IF(AND($I1089="",$J1089=""),"",IF($J1089&lt;&gt;"",$J1089,IF(OR($R1089="",$R1089=0),"",ROUND($I1089/$R1089,2))))</f>
        <v/>
      </c>
      <c r="T1089" s="24" t="str">
        <f aca="false">IF($N1089="","",IFERROR(INDEX(VAT_Codes!$C:$C,MATCH($N1089,VAT_Codes!$A:$A,0)),"")&amp;"")</f>
        <v/>
      </c>
      <c r="U1089" s="26" t="n">
        <f aca="false">IF(OR($S1089="",$T1089="",$T1089="None"),0,IF($T1089="Output",-$S1089,$S1089))</f>
        <v>0</v>
      </c>
      <c r="V1089" s="27" t="n">
        <f aca="false">IF($N1089="",0,IFERROR(INDEX(VAT_Codes!$D:$D,MATCH($N1089,VAT_Codes!$A:$A,0)),0))</f>
        <v>0</v>
      </c>
      <c r="W1089" s="26" t="n">
        <f aca="false">IF($U1089=0,0,IF(IFERROR(INDEX(VAT_Codes!$F:$F,MATCH($N1089,VAT_Codes!$A:$A,0)),"N")="Y",$U1089,IF($L1089&lt;&gt;"",ROUND(ABS($L1089)/IF(OR($R1089="",$R1089=0),1,$R1089),2)*SIGN($U1089),ROUND($U1089*$V1089,2))))</f>
        <v>0</v>
      </c>
      <c r="X1089" s="24" t="str">
        <f aca="false">IF($N1089="","",IFERROR(INDEX(VAT_Codes!$H:$H,MATCH($N1089,VAT_Codes!$A:$A,0)),"")&amp;"")</f>
        <v/>
      </c>
      <c r="Y1089" s="24" t="str">
        <f aca="false">IF($A1089="","",(YEAR($A1089)-YEAR(Settings!$C$8))*12+MONTH($A1089)-MONTH(Settings!$C$8)+1)</f>
        <v/>
      </c>
      <c r="Z1089" s="24" t="str">
        <f aca="false">IF(AND($C1089="",$I1089="",$J1089=""),"",IF($N1089="","NO VAT CODE",IF($T1089="","UNKNOWN VAT CODE",IF($S1089="","MISSING FX RATE",IF(OR($A1089&lt;Settings!$C$8,$A1089&gt;Settings!$C$9),"OUTSIDE PERIOD",IF(AND(IFERROR(INDEX(VAT_Codes!$E:$E,MATCH($N1089,VAT_Codes!$A:$A,0)),"ANY")&lt;&gt;"ANY",$P1089=""),"MISSING COUNTERPARTY COUNTRY",IF(AND(IFERROR(INDEX(VAT_Codes!$E:$E,MATCH($N1089,VAT_Codes!$A:$A,0)),"ANY")&lt;&gt;"ANY",$P1089&lt;&gt;IFERROR(INDEX(VAT_Codes!$E:$E,MATCH($N1089,VAT_Codes!$A:$A,0)),"ANY")),"REGION MISMATCH","OK")))))))</f>
        <v/>
      </c>
    </row>
    <row r="1090" customFormat="false" ht="15" hidden="false" customHeight="false" outlineLevel="0" collapsed="false">
      <c r="M1090" s="24" t="str">
        <f aca="false">IF($C1090="","",IFERROR(INDEX(Account_Mapping!$C:$C,MATCH($C1090&amp;"",Account_Mapping!$A:$A,0))&amp;"",""))</f>
        <v/>
      </c>
      <c r="N1090" s="24" t="str">
        <f aca="false">IF($K1090&lt;&gt;"",$K1090,$M1090)</f>
        <v/>
      </c>
      <c r="O1090" s="24" t="str">
        <f aca="false">IF($F1090="","",IFERROR(INDEX(Counterparties!$C:$C,MATCH($F1090&amp;"",Counterparties!$A:$A,0))&amp;"",""))</f>
        <v/>
      </c>
      <c r="P1090" s="24" t="str">
        <f aca="false">IF($O1090="","",IF($O1090="CY","CY",IF(ISNUMBER(MATCH($O1090,Lists!$A:$A,0)),"EU","3RD")))</f>
        <v/>
      </c>
      <c r="Q1090" s="24" t="str">
        <f aca="false">IF($F1090="","N",IFERROR(IF(INDEX(Counterparties!$E:$E,MATCH($F1090&amp;"",Counterparties!$A:$A,0))="Y","Y","N"),"N"))</f>
        <v>N</v>
      </c>
      <c r="R1090" s="25" t="n">
        <f aca="false">IF(OR($H1090="",$H1090="EUR"),1,IFERROR(INDEX(FX_Rates!$D:$D,MATCH($H1090,FX_Rates!$A:$A,0)),""))</f>
        <v>1</v>
      </c>
      <c r="S1090" s="26" t="str">
        <f aca="false">IF(AND($I1090="",$J1090=""),"",IF($J1090&lt;&gt;"",$J1090,IF(OR($R1090="",$R1090=0),"",ROUND($I1090/$R1090,2))))</f>
        <v/>
      </c>
      <c r="T1090" s="24" t="str">
        <f aca="false">IF($N1090="","",IFERROR(INDEX(VAT_Codes!$C:$C,MATCH($N1090,VAT_Codes!$A:$A,0)),"")&amp;"")</f>
        <v/>
      </c>
      <c r="U1090" s="26" t="n">
        <f aca="false">IF(OR($S1090="",$T1090="",$T1090="None"),0,IF($T1090="Output",-$S1090,$S1090))</f>
        <v>0</v>
      </c>
      <c r="V1090" s="27" t="n">
        <f aca="false">IF($N1090="",0,IFERROR(INDEX(VAT_Codes!$D:$D,MATCH($N1090,VAT_Codes!$A:$A,0)),0))</f>
        <v>0</v>
      </c>
      <c r="W1090" s="26" t="n">
        <f aca="false">IF($U1090=0,0,IF(IFERROR(INDEX(VAT_Codes!$F:$F,MATCH($N1090,VAT_Codes!$A:$A,0)),"N")="Y",$U1090,IF($L1090&lt;&gt;"",ROUND(ABS($L1090)/IF(OR($R1090="",$R1090=0),1,$R1090),2)*SIGN($U1090),ROUND($U1090*$V1090,2))))</f>
        <v>0</v>
      </c>
      <c r="X1090" s="24" t="str">
        <f aca="false">IF($N1090="","",IFERROR(INDEX(VAT_Codes!$H:$H,MATCH($N1090,VAT_Codes!$A:$A,0)),"")&amp;"")</f>
        <v/>
      </c>
      <c r="Y1090" s="24" t="str">
        <f aca="false">IF($A1090="","",(YEAR($A1090)-YEAR(Settings!$C$8))*12+MONTH($A1090)-MONTH(Settings!$C$8)+1)</f>
        <v/>
      </c>
      <c r="Z1090" s="24" t="str">
        <f aca="false">IF(AND($C1090="",$I1090="",$J1090=""),"",IF($N1090="","NO VAT CODE",IF($T1090="","UNKNOWN VAT CODE",IF($S1090="","MISSING FX RATE",IF(OR($A1090&lt;Settings!$C$8,$A1090&gt;Settings!$C$9),"OUTSIDE PERIOD",IF(AND(IFERROR(INDEX(VAT_Codes!$E:$E,MATCH($N1090,VAT_Codes!$A:$A,0)),"ANY")&lt;&gt;"ANY",$P1090=""),"MISSING COUNTERPARTY COUNTRY",IF(AND(IFERROR(INDEX(VAT_Codes!$E:$E,MATCH($N1090,VAT_Codes!$A:$A,0)),"ANY")&lt;&gt;"ANY",$P1090&lt;&gt;IFERROR(INDEX(VAT_Codes!$E:$E,MATCH($N1090,VAT_Codes!$A:$A,0)),"ANY")),"REGION MISMATCH","OK")))))))</f>
        <v/>
      </c>
    </row>
    <row r="1091" customFormat="false" ht="15" hidden="false" customHeight="false" outlineLevel="0" collapsed="false">
      <c r="M1091" s="24" t="str">
        <f aca="false">IF($C1091="","",IFERROR(INDEX(Account_Mapping!$C:$C,MATCH($C1091&amp;"",Account_Mapping!$A:$A,0))&amp;"",""))</f>
        <v/>
      </c>
      <c r="N1091" s="24" t="str">
        <f aca="false">IF($K1091&lt;&gt;"",$K1091,$M1091)</f>
        <v/>
      </c>
      <c r="O1091" s="24" t="str">
        <f aca="false">IF($F1091="","",IFERROR(INDEX(Counterparties!$C:$C,MATCH($F1091&amp;"",Counterparties!$A:$A,0))&amp;"",""))</f>
        <v/>
      </c>
      <c r="P1091" s="24" t="str">
        <f aca="false">IF($O1091="","",IF($O1091="CY","CY",IF(ISNUMBER(MATCH($O1091,Lists!$A:$A,0)),"EU","3RD")))</f>
        <v/>
      </c>
      <c r="Q1091" s="24" t="str">
        <f aca="false">IF($F1091="","N",IFERROR(IF(INDEX(Counterparties!$E:$E,MATCH($F1091&amp;"",Counterparties!$A:$A,0))="Y","Y","N"),"N"))</f>
        <v>N</v>
      </c>
      <c r="R1091" s="25" t="n">
        <f aca="false">IF(OR($H1091="",$H1091="EUR"),1,IFERROR(INDEX(FX_Rates!$D:$D,MATCH($H1091,FX_Rates!$A:$A,0)),""))</f>
        <v>1</v>
      </c>
      <c r="S1091" s="26" t="str">
        <f aca="false">IF(AND($I1091="",$J1091=""),"",IF($J1091&lt;&gt;"",$J1091,IF(OR($R1091="",$R1091=0),"",ROUND($I1091/$R1091,2))))</f>
        <v/>
      </c>
      <c r="T1091" s="24" t="str">
        <f aca="false">IF($N1091="","",IFERROR(INDEX(VAT_Codes!$C:$C,MATCH($N1091,VAT_Codes!$A:$A,0)),"")&amp;"")</f>
        <v/>
      </c>
      <c r="U1091" s="26" t="n">
        <f aca="false">IF(OR($S1091="",$T1091="",$T1091="None"),0,IF($T1091="Output",-$S1091,$S1091))</f>
        <v>0</v>
      </c>
      <c r="V1091" s="27" t="n">
        <f aca="false">IF($N1091="",0,IFERROR(INDEX(VAT_Codes!$D:$D,MATCH($N1091,VAT_Codes!$A:$A,0)),0))</f>
        <v>0</v>
      </c>
      <c r="W1091" s="26" t="n">
        <f aca="false">IF($U1091=0,0,IF(IFERROR(INDEX(VAT_Codes!$F:$F,MATCH($N1091,VAT_Codes!$A:$A,0)),"N")="Y",$U1091,IF($L1091&lt;&gt;"",ROUND(ABS($L1091)/IF(OR($R1091="",$R1091=0),1,$R1091),2)*SIGN($U1091),ROUND($U1091*$V1091,2))))</f>
        <v>0</v>
      </c>
      <c r="X1091" s="24" t="str">
        <f aca="false">IF($N1091="","",IFERROR(INDEX(VAT_Codes!$H:$H,MATCH($N1091,VAT_Codes!$A:$A,0)),"")&amp;"")</f>
        <v/>
      </c>
      <c r="Y1091" s="24" t="str">
        <f aca="false">IF($A1091="","",(YEAR($A1091)-YEAR(Settings!$C$8))*12+MONTH($A1091)-MONTH(Settings!$C$8)+1)</f>
        <v/>
      </c>
      <c r="Z1091" s="24" t="str">
        <f aca="false">IF(AND($C1091="",$I1091="",$J1091=""),"",IF($N1091="","NO VAT CODE",IF($T1091="","UNKNOWN VAT CODE",IF($S1091="","MISSING FX RATE",IF(OR($A1091&lt;Settings!$C$8,$A1091&gt;Settings!$C$9),"OUTSIDE PERIOD",IF(AND(IFERROR(INDEX(VAT_Codes!$E:$E,MATCH($N1091,VAT_Codes!$A:$A,0)),"ANY")&lt;&gt;"ANY",$P1091=""),"MISSING COUNTERPARTY COUNTRY",IF(AND(IFERROR(INDEX(VAT_Codes!$E:$E,MATCH($N1091,VAT_Codes!$A:$A,0)),"ANY")&lt;&gt;"ANY",$P1091&lt;&gt;IFERROR(INDEX(VAT_Codes!$E:$E,MATCH($N1091,VAT_Codes!$A:$A,0)),"ANY")),"REGION MISMATCH","OK")))))))</f>
        <v/>
      </c>
    </row>
    <row r="1092" customFormat="false" ht="15" hidden="false" customHeight="false" outlineLevel="0" collapsed="false">
      <c r="M1092" s="24" t="str">
        <f aca="false">IF($C1092="","",IFERROR(INDEX(Account_Mapping!$C:$C,MATCH($C1092&amp;"",Account_Mapping!$A:$A,0))&amp;"",""))</f>
        <v/>
      </c>
      <c r="N1092" s="24" t="str">
        <f aca="false">IF($K1092&lt;&gt;"",$K1092,$M1092)</f>
        <v/>
      </c>
      <c r="O1092" s="24" t="str">
        <f aca="false">IF($F1092="","",IFERROR(INDEX(Counterparties!$C:$C,MATCH($F1092&amp;"",Counterparties!$A:$A,0))&amp;"",""))</f>
        <v/>
      </c>
      <c r="P1092" s="24" t="str">
        <f aca="false">IF($O1092="","",IF($O1092="CY","CY",IF(ISNUMBER(MATCH($O1092,Lists!$A:$A,0)),"EU","3RD")))</f>
        <v/>
      </c>
      <c r="Q1092" s="24" t="str">
        <f aca="false">IF($F1092="","N",IFERROR(IF(INDEX(Counterparties!$E:$E,MATCH($F1092&amp;"",Counterparties!$A:$A,0))="Y","Y","N"),"N"))</f>
        <v>N</v>
      </c>
      <c r="R1092" s="25" t="n">
        <f aca="false">IF(OR($H1092="",$H1092="EUR"),1,IFERROR(INDEX(FX_Rates!$D:$D,MATCH($H1092,FX_Rates!$A:$A,0)),""))</f>
        <v>1</v>
      </c>
      <c r="S1092" s="26" t="str">
        <f aca="false">IF(AND($I1092="",$J1092=""),"",IF($J1092&lt;&gt;"",$J1092,IF(OR($R1092="",$R1092=0),"",ROUND($I1092/$R1092,2))))</f>
        <v/>
      </c>
      <c r="T1092" s="24" t="str">
        <f aca="false">IF($N1092="","",IFERROR(INDEX(VAT_Codes!$C:$C,MATCH($N1092,VAT_Codes!$A:$A,0)),"")&amp;"")</f>
        <v/>
      </c>
      <c r="U1092" s="26" t="n">
        <f aca="false">IF(OR($S1092="",$T1092="",$T1092="None"),0,IF($T1092="Output",-$S1092,$S1092))</f>
        <v>0</v>
      </c>
      <c r="V1092" s="27" t="n">
        <f aca="false">IF($N1092="",0,IFERROR(INDEX(VAT_Codes!$D:$D,MATCH($N1092,VAT_Codes!$A:$A,0)),0))</f>
        <v>0</v>
      </c>
      <c r="W1092" s="26" t="n">
        <f aca="false">IF($U1092=0,0,IF(IFERROR(INDEX(VAT_Codes!$F:$F,MATCH($N1092,VAT_Codes!$A:$A,0)),"N")="Y",$U1092,IF($L1092&lt;&gt;"",ROUND(ABS($L1092)/IF(OR($R1092="",$R1092=0),1,$R1092),2)*SIGN($U1092),ROUND($U1092*$V1092,2))))</f>
        <v>0</v>
      </c>
      <c r="X1092" s="24" t="str">
        <f aca="false">IF($N1092="","",IFERROR(INDEX(VAT_Codes!$H:$H,MATCH($N1092,VAT_Codes!$A:$A,0)),"")&amp;"")</f>
        <v/>
      </c>
      <c r="Y1092" s="24" t="str">
        <f aca="false">IF($A1092="","",(YEAR($A1092)-YEAR(Settings!$C$8))*12+MONTH($A1092)-MONTH(Settings!$C$8)+1)</f>
        <v/>
      </c>
      <c r="Z1092" s="24" t="str">
        <f aca="false">IF(AND($C1092="",$I1092="",$J1092=""),"",IF($N1092="","NO VAT CODE",IF($T1092="","UNKNOWN VAT CODE",IF($S1092="","MISSING FX RATE",IF(OR($A1092&lt;Settings!$C$8,$A1092&gt;Settings!$C$9),"OUTSIDE PERIOD",IF(AND(IFERROR(INDEX(VAT_Codes!$E:$E,MATCH($N1092,VAT_Codes!$A:$A,0)),"ANY")&lt;&gt;"ANY",$P1092=""),"MISSING COUNTERPARTY COUNTRY",IF(AND(IFERROR(INDEX(VAT_Codes!$E:$E,MATCH($N1092,VAT_Codes!$A:$A,0)),"ANY")&lt;&gt;"ANY",$P1092&lt;&gt;IFERROR(INDEX(VAT_Codes!$E:$E,MATCH($N1092,VAT_Codes!$A:$A,0)),"ANY")),"REGION MISMATCH","OK")))))))</f>
        <v/>
      </c>
    </row>
    <row r="1093" customFormat="false" ht="15" hidden="false" customHeight="false" outlineLevel="0" collapsed="false">
      <c r="M1093" s="24" t="str">
        <f aca="false">IF($C1093="","",IFERROR(INDEX(Account_Mapping!$C:$C,MATCH($C1093&amp;"",Account_Mapping!$A:$A,0))&amp;"",""))</f>
        <v/>
      </c>
      <c r="N1093" s="24" t="str">
        <f aca="false">IF($K1093&lt;&gt;"",$K1093,$M1093)</f>
        <v/>
      </c>
      <c r="O1093" s="24" t="str">
        <f aca="false">IF($F1093="","",IFERROR(INDEX(Counterparties!$C:$C,MATCH($F1093&amp;"",Counterparties!$A:$A,0))&amp;"",""))</f>
        <v/>
      </c>
      <c r="P1093" s="24" t="str">
        <f aca="false">IF($O1093="","",IF($O1093="CY","CY",IF(ISNUMBER(MATCH($O1093,Lists!$A:$A,0)),"EU","3RD")))</f>
        <v/>
      </c>
      <c r="Q1093" s="24" t="str">
        <f aca="false">IF($F1093="","N",IFERROR(IF(INDEX(Counterparties!$E:$E,MATCH($F1093&amp;"",Counterparties!$A:$A,0))="Y","Y","N"),"N"))</f>
        <v>N</v>
      </c>
      <c r="R1093" s="25" t="n">
        <f aca="false">IF(OR($H1093="",$H1093="EUR"),1,IFERROR(INDEX(FX_Rates!$D:$D,MATCH($H1093,FX_Rates!$A:$A,0)),""))</f>
        <v>1</v>
      </c>
      <c r="S1093" s="26" t="str">
        <f aca="false">IF(AND($I1093="",$J1093=""),"",IF($J1093&lt;&gt;"",$J1093,IF(OR($R1093="",$R1093=0),"",ROUND($I1093/$R1093,2))))</f>
        <v/>
      </c>
      <c r="T1093" s="24" t="str">
        <f aca="false">IF($N1093="","",IFERROR(INDEX(VAT_Codes!$C:$C,MATCH($N1093,VAT_Codes!$A:$A,0)),"")&amp;"")</f>
        <v/>
      </c>
      <c r="U1093" s="26" t="n">
        <f aca="false">IF(OR($S1093="",$T1093="",$T1093="None"),0,IF($T1093="Output",-$S1093,$S1093))</f>
        <v>0</v>
      </c>
      <c r="V1093" s="27" t="n">
        <f aca="false">IF($N1093="",0,IFERROR(INDEX(VAT_Codes!$D:$D,MATCH($N1093,VAT_Codes!$A:$A,0)),0))</f>
        <v>0</v>
      </c>
      <c r="W1093" s="26" t="n">
        <f aca="false">IF($U1093=0,0,IF(IFERROR(INDEX(VAT_Codes!$F:$F,MATCH($N1093,VAT_Codes!$A:$A,0)),"N")="Y",$U1093,IF($L1093&lt;&gt;"",ROUND(ABS($L1093)/IF(OR($R1093="",$R1093=0),1,$R1093),2)*SIGN($U1093),ROUND($U1093*$V1093,2))))</f>
        <v>0</v>
      </c>
      <c r="X1093" s="24" t="str">
        <f aca="false">IF($N1093="","",IFERROR(INDEX(VAT_Codes!$H:$H,MATCH($N1093,VAT_Codes!$A:$A,0)),"")&amp;"")</f>
        <v/>
      </c>
      <c r="Y1093" s="24" t="str">
        <f aca="false">IF($A1093="","",(YEAR($A1093)-YEAR(Settings!$C$8))*12+MONTH($A1093)-MONTH(Settings!$C$8)+1)</f>
        <v/>
      </c>
      <c r="Z1093" s="24" t="str">
        <f aca="false">IF(AND($C1093="",$I1093="",$J1093=""),"",IF($N1093="","NO VAT CODE",IF($T1093="","UNKNOWN VAT CODE",IF($S1093="","MISSING FX RATE",IF(OR($A1093&lt;Settings!$C$8,$A1093&gt;Settings!$C$9),"OUTSIDE PERIOD",IF(AND(IFERROR(INDEX(VAT_Codes!$E:$E,MATCH($N1093,VAT_Codes!$A:$A,0)),"ANY")&lt;&gt;"ANY",$P1093=""),"MISSING COUNTERPARTY COUNTRY",IF(AND(IFERROR(INDEX(VAT_Codes!$E:$E,MATCH($N1093,VAT_Codes!$A:$A,0)),"ANY")&lt;&gt;"ANY",$P1093&lt;&gt;IFERROR(INDEX(VAT_Codes!$E:$E,MATCH($N1093,VAT_Codes!$A:$A,0)),"ANY")),"REGION MISMATCH","OK")))))))</f>
        <v/>
      </c>
    </row>
    <row r="1094" customFormat="false" ht="15" hidden="false" customHeight="false" outlineLevel="0" collapsed="false">
      <c r="M1094" s="24" t="str">
        <f aca="false">IF($C1094="","",IFERROR(INDEX(Account_Mapping!$C:$C,MATCH($C1094&amp;"",Account_Mapping!$A:$A,0))&amp;"",""))</f>
        <v/>
      </c>
      <c r="N1094" s="24" t="str">
        <f aca="false">IF($K1094&lt;&gt;"",$K1094,$M1094)</f>
        <v/>
      </c>
      <c r="O1094" s="24" t="str">
        <f aca="false">IF($F1094="","",IFERROR(INDEX(Counterparties!$C:$C,MATCH($F1094&amp;"",Counterparties!$A:$A,0))&amp;"",""))</f>
        <v/>
      </c>
      <c r="P1094" s="24" t="str">
        <f aca="false">IF($O1094="","",IF($O1094="CY","CY",IF(ISNUMBER(MATCH($O1094,Lists!$A:$A,0)),"EU","3RD")))</f>
        <v/>
      </c>
      <c r="Q1094" s="24" t="str">
        <f aca="false">IF($F1094="","N",IFERROR(IF(INDEX(Counterparties!$E:$E,MATCH($F1094&amp;"",Counterparties!$A:$A,0))="Y","Y","N"),"N"))</f>
        <v>N</v>
      </c>
      <c r="R1094" s="25" t="n">
        <f aca="false">IF(OR($H1094="",$H1094="EUR"),1,IFERROR(INDEX(FX_Rates!$D:$D,MATCH($H1094,FX_Rates!$A:$A,0)),""))</f>
        <v>1</v>
      </c>
      <c r="S1094" s="26" t="str">
        <f aca="false">IF(AND($I1094="",$J1094=""),"",IF($J1094&lt;&gt;"",$J1094,IF(OR($R1094="",$R1094=0),"",ROUND($I1094/$R1094,2))))</f>
        <v/>
      </c>
      <c r="T1094" s="24" t="str">
        <f aca="false">IF($N1094="","",IFERROR(INDEX(VAT_Codes!$C:$C,MATCH($N1094,VAT_Codes!$A:$A,0)),"")&amp;"")</f>
        <v/>
      </c>
      <c r="U1094" s="26" t="n">
        <f aca="false">IF(OR($S1094="",$T1094="",$T1094="None"),0,IF($T1094="Output",-$S1094,$S1094))</f>
        <v>0</v>
      </c>
      <c r="V1094" s="27" t="n">
        <f aca="false">IF($N1094="",0,IFERROR(INDEX(VAT_Codes!$D:$D,MATCH($N1094,VAT_Codes!$A:$A,0)),0))</f>
        <v>0</v>
      </c>
      <c r="W1094" s="26" t="n">
        <f aca="false">IF($U1094=0,0,IF(IFERROR(INDEX(VAT_Codes!$F:$F,MATCH($N1094,VAT_Codes!$A:$A,0)),"N")="Y",$U1094,IF($L1094&lt;&gt;"",ROUND(ABS($L1094)/IF(OR($R1094="",$R1094=0),1,$R1094),2)*SIGN($U1094),ROUND($U1094*$V1094,2))))</f>
        <v>0</v>
      </c>
      <c r="X1094" s="24" t="str">
        <f aca="false">IF($N1094="","",IFERROR(INDEX(VAT_Codes!$H:$H,MATCH($N1094,VAT_Codes!$A:$A,0)),"")&amp;"")</f>
        <v/>
      </c>
      <c r="Y1094" s="24" t="str">
        <f aca="false">IF($A1094="","",(YEAR($A1094)-YEAR(Settings!$C$8))*12+MONTH($A1094)-MONTH(Settings!$C$8)+1)</f>
        <v/>
      </c>
      <c r="Z1094" s="24" t="str">
        <f aca="false">IF(AND($C1094="",$I1094="",$J1094=""),"",IF($N1094="","NO VAT CODE",IF($T1094="","UNKNOWN VAT CODE",IF($S1094="","MISSING FX RATE",IF(OR($A1094&lt;Settings!$C$8,$A1094&gt;Settings!$C$9),"OUTSIDE PERIOD",IF(AND(IFERROR(INDEX(VAT_Codes!$E:$E,MATCH($N1094,VAT_Codes!$A:$A,0)),"ANY")&lt;&gt;"ANY",$P1094=""),"MISSING COUNTERPARTY COUNTRY",IF(AND(IFERROR(INDEX(VAT_Codes!$E:$E,MATCH($N1094,VAT_Codes!$A:$A,0)),"ANY")&lt;&gt;"ANY",$P1094&lt;&gt;IFERROR(INDEX(VAT_Codes!$E:$E,MATCH($N1094,VAT_Codes!$A:$A,0)),"ANY")),"REGION MISMATCH","OK")))))))</f>
        <v/>
      </c>
    </row>
    <row r="1095" customFormat="false" ht="15" hidden="false" customHeight="false" outlineLevel="0" collapsed="false">
      <c r="M1095" s="24" t="str">
        <f aca="false">IF($C1095="","",IFERROR(INDEX(Account_Mapping!$C:$C,MATCH($C1095&amp;"",Account_Mapping!$A:$A,0))&amp;"",""))</f>
        <v/>
      </c>
      <c r="N1095" s="24" t="str">
        <f aca="false">IF($K1095&lt;&gt;"",$K1095,$M1095)</f>
        <v/>
      </c>
      <c r="O1095" s="24" t="str">
        <f aca="false">IF($F1095="","",IFERROR(INDEX(Counterparties!$C:$C,MATCH($F1095&amp;"",Counterparties!$A:$A,0))&amp;"",""))</f>
        <v/>
      </c>
      <c r="P1095" s="24" t="str">
        <f aca="false">IF($O1095="","",IF($O1095="CY","CY",IF(ISNUMBER(MATCH($O1095,Lists!$A:$A,0)),"EU","3RD")))</f>
        <v/>
      </c>
      <c r="Q1095" s="24" t="str">
        <f aca="false">IF($F1095="","N",IFERROR(IF(INDEX(Counterparties!$E:$E,MATCH($F1095&amp;"",Counterparties!$A:$A,0))="Y","Y","N"),"N"))</f>
        <v>N</v>
      </c>
      <c r="R1095" s="25" t="n">
        <f aca="false">IF(OR($H1095="",$H1095="EUR"),1,IFERROR(INDEX(FX_Rates!$D:$D,MATCH($H1095,FX_Rates!$A:$A,0)),""))</f>
        <v>1</v>
      </c>
      <c r="S1095" s="26" t="str">
        <f aca="false">IF(AND($I1095="",$J1095=""),"",IF($J1095&lt;&gt;"",$J1095,IF(OR($R1095="",$R1095=0),"",ROUND($I1095/$R1095,2))))</f>
        <v/>
      </c>
      <c r="T1095" s="24" t="str">
        <f aca="false">IF($N1095="","",IFERROR(INDEX(VAT_Codes!$C:$C,MATCH($N1095,VAT_Codes!$A:$A,0)),"")&amp;"")</f>
        <v/>
      </c>
      <c r="U1095" s="26" t="n">
        <f aca="false">IF(OR($S1095="",$T1095="",$T1095="None"),0,IF($T1095="Output",-$S1095,$S1095))</f>
        <v>0</v>
      </c>
      <c r="V1095" s="27" t="n">
        <f aca="false">IF($N1095="",0,IFERROR(INDEX(VAT_Codes!$D:$D,MATCH($N1095,VAT_Codes!$A:$A,0)),0))</f>
        <v>0</v>
      </c>
      <c r="W1095" s="26" t="n">
        <f aca="false">IF($U1095=0,0,IF(IFERROR(INDEX(VAT_Codes!$F:$F,MATCH($N1095,VAT_Codes!$A:$A,0)),"N")="Y",$U1095,IF($L1095&lt;&gt;"",ROUND(ABS($L1095)/IF(OR($R1095="",$R1095=0),1,$R1095),2)*SIGN($U1095),ROUND($U1095*$V1095,2))))</f>
        <v>0</v>
      </c>
      <c r="X1095" s="24" t="str">
        <f aca="false">IF($N1095="","",IFERROR(INDEX(VAT_Codes!$H:$H,MATCH($N1095,VAT_Codes!$A:$A,0)),"")&amp;"")</f>
        <v/>
      </c>
      <c r="Y1095" s="24" t="str">
        <f aca="false">IF($A1095="","",(YEAR($A1095)-YEAR(Settings!$C$8))*12+MONTH($A1095)-MONTH(Settings!$C$8)+1)</f>
        <v/>
      </c>
      <c r="Z1095" s="24" t="str">
        <f aca="false">IF(AND($C1095="",$I1095="",$J1095=""),"",IF($N1095="","NO VAT CODE",IF($T1095="","UNKNOWN VAT CODE",IF($S1095="","MISSING FX RATE",IF(OR($A1095&lt;Settings!$C$8,$A1095&gt;Settings!$C$9),"OUTSIDE PERIOD",IF(AND(IFERROR(INDEX(VAT_Codes!$E:$E,MATCH($N1095,VAT_Codes!$A:$A,0)),"ANY")&lt;&gt;"ANY",$P1095=""),"MISSING COUNTERPARTY COUNTRY",IF(AND(IFERROR(INDEX(VAT_Codes!$E:$E,MATCH($N1095,VAT_Codes!$A:$A,0)),"ANY")&lt;&gt;"ANY",$P1095&lt;&gt;IFERROR(INDEX(VAT_Codes!$E:$E,MATCH($N1095,VAT_Codes!$A:$A,0)),"ANY")),"REGION MISMATCH","OK")))))))</f>
        <v/>
      </c>
    </row>
    <row r="1096" customFormat="false" ht="15" hidden="false" customHeight="false" outlineLevel="0" collapsed="false">
      <c r="M1096" s="24" t="str">
        <f aca="false">IF($C1096="","",IFERROR(INDEX(Account_Mapping!$C:$C,MATCH($C1096&amp;"",Account_Mapping!$A:$A,0))&amp;"",""))</f>
        <v/>
      </c>
      <c r="N1096" s="24" t="str">
        <f aca="false">IF($K1096&lt;&gt;"",$K1096,$M1096)</f>
        <v/>
      </c>
      <c r="O1096" s="24" t="str">
        <f aca="false">IF($F1096="","",IFERROR(INDEX(Counterparties!$C:$C,MATCH($F1096&amp;"",Counterparties!$A:$A,0))&amp;"",""))</f>
        <v/>
      </c>
      <c r="P1096" s="24" t="str">
        <f aca="false">IF($O1096="","",IF($O1096="CY","CY",IF(ISNUMBER(MATCH($O1096,Lists!$A:$A,0)),"EU","3RD")))</f>
        <v/>
      </c>
      <c r="Q1096" s="24" t="str">
        <f aca="false">IF($F1096="","N",IFERROR(IF(INDEX(Counterparties!$E:$E,MATCH($F1096&amp;"",Counterparties!$A:$A,0))="Y","Y","N"),"N"))</f>
        <v>N</v>
      </c>
      <c r="R1096" s="25" t="n">
        <f aca="false">IF(OR($H1096="",$H1096="EUR"),1,IFERROR(INDEX(FX_Rates!$D:$D,MATCH($H1096,FX_Rates!$A:$A,0)),""))</f>
        <v>1</v>
      </c>
      <c r="S1096" s="26" t="str">
        <f aca="false">IF(AND($I1096="",$J1096=""),"",IF($J1096&lt;&gt;"",$J1096,IF(OR($R1096="",$R1096=0),"",ROUND($I1096/$R1096,2))))</f>
        <v/>
      </c>
      <c r="T1096" s="24" t="str">
        <f aca="false">IF($N1096="","",IFERROR(INDEX(VAT_Codes!$C:$C,MATCH($N1096,VAT_Codes!$A:$A,0)),"")&amp;"")</f>
        <v/>
      </c>
      <c r="U1096" s="26" t="n">
        <f aca="false">IF(OR($S1096="",$T1096="",$T1096="None"),0,IF($T1096="Output",-$S1096,$S1096))</f>
        <v>0</v>
      </c>
      <c r="V1096" s="27" t="n">
        <f aca="false">IF($N1096="",0,IFERROR(INDEX(VAT_Codes!$D:$D,MATCH($N1096,VAT_Codes!$A:$A,0)),0))</f>
        <v>0</v>
      </c>
      <c r="W1096" s="26" t="n">
        <f aca="false">IF($U1096=0,0,IF(IFERROR(INDEX(VAT_Codes!$F:$F,MATCH($N1096,VAT_Codes!$A:$A,0)),"N")="Y",$U1096,IF($L1096&lt;&gt;"",ROUND(ABS($L1096)/IF(OR($R1096="",$R1096=0),1,$R1096),2)*SIGN($U1096),ROUND($U1096*$V1096,2))))</f>
        <v>0</v>
      </c>
      <c r="X1096" s="24" t="str">
        <f aca="false">IF($N1096="","",IFERROR(INDEX(VAT_Codes!$H:$H,MATCH($N1096,VAT_Codes!$A:$A,0)),"")&amp;"")</f>
        <v/>
      </c>
      <c r="Y1096" s="24" t="str">
        <f aca="false">IF($A1096="","",(YEAR($A1096)-YEAR(Settings!$C$8))*12+MONTH($A1096)-MONTH(Settings!$C$8)+1)</f>
        <v/>
      </c>
      <c r="Z1096" s="24" t="str">
        <f aca="false">IF(AND($C1096="",$I1096="",$J1096=""),"",IF($N1096="","NO VAT CODE",IF($T1096="","UNKNOWN VAT CODE",IF($S1096="","MISSING FX RATE",IF(OR($A1096&lt;Settings!$C$8,$A1096&gt;Settings!$C$9),"OUTSIDE PERIOD",IF(AND(IFERROR(INDEX(VAT_Codes!$E:$E,MATCH($N1096,VAT_Codes!$A:$A,0)),"ANY")&lt;&gt;"ANY",$P1096=""),"MISSING COUNTERPARTY COUNTRY",IF(AND(IFERROR(INDEX(VAT_Codes!$E:$E,MATCH($N1096,VAT_Codes!$A:$A,0)),"ANY")&lt;&gt;"ANY",$P1096&lt;&gt;IFERROR(INDEX(VAT_Codes!$E:$E,MATCH($N1096,VAT_Codes!$A:$A,0)),"ANY")),"REGION MISMATCH","OK")))))))</f>
        <v/>
      </c>
    </row>
    <row r="1097" customFormat="false" ht="15" hidden="false" customHeight="false" outlineLevel="0" collapsed="false">
      <c r="M1097" s="24" t="str">
        <f aca="false">IF($C1097="","",IFERROR(INDEX(Account_Mapping!$C:$C,MATCH($C1097&amp;"",Account_Mapping!$A:$A,0))&amp;"",""))</f>
        <v/>
      </c>
      <c r="N1097" s="24" t="str">
        <f aca="false">IF($K1097&lt;&gt;"",$K1097,$M1097)</f>
        <v/>
      </c>
      <c r="O1097" s="24" t="str">
        <f aca="false">IF($F1097="","",IFERROR(INDEX(Counterparties!$C:$C,MATCH($F1097&amp;"",Counterparties!$A:$A,0))&amp;"",""))</f>
        <v/>
      </c>
      <c r="P1097" s="24" t="str">
        <f aca="false">IF($O1097="","",IF($O1097="CY","CY",IF(ISNUMBER(MATCH($O1097,Lists!$A:$A,0)),"EU","3RD")))</f>
        <v/>
      </c>
      <c r="Q1097" s="24" t="str">
        <f aca="false">IF($F1097="","N",IFERROR(IF(INDEX(Counterparties!$E:$E,MATCH($F1097&amp;"",Counterparties!$A:$A,0))="Y","Y","N"),"N"))</f>
        <v>N</v>
      </c>
      <c r="R1097" s="25" t="n">
        <f aca="false">IF(OR($H1097="",$H1097="EUR"),1,IFERROR(INDEX(FX_Rates!$D:$D,MATCH($H1097,FX_Rates!$A:$A,0)),""))</f>
        <v>1</v>
      </c>
      <c r="S1097" s="26" t="str">
        <f aca="false">IF(AND($I1097="",$J1097=""),"",IF($J1097&lt;&gt;"",$J1097,IF(OR($R1097="",$R1097=0),"",ROUND($I1097/$R1097,2))))</f>
        <v/>
      </c>
      <c r="T1097" s="24" t="str">
        <f aca="false">IF($N1097="","",IFERROR(INDEX(VAT_Codes!$C:$C,MATCH($N1097,VAT_Codes!$A:$A,0)),"")&amp;"")</f>
        <v/>
      </c>
      <c r="U1097" s="26" t="n">
        <f aca="false">IF(OR($S1097="",$T1097="",$T1097="None"),0,IF($T1097="Output",-$S1097,$S1097))</f>
        <v>0</v>
      </c>
      <c r="V1097" s="27" t="n">
        <f aca="false">IF($N1097="",0,IFERROR(INDEX(VAT_Codes!$D:$D,MATCH($N1097,VAT_Codes!$A:$A,0)),0))</f>
        <v>0</v>
      </c>
      <c r="W1097" s="26" t="n">
        <f aca="false">IF($U1097=0,0,IF(IFERROR(INDEX(VAT_Codes!$F:$F,MATCH($N1097,VAT_Codes!$A:$A,0)),"N")="Y",$U1097,IF($L1097&lt;&gt;"",ROUND(ABS($L1097)/IF(OR($R1097="",$R1097=0),1,$R1097),2)*SIGN($U1097),ROUND($U1097*$V1097,2))))</f>
        <v>0</v>
      </c>
      <c r="X1097" s="24" t="str">
        <f aca="false">IF($N1097="","",IFERROR(INDEX(VAT_Codes!$H:$H,MATCH($N1097,VAT_Codes!$A:$A,0)),"")&amp;"")</f>
        <v/>
      </c>
      <c r="Y1097" s="24" t="str">
        <f aca="false">IF($A1097="","",(YEAR($A1097)-YEAR(Settings!$C$8))*12+MONTH($A1097)-MONTH(Settings!$C$8)+1)</f>
        <v/>
      </c>
      <c r="Z1097" s="24" t="str">
        <f aca="false">IF(AND($C1097="",$I1097="",$J1097=""),"",IF($N1097="","NO VAT CODE",IF($T1097="","UNKNOWN VAT CODE",IF($S1097="","MISSING FX RATE",IF(OR($A1097&lt;Settings!$C$8,$A1097&gt;Settings!$C$9),"OUTSIDE PERIOD",IF(AND(IFERROR(INDEX(VAT_Codes!$E:$E,MATCH($N1097,VAT_Codes!$A:$A,0)),"ANY")&lt;&gt;"ANY",$P1097=""),"MISSING COUNTERPARTY COUNTRY",IF(AND(IFERROR(INDEX(VAT_Codes!$E:$E,MATCH($N1097,VAT_Codes!$A:$A,0)),"ANY")&lt;&gt;"ANY",$P1097&lt;&gt;IFERROR(INDEX(VAT_Codes!$E:$E,MATCH($N1097,VAT_Codes!$A:$A,0)),"ANY")),"REGION MISMATCH","OK")))))))</f>
        <v/>
      </c>
    </row>
    <row r="1098" customFormat="false" ht="15" hidden="false" customHeight="false" outlineLevel="0" collapsed="false">
      <c r="M1098" s="24" t="str">
        <f aca="false">IF($C1098="","",IFERROR(INDEX(Account_Mapping!$C:$C,MATCH($C1098&amp;"",Account_Mapping!$A:$A,0))&amp;"",""))</f>
        <v/>
      </c>
      <c r="N1098" s="24" t="str">
        <f aca="false">IF($K1098&lt;&gt;"",$K1098,$M1098)</f>
        <v/>
      </c>
      <c r="O1098" s="24" t="str">
        <f aca="false">IF($F1098="","",IFERROR(INDEX(Counterparties!$C:$C,MATCH($F1098&amp;"",Counterparties!$A:$A,0))&amp;"",""))</f>
        <v/>
      </c>
      <c r="P1098" s="24" t="str">
        <f aca="false">IF($O1098="","",IF($O1098="CY","CY",IF(ISNUMBER(MATCH($O1098,Lists!$A:$A,0)),"EU","3RD")))</f>
        <v/>
      </c>
      <c r="Q1098" s="24" t="str">
        <f aca="false">IF($F1098="","N",IFERROR(IF(INDEX(Counterparties!$E:$E,MATCH($F1098&amp;"",Counterparties!$A:$A,0))="Y","Y","N"),"N"))</f>
        <v>N</v>
      </c>
      <c r="R1098" s="25" t="n">
        <f aca="false">IF(OR($H1098="",$H1098="EUR"),1,IFERROR(INDEX(FX_Rates!$D:$D,MATCH($H1098,FX_Rates!$A:$A,0)),""))</f>
        <v>1</v>
      </c>
      <c r="S1098" s="26" t="str">
        <f aca="false">IF(AND($I1098="",$J1098=""),"",IF($J1098&lt;&gt;"",$J1098,IF(OR($R1098="",$R1098=0),"",ROUND($I1098/$R1098,2))))</f>
        <v/>
      </c>
      <c r="T1098" s="24" t="str">
        <f aca="false">IF($N1098="","",IFERROR(INDEX(VAT_Codes!$C:$C,MATCH($N1098,VAT_Codes!$A:$A,0)),"")&amp;"")</f>
        <v/>
      </c>
      <c r="U1098" s="26" t="n">
        <f aca="false">IF(OR($S1098="",$T1098="",$T1098="None"),0,IF($T1098="Output",-$S1098,$S1098))</f>
        <v>0</v>
      </c>
      <c r="V1098" s="27" t="n">
        <f aca="false">IF($N1098="",0,IFERROR(INDEX(VAT_Codes!$D:$D,MATCH($N1098,VAT_Codes!$A:$A,0)),0))</f>
        <v>0</v>
      </c>
      <c r="W1098" s="26" t="n">
        <f aca="false">IF($U1098=0,0,IF(IFERROR(INDEX(VAT_Codes!$F:$F,MATCH($N1098,VAT_Codes!$A:$A,0)),"N")="Y",$U1098,IF($L1098&lt;&gt;"",ROUND(ABS($L1098)/IF(OR($R1098="",$R1098=0),1,$R1098),2)*SIGN($U1098),ROUND($U1098*$V1098,2))))</f>
        <v>0</v>
      </c>
      <c r="X1098" s="24" t="str">
        <f aca="false">IF($N1098="","",IFERROR(INDEX(VAT_Codes!$H:$H,MATCH($N1098,VAT_Codes!$A:$A,0)),"")&amp;"")</f>
        <v/>
      </c>
      <c r="Y1098" s="24" t="str">
        <f aca="false">IF($A1098="","",(YEAR($A1098)-YEAR(Settings!$C$8))*12+MONTH($A1098)-MONTH(Settings!$C$8)+1)</f>
        <v/>
      </c>
      <c r="Z1098" s="24" t="str">
        <f aca="false">IF(AND($C1098="",$I1098="",$J1098=""),"",IF($N1098="","NO VAT CODE",IF($T1098="","UNKNOWN VAT CODE",IF($S1098="","MISSING FX RATE",IF(OR($A1098&lt;Settings!$C$8,$A1098&gt;Settings!$C$9),"OUTSIDE PERIOD",IF(AND(IFERROR(INDEX(VAT_Codes!$E:$E,MATCH($N1098,VAT_Codes!$A:$A,0)),"ANY")&lt;&gt;"ANY",$P1098=""),"MISSING COUNTERPARTY COUNTRY",IF(AND(IFERROR(INDEX(VAT_Codes!$E:$E,MATCH($N1098,VAT_Codes!$A:$A,0)),"ANY")&lt;&gt;"ANY",$P1098&lt;&gt;IFERROR(INDEX(VAT_Codes!$E:$E,MATCH($N1098,VAT_Codes!$A:$A,0)),"ANY")),"REGION MISMATCH","OK")))))))</f>
        <v/>
      </c>
    </row>
    <row r="1099" customFormat="false" ht="15" hidden="false" customHeight="false" outlineLevel="0" collapsed="false">
      <c r="M1099" s="24" t="str">
        <f aca="false">IF($C1099="","",IFERROR(INDEX(Account_Mapping!$C:$C,MATCH($C1099&amp;"",Account_Mapping!$A:$A,0))&amp;"",""))</f>
        <v/>
      </c>
      <c r="N1099" s="24" t="str">
        <f aca="false">IF($K1099&lt;&gt;"",$K1099,$M1099)</f>
        <v/>
      </c>
      <c r="O1099" s="24" t="str">
        <f aca="false">IF($F1099="","",IFERROR(INDEX(Counterparties!$C:$C,MATCH($F1099&amp;"",Counterparties!$A:$A,0))&amp;"",""))</f>
        <v/>
      </c>
      <c r="P1099" s="24" t="str">
        <f aca="false">IF($O1099="","",IF($O1099="CY","CY",IF(ISNUMBER(MATCH($O1099,Lists!$A:$A,0)),"EU","3RD")))</f>
        <v/>
      </c>
      <c r="Q1099" s="24" t="str">
        <f aca="false">IF($F1099="","N",IFERROR(IF(INDEX(Counterparties!$E:$E,MATCH($F1099&amp;"",Counterparties!$A:$A,0))="Y","Y","N"),"N"))</f>
        <v>N</v>
      </c>
      <c r="R1099" s="25" t="n">
        <f aca="false">IF(OR($H1099="",$H1099="EUR"),1,IFERROR(INDEX(FX_Rates!$D:$D,MATCH($H1099,FX_Rates!$A:$A,0)),""))</f>
        <v>1</v>
      </c>
      <c r="S1099" s="26" t="str">
        <f aca="false">IF(AND($I1099="",$J1099=""),"",IF($J1099&lt;&gt;"",$J1099,IF(OR($R1099="",$R1099=0),"",ROUND($I1099/$R1099,2))))</f>
        <v/>
      </c>
      <c r="T1099" s="24" t="str">
        <f aca="false">IF($N1099="","",IFERROR(INDEX(VAT_Codes!$C:$C,MATCH($N1099,VAT_Codes!$A:$A,0)),"")&amp;"")</f>
        <v/>
      </c>
      <c r="U1099" s="26" t="n">
        <f aca="false">IF(OR($S1099="",$T1099="",$T1099="None"),0,IF($T1099="Output",-$S1099,$S1099))</f>
        <v>0</v>
      </c>
      <c r="V1099" s="27" t="n">
        <f aca="false">IF($N1099="",0,IFERROR(INDEX(VAT_Codes!$D:$D,MATCH($N1099,VAT_Codes!$A:$A,0)),0))</f>
        <v>0</v>
      </c>
      <c r="W1099" s="26" t="n">
        <f aca="false">IF($U1099=0,0,IF(IFERROR(INDEX(VAT_Codes!$F:$F,MATCH($N1099,VAT_Codes!$A:$A,0)),"N")="Y",$U1099,IF($L1099&lt;&gt;"",ROUND(ABS($L1099)/IF(OR($R1099="",$R1099=0),1,$R1099),2)*SIGN($U1099),ROUND($U1099*$V1099,2))))</f>
        <v>0</v>
      </c>
      <c r="X1099" s="24" t="str">
        <f aca="false">IF($N1099="","",IFERROR(INDEX(VAT_Codes!$H:$H,MATCH($N1099,VAT_Codes!$A:$A,0)),"")&amp;"")</f>
        <v/>
      </c>
      <c r="Y1099" s="24" t="str">
        <f aca="false">IF($A1099="","",(YEAR($A1099)-YEAR(Settings!$C$8))*12+MONTH($A1099)-MONTH(Settings!$C$8)+1)</f>
        <v/>
      </c>
      <c r="Z1099" s="24" t="str">
        <f aca="false">IF(AND($C1099="",$I1099="",$J1099=""),"",IF($N1099="","NO VAT CODE",IF($T1099="","UNKNOWN VAT CODE",IF($S1099="","MISSING FX RATE",IF(OR($A1099&lt;Settings!$C$8,$A1099&gt;Settings!$C$9),"OUTSIDE PERIOD",IF(AND(IFERROR(INDEX(VAT_Codes!$E:$E,MATCH($N1099,VAT_Codes!$A:$A,0)),"ANY")&lt;&gt;"ANY",$P1099=""),"MISSING COUNTERPARTY COUNTRY",IF(AND(IFERROR(INDEX(VAT_Codes!$E:$E,MATCH($N1099,VAT_Codes!$A:$A,0)),"ANY")&lt;&gt;"ANY",$P1099&lt;&gt;IFERROR(INDEX(VAT_Codes!$E:$E,MATCH($N1099,VAT_Codes!$A:$A,0)),"ANY")),"REGION MISMATCH","OK")))))))</f>
        <v/>
      </c>
    </row>
    <row r="1100" customFormat="false" ht="15" hidden="false" customHeight="false" outlineLevel="0" collapsed="false">
      <c r="M1100" s="24" t="str">
        <f aca="false">IF($C1100="","",IFERROR(INDEX(Account_Mapping!$C:$C,MATCH($C1100&amp;"",Account_Mapping!$A:$A,0))&amp;"",""))</f>
        <v/>
      </c>
      <c r="N1100" s="24" t="str">
        <f aca="false">IF($K1100&lt;&gt;"",$K1100,$M1100)</f>
        <v/>
      </c>
      <c r="O1100" s="24" t="str">
        <f aca="false">IF($F1100="","",IFERROR(INDEX(Counterparties!$C:$C,MATCH($F1100&amp;"",Counterparties!$A:$A,0))&amp;"",""))</f>
        <v/>
      </c>
      <c r="P1100" s="24" t="str">
        <f aca="false">IF($O1100="","",IF($O1100="CY","CY",IF(ISNUMBER(MATCH($O1100,Lists!$A:$A,0)),"EU","3RD")))</f>
        <v/>
      </c>
      <c r="Q1100" s="24" t="str">
        <f aca="false">IF($F1100="","N",IFERROR(IF(INDEX(Counterparties!$E:$E,MATCH($F1100&amp;"",Counterparties!$A:$A,0))="Y","Y","N"),"N"))</f>
        <v>N</v>
      </c>
      <c r="R1100" s="25" t="n">
        <f aca="false">IF(OR($H1100="",$H1100="EUR"),1,IFERROR(INDEX(FX_Rates!$D:$D,MATCH($H1100,FX_Rates!$A:$A,0)),""))</f>
        <v>1</v>
      </c>
      <c r="S1100" s="26" t="str">
        <f aca="false">IF(AND($I1100="",$J1100=""),"",IF($J1100&lt;&gt;"",$J1100,IF(OR($R1100="",$R1100=0),"",ROUND($I1100/$R1100,2))))</f>
        <v/>
      </c>
      <c r="T1100" s="24" t="str">
        <f aca="false">IF($N1100="","",IFERROR(INDEX(VAT_Codes!$C:$C,MATCH($N1100,VAT_Codes!$A:$A,0)),"")&amp;"")</f>
        <v/>
      </c>
      <c r="U1100" s="26" t="n">
        <f aca="false">IF(OR($S1100="",$T1100="",$T1100="None"),0,IF($T1100="Output",-$S1100,$S1100))</f>
        <v>0</v>
      </c>
      <c r="V1100" s="27" t="n">
        <f aca="false">IF($N1100="",0,IFERROR(INDEX(VAT_Codes!$D:$D,MATCH($N1100,VAT_Codes!$A:$A,0)),0))</f>
        <v>0</v>
      </c>
      <c r="W1100" s="26" t="n">
        <f aca="false">IF($U1100=0,0,IF(IFERROR(INDEX(VAT_Codes!$F:$F,MATCH($N1100,VAT_Codes!$A:$A,0)),"N")="Y",$U1100,IF($L1100&lt;&gt;"",ROUND(ABS($L1100)/IF(OR($R1100="",$R1100=0),1,$R1100),2)*SIGN($U1100),ROUND($U1100*$V1100,2))))</f>
        <v>0</v>
      </c>
      <c r="X1100" s="24" t="str">
        <f aca="false">IF($N1100="","",IFERROR(INDEX(VAT_Codes!$H:$H,MATCH($N1100,VAT_Codes!$A:$A,0)),"")&amp;"")</f>
        <v/>
      </c>
      <c r="Y1100" s="24" t="str">
        <f aca="false">IF($A1100="","",(YEAR($A1100)-YEAR(Settings!$C$8))*12+MONTH($A1100)-MONTH(Settings!$C$8)+1)</f>
        <v/>
      </c>
      <c r="Z1100" s="24" t="str">
        <f aca="false">IF(AND($C1100="",$I1100="",$J1100=""),"",IF($N1100="","NO VAT CODE",IF($T1100="","UNKNOWN VAT CODE",IF($S1100="","MISSING FX RATE",IF(OR($A1100&lt;Settings!$C$8,$A1100&gt;Settings!$C$9),"OUTSIDE PERIOD",IF(AND(IFERROR(INDEX(VAT_Codes!$E:$E,MATCH($N1100,VAT_Codes!$A:$A,0)),"ANY")&lt;&gt;"ANY",$P1100=""),"MISSING COUNTERPARTY COUNTRY",IF(AND(IFERROR(INDEX(VAT_Codes!$E:$E,MATCH($N1100,VAT_Codes!$A:$A,0)),"ANY")&lt;&gt;"ANY",$P1100&lt;&gt;IFERROR(INDEX(VAT_Codes!$E:$E,MATCH($N1100,VAT_Codes!$A:$A,0)),"ANY")),"REGION MISMATCH","OK")))))))</f>
        <v/>
      </c>
    </row>
    <row r="1101" customFormat="false" ht="15" hidden="false" customHeight="false" outlineLevel="0" collapsed="false">
      <c r="M1101" s="24" t="str">
        <f aca="false">IF($C1101="","",IFERROR(INDEX(Account_Mapping!$C:$C,MATCH($C1101&amp;"",Account_Mapping!$A:$A,0))&amp;"",""))</f>
        <v/>
      </c>
      <c r="N1101" s="24" t="str">
        <f aca="false">IF($K1101&lt;&gt;"",$K1101,$M1101)</f>
        <v/>
      </c>
      <c r="O1101" s="24" t="str">
        <f aca="false">IF($F1101="","",IFERROR(INDEX(Counterparties!$C:$C,MATCH($F1101&amp;"",Counterparties!$A:$A,0))&amp;"",""))</f>
        <v/>
      </c>
      <c r="P1101" s="24" t="str">
        <f aca="false">IF($O1101="","",IF($O1101="CY","CY",IF(ISNUMBER(MATCH($O1101,Lists!$A:$A,0)),"EU","3RD")))</f>
        <v/>
      </c>
      <c r="Q1101" s="24" t="str">
        <f aca="false">IF($F1101="","N",IFERROR(IF(INDEX(Counterparties!$E:$E,MATCH($F1101&amp;"",Counterparties!$A:$A,0))="Y","Y","N"),"N"))</f>
        <v>N</v>
      </c>
      <c r="R1101" s="25" t="n">
        <f aca="false">IF(OR($H1101="",$H1101="EUR"),1,IFERROR(INDEX(FX_Rates!$D:$D,MATCH($H1101,FX_Rates!$A:$A,0)),""))</f>
        <v>1</v>
      </c>
      <c r="S1101" s="26" t="str">
        <f aca="false">IF(AND($I1101="",$J1101=""),"",IF($J1101&lt;&gt;"",$J1101,IF(OR($R1101="",$R1101=0),"",ROUND($I1101/$R1101,2))))</f>
        <v/>
      </c>
      <c r="T1101" s="24" t="str">
        <f aca="false">IF($N1101="","",IFERROR(INDEX(VAT_Codes!$C:$C,MATCH($N1101,VAT_Codes!$A:$A,0)),"")&amp;"")</f>
        <v/>
      </c>
      <c r="U1101" s="26" t="n">
        <f aca="false">IF(OR($S1101="",$T1101="",$T1101="None"),0,IF($T1101="Output",-$S1101,$S1101))</f>
        <v>0</v>
      </c>
      <c r="V1101" s="27" t="n">
        <f aca="false">IF($N1101="",0,IFERROR(INDEX(VAT_Codes!$D:$D,MATCH($N1101,VAT_Codes!$A:$A,0)),0))</f>
        <v>0</v>
      </c>
      <c r="W1101" s="26" t="n">
        <f aca="false">IF($U1101=0,0,IF(IFERROR(INDEX(VAT_Codes!$F:$F,MATCH($N1101,VAT_Codes!$A:$A,0)),"N")="Y",$U1101,IF($L1101&lt;&gt;"",ROUND(ABS($L1101)/IF(OR($R1101="",$R1101=0),1,$R1101),2)*SIGN($U1101),ROUND($U1101*$V1101,2))))</f>
        <v>0</v>
      </c>
      <c r="X1101" s="24" t="str">
        <f aca="false">IF($N1101="","",IFERROR(INDEX(VAT_Codes!$H:$H,MATCH($N1101,VAT_Codes!$A:$A,0)),"")&amp;"")</f>
        <v/>
      </c>
      <c r="Y1101" s="24" t="str">
        <f aca="false">IF($A1101="","",(YEAR($A1101)-YEAR(Settings!$C$8))*12+MONTH($A1101)-MONTH(Settings!$C$8)+1)</f>
        <v/>
      </c>
      <c r="Z1101" s="24" t="str">
        <f aca="false">IF(AND($C1101="",$I1101="",$J1101=""),"",IF($N1101="","NO VAT CODE",IF($T1101="","UNKNOWN VAT CODE",IF($S1101="","MISSING FX RATE",IF(OR($A1101&lt;Settings!$C$8,$A1101&gt;Settings!$C$9),"OUTSIDE PERIOD",IF(AND(IFERROR(INDEX(VAT_Codes!$E:$E,MATCH($N1101,VAT_Codes!$A:$A,0)),"ANY")&lt;&gt;"ANY",$P1101=""),"MISSING COUNTERPARTY COUNTRY",IF(AND(IFERROR(INDEX(VAT_Codes!$E:$E,MATCH($N1101,VAT_Codes!$A:$A,0)),"ANY")&lt;&gt;"ANY",$P1101&lt;&gt;IFERROR(INDEX(VAT_Codes!$E:$E,MATCH($N1101,VAT_Codes!$A:$A,0)),"ANY")),"REGION MISMATCH","OK")))))))</f>
        <v/>
      </c>
    </row>
    <row r="1102" customFormat="false" ht="15" hidden="false" customHeight="false" outlineLevel="0" collapsed="false">
      <c r="M1102" s="24" t="str">
        <f aca="false">IF($C1102="","",IFERROR(INDEX(Account_Mapping!$C:$C,MATCH($C1102&amp;"",Account_Mapping!$A:$A,0))&amp;"",""))</f>
        <v/>
      </c>
      <c r="N1102" s="24" t="str">
        <f aca="false">IF($K1102&lt;&gt;"",$K1102,$M1102)</f>
        <v/>
      </c>
      <c r="O1102" s="24" t="str">
        <f aca="false">IF($F1102="","",IFERROR(INDEX(Counterparties!$C:$C,MATCH($F1102&amp;"",Counterparties!$A:$A,0))&amp;"",""))</f>
        <v/>
      </c>
      <c r="P1102" s="24" t="str">
        <f aca="false">IF($O1102="","",IF($O1102="CY","CY",IF(ISNUMBER(MATCH($O1102,Lists!$A:$A,0)),"EU","3RD")))</f>
        <v/>
      </c>
      <c r="Q1102" s="24" t="str">
        <f aca="false">IF($F1102="","N",IFERROR(IF(INDEX(Counterparties!$E:$E,MATCH($F1102&amp;"",Counterparties!$A:$A,0))="Y","Y","N"),"N"))</f>
        <v>N</v>
      </c>
      <c r="R1102" s="25" t="n">
        <f aca="false">IF(OR($H1102="",$H1102="EUR"),1,IFERROR(INDEX(FX_Rates!$D:$D,MATCH($H1102,FX_Rates!$A:$A,0)),""))</f>
        <v>1</v>
      </c>
      <c r="S1102" s="26" t="str">
        <f aca="false">IF(AND($I1102="",$J1102=""),"",IF($J1102&lt;&gt;"",$J1102,IF(OR($R1102="",$R1102=0),"",ROUND($I1102/$R1102,2))))</f>
        <v/>
      </c>
      <c r="T1102" s="24" t="str">
        <f aca="false">IF($N1102="","",IFERROR(INDEX(VAT_Codes!$C:$C,MATCH($N1102,VAT_Codes!$A:$A,0)),"")&amp;"")</f>
        <v/>
      </c>
      <c r="U1102" s="26" t="n">
        <f aca="false">IF(OR($S1102="",$T1102="",$T1102="None"),0,IF($T1102="Output",-$S1102,$S1102))</f>
        <v>0</v>
      </c>
      <c r="V1102" s="27" t="n">
        <f aca="false">IF($N1102="",0,IFERROR(INDEX(VAT_Codes!$D:$D,MATCH($N1102,VAT_Codes!$A:$A,0)),0))</f>
        <v>0</v>
      </c>
      <c r="W1102" s="26" t="n">
        <f aca="false">IF($U1102=0,0,IF(IFERROR(INDEX(VAT_Codes!$F:$F,MATCH($N1102,VAT_Codes!$A:$A,0)),"N")="Y",$U1102,IF($L1102&lt;&gt;"",ROUND(ABS($L1102)/IF(OR($R1102="",$R1102=0),1,$R1102),2)*SIGN($U1102),ROUND($U1102*$V1102,2))))</f>
        <v>0</v>
      </c>
      <c r="X1102" s="24" t="str">
        <f aca="false">IF($N1102="","",IFERROR(INDEX(VAT_Codes!$H:$H,MATCH($N1102,VAT_Codes!$A:$A,0)),"")&amp;"")</f>
        <v/>
      </c>
      <c r="Y1102" s="24" t="str">
        <f aca="false">IF($A1102="","",(YEAR($A1102)-YEAR(Settings!$C$8))*12+MONTH($A1102)-MONTH(Settings!$C$8)+1)</f>
        <v/>
      </c>
      <c r="Z1102" s="24" t="str">
        <f aca="false">IF(AND($C1102="",$I1102="",$J1102=""),"",IF($N1102="","NO VAT CODE",IF($T1102="","UNKNOWN VAT CODE",IF($S1102="","MISSING FX RATE",IF(OR($A1102&lt;Settings!$C$8,$A1102&gt;Settings!$C$9),"OUTSIDE PERIOD",IF(AND(IFERROR(INDEX(VAT_Codes!$E:$E,MATCH($N1102,VAT_Codes!$A:$A,0)),"ANY")&lt;&gt;"ANY",$P1102=""),"MISSING COUNTERPARTY COUNTRY",IF(AND(IFERROR(INDEX(VAT_Codes!$E:$E,MATCH($N1102,VAT_Codes!$A:$A,0)),"ANY")&lt;&gt;"ANY",$P1102&lt;&gt;IFERROR(INDEX(VAT_Codes!$E:$E,MATCH($N1102,VAT_Codes!$A:$A,0)),"ANY")),"REGION MISMATCH","OK")))))))</f>
        <v/>
      </c>
    </row>
    <row r="1103" customFormat="false" ht="15" hidden="false" customHeight="false" outlineLevel="0" collapsed="false">
      <c r="M1103" s="24" t="str">
        <f aca="false">IF($C1103="","",IFERROR(INDEX(Account_Mapping!$C:$C,MATCH($C1103&amp;"",Account_Mapping!$A:$A,0))&amp;"",""))</f>
        <v/>
      </c>
      <c r="N1103" s="24" t="str">
        <f aca="false">IF($K1103&lt;&gt;"",$K1103,$M1103)</f>
        <v/>
      </c>
      <c r="O1103" s="24" t="str">
        <f aca="false">IF($F1103="","",IFERROR(INDEX(Counterparties!$C:$C,MATCH($F1103&amp;"",Counterparties!$A:$A,0))&amp;"",""))</f>
        <v/>
      </c>
      <c r="P1103" s="24" t="str">
        <f aca="false">IF($O1103="","",IF($O1103="CY","CY",IF(ISNUMBER(MATCH($O1103,Lists!$A:$A,0)),"EU","3RD")))</f>
        <v/>
      </c>
      <c r="Q1103" s="24" t="str">
        <f aca="false">IF($F1103="","N",IFERROR(IF(INDEX(Counterparties!$E:$E,MATCH($F1103&amp;"",Counterparties!$A:$A,0))="Y","Y","N"),"N"))</f>
        <v>N</v>
      </c>
      <c r="R1103" s="25" t="n">
        <f aca="false">IF(OR($H1103="",$H1103="EUR"),1,IFERROR(INDEX(FX_Rates!$D:$D,MATCH($H1103,FX_Rates!$A:$A,0)),""))</f>
        <v>1</v>
      </c>
      <c r="S1103" s="26" t="str">
        <f aca="false">IF(AND($I1103="",$J1103=""),"",IF($J1103&lt;&gt;"",$J1103,IF(OR($R1103="",$R1103=0),"",ROUND($I1103/$R1103,2))))</f>
        <v/>
      </c>
      <c r="T1103" s="24" t="str">
        <f aca="false">IF($N1103="","",IFERROR(INDEX(VAT_Codes!$C:$C,MATCH($N1103,VAT_Codes!$A:$A,0)),"")&amp;"")</f>
        <v/>
      </c>
      <c r="U1103" s="26" t="n">
        <f aca="false">IF(OR($S1103="",$T1103="",$T1103="None"),0,IF($T1103="Output",-$S1103,$S1103))</f>
        <v>0</v>
      </c>
      <c r="V1103" s="27" t="n">
        <f aca="false">IF($N1103="",0,IFERROR(INDEX(VAT_Codes!$D:$D,MATCH($N1103,VAT_Codes!$A:$A,0)),0))</f>
        <v>0</v>
      </c>
      <c r="W1103" s="26" t="n">
        <f aca="false">IF($U1103=0,0,IF(IFERROR(INDEX(VAT_Codes!$F:$F,MATCH($N1103,VAT_Codes!$A:$A,0)),"N")="Y",$U1103,IF($L1103&lt;&gt;"",ROUND(ABS($L1103)/IF(OR($R1103="",$R1103=0),1,$R1103),2)*SIGN($U1103),ROUND($U1103*$V1103,2))))</f>
        <v>0</v>
      </c>
      <c r="X1103" s="24" t="str">
        <f aca="false">IF($N1103="","",IFERROR(INDEX(VAT_Codes!$H:$H,MATCH($N1103,VAT_Codes!$A:$A,0)),"")&amp;"")</f>
        <v/>
      </c>
      <c r="Y1103" s="24" t="str">
        <f aca="false">IF($A1103="","",(YEAR($A1103)-YEAR(Settings!$C$8))*12+MONTH($A1103)-MONTH(Settings!$C$8)+1)</f>
        <v/>
      </c>
      <c r="Z1103" s="24" t="str">
        <f aca="false">IF(AND($C1103="",$I1103="",$J1103=""),"",IF($N1103="","NO VAT CODE",IF($T1103="","UNKNOWN VAT CODE",IF($S1103="","MISSING FX RATE",IF(OR($A1103&lt;Settings!$C$8,$A1103&gt;Settings!$C$9),"OUTSIDE PERIOD",IF(AND(IFERROR(INDEX(VAT_Codes!$E:$E,MATCH($N1103,VAT_Codes!$A:$A,0)),"ANY")&lt;&gt;"ANY",$P1103=""),"MISSING COUNTERPARTY COUNTRY",IF(AND(IFERROR(INDEX(VAT_Codes!$E:$E,MATCH($N1103,VAT_Codes!$A:$A,0)),"ANY")&lt;&gt;"ANY",$P1103&lt;&gt;IFERROR(INDEX(VAT_Codes!$E:$E,MATCH($N1103,VAT_Codes!$A:$A,0)),"ANY")),"REGION MISMATCH","OK")))))))</f>
        <v/>
      </c>
    </row>
    <row r="1104" customFormat="false" ht="15" hidden="false" customHeight="false" outlineLevel="0" collapsed="false">
      <c r="M1104" s="24" t="str">
        <f aca="false">IF($C1104="","",IFERROR(INDEX(Account_Mapping!$C:$C,MATCH($C1104&amp;"",Account_Mapping!$A:$A,0))&amp;"",""))</f>
        <v/>
      </c>
      <c r="N1104" s="24" t="str">
        <f aca="false">IF($K1104&lt;&gt;"",$K1104,$M1104)</f>
        <v/>
      </c>
      <c r="O1104" s="24" t="str">
        <f aca="false">IF($F1104="","",IFERROR(INDEX(Counterparties!$C:$C,MATCH($F1104&amp;"",Counterparties!$A:$A,0))&amp;"",""))</f>
        <v/>
      </c>
      <c r="P1104" s="24" t="str">
        <f aca="false">IF($O1104="","",IF($O1104="CY","CY",IF(ISNUMBER(MATCH($O1104,Lists!$A:$A,0)),"EU","3RD")))</f>
        <v/>
      </c>
      <c r="Q1104" s="24" t="str">
        <f aca="false">IF($F1104="","N",IFERROR(IF(INDEX(Counterparties!$E:$E,MATCH($F1104&amp;"",Counterparties!$A:$A,0))="Y","Y","N"),"N"))</f>
        <v>N</v>
      </c>
      <c r="R1104" s="25" t="n">
        <f aca="false">IF(OR($H1104="",$H1104="EUR"),1,IFERROR(INDEX(FX_Rates!$D:$D,MATCH($H1104,FX_Rates!$A:$A,0)),""))</f>
        <v>1</v>
      </c>
      <c r="S1104" s="26" t="str">
        <f aca="false">IF(AND($I1104="",$J1104=""),"",IF($J1104&lt;&gt;"",$J1104,IF(OR($R1104="",$R1104=0),"",ROUND($I1104/$R1104,2))))</f>
        <v/>
      </c>
      <c r="T1104" s="24" t="str">
        <f aca="false">IF($N1104="","",IFERROR(INDEX(VAT_Codes!$C:$C,MATCH($N1104,VAT_Codes!$A:$A,0)),"")&amp;"")</f>
        <v/>
      </c>
      <c r="U1104" s="26" t="n">
        <f aca="false">IF(OR($S1104="",$T1104="",$T1104="None"),0,IF($T1104="Output",-$S1104,$S1104))</f>
        <v>0</v>
      </c>
      <c r="V1104" s="27" t="n">
        <f aca="false">IF($N1104="",0,IFERROR(INDEX(VAT_Codes!$D:$D,MATCH($N1104,VAT_Codes!$A:$A,0)),0))</f>
        <v>0</v>
      </c>
      <c r="W1104" s="26" t="n">
        <f aca="false">IF($U1104=0,0,IF(IFERROR(INDEX(VAT_Codes!$F:$F,MATCH($N1104,VAT_Codes!$A:$A,0)),"N")="Y",$U1104,IF($L1104&lt;&gt;"",ROUND(ABS($L1104)/IF(OR($R1104="",$R1104=0),1,$R1104),2)*SIGN($U1104),ROUND($U1104*$V1104,2))))</f>
        <v>0</v>
      </c>
      <c r="X1104" s="24" t="str">
        <f aca="false">IF($N1104="","",IFERROR(INDEX(VAT_Codes!$H:$H,MATCH($N1104,VAT_Codes!$A:$A,0)),"")&amp;"")</f>
        <v/>
      </c>
      <c r="Y1104" s="24" t="str">
        <f aca="false">IF($A1104="","",(YEAR($A1104)-YEAR(Settings!$C$8))*12+MONTH($A1104)-MONTH(Settings!$C$8)+1)</f>
        <v/>
      </c>
      <c r="Z1104" s="24" t="str">
        <f aca="false">IF(AND($C1104="",$I1104="",$J1104=""),"",IF($N1104="","NO VAT CODE",IF($T1104="","UNKNOWN VAT CODE",IF($S1104="","MISSING FX RATE",IF(OR($A1104&lt;Settings!$C$8,$A1104&gt;Settings!$C$9),"OUTSIDE PERIOD",IF(AND(IFERROR(INDEX(VAT_Codes!$E:$E,MATCH($N1104,VAT_Codes!$A:$A,0)),"ANY")&lt;&gt;"ANY",$P1104=""),"MISSING COUNTERPARTY COUNTRY",IF(AND(IFERROR(INDEX(VAT_Codes!$E:$E,MATCH($N1104,VAT_Codes!$A:$A,0)),"ANY")&lt;&gt;"ANY",$P1104&lt;&gt;IFERROR(INDEX(VAT_Codes!$E:$E,MATCH($N1104,VAT_Codes!$A:$A,0)),"ANY")),"REGION MISMATCH","OK")))))))</f>
        <v/>
      </c>
    </row>
    <row r="1105" customFormat="false" ht="15" hidden="false" customHeight="false" outlineLevel="0" collapsed="false">
      <c r="M1105" s="24" t="str">
        <f aca="false">IF($C1105="","",IFERROR(INDEX(Account_Mapping!$C:$C,MATCH($C1105&amp;"",Account_Mapping!$A:$A,0))&amp;"",""))</f>
        <v/>
      </c>
      <c r="N1105" s="24" t="str">
        <f aca="false">IF($K1105&lt;&gt;"",$K1105,$M1105)</f>
        <v/>
      </c>
      <c r="O1105" s="24" t="str">
        <f aca="false">IF($F1105="","",IFERROR(INDEX(Counterparties!$C:$C,MATCH($F1105&amp;"",Counterparties!$A:$A,0))&amp;"",""))</f>
        <v/>
      </c>
      <c r="P1105" s="24" t="str">
        <f aca="false">IF($O1105="","",IF($O1105="CY","CY",IF(ISNUMBER(MATCH($O1105,Lists!$A:$A,0)),"EU","3RD")))</f>
        <v/>
      </c>
      <c r="Q1105" s="24" t="str">
        <f aca="false">IF($F1105="","N",IFERROR(IF(INDEX(Counterparties!$E:$E,MATCH($F1105&amp;"",Counterparties!$A:$A,0))="Y","Y","N"),"N"))</f>
        <v>N</v>
      </c>
      <c r="R1105" s="25" t="n">
        <f aca="false">IF(OR($H1105="",$H1105="EUR"),1,IFERROR(INDEX(FX_Rates!$D:$D,MATCH($H1105,FX_Rates!$A:$A,0)),""))</f>
        <v>1</v>
      </c>
      <c r="S1105" s="26" t="str">
        <f aca="false">IF(AND($I1105="",$J1105=""),"",IF($J1105&lt;&gt;"",$J1105,IF(OR($R1105="",$R1105=0),"",ROUND($I1105/$R1105,2))))</f>
        <v/>
      </c>
      <c r="T1105" s="24" t="str">
        <f aca="false">IF($N1105="","",IFERROR(INDEX(VAT_Codes!$C:$C,MATCH($N1105,VAT_Codes!$A:$A,0)),"")&amp;"")</f>
        <v/>
      </c>
      <c r="U1105" s="26" t="n">
        <f aca="false">IF(OR($S1105="",$T1105="",$T1105="None"),0,IF($T1105="Output",-$S1105,$S1105))</f>
        <v>0</v>
      </c>
      <c r="V1105" s="27" t="n">
        <f aca="false">IF($N1105="",0,IFERROR(INDEX(VAT_Codes!$D:$D,MATCH($N1105,VAT_Codes!$A:$A,0)),0))</f>
        <v>0</v>
      </c>
      <c r="W1105" s="26" t="n">
        <f aca="false">IF($U1105=0,0,IF(IFERROR(INDEX(VAT_Codes!$F:$F,MATCH($N1105,VAT_Codes!$A:$A,0)),"N")="Y",$U1105,IF($L1105&lt;&gt;"",ROUND(ABS($L1105)/IF(OR($R1105="",$R1105=0),1,$R1105),2)*SIGN($U1105),ROUND($U1105*$V1105,2))))</f>
        <v>0</v>
      </c>
      <c r="X1105" s="24" t="str">
        <f aca="false">IF($N1105="","",IFERROR(INDEX(VAT_Codes!$H:$H,MATCH($N1105,VAT_Codes!$A:$A,0)),"")&amp;"")</f>
        <v/>
      </c>
      <c r="Y1105" s="24" t="str">
        <f aca="false">IF($A1105="","",(YEAR($A1105)-YEAR(Settings!$C$8))*12+MONTH($A1105)-MONTH(Settings!$C$8)+1)</f>
        <v/>
      </c>
      <c r="Z1105" s="24" t="str">
        <f aca="false">IF(AND($C1105="",$I1105="",$J1105=""),"",IF($N1105="","NO VAT CODE",IF($T1105="","UNKNOWN VAT CODE",IF($S1105="","MISSING FX RATE",IF(OR($A1105&lt;Settings!$C$8,$A1105&gt;Settings!$C$9),"OUTSIDE PERIOD",IF(AND(IFERROR(INDEX(VAT_Codes!$E:$E,MATCH($N1105,VAT_Codes!$A:$A,0)),"ANY")&lt;&gt;"ANY",$P1105=""),"MISSING COUNTERPARTY COUNTRY",IF(AND(IFERROR(INDEX(VAT_Codes!$E:$E,MATCH($N1105,VAT_Codes!$A:$A,0)),"ANY")&lt;&gt;"ANY",$P1105&lt;&gt;IFERROR(INDEX(VAT_Codes!$E:$E,MATCH($N1105,VAT_Codes!$A:$A,0)),"ANY")),"REGION MISMATCH","OK")))))))</f>
        <v/>
      </c>
    </row>
    <row r="1106" customFormat="false" ht="15" hidden="false" customHeight="false" outlineLevel="0" collapsed="false">
      <c r="M1106" s="24" t="str">
        <f aca="false">IF($C1106="","",IFERROR(INDEX(Account_Mapping!$C:$C,MATCH($C1106&amp;"",Account_Mapping!$A:$A,0))&amp;"",""))</f>
        <v/>
      </c>
      <c r="N1106" s="24" t="str">
        <f aca="false">IF($K1106&lt;&gt;"",$K1106,$M1106)</f>
        <v/>
      </c>
      <c r="O1106" s="24" t="str">
        <f aca="false">IF($F1106="","",IFERROR(INDEX(Counterparties!$C:$C,MATCH($F1106&amp;"",Counterparties!$A:$A,0))&amp;"",""))</f>
        <v/>
      </c>
      <c r="P1106" s="24" t="str">
        <f aca="false">IF($O1106="","",IF($O1106="CY","CY",IF(ISNUMBER(MATCH($O1106,Lists!$A:$A,0)),"EU","3RD")))</f>
        <v/>
      </c>
      <c r="Q1106" s="24" t="str">
        <f aca="false">IF($F1106="","N",IFERROR(IF(INDEX(Counterparties!$E:$E,MATCH($F1106&amp;"",Counterparties!$A:$A,0))="Y","Y","N"),"N"))</f>
        <v>N</v>
      </c>
      <c r="R1106" s="25" t="n">
        <f aca="false">IF(OR($H1106="",$H1106="EUR"),1,IFERROR(INDEX(FX_Rates!$D:$D,MATCH($H1106,FX_Rates!$A:$A,0)),""))</f>
        <v>1</v>
      </c>
      <c r="S1106" s="26" t="str">
        <f aca="false">IF(AND($I1106="",$J1106=""),"",IF($J1106&lt;&gt;"",$J1106,IF(OR($R1106="",$R1106=0),"",ROUND($I1106/$R1106,2))))</f>
        <v/>
      </c>
      <c r="T1106" s="24" t="str">
        <f aca="false">IF($N1106="","",IFERROR(INDEX(VAT_Codes!$C:$C,MATCH($N1106,VAT_Codes!$A:$A,0)),"")&amp;"")</f>
        <v/>
      </c>
      <c r="U1106" s="26" t="n">
        <f aca="false">IF(OR($S1106="",$T1106="",$T1106="None"),0,IF($T1106="Output",-$S1106,$S1106))</f>
        <v>0</v>
      </c>
      <c r="V1106" s="27" t="n">
        <f aca="false">IF($N1106="",0,IFERROR(INDEX(VAT_Codes!$D:$D,MATCH($N1106,VAT_Codes!$A:$A,0)),0))</f>
        <v>0</v>
      </c>
      <c r="W1106" s="26" t="n">
        <f aca="false">IF($U1106=0,0,IF(IFERROR(INDEX(VAT_Codes!$F:$F,MATCH($N1106,VAT_Codes!$A:$A,0)),"N")="Y",$U1106,IF($L1106&lt;&gt;"",ROUND(ABS($L1106)/IF(OR($R1106="",$R1106=0),1,$R1106),2)*SIGN($U1106),ROUND($U1106*$V1106,2))))</f>
        <v>0</v>
      </c>
      <c r="X1106" s="24" t="str">
        <f aca="false">IF($N1106="","",IFERROR(INDEX(VAT_Codes!$H:$H,MATCH($N1106,VAT_Codes!$A:$A,0)),"")&amp;"")</f>
        <v/>
      </c>
      <c r="Y1106" s="24" t="str">
        <f aca="false">IF($A1106="","",(YEAR($A1106)-YEAR(Settings!$C$8))*12+MONTH($A1106)-MONTH(Settings!$C$8)+1)</f>
        <v/>
      </c>
      <c r="Z1106" s="24" t="str">
        <f aca="false">IF(AND($C1106="",$I1106="",$J1106=""),"",IF($N1106="","NO VAT CODE",IF($T1106="","UNKNOWN VAT CODE",IF($S1106="","MISSING FX RATE",IF(OR($A1106&lt;Settings!$C$8,$A1106&gt;Settings!$C$9),"OUTSIDE PERIOD",IF(AND(IFERROR(INDEX(VAT_Codes!$E:$E,MATCH($N1106,VAT_Codes!$A:$A,0)),"ANY")&lt;&gt;"ANY",$P1106=""),"MISSING COUNTERPARTY COUNTRY",IF(AND(IFERROR(INDEX(VAT_Codes!$E:$E,MATCH($N1106,VAT_Codes!$A:$A,0)),"ANY")&lt;&gt;"ANY",$P1106&lt;&gt;IFERROR(INDEX(VAT_Codes!$E:$E,MATCH($N1106,VAT_Codes!$A:$A,0)),"ANY")),"REGION MISMATCH","OK")))))))</f>
        <v/>
      </c>
    </row>
    <row r="1107" customFormat="false" ht="15" hidden="false" customHeight="false" outlineLevel="0" collapsed="false">
      <c r="M1107" s="24" t="str">
        <f aca="false">IF($C1107="","",IFERROR(INDEX(Account_Mapping!$C:$C,MATCH($C1107&amp;"",Account_Mapping!$A:$A,0))&amp;"",""))</f>
        <v/>
      </c>
      <c r="N1107" s="24" t="str">
        <f aca="false">IF($K1107&lt;&gt;"",$K1107,$M1107)</f>
        <v/>
      </c>
      <c r="O1107" s="24" t="str">
        <f aca="false">IF($F1107="","",IFERROR(INDEX(Counterparties!$C:$C,MATCH($F1107&amp;"",Counterparties!$A:$A,0))&amp;"",""))</f>
        <v/>
      </c>
      <c r="P1107" s="24" t="str">
        <f aca="false">IF($O1107="","",IF($O1107="CY","CY",IF(ISNUMBER(MATCH($O1107,Lists!$A:$A,0)),"EU","3RD")))</f>
        <v/>
      </c>
      <c r="Q1107" s="24" t="str">
        <f aca="false">IF($F1107="","N",IFERROR(IF(INDEX(Counterparties!$E:$E,MATCH($F1107&amp;"",Counterparties!$A:$A,0))="Y","Y","N"),"N"))</f>
        <v>N</v>
      </c>
      <c r="R1107" s="25" t="n">
        <f aca="false">IF(OR($H1107="",$H1107="EUR"),1,IFERROR(INDEX(FX_Rates!$D:$D,MATCH($H1107,FX_Rates!$A:$A,0)),""))</f>
        <v>1</v>
      </c>
      <c r="S1107" s="26" t="str">
        <f aca="false">IF(AND($I1107="",$J1107=""),"",IF($J1107&lt;&gt;"",$J1107,IF(OR($R1107="",$R1107=0),"",ROUND($I1107/$R1107,2))))</f>
        <v/>
      </c>
      <c r="T1107" s="24" t="str">
        <f aca="false">IF($N1107="","",IFERROR(INDEX(VAT_Codes!$C:$C,MATCH($N1107,VAT_Codes!$A:$A,0)),"")&amp;"")</f>
        <v/>
      </c>
      <c r="U1107" s="26" t="n">
        <f aca="false">IF(OR($S1107="",$T1107="",$T1107="None"),0,IF($T1107="Output",-$S1107,$S1107))</f>
        <v>0</v>
      </c>
      <c r="V1107" s="27" t="n">
        <f aca="false">IF($N1107="",0,IFERROR(INDEX(VAT_Codes!$D:$D,MATCH($N1107,VAT_Codes!$A:$A,0)),0))</f>
        <v>0</v>
      </c>
      <c r="W1107" s="26" t="n">
        <f aca="false">IF($U1107=0,0,IF(IFERROR(INDEX(VAT_Codes!$F:$F,MATCH($N1107,VAT_Codes!$A:$A,0)),"N")="Y",$U1107,IF($L1107&lt;&gt;"",ROUND(ABS($L1107)/IF(OR($R1107="",$R1107=0),1,$R1107),2)*SIGN($U1107),ROUND($U1107*$V1107,2))))</f>
        <v>0</v>
      </c>
      <c r="X1107" s="24" t="str">
        <f aca="false">IF($N1107="","",IFERROR(INDEX(VAT_Codes!$H:$H,MATCH($N1107,VAT_Codes!$A:$A,0)),"")&amp;"")</f>
        <v/>
      </c>
      <c r="Y1107" s="24" t="str">
        <f aca="false">IF($A1107="","",(YEAR($A1107)-YEAR(Settings!$C$8))*12+MONTH($A1107)-MONTH(Settings!$C$8)+1)</f>
        <v/>
      </c>
      <c r="Z1107" s="24" t="str">
        <f aca="false">IF(AND($C1107="",$I1107="",$J1107=""),"",IF($N1107="","NO VAT CODE",IF($T1107="","UNKNOWN VAT CODE",IF($S1107="","MISSING FX RATE",IF(OR($A1107&lt;Settings!$C$8,$A1107&gt;Settings!$C$9),"OUTSIDE PERIOD",IF(AND(IFERROR(INDEX(VAT_Codes!$E:$E,MATCH($N1107,VAT_Codes!$A:$A,0)),"ANY")&lt;&gt;"ANY",$P1107=""),"MISSING COUNTERPARTY COUNTRY",IF(AND(IFERROR(INDEX(VAT_Codes!$E:$E,MATCH($N1107,VAT_Codes!$A:$A,0)),"ANY")&lt;&gt;"ANY",$P1107&lt;&gt;IFERROR(INDEX(VAT_Codes!$E:$E,MATCH($N1107,VAT_Codes!$A:$A,0)),"ANY")),"REGION MISMATCH","OK")))))))</f>
        <v/>
      </c>
    </row>
    <row r="1108" customFormat="false" ht="15" hidden="false" customHeight="false" outlineLevel="0" collapsed="false">
      <c r="M1108" s="24" t="str">
        <f aca="false">IF($C1108="","",IFERROR(INDEX(Account_Mapping!$C:$C,MATCH($C1108&amp;"",Account_Mapping!$A:$A,0))&amp;"",""))</f>
        <v/>
      </c>
      <c r="N1108" s="24" t="str">
        <f aca="false">IF($K1108&lt;&gt;"",$K1108,$M1108)</f>
        <v/>
      </c>
      <c r="O1108" s="24" t="str">
        <f aca="false">IF($F1108="","",IFERROR(INDEX(Counterparties!$C:$C,MATCH($F1108&amp;"",Counterparties!$A:$A,0))&amp;"",""))</f>
        <v/>
      </c>
      <c r="P1108" s="24" t="str">
        <f aca="false">IF($O1108="","",IF($O1108="CY","CY",IF(ISNUMBER(MATCH($O1108,Lists!$A:$A,0)),"EU","3RD")))</f>
        <v/>
      </c>
      <c r="Q1108" s="24" t="str">
        <f aca="false">IF($F1108="","N",IFERROR(IF(INDEX(Counterparties!$E:$E,MATCH($F1108&amp;"",Counterparties!$A:$A,0))="Y","Y","N"),"N"))</f>
        <v>N</v>
      </c>
      <c r="R1108" s="25" t="n">
        <f aca="false">IF(OR($H1108="",$H1108="EUR"),1,IFERROR(INDEX(FX_Rates!$D:$D,MATCH($H1108,FX_Rates!$A:$A,0)),""))</f>
        <v>1</v>
      </c>
      <c r="S1108" s="26" t="str">
        <f aca="false">IF(AND($I1108="",$J1108=""),"",IF($J1108&lt;&gt;"",$J1108,IF(OR($R1108="",$R1108=0),"",ROUND($I1108/$R1108,2))))</f>
        <v/>
      </c>
      <c r="T1108" s="24" t="str">
        <f aca="false">IF($N1108="","",IFERROR(INDEX(VAT_Codes!$C:$C,MATCH($N1108,VAT_Codes!$A:$A,0)),"")&amp;"")</f>
        <v/>
      </c>
      <c r="U1108" s="26" t="n">
        <f aca="false">IF(OR($S1108="",$T1108="",$T1108="None"),0,IF($T1108="Output",-$S1108,$S1108))</f>
        <v>0</v>
      </c>
      <c r="V1108" s="27" t="n">
        <f aca="false">IF($N1108="",0,IFERROR(INDEX(VAT_Codes!$D:$D,MATCH($N1108,VAT_Codes!$A:$A,0)),0))</f>
        <v>0</v>
      </c>
      <c r="W1108" s="26" t="n">
        <f aca="false">IF($U1108=0,0,IF(IFERROR(INDEX(VAT_Codes!$F:$F,MATCH($N1108,VAT_Codes!$A:$A,0)),"N")="Y",$U1108,IF($L1108&lt;&gt;"",ROUND(ABS($L1108)/IF(OR($R1108="",$R1108=0),1,$R1108),2)*SIGN($U1108),ROUND($U1108*$V1108,2))))</f>
        <v>0</v>
      </c>
      <c r="X1108" s="24" t="str">
        <f aca="false">IF($N1108="","",IFERROR(INDEX(VAT_Codes!$H:$H,MATCH($N1108,VAT_Codes!$A:$A,0)),"")&amp;"")</f>
        <v/>
      </c>
      <c r="Y1108" s="24" t="str">
        <f aca="false">IF($A1108="","",(YEAR($A1108)-YEAR(Settings!$C$8))*12+MONTH($A1108)-MONTH(Settings!$C$8)+1)</f>
        <v/>
      </c>
      <c r="Z1108" s="24" t="str">
        <f aca="false">IF(AND($C1108="",$I1108="",$J1108=""),"",IF($N1108="","NO VAT CODE",IF($T1108="","UNKNOWN VAT CODE",IF($S1108="","MISSING FX RATE",IF(OR($A1108&lt;Settings!$C$8,$A1108&gt;Settings!$C$9),"OUTSIDE PERIOD",IF(AND(IFERROR(INDEX(VAT_Codes!$E:$E,MATCH($N1108,VAT_Codes!$A:$A,0)),"ANY")&lt;&gt;"ANY",$P1108=""),"MISSING COUNTERPARTY COUNTRY",IF(AND(IFERROR(INDEX(VAT_Codes!$E:$E,MATCH($N1108,VAT_Codes!$A:$A,0)),"ANY")&lt;&gt;"ANY",$P1108&lt;&gt;IFERROR(INDEX(VAT_Codes!$E:$E,MATCH($N1108,VAT_Codes!$A:$A,0)),"ANY")),"REGION MISMATCH","OK")))))))</f>
        <v/>
      </c>
    </row>
    <row r="1109" customFormat="false" ht="15" hidden="false" customHeight="false" outlineLevel="0" collapsed="false">
      <c r="M1109" s="24" t="str">
        <f aca="false">IF($C1109="","",IFERROR(INDEX(Account_Mapping!$C:$C,MATCH($C1109&amp;"",Account_Mapping!$A:$A,0))&amp;"",""))</f>
        <v/>
      </c>
      <c r="N1109" s="24" t="str">
        <f aca="false">IF($K1109&lt;&gt;"",$K1109,$M1109)</f>
        <v/>
      </c>
      <c r="O1109" s="24" t="str">
        <f aca="false">IF($F1109="","",IFERROR(INDEX(Counterparties!$C:$C,MATCH($F1109&amp;"",Counterparties!$A:$A,0))&amp;"",""))</f>
        <v/>
      </c>
      <c r="P1109" s="24" t="str">
        <f aca="false">IF($O1109="","",IF($O1109="CY","CY",IF(ISNUMBER(MATCH($O1109,Lists!$A:$A,0)),"EU","3RD")))</f>
        <v/>
      </c>
      <c r="Q1109" s="24" t="str">
        <f aca="false">IF($F1109="","N",IFERROR(IF(INDEX(Counterparties!$E:$E,MATCH($F1109&amp;"",Counterparties!$A:$A,0))="Y","Y","N"),"N"))</f>
        <v>N</v>
      </c>
      <c r="R1109" s="25" t="n">
        <f aca="false">IF(OR($H1109="",$H1109="EUR"),1,IFERROR(INDEX(FX_Rates!$D:$D,MATCH($H1109,FX_Rates!$A:$A,0)),""))</f>
        <v>1</v>
      </c>
      <c r="S1109" s="26" t="str">
        <f aca="false">IF(AND($I1109="",$J1109=""),"",IF($J1109&lt;&gt;"",$J1109,IF(OR($R1109="",$R1109=0),"",ROUND($I1109/$R1109,2))))</f>
        <v/>
      </c>
      <c r="T1109" s="24" t="str">
        <f aca="false">IF($N1109="","",IFERROR(INDEX(VAT_Codes!$C:$C,MATCH($N1109,VAT_Codes!$A:$A,0)),"")&amp;"")</f>
        <v/>
      </c>
      <c r="U1109" s="26" t="n">
        <f aca="false">IF(OR($S1109="",$T1109="",$T1109="None"),0,IF($T1109="Output",-$S1109,$S1109))</f>
        <v>0</v>
      </c>
      <c r="V1109" s="27" t="n">
        <f aca="false">IF($N1109="",0,IFERROR(INDEX(VAT_Codes!$D:$D,MATCH($N1109,VAT_Codes!$A:$A,0)),0))</f>
        <v>0</v>
      </c>
      <c r="W1109" s="26" t="n">
        <f aca="false">IF($U1109=0,0,IF(IFERROR(INDEX(VAT_Codes!$F:$F,MATCH($N1109,VAT_Codes!$A:$A,0)),"N")="Y",$U1109,IF($L1109&lt;&gt;"",ROUND(ABS($L1109)/IF(OR($R1109="",$R1109=0),1,$R1109),2)*SIGN($U1109),ROUND($U1109*$V1109,2))))</f>
        <v>0</v>
      </c>
      <c r="X1109" s="24" t="str">
        <f aca="false">IF($N1109="","",IFERROR(INDEX(VAT_Codes!$H:$H,MATCH($N1109,VAT_Codes!$A:$A,0)),"")&amp;"")</f>
        <v/>
      </c>
      <c r="Y1109" s="24" t="str">
        <f aca="false">IF($A1109="","",(YEAR($A1109)-YEAR(Settings!$C$8))*12+MONTH($A1109)-MONTH(Settings!$C$8)+1)</f>
        <v/>
      </c>
      <c r="Z1109" s="24" t="str">
        <f aca="false">IF(AND($C1109="",$I1109="",$J1109=""),"",IF($N1109="","NO VAT CODE",IF($T1109="","UNKNOWN VAT CODE",IF($S1109="","MISSING FX RATE",IF(OR($A1109&lt;Settings!$C$8,$A1109&gt;Settings!$C$9),"OUTSIDE PERIOD",IF(AND(IFERROR(INDEX(VAT_Codes!$E:$E,MATCH($N1109,VAT_Codes!$A:$A,0)),"ANY")&lt;&gt;"ANY",$P1109=""),"MISSING COUNTERPARTY COUNTRY",IF(AND(IFERROR(INDEX(VAT_Codes!$E:$E,MATCH($N1109,VAT_Codes!$A:$A,0)),"ANY")&lt;&gt;"ANY",$P1109&lt;&gt;IFERROR(INDEX(VAT_Codes!$E:$E,MATCH($N1109,VAT_Codes!$A:$A,0)),"ANY")),"REGION MISMATCH","OK")))))))</f>
        <v/>
      </c>
    </row>
    <row r="1110" customFormat="false" ht="15" hidden="false" customHeight="false" outlineLevel="0" collapsed="false">
      <c r="M1110" s="24" t="str">
        <f aca="false">IF($C1110="","",IFERROR(INDEX(Account_Mapping!$C:$C,MATCH($C1110&amp;"",Account_Mapping!$A:$A,0))&amp;"",""))</f>
        <v/>
      </c>
      <c r="N1110" s="24" t="str">
        <f aca="false">IF($K1110&lt;&gt;"",$K1110,$M1110)</f>
        <v/>
      </c>
      <c r="O1110" s="24" t="str">
        <f aca="false">IF($F1110="","",IFERROR(INDEX(Counterparties!$C:$C,MATCH($F1110&amp;"",Counterparties!$A:$A,0))&amp;"",""))</f>
        <v/>
      </c>
      <c r="P1110" s="24" t="str">
        <f aca="false">IF($O1110="","",IF($O1110="CY","CY",IF(ISNUMBER(MATCH($O1110,Lists!$A:$A,0)),"EU","3RD")))</f>
        <v/>
      </c>
      <c r="Q1110" s="24" t="str">
        <f aca="false">IF($F1110="","N",IFERROR(IF(INDEX(Counterparties!$E:$E,MATCH($F1110&amp;"",Counterparties!$A:$A,0))="Y","Y","N"),"N"))</f>
        <v>N</v>
      </c>
      <c r="R1110" s="25" t="n">
        <f aca="false">IF(OR($H1110="",$H1110="EUR"),1,IFERROR(INDEX(FX_Rates!$D:$D,MATCH($H1110,FX_Rates!$A:$A,0)),""))</f>
        <v>1</v>
      </c>
      <c r="S1110" s="26" t="str">
        <f aca="false">IF(AND($I1110="",$J1110=""),"",IF($J1110&lt;&gt;"",$J1110,IF(OR($R1110="",$R1110=0),"",ROUND($I1110/$R1110,2))))</f>
        <v/>
      </c>
      <c r="T1110" s="24" t="str">
        <f aca="false">IF($N1110="","",IFERROR(INDEX(VAT_Codes!$C:$C,MATCH($N1110,VAT_Codes!$A:$A,0)),"")&amp;"")</f>
        <v/>
      </c>
      <c r="U1110" s="26" t="n">
        <f aca="false">IF(OR($S1110="",$T1110="",$T1110="None"),0,IF($T1110="Output",-$S1110,$S1110))</f>
        <v>0</v>
      </c>
      <c r="V1110" s="27" t="n">
        <f aca="false">IF($N1110="",0,IFERROR(INDEX(VAT_Codes!$D:$D,MATCH($N1110,VAT_Codes!$A:$A,0)),0))</f>
        <v>0</v>
      </c>
      <c r="W1110" s="26" t="n">
        <f aca="false">IF($U1110=0,0,IF(IFERROR(INDEX(VAT_Codes!$F:$F,MATCH($N1110,VAT_Codes!$A:$A,0)),"N")="Y",$U1110,IF($L1110&lt;&gt;"",ROUND(ABS($L1110)/IF(OR($R1110="",$R1110=0),1,$R1110),2)*SIGN($U1110),ROUND($U1110*$V1110,2))))</f>
        <v>0</v>
      </c>
      <c r="X1110" s="24" t="str">
        <f aca="false">IF($N1110="","",IFERROR(INDEX(VAT_Codes!$H:$H,MATCH($N1110,VAT_Codes!$A:$A,0)),"")&amp;"")</f>
        <v/>
      </c>
      <c r="Y1110" s="24" t="str">
        <f aca="false">IF($A1110="","",(YEAR($A1110)-YEAR(Settings!$C$8))*12+MONTH($A1110)-MONTH(Settings!$C$8)+1)</f>
        <v/>
      </c>
      <c r="Z1110" s="24" t="str">
        <f aca="false">IF(AND($C1110="",$I1110="",$J1110=""),"",IF($N1110="","NO VAT CODE",IF($T1110="","UNKNOWN VAT CODE",IF($S1110="","MISSING FX RATE",IF(OR($A1110&lt;Settings!$C$8,$A1110&gt;Settings!$C$9),"OUTSIDE PERIOD",IF(AND(IFERROR(INDEX(VAT_Codes!$E:$E,MATCH($N1110,VAT_Codes!$A:$A,0)),"ANY")&lt;&gt;"ANY",$P1110=""),"MISSING COUNTERPARTY COUNTRY",IF(AND(IFERROR(INDEX(VAT_Codes!$E:$E,MATCH($N1110,VAT_Codes!$A:$A,0)),"ANY")&lt;&gt;"ANY",$P1110&lt;&gt;IFERROR(INDEX(VAT_Codes!$E:$E,MATCH($N1110,VAT_Codes!$A:$A,0)),"ANY")),"REGION MISMATCH","OK")))))))</f>
        <v/>
      </c>
    </row>
    <row r="1111" customFormat="false" ht="15" hidden="false" customHeight="false" outlineLevel="0" collapsed="false">
      <c r="M1111" s="24" t="str">
        <f aca="false">IF($C1111="","",IFERROR(INDEX(Account_Mapping!$C:$C,MATCH($C1111&amp;"",Account_Mapping!$A:$A,0))&amp;"",""))</f>
        <v/>
      </c>
      <c r="N1111" s="24" t="str">
        <f aca="false">IF($K1111&lt;&gt;"",$K1111,$M1111)</f>
        <v/>
      </c>
      <c r="O1111" s="24" t="str">
        <f aca="false">IF($F1111="","",IFERROR(INDEX(Counterparties!$C:$C,MATCH($F1111&amp;"",Counterparties!$A:$A,0))&amp;"",""))</f>
        <v/>
      </c>
      <c r="P1111" s="24" t="str">
        <f aca="false">IF($O1111="","",IF($O1111="CY","CY",IF(ISNUMBER(MATCH($O1111,Lists!$A:$A,0)),"EU","3RD")))</f>
        <v/>
      </c>
      <c r="Q1111" s="24" t="str">
        <f aca="false">IF($F1111="","N",IFERROR(IF(INDEX(Counterparties!$E:$E,MATCH($F1111&amp;"",Counterparties!$A:$A,0))="Y","Y","N"),"N"))</f>
        <v>N</v>
      </c>
      <c r="R1111" s="25" t="n">
        <f aca="false">IF(OR($H1111="",$H1111="EUR"),1,IFERROR(INDEX(FX_Rates!$D:$D,MATCH($H1111,FX_Rates!$A:$A,0)),""))</f>
        <v>1</v>
      </c>
      <c r="S1111" s="26" t="str">
        <f aca="false">IF(AND($I1111="",$J1111=""),"",IF($J1111&lt;&gt;"",$J1111,IF(OR($R1111="",$R1111=0),"",ROUND($I1111/$R1111,2))))</f>
        <v/>
      </c>
      <c r="T1111" s="24" t="str">
        <f aca="false">IF($N1111="","",IFERROR(INDEX(VAT_Codes!$C:$C,MATCH($N1111,VAT_Codes!$A:$A,0)),"")&amp;"")</f>
        <v/>
      </c>
      <c r="U1111" s="26" t="n">
        <f aca="false">IF(OR($S1111="",$T1111="",$T1111="None"),0,IF($T1111="Output",-$S1111,$S1111))</f>
        <v>0</v>
      </c>
      <c r="V1111" s="27" t="n">
        <f aca="false">IF($N1111="",0,IFERROR(INDEX(VAT_Codes!$D:$D,MATCH($N1111,VAT_Codes!$A:$A,0)),0))</f>
        <v>0</v>
      </c>
      <c r="W1111" s="26" t="n">
        <f aca="false">IF($U1111=0,0,IF(IFERROR(INDEX(VAT_Codes!$F:$F,MATCH($N1111,VAT_Codes!$A:$A,0)),"N")="Y",$U1111,IF($L1111&lt;&gt;"",ROUND(ABS($L1111)/IF(OR($R1111="",$R1111=0),1,$R1111),2)*SIGN($U1111),ROUND($U1111*$V1111,2))))</f>
        <v>0</v>
      </c>
      <c r="X1111" s="24" t="str">
        <f aca="false">IF($N1111="","",IFERROR(INDEX(VAT_Codes!$H:$H,MATCH($N1111,VAT_Codes!$A:$A,0)),"")&amp;"")</f>
        <v/>
      </c>
      <c r="Y1111" s="24" t="str">
        <f aca="false">IF($A1111="","",(YEAR($A1111)-YEAR(Settings!$C$8))*12+MONTH($A1111)-MONTH(Settings!$C$8)+1)</f>
        <v/>
      </c>
      <c r="Z1111" s="24" t="str">
        <f aca="false">IF(AND($C1111="",$I1111="",$J1111=""),"",IF($N1111="","NO VAT CODE",IF($T1111="","UNKNOWN VAT CODE",IF($S1111="","MISSING FX RATE",IF(OR($A1111&lt;Settings!$C$8,$A1111&gt;Settings!$C$9),"OUTSIDE PERIOD",IF(AND(IFERROR(INDEX(VAT_Codes!$E:$E,MATCH($N1111,VAT_Codes!$A:$A,0)),"ANY")&lt;&gt;"ANY",$P1111=""),"MISSING COUNTERPARTY COUNTRY",IF(AND(IFERROR(INDEX(VAT_Codes!$E:$E,MATCH($N1111,VAT_Codes!$A:$A,0)),"ANY")&lt;&gt;"ANY",$P1111&lt;&gt;IFERROR(INDEX(VAT_Codes!$E:$E,MATCH($N1111,VAT_Codes!$A:$A,0)),"ANY")),"REGION MISMATCH","OK")))))))</f>
        <v/>
      </c>
    </row>
    <row r="1112" customFormat="false" ht="15" hidden="false" customHeight="false" outlineLevel="0" collapsed="false">
      <c r="M1112" s="24" t="str">
        <f aca="false">IF($C1112="","",IFERROR(INDEX(Account_Mapping!$C:$C,MATCH($C1112&amp;"",Account_Mapping!$A:$A,0))&amp;"",""))</f>
        <v/>
      </c>
      <c r="N1112" s="24" t="str">
        <f aca="false">IF($K1112&lt;&gt;"",$K1112,$M1112)</f>
        <v/>
      </c>
      <c r="O1112" s="24" t="str">
        <f aca="false">IF($F1112="","",IFERROR(INDEX(Counterparties!$C:$C,MATCH($F1112&amp;"",Counterparties!$A:$A,0))&amp;"",""))</f>
        <v/>
      </c>
      <c r="P1112" s="24" t="str">
        <f aca="false">IF($O1112="","",IF($O1112="CY","CY",IF(ISNUMBER(MATCH($O1112,Lists!$A:$A,0)),"EU","3RD")))</f>
        <v/>
      </c>
      <c r="Q1112" s="24" t="str">
        <f aca="false">IF($F1112="","N",IFERROR(IF(INDEX(Counterparties!$E:$E,MATCH($F1112&amp;"",Counterparties!$A:$A,0))="Y","Y","N"),"N"))</f>
        <v>N</v>
      </c>
      <c r="R1112" s="25" t="n">
        <f aca="false">IF(OR($H1112="",$H1112="EUR"),1,IFERROR(INDEX(FX_Rates!$D:$D,MATCH($H1112,FX_Rates!$A:$A,0)),""))</f>
        <v>1</v>
      </c>
      <c r="S1112" s="26" t="str">
        <f aca="false">IF(AND($I1112="",$J1112=""),"",IF($J1112&lt;&gt;"",$J1112,IF(OR($R1112="",$R1112=0),"",ROUND($I1112/$R1112,2))))</f>
        <v/>
      </c>
      <c r="T1112" s="24" t="str">
        <f aca="false">IF($N1112="","",IFERROR(INDEX(VAT_Codes!$C:$C,MATCH($N1112,VAT_Codes!$A:$A,0)),"")&amp;"")</f>
        <v/>
      </c>
      <c r="U1112" s="26" t="n">
        <f aca="false">IF(OR($S1112="",$T1112="",$T1112="None"),0,IF($T1112="Output",-$S1112,$S1112))</f>
        <v>0</v>
      </c>
      <c r="V1112" s="27" t="n">
        <f aca="false">IF($N1112="",0,IFERROR(INDEX(VAT_Codes!$D:$D,MATCH($N1112,VAT_Codes!$A:$A,0)),0))</f>
        <v>0</v>
      </c>
      <c r="W1112" s="26" t="n">
        <f aca="false">IF($U1112=0,0,IF(IFERROR(INDEX(VAT_Codes!$F:$F,MATCH($N1112,VAT_Codes!$A:$A,0)),"N")="Y",$U1112,IF($L1112&lt;&gt;"",ROUND(ABS($L1112)/IF(OR($R1112="",$R1112=0),1,$R1112),2)*SIGN($U1112),ROUND($U1112*$V1112,2))))</f>
        <v>0</v>
      </c>
      <c r="X1112" s="24" t="str">
        <f aca="false">IF($N1112="","",IFERROR(INDEX(VAT_Codes!$H:$H,MATCH($N1112,VAT_Codes!$A:$A,0)),"")&amp;"")</f>
        <v/>
      </c>
      <c r="Y1112" s="24" t="str">
        <f aca="false">IF($A1112="","",(YEAR($A1112)-YEAR(Settings!$C$8))*12+MONTH($A1112)-MONTH(Settings!$C$8)+1)</f>
        <v/>
      </c>
      <c r="Z1112" s="24" t="str">
        <f aca="false">IF(AND($C1112="",$I1112="",$J1112=""),"",IF($N1112="","NO VAT CODE",IF($T1112="","UNKNOWN VAT CODE",IF($S1112="","MISSING FX RATE",IF(OR($A1112&lt;Settings!$C$8,$A1112&gt;Settings!$C$9),"OUTSIDE PERIOD",IF(AND(IFERROR(INDEX(VAT_Codes!$E:$E,MATCH($N1112,VAT_Codes!$A:$A,0)),"ANY")&lt;&gt;"ANY",$P1112=""),"MISSING COUNTERPARTY COUNTRY",IF(AND(IFERROR(INDEX(VAT_Codes!$E:$E,MATCH($N1112,VAT_Codes!$A:$A,0)),"ANY")&lt;&gt;"ANY",$P1112&lt;&gt;IFERROR(INDEX(VAT_Codes!$E:$E,MATCH($N1112,VAT_Codes!$A:$A,0)),"ANY")),"REGION MISMATCH","OK")))))))</f>
        <v/>
      </c>
    </row>
    <row r="1113" customFormat="false" ht="15" hidden="false" customHeight="false" outlineLevel="0" collapsed="false">
      <c r="M1113" s="24" t="str">
        <f aca="false">IF($C1113="","",IFERROR(INDEX(Account_Mapping!$C:$C,MATCH($C1113&amp;"",Account_Mapping!$A:$A,0))&amp;"",""))</f>
        <v/>
      </c>
      <c r="N1113" s="24" t="str">
        <f aca="false">IF($K1113&lt;&gt;"",$K1113,$M1113)</f>
        <v/>
      </c>
      <c r="O1113" s="24" t="str">
        <f aca="false">IF($F1113="","",IFERROR(INDEX(Counterparties!$C:$C,MATCH($F1113&amp;"",Counterparties!$A:$A,0))&amp;"",""))</f>
        <v/>
      </c>
      <c r="P1113" s="24" t="str">
        <f aca="false">IF($O1113="","",IF($O1113="CY","CY",IF(ISNUMBER(MATCH($O1113,Lists!$A:$A,0)),"EU","3RD")))</f>
        <v/>
      </c>
      <c r="Q1113" s="24" t="str">
        <f aca="false">IF($F1113="","N",IFERROR(IF(INDEX(Counterparties!$E:$E,MATCH($F1113&amp;"",Counterparties!$A:$A,0))="Y","Y","N"),"N"))</f>
        <v>N</v>
      </c>
      <c r="R1113" s="25" t="n">
        <f aca="false">IF(OR($H1113="",$H1113="EUR"),1,IFERROR(INDEX(FX_Rates!$D:$D,MATCH($H1113,FX_Rates!$A:$A,0)),""))</f>
        <v>1</v>
      </c>
      <c r="S1113" s="26" t="str">
        <f aca="false">IF(AND($I1113="",$J1113=""),"",IF($J1113&lt;&gt;"",$J1113,IF(OR($R1113="",$R1113=0),"",ROUND($I1113/$R1113,2))))</f>
        <v/>
      </c>
      <c r="T1113" s="24" t="str">
        <f aca="false">IF($N1113="","",IFERROR(INDEX(VAT_Codes!$C:$C,MATCH($N1113,VAT_Codes!$A:$A,0)),"")&amp;"")</f>
        <v/>
      </c>
      <c r="U1113" s="26" t="n">
        <f aca="false">IF(OR($S1113="",$T1113="",$T1113="None"),0,IF($T1113="Output",-$S1113,$S1113))</f>
        <v>0</v>
      </c>
      <c r="V1113" s="27" t="n">
        <f aca="false">IF($N1113="",0,IFERROR(INDEX(VAT_Codes!$D:$D,MATCH($N1113,VAT_Codes!$A:$A,0)),0))</f>
        <v>0</v>
      </c>
      <c r="W1113" s="26" t="n">
        <f aca="false">IF($U1113=0,0,IF(IFERROR(INDEX(VAT_Codes!$F:$F,MATCH($N1113,VAT_Codes!$A:$A,0)),"N")="Y",$U1113,IF($L1113&lt;&gt;"",ROUND(ABS($L1113)/IF(OR($R1113="",$R1113=0),1,$R1113),2)*SIGN($U1113),ROUND($U1113*$V1113,2))))</f>
        <v>0</v>
      </c>
      <c r="X1113" s="24" t="str">
        <f aca="false">IF($N1113="","",IFERROR(INDEX(VAT_Codes!$H:$H,MATCH($N1113,VAT_Codes!$A:$A,0)),"")&amp;"")</f>
        <v/>
      </c>
      <c r="Y1113" s="24" t="str">
        <f aca="false">IF($A1113="","",(YEAR($A1113)-YEAR(Settings!$C$8))*12+MONTH($A1113)-MONTH(Settings!$C$8)+1)</f>
        <v/>
      </c>
      <c r="Z1113" s="24" t="str">
        <f aca="false">IF(AND($C1113="",$I1113="",$J1113=""),"",IF($N1113="","NO VAT CODE",IF($T1113="","UNKNOWN VAT CODE",IF($S1113="","MISSING FX RATE",IF(OR($A1113&lt;Settings!$C$8,$A1113&gt;Settings!$C$9),"OUTSIDE PERIOD",IF(AND(IFERROR(INDEX(VAT_Codes!$E:$E,MATCH($N1113,VAT_Codes!$A:$A,0)),"ANY")&lt;&gt;"ANY",$P1113=""),"MISSING COUNTERPARTY COUNTRY",IF(AND(IFERROR(INDEX(VAT_Codes!$E:$E,MATCH($N1113,VAT_Codes!$A:$A,0)),"ANY")&lt;&gt;"ANY",$P1113&lt;&gt;IFERROR(INDEX(VAT_Codes!$E:$E,MATCH($N1113,VAT_Codes!$A:$A,0)),"ANY")),"REGION MISMATCH","OK")))))))</f>
        <v/>
      </c>
    </row>
    <row r="1114" customFormat="false" ht="15" hidden="false" customHeight="false" outlineLevel="0" collapsed="false">
      <c r="M1114" s="24" t="str">
        <f aca="false">IF($C1114="","",IFERROR(INDEX(Account_Mapping!$C:$C,MATCH($C1114&amp;"",Account_Mapping!$A:$A,0))&amp;"",""))</f>
        <v/>
      </c>
      <c r="N1114" s="24" t="str">
        <f aca="false">IF($K1114&lt;&gt;"",$K1114,$M1114)</f>
        <v/>
      </c>
      <c r="O1114" s="24" t="str">
        <f aca="false">IF($F1114="","",IFERROR(INDEX(Counterparties!$C:$C,MATCH($F1114&amp;"",Counterparties!$A:$A,0))&amp;"",""))</f>
        <v/>
      </c>
      <c r="P1114" s="24" t="str">
        <f aca="false">IF($O1114="","",IF($O1114="CY","CY",IF(ISNUMBER(MATCH($O1114,Lists!$A:$A,0)),"EU","3RD")))</f>
        <v/>
      </c>
      <c r="Q1114" s="24" t="str">
        <f aca="false">IF($F1114="","N",IFERROR(IF(INDEX(Counterparties!$E:$E,MATCH($F1114&amp;"",Counterparties!$A:$A,0))="Y","Y","N"),"N"))</f>
        <v>N</v>
      </c>
      <c r="R1114" s="25" t="n">
        <f aca="false">IF(OR($H1114="",$H1114="EUR"),1,IFERROR(INDEX(FX_Rates!$D:$D,MATCH($H1114,FX_Rates!$A:$A,0)),""))</f>
        <v>1</v>
      </c>
      <c r="S1114" s="26" t="str">
        <f aca="false">IF(AND($I1114="",$J1114=""),"",IF($J1114&lt;&gt;"",$J1114,IF(OR($R1114="",$R1114=0),"",ROUND($I1114/$R1114,2))))</f>
        <v/>
      </c>
      <c r="T1114" s="24" t="str">
        <f aca="false">IF($N1114="","",IFERROR(INDEX(VAT_Codes!$C:$C,MATCH($N1114,VAT_Codes!$A:$A,0)),"")&amp;"")</f>
        <v/>
      </c>
      <c r="U1114" s="26" t="n">
        <f aca="false">IF(OR($S1114="",$T1114="",$T1114="None"),0,IF($T1114="Output",-$S1114,$S1114))</f>
        <v>0</v>
      </c>
      <c r="V1114" s="27" t="n">
        <f aca="false">IF($N1114="",0,IFERROR(INDEX(VAT_Codes!$D:$D,MATCH($N1114,VAT_Codes!$A:$A,0)),0))</f>
        <v>0</v>
      </c>
      <c r="W1114" s="26" t="n">
        <f aca="false">IF($U1114=0,0,IF(IFERROR(INDEX(VAT_Codes!$F:$F,MATCH($N1114,VAT_Codes!$A:$A,0)),"N")="Y",$U1114,IF($L1114&lt;&gt;"",ROUND(ABS($L1114)/IF(OR($R1114="",$R1114=0),1,$R1114),2)*SIGN($U1114),ROUND($U1114*$V1114,2))))</f>
        <v>0</v>
      </c>
      <c r="X1114" s="24" t="str">
        <f aca="false">IF($N1114="","",IFERROR(INDEX(VAT_Codes!$H:$H,MATCH($N1114,VAT_Codes!$A:$A,0)),"")&amp;"")</f>
        <v/>
      </c>
      <c r="Y1114" s="24" t="str">
        <f aca="false">IF($A1114="","",(YEAR($A1114)-YEAR(Settings!$C$8))*12+MONTH($A1114)-MONTH(Settings!$C$8)+1)</f>
        <v/>
      </c>
      <c r="Z1114" s="24" t="str">
        <f aca="false">IF(AND($C1114="",$I1114="",$J1114=""),"",IF($N1114="","NO VAT CODE",IF($T1114="","UNKNOWN VAT CODE",IF($S1114="","MISSING FX RATE",IF(OR($A1114&lt;Settings!$C$8,$A1114&gt;Settings!$C$9),"OUTSIDE PERIOD",IF(AND(IFERROR(INDEX(VAT_Codes!$E:$E,MATCH($N1114,VAT_Codes!$A:$A,0)),"ANY")&lt;&gt;"ANY",$P1114=""),"MISSING COUNTERPARTY COUNTRY",IF(AND(IFERROR(INDEX(VAT_Codes!$E:$E,MATCH($N1114,VAT_Codes!$A:$A,0)),"ANY")&lt;&gt;"ANY",$P1114&lt;&gt;IFERROR(INDEX(VAT_Codes!$E:$E,MATCH($N1114,VAT_Codes!$A:$A,0)),"ANY")),"REGION MISMATCH","OK")))))))</f>
        <v/>
      </c>
    </row>
    <row r="1115" customFormat="false" ht="15" hidden="false" customHeight="false" outlineLevel="0" collapsed="false">
      <c r="M1115" s="24" t="str">
        <f aca="false">IF($C1115="","",IFERROR(INDEX(Account_Mapping!$C:$C,MATCH($C1115&amp;"",Account_Mapping!$A:$A,0))&amp;"",""))</f>
        <v/>
      </c>
      <c r="N1115" s="24" t="str">
        <f aca="false">IF($K1115&lt;&gt;"",$K1115,$M1115)</f>
        <v/>
      </c>
      <c r="O1115" s="24" t="str">
        <f aca="false">IF($F1115="","",IFERROR(INDEX(Counterparties!$C:$C,MATCH($F1115&amp;"",Counterparties!$A:$A,0))&amp;"",""))</f>
        <v/>
      </c>
      <c r="P1115" s="24" t="str">
        <f aca="false">IF($O1115="","",IF($O1115="CY","CY",IF(ISNUMBER(MATCH($O1115,Lists!$A:$A,0)),"EU","3RD")))</f>
        <v/>
      </c>
      <c r="Q1115" s="24" t="str">
        <f aca="false">IF($F1115="","N",IFERROR(IF(INDEX(Counterparties!$E:$E,MATCH($F1115&amp;"",Counterparties!$A:$A,0))="Y","Y","N"),"N"))</f>
        <v>N</v>
      </c>
      <c r="R1115" s="25" t="n">
        <f aca="false">IF(OR($H1115="",$H1115="EUR"),1,IFERROR(INDEX(FX_Rates!$D:$D,MATCH($H1115,FX_Rates!$A:$A,0)),""))</f>
        <v>1</v>
      </c>
      <c r="S1115" s="26" t="str">
        <f aca="false">IF(AND($I1115="",$J1115=""),"",IF($J1115&lt;&gt;"",$J1115,IF(OR($R1115="",$R1115=0),"",ROUND($I1115/$R1115,2))))</f>
        <v/>
      </c>
      <c r="T1115" s="24" t="str">
        <f aca="false">IF($N1115="","",IFERROR(INDEX(VAT_Codes!$C:$C,MATCH($N1115,VAT_Codes!$A:$A,0)),"")&amp;"")</f>
        <v/>
      </c>
      <c r="U1115" s="26" t="n">
        <f aca="false">IF(OR($S1115="",$T1115="",$T1115="None"),0,IF($T1115="Output",-$S1115,$S1115))</f>
        <v>0</v>
      </c>
      <c r="V1115" s="27" t="n">
        <f aca="false">IF($N1115="",0,IFERROR(INDEX(VAT_Codes!$D:$D,MATCH($N1115,VAT_Codes!$A:$A,0)),0))</f>
        <v>0</v>
      </c>
      <c r="W1115" s="26" t="n">
        <f aca="false">IF($U1115=0,0,IF(IFERROR(INDEX(VAT_Codes!$F:$F,MATCH($N1115,VAT_Codes!$A:$A,0)),"N")="Y",$U1115,IF($L1115&lt;&gt;"",ROUND(ABS($L1115)/IF(OR($R1115="",$R1115=0),1,$R1115),2)*SIGN($U1115),ROUND($U1115*$V1115,2))))</f>
        <v>0</v>
      </c>
      <c r="X1115" s="24" t="str">
        <f aca="false">IF($N1115="","",IFERROR(INDEX(VAT_Codes!$H:$H,MATCH($N1115,VAT_Codes!$A:$A,0)),"")&amp;"")</f>
        <v/>
      </c>
      <c r="Y1115" s="24" t="str">
        <f aca="false">IF($A1115="","",(YEAR($A1115)-YEAR(Settings!$C$8))*12+MONTH($A1115)-MONTH(Settings!$C$8)+1)</f>
        <v/>
      </c>
      <c r="Z1115" s="24" t="str">
        <f aca="false">IF(AND($C1115="",$I1115="",$J1115=""),"",IF($N1115="","NO VAT CODE",IF($T1115="","UNKNOWN VAT CODE",IF($S1115="","MISSING FX RATE",IF(OR($A1115&lt;Settings!$C$8,$A1115&gt;Settings!$C$9),"OUTSIDE PERIOD",IF(AND(IFERROR(INDEX(VAT_Codes!$E:$E,MATCH($N1115,VAT_Codes!$A:$A,0)),"ANY")&lt;&gt;"ANY",$P1115=""),"MISSING COUNTERPARTY COUNTRY",IF(AND(IFERROR(INDEX(VAT_Codes!$E:$E,MATCH($N1115,VAT_Codes!$A:$A,0)),"ANY")&lt;&gt;"ANY",$P1115&lt;&gt;IFERROR(INDEX(VAT_Codes!$E:$E,MATCH($N1115,VAT_Codes!$A:$A,0)),"ANY")),"REGION MISMATCH","OK")))))))</f>
        <v/>
      </c>
    </row>
    <row r="1116" customFormat="false" ht="15" hidden="false" customHeight="false" outlineLevel="0" collapsed="false">
      <c r="M1116" s="24" t="str">
        <f aca="false">IF($C1116="","",IFERROR(INDEX(Account_Mapping!$C:$C,MATCH($C1116&amp;"",Account_Mapping!$A:$A,0))&amp;"",""))</f>
        <v/>
      </c>
      <c r="N1116" s="24" t="str">
        <f aca="false">IF($K1116&lt;&gt;"",$K1116,$M1116)</f>
        <v/>
      </c>
      <c r="O1116" s="24" t="str">
        <f aca="false">IF($F1116="","",IFERROR(INDEX(Counterparties!$C:$C,MATCH($F1116&amp;"",Counterparties!$A:$A,0))&amp;"",""))</f>
        <v/>
      </c>
      <c r="P1116" s="24" t="str">
        <f aca="false">IF($O1116="","",IF($O1116="CY","CY",IF(ISNUMBER(MATCH($O1116,Lists!$A:$A,0)),"EU","3RD")))</f>
        <v/>
      </c>
      <c r="Q1116" s="24" t="str">
        <f aca="false">IF($F1116="","N",IFERROR(IF(INDEX(Counterparties!$E:$E,MATCH($F1116&amp;"",Counterparties!$A:$A,0))="Y","Y","N"),"N"))</f>
        <v>N</v>
      </c>
      <c r="R1116" s="25" t="n">
        <f aca="false">IF(OR($H1116="",$H1116="EUR"),1,IFERROR(INDEX(FX_Rates!$D:$D,MATCH($H1116,FX_Rates!$A:$A,0)),""))</f>
        <v>1</v>
      </c>
      <c r="S1116" s="26" t="str">
        <f aca="false">IF(AND($I1116="",$J1116=""),"",IF($J1116&lt;&gt;"",$J1116,IF(OR($R1116="",$R1116=0),"",ROUND($I1116/$R1116,2))))</f>
        <v/>
      </c>
      <c r="T1116" s="24" t="str">
        <f aca="false">IF($N1116="","",IFERROR(INDEX(VAT_Codes!$C:$C,MATCH($N1116,VAT_Codes!$A:$A,0)),"")&amp;"")</f>
        <v/>
      </c>
      <c r="U1116" s="26" t="n">
        <f aca="false">IF(OR($S1116="",$T1116="",$T1116="None"),0,IF($T1116="Output",-$S1116,$S1116))</f>
        <v>0</v>
      </c>
      <c r="V1116" s="27" t="n">
        <f aca="false">IF($N1116="",0,IFERROR(INDEX(VAT_Codes!$D:$D,MATCH($N1116,VAT_Codes!$A:$A,0)),0))</f>
        <v>0</v>
      </c>
      <c r="W1116" s="26" t="n">
        <f aca="false">IF($U1116=0,0,IF(IFERROR(INDEX(VAT_Codes!$F:$F,MATCH($N1116,VAT_Codes!$A:$A,0)),"N")="Y",$U1116,IF($L1116&lt;&gt;"",ROUND(ABS($L1116)/IF(OR($R1116="",$R1116=0),1,$R1116),2)*SIGN($U1116),ROUND($U1116*$V1116,2))))</f>
        <v>0</v>
      </c>
      <c r="X1116" s="24" t="str">
        <f aca="false">IF($N1116="","",IFERROR(INDEX(VAT_Codes!$H:$H,MATCH($N1116,VAT_Codes!$A:$A,0)),"")&amp;"")</f>
        <v/>
      </c>
      <c r="Y1116" s="24" t="str">
        <f aca="false">IF($A1116="","",(YEAR($A1116)-YEAR(Settings!$C$8))*12+MONTH($A1116)-MONTH(Settings!$C$8)+1)</f>
        <v/>
      </c>
      <c r="Z1116" s="24" t="str">
        <f aca="false">IF(AND($C1116="",$I1116="",$J1116=""),"",IF($N1116="","NO VAT CODE",IF($T1116="","UNKNOWN VAT CODE",IF($S1116="","MISSING FX RATE",IF(OR($A1116&lt;Settings!$C$8,$A1116&gt;Settings!$C$9),"OUTSIDE PERIOD",IF(AND(IFERROR(INDEX(VAT_Codes!$E:$E,MATCH($N1116,VAT_Codes!$A:$A,0)),"ANY")&lt;&gt;"ANY",$P1116=""),"MISSING COUNTERPARTY COUNTRY",IF(AND(IFERROR(INDEX(VAT_Codes!$E:$E,MATCH($N1116,VAT_Codes!$A:$A,0)),"ANY")&lt;&gt;"ANY",$P1116&lt;&gt;IFERROR(INDEX(VAT_Codes!$E:$E,MATCH($N1116,VAT_Codes!$A:$A,0)),"ANY")),"REGION MISMATCH","OK")))))))</f>
        <v/>
      </c>
    </row>
    <row r="1117" customFormat="false" ht="15" hidden="false" customHeight="false" outlineLevel="0" collapsed="false">
      <c r="M1117" s="24" t="str">
        <f aca="false">IF($C1117="","",IFERROR(INDEX(Account_Mapping!$C:$C,MATCH($C1117&amp;"",Account_Mapping!$A:$A,0))&amp;"",""))</f>
        <v/>
      </c>
      <c r="N1117" s="24" t="str">
        <f aca="false">IF($K1117&lt;&gt;"",$K1117,$M1117)</f>
        <v/>
      </c>
      <c r="O1117" s="24" t="str">
        <f aca="false">IF($F1117="","",IFERROR(INDEX(Counterparties!$C:$C,MATCH($F1117&amp;"",Counterparties!$A:$A,0))&amp;"",""))</f>
        <v/>
      </c>
      <c r="P1117" s="24" t="str">
        <f aca="false">IF($O1117="","",IF($O1117="CY","CY",IF(ISNUMBER(MATCH($O1117,Lists!$A:$A,0)),"EU","3RD")))</f>
        <v/>
      </c>
      <c r="Q1117" s="24" t="str">
        <f aca="false">IF($F1117="","N",IFERROR(IF(INDEX(Counterparties!$E:$E,MATCH($F1117&amp;"",Counterparties!$A:$A,0))="Y","Y","N"),"N"))</f>
        <v>N</v>
      </c>
      <c r="R1117" s="25" t="n">
        <f aca="false">IF(OR($H1117="",$H1117="EUR"),1,IFERROR(INDEX(FX_Rates!$D:$D,MATCH($H1117,FX_Rates!$A:$A,0)),""))</f>
        <v>1</v>
      </c>
      <c r="S1117" s="26" t="str">
        <f aca="false">IF(AND($I1117="",$J1117=""),"",IF($J1117&lt;&gt;"",$J1117,IF(OR($R1117="",$R1117=0),"",ROUND($I1117/$R1117,2))))</f>
        <v/>
      </c>
      <c r="T1117" s="24" t="str">
        <f aca="false">IF($N1117="","",IFERROR(INDEX(VAT_Codes!$C:$C,MATCH($N1117,VAT_Codes!$A:$A,0)),"")&amp;"")</f>
        <v/>
      </c>
      <c r="U1117" s="26" t="n">
        <f aca="false">IF(OR($S1117="",$T1117="",$T1117="None"),0,IF($T1117="Output",-$S1117,$S1117))</f>
        <v>0</v>
      </c>
      <c r="V1117" s="27" t="n">
        <f aca="false">IF($N1117="",0,IFERROR(INDEX(VAT_Codes!$D:$D,MATCH($N1117,VAT_Codes!$A:$A,0)),0))</f>
        <v>0</v>
      </c>
      <c r="W1117" s="26" t="n">
        <f aca="false">IF($U1117=0,0,IF(IFERROR(INDEX(VAT_Codes!$F:$F,MATCH($N1117,VAT_Codes!$A:$A,0)),"N")="Y",$U1117,IF($L1117&lt;&gt;"",ROUND(ABS($L1117)/IF(OR($R1117="",$R1117=0),1,$R1117),2)*SIGN($U1117),ROUND($U1117*$V1117,2))))</f>
        <v>0</v>
      </c>
      <c r="X1117" s="24" t="str">
        <f aca="false">IF($N1117="","",IFERROR(INDEX(VAT_Codes!$H:$H,MATCH($N1117,VAT_Codes!$A:$A,0)),"")&amp;"")</f>
        <v/>
      </c>
      <c r="Y1117" s="24" t="str">
        <f aca="false">IF($A1117="","",(YEAR($A1117)-YEAR(Settings!$C$8))*12+MONTH($A1117)-MONTH(Settings!$C$8)+1)</f>
        <v/>
      </c>
      <c r="Z1117" s="24" t="str">
        <f aca="false">IF(AND($C1117="",$I1117="",$J1117=""),"",IF($N1117="","NO VAT CODE",IF($T1117="","UNKNOWN VAT CODE",IF($S1117="","MISSING FX RATE",IF(OR($A1117&lt;Settings!$C$8,$A1117&gt;Settings!$C$9),"OUTSIDE PERIOD",IF(AND(IFERROR(INDEX(VAT_Codes!$E:$E,MATCH($N1117,VAT_Codes!$A:$A,0)),"ANY")&lt;&gt;"ANY",$P1117=""),"MISSING COUNTERPARTY COUNTRY",IF(AND(IFERROR(INDEX(VAT_Codes!$E:$E,MATCH($N1117,VAT_Codes!$A:$A,0)),"ANY")&lt;&gt;"ANY",$P1117&lt;&gt;IFERROR(INDEX(VAT_Codes!$E:$E,MATCH($N1117,VAT_Codes!$A:$A,0)),"ANY")),"REGION MISMATCH","OK")))))))</f>
        <v/>
      </c>
    </row>
    <row r="1118" customFormat="false" ht="15" hidden="false" customHeight="false" outlineLevel="0" collapsed="false">
      <c r="M1118" s="24" t="str">
        <f aca="false">IF($C1118="","",IFERROR(INDEX(Account_Mapping!$C:$C,MATCH($C1118&amp;"",Account_Mapping!$A:$A,0))&amp;"",""))</f>
        <v/>
      </c>
      <c r="N1118" s="24" t="str">
        <f aca="false">IF($K1118&lt;&gt;"",$K1118,$M1118)</f>
        <v/>
      </c>
      <c r="O1118" s="24" t="str">
        <f aca="false">IF($F1118="","",IFERROR(INDEX(Counterparties!$C:$C,MATCH($F1118&amp;"",Counterparties!$A:$A,0))&amp;"",""))</f>
        <v/>
      </c>
      <c r="P1118" s="24" t="str">
        <f aca="false">IF($O1118="","",IF($O1118="CY","CY",IF(ISNUMBER(MATCH($O1118,Lists!$A:$A,0)),"EU","3RD")))</f>
        <v/>
      </c>
      <c r="Q1118" s="24" t="str">
        <f aca="false">IF($F1118="","N",IFERROR(IF(INDEX(Counterparties!$E:$E,MATCH($F1118&amp;"",Counterparties!$A:$A,0))="Y","Y","N"),"N"))</f>
        <v>N</v>
      </c>
      <c r="R1118" s="25" t="n">
        <f aca="false">IF(OR($H1118="",$H1118="EUR"),1,IFERROR(INDEX(FX_Rates!$D:$D,MATCH($H1118,FX_Rates!$A:$A,0)),""))</f>
        <v>1</v>
      </c>
      <c r="S1118" s="26" t="str">
        <f aca="false">IF(AND($I1118="",$J1118=""),"",IF($J1118&lt;&gt;"",$J1118,IF(OR($R1118="",$R1118=0),"",ROUND($I1118/$R1118,2))))</f>
        <v/>
      </c>
      <c r="T1118" s="24" t="str">
        <f aca="false">IF($N1118="","",IFERROR(INDEX(VAT_Codes!$C:$C,MATCH($N1118,VAT_Codes!$A:$A,0)),"")&amp;"")</f>
        <v/>
      </c>
      <c r="U1118" s="26" t="n">
        <f aca="false">IF(OR($S1118="",$T1118="",$T1118="None"),0,IF($T1118="Output",-$S1118,$S1118))</f>
        <v>0</v>
      </c>
      <c r="V1118" s="27" t="n">
        <f aca="false">IF($N1118="",0,IFERROR(INDEX(VAT_Codes!$D:$D,MATCH($N1118,VAT_Codes!$A:$A,0)),0))</f>
        <v>0</v>
      </c>
      <c r="W1118" s="26" t="n">
        <f aca="false">IF($U1118=0,0,IF(IFERROR(INDEX(VAT_Codes!$F:$F,MATCH($N1118,VAT_Codes!$A:$A,0)),"N")="Y",$U1118,IF($L1118&lt;&gt;"",ROUND(ABS($L1118)/IF(OR($R1118="",$R1118=0),1,$R1118),2)*SIGN($U1118),ROUND($U1118*$V1118,2))))</f>
        <v>0</v>
      </c>
      <c r="X1118" s="24" t="str">
        <f aca="false">IF($N1118="","",IFERROR(INDEX(VAT_Codes!$H:$H,MATCH($N1118,VAT_Codes!$A:$A,0)),"")&amp;"")</f>
        <v/>
      </c>
      <c r="Y1118" s="24" t="str">
        <f aca="false">IF($A1118="","",(YEAR($A1118)-YEAR(Settings!$C$8))*12+MONTH($A1118)-MONTH(Settings!$C$8)+1)</f>
        <v/>
      </c>
      <c r="Z1118" s="24" t="str">
        <f aca="false">IF(AND($C1118="",$I1118="",$J1118=""),"",IF($N1118="","NO VAT CODE",IF($T1118="","UNKNOWN VAT CODE",IF($S1118="","MISSING FX RATE",IF(OR($A1118&lt;Settings!$C$8,$A1118&gt;Settings!$C$9),"OUTSIDE PERIOD",IF(AND(IFERROR(INDEX(VAT_Codes!$E:$E,MATCH($N1118,VAT_Codes!$A:$A,0)),"ANY")&lt;&gt;"ANY",$P1118=""),"MISSING COUNTERPARTY COUNTRY",IF(AND(IFERROR(INDEX(VAT_Codes!$E:$E,MATCH($N1118,VAT_Codes!$A:$A,0)),"ANY")&lt;&gt;"ANY",$P1118&lt;&gt;IFERROR(INDEX(VAT_Codes!$E:$E,MATCH($N1118,VAT_Codes!$A:$A,0)),"ANY")),"REGION MISMATCH","OK")))))))</f>
        <v/>
      </c>
    </row>
    <row r="1119" customFormat="false" ht="15" hidden="false" customHeight="false" outlineLevel="0" collapsed="false">
      <c r="M1119" s="24" t="str">
        <f aca="false">IF($C1119="","",IFERROR(INDEX(Account_Mapping!$C:$C,MATCH($C1119&amp;"",Account_Mapping!$A:$A,0))&amp;"",""))</f>
        <v/>
      </c>
      <c r="N1119" s="24" t="str">
        <f aca="false">IF($K1119&lt;&gt;"",$K1119,$M1119)</f>
        <v/>
      </c>
      <c r="O1119" s="24" t="str">
        <f aca="false">IF($F1119="","",IFERROR(INDEX(Counterparties!$C:$C,MATCH($F1119&amp;"",Counterparties!$A:$A,0))&amp;"",""))</f>
        <v/>
      </c>
      <c r="P1119" s="24" t="str">
        <f aca="false">IF($O1119="","",IF($O1119="CY","CY",IF(ISNUMBER(MATCH($O1119,Lists!$A:$A,0)),"EU","3RD")))</f>
        <v/>
      </c>
      <c r="Q1119" s="24" t="str">
        <f aca="false">IF($F1119="","N",IFERROR(IF(INDEX(Counterparties!$E:$E,MATCH($F1119&amp;"",Counterparties!$A:$A,0))="Y","Y","N"),"N"))</f>
        <v>N</v>
      </c>
      <c r="R1119" s="25" t="n">
        <f aca="false">IF(OR($H1119="",$H1119="EUR"),1,IFERROR(INDEX(FX_Rates!$D:$D,MATCH($H1119,FX_Rates!$A:$A,0)),""))</f>
        <v>1</v>
      </c>
      <c r="S1119" s="26" t="str">
        <f aca="false">IF(AND($I1119="",$J1119=""),"",IF($J1119&lt;&gt;"",$J1119,IF(OR($R1119="",$R1119=0),"",ROUND($I1119/$R1119,2))))</f>
        <v/>
      </c>
      <c r="T1119" s="24" t="str">
        <f aca="false">IF($N1119="","",IFERROR(INDEX(VAT_Codes!$C:$C,MATCH($N1119,VAT_Codes!$A:$A,0)),"")&amp;"")</f>
        <v/>
      </c>
      <c r="U1119" s="26" t="n">
        <f aca="false">IF(OR($S1119="",$T1119="",$T1119="None"),0,IF($T1119="Output",-$S1119,$S1119))</f>
        <v>0</v>
      </c>
      <c r="V1119" s="27" t="n">
        <f aca="false">IF($N1119="",0,IFERROR(INDEX(VAT_Codes!$D:$D,MATCH($N1119,VAT_Codes!$A:$A,0)),0))</f>
        <v>0</v>
      </c>
      <c r="W1119" s="26" t="n">
        <f aca="false">IF($U1119=0,0,IF(IFERROR(INDEX(VAT_Codes!$F:$F,MATCH($N1119,VAT_Codes!$A:$A,0)),"N")="Y",$U1119,IF($L1119&lt;&gt;"",ROUND(ABS($L1119)/IF(OR($R1119="",$R1119=0),1,$R1119),2)*SIGN($U1119),ROUND($U1119*$V1119,2))))</f>
        <v>0</v>
      </c>
      <c r="X1119" s="24" t="str">
        <f aca="false">IF($N1119="","",IFERROR(INDEX(VAT_Codes!$H:$H,MATCH($N1119,VAT_Codes!$A:$A,0)),"")&amp;"")</f>
        <v/>
      </c>
      <c r="Y1119" s="24" t="str">
        <f aca="false">IF($A1119="","",(YEAR($A1119)-YEAR(Settings!$C$8))*12+MONTH($A1119)-MONTH(Settings!$C$8)+1)</f>
        <v/>
      </c>
      <c r="Z1119" s="24" t="str">
        <f aca="false">IF(AND($C1119="",$I1119="",$J1119=""),"",IF($N1119="","NO VAT CODE",IF($T1119="","UNKNOWN VAT CODE",IF($S1119="","MISSING FX RATE",IF(OR($A1119&lt;Settings!$C$8,$A1119&gt;Settings!$C$9),"OUTSIDE PERIOD",IF(AND(IFERROR(INDEX(VAT_Codes!$E:$E,MATCH($N1119,VAT_Codes!$A:$A,0)),"ANY")&lt;&gt;"ANY",$P1119=""),"MISSING COUNTERPARTY COUNTRY",IF(AND(IFERROR(INDEX(VAT_Codes!$E:$E,MATCH($N1119,VAT_Codes!$A:$A,0)),"ANY")&lt;&gt;"ANY",$P1119&lt;&gt;IFERROR(INDEX(VAT_Codes!$E:$E,MATCH($N1119,VAT_Codes!$A:$A,0)),"ANY")),"REGION MISMATCH","OK")))))))</f>
        <v/>
      </c>
    </row>
    <row r="1120" customFormat="false" ht="15" hidden="false" customHeight="false" outlineLevel="0" collapsed="false">
      <c r="M1120" s="24" t="str">
        <f aca="false">IF($C1120="","",IFERROR(INDEX(Account_Mapping!$C:$C,MATCH($C1120&amp;"",Account_Mapping!$A:$A,0))&amp;"",""))</f>
        <v/>
      </c>
      <c r="N1120" s="24" t="str">
        <f aca="false">IF($K1120&lt;&gt;"",$K1120,$M1120)</f>
        <v/>
      </c>
      <c r="O1120" s="24" t="str">
        <f aca="false">IF($F1120="","",IFERROR(INDEX(Counterparties!$C:$C,MATCH($F1120&amp;"",Counterparties!$A:$A,0))&amp;"",""))</f>
        <v/>
      </c>
      <c r="P1120" s="24" t="str">
        <f aca="false">IF($O1120="","",IF($O1120="CY","CY",IF(ISNUMBER(MATCH($O1120,Lists!$A:$A,0)),"EU","3RD")))</f>
        <v/>
      </c>
      <c r="Q1120" s="24" t="str">
        <f aca="false">IF($F1120="","N",IFERROR(IF(INDEX(Counterparties!$E:$E,MATCH($F1120&amp;"",Counterparties!$A:$A,0))="Y","Y","N"),"N"))</f>
        <v>N</v>
      </c>
      <c r="R1120" s="25" t="n">
        <f aca="false">IF(OR($H1120="",$H1120="EUR"),1,IFERROR(INDEX(FX_Rates!$D:$D,MATCH($H1120,FX_Rates!$A:$A,0)),""))</f>
        <v>1</v>
      </c>
      <c r="S1120" s="26" t="str">
        <f aca="false">IF(AND($I1120="",$J1120=""),"",IF($J1120&lt;&gt;"",$J1120,IF(OR($R1120="",$R1120=0),"",ROUND($I1120/$R1120,2))))</f>
        <v/>
      </c>
      <c r="T1120" s="24" t="str">
        <f aca="false">IF($N1120="","",IFERROR(INDEX(VAT_Codes!$C:$C,MATCH($N1120,VAT_Codes!$A:$A,0)),"")&amp;"")</f>
        <v/>
      </c>
      <c r="U1120" s="26" t="n">
        <f aca="false">IF(OR($S1120="",$T1120="",$T1120="None"),0,IF($T1120="Output",-$S1120,$S1120))</f>
        <v>0</v>
      </c>
      <c r="V1120" s="27" t="n">
        <f aca="false">IF($N1120="",0,IFERROR(INDEX(VAT_Codes!$D:$D,MATCH($N1120,VAT_Codes!$A:$A,0)),0))</f>
        <v>0</v>
      </c>
      <c r="W1120" s="26" t="n">
        <f aca="false">IF($U1120=0,0,IF(IFERROR(INDEX(VAT_Codes!$F:$F,MATCH($N1120,VAT_Codes!$A:$A,0)),"N")="Y",$U1120,IF($L1120&lt;&gt;"",ROUND(ABS($L1120)/IF(OR($R1120="",$R1120=0),1,$R1120),2)*SIGN($U1120),ROUND($U1120*$V1120,2))))</f>
        <v>0</v>
      </c>
      <c r="X1120" s="24" t="str">
        <f aca="false">IF($N1120="","",IFERROR(INDEX(VAT_Codes!$H:$H,MATCH($N1120,VAT_Codes!$A:$A,0)),"")&amp;"")</f>
        <v/>
      </c>
      <c r="Y1120" s="24" t="str">
        <f aca="false">IF($A1120="","",(YEAR($A1120)-YEAR(Settings!$C$8))*12+MONTH($A1120)-MONTH(Settings!$C$8)+1)</f>
        <v/>
      </c>
      <c r="Z1120" s="24" t="str">
        <f aca="false">IF(AND($C1120="",$I1120="",$J1120=""),"",IF($N1120="","NO VAT CODE",IF($T1120="","UNKNOWN VAT CODE",IF($S1120="","MISSING FX RATE",IF(OR($A1120&lt;Settings!$C$8,$A1120&gt;Settings!$C$9),"OUTSIDE PERIOD",IF(AND(IFERROR(INDEX(VAT_Codes!$E:$E,MATCH($N1120,VAT_Codes!$A:$A,0)),"ANY")&lt;&gt;"ANY",$P1120=""),"MISSING COUNTERPARTY COUNTRY",IF(AND(IFERROR(INDEX(VAT_Codes!$E:$E,MATCH($N1120,VAT_Codes!$A:$A,0)),"ANY")&lt;&gt;"ANY",$P1120&lt;&gt;IFERROR(INDEX(VAT_Codes!$E:$E,MATCH($N1120,VAT_Codes!$A:$A,0)),"ANY")),"REGION MISMATCH","OK")))))))</f>
        <v/>
      </c>
    </row>
    <row r="1121" customFormat="false" ht="15" hidden="false" customHeight="false" outlineLevel="0" collapsed="false">
      <c r="M1121" s="24" t="str">
        <f aca="false">IF($C1121="","",IFERROR(INDEX(Account_Mapping!$C:$C,MATCH($C1121&amp;"",Account_Mapping!$A:$A,0))&amp;"",""))</f>
        <v/>
      </c>
      <c r="N1121" s="24" t="str">
        <f aca="false">IF($K1121&lt;&gt;"",$K1121,$M1121)</f>
        <v/>
      </c>
      <c r="O1121" s="24" t="str">
        <f aca="false">IF($F1121="","",IFERROR(INDEX(Counterparties!$C:$C,MATCH($F1121&amp;"",Counterparties!$A:$A,0))&amp;"",""))</f>
        <v/>
      </c>
      <c r="P1121" s="24" t="str">
        <f aca="false">IF($O1121="","",IF($O1121="CY","CY",IF(ISNUMBER(MATCH($O1121,Lists!$A:$A,0)),"EU","3RD")))</f>
        <v/>
      </c>
      <c r="Q1121" s="24" t="str">
        <f aca="false">IF($F1121="","N",IFERROR(IF(INDEX(Counterparties!$E:$E,MATCH($F1121&amp;"",Counterparties!$A:$A,0))="Y","Y","N"),"N"))</f>
        <v>N</v>
      </c>
      <c r="R1121" s="25" t="n">
        <f aca="false">IF(OR($H1121="",$H1121="EUR"),1,IFERROR(INDEX(FX_Rates!$D:$D,MATCH($H1121,FX_Rates!$A:$A,0)),""))</f>
        <v>1</v>
      </c>
      <c r="S1121" s="26" t="str">
        <f aca="false">IF(AND($I1121="",$J1121=""),"",IF($J1121&lt;&gt;"",$J1121,IF(OR($R1121="",$R1121=0),"",ROUND($I1121/$R1121,2))))</f>
        <v/>
      </c>
      <c r="T1121" s="24" t="str">
        <f aca="false">IF($N1121="","",IFERROR(INDEX(VAT_Codes!$C:$C,MATCH($N1121,VAT_Codes!$A:$A,0)),"")&amp;"")</f>
        <v/>
      </c>
      <c r="U1121" s="26" t="n">
        <f aca="false">IF(OR($S1121="",$T1121="",$T1121="None"),0,IF($T1121="Output",-$S1121,$S1121))</f>
        <v>0</v>
      </c>
      <c r="V1121" s="27" t="n">
        <f aca="false">IF($N1121="",0,IFERROR(INDEX(VAT_Codes!$D:$D,MATCH($N1121,VAT_Codes!$A:$A,0)),0))</f>
        <v>0</v>
      </c>
      <c r="W1121" s="26" t="n">
        <f aca="false">IF($U1121=0,0,IF(IFERROR(INDEX(VAT_Codes!$F:$F,MATCH($N1121,VAT_Codes!$A:$A,0)),"N")="Y",$U1121,IF($L1121&lt;&gt;"",ROUND(ABS($L1121)/IF(OR($R1121="",$R1121=0),1,$R1121),2)*SIGN($U1121),ROUND($U1121*$V1121,2))))</f>
        <v>0</v>
      </c>
      <c r="X1121" s="24" t="str">
        <f aca="false">IF($N1121="","",IFERROR(INDEX(VAT_Codes!$H:$H,MATCH($N1121,VAT_Codes!$A:$A,0)),"")&amp;"")</f>
        <v/>
      </c>
      <c r="Y1121" s="24" t="str">
        <f aca="false">IF($A1121="","",(YEAR($A1121)-YEAR(Settings!$C$8))*12+MONTH($A1121)-MONTH(Settings!$C$8)+1)</f>
        <v/>
      </c>
      <c r="Z1121" s="24" t="str">
        <f aca="false">IF(AND($C1121="",$I1121="",$J1121=""),"",IF($N1121="","NO VAT CODE",IF($T1121="","UNKNOWN VAT CODE",IF($S1121="","MISSING FX RATE",IF(OR($A1121&lt;Settings!$C$8,$A1121&gt;Settings!$C$9),"OUTSIDE PERIOD",IF(AND(IFERROR(INDEX(VAT_Codes!$E:$E,MATCH($N1121,VAT_Codes!$A:$A,0)),"ANY")&lt;&gt;"ANY",$P1121=""),"MISSING COUNTERPARTY COUNTRY",IF(AND(IFERROR(INDEX(VAT_Codes!$E:$E,MATCH($N1121,VAT_Codes!$A:$A,0)),"ANY")&lt;&gt;"ANY",$P1121&lt;&gt;IFERROR(INDEX(VAT_Codes!$E:$E,MATCH($N1121,VAT_Codes!$A:$A,0)),"ANY")),"REGION MISMATCH","OK")))))))</f>
        <v/>
      </c>
    </row>
    <row r="1122" customFormat="false" ht="15" hidden="false" customHeight="false" outlineLevel="0" collapsed="false">
      <c r="M1122" s="24" t="str">
        <f aca="false">IF($C1122="","",IFERROR(INDEX(Account_Mapping!$C:$C,MATCH($C1122&amp;"",Account_Mapping!$A:$A,0))&amp;"",""))</f>
        <v/>
      </c>
      <c r="N1122" s="24" t="str">
        <f aca="false">IF($K1122&lt;&gt;"",$K1122,$M1122)</f>
        <v/>
      </c>
      <c r="O1122" s="24" t="str">
        <f aca="false">IF($F1122="","",IFERROR(INDEX(Counterparties!$C:$C,MATCH($F1122&amp;"",Counterparties!$A:$A,0))&amp;"",""))</f>
        <v/>
      </c>
      <c r="P1122" s="24" t="str">
        <f aca="false">IF($O1122="","",IF($O1122="CY","CY",IF(ISNUMBER(MATCH($O1122,Lists!$A:$A,0)),"EU","3RD")))</f>
        <v/>
      </c>
      <c r="Q1122" s="24" t="str">
        <f aca="false">IF($F1122="","N",IFERROR(IF(INDEX(Counterparties!$E:$E,MATCH($F1122&amp;"",Counterparties!$A:$A,0))="Y","Y","N"),"N"))</f>
        <v>N</v>
      </c>
      <c r="R1122" s="25" t="n">
        <f aca="false">IF(OR($H1122="",$H1122="EUR"),1,IFERROR(INDEX(FX_Rates!$D:$D,MATCH($H1122,FX_Rates!$A:$A,0)),""))</f>
        <v>1</v>
      </c>
      <c r="S1122" s="26" t="str">
        <f aca="false">IF(AND($I1122="",$J1122=""),"",IF($J1122&lt;&gt;"",$J1122,IF(OR($R1122="",$R1122=0),"",ROUND($I1122/$R1122,2))))</f>
        <v/>
      </c>
      <c r="T1122" s="24" t="str">
        <f aca="false">IF($N1122="","",IFERROR(INDEX(VAT_Codes!$C:$C,MATCH($N1122,VAT_Codes!$A:$A,0)),"")&amp;"")</f>
        <v/>
      </c>
      <c r="U1122" s="26" t="n">
        <f aca="false">IF(OR($S1122="",$T1122="",$T1122="None"),0,IF($T1122="Output",-$S1122,$S1122))</f>
        <v>0</v>
      </c>
      <c r="V1122" s="27" t="n">
        <f aca="false">IF($N1122="",0,IFERROR(INDEX(VAT_Codes!$D:$D,MATCH($N1122,VAT_Codes!$A:$A,0)),0))</f>
        <v>0</v>
      </c>
      <c r="W1122" s="26" t="n">
        <f aca="false">IF($U1122=0,0,IF(IFERROR(INDEX(VAT_Codes!$F:$F,MATCH($N1122,VAT_Codes!$A:$A,0)),"N")="Y",$U1122,IF($L1122&lt;&gt;"",ROUND(ABS($L1122)/IF(OR($R1122="",$R1122=0),1,$R1122),2)*SIGN($U1122),ROUND($U1122*$V1122,2))))</f>
        <v>0</v>
      </c>
      <c r="X1122" s="24" t="str">
        <f aca="false">IF($N1122="","",IFERROR(INDEX(VAT_Codes!$H:$H,MATCH($N1122,VAT_Codes!$A:$A,0)),"")&amp;"")</f>
        <v/>
      </c>
      <c r="Y1122" s="24" t="str">
        <f aca="false">IF($A1122="","",(YEAR($A1122)-YEAR(Settings!$C$8))*12+MONTH($A1122)-MONTH(Settings!$C$8)+1)</f>
        <v/>
      </c>
      <c r="Z1122" s="24" t="str">
        <f aca="false">IF(AND($C1122="",$I1122="",$J1122=""),"",IF($N1122="","NO VAT CODE",IF($T1122="","UNKNOWN VAT CODE",IF($S1122="","MISSING FX RATE",IF(OR($A1122&lt;Settings!$C$8,$A1122&gt;Settings!$C$9),"OUTSIDE PERIOD",IF(AND(IFERROR(INDEX(VAT_Codes!$E:$E,MATCH($N1122,VAT_Codes!$A:$A,0)),"ANY")&lt;&gt;"ANY",$P1122=""),"MISSING COUNTERPARTY COUNTRY",IF(AND(IFERROR(INDEX(VAT_Codes!$E:$E,MATCH($N1122,VAT_Codes!$A:$A,0)),"ANY")&lt;&gt;"ANY",$P1122&lt;&gt;IFERROR(INDEX(VAT_Codes!$E:$E,MATCH($N1122,VAT_Codes!$A:$A,0)),"ANY")),"REGION MISMATCH","OK")))))))</f>
        <v/>
      </c>
    </row>
    <row r="1123" customFormat="false" ht="15" hidden="false" customHeight="false" outlineLevel="0" collapsed="false">
      <c r="M1123" s="24" t="str">
        <f aca="false">IF($C1123="","",IFERROR(INDEX(Account_Mapping!$C:$C,MATCH($C1123&amp;"",Account_Mapping!$A:$A,0))&amp;"",""))</f>
        <v/>
      </c>
      <c r="N1123" s="24" t="str">
        <f aca="false">IF($K1123&lt;&gt;"",$K1123,$M1123)</f>
        <v/>
      </c>
      <c r="O1123" s="24" t="str">
        <f aca="false">IF($F1123="","",IFERROR(INDEX(Counterparties!$C:$C,MATCH($F1123&amp;"",Counterparties!$A:$A,0))&amp;"",""))</f>
        <v/>
      </c>
      <c r="P1123" s="24" t="str">
        <f aca="false">IF($O1123="","",IF($O1123="CY","CY",IF(ISNUMBER(MATCH($O1123,Lists!$A:$A,0)),"EU","3RD")))</f>
        <v/>
      </c>
      <c r="Q1123" s="24" t="str">
        <f aca="false">IF($F1123="","N",IFERROR(IF(INDEX(Counterparties!$E:$E,MATCH($F1123&amp;"",Counterparties!$A:$A,0))="Y","Y","N"),"N"))</f>
        <v>N</v>
      </c>
      <c r="R1123" s="25" t="n">
        <f aca="false">IF(OR($H1123="",$H1123="EUR"),1,IFERROR(INDEX(FX_Rates!$D:$D,MATCH($H1123,FX_Rates!$A:$A,0)),""))</f>
        <v>1</v>
      </c>
      <c r="S1123" s="26" t="str">
        <f aca="false">IF(AND($I1123="",$J1123=""),"",IF($J1123&lt;&gt;"",$J1123,IF(OR($R1123="",$R1123=0),"",ROUND($I1123/$R1123,2))))</f>
        <v/>
      </c>
      <c r="T1123" s="24" t="str">
        <f aca="false">IF($N1123="","",IFERROR(INDEX(VAT_Codes!$C:$C,MATCH($N1123,VAT_Codes!$A:$A,0)),"")&amp;"")</f>
        <v/>
      </c>
      <c r="U1123" s="26" t="n">
        <f aca="false">IF(OR($S1123="",$T1123="",$T1123="None"),0,IF($T1123="Output",-$S1123,$S1123))</f>
        <v>0</v>
      </c>
      <c r="V1123" s="27" t="n">
        <f aca="false">IF($N1123="",0,IFERROR(INDEX(VAT_Codes!$D:$D,MATCH($N1123,VAT_Codes!$A:$A,0)),0))</f>
        <v>0</v>
      </c>
      <c r="W1123" s="26" t="n">
        <f aca="false">IF($U1123=0,0,IF(IFERROR(INDEX(VAT_Codes!$F:$F,MATCH($N1123,VAT_Codes!$A:$A,0)),"N")="Y",$U1123,IF($L1123&lt;&gt;"",ROUND(ABS($L1123)/IF(OR($R1123="",$R1123=0),1,$R1123),2)*SIGN($U1123),ROUND($U1123*$V1123,2))))</f>
        <v>0</v>
      </c>
      <c r="X1123" s="24" t="str">
        <f aca="false">IF($N1123="","",IFERROR(INDEX(VAT_Codes!$H:$H,MATCH($N1123,VAT_Codes!$A:$A,0)),"")&amp;"")</f>
        <v/>
      </c>
      <c r="Y1123" s="24" t="str">
        <f aca="false">IF($A1123="","",(YEAR($A1123)-YEAR(Settings!$C$8))*12+MONTH($A1123)-MONTH(Settings!$C$8)+1)</f>
        <v/>
      </c>
      <c r="Z1123" s="24" t="str">
        <f aca="false">IF(AND($C1123="",$I1123="",$J1123=""),"",IF($N1123="","NO VAT CODE",IF($T1123="","UNKNOWN VAT CODE",IF($S1123="","MISSING FX RATE",IF(OR($A1123&lt;Settings!$C$8,$A1123&gt;Settings!$C$9),"OUTSIDE PERIOD",IF(AND(IFERROR(INDEX(VAT_Codes!$E:$E,MATCH($N1123,VAT_Codes!$A:$A,0)),"ANY")&lt;&gt;"ANY",$P1123=""),"MISSING COUNTERPARTY COUNTRY",IF(AND(IFERROR(INDEX(VAT_Codes!$E:$E,MATCH($N1123,VAT_Codes!$A:$A,0)),"ANY")&lt;&gt;"ANY",$P1123&lt;&gt;IFERROR(INDEX(VAT_Codes!$E:$E,MATCH($N1123,VAT_Codes!$A:$A,0)),"ANY")),"REGION MISMATCH","OK")))))))</f>
        <v/>
      </c>
    </row>
    <row r="1124" customFormat="false" ht="15" hidden="false" customHeight="false" outlineLevel="0" collapsed="false">
      <c r="M1124" s="24" t="str">
        <f aca="false">IF($C1124="","",IFERROR(INDEX(Account_Mapping!$C:$C,MATCH($C1124&amp;"",Account_Mapping!$A:$A,0))&amp;"",""))</f>
        <v/>
      </c>
      <c r="N1124" s="24" t="str">
        <f aca="false">IF($K1124&lt;&gt;"",$K1124,$M1124)</f>
        <v/>
      </c>
      <c r="O1124" s="24" t="str">
        <f aca="false">IF($F1124="","",IFERROR(INDEX(Counterparties!$C:$C,MATCH($F1124&amp;"",Counterparties!$A:$A,0))&amp;"",""))</f>
        <v/>
      </c>
      <c r="P1124" s="24" t="str">
        <f aca="false">IF($O1124="","",IF($O1124="CY","CY",IF(ISNUMBER(MATCH($O1124,Lists!$A:$A,0)),"EU","3RD")))</f>
        <v/>
      </c>
      <c r="Q1124" s="24" t="str">
        <f aca="false">IF($F1124="","N",IFERROR(IF(INDEX(Counterparties!$E:$E,MATCH($F1124&amp;"",Counterparties!$A:$A,0))="Y","Y","N"),"N"))</f>
        <v>N</v>
      </c>
      <c r="R1124" s="25" t="n">
        <f aca="false">IF(OR($H1124="",$H1124="EUR"),1,IFERROR(INDEX(FX_Rates!$D:$D,MATCH($H1124,FX_Rates!$A:$A,0)),""))</f>
        <v>1</v>
      </c>
      <c r="S1124" s="26" t="str">
        <f aca="false">IF(AND($I1124="",$J1124=""),"",IF($J1124&lt;&gt;"",$J1124,IF(OR($R1124="",$R1124=0),"",ROUND($I1124/$R1124,2))))</f>
        <v/>
      </c>
      <c r="T1124" s="24" t="str">
        <f aca="false">IF($N1124="","",IFERROR(INDEX(VAT_Codes!$C:$C,MATCH($N1124,VAT_Codes!$A:$A,0)),"")&amp;"")</f>
        <v/>
      </c>
      <c r="U1124" s="26" t="n">
        <f aca="false">IF(OR($S1124="",$T1124="",$T1124="None"),0,IF($T1124="Output",-$S1124,$S1124))</f>
        <v>0</v>
      </c>
      <c r="V1124" s="27" t="n">
        <f aca="false">IF($N1124="",0,IFERROR(INDEX(VAT_Codes!$D:$D,MATCH($N1124,VAT_Codes!$A:$A,0)),0))</f>
        <v>0</v>
      </c>
      <c r="W1124" s="26" t="n">
        <f aca="false">IF($U1124=0,0,IF(IFERROR(INDEX(VAT_Codes!$F:$F,MATCH($N1124,VAT_Codes!$A:$A,0)),"N")="Y",$U1124,IF($L1124&lt;&gt;"",ROUND(ABS($L1124)/IF(OR($R1124="",$R1124=0),1,$R1124),2)*SIGN($U1124),ROUND($U1124*$V1124,2))))</f>
        <v>0</v>
      </c>
      <c r="X1124" s="24" t="str">
        <f aca="false">IF($N1124="","",IFERROR(INDEX(VAT_Codes!$H:$H,MATCH($N1124,VAT_Codes!$A:$A,0)),"")&amp;"")</f>
        <v/>
      </c>
      <c r="Y1124" s="24" t="str">
        <f aca="false">IF($A1124="","",(YEAR($A1124)-YEAR(Settings!$C$8))*12+MONTH($A1124)-MONTH(Settings!$C$8)+1)</f>
        <v/>
      </c>
      <c r="Z1124" s="24" t="str">
        <f aca="false">IF(AND($C1124="",$I1124="",$J1124=""),"",IF($N1124="","NO VAT CODE",IF($T1124="","UNKNOWN VAT CODE",IF($S1124="","MISSING FX RATE",IF(OR($A1124&lt;Settings!$C$8,$A1124&gt;Settings!$C$9),"OUTSIDE PERIOD",IF(AND(IFERROR(INDEX(VAT_Codes!$E:$E,MATCH($N1124,VAT_Codes!$A:$A,0)),"ANY")&lt;&gt;"ANY",$P1124=""),"MISSING COUNTERPARTY COUNTRY",IF(AND(IFERROR(INDEX(VAT_Codes!$E:$E,MATCH($N1124,VAT_Codes!$A:$A,0)),"ANY")&lt;&gt;"ANY",$P1124&lt;&gt;IFERROR(INDEX(VAT_Codes!$E:$E,MATCH($N1124,VAT_Codes!$A:$A,0)),"ANY")),"REGION MISMATCH","OK")))))))</f>
        <v/>
      </c>
    </row>
    <row r="1125" customFormat="false" ht="15" hidden="false" customHeight="false" outlineLevel="0" collapsed="false">
      <c r="M1125" s="24" t="str">
        <f aca="false">IF($C1125="","",IFERROR(INDEX(Account_Mapping!$C:$C,MATCH($C1125&amp;"",Account_Mapping!$A:$A,0))&amp;"",""))</f>
        <v/>
      </c>
      <c r="N1125" s="24" t="str">
        <f aca="false">IF($K1125&lt;&gt;"",$K1125,$M1125)</f>
        <v/>
      </c>
      <c r="O1125" s="24" t="str">
        <f aca="false">IF($F1125="","",IFERROR(INDEX(Counterparties!$C:$C,MATCH($F1125&amp;"",Counterparties!$A:$A,0))&amp;"",""))</f>
        <v/>
      </c>
      <c r="P1125" s="24" t="str">
        <f aca="false">IF($O1125="","",IF($O1125="CY","CY",IF(ISNUMBER(MATCH($O1125,Lists!$A:$A,0)),"EU","3RD")))</f>
        <v/>
      </c>
      <c r="Q1125" s="24" t="str">
        <f aca="false">IF($F1125="","N",IFERROR(IF(INDEX(Counterparties!$E:$E,MATCH($F1125&amp;"",Counterparties!$A:$A,0))="Y","Y","N"),"N"))</f>
        <v>N</v>
      </c>
      <c r="R1125" s="25" t="n">
        <f aca="false">IF(OR($H1125="",$H1125="EUR"),1,IFERROR(INDEX(FX_Rates!$D:$D,MATCH($H1125,FX_Rates!$A:$A,0)),""))</f>
        <v>1</v>
      </c>
      <c r="S1125" s="26" t="str">
        <f aca="false">IF(AND($I1125="",$J1125=""),"",IF($J1125&lt;&gt;"",$J1125,IF(OR($R1125="",$R1125=0),"",ROUND($I1125/$R1125,2))))</f>
        <v/>
      </c>
      <c r="T1125" s="24" t="str">
        <f aca="false">IF($N1125="","",IFERROR(INDEX(VAT_Codes!$C:$C,MATCH($N1125,VAT_Codes!$A:$A,0)),"")&amp;"")</f>
        <v/>
      </c>
      <c r="U1125" s="26" t="n">
        <f aca="false">IF(OR($S1125="",$T1125="",$T1125="None"),0,IF($T1125="Output",-$S1125,$S1125))</f>
        <v>0</v>
      </c>
      <c r="V1125" s="27" t="n">
        <f aca="false">IF($N1125="",0,IFERROR(INDEX(VAT_Codes!$D:$D,MATCH($N1125,VAT_Codes!$A:$A,0)),0))</f>
        <v>0</v>
      </c>
      <c r="W1125" s="26" t="n">
        <f aca="false">IF($U1125=0,0,IF(IFERROR(INDEX(VAT_Codes!$F:$F,MATCH($N1125,VAT_Codes!$A:$A,0)),"N")="Y",$U1125,IF($L1125&lt;&gt;"",ROUND(ABS($L1125)/IF(OR($R1125="",$R1125=0),1,$R1125),2)*SIGN($U1125),ROUND($U1125*$V1125,2))))</f>
        <v>0</v>
      </c>
      <c r="X1125" s="24" t="str">
        <f aca="false">IF($N1125="","",IFERROR(INDEX(VAT_Codes!$H:$H,MATCH($N1125,VAT_Codes!$A:$A,0)),"")&amp;"")</f>
        <v/>
      </c>
      <c r="Y1125" s="24" t="str">
        <f aca="false">IF($A1125="","",(YEAR($A1125)-YEAR(Settings!$C$8))*12+MONTH($A1125)-MONTH(Settings!$C$8)+1)</f>
        <v/>
      </c>
      <c r="Z1125" s="24" t="str">
        <f aca="false">IF(AND($C1125="",$I1125="",$J1125=""),"",IF($N1125="","NO VAT CODE",IF($T1125="","UNKNOWN VAT CODE",IF($S1125="","MISSING FX RATE",IF(OR($A1125&lt;Settings!$C$8,$A1125&gt;Settings!$C$9),"OUTSIDE PERIOD",IF(AND(IFERROR(INDEX(VAT_Codes!$E:$E,MATCH($N1125,VAT_Codes!$A:$A,0)),"ANY")&lt;&gt;"ANY",$P1125=""),"MISSING COUNTERPARTY COUNTRY",IF(AND(IFERROR(INDEX(VAT_Codes!$E:$E,MATCH($N1125,VAT_Codes!$A:$A,0)),"ANY")&lt;&gt;"ANY",$P1125&lt;&gt;IFERROR(INDEX(VAT_Codes!$E:$E,MATCH($N1125,VAT_Codes!$A:$A,0)),"ANY")),"REGION MISMATCH","OK")))))))</f>
        <v/>
      </c>
    </row>
    <row r="1126" customFormat="false" ht="15" hidden="false" customHeight="false" outlineLevel="0" collapsed="false">
      <c r="M1126" s="24" t="str">
        <f aca="false">IF($C1126="","",IFERROR(INDEX(Account_Mapping!$C:$C,MATCH($C1126&amp;"",Account_Mapping!$A:$A,0))&amp;"",""))</f>
        <v/>
      </c>
      <c r="N1126" s="24" t="str">
        <f aca="false">IF($K1126&lt;&gt;"",$K1126,$M1126)</f>
        <v/>
      </c>
      <c r="O1126" s="24" t="str">
        <f aca="false">IF($F1126="","",IFERROR(INDEX(Counterparties!$C:$C,MATCH($F1126&amp;"",Counterparties!$A:$A,0))&amp;"",""))</f>
        <v/>
      </c>
      <c r="P1126" s="24" t="str">
        <f aca="false">IF($O1126="","",IF($O1126="CY","CY",IF(ISNUMBER(MATCH($O1126,Lists!$A:$A,0)),"EU","3RD")))</f>
        <v/>
      </c>
      <c r="Q1126" s="24" t="str">
        <f aca="false">IF($F1126="","N",IFERROR(IF(INDEX(Counterparties!$E:$E,MATCH($F1126&amp;"",Counterparties!$A:$A,0))="Y","Y","N"),"N"))</f>
        <v>N</v>
      </c>
      <c r="R1126" s="25" t="n">
        <f aca="false">IF(OR($H1126="",$H1126="EUR"),1,IFERROR(INDEX(FX_Rates!$D:$D,MATCH($H1126,FX_Rates!$A:$A,0)),""))</f>
        <v>1</v>
      </c>
      <c r="S1126" s="26" t="str">
        <f aca="false">IF(AND($I1126="",$J1126=""),"",IF($J1126&lt;&gt;"",$J1126,IF(OR($R1126="",$R1126=0),"",ROUND($I1126/$R1126,2))))</f>
        <v/>
      </c>
      <c r="T1126" s="24" t="str">
        <f aca="false">IF($N1126="","",IFERROR(INDEX(VAT_Codes!$C:$C,MATCH($N1126,VAT_Codes!$A:$A,0)),"")&amp;"")</f>
        <v/>
      </c>
      <c r="U1126" s="26" t="n">
        <f aca="false">IF(OR($S1126="",$T1126="",$T1126="None"),0,IF($T1126="Output",-$S1126,$S1126))</f>
        <v>0</v>
      </c>
      <c r="V1126" s="27" t="n">
        <f aca="false">IF($N1126="",0,IFERROR(INDEX(VAT_Codes!$D:$D,MATCH($N1126,VAT_Codes!$A:$A,0)),0))</f>
        <v>0</v>
      </c>
      <c r="W1126" s="26" t="n">
        <f aca="false">IF($U1126=0,0,IF(IFERROR(INDEX(VAT_Codes!$F:$F,MATCH($N1126,VAT_Codes!$A:$A,0)),"N")="Y",$U1126,IF($L1126&lt;&gt;"",ROUND(ABS($L1126)/IF(OR($R1126="",$R1126=0),1,$R1126),2)*SIGN($U1126),ROUND($U1126*$V1126,2))))</f>
        <v>0</v>
      </c>
      <c r="X1126" s="24" t="str">
        <f aca="false">IF($N1126="","",IFERROR(INDEX(VAT_Codes!$H:$H,MATCH($N1126,VAT_Codes!$A:$A,0)),"")&amp;"")</f>
        <v/>
      </c>
      <c r="Y1126" s="24" t="str">
        <f aca="false">IF($A1126="","",(YEAR($A1126)-YEAR(Settings!$C$8))*12+MONTH($A1126)-MONTH(Settings!$C$8)+1)</f>
        <v/>
      </c>
      <c r="Z1126" s="24" t="str">
        <f aca="false">IF(AND($C1126="",$I1126="",$J1126=""),"",IF($N1126="","NO VAT CODE",IF($T1126="","UNKNOWN VAT CODE",IF($S1126="","MISSING FX RATE",IF(OR($A1126&lt;Settings!$C$8,$A1126&gt;Settings!$C$9),"OUTSIDE PERIOD",IF(AND(IFERROR(INDEX(VAT_Codes!$E:$E,MATCH($N1126,VAT_Codes!$A:$A,0)),"ANY")&lt;&gt;"ANY",$P1126=""),"MISSING COUNTERPARTY COUNTRY",IF(AND(IFERROR(INDEX(VAT_Codes!$E:$E,MATCH($N1126,VAT_Codes!$A:$A,0)),"ANY")&lt;&gt;"ANY",$P1126&lt;&gt;IFERROR(INDEX(VAT_Codes!$E:$E,MATCH($N1126,VAT_Codes!$A:$A,0)),"ANY")),"REGION MISMATCH","OK")))))))</f>
        <v/>
      </c>
    </row>
    <row r="1127" customFormat="false" ht="15" hidden="false" customHeight="false" outlineLevel="0" collapsed="false">
      <c r="M1127" s="24" t="str">
        <f aca="false">IF($C1127="","",IFERROR(INDEX(Account_Mapping!$C:$C,MATCH($C1127&amp;"",Account_Mapping!$A:$A,0))&amp;"",""))</f>
        <v/>
      </c>
      <c r="N1127" s="24" t="str">
        <f aca="false">IF($K1127&lt;&gt;"",$K1127,$M1127)</f>
        <v/>
      </c>
      <c r="O1127" s="24" t="str">
        <f aca="false">IF($F1127="","",IFERROR(INDEX(Counterparties!$C:$C,MATCH($F1127&amp;"",Counterparties!$A:$A,0))&amp;"",""))</f>
        <v/>
      </c>
      <c r="P1127" s="24" t="str">
        <f aca="false">IF($O1127="","",IF($O1127="CY","CY",IF(ISNUMBER(MATCH($O1127,Lists!$A:$A,0)),"EU","3RD")))</f>
        <v/>
      </c>
      <c r="Q1127" s="24" t="str">
        <f aca="false">IF($F1127="","N",IFERROR(IF(INDEX(Counterparties!$E:$E,MATCH($F1127&amp;"",Counterparties!$A:$A,0))="Y","Y","N"),"N"))</f>
        <v>N</v>
      </c>
      <c r="R1127" s="25" t="n">
        <f aca="false">IF(OR($H1127="",$H1127="EUR"),1,IFERROR(INDEX(FX_Rates!$D:$D,MATCH($H1127,FX_Rates!$A:$A,0)),""))</f>
        <v>1</v>
      </c>
      <c r="S1127" s="26" t="str">
        <f aca="false">IF(AND($I1127="",$J1127=""),"",IF($J1127&lt;&gt;"",$J1127,IF(OR($R1127="",$R1127=0),"",ROUND($I1127/$R1127,2))))</f>
        <v/>
      </c>
      <c r="T1127" s="24" t="str">
        <f aca="false">IF($N1127="","",IFERROR(INDEX(VAT_Codes!$C:$C,MATCH($N1127,VAT_Codes!$A:$A,0)),"")&amp;"")</f>
        <v/>
      </c>
      <c r="U1127" s="26" t="n">
        <f aca="false">IF(OR($S1127="",$T1127="",$T1127="None"),0,IF($T1127="Output",-$S1127,$S1127))</f>
        <v>0</v>
      </c>
      <c r="V1127" s="27" t="n">
        <f aca="false">IF($N1127="",0,IFERROR(INDEX(VAT_Codes!$D:$D,MATCH($N1127,VAT_Codes!$A:$A,0)),0))</f>
        <v>0</v>
      </c>
      <c r="W1127" s="26" t="n">
        <f aca="false">IF($U1127=0,0,IF(IFERROR(INDEX(VAT_Codes!$F:$F,MATCH($N1127,VAT_Codes!$A:$A,0)),"N")="Y",$U1127,IF($L1127&lt;&gt;"",ROUND(ABS($L1127)/IF(OR($R1127="",$R1127=0),1,$R1127),2)*SIGN($U1127),ROUND($U1127*$V1127,2))))</f>
        <v>0</v>
      </c>
      <c r="X1127" s="24" t="str">
        <f aca="false">IF($N1127="","",IFERROR(INDEX(VAT_Codes!$H:$H,MATCH($N1127,VAT_Codes!$A:$A,0)),"")&amp;"")</f>
        <v/>
      </c>
      <c r="Y1127" s="24" t="str">
        <f aca="false">IF($A1127="","",(YEAR($A1127)-YEAR(Settings!$C$8))*12+MONTH($A1127)-MONTH(Settings!$C$8)+1)</f>
        <v/>
      </c>
      <c r="Z1127" s="24" t="str">
        <f aca="false">IF(AND($C1127="",$I1127="",$J1127=""),"",IF($N1127="","NO VAT CODE",IF($T1127="","UNKNOWN VAT CODE",IF($S1127="","MISSING FX RATE",IF(OR($A1127&lt;Settings!$C$8,$A1127&gt;Settings!$C$9),"OUTSIDE PERIOD",IF(AND(IFERROR(INDEX(VAT_Codes!$E:$E,MATCH($N1127,VAT_Codes!$A:$A,0)),"ANY")&lt;&gt;"ANY",$P1127=""),"MISSING COUNTERPARTY COUNTRY",IF(AND(IFERROR(INDEX(VAT_Codes!$E:$E,MATCH($N1127,VAT_Codes!$A:$A,0)),"ANY")&lt;&gt;"ANY",$P1127&lt;&gt;IFERROR(INDEX(VAT_Codes!$E:$E,MATCH($N1127,VAT_Codes!$A:$A,0)),"ANY")),"REGION MISMATCH","OK")))))))</f>
        <v/>
      </c>
    </row>
    <row r="1128" customFormat="false" ht="15" hidden="false" customHeight="false" outlineLevel="0" collapsed="false">
      <c r="M1128" s="24" t="str">
        <f aca="false">IF($C1128="","",IFERROR(INDEX(Account_Mapping!$C:$C,MATCH($C1128&amp;"",Account_Mapping!$A:$A,0))&amp;"",""))</f>
        <v/>
      </c>
      <c r="N1128" s="24" t="str">
        <f aca="false">IF($K1128&lt;&gt;"",$K1128,$M1128)</f>
        <v/>
      </c>
      <c r="O1128" s="24" t="str">
        <f aca="false">IF($F1128="","",IFERROR(INDEX(Counterparties!$C:$C,MATCH($F1128&amp;"",Counterparties!$A:$A,0))&amp;"",""))</f>
        <v/>
      </c>
      <c r="P1128" s="24" t="str">
        <f aca="false">IF($O1128="","",IF($O1128="CY","CY",IF(ISNUMBER(MATCH($O1128,Lists!$A:$A,0)),"EU","3RD")))</f>
        <v/>
      </c>
      <c r="Q1128" s="24" t="str">
        <f aca="false">IF($F1128="","N",IFERROR(IF(INDEX(Counterparties!$E:$E,MATCH($F1128&amp;"",Counterparties!$A:$A,0))="Y","Y","N"),"N"))</f>
        <v>N</v>
      </c>
      <c r="R1128" s="25" t="n">
        <f aca="false">IF(OR($H1128="",$H1128="EUR"),1,IFERROR(INDEX(FX_Rates!$D:$D,MATCH($H1128,FX_Rates!$A:$A,0)),""))</f>
        <v>1</v>
      </c>
      <c r="S1128" s="26" t="str">
        <f aca="false">IF(AND($I1128="",$J1128=""),"",IF($J1128&lt;&gt;"",$J1128,IF(OR($R1128="",$R1128=0),"",ROUND($I1128/$R1128,2))))</f>
        <v/>
      </c>
      <c r="T1128" s="24" t="str">
        <f aca="false">IF($N1128="","",IFERROR(INDEX(VAT_Codes!$C:$C,MATCH($N1128,VAT_Codes!$A:$A,0)),"")&amp;"")</f>
        <v/>
      </c>
      <c r="U1128" s="26" t="n">
        <f aca="false">IF(OR($S1128="",$T1128="",$T1128="None"),0,IF($T1128="Output",-$S1128,$S1128))</f>
        <v>0</v>
      </c>
      <c r="V1128" s="27" t="n">
        <f aca="false">IF($N1128="",0,IFERROR(INDEX(VAT_Codes!$D:$D,MATCH($N1128,VAT_Codes!$A:$A,0)),0))</f>
        <v>0</v>
      </c>
      <c r="W1128" s="26" t="n">
        <f aca="false">IF($U1128=0,0,IF(IFERROR(INDEX(VAT_Codes!$F:$F,MATCH($N1128,VAT_Codes!$A:$A,0)),"N")="Y",$U1128,IF($L1128&lt;&gt;"",ROUND(ABS($L1128)/IF(OR($R1128="",$R1128=0),1,$R1128),2)*SIGN($U1128),ROUND($U1128*$V1128,2))))</f>
        <v>0</v>
      </c>
      <c r="X1128" s="24" t="str">
        <f aca="false">IF($N1128="","",IFERROR(INDEX(VAT_Codes!$H:$H,MATCH($N1128,VAT_Codes!$A:$A,0)),"")&amp;"")</f>
        <v/>
      </c>
      <c r="Y1128" s="24" t="str">
        <f aca="false">IF($A1128="","",(YEAR($A1128)-YEAR(Settings!$C$8))*12+MONTH($A1128)-MONTH(Settings!$C$8)+1)</f>
        <v/>
      </c>
      <c r="Z1128" s="24" t="str">
        <f aca="false">IF(AND($C1128="",$I1128="",$J1128=""),"",IF($N1128="","NO VAT CODE",IF($T1128="","UNKNOWN VAT CODE",IF($S1128="","MISSING FX RATE",IF(OR($A1128&lt;Settings!$C$8,$A1128&gt;Settings!$C$9),"OUTSIDE PERIOD",IF(AND(IFERROR(INDEX(VAT_Codes!$E:$E,MATCH($N1128,VAT_Codes!$A:$A,0)),"ANY")&lt;&gt;"ANY",$P1128=""),"MISSING COUNTERPARTY COUNTRY",IF(AND(IFERROR(INDEX(VAT_Codes!$E:$E,MATCH($N1128,VAT_Codes!$A:$A,0)),"ANY")&lt;&gt;"ANY",$P1128&lt;&gt;IFERROR(INDEX(VAT_Codes!$E:$E,MATCH($N1128,VAT_Codes!$A:$A,0)),"ANY")),"REGION MISMATCH","OK")))))))</f>
        <v/>
      </c>
    </row>
    <row r="1129" customFormat="false" ht="15" hidden="false" customHeight="false" outlineLevel="0" collapsed="false">
      <c r="M1129" s="24" t="str">
        <f aca="false">IF($C1129="","",IFERROR(INDEX(Account_Mapping!$C:$C,MATCH($C1129&amp;"",Account_Mapping!$A:$A,0))&amp;"",""))</f>
        <v/>
      </c>
      <c r="N1129" s="24" t="str">
        <f aca="false">IF($K1129&lt;&gt;"",$K1129,$M1129)</f>
        <v/>
      </c>
      <c r="O1129" s="24" t="str">
        <f aca="false">IF($F1129="","",IFERROR(INDEX(Counterparties!$C:$C,MATCH($F1129&amp;"",Counterparties!$A:$A,0))&amp;"",""))</f>
        <v/>
      </c>
      <c r="P1129" s="24" t="str">
        <f aca="false">IF($O1129="","",IF($O1129="CY","CY",IF(ISNUMBER(MATCH($O1129,Lists!$A:$A,0)),"EU","3RD")))</f>
        <v/>
      </c>
      <c r="Q1129" s="24" t="str">
        <f aca="false">IF($F1129="","N",IFERROR(IF(INDEX(Counterparties!$E:$E,MATCH($F1129&amp;"",Counterparties!$A:$A,0))="Y","Y","N"),"N"))</f>
        <v>N</v>
      </c>
      <c r="R1129" s="25" t="n">
        <f aca="false">IF(OR($H1129="",$H1129="EUR"),1,IFERROR(INDEX(FX_Rates!$D:$D,MATCH($H1129,FX_Rates!$A:$A,0)),""))</f>
        <v>1</v>
      </c>
      <c r="S1129" s="26" t="str">
        <f aca="false">IF(AND($I1129="",$J1129=""),"",IF($J1129&lt;&gt;"",$J1129,IF(OR($R1129="",$R1129=0),"",ROUND($I1129/$R1129,2))))</f>
        <v/>
      </c>
      <c r="T1129" s="24" t="str">
        <f aca="false">IF($N1129="","",IFERROR(INDEX(VAT_Codes!$C:$C,MATCH($N1129,VAT_Codes!$A:$A,0)),"")&amp;"")</f>
        <v/>
      </c>
      <c r="U1129" s="26" t="n">
        <f aca="false">IF(OR($S1129="",$T1129="",$T1129="None"),0,IF($T1129="Output",-$S1129,$S1129))</f>
        <v>0</v>
      </c>
      <c r="V1129" s="27" t="n">
        <f aca="false">IF($N1129="",0,IFERROR(INDEX(VAT_Codes!$D:$D,MATCH($N1129,VAT_Codes!$A:$A,0)),0))</f>
        <v>0</v>
      </c>
      <c r="W1129" s="26" t="n">
        <f aca="false">IF($U1129=0,0,IF(IFERROR(INDEX(VAT_Codes!$F:$F,MATCH($N1129,VAT_Codes!$A:$A,0)),"N")="Y",$U1129,IF($L1129&lt;&gt;"",ROUND(ABS($L1129)/IF(OR($R1129="",$R1129=0),1,$R1129),2)*SIGN($U1129),ROUND($U1129*$V1129,2))))</f>
        <v>0</v>
      </c>
      <c r="X1129" s="24" t="str">
        <f aca="false">IF($N1129="","",IFERROR(INDEX(VAT_Codes!$H:$H,MATCH($N1129,VAT_Codes!$A:$A,0)),"")&amp;"")</f>
        <v/>
      </c>
      <c r="Y1129" s="24" t="str">
        <f aca="false">IF($A1129="","",(YEAR($A1129)-YEAR(Settings!$C$8))*12+MONTH($A1129)-MONTH(Settings!$C$8)+1)</f>
        <v/>
      </c>
      <c r="Z1129" s="24" t="str">
        <f aca="false">IF(AND($C1129="",$I1129="",$J1129=""),"",IF($N1129="","NO VAT CODE",IF($T1129="","UNKNOWN VAT CODE",IF($S1129="","MISSING FX RATE",IF(OR($A1129&lt;Settings!$C$8,$A1129&gt;Settings!$C$9),"OUTSIDE PERIOD",IF(AND(IFERROR(INDEX(VAT_Codes!$E:$E,MATCH($N1129,VAT_Codes!$A:$A,0)),"ANY")&lt;&gt;"ANY",$P1129=""),"MISSING COUNTERPARTY COUNTRY",IF(AND(IFERROR(INDEX(VAT_Codes!$E:$E,MATCH($N1129,VAT_Codes!$A:$A,0)),"ANY")&lt;&gt;"ANY",$P1129&lt;&gt;IFERROR(INDEX(VAT_Codes!$E:$E,MATCH($N1129,VAT_Codes!$A:$A,0)),"ANY")),"REGION MISMATCH","OK")))))))</f>
        <v/>
      </c>
    </row>
    <row r="1130" customFormat="false" ht="15" hidden="false" customHeight="false" outlineLevel="0" collapsed="false">
      <c r="M1130" s="24" t="str">
        <f aca="false">IF($C1130="","",IFERROR(INDEX(Account_Mapping!$C:$C,MATCH($C1130&amp;"",Account_Mapping!$A:$A,0))&amp;"",""))</f>
        <v/>
      </c>
      <c r="N1130" s="24" t="str">
        <f aca="false">IF($K1130&lt;&gt;"",$K1130,$M1130)</f>
        <v/>
      </c>
      <c r="O1130" s="24" t="str">
        <f aca="false">IF($F1130="","",IFERROR(INDEX(Counterparties!$C:$C,MATCH($F1130&amp;"",Counterparties!$A:$A,0))&amp;"",""))</f>
        <v/>
      </c>
      <c r="P1130" s="24" t="str">
        <f aca="false">IF($O1130="","",IF($O1130="CY","CY",IF(ISNUMBER(MATCH($O1130,Lists!$A:$A,0)),"EU","3RD")))</f>
        <v/>
      </c>
      <c r="Q1130" s="24" t="str">
        <f aca="false">IF($F1130="","N",IFERROR(IF(INDEX(Counterparties!$E:$E,MATCH($F1130&amp;"",Counterparties!$A:$A,0))="Y","Y","N"),"N"))</f>
        <v>N</v>
      </c>
      <c r="R1130" s="25" t="n">
        <f aca="false">IF(OR($H1130="",$H1130="EUR"),1,IFERROR(INDEX(FX_Rates!$D:$D,MATCH($H1130,FX_Rates!$A:$A,0)),""))</f>
        <v>1</v>
      </c>
      <c r="S1130" s="26" t="str">
        <f aca="false">IF(AND($I1130="",$J1130=""),"",IF($J1130&lt;&gt;"",$J1130,IF(OR($R1130="",$R1130=0),"",ROUND($I1130/$R1130,2))))</f>
        <v/>
      </c>
      <c r="T1130" s="24" t="str">
        <f aca="false">IF($N1130="","",IFERROR(INDEX(VAT_Codes!$C:$C,MATCH($N1130,VAT_Codes!$A:$A,0)),"")&amp;"")</f>
        <v/>
      </c>
      <c r="U1130" s="26" t="n">
        <f aca="false">IF(OR($S1130="",$T1130="",$T1130="None"),0,IF($T1130="Output",-$S1130,$S1130))</f>
        <v>0</v>
      </c>
      <c r="V1130" s="27" t="n">
        <f aca="false">IF($N1130="",0,IFERROR(INDEX(VAT_Codes!$D:$D,MATCH($N1130,VAT_Codes!$A:$A,0)),0))</f>
        <v>0</v>
      </c>
      <c r="W1130" s="26" t="n">
        <f aca="false">IF($U1130=0,0,IF(IFERROR(INDEX(VAT_Codes!$F:$F,MATCH($N1130,VAT_Codes!$A:$A,0)),"N")="Y",$U1130,IF($L1130&lt;&gt;"",ROUND(ABS($L1130)/IF(OR($R1130="",$R1130=0),1,$R1130),2)*SIGN($U1130),ROUND($U1130*$V1130,2))))</f>
        <v>0</v>
      </c>
      <c r="X1130" s="24" t="str">
        <f aca="false">IF($N1130="","",IFERROR(INDEX(VAT_Codes!$H:$H,MATCH($N1130,VAT_Codes!$A:$A,0)),"")&amp;"")</f>
        <v/>
      </c>
      <c r="Y1130" s="24" t="str">
        <f aca="false">IF($A1130="","",(YEAR($A1130)-YEAR(Settings!$C$8))*12+MONTH($A1130)-MONTH(Settings!$C$8)+1)</f>
        <v/>
      </c>
      <c r="Z1130" s="24" t="str">
        <f aca="false">IF(AND($C1130="",$I1130="",$J1130=""),"",IF($N1130="","NO VAT CODE",IF($T1130="","UNKNOWN VAT CODE",IF($S1130="","MISSING FX RATE",IF(OR($A1130&lt;Settings!$C$8,$A1130&gt;Settings!$C$9),"OUTSIDE PERIOD",IF(AND(IFERROR(INDEX(VAT_Codes!$E:$E,MATCH($N1130,VAT_Codes!$A:$A,0)),"ANY")&lt;&gt;"ANY",$P1130=""),"MISSING COUNTERPARTY COUNTRY",IF(AND(IFERROR(INDEX(VAT_Codes!$E:$E,MATCH($N1130,VAT_Codes!$A:$A,0)),"ANY")&lt;&gt;"ANY",$P1130&lt;&gt;IFERROR(INDEX(VAT_Codes!$E:$E,MATCH($N1130,VAT_Codes!$A:$A,0)),"ANY")),"REGION MISMATCH","OK")))))))</f>
        <v/>
      </c>
    </row>
    <row r="1131" customFormat="false" ht="15" hidden="false" customHeight="false" outlineLevel="0" collapsed="false">
      <c r="M1131" s="24" t="str">
        <f aca="false">IF($C1131="","",IFERROR(INDEX(Account_Mapping!$C:$C,MATCH($C1131&amp;"",Account_Mapping!$A:$A,0))&amp;"",""))</f>
        <v/>
      </c>
      <c r="N1131" s="24" t="str">
        <f aca="false">IF($K1131&lt;&gt;"",$K1131,$M1131)</f>
        <v/>
      </c>
      <c r="O1131" s="24" t="str">
        <f aca="false">IF($F1131="","",IFERROR(INDEX(Counterparties!$C:$C,MATCH($F1131&amp;"",Counterparties!$A:$A,0))&amp;"",""))</f>
        <v/>
      </c>
      <c r="P1131" s="24" t="str">
        <f aca="false">IF($O1131="","",IF($O1131="CY","CY",IF(ISNUMBER(MATCH($O1131,Lists!$A:$A,0)),"EU","3RD")))</f>
        <v/>
      </c>
      <c r="Q1131" s="24" t="str">
        <f aca="false">IF($F1131="","N",IFERROR(IF(INDEX(Counterparties!$E:$E,MATCH($F1131&amp;"",Counterparties!$A:$A,0))="Y","Y","N"),"N"))</f>
        <v>N</v>
      </c>
      <c r="R1131" s="25" t="n">
        <f aca="false">IF(OR($H1131="",$H1131="EUR"),1,IFERROR(INDEX(FX_Rates!$D:$D,MATCH($H1131,FX_Rates!$A:$A,0)),""))</f>
        <v>1</v>
      </c>
      <c r="S1131" s="26" t="str">
        <f aca="false">IF(AND($I1131="",$J1131=""),"",IF($J1131&lt;&gt;"",$J1131,IF(OR($R1131="",$R1131=0),"",ROUND($I1131/$R1131,2))))</f>
        <v/>
      </c>
      <c r="T1131" s="24" t="str">
        <f aca="false">IF($N1131="","",IFERROR(INDEX(VAT_Codes!$C:$C,MATCH($N1131,VAT_Codes!$A:$A,0)),"")&amp;"")</f>
        <v/>
      </c>
      <c r="U1131" s="26" t="n">
        <f aca="false">IF(OR($S1131="",$T1131="",$T1131="None"),0,IF($T1131="Output",-$S1131,$S1131))</f>
        <v>0</v>
      </c>
      <c r="V1131" s="27" t="n">
        <f aca="false">IF($N1131="",0,IFERROR(INDEX(VAT_Codes!$D:$D,MATCH($N1131,VAT_Codes!$A:$A,0)),0))</f>
        <v>0</v>
      </c>
      <c r="W1131" s="26" t="n">
        <f aca="false">IF($U1131=0,0,IF(IFERROR(INDEX(VAT_Codes!$F:$F,MATCH($N1131,VAT_Codes!$A:$A,0)),"N")="Y",$U1131,IF($L1131&lt;&gt;"",ROUND(ABS($L1131)/IF(OR($R1131="",$R1131=0),1,$R1131),2)*SIGN($U1131),ROUND($U1131*$V1131,2))))</f>
        <v>0</v>
      </c>
      <c r="X1131" s="24" t="str">
        <f aca="false">IF($N1131="","",IFERROR(INDEX(VAT_Codes!$H:$H,MATCH($N1131,VAT_Codes!$A:$A,0)),"")&amp;"")</f>
        <v/>
      </c>
      <c r="Y1131" s="24" t="str">
        <f aca="false">IF($A1131="","",(YEAR($A1131)-YEAR(Settings!$C$8))*12+MONTH($A1131)-MONTH(Settings!$C$8)+1)</f>
        <v/>
      </c>
      <c r="Z1131" s="24" t="str">
        <f aca="false">IF(AND($C1131="",$I1131="",$J1131=""),"",IF($N1131="","NO VAT CODE",IF($T1131="","UNKNOWN VAT CODE",IF($S1131="","MISSING FX RATE",IF(OR($A1131&lt;Settings!$C$8,$A1131&gt;Settings!$C$9),"OUTSIDE PERIOD",IF(AND(IFERROR(INDEX(VAT_Codes!$E:$E,MATCH($N1131,VAT_Codes!$A:$A,0)),"ANY")&lt;&gt;"ANY",$P1131=""),"MISSING COUNTERPARTY COUNTRY",IF(AND(IFERROR(INDEX(VAT_Codes!$E:$E,MATCH($N1131,VAT_Codes!$A:$A,0)),"ANY")&lt;&gt;"ANY",$P1131&lt;&gt;IFERROR(INDEX(VAT_Codes!$E:$E,MATCH($N1131,VAT_Codes!$A:$A,0)),"ANY")),"REGION MISMATCH","OK")))))))</f>
        <v/>
      </c>
    </row>
    <row r="1132" customFormat="false" ht="15" hidden="false" customHeight="false" outlineLevel="0" collapsed="false">
      <c r="M1132" s="24" t="str">
        <f aca="false">IF($C1132="","",IFERROR(INDEX(Account_Mapping!$C:$C,MATCH($C1132&amp;"",Account_Mapping!$A:$A,0))&amp;"",""))</f>
        <v/>
      </c>
      <c r="N1132" s="24" t="str">
        <f aca="false">IF($K1132&lt;&gt;"",$K1132,$M1132)</f>
        <v/>
      </c>
      <c r="O1132" s="24" t="str">
        <f aca="false">IF($F1132="","",IFERROR(INDEX(Counterparties!$C:$C,MATCH($F1132&amp;"",Counterparties!$A:$A,0))&amp;"",""))</f>
        <v/>
      </c>
      <c r="P1132" s="24" t="str">
        <f aca="false">IF($O1132="","",IF($O1132="CY","CY",IF(ISNUMBER(MATCH($O1132,Lists!$A:$A,0)),"EU","3RD")))</f>
        <v/>
      </c>
      <c r="Q1132" s="24" t="str">
        <f aca="false">IF($F1132="","N",IFERROR(IF(INDEX(Counterparties!$E:$E,MATCH($F1132&amp;"",Counterparties!$A:$A,0))="Y","Y","N"),"N"))</f>
        <v>N</v>
      </c>
      <c r="R1132" s="25" t="n">
        <f aca="false">IF(OR($H1132="",$H1132="EUR"),1,IFERROR(INDEX(FX_Rates!$D:$D,MATCH($H1132,FX_Rates!$A:$A,0)),""))</f>
        <v>1</v>
      </c>
      <c r="S1132" s="26" t="str">
        <f aca="false">IF(AND($I1132="",$J1132=""),"",IF($J1132&lt;&gt;"",$J1132,IF(OR($R1132="",$R1132=0),"",ROUND($I1132/$R1132,2))))</f>
        <v/>
      </c>
      <c r="T1132" s="24" t="str">
        <f aca="false">IF($N1132="","",IFERROR(INDEX(VAT_Codes!$C:$C,MATCH($N1132,VAT_Codes!$A:$A,0)),"")&amp;"")</f>
        <v/>
      </c>
      <c r="U1132" s="26" t="n">
        <f aca="false">IF(OR($S1132="",$T1132="",$T1132="None"),0,IF($T1132="Output",-$S1132,$S1132))</f>
        <v>0</v>
      </c>
      <c r="V1132" s="27" t="n">
        <f aca="false">IF($N1132="",0,IFERROR(INDEX(VAT_Codes!$D:$D,MATCH($N1132,VAT_Codes!$A:$A,0)),0))</f>
        <v>0</v>
      </c>
      <c r="W1132" s="26" t="n">
        <f aca="false">IF($U1132=0,0,IF(IFERROR(INDEX(VAT_Codes!$F:$F,MATCH($N1132,VAT_Codes!$A:$A,0)),"N")="Y",$U1132,IF($L1132&lt;&gt;"",ROUND(ABS($L1132)/IF(OR($R1132="",$R1132=0),1,$R1132),2)*SIGN($U1132),ROUND($U1132*$V1132,2))))</f>
        <v>0</v>
      </c>
      <c r="X1132" s="24" t="str">
        <f aca="false">IF($N1132="","",IFERROR(INDEX(VAT_Codes!$H:$H,MATCH($N1132,VAT_Codes!$A:$A,0)),"")&amp;"")</f>
        <v/>
      </c>
      <c r="Y1132" s="24" t="str">
        <f aca="false">IF($A1132="","",(YEAR($A1132)-YEAR(Settings!$C$8))*12+MONTH($A1132)-MONTH(Settings!$C$8)+1)</f>
        <v/>
      </c>
      <c r="Z1132" s="24" t="str">
        <f aca="false">IF(AND($C1132="",$I1132="",$J1132=""),"",IF($N1132="","NO VAT CODE",IF($T1132="","UNKNOWN VAT CODE",IF($S1132="","MISSING FX RATE",IF(OR($A1132&lt;Settings!$C$8,$A1132&gt;Settings!$C$9),"OUTSIDE PERIOD",IF(AND(IFERROR(INDEX(VAT_Codes!$E:$E,MATCH($N1132,VAT_Codes!$A:$A,0)),"ANY")&lt;&gt;"ANY",$P1132=""),"MISSING COUNTERPARTY COUNTRY",IF(AND(IFERROR(INDEX(VAT_Codes!$E:$E,MATCH($N1132,VAT_Codes!$A:$A,0)),"ANY")&lt;&gt;"ANY",$P1132&lt;&gt;IFERROR(INDEX(VAT_Codes!$E:$E,MATCH($N1132,VAT_Codes!$A:$A,0)),"ANY")),"REGION MISMATCH","OK")))))))</f>
        <v/>
      </c>
    </row>
    <row r="1133" customFormat="false" ht="15" hidden="false" customHeight="false" outlineLevel="0" collapsed="false">
      <c r="M1133" s="24" t="str">
        <f aca="false">IF($C1133="","",IFERROR(INDEX(Account_Mapping!$C:$C,MATCH($C1133&amp;"",Account_Mapping!$A:$A,0))&amp;"",""))</f>
        <v/>
      </c>
      <c r="N1133" s="24" t="str">
        <f aca="false">IF($K1133&lt;&gt;"",$K1133,$M1133)</f>
        <v/>
      </c>
      <c r="O1133" s="24" t="str">
        <f aca="false">IF($F1133="","",IFERROR(INDEX(Counterparties!$C:$C,MATCH($F1133&amp;"",Counterparties!$A:$A,0))&amp;"",""))</f>
        <v/>
      </c>
      <c r="P1133" s="24" t="str">
        <f aca="false">IF($O1133="","",IF($O1133="CY","CY",IF(ISNUMBER(MATCH($O1133,Lists!$A:$A,0)),"EU","3RD")))</f>
        <v/>
      </c>
      <c r="Q1133" s="24" t="str">
        <f aca="false">IF($F1133="","N",IFERROR(IF(INDEX(Counterparties!$E:$E,MATCH($F1133&amp;"",Counterparties!$A:$A,0))="Y","Y","N"),"N"))</f>
        <v>N</v>
      </c>
      <c r="R1133" s="25" t="n">
        <f aca="false">IF(OR($H1133="",$H1133="EUR"),1,IFERROR(INDEX(FX_Rates!$D:$D,MATCH($H1133,FX_Rates!$A:$A,0)),""))</f>
        <v>1</v>
      </c>
      <c r="S1133" s="26" t="str">
        <f aca="false">IF(AND($I1133="",$J1133=""),"",IF($J1133&lt;&gt;"",$J1133,IF(OR($R1133="",$R1133=0),"",ROUND($I1133/$R1133,2))))</f>
        <v/>
      </c>
      <c r="T1133" s="24" t="str">
        <f aca="false">IF($N1133="","",IFERROR(INDEX(VAT_Codes!$C:$C,MATCH($N1133,VAT_Codes!$A:$A,0)),"")&amp;"")</f>
        <v/>
      </c>
      <c r="U1133" s="26" t="n">
        <f aca="false">IF(OR($S1133="",$T1133="",$T1133="None"),0,IF($T1133="Output",-$S1133,$S1133))</f>
        <v>0</v>
      </c>
      <c r="V1133" s="27" t="n">
        <f aca="false">IF($N1133="",0,IFERROR(INDEX(VAT_Codes!$D:$D,MATCH($N1133,VAT_Codes!$A:$A,0)),0))</f>
        <v>0</v>
      </c>
      <c r="W1133" s="26" t="n">
        <f aca="false">IF($U1133=0,0,IF(IFERROR(INDEX(VAT_Codes!$F:$F,MATCH($N1133,VAT_Codes!$A:$A,0)),"N")="Y",$U1133,IF($L1133&lt;&gt;"",ROUND(ABS($L1133)/IF(OR($R1133="",$R1133=0),1,$R1133),2)*SIGN($U1133),ROUND($U1133*$V1133,2))))</f>
        <v>0</v>
      </c>
      <c r="X1133" s="24" t="str">
        <f aca="false">IF($N1133="","",IFERROR(INDEX(VAT_Codes!$H:$H,MATCH($N1133,VAT_Codes!$A:$A,0)),"")&amp;"")</f>
        <v/>
      </c>
      <c r="Y1133" s="24" t="str">
        <f aca="false">IF($A1133="","",(YEAR($A1133)-YEAR(Settings!$C$8))*12+MONTH($A1133)-MONTH(Settings!$C$8)+1)</f>
        <v/>
      </c>
      <c r="Z1133" s="24" t="str">
        <f aca="false">IF(AND($C1133="",$I1133="",$J1133=""),"",IF($N1133="","NO VAT CODE",IF($T1133="","UNKNOWN VAT CODE",IF($S1133="","MISSING FX RATE",IF(OR($A1133&lt;Settings!$C$8,$A1133&gt;Settings!$C$9),"OUTSIDE PERIOD",IF(AND(IFERROR(INDEX(VAT_Codes!$E:$E,MATCH($N1133,VAT_Codes!$A:$A,0)),"ANY")&lt;&gt;"ANY",$P1133=""),"MISSING COUNTERPARTY COUNTRY",IF(AND(IFERROR(INDEX(VAT_Codes!$E:$E,MATCH($N1133,VAT_Codes!$A:$A,0)),"ANY")&lt;&gt;"ANY",$P1133&lt;&gt;IFERROR(INDEX(VAT_Codes!$E:$E,MATCH($N1133,VAT_Codes!$A:$A,0)),"ANY")),"REGION MISMATCH","OK")))))))</f>
        <v/>
      </c>
    </row>
    <row r="1134" customFormat="false" ht="15" hidden="false" customHeight="false" outlineLevel="0" collapsed="false">
      <c r="M1134" s="24" t="str">
        <f aca="false">IF($C1134="","",IFERROR(INDEX(Account_Mapping!$C:$C,MATCH($C1134&amp;"",Account_Mapping!$A:$A,0))&amp;"",""))</f>
        <v/>
      </c>
      <c r="N1134" s="24" t="str">
        <f aca="false">IF($K1134&lt;&gt;"",$K1134,$M1134)</f>
        <v/>
      </c>
      <c r="O1134" s="24" t="str">
        <f aca="false">IF($F1134="","",IFERROR(INDEX(Counterparties!$C:$C,MATCH($F1134&amp;"",Counterparties!$A:$A,0))&amp;"",""))</f>
        <v/>
      </c>
      <c r="P1134" s="24" t="str">
        <f aca="false">IF($O1134="","",IF($O1134="CY","CY",IF(ISNUMBER(MATCH($O1134,Lists!$A:$A,0)),"EU","3RD")))</f>
        <v/>
      </c>
      <c r="Q1134" s="24" t="str">
        <f aca="false">IF($F1134="","N",IFERROR(IF(INDEX(Counterparties!$E:$E,MATCH($F1134&amp;"",Counterparties!$A:$A,0))="Y","Y","N"),"N"))</f>
        <v>N</v>
      </c>
      <c r="R1134" s="25" t="n">
        <f aca="false">IF(OR($H1134="",$H1134="EUR"),1,IFERROR(INDEX(FX_Rates!$D:$D,MATCH($H1134,FX_Rates!$A:$A,0)),""))</f>
        <v>1</v>
      </c>
      <c r="S1134" s="26" t="str">
        <f aca="false">IF(AND($I1134="",$J1134=""),"",IF($J1134&lt;&gt;"",$J1134,IF(OR($R1134="",$R1134=0),"",ROUND($I1134/$R1134,2))))</f>
        <v/>
      </c>
      <c r="T1134" s="24" t="str">
        <f aca="false">IF($N1134="","",IFERROR(INDEX(VAT_Codes!$C:$C,MATCH($N1134,VAT_Codes!$A:$A,0)),"")&amp;"")</f>
        <v/>
      </c>
      <c r="U1134" s="26" t="n">
        <f aca="false">IF(OR($S1134="",$T1134="",$T1134="None"),0,IF($T1134="Output",-$S1134,$S1134))</f>
        <v>0</v>
      </c>
      <c r="V1134" s="27" t="n">
        <f aca="false">IF($N1134="",0,IFERROR(INDEX(VAT_Codes!$D:$D,MATCH($N1134,VAT_Codes!$A:$A,0)),0))</f>
        <v>0</v>
      </c>
      <c r="W1134" s="26" t="n">
        <f aca="false">IF($U1134=0,0,IF(IFERROR(INDEX(VAT_Codes!$F:$F,MATCH($N1134,VAT_Codes!$A:$A,0)),"N")="Y",$U1134,IF($L1134&lt;&gt;"",ROUND(ABS($L1134)/IF(OR($R1134="",$R1134=0),1,$R1134),2)*SIGN($U1134),ROUND($U1134*$V1134,2))))</f>
        <v>0</v>
      </c>
      <c r="X1134" s="24" t="str">
        <f aca="false">IF($N1134="","",IFERROR(INDEX(VAT_Codes!$H:$H,MATCH($N1134,VAT_Codes!$A:$A,0)),"")&amp;"")</f>
        <v/>
      </c>
      <c r="Y1134" s="24" t="str">
        <f aca="false">IF($A1134="","",(YEAR($A1134)-YEAR(Settings!$C$8))*12+MONTH($A1134)-MONTH(Settings!$C$8)+1)</f>
        <v/>
      </c>
      <c r="Z1134" s="24" t="str">
        <f aca="false">IF(AND($C1134="",$I1134="",$J1134=""),"",IF($N1134="","NO VAT CODE",IF($T1134="","UNKNOWN VAT CODE",IF($S1134="","MISSING FX RATE",IF(OR($A1134&lt;Settings!$C$8,$A1134&gt;Settings!$C$9),"OUTSIDE PERIOD",IF(AND(IFERROR(INDEX(VAT_Codes!$E:$E,MATCH($N1134,VAT_Codes!$A:$A,0)),"ANY")&lt;&gt;"ANY",$P1134=""),"MISSING COUNTERPARTY COUNTRY",IF(AND(IFERROR(INDEX(VAT_Codes!$E:$E,MATCH($N1134,VAT_Codes!$A:$A,0)),"ANY")&lt;&gt;"ANY",$P1134&lt;&gt;IFERROR(INDEX(VAT_Codes!$E:$E,MATCH($N1134,VAT_Codes!$A:$A,0)),"ANY")),"REGION MISMATCH","OK")))))))</f>
        <v/>
      </c>
    </row>
    <row r="1135" customFormat="false" ht="15" hidden="false" customHeight="false" outlineLevel="0" collapsed="false">
      <c r="M1135" s="24" t="str">
        <f aca="false">IF($C1135="","",IFERROR(INDEX(Account_Mapping!$C:$C,MATCH($C1135&amp;"",Account_Mapping!$A:$A,0))&amp;"",""))</f>
        <v/>
      </c>
      <c r="N1135" s="24" t="str">
        <f aca="false">IF($K1135&lt;&gt;"",$K1135,$M1135)</f>
        <v/>
      </c>
      <c r="O1135" s="24" t="str">
        <f aca="false">IF($F1135="","",IFERROR(INDEX(Counterparties!$C:$C,MATCH($F1135&amp;"",Counterparties!$A:$A,0))&amp;"",""))</f>
        <v/>
      </c>
      <c r="P1135" s="24" t="str">
        <f aca="false">IF($O1135="","",IF($O1135="CY","CY",IF(ISNUMBER(MATCH($O1135,Lists!$A:$A,0)),"EU","3RD")))</f>
        <v/>
      </c>
      <c r="Q1135" s="24" t="str">
        <f aca="false">IF($F1135="","N",IFERROR(IF(INDEX(Counterparties!$E:$E,MATCH($F1135&amp;"",Counterparties!$A:$A,0))="Y","Y","N"),"N"))</f>
        <v>N</v>
      </c>
      <c r="R1135" s="25" t="n">
        <f aca="false">IF(OR($H1135="",$H1135="EUR"),1,IFERROR(INDEX(FX_Rates!$D:$D,MATCH($H1135,FX_Rates!$A:$A,0)),""))</f>
        <v>1</v>
      </c>
      <c r="S1135" s="26" t="str">
        <f aca="false">IF(AND($I1135="",$J1135=""),"",IF($J1135&lt;&gt;"",$J1135,IF(OR($R1135="",$R1135=0),"",ROUND($I1135/$R1135,2))))</f>
        <v/>
      </c>
      <c r="T1135" s="24" t="str">
        <f aca="false">IF($N1135="","",IFERROR(INDEX(VAT_Codes!$C:$C,MATCH($N1135,VAT_Codes!$A:$A,0)),"")&amp;"")</f>
        <v/>
      </c>
      <c r="U1135" s="26" t="n">
        <f aca="false">IF(OR($S1135="",$T1135="",$T1135="None"),0,IF($T1135="Output",-$S1135,$S1135))</f>
        <v>0</v>
      </c>
      <c r="V1135" s="27" t="n">
        <f aca="false">IF($N1135="",0,IFERROR(INDEX(VAT_Codes!$D:$D,MATCH($N1135,VAT_Codes!$A:$A,0)),0))</f>
        <v>0</v>
      </c>
      <c r="W1135" s="26" t="n">
        <f aca="false">IF($U1135=0,0,IF(IFERROR(INDEX(VAT_Codes!$F:$F,MATCH($N1135,VAT_Codes!$A:$A,0)),"N")="Y",$U1135,IF($L1135&lt;&gt;"",ROUND(ABS($L1135)/IF(OR($R1135="",$R1135=0),1,$R1135),2)*SIGN($U1135),ROUND($U1135*$V1135,2))))</f>
        <v>0</v>
      </c>
      <c r="X1135" s="24" t="str">
        <f aca="false">IF($N1135="","",IFERROR(INDEX(VAT_Codes!$H:$H,MATCH($N1135,VAT_Codes!$A:$A,0)),"")&amp;"")</f>
        <v/>
      </c>
      <c r="Y1135" s="24" t="str">
        <f aca="false">IF($A1135="","",(YEAR($A1135)-YEAR(Settings!$C$8))*12+MONTH($A1135)-MONTH(Settings!$C$8)+1)</f>
        <v/>
      </c>
      <c r="Z1135" s="24" t="str">
        <f aca="false">IF(AND($C1135="",$I1135="",$J1135=""),"",IF($N1135="","NO VAT CODE",IF($T1135="","UNKNOWN VAT CODE",IF($S1135="","MISSING FX RATE",IF(OR($A1135&lt;Settings!$C$8,$A1135&gt;Settings!$C$9),"OUTSIDE PERIOD",IF(AND(IFERROR(INDEX(VAT_Codes!$E:$E,MATCH($N1135,VAT_Codes!$A:$A,0)),"ANY")&lt;&gt;"ANY",$P1135=""),"MISSING COUNTERPARTY COUNTRY",IF(AND(IFERROR(INDEX(VAT_Codes!$E:$E,MATCH($N1135,VAT_Codes!$A:$A,0)),"ANY")&lt;&gt;"ANY",$P1135&lt;&gt;IFERROR(INDEX(VAT_Codes!$E:$E,MATCH($N1135,VAT_Codes!$A:$A,0)),"ANY")),"REGION MISMATCH","OK")))))))</f>
        <v/>
      </c>
    </row>
    <row r="1136" customFormat="false" ht="15" hidden="false" customHeight="false" outlineLevel="0" collapsed="false">
      <c r="M1136" s="24" t="str">
        <f aca="false">IF($C1136="","",IFERROR(INDEX(Account_Mapping!$C:$C,MATCH($C1136&amp;"",Account_Mapping!$A:$A,0))&amp;"",""))</f>
        <v/>
      </c>
      <c r="N1136" s="24" t="str">
        <f aca="false">IF($K1136&lt;&gt;"",$K1136,$M1136)</f>
        <v/>
      </c>
      <c r="O1136" s="24" t="str">
        <f aca="false">IF($F1136="","",IFERROR(INDEX(Counterparties!$C:$C,MATCH($F1136&amp;"",Counterparties!$A:$A,0))&amp;"",""))</f>
        <v/>
      </c>
      <c r="P1136" s="24" t="str">
        <f aca="false">IF($O1136="","",IF($O1136="CY","CY",IF(ISNUMBER(MATCH($O1136,Lists!$A:$A,0)),"EU","3RD")))</f>
        <v/>
      </c>
      <c r="Q1136" s="24" t="str">
        <f aca="false">IF($F1136="","N",IFERROR(IF(INDEX(Counterparties!$E:$E,MATCH($F1136&amp;"",Counterparties!$A:$A,0))="Y","Y","N"),"N"))</f>
        <v>N</v>
      </c>
      <c r="R1136" s="25" t="n">
        <f aca="false">IF(OR($H1136="",$H1136="EUR"),1,IFERROR(INDEX(FX_Rates!$D:$D,MATCH($H1136,FX_Rates!$A:$A,0)),""))</f>
        <v>1</v>
      </c>
      <c r="S1136" s="26" t="str">
        <f aca="false">IF(AND($I1136="",$J1136=""),"",IF($J1136&lt;&gt;"",$J1136,IF(OR($R1136="",$R1136=0),"",ROUND($I1136/$R1136,2))))</f>
        <v/>
      </c>
      <c r="T1136" s="24" t="str">
        <f aca="false">IF($N1136="","",IFERROR(INDEX(VAT_Codes!$C:$C,MATCH($N1136,VAT_Codes!$A:$A,0)),"")&amp;"")</f>
        <v/>
      </c>
      <c r="U1136" s="26" t="n">
        <f aca="false">IF(OR($S1136="",$T1136="",$T1136="None"),0,IF($T1136="Output",-$S1136,$S1136))</f>
        <v>0</v>
      </c>
      <c r="V1136" s="27" t="n">
        <f aca="false">IF($N1136="",0,IFERROR(INDEX(VAT_Codes!$D:$D,MATCH($N1136,VAT_Codes!$A:$A,0)),0))</f>
        <v>0</v>
      </c>
      <c r="W1136" s="26" t="n">
        <f aca="false">IF($U1136=0,0,IF(IFERROR(INDEX(VAT_Codes!$F:$F,MATCH($N1136,VAT_Codes!$A:$A,0)),"N")="Y",$U1136,IF($L1136&lt;&gt;"",ROUND(ABS($L1136)/IF(OR($R1136="",$R1136=0),1,$R1136),2)*SIGN($U1136),ROUND($U1136*$V1136,2))))</f>
        <v>0</v>
      </c>
      <c r="X1136" s="24" t="str">
        <f aca="false">IF($N1136="","",IFERROR(INDEX(VAT_Codes!$H:$H,MATCH($N1136,VAT_Codes!$A:$A,0)),"")&amp;"")</f>
        <v/>
      </c>
      <c r="Y1136" s="24" t="str">
        <f aca="false">IF($A1136="","",(YEAR($A1136)-YEAR(Settings!$C$8))*12+MONTH($A1136)-MONTH(Settings!$C$8)+1)</f>
        <v/>
      </c>
      <c r="Z1136" s="24" t="str">
        <f aca="false">IF(AND($C1136="",$I1136="",$J1136=""),"",IF($N1136="","NO VAT CODE",IF($T1136="","UNKNOWN VAT CODE",IF($S1136="","MISSING FX RATE",IF(OR($A1136&lt;Settings!$C$8,$A1136&gt;Settings!$C$9),"OUTSIDE PERIOD",IF(AND(IFERROR(INDEX(VAT_Codes!$E:$E,MATCH($N1136,VAT_Codes!$A:$A,0)),"ANY")&lt;&gt;"ANY",$P1136=""),"MISSING COUNTERPARTY COUNTRY",IF(AND(IFERROR(INDEX(VAT_Codes!$E:$E,MATCH($N1136,VAT_Codes!$A:$A,0)),"ANY")&lt;&gt;"ANY",$P1136&lt;&gt;IFERROR(INDEX(VAT_Codes!$E:$E,MATCH($N1136,VAT_Codes!$A:$A,0)),"ANY")),"REGION MISMATCH","OK")))))))</f>
        <v/>
      </c>
    </row>
    <row r="1137" customFormat="false" ht="15" hidden="false" customHeight="false" outlineLevel="0" collapsed="false">
      <c r="M1137" s="24" t="str">
        <f aca="false">IF($C1137="","",IFERROR(INDEX(Account_Mapping!$C:$C,MATCH($C1137&amp;"",Account_Mapping!$A:$A,0))&amp;"",""))</f>
        <v/>
      </c>
      <c r="N1137" s="24" t="str">
        <f aca="false">IF($K1137&lt;&gt;"",$K1137,$M1137)</f>
        <v/>
      </c>
      <c r="O1137" s="24" t="str">
        <f aca="false">IF($F1137="","",IFERROR(INDEX(Counterparties!$C:$C,MATCH($F1137&amp;"",Counterparties!$A:$A,0))&amp;"",""))</f>
        <v/>
      </c>
      <c r="P1137" s="24" t="str">
        <f aca="false">IF($O1137="","",IF($O1137="CY","CY",IF(ISNUMBER(MATCH($O1137,Lists!$A:$A,0)),"EU","3RD")))</f>
        <v/>
      </c>
      <c r="Q1137" s="24" t="str">
        <f aca="false">IF($F1137="","N",IFERROR(IF(INDEX(Counterparties!$E:$E,MATCH($F1137&amp;"",Counterparties!$A:$A,0))="Y","Y","N"),"N"))</f>
        <v>N</v>
      </c>
      <c r="R1137" s="25" t="n">
        <f aca="false">IF(OR($H1137="",$H1137="EUR"),1,IFERROR(INDEX(FX_Rates!$D:$D,MATCH($H1137,FX_Rates!$A:$A,0)),""))</f>
        <v>1</v>
      </c>
      <c r="S1137" s="26" t="str">
        <f aca="false">IF(AND($I1137="",$J1137=""),"",IF($J1137&lt;&gt;"",$J1137,IF(OR($R1137="",$R1137=0),"",ROUND($I1137/$R1137,2))))</f>
        <v/>
      </c>
      <c r="T1137" s="24" t="str">
        <f aca="false">IF($N1137="","",IFERROR(INDEX(VAT_Codes!$C:$C,MATCH($N1137,VAT_Codes!$A:$A,0)),"")&amp;"")</f>
        <v/>
      </c>
      <c r="U1137" s="26" t="n">
        <f aca="false">IF(OR($S1137="",$T1137="",$T1137="None"),0,IF($T1137="Output",-$S1137,$S1137))</f>
        <v>0</v>
      </c>
      <c r="V1137" s="27" t="n">
        <f aca="false">IF($N1137="",0,IFERROR(INDEX(VAT_Codes!$D:$D,MATCH($N1137,VAT_Codes!$A:$A,0)),0))</f>
        <v>0</v>
      </c>
      <c r="W1137" s="26" t="n">
        <f aca="false">IF($U1137=0,0,IF(IFERROR(INDEX(VAT_Codes!$F:$F,MATCH($N1137,VAT_Codes!$A:$A,0)),"N")="Y",$U1137,IF($L1137&lt;&gt;"",ROUND(ABS($L1137)/IF(OR($R1137="",$R1137=0),1,$R1137),2)*SIGN($U1137),ROUND($U1137*$V1137,2))))</f>
        <v>0</v>
      </c>
      <c r="X1137" s="24" t="str">
        <f aca="false">IF($N1137="","",IFERROR(INDEX(VAT_Codes!$H:$H,MATCH($N1137,VAT_Codes!$A:$A,0)),"")&amp;"")</f>
        <v/>
      </c>
      <c r="Y1137" s="24" t="str">
        <f aca="false">IF($A1137="","",(YEAR($A1137)-YEAR(Settings!$C$8))*12+MONTH($A1137)-MONTH(Settings!$C$8)+1)</f>
        <v/>
      </c>
      <c r="Z1137" s="24" t="str">
        <f aca="false">IF(AND($C1137="",$I1137="",$J1137=""),"",IF($N1137="","NO VAT CODE",IF($T1137="","UNKNOWN VAT CODE",IF($S1137="","MISSING FX RATE",IF(OR($A1137&lt;Settings!$C$8,$A1137&gt;Settings!$C$9),"OUTSIDE PERIOD",IF(AND(IFERROR(INDEX(VAT_Codes!$E:$E,MATCH($N1137,VAT_Codes!$A:$A,0)),"ANY")&lt;&gt;"ANY",$P1137=""),"MISSING COUNTERPARTY COUNTRY",IF(AND(IFERROR(INDEX(VAT_Codes!$E:$E,MATCH($N1137,VAT_Codes!$A:$A,0)),"ANY")&lt;&gt;"ANY",$P1137&lt;&gt;IFERROR(INDEX(VAT_Codes!$E:$E,MATCH($N1137,VAT_Codes!$A:$A,0)),"ANY")),"REGION MISMATCH","OK")))))))</f>
        <v/>
      </c>
    </row>
    <row r="1138" customFormat="false" ht="15" hidden="false" customHeight="false" outlineLevel="0" collapsed="false">
      <c r="M1138" s="24" t="str">
        <f aca="false">IF($C1138="","",IFERROR(INDEX(Account_Mapping!$C:$C,MATCH($C1138&amp;"",Account_Mapping!$A:$A,0))&amp;"",""))</f>
        <v/>
      </c>
      <c r="N1138" s="24" t="str">
        <f aca="false">IF($K1138&lt;&gt;"",$K1138,$M1138)</f>
        <v/>
      </c>
      <c r="O1138" s="24" t="str">
        <f aca="false">IF($F1138="","",IFERROR(INDEX(Counterparties!$C:$C,MATCH($F1138&amp;"",Counterparties!$A:$A,0))&amp;"",""))</f>
        <v/>
      </c>
      <c r="P1138" s="24" t="str">
        <f aca="false">IF($O1138="","",IF($O1138="CY","CY",IF(ISNUMBER(MATCH($O1138,Lists!$A:$A,0)),"EU","3RD")))</f>
        <v/>
      </c>
      <c r="Q1138" s="24" t="str">
        <f aca="false">IF($F1138="","N",IFERROR(IF(INDEX(Counterparties!$E:$E,MATCH($F1138&amp;"",Counterparties!$A:$A,0))="Y","Y","N"),"N"))</f>
        <v>N</v>
      </c>
      <c r="R1138" s="25" t="n">
        <f aca="false">IF(OR($H1138="",$H1138="EUR"),1,IFERROR(INDEX(FX_Rates!$D:$D,MATCH($H1138,FX_Rates!$A:$A,0)),""))</f>
        <v>1</v>
      </c>
      <c r="S1138" s="26" t="str">
        <f aca="false">IF(AND($I1138="",$J1138=""),"",IF($J1138&lt;&gt;"",$J1138,IF(OR($R1138="",$R1138=0),"",ROUND($I1138/$R1138,2))))</f>
        <v/>
      </c>
      <c r="T1138" s="24" t="str">
        <f aca="false">IF($N1138="","",IFERROR(INDEX(VAT_Codes!$C:$C,MATCH($N1138,VAT_Codes!$A:$A,0)),"")&amp;"")</f>
        <v/>
      </c>
      <c r="U1138" s="26" t="n">
        <f aca="false">IF(OR($S1138="",$T1138="",$T1138="None"),0,IF($T1138="Output",-$S1138,$S1138))</f>
        <v>0</v>
      </c>
      <c r="V1138" s="27" t="n">
        <f aca="false">IF($N1138="",0,IFERROR(INDEX(VAT_Codes!$D:$D,MATCH($N1138,VAT_Codes!$A:$A,0)),0))</f>
        <v>0</v>
      </c>
      <c r="W1138" s="26" t="n">
        <f aca="false">IF($U1138=0,0,IF(IFERROR(INDEX(VAT_Codes!$F:$F,MATCH($N1138,VAT_Codes!$A:$A,0)),"N")="Y",$U1138,IF($L1138&lt;&gt;"",ROUND(ABS($L1138)/IF(OR($R1138="",$R1138=0),1,$R1138),2)*SIGN($U1138),ROUND($U1138*$V1138,2))))</f>
        <v>0</v>
      </c>
      <c r="X1138" s="24" t="str">
        <f aca="false">IF($N1138="","",IFERROR(INDEX(VAT_Codes!$H:$H,MATCH($N1138,VAT_Codes!$A:$A,0)),"")&amp;"")</f>
        <v/>
      </c>
      <c r="Y1138" s="24" t="str">
        <f aca="false">IF($A1138="","",(YEAR($A1138)-YEAR(Settings!$C$8))*12+MONTH($A1138)-MONTH(Settings!$C$8)+1)</f>
        <v/>
      </c>
      <c r="Z1138" s="24" t="str">
        <f aca="false">IF(AND($C1138="",$I1138="",$J1138=""),"",IF($N1138="","NO VAT CODE",IF($T1138="","UNKNOWN VAT CODE",IF($S1138="","MISSING FX RATE",IF(OR($A1138&lt;Settings!$C$8,$A1138&gt;Settings!$C$9),"OUTSIDE PERIOD",IF(AND(IFERROR(INDEX(VAT_Codes!$E:$E,MATCH($N1138,VAT_Codes!$A:$A,0)),"ANY")&lt;&gt;"ANY",$P1138=""),"MISSING COUNTERPARTY COUNTRY",IF(AND(IFERROR(INDEX(VAT_Codes!$E:$E,MATCH($N1138,VAT_Codes!$A:$A,0)),"ANY")&lt;&gt;"ANY",$P1138&lt;&gt;IFERROR(INDEX(VAT_Codes!$E:$E,MATCH($N1138,VAT_Codes!$A:$A,0)),"ANY")),"REGION MISMATCH","OK")))))))</f>
        <v/>
      </c>
    </row>
    <row r="1139" customFormat="false" ht="15" hidden="false" customHeight="false" outlineLevel="0" collapsed="false">
      <c r="M1139" s="24" t="str">
        <f aca="false">IF($C1139="","",IFERROR(INDEX(Account_Mapping!$C:$C,MATCH($C1139&amp;"",Account_Mapping!$A:$A,0))&amp;"",""))</f>
        <v/>
      </c>
      <c r="N1139" s="24" t="str">
        <f aca="false">IF($K1139&lt;&gt;"",$K1139,$M1139)</f>
        <v/>
      </c>
      <c r="O1139" s="24" t="str">
        <f aca="false">IF($F1139="","",IFERROR(INDEX(Counterparties!$C:$C,MATCH($F1139&amp;"",Counterparties!$A:$A,0))&amp;"",""))</f>
        <v/>
      </c>
      <c r="P1139" s="24" t="str">
        <f aca="false">IF($O1139="","",IF($O1139="CY","CY",IF(ISNUMBER(MATCH($O1139,Lists!$A:$A,0)),"EU","3RD")))</f>
        <v/>
      </c>
      <c r="Q1139" s="24" t="str">
        <f aca="false">IF($F1139="","N",IFERROR(IF(INDEX(Counterparties!$E:$E,MATCH($F1139&amp;"",Counterparties!$A:$A,0))="Y","Y","N"),"N"))</f>
        <v>N</v>
      </c>
      <c r="R1139" s="25" t="n">
        <f aca="false">IF(OR($H1139="",$H1139="EUR"),1,IFERROR(INDEX(FX_Rates!$D:$D,MATCH($H1139,FX_Rates!$A:$A,0)),""))</f>
        <v>1</v>
      </c>
      <c r="S1139" s="26" t="str">
        <f aca="false">IF(AND($I1139="",$J1139=""),"",IF($J1139&lt;&gt;"",$J1139,IF(OR($R1139="",$R1139=0),"",ROUND($I1139/$R1139,2))))</f>
        <v/>
      </c>
      <c r="T1139" s="24" t="str">
        <f aca="false">IF($N1139="","",IFERROR(INDEX(VAT_Codes!$C:$C,MATCH($N1139,VAT_Codes!$A:$A,0)),"")&amp;"")</f>
        <v/>
      </c>
      <c r="U1139" s="26" t="n">
        <f aca="false">IF(OR($S1139="",$T1139="",$T1139="None"),0,IF($T1139="Output",-$S1139,$S1139))</f>
        <v>0</v>
      </c>
      <c r="V1139" s="27" t="n">
        <f aca="false">IF($N1139="",0,IFERROR(INDEX(VAT_Codes!$D:$D,MATCH($N1139,VAT_Codes!$A:$A,0)),0))</f>
        <v>0</v>
      </c>
      <c r="W1139" s="26" t="n">
        <f aca="false">IF($U1139=0,0,IF(IFERROR(INDEX(VAT_Codes!$F:$F,MATCH($N1139,VAT_Codes!$A:$A,0)),"N")="Y",$U1139,IF($L1139&lt;&gt;"",ROUND(ABS($L1139)/IF(OR($R1139="",$R1139=0),1,$R1139),2)*SIGN($U1139),ROUND($U1139*$V1139,2))))</f>
        <v>0</v>
      </c>
      <c r="X1139" s="24" t="str">
        <f aca="false">IF($N1139="","",IFERROR(INDEX(VAT_Codes!$H:$H,MATCH($N1139,VAT_Codes!$A:$A,0)),"")&amp;"")</f>
        <v/>
      </c>
      <c r="Y1139" s="24" t="str">
        <f aca="false">IF($A1139="","",(YEAR($A1139)-YEAR(Settings!$C$8))*12+MONTH($A1139)-MONTH(Settings!$C$8)+1)</f>
        <v/>
      </c>
      <c r="Z1139" s="24" t="str">
        <f aca="false">IF(AND($C1139="",$I1139="",$J1139=""),"",IF($N1139="","NO VAT CODE",IF($T1139="","UNKNOWN VAT CODE",IF($S1139="","MISSING FX RATE",IF(OR($A1139&lt;Settings!$C$8,$A1139&gt;Settings!$C$9),"OUTSIDE PERIOD",IF(AND(IFERROR(INDEX(VAT_Codes!$E:$E,MATCH($N1139,VAT_Codes!$A:$A,0)),"ANY")&lt;&gt;"ANY",$P1139=""),"MISSING COUNTERPARTY COUNTRY",IF(AND(IFERROR(INDEX(VAT_Codes!$E:$E,MATCH($N1139,VAT_Codes!$A:$A,0)),"ANY")&lt;&gt;"ANY",$P1139&lt;&gt;IFERROR(INDEX(VAT_Codes!$E:$E,MATCH($N1139,VAT_Codes!$A:$A,0)),"ANY")),"REGION MISMATCH","OK")))))))</f>
        <v/>
      </c>
    </row>
    <row r="1140" customFormat="false" ht="15" hidden="false" customHeight="false" outlineLevel="0" collapsed="false">
      <c r="M1140" s="24" t="str">
        <f aca="false">IF($C1140="","",IFERROR(INDEX(Account_Mapping!$C:$C,MATCH($C1140&amp;"",Account_Mapping!$A:$A,0))&amp;"",""))</f>
        <v/>
      </c>
      <c r="N1140" s="24" t="str">
        <f aca="false">IF($K1140&lt;&gt;"",$K1140,$M1140)</f>
        <v/>
      </c>
      <c r="O1140" s="24" t="str">
        <f aca="false">IF($F1140="","",IFERROR(INDEX(Counterparties!$C:$C,MATCH($F1140&amp;"",Counterparties!$A:$A,0))&amp;"",""))</f>
        <v/>
      </c>
      <c r="P1140" s="24" t="str">
        <f aca="false">IF($O1140="","",IF($O1140="CY","CY",IF(ISNUMBER(MATCH($O1140,Lists!$A:$A,0)),"EU","3RD")))</f>
        <v/>
      </c>
      <c r="Q1140" s="24" t="str">
        <f aca="false">IF($F1140="","N",IFERROR(IF(INDEX(Counterparties!$E:$E,MATCH($F1140&amp;"",Counterparties!$A:$A,0))="Y","Y","N"),"N"))</f>
        <v>N</v>
      </c>
      <c r="R1140" s="25" t="n">
        <f aca="false">IF(OR($H1140="",$H1140="EUR"),1,IFERROR(INDEX(FX_Rates!$D:$D,MATCH($H1140,FX_Rates!$A:$A,0)),""))</f>
        <v>1</v>
      </c>
      <c r="S1140" s="26" t="str">
        <f aca="false">IF(AND($I1140="",$J1140=""),"",IF($J1140&lt;&gt;"",$J1140,IF(OR($R1140="",$R1140=0),"",ROUND($I1140/$R1140,2))))</f>
        <v/>
      </c>
      <c r="T1140" s="24" t="str">
        <f aca="false">IF($N1140="","",IFERROR(INDEX(VAT_Codes!$C:$C,MATCH($N1140,VAT_Codes!$A:$A,0)),"")&amp;"")</f>
        <v/>
      </c>
      <c r="U1140" s="26" t="n">
        <f aca="false">IF(OR($S1140="",$T1140="",$T1140="None"),0,IF($T1140="Output",-$S1140,$S1140))</f>
        <v>0</v>
      </c>
      <c r="V1140" s="27" t="n">
        <f aca="false">IF($N1140="",0,IFERROR(INDEX(VAT_Codes!$D:$D,MATCH($N1140,VAT_Codes!$A:$A,0)),0))</f>
        <v>0</v>
      </c>
      <c r="W1140" s="26" t="n">
        <f aca="false">IF($U1140=0,0,IF(IFERROR(INDEX(VAT_Codes!$F:$F,MATCH($N1140,VAT_Codes!$A:$A,0)),"N")="Y",$U1140,IF($L1140&lt;&gt;"",ROUND(ABS($L1140)/IF(OR($R1140="",$R1140=0),1,$R1140),2)*SIGN($U1140),ROUND($U1140*$V1140,2))))</f>
        <v>0</v>
      </c>
      <c r="X1140" s="24" t="str">
        <f aca="false">IF($N1140="","",IFERROR(INDEX(VAT_Codes!$H:$H,MATCH($N1140,VAT_Codes!$A:$A,0)),"")&amp;"")</f>
        <v/>
      </c>
      <c r="Y1140" s="24" t="str">
        <f aca="false">IF($A1140="","",(YEAR($A1140)-YEAR(Settings!$C$8))*12+MONTH($A1140)-MONTH(Settings!$C$8)+1)</f>
        <v/>
      </c>
      <c r="Z1140" s="24" t="str">
        <f aca="false">IF(AND($C1140="",$I1140="",$J1140=""),"",IF($N1140="","NO VAT CODE",IF($T1140="","UNKNOWN VAT CODE",IF($S1140="","MISSING FX RATE",IF(OR($A1140&lt;Settings!$C$8,$A1140&gt;Settings!$C$9),"OUTSIDE PERIOD",IF(AND(IFERROR(INDEX(VAT_Codes!$E:$E,MATCH($N1140,VAT_Codes!$A:$A,0)),"ANY")&lt;&gt;"ANY",$P1140=""),"MISSING COUNTERPARTY COUNTRY",IF(AND(IFERROR(INDEX(VAT_Codes!$E:$E,MATCH($N1140,VAT_Codes!$A:$A,0)),"ANY")&lt;&gt;"ANY",$P1140&lt;&gt;IFERROR(INDEX(VAT_Codes!$E:$E,MATCH($N1140,VAT_Codes!$A:$A,0)),"ANY")),"REGION MISMATCH","OK")))))))</f>
        <v/>
      </c>
    </row>
    <row r="1141" customFormat="false" ht="15" hidden="false" customHeight="false" outlineLevel="0" collapsed="false">
      <c r="M1141" s="24" t="str">
        <f aca="false">IF($C1141="","",IFERROR(INDEX(Account_Mapping!$C:$C,MATCH($C1141&amp;"",Account_Mapping!$A:$A,0))&amp;"",""))</f>
        <v/>
      </c>
      <c r="N1141" s="24" t="str">
        <f aca="false">IF($K1141&lt;&gt;"",$K1141,$M1141)</f>
        <v/>
      </c>
      <c r="O1141" s="24" t="str">
        <f aca="false">IF($F1141="","",IFERROR(INDEX(Counterparties!$C:$C,MATCH($F1141&amp;"",Counterparties!$A:$A,0))&amp;"",""))</f>
        <v/>
      </c>
      <c r="P1141" s="24" t="str">
        <f aca="false">IF($O1141="","",IF($O1141="CY","CY",IF(ISNUMBER(MATCH($O1141,Lists!$A:$A,0)),"EU","3RD")))</f>
        <v/>
      </c>
      <c r="Q1141" s="24" t="str">
        <f aca="false">IF($F1141="","N",IFERROR(IF(INDEX(Counterparties!$E:$E,MATCH($F1141&amp;"",Counterparties!$A:$A,0))="Y","Y","N"),"N"))</f>
        <v>N</v>
      </c>
      <c r="R1141" s="25" t="n">
        <f aca="false">IF(OR($H1141="",$H1141="EUR"),1,IFERROR(INDEX(FX_Rates!$D:$D,MATCH($H1141,FX_Rates!$A:$A,0)),""))</f>
        <v>1</v>
      </c>
      <c r="S1141" s="26" t="str">
        <f aca="false">IF(AND($I1141="",$J1141=""),"",IF($J1141&lt;&gt;"",$J1141,IF(OR($R1141="",$R1141=0),"",ROUND($I1141/$R1141,2))))</f>
        <v/>
      </c>
      <c r="T1141" s="24" t="str">
        <f aca="false">IF($N1141="","",IFERROR(INDEX(VAT_Codes!$C:$C,MATCH($N1141,VAT_Codes!$A:$A,0)),"")&amp;"")</f>
        <v/>
      </c>
      <c r="U1141" s="26" t="n">
        <f aca="false">IF(OR($S1141="",$T1141="",$T1141="None"),0,IF($T1141="Output",-$S1141,$S1141))</f>
        <v>0</v>
      </c>
      <c r="V1141" s="27" t="n">
        <f aca="false">IF($N1141="",0,IFERROR(INDEX(VAT_Codes!$D:$D,MATCH($N1141,VAT_Codes!$A:$A,0)),0))</f>
        <v>0</v>
      </c>
      <c r="W1141" s="26" t="n">
        <f aca="false">IF($U1141=0,0,IF(IFERROR(INDEX(VAT_Codes!$F:$F,MATCH($N1141,VAT_Codes!$A:$A,0)),"N")="Y",$U1141,IF($L1141&lt;&gt;"",ROUND(ABS($L1141)/IF(OR($R1141="",$R1141=0),1,$R1141),2)*SIGN($U1141),ROUND($U1141*$V1141,2))))</f>
        <v>0</v>
      </c>
      <c r="X1141" s="24" t="str">
        <f aca="false">IF($N1141="","",IFERROR(INDEX(VAT_Codes!$H:$H,MATCH($N1141,VAT_Codes!$A:$A,0)),"")&amp;"")</f>
        <v/>
      </c>
      <c r="Y1141" s="24" t="str">
        <f aca="false">IF($A1141="","",(YEAR($A1141)-YEAR(Settings!$C$8))*12+MONTH($A1141)-MONTH(Settings!$C$8)+1)</f>
        <v/>
      </c>
      <c r="Z1141" s="24" t="str">
        <f aca="false">IF(AND($C1141="",$I1141="",$J1141=""),"",IF($N1141="","NO VAT CODE",IF($T1141="","UNKNOWN VAT CODE",IF($S1141="","MISSING FX RATE",IF(OR($A1141&lt;Settings!$C$8,$A1141&gt;Settings!$C$9),"OUTSIDE PERIOD",IF(AND(IFERROR(INDEX(VAT_Codes!$E:$E,MATCH($N1141,VAT_Codes!$A:$A,0)),"ANY")&lt;&gt;"ANY",$P1141=""),"MISSING COUNTERPARTY COUNTRY",IF(AND(IFERROR(INDEX(VAT_Codes!$E:$E,MATCH($N1141,VAT_Codes!$A:$A,0)),"ANY")&lt;&gt;"ANY",$P1141&lt;&gt;IFERROR(INDEX(VAT_Codes!$E:$E,MATCH($N1141,VAT_Codes!$A:$A,0)),"ANY")),"REGION MISMATCH","OK")))))))</f>
        <v/>
      </c>
    </row>
    <row r="1142" customFormat="false" ht="15" hidden="false" customHeight="false" outlineLevel="0" collapsed="false">
      <c r="M1142" s="24" t="str">
        <f aca="false">IF($C1142="","",IFERROR(INDEX(Account_Mapping!$C:$C,MATCH($C1142&amp;"",Account_Mapping!$A:$A,0))&amp;"",""))</f>
        <v/>
      </c>
      <c r="N1142" s="24" t="str">
        <f aca="false">IF($K1142&lt;&gt;"",$K1142,$M1142)</f>
        <v/>
      </c>
      <c r="O1142" s="24" t="str">
        <f aca="false">IF($F1142="","",IFERROR(INDEX(Counterparties!$C:$C,MATCH($F1142&amp;"",Counterparties!$A:$A,0))&amp;"",""))</f>
        <v/>
      </c>
      <c r="P1142" s="24" t="str">
        <f aca="false">IF($O1142="","",IF($O1142="CY","CY",IF(ISNUMBER(MATCH($O1142,Lists!$A:$A,0)),"EU","3RD")))</f>
        <v/>
      </c>
      <c r="Q1142" s="24" t="str">
        <f aca="false">IF($F1142="","N",IFERROR(IF(INDEX(Counterparties!$E:$E,MATCH($F1142&amp;"",Counterparties!$A:$A,0))="Y","Y","N"),"N"))</f>
        <v>N</v>
      </c>
      <c r="R1142" s="25" t="n">
        <f aca="false">IF(OR($H1142="",$H1142="EUR"),1,IFERROR(INDEX(FX_Rates!$D:$D,MATCH($H1142,FX_Rates!$A:$A,0)),""))</f>
        <v>1</v>
      </c>
      <c r="S1142" s="26" t="str">
        <f aca="false">IF(AND($I1142="",$J1142=""),"",IF($J1142&lt;&gt;"",$J1142,IF(OR($R1142="",$R1142=0),"",ROUND($I1142/$R1142,2))))</f>
        <v/>
      </c>
      <c r="T1142" s="24" t="str">
        <f aca="false">IF($N1142="","",IFERROR(INDEX(VAT_Codes!$C:$C,MATCH($N1142,VAT_Codes!$A:$A,0)),"")&amp;"")</f>
        <v/>
      </c>
      <c r="U1142" s="26" t="n">
        <f aca="false">IF(OR($S1142="",$T1142="",$T1142="None"),0,IF($T1142="Output",-$S1142,$S1142))</f>
        <v>0</v>
      </c>
      <c r="V1142" s="27" t="n">
        <f aca="false">IF($N1142="",0,IFERROR(INDEX(VAT_Codes!$D:$D,MATCH($N1142,VAT_Codes!$A:$A,0)),0))</f>
        <v>0</v>
      </c>
      <c r="W1142" s="26" t="n">
        <f aca="false">IF($U1142=0,0,IF(IFERROR(INDEX(VAT_Codes!$F:$F,MATCH($N1142,VAT_Codes!$A:$A,0)),"N")="Y",$U1142,IF($L1142&lt;&gt;"",ROUND(ABS($L1142)/IF(OR($R1142="",$R1142=0),1,$R1142),2)*SIGN($U1142),ROUND($U1142*$V1142,2))))</f>
        <v>0</v>
      </c>
      <c r="X1142" s="24" t="str">
        <f aca="false">IF($N1142="","",IFERROR(INDEX(VAT_Codes!$H:$H,MATCH($N1142,VAT_Codes!$A:$A,0)),"")&amp;"")</f>
        <v/>
      </c>
      <c r="Y1142" s="24" t="str">
        <f aca="false">IF($A1142="","",(YEAR($A1142)-YEAR(Settings!$C$8))*12+MONTH($A1142)-MONTH(Settings!$C$8)+1)</f>
        <v/>
      </c>
      <c r="Z1142" s="24" t="str">
        <f aca="false">IF(AND($C1142="",$I1142="",$J1142=""),"",IF($N1142="","NO VAT CODE",IF($T1142="","UNKNOWN VAT CODE",IF($S1142="","MISSING FX RATE",IF(OR($A1142&lt;Settings!$C$8,$A1142&gt;Settings!$C$9),"OUTSIDE PERIOD",IF(AND(IFERROR(INDEX(VAT_Codes!$E:$E,MATCH($N1142,VAT_Codes!$A:$A,0)),"ANY")&lt;&gt;"ANY",$P1142=""),"MISSING COUNTERPARTY COUNTRY",IF(AND(IFERROR(INDEX(VAT_Codes!$E:$E,MATCH($N1142,VAT_Codes!$A:$A,0)),"ANY")&lt;&gt;"ANY",$P1142&lt;&gt;IFERROR(INDEX(VAT_Codes!$E:$E,MATCH($N1142,VAT_Codes!$A:$A,0)),"ANY")),"REGION MISMATCH","OK")))))))</f>
        <v/>
      </c>
    </row>
    <row r="1143" customFormat="false" ht="15" hidden="false" customHeight="false" outlineLevel="0" collapsed="false">
      <c r="M1143" s="24" t="str">
        <f aca="false">IF($C1143="","",IFERROR(INDEX(Account_Mapping!$C:$C,MATCH($C1143&amp;"",Account_Mapping!$A:$A,0))&amp;"",""))</f>
        <v/>
      </c>
      <c r="N1143" s="24" t="str">
        <f aca="false">IF($K1143&lt;&gt;"",$K1143,$M1143)</f>
        <v/>
      </c>
      <c r="O1143" s="24" t="str">
        <f aca="false">IF($F1143="","",IFERROR(INDEX(Counterparties!$C:$C,MATCH($F1143&amp;"",Counterparties!$A:$A,0))&amp;"",""))</f>
        <v/>
      </c>
      <c r="P1143" s="24" t="str">
        <f aca="false">IF($O1143="","",IF($O1143="CY","CY",IF(ISNUMBER(MATCH($O1143,Lists!$A:$A,0)),"EU","3RD")))</f>
        <v/>
      </c>
      <c r="Q1143" s="24" t="str">
        <f aca="false">IF($F1143="","N",IFERROR(IF(INDEX(Counterparties!$E:$E,MATCH($F1143&amp;"",Counterparties!$A:$A,0))="Y","Y","N"),"N"))</f>
        <v>N</v>
      </c>
      <c r="R1143" s="25" t="n">
        <f aca="false">IF(OR($H1143="",$H1143="EUR"),1,IFERROR(INDEX(FX_Rates!$D:$D,MATCH($H1143,FX_Rates!$A:$A,0)),""))</f>
        <v>1</v>
      </c>
      <c r="S1143" s="26" t="str">
        <f aca="false">IF(AND($I1143="",$J1143=""),"",IF($J1143&lt;&gt;"",$J1143,IF(OR($R1143="",$R1143=0),"",ROUND($I1143/$R1143,2))))</f>
        <v/>
      </c>
      <c r="T1143" s="24" t="str">
        <f aca="false">IF($N1143="","",IFERROR(INDEX(VAT_Codes!$C:$C,MATCH($N1143,VAT_Codes!$A:$A,0)),"")&amp;"")</f>
        <v/>
      </c>
      <c r="U1143" s="26" t="n">
        <f aca="false">IF(OR($S1143="",$T1143="",$T1143="None"),0,IF($T1143="Output",-$S1143,$S1143))</f>
        <v>0</v>
      </c>
      <c r="V1143" s="27" t="n">
        <f aca="false">IF($N1143="",0,IFERROR(INDEX(VAT_Codes!$D:$D,MATCH($N1143,VAT_Codes!$A:$A,0)),0))</f>
        <v>0</v>
      </c>
      <c r="W1143" s="26" t="n">
        <f aca="false">IF($U1143=0,0,IF(IFERROR(INDEX(VAT_Codes!$F:$F,MATCH($N1143,VAT_Codes!$A:$A,0)),"N")="Y",$U1143,IF($L1143&lt;&gt;"",ROUND(ABS($L1143)/IF(OR($R1143="",$R1143=0),1,$R1143),2)*SIGN($U1143),ROUND($U1143*$V1143,2))))</f>
        <v>0</v>
      </c>
      <c r="X1143" s="24" t="str">
        <f aca="false">IF($N1143="","",IFERROR(INDEX(VAT_Codes!$H:$H,MATCH($N1143,VAT_Codes!$A:$A,0)),"")&amp;"")</f>
        <v/>
      </c>
      <c r="Y1143" s="24" t="str">
        <f aca="false">IF($A1143="","",(YEAR($A1143)-YEAR(Settings!$C$8))*12+MONTH($A1143)-MONTH(Settings!$C$8)+1)</f>
        <v/>
      </c>
      <c r="Z1143" s="24" t="str">
        <f aca="false">IF(AND($C1143="",$I1143="",$J1143=""),"",IF($N1143="","NO VAT CODE",IF($T1143="","UNKNOWN VAT CODE",IF($S1143="","MISSING FX RATE",IF(OR($A1143&lt;Settings!$C$8,$A1143&gt;Settings!$C$9),"OUTSIDE PERIOD",IF(AND(IFERROR(INDEX(VAT_Codes!$E:$E,MATCH($N1143,VAT_Codes!$A:$A,0)),"ANY")&lt;&gt;"ANY",$P1143=""),"MISSING COUNTERPARTY COUNTRY",IF(AND(IFERROR(INDEX(VAT_Codes!$E:$E,MATCH($N1143,VAT_Codes!$A:$A,0)),"ANY")&lt;&gt;"ANY",$P1143&lt;&gt;IFERROR(INDEX(VAT_Codes!$E:$E,MATCH($N1143,VAT_Codes!$A:$A,0)),"ANY")),"REGION MISMATCH","OK")))))))</f>
        <v/>
      </c>
    </row>
    <row r="1144" customFormat="false" ht="15" hidden="false" customHeight="false" outlineLevel="0" collapsed="false">
      <c r="M1144" s="24" t="str">
        <f aca="false">IF($C1144="","",IFERROR(INDEX(Account_Mapping!$C:$C,MATCH($C1144&amp;"",Account_Mapping!$A:$A,0))&amp;"",""))</f>
        <v/>
      </c>
      <c r="N1144" s="24" t="str">
        <f aca="false">IF($K1144&lt;&gt;"",$K1144,$M1144)</f>
        <v/>
      </c>
      <c r="O1144" s="24" t="str">
        <f aca="false">IF($F1144="","",IFERROR(INDEX(Counterparties!$C:$C,MATCH($F1144&amp;"",Counterparties!$A:$A,0))&amp;"",""))</f>
        <v/>
      </c>
      <c r="P1144" s="24" t="str">
        <f aca="false">IF($O1144="","",IF($O1144="CY","CY",IF(ISNUMBER(MATCH($O1144,Lists!$A:$A,0)),"EU","3RD")))</f>
        <v/>
      </c>
      <c r="Q1144" s="24" t="str">
        <f aca="false">IF($F1144="","N",IFERROR(IF(INDEX(Counterparties!$E:$E,MATCH($F1144&amp;"",Counterparties!$A:$A,0))="Y","Y","N"),"N"))</f>
        <v>N</v>
      </c>
      <c r="R1144" s="25" t="n">
        <f aca="false">IF(OR($H1144="",$H1144="EUR"),1,IFERROR(INDEX(FX_Rates!$D:$D,MATCH($H1144,FX_Rates!$A:$A,0)),""))</f>
        <v>1</v>
      </c>
      <c r="S1144" s="26" t="str">
        <f aca="false">IF(AND($I1144="",$J1144=""),"",IF($J1144&lt;&gt;"",$J1144,IF(OR($R1144="",$R1144=0),"",ROUND($I1144/$R1144,2))))</f>
        <v/>
      </c>
      <c r="T1144" s="24" t="str">
        <f aca="false">IF($N1144="","",IFERROR(INDEX(VAT_Codes!$C:$C,MATCH($N1144,VAT_Codes!$A:$A,0)),"")&amp;"")</f>
        <v/>
      </c>
      <c r="U1144" s="26" t="n">
        <f aca="false">IF(OR($S1144="",$T1144="",$T1144="None"),0,IF($T1144="Output",-$S1144,$S1144))</f>
        <v>0</v>
      </c>
      <c r="V1144" s="27" t="n">
        <f aca="false">IF($N1144="",0,IFERROR(INDEX(VAT_Codes!$D:$D,MATCH($N1144,VAT_Codes!$A:$A,0)),0))</f>
        <v>0</v>
      </c>
      <c r="W1144" s="26" t="n">
        <f aca="false">IF($U1144=0,0,IF(IFERROR(INDEX(VAT_Codes!$F:$F,MATCH($N1144,VAT_Codes!$A:$A,0)),"N")="Y",$U1144,IF($L1144&lt;&gt;"",ROUND(ABS($L1144)/IF(OR($R1144="",$R1144=0),1,$R1144),2)*SIGN($U1144),ROUND($U1144*$V1144,2))))</f>
        <v>0</v>
      </c>
      <c r="X1144" s="24" t="str">
        <f aca="false">IF($N1144="","",IFERROR(INDEX(VAT_Codes!$H:$H,MATCH($N1144,VAT_Codes!$A:$A,0)),"")&amp;"")</f>
        <v/>
      </c>
      <c r="Y1144" s="24" t="str">
        <f aca="false">IF($A1144="","",(YEAR($A1144)-YEAR(Settings!$C$8))*12+MONTH($A1144)-MONTH(Settings!$C$8)+1)</f>
        <v/>
      </c>
      <c r="Z1144" s="24" t="str">
        <f aca="false">IF(AND($C1144="",$I1144="",$J1144=""),"",IF($N1144="","NO VAT CODE",IF($T1144="","UNKNOWN VAT CODE",IF($S1144="","MISSING FX RATE",IF(OR($A1144&lt;Settings!$C$8,$A1144&gt;Settings!$C$9),"OUTSIDE PERIOD",IF(AND(IFERROR(INDEX(VAT_Codes!$E:$E,MATCH($N1144,VAT_Codes!$A:$A,0)),"ANY")&lt;&gt;"ANY",$P1144=""),"MISSING COUNTERPARTY COUNTRY",IF(AND(IFERROR(INDEX(VAT_Codes!$E:$E,MATCH($N1144,VAT_Codes!$A:$A,0)),"ANY")&lt;&gt;"ANY",$P1144&lt;&gt;IFERROR(INDEX(VAT_Codes!$E:$E,MATCH($N1144,VAT_Codes!$A:$A,0)),"ANY")),"REGION MISMATCH","OK")))))))</f>
        <v/>
      </c>
    </row>
    <row r="1145" customFormat="false" ht="15" hidden="false" customHeight="false" outlineLevel="0" collapsed="false">
      <c r="M1145" s="24" t="str">
        <f aca="false">IF($C1145="","",IFERROR(INDEX(Account_Mapping!$C:$C,MATCH($C1145&amp;"",Account_Mapping!$A:$A,0))&amp;"",""))</f>
        <v/>
      </c>
      <c r="N1145" s="24" t="str">
        <f aca="false">IF($K1145&lt;&gt;"",$K1145,$M1145)</f>
        <v/>
      </c>
      <c r="O1145" s="24" t="str">
        <f aca="false">IF($F1145="","",IFERROR(INDEX(Counterparties!$C:$C,MATCH($F1145&amp;"",Counterparties!$A:$A,0))&amp;"",""))</f>
        <v/>
      </c>
      <c r="P1145" s="24" t="str">
        <f aca="false">IF($O1145="","",IF($O1145="CY","CY",IF(ISNUMBER(MATCH($O1145,Lists!$A:$A,0)),"EU","3RD")))</f>
        <v/>
      </c>
      <c r="Q1145" s="24" t="str">
        <f aca="false">IF($F1145="","N",IFERROR(IF(INDEX(Counterparties!$E:$E,MATCH($F1145&amp;"",Counterparties!$A:$A,0))="Y","Y","N"),"N"))</f>
        <v>N</v>
      </c>
      <c r="R1145" s="25" t="n">
        <f aca="false">IF(OR($H1145="",$H1145="EUR"),1,IFERROR(INDEX(FX_Rates!$D:$D,MATCH($H1145,FX_Rates!$A:$A,0)),""))</f>
        <v>1</v>
      </c>
      <c r="S1145" s="26" t="str">
        <f aca="false">IF(AND($I1145="",$J1145=""),"",IF($J1145&lt;&gt;"",$J1145,IF(OR($R1145="",$R1145=0),"",ROUND($I1145/$R1145,2))))</f>
        <v/>
      </c>
      <c r="T1145" s="24" t="str">
        <f aca="false">IF($N1145="","",IFERROR(INDEX(VAT_Codes!$C:$C,MATCH($N1145,VAT_Codes!$A:$A,0)),"")&amp;"")</f>
        <v/>
      </c>
      <c r="U1145" s="26" t="n">
        <f aca="false">IF(OR($S1145="",$T1145="",$T1145="None"),0,IF($T1145="Output",-$S1145,$S1145))</f>
        <v>0</v>
      </c>
      <c r="V1145" s="27" t="n">
        <f aca="false">IF($N1145="",0,IFERROR(INDEX(VAT_Codes!$D:$D,MATCH($N1145,VAT_Codes!$A:$A,0)),0))</f>
        <v>0</v>
      </c>
      <c r="W1145" s="26" t="n">
        <f aca="false">IF($U1145=0,0,IF(IFERROR(INDEX(VAT_Codes!$F:$F,MATCH($N1145,VAT_Codes!$A:$A,0)),"N")="Y",$U1145,IF($L1145&lt;&gt;"",ROUND(ABS($L1145)/IF(OR($R1145="",$R1145=0),1,$R1145),2)*SIGN($U1145),ROUND($U1145*$V1145,2))))</f>
        <v>0</v>
      </c>
      <c r="X1145" s="24" t="str">
        <f aca="false">IF($N1145="","",IFERROR(INDEX(VAT_Codes!$H:$H,MATCH($N1145,VAT_Codes!$A:$A,0)),"")&amp;"")</f>
        <v/>
      </c>
      <c r="Y1145" s="24" t="str">
        <f aca="false">IF($A1145="","",(YEAR($A1145)-YEAR(Settings!$C$8))*12+MONTH($A1145)-MONTH(Settings!$C$8)+1)</f>
        <v/>
      </c>
      <c r="Z1145" s="24" t="str">
        <f aca="false">IF(AND($C1145="",$I1145="",$J1145=""),"",IF($N1145="","NO VAT CODE",IF($T1145="","UNKNOWN VAT CODE",IF($S1145="","MISSING FX RATE",IF(OR($A1145&lt;Settings!$C$8,$A1145&gt;Settings!$C$9),"OUTSIDE PERIOD",IF(AND(IFERROR(INDEX(VAT_Codes!$E:$E,MATCH($N1145,VAT_Codes!$A:$A,0)),"ANY")&lt;&gt;"ANY",$P1145=""),"MISSING COUNTERPARTY COUNTRY",IF(AND(IFERROR(INDEX(VAT_Codes!$E:$E,MATCH($N1145,VAT_Codes!$A:$A,0)),"ANY")&lt;&gt;"ANY",$P1145&lt;&gt;IFERROR(INDEX(VAT_Codes!$E:$E,MATCH($N1145,VAT_Codes!$A:$A,0)),"ANY")),"REGION MISMATCH","OK")))))))</f>
        <v/>
      </c>
    </row>
    <row r="1146" customFormat="false" ht="15" hidden="false" customHeight="false" outlineLevel="0" collapsed="false">
      <c r="M1146" s="24" t="str">
        <f aca="false">IF($C1146="","",IFERROR(INDEX(Account_Mapping!$C:$C,MATCH($C1146&amp;"",Account_Mapping!$A:$A,0))&amp;"",""))</f>
        <v/>
      </c>
      <c r="N1146" s="24" t="str">
        <f aca="false">IF($K1146&lt;&gt;"",$K1146,$M1146)</f>
        <v/>
      </c>
      <c r="O1146" s="24" t="str">
        <f aca="false">IF($F1146="","",IFERROR(INDEX(Counterparties!$C:$C,MATCH($F1146&amp;"",Counterparties!$A:$A,0))&amp;"",""))</f>
        <v/>
      </c>
      <c r="P1146" s="24" t="str">
        <f aca="false">IF($O1146="","",IF($O1146="CY","CY",IF(ISNUMBER(MATCH($O1146,Lists!$A:$A,0)),"EU","3RD")))</f>
        <v/>
      </c>
      <c r="Q1146" s="24" t="str">
        <f aca="false">IF($F1146="","N",IFERROR(IF(INDEX(Counterparties!$E:$E,MATCH($F1146&amp;"",Counterparties!$A:$A,0))="Y","Y","N"),"N"))</f>
        <v>N</v>
      </c>
      <c r="R1146" s="25" t="n">
        <f aca="false">IF(OR($H1146="",$H1146="EUR"),1,IFERROR(INDEX(FX_Rates!$D:$D,MATCH($H1146,FX_Rates!$A:$A,0)),""))</f>
        <v>1</v>
      </c>
      <c r="S1146" s="26" t="str">
        <f aca="false">IF(AND($I1146="",$J1146=""),"",IF($J1146&lt;&gt;"",$J1146,IF(OR($R1146="",$R1146=0),"",ROUND($I1146/$R1146,2))))</f>
        <v/>
      </c>
      <c r="T1146" s="24" t="str">
        <f aca="false">IF($N1146="","",IFERROR(INDEX(VAT_Codes!$C:$C,MATCH($N1146,VAT_Codes!$A:$A,0)),"")&amp;"")</f>
        <v/>
      </c>
      <c r="U1146" s="26" t="n">
        <f aca="false">IF(OR($S1146="",$T1146="",$T1146="None"),0,IF($T1146="Output",-$S1146,$S1146))</f>
        <v>0</v>
      </c>
      <c r="V1146" s="27" t="n">
        <f aca="false">IF($N1146="",0,IFERROR(INDEX(VAT_Codes!$D:$D,MATCH($N1146,VAT_Codes!$A:$A,0)),0))</f>
        <v>0</v>
      </c>
      <c r="W1146" s="26" t="n">
        <f aca="false">IF($U1146=0,0,IF(IFERROR(INDEX(VAT_Codes!$F:$F,MATCH($N1146,VAT_Codes!$A:$A,0)),"N")="Y",$U1146,IF($L1146&lt;&gt;"",ROUND(ABS($L1146)/IF(OR($R1146="",$R1146=0),1,$R1146),2)*SIGN($U1146),ROUND($U1146*$V1146,2))))</f>
        <v>0</v>
      </c>
      <c r="X1146" s="24" t="str">
        <f aca="false">IF($N1146="","",IFERROR(INDEX(VAT_Codes!$H:$H,MATCH($N1146,VAT_Codes!$A:$A,0)),"")&amp;"")</f>
        <v/>
      </c>
      <c r="Y1146" s="24" t="str">
        <f aca="false">IF($A1146="","",(YEAR($A1146)-YEAR(Settings!$C$8))*12+MONTH($A1146)-MONTH(Settings!$C$8)+1)</f>
        <v/>
      </c>
      <c r="Z1146" s="24" t="str">
        <f aca="false">IF(AND($C1146="",$I1146="",$J1146=""),"",IF($N1146="","NO VAT CODE",IF($T1146="","UNKNOWN VAT CODE",IF($S1146="","MISSING FX RATE",IF(OR($A1146&lt;Settings!$C$8,$A1146&gt;Settings!$C$9),"OUTSIDE PERIOD",IF(AND(IFERROR(INDEX(VAT_Codes!$E:$E,MATCH($N1146,VAT_Codes!$A:$A,0)),"ANY")&lt;&gt;"ANY",$P1146=""),"MISSING COUNTERPARTY COUNTRY",IF(AND(IFERROR(INDEX(VAT_Codes!$E:$E,MATCH($N1146,VAT_Codes!$A:$A,0)),"ANY")&lt;&gt;"ANY",$P1146&lt;&gt;IFERROR(INDEX(VAT_Codes!$E:$E,MATCH($N1146,VAT_Codes!$A:$A,0)),"ANY")),"REGION MISMATCH","OK")))))))</f>
        <v/>
      </c>
    </row>
    <row r="1147" customFormat="false" ht="15" hidden="false" customHeight="false" outlineLevel="0" collapsed="false">
      <c r="M1147" s="24" t="str">
        <f aca="false">IF($C1147="","",IFERROR(INDEX(Account_Mapping!$C:$C,MATCH($C1147&amp;"",Account_Mapping!$A:$A,0))&amp;"",""))</f>
        <v/>
      </c>
      <c r="N1147" s="24" t="str">
        <f aca="false">IF($K1147&lt;&gt;"",$K1147,$M1147)</f>
        <v/>
      </c>
      <c r="O1147" s="24" t="str">
        <f aca="false">IF($F1147="","",IFERROR(INDEX(Counterparties!$C:$C,MATCH($F1147&amp;"",Counterparties!$A:$A,0))&amp;"",""))</f>
        <v/>
      </c>
      <c r="P1147" s="24" t="str">
        <f aca="false">IF($O1147="","",IF($O1147="CY","CY",IF(ISNUMBER(MATCH($O1147,Lists!$A:$A,0)),"EU","3RD")))</f>
        <v/>
      </c>
      <c r="Q1147" s="24" t="str">
        <f aca="false">IF($F1147="","N",IFERROR(IF(INDEX(Counterparties!$E:$E,MATCH($F1147&amp;"",Counterparties!$A:$A,0))="Y","Y","N"),"N"))</f>
        <v>N</v>
      </c>
      <c r="R1147" s="25" t="n">
        <f aca="false">IF(OR($H1147="",$H1147="EUR"),1,IFERROR(INDEX(FX_Rates!$D:$D,MATCH($H1147,FX_Rates!$A:$A,0)),""))</f>
        <v>1</v>
      </c>
      <c r="S1147" s="26" t="str">
        <f aca="false">IF(AND($I1147="",$J1147=""),"",IF($J1147&lt;&gt;"",$J1147,IF(OR($R1147="",$R1147=0),"",ROUND($I1147/$R1147,2))))</f>
        <v/>
      </c>
      <c r="T1147" s="24" t="str">
        <f aca="false">IF($N1147="","",IFERROR(INDEX(VAT_Codes!$C:$C,MATCH($N1147,VAT_Codes!$A:$A,0)),"")&amp;"")</f>
        <v/>
      </c>
      <c r="U1147" s="26" t="n">
        <f aca="false">IF(OR($S1147="",$T1147="",$T1147="None"),0,IF($T1147="Output",-$S1147,$S1147))</f>
        <v>0</v>
      </c>
      <c r="V1147" s="27" t="n">
        <f aca="false">IF($N1147="",0,IFERROR(INDEX(VAT_Codes!$D:$D,MATCH($N1147,VAT_Codes!$A:$A,0)),0))</f>
        <v>0</v>
      </c>
      <c r="W1147" s="26" t="n">
        <f aca="false">IF($U1147=0,0,IF(IFERROR(INDEX(VAT_Codes!$F:$F,MATCH($N1147,VAT_Codes!$A:$A,0)),"N")="Y",$U1147,IF($L1147&lt;&gt;"",ROUND(ABS($L1147)/IF(OR($R1147="",$R1147=0),1,$R1147),2)*SIGN($U1147),ROUND($U1147*$V1147,2))))</f>
        <v>0</v>
      </c>
      <c r="X1147" s="24" t="str">
        <f aca="false">IF($N1147="","",IFERROR(INDEX(VAT_Codes!$H:$H,MATCH($N1147,VAT_Codes!$A:$A,0)),"")&amp;"")</f>
        <v/>
      </c>
      <c r="Y1147" s="24" t="str">
        <f aca="false">IF($A1147="","",(YEAR($A1147)-YEAR(Settings!$C$8))*12+MONTH($A1147)-MONTH(Settings!$C$8)+1)</f>
        <v/>
      </c>
      <c r="Z1147" s="24" t="str">
        <f aca="false">IF(AND($C1147="",$I1147="",$J1147=""),"",IF($N1147="","NO VAT CODE",IF($T1147="","UNKNOWN VAT CODE",IF($S1147="","MISSING FX RATE",IF(OR($A1147&lt;Settings!$C$8,$A1147&gt;Settings!$C$9),"OUTSIDE PERIOD",IF(AND(IFERROR(INDEX(VAT_Codes!$E:$E,MATCH($N1147,VAT_Codes!$A:$A,0)),"ANY")&lt;&gt;"ANY",$P1147=""),"MISSING COUNTERPARTY COUNTRY",IF(AND(IFERROR(INDEX(VAT_Codes!$E:$E,MATCH($N1147,VAT_Codes!$A:$A,0)),"ANY")&lt;&gt;"ANY",$P1147&lt;&gt;IFERROR(INDEX(VAT_Codes!$E:$E,MATCH($N1147,VAT_Codes!$A:$A,0)),"ANY")),"REGION MISMATCH","OK")))))))</f>
        <v/>
      </c>
    </row>
    <row r="1148" customFormat="false" ht="15" hidden="false" customHeight="false" outlineLevel="0" collapsed="false">
      <c r="M1148" s="24" t="str">
        <f aca="false">IF($C1148="","",IFERROR(INDEX(Account_Mapping!$C:$C,MATCH($C1148&amp;"",Account_Mapping!$A:$A,0))&amp;"",""))</f>
        <v/>
      </c>
      <c r="N1148" s="24" t="str">
        <f aca="false">IF($K1148&lt;&gt;"",$K1148,$M1148)</f>
        <v/>
      </c>
      <c r="O1148" s="24" t="str">
        <f aca="false">IF($F1148="","",IFERROR(INDEX(Counterparties!$C:$C,MATCH($F1148&amp;"",Counterparties!$A:$A,0))&amp;"",""))</f>
        <v/>
      </c>
      <c r="P1148" s="24" t="str">
        <f aca="false">IF($O1148="","",IF($O1148="CY","CY",IF(ISNUMBER(MATCH($O1148,Lists!$A:$A,0)),"EU","3RD")))</f>
        <v/>
      </c>
      <c r="Q1148" s="24" t="str">
        <f aca="false">IF($F1148="","N",IFERROR(IF(INDEX(Counterparties!$E:$E,MATCH($F1148&amp;"",Counterparties!$A:$A,0))="Y","Y","N"),"N"))</f>
        <v>N</v>
      </c>
      <c r="R1148" s="25" t="n">
        <f aca="false">IF(OR($H1148="",$H1148="EUR"),1,IFERROR(INDEX(FX_Rates!$D:$D,MATCH($H1148,FX_Rates!$A:$A,0)),""))</f>
        <v>1</v>
      </c>
      <c r="S1148" s="26" t="str">
        <f aca="false">IF(AND($I1148="",$J1148=""),"",IF($J1148&lt;&gt;"",$J1148,IF(OR($R1148="",$R1148=0),"",ROUND($I1148/$R1148,2))))</f>
        <v/>
      </c>
      <c r="T1148" s="24" t="str">
        <f aca="false">IF($N1148="","",IFERROR(INDEX(VAT_Codes!$C:$C,MATCH($N1148,VAT_Codes!$A:$A,0)),"")&amp;"")</f>
        <v/>
      </c>
      <c r="U1148" s="26" t="n">
        <f aca="false">IF(OR($S1148="",$T1148="",$T1148="None"),0,IF($T1148="Output",-$S1148,$S1148))</f>
        <v>0</v>
      </c>
      <c r="V1148" s="27" t="n">
        <f aca="false">IF($N1148="",0,IFERROR(INDEX(VAT_Codes!$D:$D,MATCH($N1148,VAT_Codes!$A:$A,0)),0))</f>
        <v>0</v>
      </c>
      <c r="W1148" s="26" t="n">
        <f aca="false">IF($U1148=0,0,IF(IFERROR(INDEX(VAT_Codes!$F:$F,MATCH($N1148,VAT_Codes!$A:$A,0)),"N")="Y",$U1148,IF($L1148&lt;&gt;"",ROUND(ABS($L1148)/IF(OR($R1148="",$R1148=0),1,$R1148),2)*SIGN($U1148),ROUND($U1148*$V1148,2))))</f>
        <v>0</v>
      </c>
      <c r="X1148" s="24" t="str">
        <f aca="false">IF($N1148="","",IFERROR(INDEX(VAT_Codes!$H:$H,MATCH($N1148,VAT_Codes!$A:$A,0)),"")&amp;"")</f>
        <v/>
      </c>
      <c r="Y1148" s="24" t="str">
        <f aca="false">IF($A1148="","",(YEAR($A1148)-YEAR(Settings!$C$8))*12+MONTH($A1148)-MONTH(Settings!$C$8)+1)</f>
        <v/>
      </c>
      <c r="Z1148" s="24" t="str">
        <f aca="false">IF(AND($C1148="",$I1148="",$J1148=""),"",IF($N1148="","NO VAT CODE",IF($T1148="","UNKNOWN VAT CODE",IF($S1148="","MISSING FX RATE",IF(OR($A1148&lt;Settings!$C$8,$A1148&gt;Settings!$C$9),"OUTSIDE PERIOD",IF(AND(IFERROR(INDEX(VAT_Codes!$E:$E,MATCH($N1148,VAT_Codes!$A:$A,0)),"ANY")&lt;&gt;"ANY",$P1148=""),"MISSING COUNTERPARTY COUNTRY",IF(AND(IFERROR(INDEX(VAT_Codes!$E:$E,MATCH($N1148,VAT_Codes!$A:$A,0)),"ANY")&lt;&gt;"ANY",$P1148&lt;&gt;IFERROR(INDEX(VAT_Codes!$E:$E,MATCH($N1148,VAT_Codes!$A:$A,0)),"ANY")),"REGION MISMATCH","OK")))))))</f>
        <v/>
      </c>
    </row>
    <row r="1149" customFormat="false" ht="15" hidden="false" customHeight="false" outlineLevel="0" collapsed="false">
      <c r="M1149" s="24" t="str">
        <f aca="false">IF($C1149="","",IFERROR(INDEX(Account_Mapping!$C:$C,MATCH($C1149&amp;"",Account_Mapping!$A:$A,0))&amp;"",""))</f>
        <v/>
      </c>
      <c r="N1149" s="24" t="str">
        <f aca="false">IF($K1149&lt;&gt;"",$K1149,$M1149)</f>
        <v/>
      </c>
      <c r="O1149" s="24" t="str">
        <f aca="false">IF($F1149="","",IFERROR(INDEX(Counterparties!$C:$C,MATCH($F1149&amp;"",Counterparties!$A:$A,0))&amp;"",""))</f>
        <v/>
      </c>
      <c r="P1149" s="24" t="str">
        <f aca="false">IF($O1149="","",IF($O1149="CY","CY",IF(ISNUMBER(MATCH($O1149,Lists!$A:$A,0)),"EU","3RD")))</f>
        <v/>
      </c>
      <c r="Q1149" s="24" t="str">
        <f aca="false">IF($F1149="","N",IFERROR(IF(INDEX(Counterparties!$E:$E,MATCH($F1149&amp;"",Counterparties!$A:$A,0))="Y","Y","N"),"N"))</f>
        <v>N</v>
      </c>
      <c r="R1149" s="25" t="n">
        <f aca="false">IF(OR($H1149="",$H1149="EUR"),1,IFERROR(INDEX(FX_Rates!$D:$D,MATCH($H1149,FX_Rates!$A:$A,0)),""))</f>
        <v>1</v>
      </c>
      <c r="S1149" s="26" t="str">
        <f aca="false">IF(AND($I1149="",$J1149=""),"",IF($J1149&lt;&gt;"",$J1149,IF(OR($R1149="",$R1149=0),"",ROUND($I1149/$R1149,2))))</f>
        <v/>
      </c>
      <c r="T1149" s="24" t="str">
        <f aca="false">IF($N1149="","",IFERROR(INDEX(VAT_Codes!$C:$C,MATCH($N1149,VAT_Codes!$A:$A,0)),"")&amp;"")</f>
        <v/>
      </c>
      <c r="U1149" s="26" t="n">
        <f aca="false">IF(OR($S1149="",$T1149="",$T1149="None"),0,IF($T1149="Output",-$S1149,$S1149))</f>
        <v>0</v>
      </c>
      <c r="V1149" s="27" t="n">
        <f aca="false">IF($N1149="",0,IFERROR(INDEX(VAT_Codes!$D:$D,MATCH($N1149,VAT_Codes!$A:$A,0)),0))</f>
        <v>0</v>
      </c>
      <c r="W1149" s="26" t="n">
        <f aca="false">IF($U1149=0,0,IF(IFERROR(INDEX(VAT_Codes!$F:$F,MATCH($N1149,VAT_Codes!$A:$A,0)),"N")="Y",$U1149,IF($L1149&lt;&gt;"",ROUND(ABS($L1149)/IF(OR($R1149="",$R1149=0),1,$R1149),2)*SIGN($U1149),ROUND($U1149*$V1149,2))))</f>
        <v>0</v>
      </c>
      <c r="X1149" s="24" t="str">
        <f aca="false">IF($N1149="","",IFERROR(INDEX(VAT_Codes!$H:$H,MATCH($N1149,VAT_Codes!$A:$A,0)),"")&amp;"")</f>
        <v/>
      </c>
      <c r="Y1149" s="24" t="str">
        <f aca="false">IF($A1149="","",(YEAR($A1149)-YEAR(Settings!$C$8))*12+MONTH($A1149)-MONTH(Settings!$C$8)+1)</f>
        <v/>
      </c>
      <c r="Z1149" s="24" t="str">
        <f aca="false">IF(AND($C1149="",$I1149="",$J1149=""),"",IF($N1149="","NO VAT CODE",IF($T1149="","UNKNOWN VAT CODE",IF($S1149="","MISSING FX RATE",IF(OR($A1149&lt;Settings!$C$8,$A1149&gt;Settings!$C$9),"OUTSIDE PERIOD",IF(AND(IFERROR(INDEX(VAT_Codes!$E:$E,MATCH($N1149,VAT_Codes!$A:$A,0)),"ANY")&lt;&gt;"ANY",$P1149=""),"MISSING COUNTERPARTY COUNTRY",IF(AND(IFERROR(INDEX(VAT_Codes!$E:$E,MATCH($N1149,VAT_Codes!$A:$A,0)),"ANY")&lt;&gt;"ANY",$P1149&lt;&gt;IFERROR(INDEX(VAT_Codes!$E:$E,MATCH($N1149,VAT_Codes!$A:$A,0)),"ANY")),"REGION MISMATCH","OK")))))))</f>
        <v/>
      </c>
    </row>
    <row r="1150" customFormat="false" ht="15" hidden="false" customHeight="false" outlineLevel="0" collapsed="false">
      <c r="M1150" s="24" t="str">
        <f aca="false">IF($C1150="","",IFERROR(INDEX(Account_Mapping!$C:$C,MATCH($C1150&amp;"",Account_Mapping!$A:$A,0))&amp;"",""))</f>
        <v/>
      </c>
      <c r="N1150" s="24" t="str">
        <f aca="false">IF($K1150&lt;&gt;"",$K1150,$M1150)</f>
        <v/>
      </c>
      <c r="O1150" s="24" t="str">
        <f aca="false">IF($F1150="","",IFERROR(INDEX(Counterparties!$C:$C,MATCH($F1150&amp;"",Counterparties!$A:$A,0))&amp;"",""))</f>
        <v/>
      </c>
      <c r="P1150" s="24" t="str">
        <f aca="false">IF($O1150="","",IF($O1150="CY","CY",IF(ISNUMBER(MATCH($O1150,Lists!$A:$A,0)),"EU","3RD")))</f>
        <v/>
      </c>
      <c r="Q1150" s="24" t="str">
        <f aca="false">IF($F1150="","N",IFERROR(IF(INDEX(Counterparties!$E:$E,MATCH($F1150&amp;"",Counterparties!$A:$A,0))="Y","Y","N"),"N"))</f>
        <v>N</v>
      </c>
      <c r="R1150" s="25" t="n">
        <f aca="false">IF(OR($H1150="",$H1150="EUR"),1,IFERROR(INDEX(FX_Rates!$D:$D,MATCH($H1150,FX_Rates!$A:$A,0)),""))</f>
        <v>1</v>
      </c>
      <c r="S1150" s="26" t="str">
        <f aca="false">IF(AND($I1150="",$J1150=""),"",IF($J1150&lt;&gt;"",$J1150,IF(OR($R1150="",$R1150=0),"",ROUND($I1150/$R1150,2))))</f>
        <v/>
      </c>
      <c r="T1150" s="24" t="str">
        <f aca="false">IF($N1150="","",IFERROR(INDEX(VAT_Codes!$C:$C,MATCH($N1150,VAT_Codes!$A:$A,0)),"")&amp;"")</f>
        <v/>
      </c>
      <c r="U1150" s="26" t="n">
        <f aca="false">IF(OR($S1150="",$T1150="",$T1150="None"),0,IF($T1150="Output",-$S1150,$S1150))</f>
        <v>0</v>
      </c>
      <c r="V1150" s="27" t="n">
        <f aca="false">IF($N1150="",0,IFERROR(INDEX(VAT_Codes!$D:$D,MATCH($N1150,VAT_Codes!$A:$A,0)),0))</f>
        <v>0</v>
      </c>
      <c r="W1150" s="26" t="n">
        <f aca="false">IF($U1150=0,0,IF(IFERROR(INDEX(VAT_Codes!$F:$F,MATCH($N1150,VAT_Codes!$A:$A,0)),"N")="Y",$U1150,IF($L1150&lt;&gt;"",ROUND(ABS($L1150)/IF(OR($R1150="",$R1150=0),1,$R1150),2)*SIGN($U1150),ROUND($U1150*$V1150,2))))</f>
        <v>0</v>
      </c>
      <c r="X1150" s="24" t="str">
        <f aca="false">IF($N1150="","",IFERROR(INDEX(VAT_Codes!$H:$H,MATCH($N1150,VAT_Codes!$A:$A,0)),"")&amp;"")</f>
        <v/>
      </c>
      <c r="Y1150" s="24" t="str">
        <f aca="false">IF($A1150="","",(YEAR($A1150)-YEAR(Settings!$C$8))*12+MONTH($A1150)-MONTH(Settings!$C$8)+1)</f>
        <v/>
      </c>
      <c r="Z1150" s="24" t="str">
        <f aca="false">IF(AND($C1150="",$I1150="",$J1150=""),"",IF($N1150="","NO VAT CODE",IF($T1150="","UNKNOWN VAT CODE",IF($S1150="","MISSING FX RATE",IF(OR($A1150&lt;Settings!$C$8,$A1150&gt;Settings!$C$9),"OUTSIDE PERIOD",IF(AND(IFERROR(INDEX(VAT_Codes!$E:$E,MATCH($N1150,VAT_Codes!$A:$A,0)),"ANY")&lt;&gt;"ANY",$P1150=""),"MISSING COUNTERPARTY COUNTRY",IF(AND(IFERROR(INDEX(VAT_Codes!$E:$E,MATCH($N1150,VAT_Codes!$A:$A,0)),"ANY")&lt;&gt;"ANY",$P1150&lt;&gt;IFERROR(INDEX(VAT_Codes!$E:$E,MATCH($N1150,VAT_Codes!$A:$A,0)),"ANY")),"REGION MISMATCH","OK")))))))</f>
        <v/>
      </c>
    </row>
    <row r="1151" customFormat="false" ht="15" hidden="false" customHeight="false" outlineLevel="0" collapsed="false">
      <c r="M1151" s="24" t="str">
        <f aca="false">IF($C1151="","",IFERROR(INDEX(Account_Mapping!$C:$C,MATCH($C1151&amp;"",Account_Mapping!$A:$A,0))&amp;"",""))</f>
        <v/>
      </c>
      <c r="N1151" s="24" t="str">
        <f aca="false">IF($K1151&lt;&gt;"",$K1151,$M1151)</f>
        <v/>
      </c>
      <c r="O1151" s="24" t="str">
        <f aca="false">IF($F1151="","",IFERROR(INDEX(Counterparties!$C:$C,MATCH($F1151&amp;"",Counterparties!$A:$A,0))&amp;"",""))</f>
        <v/>
      </c>
      <c r="P1151" s="24" t="str">
        <f aca="false">IF($O1151="","",IF($O1151="CY","CY",IF(ISNUMBER(MATCH($O1151,Lists!$A:$A,0)),"EU","3RD")))</f>
        <v/>
      </c>
      <c r="Q1151" s="24" t="str">
        <f aca="false">IF($F1151="","N",IFERROR(IF(INDEX(Counterparties!$E:$E,MATCH($F1151&amp;"",Counterparties!$A:$A,0))="Y","Y","N"),"N"))</f>
        <v>N</v>
      </c>
      <c r="R1151" s="25" t="n">
        <f aca="false">IF(OR($H1151="",$H1151="EUR"),1,IFERROR(INDEX(FX_Rates!$D:$D,MATCH($H1151,FX_Rates!$A:$A,0)),""))</f>
        <v>1</v>
      </c>
      <c r="S1151" s="26" t="str">
        <f aca="false">IF(AND($I1151="",$J1151=""),"",IF($J1151&lt;&gt;"",$J1151,IF(OR($R1151="",$R1151=0),"",ROUND($I1151/$R1151,2))))</f>
        <v/>
      </c>
      <c r="T1151" s="24" t="str">
        <f aca="false">IF($N1151="","",IFERROR(INDEX(VAT_Codes!$C:$C,MATCH($N1151,VAT_Codes!$A:$A,0)),"")&amp;"")</f>
        <v/>
      </c>
      <c r="U1151" s="26" t="n">
        <f aca="false">IF(OR($S1151="",$T1151="",$T1151="None"),0,IF($T1151="Output",-$S1151,$S1151))</f>
        <v>0</v>
      </c>
      <c r="V1151" s="27" t="n">
        <f aca="false">IF($N1151="",0,IFERROR(INDEX(VAT_Codes!$D:$D,MATCH($N1151,VAT_Codes!$A:$A,0)),0))</f>
        <v>0</v>
      </c>
      <c r="W1151" s="26" t="n">
        <f aca="false">IF($U1151=0,0,IF(IFERROR(INDEX(VAT_Codes!$F:$F,MATCH($N1151,VAT_Codes!$A:$A,0)),"N")="Y",$U1151,IF($L1151&lt;&gt;"",ROUND(ABS($L1151)/IF(OR($R1151="",$R1151=0),1,$R1151),2)*SIGN($U1151),ROUND($U1151*$V1151,2))))</f>
        <v>0</v>
      </c>
      <c r="X1151" s="24" t="str">
        <f aca="false">IF($N1151="","",IFERROR(INDEX(VAT_Codes!$H:$H,MATCH($N1151,VAT_Codes!$A:$A,0)),"")&amp;"")</f>
        <v/>
      </c>
      <c r="Y1151" s="24" t="str">
        <f aca="false">IF($A1151="","",(YEAR($A1151)-YEAR(Settings!$C$8))*12+MONTH($A1151)-MONTH(Settings!$C$8)+1)</f>
        <v/>
      </c>
      <c r="Z1151" s="24" t="str">
        <f aca="false">IF(AND($C1151="",$I1151="",$J1151=""),"",IF($N1151="","NO VAT CODE",IF($T1151="","UNKNOWN VAT CODE",IF($S1151="","MISSING FX RATE",IF(OR($A1151&lt;Settings!$C$8,$A1151&gt;Settings!$C$9),"OUTSIDE PERIOD",IF(AND(IFERROR(INDEX(VAT_Codes!$E:$E,MATCH($N1151,VAT_Codes!$A:$A,0)),"ANY")&lt;&gt;"ANY",$P1151=""),"MISSING COUNTERPARTY COUNTRY",IF(AND(IFERROR(INDEX(VAT_Codes!$E:$E,MATCH($N1151,VAT_Codes!$A:$A,0)),"ANY")&lt;&gt;"ANY",$P1151&lt;&gt;IFERROR(INDEX(VAT_Codes!$E:$E,MATCH($N1151,VAT_Codes!$A:$A,0)),"ANY")),"REGION MISMATCH","OK")))))))</f>
        <v/>
      </c>
    </row>
    <row r="1152" customFormat="false" ht="15" hidden="false" customHeight="false" outlineLevel="0" collapsed="false">
      <c r="M1152" s="24" t="str">
        <f aca="false">IF($C1152="","",IFERROR(INDEX(Account_Mapping!$C:$C,MATCH($C1152&amp;"",Account_Mapping!$A:$A,0))&amp;"",""))</f>
        <v/>
      </c>
      <c r="N1152" s="24" t="str">
        <f aca="false">IF($K1152&lt;&gt;"",$K1152,$M1152)</f>
        <v/>
      </c>
      <c r="O1152" s="24" t="str">
        <f aca="false">IF($F1152="","",IFERROR(INDEX(Counterparties!$C:$C,MATCH($F1152&amp;"",Counterparties!$A:$A,0))&amp;"",""))</f>
        <v/>
      </c>
      <c r="P1152" s="24" t="str">
        <f aca="false">IF($O1152="","",IF($O1152="CY","CY",IF(ISNUMBER(MATCH($O1152,Lists!$A:$A,0)),"EU","3RD")))</f>
        <v/>
      </c>
      <c r="Q1152" s="24" t="str">
        <f aca="false">IF($F1152="","N",IFERROR(IF(INDEX(Counterparties!$E:$E,MATCH($F1152&amp;"",Counterparties!$A:$A,0))="Y","Y","N"),"N"))</f>
        <v>N</v>
      </c>
      <c r="R1152" s="25" t="n">
        <f aca="false">IF(OR($H1152="",$H1152="EUR"),1,IFERROR(INDEX(FX_Rates!$D:$D,MATCH($H1152,FX_Rates!$A:$A,0)),""))</f>
        <v>1</v>
      </c>
      <c r="S1152" s="26" t="str">
        <f aca="false">IF(AND($I1152="",$J1152=""),"",IF($J1152&lt;&gt;"",$J1152,IF(OR($R1152="",$R1152=0),"",ROUND($I1152/$R1152,2))))</f>
        <v/>
      </c>
      <c r="T1152" s="24" t="str">
        <f aca="false">IF($N1152="","",IFERROR(INDEX(VAT_Codes!$C:$C,MATCH($N1152,VAT_Codes!$A:$A,0)),"")&amp;"")</f>
        <v/>
      </c>
      <c r="U1152" s="26" t="n">
        <f aca="false">IF(OR($S1152="",$T1152="",$T1152="None"),0,IF($T1152="Output",-$S1152,$S1152))</f>
        <v>0</v>
      </c>
      <c r="V1152" s="27" t="n">
        <f aca="false">IF($N1152="",0,IFERROR(INDEX(VAT_Codes!$D:$D,MATCH($N1152,VAT_Codes!$A:$A,0)),0))</f>
        <v>0</v>
      </c>
      <c r="W1152" s="26" t="n">
        <f aca="false">IF($U1152=0,0,IF(IFERROR(INDEX(VAT_Codes!$F:$F,MATCH($N1152,VAT_Codes!$A:$A,0)),"N")="Y",$U1152,IF($L1152&lt;&gt;"",ROUND(ABS($L1152)/IF(OR($R1152="",$R1152=0),1,$R1152),2)*SIGN($U1152),ROUND($U1152*$V1152,2))))</f>
        <v>0</v>
      </c>
      <c r="X1152" s="24" t="str">
        <f aca="false">IF($N1152="","",IFERROR(INDEX(VAT_Codes!$H:$H,MATCH($N1152,VAT_Codes!$A:$A,0)),"")&amp;"")</f>
        <v/>
      </c>
      <c r="Y1152" s="24" t="str">
        <f aca="false">IF($A1152="","",(YEAR($A1152)-YEAR(Settings!$C$8))*12+MONTH($A1152)-MONTH(Settings!$C$8)+1)</f>
        <v/>
      </c>
      <c r="Z1152" s="24" t="str">
        <f aca="false">IF(AND($C1152="",$I1152="",$J1152=""),"",IF($N1152="","NO VAT CODE",IF($T1152="","UNKNOWN VAT CODE",IF($S1152="","MISSING FX RATE",IF(OR($A1152&lt;Settings!$C$8,$A1152&gt;Settings!$C$9),"OUTSIDE PERIOD",IF(AND(IFERROR(INDEX(VAT_Codes!$E:$E,MATCH($N1152,VAT_Codes!$A:$A,0)),"ANY")&lt;&gt;"ANY",$P1152=""),"MISSING COUNTERPARTY COUNTRY",IF(AND(IFERROR(INDEX(VAT_Codes!$E:$E,MATCH($N1152,VAT_Codes!$A:$A,0)),"ANY")&lt;&gt;"ANY",$P1152&lt;&gt;IFERROR(INDEX(VAT_Codes!$E:$E,MATCH($N1152,VAT_Codes!$A:$A,0)),"ANY")),"REGION MISMATCH","OK")))))))</f>
        <v/>
      </c>
    </row>
    <row r="1153" customFormat="false" ht="15" hidden="false" customHeight="false" outlineLevel="0" collapsed="false">
      <c r="M1153" s="24" t="str">
        <f aca="false">IF($C1153="","",IFERROR(INDEX(Account_Mapping!$C:$C,MATCH($C1153&amp;"",Account_Mapping!$A:$A,0))&amp;"",""))</f>
        <v/>
      </c>
      <c r="N1153" s="24" t="str">
        <f aca="false">IF($K1153&lt;&gt;"",$K1153,$M1153)</f>
        <v/>
      </c>
      <c r="O1153" s="24" t="str">
        <f aca="false">IF($F1153="","",IFERROR(INDEX(Counterparties!$C:$C,MATCH($F1153&amp;"",Counterparties!$A:$A,0))&amp;"",""))</f>
        <v/>
      </c>
      <c r="P1153" s="24" t="str">
        <f aca="false">IF($O1153="","",IF($O1153="CY","CY",IF(ISNUMBER(MATCH($O1153,Lists!$A:$A,0)),"EU","3RD")))</f>
        <v/>
      </c>
      <c r="Q1153" s="24" t="str">
        <f aca="false">IF($F1153="","N",IFERROR(IF(INDEX(Counterparties!$E:$E,MATCH($F1153&amp;"",Counterparties!$A:$A,0))="Y","Y","N"),"N"))</f>
        <v>N</v>
      </c>
      <c r="R1153" s="25" t="n">
        <f aca="false">IF(OR($H1153="",$H1153="EUR"),1,IFERROR(INDEX(FX_Rates!$D:$D,MATCH($H1153,FX_Rates!$A:$A,0)),""))</f>
        <v>1</v>
      </c>
      <c r="S1153" s="26" t="str">
        <f aca="false">IF(AND($I1153="",$J1153=""),"",IF($J1153&lt;&gt;"",$J1153,IF(OR($R1153="",$R1153=0),"",ROUND($I1153/$R1153,2))))</f>
        <v/>
      </c>
      <c r="T1153" s="24" t="str">
        <f aca="false">IF($N1153="","",IFERROR(INDEX(VAT_Codes!$C:$C,MATCH($N1153,VAT_Codes!$A:$A,0)),"")&amp;"")</f>
        <v/>
      </c>
      <c r="U1153" s="26" t="n">
        <f aca="false">IF(OR($S1153="",$T1153="",$T1153="None"),0,IF($T1153="Output",-$S1153,$S1153))</f>
        <v>0</v>
      </c>
      <c r="V1153" s="27" t="n">
        <f aca="false">IF($N1153="",0,IFERROR(INDEX(VAT_Codes!$D:$D,MATCH($N1153,VAT_Codes!$A:$A,0)),0))</f>
        <v>0</v>
      </c>
      <c r="W1153" s="26" t="n">
        <f aca="false">IF($U1153=0,0,IF(IFERROR(INDEX(VAT_Codes!$F:$F,MATCH($N1153,VAT_Codes!$A:$A,0)),"N")="Y",$U1153,IF($L1153&lt;&gt;"",ROUND(ABS($L1153)/IF(OR($R1153="",$R1153=0),1,$R1153),2)*SIGN($U1153),ROUND($U1153*$V1153,2))))</f>
        <v>0</v>
      </c>
      <c r="X1153" s="24" t="str">
        <f aca="false">IF($N1153="","",IFERROR(INDEX(VAT_Codes!$H:$H,MATCH($N1153,VAT_Codes!$A:$A,0)),"")&amp;"")</f>
        <v/>
      </c>
      <c r="Y1153" s="24" t="str">
        <f aca="false">IF($A1153="","",(YEAR($A1153)-YEAR(Settings!$C$8))*12+MONTH($A1153)-MONTH(Settings!$C$8)+1)</f>
        <v/>
      </c>
      <c r="Z1153" s="24" t="str">
        <f aca="false">IF(AND($C1153="",$I1153="",$J1153=""),"",IF($N1153="","NO VAT CODE",IF($T1153="","UNKNOWN VAT CODE",IF($S1153="","MISSING FX RATE",IF(OR($A1153&lt;Settings!$C$8,$A1153&gt;Settings!$C$9),"OUTSIDE PERIOD",IF(AND(IFERROR(INDEX(VAT_Codes!$E:$E,MATCH($N1153,VAT_Codes!$A:$A,0)),"ANY")&lt;&gt;"ANY",$P1153=""),"MISSING COUNTERPARTY COUNTRY",IF(AND(IFERROR(INDEX(VAT_Codes!$E:$E,MATCH($N1153,VAT_Codes!$A:$A,0)),"ANY")&lt;&gt;"ANY",$P1153&lt;&gt;IFERROR(INDEX(VAT_Codes!$E:$E,MATCH($N1153,VAT_Codes!$A:$A,0)),"ANY")),"REGION MISMATCH","OK")))))))</f>
        <v/>
      </c>
    </row>
    <row r="1154" customFormat="false" ht="15" hidden="false" customHeight="false" outlineLevel="0" collapsed="false">
      <c r="M1154" s="24" t="str">
        <f aca="false">IF($C1154="","",IFERROR(INDEX(Account_Mapping!$C:$C,MATCH($C1154&amp;"",Account_Mapping!$A:$A,0))&amp;"",""))</f>
        <v/>
      </c>
      <c r="N1154" s="24" t="str">
        <f aca="false">IF($K1154&lt;&gt;"",$K1154,$M1154)</f>
        <v/>
      </c>
      <c r="O1154" s="24" t="str">
        <f aca="false">IF($F1154="","",IFERROR(INDEX(Counterparties!$C:$C,MATCH($F1154&amp;"",Counterparties!$A:$A,0))&amp;"",""))</f>
        <v/>
      </c>
      <c r="P1154" s="24" t="str">
        <f aca="false">IF($O1154="","",IF($O1154="CY","CY",IF(ISNUMBER(MATCH($O1154,Lists!$A:$A,0)),"EU","3RD")))</f>
        <v/>
      </c>
      <c r="Q1154" s="24" t="str">
        <f aca="false">IF($F1154="","N",IFERROR(IF(INDEX(Counterparties!$E:$E,MATCH($F1154&amp;"",Counterparties!$A:$A,0))="Y","Y","N"),"N"))</f>
        <v>N</v>
      </c>
      <c r="R1154" s="25" t="n">
        <f aca="false">IF(OR($H1154="",$H1154="EUR"),1,IFERROR(INDEX(FX_Rates!$D:$D,MATCH($H1154,FX_Rates!$A:$A,0)),""))</f>
        <v>1</v>
      </c>
      <c r="S1154" s="26" t="str">
        <f aca="false">IF(AND($I1154="",$J1154=""),"",IF($J1154&lt;&gt;"",$J1154,IF(OR($R1154="",$R1154=0),"",ROUND($I1154/$R1154,2))))</f>
        <v/>
      </c>
      <c r="T1154" s="24" t="str">
        <f aca="false">IF($N1154="","",IFERROR(INDEX(VAT_Codes!$C:$C,MATCH($N1154,VAT_Codes!$A:$A,0)),"")&amp;"")</f>
        <v/>
      </c>
      <c r="U1154" s="26" t="n">
        <f aca="false">IF(OR($S1154="",$T1154="",$T1154="None"),0,IF($T1154="Output",-$S1154,$S1154))</f>
        <v>0</v>
      </c>
      <c r="V1154" s="27" t="n">
        <f aca="false">IF($N1154="",0,IFERROR(INDEX(VAT_Codes!$D:$D,MATCH($N1154,VAT_Codes!$A:$A,0)),0))</f>
        <v>0</v>
      </c>
      <c r="W1154" s="26" t="n">
        <f aca="false">IF($U1154=0,0,IF(IFERROR(INDEX(VAT_Codes!$F:$F,MATCH($N1154,VAT_Codes!$A:$A,0)),"N")="Y",$U1154,IF($L1154&lt;&gt;"",ROUND(ABS($L1154)/IF(OR($R1154="",$R1154=0),1,$R1154),2)*SIGN($U1154),ROUND($U1154*$V1154,2))))</f>
        <v>0</v>
      </c>
      <c r="X1154" s="24" t="str">
        <f aca="false">IF($N1154="","",IFERROR(INDEX(VAT_Codes!$H:$H,MATCH($N1154,VAT_Codes!$A:$A,0)),"")&amp;"")</f>
        <v/>
      </c>
      <c r="Y1154" s="24" t="str">
        <f aca="false">IF($A1154="","",(YEAR($A1154)-YEAR(Settings!$C$8))*12+MONTH($A1154)-MONTH(Settings!$C$8)+1)</f>
        <v/>
      </c>
      <c r="Z1154" s="24" t="str">
        <f aca="false">IF(AND($C1154="",$I1154="",$J1154=""),"",IF($N1154="","NO VAT CODE",IF($T1154="","UNKNOWN VAT CODE",IF($S1154="","MISSING FX RATE",IF(OR($A1154&lt;Settings!$C$8,$A1154&gt;Settings!$C$9),"OUTSIDE PERIOD",IF(AND(IFERROR(INDEX(VAT_Codes!$E:$E,MATCH($N1154,VAT_Codes!$A:$A,0)),"ANY")&lt;&gt;"ANY",$P1154=""),"MISSING COUNTERPARTY COUNTRY",IF(AND(IFERROR(INDEX(VAT_Codes!$E:$E,MATCH($N1154,VAT_Codes!$A:$A,0)),"ANY")&lt;&gt;"ANY",$P1154&lt;&gt;IFERROR(INDEX(VAT_Codes!$E:$E,MATCH($N1154,VAT_Codes!$A:$A,0)),"ANY")),"REGION MISMATCH","OK")))))))</f>
        <v/>
      </c>
    </row>
    <row r="1155" customFormat="false" ht="15" hidden="false" customHeight="false" outlineLevel="0" collapsed="false">
      <c r="M1155" s="24" t="str">
        <f aca="false">IF($C1155="","",IFERROR(INDEX(Account_Mapping!$C:$C,MATCH($C1155&amp;"",Account_Mapping!$A:$A,0))&amp;"",""))</f>
        <v/>
      </c>
      <c r="N1155" s="24" t="str">
        <f aca="false">IF($K1155&lt;&gt;"",$K1155,$M1155)</f>
        <v/>
      </c>
      <c r="O1155" s="24" t="str">
        <f aca="false">IF($F1155="","",IFERROR(INDEX(Counterparties!$C:$C,MATCH($F1155&amp;"",Counterparties!$A:$A,0))&amp;"",""))</f>
        <v/>
      </c>
      <c r="P1155" s="24" t="str">
        <f aca="false">IF($O1155="","",IF($O1155="CY","CY",IF(ISNUMBER(MATCH($O1155,Lists!$A:$A,0)),"EU","3RD")))</f>
        <v/>
      </c>
      <c r="Q1155" s="24" t="str">
        <f aca="false">IF($F1155="","N",IFERROR(IF(INDEX(Counterparties!$E:$E,MATCH($F1155&amp;"",Counterparties!$A:$A,0))="Y","Y","N"),"N"))</f>
        <v>N</v>
      </c>
      <c r="R1155" s="25" t="n">
        <f aca="false">IF(OR($H1155="",$H1155="EUR"),1,IFERROR(INDEX(FX_Rates!$D:$D,MATCH($H1155,FX_Rates!$A:$A,0)),""))</f>
        <v>1</v>
      </c>
      <c r="S1155" s="26" t="str">
        <f aca="false">IF(AND($I1155="",$J1155=""),"",IF($J1155&lt;&gt;"",$J1155,IF(OR($R1155="",$R1155=0),"",ROUND($I1155/$R1155,2))))</f>
        <v/>
      </c>
      <c r="T1155" s="24" t="str">
        <f aca="false">IF($N1155="","",IFERROR(INDEX(VAT_Codes!$C:$C,MATCH($N1155,VAT_Codes!$A:$A,0)),"")&amp;"")</f>
        <v/>
      </c>
      <c r="U1155" s="26" t="n">
        <f aca="false">IF(OR($S1155="",$T1155="",$T1155="None"),0,IF($T1155="Output",-$S1155,$S1155))</f>
        <v>0</v>
      </c>
      <c r="V1155" s="27" t="n">
        <f aca="false">IF($N1155="",0,IFERROR(INDEX(VAT_Codes!$D:$D,MATCH($N1155,VAT_Codes!$A:$A,0)),0))</f>
        <v>0</v>
      </c>
      <c r="W1155" s="26" t="n">
        <f aca="false">IF($U1155=0,0,IF(IFERROR(INDEX(VAT_Codes!$F:$F,MATCH($N1155,VAT_Codes!$A:$A,0)),"N")="Y",$U1155,IF($L1155&lt;&gt;"",ROUND(ABS($L1155)/IF(OR($R1155="",$R1155=0),1,$R1155),2)*SIGN($U1155),ROUND($U1155*$V1155,2))))</f>
        <v>0</v>
      </c>
      <c r="X1155" s="24" t="str">
        <f aca="false">IF($N1155="","",IFERROR(INDEX(VAT_Codes!$H:$H,MATCH($N1155,VAT_Codes!$A:$A,0)),"")&amp;"")</f>
        <v/>
      </c>
      <c r="Y1155" s="24" t="str">
        <f aca="false">IF($A1155="","",(YEAR($A1155)-YEAR(Settings!$C$8))*12+MONTH($A1155)-MONTH(Settings!$C$8)+1)</f>
        <v/>
      </c>
      <c r="Z1155" s="24" t="str">
        <f aca="false">IF(AND($C1155="",$I1155="",$J1155=""),"",IF($N1155="","NO VAT CODE",IF($T1155="","UNKNOWN VAT CODE",IF($S1155="","MISSING FX RATE",IF(OR($A1155&lt;Settings!$C$8,$A1155&gt;Settings!$C$9),"OUTSIDE PERIOD",IF(AND(IFERROR(INDEX(VAT_Codes!$E:$E,MATCH($N1155,VAT_Codes!$A:$A,0)),"ANY")&lt;&gt;"ANY",$P1155=""),"MISSING COUNTERPARTY COUNTRY",IF(AND(IFERROR(INDEX(VAT_Codes!$E:$E,MATCH($N1155,VAT_Codes!$A:$A,0)),"ANY")&lt;&gt;"ANY",$P1155&lt;&gt;IFERROR(INDEX(VAT_Codes!$E:$E,MATCH($N1155,VAT_Codes!$A:$A,0)),"ANY")),"REGION MISMATCH","OK")))))))</f>
        <v/>
      </c>
    </row>
    <row r="1156" customFormat="false" ht="15" hidden="false" customHeight="false" outlineLevel="0" collapsed="false">
      <c r="M1156" s="24" t="str">
        <f aca="false">IF($C1156="","",IFERROR(INDEX(Account_Mapping!$C:$C,MATCH($C1156&amp;"",Account_Mapping!$A:$A,0))&amp;"",""))</f>
        <v/>
      </c>
      <c r="N1156" s="24" t="str">
        <f aca="false">IF($K1156&lt;&gt;"",$K1156,$M1156)</f>
        <v/>
      </c>
      <c r="O1156" s="24" t="str">
        <f aca="false">IF($F1156="","",IFERROR(INDEX(Counterparties!$C:$C,MATCH($F1156&amp;"",Counterparties!$A:$A,0))&amp;"",""))</f>
        <v/>
      </c>
      <c r="P1156" s="24" t="str">
        <f aca="false">IF($O1156="","",IF($O1156="CY","CY",IF(ISNUMBER(MATCH($O1156,Lists!$A:$A,0)),"EU","3RD")))</f>
        <v/>
      </c>
      <c r="Q1156" s="24" t="str">
        <f aca="false">IF($F1156="","N",IFERROR(IF(INDEX(Counterparties!$E:$E,MATCH($F1156&amp;"",Counterparties!$A:$A,0))="Y","Y","N"),"N"))</f>
        <v>N</v>
      </c>
      <c r="R1156" s="25" t="n">
        <f aca="false">IF(OR($H1156="",$H1156="EUR"),1,IFERROR(INDEX(FX_Rates!$D:$D,MATCH($H1156,FX_Rates!$A:$A,0)),""))</f>
        <v>1</v>
      </c>
      <c r="S1156" s="26" t="str">
        <f aca="false">IF(AND($I1156="",$J1156=""),"",IF($J1156&lt;&gt;"",$J1156,IF(OR($R1156="",$R1156=0),"",ROUND($I1156/$R1156,2))))</f>
        <v/>
      </c>
      <c r="T1156" s="24" t="str">
        <f aca="false">IF($N1156="","",IFERROR(INDEX(VAT_Codes!$C:$C,MATCH($N1156,VAT_Codes!$A:$A,0)),"")&amp;"")</f>
        <v/>
      </c>
      <c r="U1156" s="26" t="n">
        <f aca="false">IF(OR($S1156="",$T1156="",$T1156="None"),0,IF($T1156="Output",-$S1156,$S1156))</f>
        <v>0</v>
      </c>
      <c r="V1156" s="27" t="n">
        <f aca="false">IF($N1156="",0,IFERROR(INDEX(VAT_Codes!$D:$D,MATCH($N1156,VAT_Codes!$A:$A,0)),0))</f>
        <v>0</v>
      </c>
      <c r="W1156" s="26" t="n">
        <f aca="false">IF($U1156=0,0,IF(IFERROR(INDEX(VAT_Codes!$F:$F,MATCH($N1156,VAT_Codes!$A:$A,0)),"N")="Y",$U1156,IF($L1156&lt;&gt;"",ROUND(ABS($L1156)/IF(OR($R1156="",$R1156=0),1,$R1156),2)*SIGN($U1156),ROUND($U1156*$V1156,2))))</f>
        <v>0</v>
      </c>
      <c r="X1156" s="24" t="str">
        <f aca="false">IF($N1156="","",IFERROR(INDEX(VAT_Codes!$H:$H,MATCH($N1156,VAT_Codes!$A:$A,0)),"")&amp;"")</f>
        <v/>
      </c>
      <c r="Y1156" s="24" t="str">
        <f aca="false">IF($A1156="","",(YEAR($A1156)-YEAR(Settings!$C$8))*12+MONTH($A1156)-MONTH(Settings!$C$8)+1)</f>
        <v/>
      </c>
      <c r="Z1156" s="24" t="str">
        <f aca="false">IF(AND($C1156="",$I1156="",$J1156=""),"",IF($N1156="","NO VAT CODE",IF($T1156="","UNKNOWN VAT CODE",IF($S1156="","MISSING FX RATE",IF(OR($A1156&lt;Settings!$C$8,$A1156&gt;Settings!$C$9),"OUTSIDE PERIOD",IF(AND(IFERROR(INDEX(VAT_Codes!$E:$E,MATCH($N1156,VAT_Codes!$A:$A,0)),"ANY")&lt;&gt;"ANY",$P1156=""),"MISSING COUNTERPARTY COUNTRY",IF(AND(IFERROR(INDEX(VAT_Codes!$E:$E,MATCH($N1156,VAT_Codes!$A:$A,0)),"ANY")&lt;&gt;"ANY",$P1156&lt;&gt;IFERROR(INDEX(VAT_Codes!$E:$E,MATCH($N1156,VAT_Codes!$A:$A,0)),"ANY")),"REGION MISMATCH","OK")))))))</f>
        <v/>
      </c>
    </row>
    <row r="1157" customFormat="false" ht="15" hidden="false" customHeight="false" outlineLevel="0" collapsed="false">
      <c r="M1157" s="24" t="str">
        <f aca="false">IF($C1157="","",IFERROR(INDEX(Account_Mapping!$C:$C,MATCH($C1157&amp;"",Account_Mapping!$A:$A,0))&amp;"",""))</f>
        <v/>
      </c>
      <c r="N1157" s="24" t="str">
        <f aca="false">IF($K1157&lt;&gt;"",$K1157,$M1157)</f>
        <v/>
      </c>
      <c r="O1157" s="24" t="str">
        <f aca="false">IF($F1157="","",IFERROR(INDEX(Counterparties!$C:$C,MATCH($F1157&amp;"",Counterparties!$A:$A,0))&amp;"",""))</f>
        <v/>
      </c>
      <c r="P1157" s="24" t="str">
        <f aca="false">IF($O1157="","",IF($O1157="CY","CY",IF(ISNUMBER(MATCH($O1157,Lists!$A:$A,0)),"EU","3RD")))</f>
        <v/>
      </c>
      <c r="Q1157" s="24" t="str">
        <f aca="false">IF($F1157="","N",IFERROR(IF(INDEX(Counterparties!$E:$E,MATCH($F1157&amp;"",Counterparties!$A:$A,0))="Y","Y","N"),"N"))</f>
        <v>N</v>
      </c>
      <c r="R1157" s="25" t="n">
        <f aca="false">IF(OR($H1157="",$H1157="EUR"),1,IFERROR(INDEX(FX_Rates!$D:$D,MATCH($H1157,FX_Rates!$A:$A,0)),""))</f>
        <v>1</v>
      </c>
      <c r="S1157" s="26" t="str">
        <f aca="false">IF(AND($I1157="",$J1157=""),"",IF($J1157&lt;&gt;"",$J1157,IF(OR($R1157="",$R1157=0),"",ROUND($I1157/$R1157,2))))</f>
        <v/>
      </c>
      <c r="T1157" s="24" t="str">
        <f aca="false">IF($N1157="","",IFERROR(INDEX(VAT_Codes!$C:$C,MATCH($N1157,VAT_Codes!$A:$A,0)),"")&amp;"")</f>
        <v/>
      </c>
      <c r="U1157" s="26" t="n">
        <f aca="false">IF(OR($S1157="",$T1157="",$T1157="None"),0,IF($T1157="Output",-$S1157,$S1157))</f>
        <v>0</v>
      </c>
      <c r="V1157" s="27" t="n">
        <f aca="false">IF($N1157="",0,IFERROR(INDEX(VAT_Codes!$D:$D,MATCH($N1157,VAT_Codes!$A:$A,0)),0))</f>
        <v>0</v>
      </c>
      <c r="W1157" s="26" t="n">
        <f aca="false">IF($U1157=0,0,IF(IFERROR(INDEX(VAT_Codes!$F:$F,MATCH($N1157,VAT_Codes!$A:$A,0)),"N")="Y",$U1157,IF($L1157&lt;&gt;"",ROUND(ABS($L1157)/IF(OR($R1157="",$R1157=0),1,$R1157),2)*SIGN($U1157),ROUND($U1157*$V1157,2))))</f>
        <v>0</v>
      </c>
      <c r="X1157" s="24" t="str">
        <f aca="false">IF($N1157="","",IFERROR(INDEX(VAT_Codes!$H:$H,MATCH($N1157,VAT_Codes!$A:$A,0)),"")&amp;"")</f>
        <v/>
      </c>
      <c r="Y1157" s="24" t="str">
        <f aca="false">IF($A1157="","",(YEAR($A1157)-YEAR(Settings!$C$8))*12+MONTH($A1157)-MONTH(Settings!$C$8)+1)</f>
        <v/>
      </c>
      <c r="Z1157" s="24" t="str">
        <f aca="false">IF(AND($C1157="",$I1157="",$J1157=""),"",IF($N1157="","NO VAT CODE",IF($T1157="","UNKNOWN VAT CODE",IF($S1157="","MISSING FX RATE",IF(OR($A1157&lt;Settings!$C$8,$A1157&gt;Settings!$C$9),"OUTSIDE PERIOD",IF(AND(IFERROR(INDEX(VAT_Codes!$E:$E,MATCH($N1157,VAT_Codes!$A:$A,0)),"ANY")&lt;&gt;"ANY",$P1157=""),"MISSING COUNTERPARTY COUNTRY",IF(AND(IFERROR(INDEX(VAT_Codes!$E:$E,MATCH($N1157,VAT_Codes!$A:$A,0)),"ANY")&lt;&gt;"ANY",$P1157&lt;&gt;IFERROR(INDEX(VAT_Codes!$E:$E,MATCH($N1157,VAT_Codes!$A:$A,0)),"ANY")),"REGION MISMATCH","OK")))))))</f>
        <v/>
      </c>
    </row>
    <row r="1158" customFormat="false" ht="15" hidden="false" customHeight="false" outlineLevel="0" collapsed="false">
      <c r="M1158" s="24" t="str">
        <f aca="false">IF($C1158="","",IFERROR(INDEX(Account_Mapping!$C:$C,MATCH($C1158&amp;"",Account_Mapping!$A:$A,0))&amp;"",""))</f>
        <v/>
      </c>
      <c r="N1158" s="24" t="str">
        <f aca="false">IF($K1158&lt;&gt;"",$K1158,$M1158)</f>
        <v/>
      </c>
      <c r="O1158" s="24" t="str">
        <f aca="false">IF($F1158="","",IFERROR(INDEX(Counterparties!$C:$C,MATCH($F1158&amp;"",Counterparties!$A:$A,0))&amp;"",""))</f>
        <v/>
      </c>
      <c r="P1158" s="24" t="str">
        <f aca="false">IF($O1158="","",IF($O1158="CY","CY",IF(ISNUMBER(MATCH($O1158,Lists!$A:$A,0)),"EU","3RD")))</f>
        <v/>
      </c>
      <c r="Q1158" s="24" t="str">
        <f aca="false">IF($F1158="","N",IFERROR(IF(INDEX(Counterparties!$E:$E,MATCH($F1158&amp;"",Counterparties!$A:$A,0))="Y","Y","N"),"N"))</f>
        <v>N</v>
      </c>
      <c r="R1158" s="25" t="n">
        <f aca="false">IF(OR($H1158="",$H1158="EUR"),1,IFERROR(INDEX(FX_Rates!$D:$D,MATCH($H1158,FX_Rates!$A:$A,0)),""))</f>
        <v>1</v>
      </c>
      <c r="S1158" s="26" t="str">
        <f aca="false">IF(AND($I1158="",$J1158=""),"",IF($J1158&lt;&gt;"",$J1158,IF(OR($R1158="",$R1158=0),"",ROUND($I1158/$R1158,2))))</f>
        <v/>
      </c>
      <c r="T1158" s="24" t="str">
        <f aca="false">IF($N1158="","",IFERROR(INDEX(VAT_Codes!$C:$C,MATCH($N1158,VAT_Codes!$A:$A,0)),"")&amp;"")</f>
        <v/>
      </c>
      <c r="U1158" s="26" t="n">
        <f aca="false">IF(OR($S1158="",$T1158="",$T1158="None"),0,IF($T1158="Output",-$S1158,$S1158))</f>
        <v>0</v>
      </c>
      <c r="V1158" s="27" t="n">
        <f aca="false">IF($N1158="",0,IFERROR(INDEX(VAT_Codes!$D:$D,MATCH($N1158,VAT_Codes!$A:$A,0)),0))</f>
        <v>0</v>
      </c>
      <c r="W1158" s="26" t="n">
        <f aca="false">IF($U1158=0,0,IF(IFERROR(INDEX(VAT_Codes!$F:$F,MATCH($N1158,VAT_Codes!$A:$A,0)),"N")="Y",$U1158,IF($L1158&lt;&gt;"",ROUND(ABS($L1158)/IF(OR($R1158="",$R1158=0),1,$R1158),2)*SIGN($U1158),ROUND($U1158*$V1158,2))))</f>
        <v>0</v>
      </c>
      <c r="X1158" s="24" t="str">
        <f aca="false">IF($N1158="","",IFERROR(INDEX(VAT_Codes!$H:$H,MATCH($N1158,VAT_Codes!$A:$A,0)),"")&amp;"")</f>
        <v/>
      </c>
      <c r="Y1158" s="24" t="str">
        <f aca="false">IF($A1158="","",(YEAR($A1158)-YEAR(Settings!$C$8))*12+MONTH($A1158)-MONTH(Settings!$C$8)+1)</f>
        <v/>
      </c>
      <c r="Z1158" s="24" t="str">
        <f aca="false">IF(AND($C1158="",$I1158="",$J1158=""),"",IF($N1158="","NO VAT CODE",IF($T1158="","UNKNOWN VAT CODE",IF($S1158="","MISSING FX RATE",IF(OR($A1158&lt;Settings!$C$8,$A1158&gt;Settings!$C$9),"OUTSIDE PERIOD",IF(AND(IFERROR(INDEX(VAT_Codes!$E:$E,MATCH($N1158,VAT_Codes!$A:$A,0)),"ANY")&lt;&gt;"ANY",$P1158=""),"MISSING COUNTERPARTY COUNTRY",IF(AND(IFERROR(INDEX(VAT_Codes!$E:$E,MATCH($N1158,VAT_Codes!$A:$A,0)),"ANY")&lt;&gt;"ANY",$P1158&lt;&gt;IFERROR(INDEX(VAT_Codes!$E:$E,MATCH($N1158,VAT_Codes!$A:$A,0)),"ANY")),"REGION MISMATCH","OK")))))))</f>
        <v/>
      </c>
    </row>
    <row r="1159" customFormat="false" ht="15" hidden="false" customHeight="false" outlineLevel="0" collapsed="false">
      <c r="M1159" s="24" t="str">
        <f aca="false">IF($C1159="","",IFERROR(INDEX(Account_Mapping!$C:$C,MATCH($C1159&amp;"",Account_Mapping!$A:$A,0))&amp;"",""))</f>
        <v/>
      </c>
      <c r="N1159" s="24" t="str">
        <f aca="false">IF($K1159&lt;&gt;"",$K1159,$M1159)</f>
        <v/>
      </c>
      <c r="O1159" s="24" t="str">
        <f aca="false">IF($F1159="","",IFERROR(INDEX(Counterparties!$C:$C,MATCH($F1159&amp;"",Counterparties!$A:$A,0))&amp;"",""))</f>
        <v/>
      </c>
      <c r="P1159" s="24" t="str">
        <f aca="false">IF($O1159="","",IF($O1159="CY","CY",IF(ISNUMBER(MATCH($O1159,Lists!$A:$A,0)),"EU","3RD")))</f>
        <v/>
      </c>
      <c r="Q1159" s="24" t="str">
        <f aca="false">IF($F1159="","N",IFERROR(IF(INDEX(Counterparties!$E:$E,MATCH($F1159&amp;"",Counterparties!$A:$A,0))="Y","Y","N"),"N"))</f>
        <v>N</v>
      </c>
      <c r="R1159" s="25" t="n">
        <f aca="false">IF(OR($H1159="",$H1159="EUR"),1,IFERROR(INDEX(FX_Rates!$D:$D,MATCH($H1159,FX_Rates!$A:$A,0)),""))</f>
        <v>1</v>
      </c>
      <c r="S1159" s="26" t="str">
        <f aca="false">IF(AND($I1159="",$J1159=""),"",IF($J1159&lt;&gt;"",$J1159,IF(OR($R1159="",$R1159=0),"",ROUND($I1159/$R1159,2))))</f>
        <v/>
      </c>
      <c r="T1159" s="24" t="str">
        <f aca="false">IF($N1159="","",IFERROR(INDEX(VAT_Codes!$C:$C,MATCH($N1159,VAT_Codes!$A:$A,0)),"")&amp;"")</f>
        <v/>
      </c>
      <c r="U1159" s="26" t="n">
        <f aca="false">IF(OR($S1159="",$T1159="",$T1159="None"),0,IF($T1159="Output",-$S1159,$S1159))</f>
        <v>0</v>
      </c>
      <c r="V1159" s="27" t="n">
        <f aca="false">IF($N1159="",0,IFERROR(INDEX(VAT_Codes!$D:$D,MATCH($N1159,VAT_Codes!$A:$A,0)),0))</f>
        <v>0</v>
      </c>
      <c r="W1159" s="26" t="n">
        <f aca="false">IF($U1159=0,0,IF(IFERROR(INDEX(VAT_Codes!$F:$F,MATCH($N1159,VAT_Codes!$A:$A,0)),"N")="Y",$U1159,IF($L1159&lt;&gt;"",ROUND(ABS($L1159)/IF(OR($R1159="",$R1159=0),1,$R1159),2)*SIGN($U1159),ROUND($U1159*$V1159,2))))</f>
        <v>0</v>
      </c>
      <c r="X1159" s="24" t="str">
        <f aca="false">IF($N1159="","",IFERROR(INDEX(VAT_Codes!$H:$H,MATCH($N1159,VAT_Codes!$A:$A,0)),"")&amp;"")</f>
        <v/>
      </c>
      <c r="Y1159" s="24" t="str">
        <f aca="false">IF($A1159="","",(YEAR($A1159)-YEAR(Settings!$C$8))*12+MONTH($A1159)-MONTH(Settings!$C$8)+1)</f>
        <v/>
      </c>
      <c r="Z1159" s="24" t="str">
        <f aca="false">IF(AND($C1159="",$I1159="",$J1159=""),"",IF($N1159="","NO VAT CODE",IF($T1159="","UNKNOWN VAT CODE",IF($S1159="","MISSING FX RATE",IF(OR($A1159&lt;Settings!$C$8,$A1159&gt;Settings!$C$9),"OUTSIDE PERIOD",IF(AND(IFERROR(INDEX(VAT_Codes!$E:$E,MATCH($N1159,VAT_Codes!$A:$A,0)),"ANY")&lt;&gt;"ANY",$P1159=""),"MISSING COUNTERPARTY COUNTRY",IF(AND(IFERROR(INDEX(VAT_Codes!$E:$E,MATCH($N1159,VAT_Codes!$A:$A,0)),"ANY")&lt;&gt;"ANY",$P1159&lt;&gt;IFERROR(INDEX(VAT_Codes!$E:$E,MATCH($N1159,VAT_Codes!$A:$A,0)),"ANY")),"REGION MISMATCH","OK")))))))</f>
        <v/>
      </c>
    </row>
    <row r="1160" customFormat="false" ht="15" hidden="false" customHeight="false" outlineLevel="0" collapsed="false">
      <c r="M1160" s="24" t="str">
        <f aca="false">IF($C1160="","",IFERROR(INDEX(Account_Mapping!$C:$C,MATCH($C1160&amp;"",Account_Mapping!$A:$A,0))&amp;"",""))</f>
        <v/>
      </c>
      <c r="N1160" s="24" t="str">
        <f aca="false">IF($K1160&lt;&gt;"",$K1160,$M1160)</f>
        <v/>
      </c>
      <c r="O1160" s="24" t="str">
        <f aca="false">IF($F1160="","",IFERROR(INDEX(Counterparties!$C:$C,MATCH($F1160&amp;"",Counterparties!$A:$A,0))&amp;"",""))</f>
        <v/>
      </c>
      <c r="P1160" s="24" t="str">
        <f aca="false">IF($O1160="","",IF($O1160="CY","CY",IF(ISNUMBER(MATCH($O1160,Lists!$A:$A,0)),"EU","3RD")))</f>
        <v/>
      </c>
      <c r="Q1160" s="24" t="str">
        <f aca="false">IF($F1160="","N",IFERROR(IF(INDEX(Counterparties!$E:$E,MATCH($F1160&amp;"",Counterparties!$A:$A,0))="Y","Y","N"),"N"))</f>
        <v>N</v>
      </c>
      <c r="R1160" s="25" t="n">
        <f aca="false">IF(OR($H1160="",$H1160="EUR"),1,IFERROR(INDEX(FX_Rates!$D:$D,MATCH($H1160,FX_Rates!$A:$A,0)),""))</f>
        <v>1</v>
      </c>
      <c r="S1160" s="26" t="str">
        <f aca="false">IF(AND($I1160="",$J1160=""),"",IF($J1160&lt;&gt;"",$J1160,IF(OR($R1160="",$R1160=0),"",ROUND($I1160/$R1160,2))))</f>
        <v/>
      </c>
      <c r="T1160" s="24" t="str">
        <f aca="false">IF($N1160="","",IFERROR(INDEX(VAT_Codes!$C:$C,MATCH($N1160,VAT_Codes!$A:$A,0)),"")&amp;"")</f>
        <v/>
      </c>
      <c r="U1160" s="26" t="n">
        <f aca="false">IF(OR($S1160="",$T1160="",$T1160="None"),0,IF($T1160="Output",-$S1160,$S1160))</f>
        <v>0</v>
      </c>
      <c r="V1160" s="27" t="n">
        <f aca="false">IF($N1160="",0,IFERROR(INDEX(VAT_Codes!$D:$D,MATCH($N1160,VAT_Codes!$A:$A,0)),0))</f>
        <v>0</v>
      </c>
      <c r="W1160" s="26" t="n">
        <f aca="false">IF($U1160=0,0,IF(IFERROR(INDEX(VAT_Codes!$F:$F,MATCH($N1160,VAT_Codes!$A:$A,0)),"N")="Y",$U1160,IF($L1160&lt;&gt;"",ROUND(ABS($L1160)/IF(OR($R1160="",$R1160=0),1,$R1160),2)*SIGN($U1160),ROUND($U1160*$V1160,2))))</f>
        <v>0</v>
      </c>
      <c r="X1160" s="24" t="str">
        <f aca="false">IF($N1160="","",IFERROR(INDEX(VAT_Codes!$H:$H,MATCH($N1160,VAT_Codes!$A:$A,0)),"")&amp;"")</f>
        <v/>
      </c>
      <c r="Y1160" s="24" t="str">
        <f aca="false">IF($A1160="","",(YEAR($A1160)-YEAR(Settings!$C$8))*12+MONTH($A1160)-MONTH(Settings!$C$8)+1)</f>
        <v/>
      </c>
      <c r="Z1160" s="24" t="str">
        <f aca="false">IF(AND($C1160="",$I1160="",$J1160=""),"",IF($N1160="","NO VAT CODE",IF($T1160="","UNKNOWN VAT CODE",IF($S1160="","MISSING FX RATE",IF(OR($A1160&lt;Settings!$C$8,$A1160&gt;Settings!$C$9),"OUTSIDE PERIOD",IF(AND(IFERROR(INDEX(VAT_Codes!$E:$E,MATCH($N1160,VAT_Codes!$A:$A,0)),"ANY")&lt;&gt;"ANY",$P1160=""),"MISSING COUNTERPARTY COUNTRY",IF(AND(IFERROR(INDEX(VAT_Codes!$E:$E,MATCH($N1160,VAT_Codes!$A:$A,0)),"ANY")&lt;&gt;"ANY",$P1160&lt;&gt;IFERROR(INDEX(VAT_Codes!$E:$E,MATCH($N1160,VAT_Codes!$A:$A,0)),"ANY")),"REGION MISMATCH","OK")))))))</f>
        <v/>
      </c>
    </row>
    <row r="1161" customFormat="false" ht="15" hidden="false" customHeight="false" outlineLevel="0" collapsed="false">
      <c r="M1161" s="24" t="str">
        <f aca="false">IF($C1161="","",IFERROR(INDEX(Account_Mapping!$C:$C,MATCH($C1161&amp;"",Account_Mapping!$A:$A,0))&amp;"",""))</f>
        <v/>
      </c>
      <c r="N1161" s="24" t="str">
        <f aca="false">IF($K1161&lt;&gt;"",$K1161,$M1161)</f>
        <v/>
      </c>
      <c r="O1161" s="24" t="str">
        <f aca="false">IF($F1161="","",IFERROR(INDEX(Counterparties!$C:$C,MATCH($F1161&amp;"",Counterparties!$A:$A,0))&amp;"",""))</f>
        <v/>
      </c>
      <c r="P1161" s="24" t="str">
        <f aca="false">IF($O1161="","",IF($O1161="CY","CY",IF(ISNUMBER(MATCH($O1161,Lists!$A:$A,0)),"EU","3RD")))</f>
        <v/>
      </c>
      <c r="Q1161" s="24" t="str">
        <f aca="false">IF($F1161="","N",IFERROR(IF(INDEX(Counterparties!$E:$E,MATCH($F1161&amp;"",Counterparties!$A:$A,0))="Y","Y","N"),"N"))</f>
        <v>N</v>
      </c>
      <c r="R1161" s="25" t="n">
        <f aca="false">IF(OR($H1161="",$H1161="EUR"),1,IFERROR(INDEX(FX_Rates!$D:$D,MATCH($H1161,FX_Rates!$A:$A,0)),""))</f>
        <v>1</v>
      </c>
      <c r="S1161" s="26" t="str">
        <f aca="false">IF(AND($I1161="",$J1161=""),"",IF($J1161&lt;&gt;"",$J1161,IF(OR($R1161="",$R1161=0),"",ROUND($I1161/$R1161,2))))</f>
        <v/>
      </c>
      <c r="T1161" s="24" t="str">
        <f aca="false">IF($N1161="","",IFERROR(INDEX(VAT_Codes!$C:$C,MATCH($N1161,VAT_Codes!$A:$A,0)),"")&amp;"")</f>
        <v/>
      </c>
      <c r="U1161" s="26" t="n">
        <f aca="false">IF(OR($S1161="",$T1161="",$T1161="None"),0,IF($T1161="Output",-$S1161,$S1161))</f>
        <v>0</v>
      </c>
      <c r="V1161" s="27" t="n">
        <f aca="false">IF($N1161="",0,IFERROR(INDEX(VAT_Codes!$D:$D,MATCH($N1161,VAT_Codes!$A:$A,0)),0))</f>
        <v>0</v>
      </c>
      <c r="W1161" s="26" t="n">
        <f aca="false">IF($U1161=0,0,IF(IFERROR(INDEX(VAT_Codes!$F:$F,MATCH($N1161,VAT_Codes!$A:$A,0)),"N")="Y",$U1161,IF($L1161&lt;&gt;"",ROUND(ABS($L1161)/IF(OR($R1161="",$R1161=0),1,$R1161),2)*SIGN($U1161),ROUND($U1161*$V1161,2))))</f>
        <v>0</v>
      </c>
      <c r="X1161" s="24" t="str">
        <f aca="false">IF($N1161="","",IFERROR(INDEX(VAT_Codes!$H:$H,MATCH($N1161,VAT_Codes!$A:$A,0)),"")&amp;"")</f>
        <v/>
      </c>
      <c r="Y1161" s="24" t="str">
        <f aca="false">IF($A1161="","",(YEAR($A1161)-YEAR(Settings!$C$8))*12+MONTH($A1161)-MONTH(Settings!$C$8)+1)</f>
        <v/>
      </c>
      <c r="Z1161" s="24" t="str">
        <f aca="false">IF(AND($C1161="",$I1161="",$J1161=""),"",IF($N1161="","NO VAT CODE",IF($T1161="","UNKNOWN VAT CODE",IF($S1161="","MISSING FX RATE",IF(OR($A1161&lt;Settings!$C$8,$A1161&gt;Settings!$C$9),"OUTSIDE PERIOD",IF(AND(IFERROR(INDEX(VAT_Codes!$E:$E,MATCH($N1161,VAT_Codes!$A:$A,0)),"ANY")&lt;&gt;"ANY",$P1161=""),"MISSING COUNTERPARTY COUNTRY",IF(AND(IFERROR(INDEX(VAT_Codes!$E:$E,MATCH($N1161,VAT_Codes!$A:$A,0)),"ANY")&lt;&gt;"ANY",$P1161&lt;&gt;IFERROR(INDEX(VAT_Codes!$E:$E,MATCH($N1161,VAT_Codes!$A:$A,0)),"ANY")),"REGION MISMATCH","OK")))))))</f>
        <v/>
      </c>
    </row>
    <row r="1162" customFormat="false" ht="15" hidden="false" customHeight="false" outlineLevel="0" collapsed="false">
      <c r="M1162" s="24" t="str">
        <f aca="false">IF($C1162="","",IFERROR(INDEX(Account_Mapping!$C:$C,MATCH($C1162&amp;"",Account_Mapping!$A:$A,0))&amp;"",""))</f>
        <v/>
      </c>
      <c r="N1162" s="24" t="str">
        <f aca="false">IF($K1162&lt;&gt;"",$K1162,$M1162)</f>
        <v/>
      </c>
      <c r="O1162" s="24" t="str">
        <f aca="false">IF($F1162="","",IFERROR(INDEX(Counterparties!$C:$C,MATCH($F1162&amp;"",Counterparties!$A:$A,0))&amp;"",""))</f>
        <v/>
      </c>
      <c r="P1162" s="24" t="str">
        <f aca="false">IF($O1162="","",IF($O1162="CY","CY",IF(ISNUMBER(MATCH($O1162,Lists!$A:$A,0)),"EU","3RD")))</f>
        <v/>
      </c>
      <c r="Q1162" s="24" t="str">
        <f aca="false">IF($F1162="","N",IFERROR(IF(INDEX(Counterparties!$E:$E,MATCH($F1162&amp;"",Counterparties!$A:$A,0))="Y","Y","N"),"N"))</f>
        <v>N</v>
      </c>
      <c r="R1162" s="25" t="n">
        <f aca="false">IF(OR($H1162="",$H1162="EUR"),1,IFERROR(INDEX(FX_Rates!$D:$D,MATCH($H1162,FX_Rates!$A:$A,0)),""))</f>
        <v>1</v>
      </c>
      <c r="S1162" s="26" t="str">
        <f aca="false">IF(AND($I1162="",$J1162=""),"",IF($J1162&lt;&gt;"",$J1162,IF(OR($R1162="",$R1162=0),"",ROUND($I1162/$R1162,2))))</f>
        <v/>
      </c>
      <c r="T1162" s="24" t="str">
        <f aca="false">IF($N1162="","",IFERROR(INDEX(VAT_Codes!$C:$C,MATCH($N1162,VAT_Codes!$A:$A,0)),"")&amp;"")</f>
        <v/>
      </c>
      <c r="U1162" s="26" t="n">
        <f aca="false">IF(OR($S1162="",$T1162="",$T1162="None"),0,IF($T1162="Output",-$S1162,$S1162))</f>
        <v>0</v>
      </c>
      <c r="V1162" s="27" t="n">
        <f aca="false">IF($N1162="",0,IFERROR(INDEX(VAT_Codes!$D:$D,MATCH($N1162,VAT_Codes!$A:$A,0)),0))</f>
        <v>0</v>
      </c>
      <c r="W1162" s="26" t="n">
        <f aca="false">IF($U1162=0,0,IF(IFERROR(INDEX(VAT_Codes!$F:$F,MATCH($N1162,VAT_Codes!$A:$A,0)),"N")="Y",$U1162,IF($L1162&lt;&gt;"",ROUND(ABS($L1162)/IF(OR($R1162="",$R1162=0),1,$R1162),2)*SIGN($U1162),ROUND($U1162*$V1162,2))))</f>
        <v>0</v>
      </c>
      <c r="X1162" s="24" t="str">
        <f aca="false">IF($N1162="","",IFERROR(INDEX(VAT_Codes!$H:$H,MATCH($N1162,VAT_Codes!$A:$A,0)),"")&amp;"")</f>
        <v/>
      </c>
      <c r="Y1162" s="24" t="str">
        <f aca="false">IF($A1162="","",(YEAR($A1162)-YEAR(Settings!$C$8))*12+MONTH($A1162)-MONTH(Settings!$C$8)+1)</f>
        <v/>
      </c>
      <c r="Z1162" s="24" t="str">
        <f aca="false">IF(AND($C1162="",$I1162="",$J1162=""),"",IF($N1162="","NO VAT CODE",IF($T1162="","UNKNOWN VAT CODE",IF($S1162="","MISSING FX RATE",IF(OR($A1162&lt;Settings!$C$8,$A1162&gt;Settings!$C$9),"OUTSIDE PERIOD",IF(AND(IFERROR(INDEX(VAT_Codes!$E:$E,MATCH($N1162,VAT_Codes!$A:$A,0)),"ANY")&lt;&gt;"ANY",$P1162=""),"MISSING COUNTERPARTY COUNTRY",IF(AND(IFERROR(INDEX(VAT_Codes!$E:$E,MATCH($N1162,VAT_Codes!$A:$A,0)),"ANY")&lt;&gt;"ANY",$P1162&lt;&gt;IFERROR(INDEX(VAT_Codes!$E:$E,MATCH($N1162,VAT_Codes!$A:$A,0)),"ANY")),"REGION MISMATCH","OK")))))))</f>
        <v/>
      </c>
    </row>
    <row r="1163" customFormat="false" ht="15" hidden="false" customHeight="false" outlineLevel="0" collapsed="false">
      <c r="M1163" s="24" t="str">
        <f aca="false">IF($C1163="","",IFERROR(INDEX(Account_Mapping!$C:$C,MATCH($C1163&amp;"",Account_Mapping!$A:$A,0))&amp;"",""))</f>
        <v/>
      </c>
      <c r="N1163" s="24" t="str">
        <f aca="false">IF($K1163&lt;&gt;"",$K1163,$M1163)</f>
        <v/>
      </c>
      <c r="O1163" s="24" t="str">
        <f aca="false">IF($F1163="","",IFERROR(INDEX(Counterparties!$C:$C,MATCH($F1163&amp;"",Counterparties!$A:$A,0))&amp;"",""))</f>
        <v/>
      </c>
      <c r="P1163" s="24" t="str">
        <f aca="false">IF($O1163="","",IF($O1163="CY","CY",IF(ISNUMBER(MATCH($O1163,Lists!$A:$A,0)),"EU","3RD")))</f>
        <v/>
      </c>
      <c r="Q1163" s="24" t="str">
        <f aca="false">IF($F1163="","N",IFERROR(IF(INDEX(Counterparties!$E:$E,MATCH($F1163&amp;"",Counterparties!$A:$A,0))="Y","Y","N"),"N"))</f>
        <v>N</v>
      </c>
      <c r="R1163" s="25" t="n">
        <f aca="false">IF(OR($H1163="",$H1163="EUR"),1,IFERROR(INDEX(FX_Rates!$D:$D,MATCH($H1163,FX_Rates!$A:$A,0)),""))</f>
        <v>1</v>
      </c>
      <c r="S1163" s="26" t="str">
        <f aca="false">IF(AND($I1163="",$J1163=""),"",IF($J1163&lt;&gt;"",$J1163,IF(OR($R1163="",$R1163=0),"",ROUND($I1163/$R1163,2))))</f>
        <v/>
      </c>
      <c r="T1163" s="24" t="str">
        <f aca="false">IF($N1163="","",IFERROR(INDEX(VAT_Codes!$C:$C,MATCH($N1163,VAT_Codes!$A:$A,0)),"")&amp;"")</f>
        <v/>
      </c>
      <c r="U1163" s="26" t="n">
        <f aca="false">IF(OR($S1163="",$T1163="",$T1163="None"),0,IF($T1163="Output",-$S1163,$S1163))</f>
        <v>0</v>
      </c>
      <c r="V1163" s="27" t="n">
        <f aca="false">IF($N1163="",0,IFERROR(INDEX(VAT_Codes!$D:$D,MATCH($N1163,VAT_Codes!$A:$A,0)),0))</f>
        <v>0</v>
      </c>
      <c r="W1163" s="26" t="n">
        <f aca="false">IF($U1163=0,0,IF(IFERROR(INDEX(VAT_Codes!$F:$F,MATCH($N1163,VAT_Codes!$A:$A,0)),"N")="Y",$U1163,IF($L1163&lt;&gt;"",ROUND(ABS($L1163)/IF(OR($R1163="",$R1163=0),1,$R1163),2)*SIGN($U1163),ROUND($U1163*$V1163,2))))</f>
        <v>0</v>
      </c>
      <c r="X1163" s="24" t="str">
        <f aca="false">IF($N1163="","",IFERROR(INDEX(VAT_Codes!$H:$H,MATCH($N1163,VAT_Codes!$A:$A,0)),"")&amp;"")</f>
        <v/>
      </c>
      <c r="Y1163" s="24" t="str">
        <f aca="false">IF($A1163="","",(YEAR($A1163)-YEAR(Settings!$C$8))*12+MONTH($A1163)-MONTH(Settings!$C$8)+1)</f>
        <v/>
      </c>
      <c r="Z1163" s="24" t="str">
        <f aca="false">IF(AND($C1163="",$I1163="",$J1163=""),"",IF($N1163="","NO VAT CODE",IF($T1163="","UNKNOWN VAT CODE",IF($S1163="","MISSING FX RATE",IF(OR($A1163&lt;Settings!$C$8,$A1163&gt;Settings!$C$9),"OUTSIDE PERIOD",IF(AND(IFERROR(INDEX(VAT_Codes!$E:$E,MATCH($N1163,VAT_Codes!$A:$A,0)),"ANY")&lt;&gt;"ANY",$P1163=""),"MISSING COUNTERPARTY COUNTRY",IF(AND(IFERROR(INDEX(VAT_Codes!$E:$E,MATCH($N1163,VAT_Codes!$A:$A,0)),"ANY")&lt;&gt;"ANY",$P1163&lt;&gt;IFERROR(INDEX(VAT_Codes!$E:$E,MATCH($N1163,VAT_Codes!$A:$A,0)),"ANY")),"REGION MISMATCH","OK")))))))</f>
        <v/>
      </c>
    </row>
    <row r="1164" customFormat="false" ht="15" hidden="false" customHeight="false" outlineLevel="0" collapsed="false">
      <c r="M1164" s="24" t="str">
        <f aca="false">IF($C1164="","",IFERROR(INDEX(Account_Mapping!$C:$C,MATCH($C1164&amp;"",Account_Mapping!$A:$A,0))&amp;"",""))</f>
        <v/>
      </c>
      <c r="N1164" s="24" t="str">
        <f aca="false">IF($K1164&lt;&gt;"",$K1164,$M1164)</f>
        <v/>
      </c>
      <c r="O1164" s="24" t="str">
        <f aca="false">IF($F1164="","",IFERROR(INDEX(Counterparties!$C:$C,MATCH($F1164&amp;"",Counterparties!$A:$A,0))&amp;"",""))</f>
        <v/>
      </c>
      <c r="P1164" s="24" t="str">
        <f aca="false">IF($O1164="","",IF($O1164="CY","CY",IF(ISNUMBER(MATCH($O1164,Lists!$A:$A,0)),"EU","3RD")))</f>
        <v/>
      </c>
      <c r="Q1164" s="24" t="str">
        <f aca="false">IF($F1164="","N",IFERROR(IF(INDEX(Counterparties!$E:$E,MATCH($F1164&amp;"",Counterparties!$A:$A,0))="Y","Y","N"),"N"))</f>
        <v>N</v>
      </c>
      <c r="R1164" s="25" t="n">
        <f aca="false">IF(OR($H1164="",$H1164="EUR"),1,IFERROR(INDEX(FX_Rates!$D:$D,MATCH($H1164,FX_Rates!$A:$A,0)),""))</f>
        <v>1</v>
      </c>
      <c r="S1164" s="26" t="str">
        <f aca="false">IF(AND($I1164="",$J1164=""),"",IF($J1164&lt;&gt;"",$J1164,IF(OR($R1164="",$R1164=0),"",ROUND($I1164/$R1164,2))))</f>
        <v/>
      </c>
      <c r="T1164" s="24" t="str">
        <f aca="false">IF($N1164="","",IFERROR(INDEX(VAT_Codes!$C:$C,MATCH($N1164,VAT_Codes!$A:$A,0)),"")&amp;"")</f>
        <v/>
      </c>
      <c r="U1164" s="26" t="n">
        <f aca="false">IF(OR($S1164="",$T1164="",$T1164="None"),0,IF($T1164="Output",-$S1164,$S1164))</f>
        <v>0</v>
      </c>
      <c r="V1164" s="27" t="n">
        <f aca="false">IF($N1164="",0,IFERROR(INDEX(VAT_Codes!$D:$D,MATCH($N1164,VAT_Codes!$A:$A,0)),0))</f>
        <v>0</v>
      </c>
      <c r="W1164" s="26" t="n">
        <f aca="false">IF($U1164=0,0,IF(IFERROR(INDEX(VAT_Codes!$F:$F,MATCH($N1164,VAT_Codes!$A:$A,0)),"N")="Y",$U1164,IF($L1164&lt;&gt;"",ROUND(ABS($L1164)/IF(OR($R1164="",$R1164=0),1,$R1164),2)*SIGN($U1164),ROUND($U1164*$V1164,2))))</f>
        <v>0</v>
      </c>
      <c r="X1164" s="24" t="str">
        <f aca="false">IF($N1164="","",IFERROR(INDEX(VAT_Codes!$H:$H,MATCH($N1164,VAT_Codes!$A:$A,0)),"")&amp;"")</f>
        <v/>
      </c>
      <c r="Y1164" s="24" t="str">
        <f aca="false">IF($A1164="","",(YEAR($A1164)-YEAR(Settings!$C$8))*12+MONTH($A1164)-MONTH(Settings!$C$8)+1)</f>
        <v/>
      </c>
      <c r="Z1164" s="24" t="str">
        <f aca="false">IF(AND($C1164="",$I1164="",$J1164=""),"",IF($N1164="","NO VAT CODE",IF($T1164="","UNKNOWN VAT CODE",IF($S1164="","MISSING FX RATE",IF(OR($A1164&lt;Settings!$C$8,$A1164&gt;Settings!$C$9),"OUTSIDE PERIOD",IF(AND(IFERROR(INDEX(VAT_Codes!$E:$E,MATCH($N1164,VAT_Codes!$A:$A,0)),"ANY")&lt;&gt;"ANY",$P1164=""),"MISSING COUNTERPARTY COUNTRY",IF(AND(IFERROR(INDEX(VAT_Codes!$E:$E,MATCH($N1164,VAT_Codes!$A:$A,0)),"ANY")&lt;&gt;"ANY",$P1164&lt;&gt;IFERROR(INDEX(VAT_Codes!$E:$E,MATCH($N1164,VAT_Codes!$A:$A,0)),"ANY")),"REGION MISMATCH","OK")))))))</f>
        <v/>
      </c>
    </row>
    <row r="1165" customFormat="false" ht="15" hidden="false" customHeight="false" outlineLevel="0" collapsed="false">
      <c r="M1165" s="24" t="str">
        <f aca="false">IF($C1165="","",IFERROR(INDEX(Account_Mapping!$C:$C,MATCH($C1165&amp;"",Account_Mapping!$A:$A,0))&amp;"",""))</f>
        <v/>
      </c>
      <c r="N1165" s="24" t="str">
        <f aca="false">IF($K1165&lt;&gt;"",$K1165,$M1165)</f>
        <v/>
      </c>
      <c r="O1165" s="24" t="str">
        <f aca="false">IF($F1165="","",IFERROR(INDEX(Counterparties!$C:$C,MATCH($F1165&amp;"",Counterparties!$A:$A,0))&amp;"",""))</f>
        <v/>
      </c>
      <c r="P1165" s="24" t="str">
        <f aca="false">IF($O1165="","",IF($O1165="CY","CY",IF(ISNUMBER(MATCH($O1165,Lists!$A:$A,0)),"EU","3RD")))</f>
        <v/>
      </c>
      <c r="Q1165" s="24" t="str">
        <f aca="false">IF($F1165="","N",IFERROR(IF(INDEX(Counterparties!$E:$E,MATCH($F1165&amp;"",Counterparties!$A:$A,0))="Y","Y","N"),"N"))</f>
        <v>N</v>
      </c>
      <c r="R1165" s="25" t="n">
        <f aca="false">IF(OR($H1165="",$H1165="EUR"),1,IFERROR(INDEX(FX_Rates!$D:$D,MATCH($H1165,FX_Rates!$A:$A,0)),""))</f>
        <v>1</v>
      </c>
      <c r="S1165" s="26" t="str">
        <f aca="false">IF(AND($I1165="",$J1165=""),"",IF($J1165&lt;&gt;"",$J1165,IF(OR($R1165="",$R1165=0),"",ROUND($I1165/$R1165,2))))</f>
        <v/>
      </c>
      <c r="T1165" s="24" t="str">
        <f aca="false">IF($N1165="","",IFERROR(INDEX(VAT_Codes!$C:$C,MATCH($N1165,VAT_Codes!$A:$A,0)),"")&amp;"")</f>
        <v/>
      </c>
      <c r="U1165" s="26" t="n">
        <f aca="false">IF(OR($S1165="",$T1165="",$T1165="None"),0,IF($T1165="Output",-$S1165,$S1165))</f>
        <v>0</v>
      </c>
      <c r="V1165" s="27" t="n">
        <f aca="false">IF($N1165="",0,IFERROR(INDEX(VAT_Codes!$D:$D,MATCH($N1165,VAT_Codes!$A:$A,0)),0))</f>
        <v>0</v>
      </c>
      <c r="W1165" s="26" t="n">
        <f aca="false">IF($U1165=0,0,IF(IFERROR(INDEX(VAT_Codes!$F:$F,MATCH($N1165,VAT_Codes!$A:$A,0)),"N")="Y",$U1165,IF($L1165&lt;&gt;"",ROUND(ABS($L1165)/IF(OR($R1165="",$R1165=0),1,$R1165),2)*SIGN($U1165),ROUND($U1165*$V1165,2))))</f>
        <v>0</v>
      </c>
      <c r="X1165" s="24" t="str">
        <f aca="false">IF($N1165="","",IFERROR(INDEX(VAT_Codes!$H:$H,MATCH($N1165,VAT_Codes!$A:$A,0)),"")&amp;"")</f>
        <v/>
      </c>
      <c r="Y1165" s="24" t="str">
        <f aca="false">IF($A1165="","",(YEAR($A1165)-YEAR(Settings!$C$8))*12+MONTH($A1165)-MONTH(Settings!$C$8)+1)</f>
        <v/>
      </c>
      <c r="Z1165" s="24" t="str">
        <f aca="false">IF(AND($C1165="",$I1165="",$J1165=""),"",IF($N1165="","NO VAT CODE",IF($T1165="","UNKNOWN VAT CODE",IF($S1165="","MISSING FX RATE",IF(OR($A1165&lt;Settings!$C$8,$A1165&gt;Settings!$C$9),"OUTSIDE PERIOD",IF(AND(IFERROR(INDEX(VAT_Codes!$E:$E,MATCH($N1165,VAT_Codes!$A:$A,0)),"ANY")&lt;&gt;"ANY",$P1165=""),"MISSING COUNTERPARTY COUNTRY",IF(AND(IFERROR(INDEX(VAT_Codes!$E:$E,MATCH($N1165,VAT_Codes!$A:$A,0)),"ANY")&lt;&gt;"ANY",$P1165&lt;&gt;IFERROR(INDEX(VAT_Codes!$E:$E,MATCH($N1165,VAT_Codes!$A:$A,0)),"ANY")),"REGION MISMATCH","OK")))))))</f>
        <v/>
      </c>
    </row>
    <row r="1166" customFormat="false" ht="15" hidden="false" customHeight="false" outlineLevel="0" collapsed="false">
      <c r="M1166" s="24" t="str">
        <f aca="false">IF($C1166="","",IFERROR(INDEX(Account_Mapping!$C:$C,MATCH($C1166&amp;"",Account_Mapping!$A:$A,0))&amp;"",""))</f>
        <v/>
      </c>
      <c r="N1166" s="24" t="str">
        <f aca="false">IF($K1166&lt;&gt;"",$K1166,$M1166)</f>
        <v/>
      </c>
      <c r="O1166" s="24" t="str">
        <f aca="false">IF($F1166="","",IFERROR(INDEX(Counterparties!$C:$C,MATCH($F1166&amp;"",Counterparties!$A:$A,0))&amp;"",""))</f>
        <v/>
      </c>
      <c r="P1166" s="24" t="str">
        <f aca="false">IF($O1166="","",IF($O1166="CY","CY",IF(ISNUMBER(MATCH($O1166,Lists!$A:$A,0)),"EU","3RD")))</f>
        <v/>
      </c>
      <c r="Q1166" s="24" t="str">
        <f aca="false">IF($F1166="","N",IFERROR(IF(INDEX(Counterparties!$E:$E,MATCH($F1166&amp;"",Counterparties!$A:$A,0))="Y","Y","N"),"N"))</f>
        <v>N</v>
      </c>
      <c r="R1166" s="25" t="n">
        <f aca="false">IF(OR($H1166="",$H1166="EUR"),1,IFERROR(INDEX(FX_Rates!$D:$D,MATCH($H1166,FX_Rates!$A:$A,0)),""))</f>
        <v>1</v>
      </c>
      <c r="S1166" s="26" t="str">
        <f aca="false">IF(AND($I1166="",$J1166=""),"",IF($J1166&lt;&gt;"",$J1166,IF(OR($R1166="",$R1166=0),"",ROUND($I1166/$R1166,2))))</f>
        <v/>
      </c>
      <c r="T1166" s="24" t="str">
        <f aca="false">IF($N1166="","",IFERROR(INDEX(VAT_Codes!$C:$C,MATCH($N1166,VAT_Codes!$A:$A,0)),"")&amp;"")</f>
        <v/>
      </c>
      <c r="U1166" s="26" t="n">
        <f aca="false">IF(OR($S1166="",$T1166="",$T1166="None"),0,IF($T1166="Output",-$S1166,$S1166))</f>
        <v>0</v>
      </c>
      <c r="V1166" s="27" t="n">
        <f aca="false">IF($N1166="",0,IFERROR(INDEX(VAT_Codes!$D:$D,MATCH($N1166,VAT_Codes!$A:$A,0)),0))</f>
        <v>0</v>
      </c>
      <c r="W1166" s="26" t="n">
        <f aca="false">IF($U1166=0,0,IF(IFERROR(INDEX(VAT_Codes!$F:$F,MATCH($N1166,VAT_Codes!$A:$A,0)),"N")="Y",$U1166,IF($L1166&lt;&gt;"",ROUND(ABS($L1166)/IF(OR($R1166="",$R1166=0),1,$R1166),2)*SIGN($U1166),ROUND($U1166*$V1166,2))))</f>
        <v>0</v>
      </c>
      <c r="X1166" s="24" t="str">
        <f aca="false">IF($N1166="","",IFERROR(INDEX(VAT_Codes!$H:$H,MATCH($N1166,VAT_Codes!$A:$A,0)),"")&amp;"")</f>
        <v/>
      </c>
      <c r="Y1166" s="24" t="str">
        <f aca="false">IF($A1166="","",(YEAR($A1166)-YEAR(Settings!$C$8))*12+MONTH($A1166)-MONTH(Settings!$C$8)+1)</f>
        <v/>
      </c>
      <c r="Z1166" s="24" t="str">
        <f aca="false">IF(AND($C1166="",$I1166="",$J1166=""),"",IF($N1166="","NO VAT CODE",IF($T1166="","UNKNOWN VAT CODE",IF($S1166="","MISSING FX RATE",IF(OR($A1166&lt;Settings!$C$8,$A1166&gt;Settings!$C$9),"OUTSIDE PERIOD",IF(AND(IFERROR(INDEX(VAT_Codes!$E:$E,MATCH($N1166,VAT_Codes!$A:$A,0)),"ANY")&lt;&gt;"ANY",$P1166=""),"MISSING COUNTERPARTY COUNTRY",IF(AND(IFERROR(INDEX(VAT_Codes!$E:$E,MATCH($N1166,VAT_Codes!$A:$A,0)),"ANY")&lt;&gt;"ANY",$P1166&lt;&gt;IFERROR(INDEX(VAT_Codes!$E:$E,MATCH($N1166,VAT_Codes!$A:$A,0)),"ANY")),"REGION MISMATCH","OK")))))))</f>
        <v/>
      </c>
    </row>
    <row r="1167" customFormat="false" ht="15" hidden="false" customHeight="false" outlineLevel="0" collapsed="false">
      <c r="M1167" s="24" t="str">
        <f aca="false">IF($C1167="","",IFERROR(INDEX(Account_Mapping!$C:$C,MATCH($C1167&amp;"",Account_Mapping!$A:$A,0))&amp;"",""))</f>
        <v/>
      </c>
      <c r="N1167" s="24" t="str">
        <f aca="false">IF($K1167&lt;&gt;"",$K1167,$M1167)</f>
        <v/>
      </c>
      <c r="O1167" s="24" t="str">
        <f aca="false">IF($F1167="","",IFERROR(INDEX(Counterparties!$C:$C,MATCH($F1167&amp;"",Counterparties!$A:$A,0))&amp;"",""))</f>
        <v/>
      </c>
      <c r="P1167" s="24" t="str">
        <f aca="false">IF($O1167="","",IF($O1167="CY","CY",IF(ISNUMBER(MATCH($O1167,Lists!$A:$A,0)),"EU","3RD")))</f>
        <v/>
      </c>
      <c r="Q1167" s="24" t="str">
        <f aca="false">IF($F1167="","N",IFERROR(IF(INDEX(Counterparties!$E:$E,MATCH($F1167&amp;"",Counterparties!$A:$A,0))="Y","Y","N"),"N"))</f>
        <v>N</v>
      </c>
      <c r="R1167" s="25" t="n">
        <f aca="false">IF(OR($H1167="",$H1167="EUR"),1,IFERROR(INDEX(FX_Rates!$D:$D,MATCH($H1167,FX_Rates!$A:$A,0)),""))</f>
        <v>1</v>
      </c>
      <c r="S1167" s="26" t="str">
        <f aca="false">IF(AND($I1167="",$J1167=""),"",IF($J1167&lt;&gt;"",$J1167,IF(OR($R1167="",$R1167=0),"",ROUND($I1167/$R1167,2))))</f>
        <v/>
      </c>
      <c r="T1167" s="24" t="str">
        <f aca="false">IF($N1167="","",IFERROR(INDEX(VAT_Codes!$C:$C,MATCH($N1167,VAT_Codes!$A:$A,0)),"")&amp;"")</f>
        <v/>
      </c>
      <c r="U1167" s="26" t="n">
        <f aca="false">IF(OR($S1167="",$T1167="",$T1167="None"),0,IF($T1167="Output",-$S1167,$S1167))</f>
        <v>0</v>
      </c>
      <c r="V1167" s="27" t="n">
        <f aca="false">IF($N1167="",0,IFERROR(INDEX(VAT_Codes!$D:$D,MATCH($N1167,VAT_Codes!$A:$A,0)),0))</f>
        <v>0</v>
      </c>
      <c r="W1167" s="26" t="n">
        <f aca="false">IF($U1167=0,0,IF(IFERROR(INDEX(VAT_Codes!$F:$F,MATCH($N1167,VAT_Codes!$A:$A,0)),"N")="Y",$U1167,IF($L1167&lt;&gt;"",ROUND(ABS($L1167)/IF(OR($R1167="",$R1167=0),1,$R1167),2)*SIGN($U1167),ROUND($U1167*$V1167,2))))</f>
        <v>0</v>
      </c>
      <c r="X1167" s="24" t="str">
        <f aca="false">IF($N1167="","",IFERROR(INDEX(VAT_Codes!$H:$H,MATCH($N1167,VAT_Codes!$A:$A,0)),"")&amp;"")</f>
        <v/>
      </c>
      <c r="Y1167" s="24" t="str">
        <f aca="false">IF($A1167="","",(YEAR($A1167)-YEAR(Settings!$C$8))*12+MONTH($A1167)-MONTH(Settings!$C$8)+1)</f>
        <v/>
      </c>
      <c r="Z1167" s="24" t="str">
        <f aca="false">IF(AND($C1167="",$I1167="",$J1167=""),"",IF($N1167="","NO VAT CODE",IF($T1167="","UNKNOWN VAT CODE",IF($S1167="","MISSING FX RATE",IF(OR($A1167&lt;Settings!$C$8,$A1167&gt;Settings!$C$9),"OUTSIDE PERIOD",IF(AND(IFERROR(INDEX(VAT_Codes!$E:$E,MATCH($N1167,VAT_Codes!$A:$A,0)),"ANY")&lt;&gt;"ANY",$P1167=""),"MISSING COUNTERPARTY COUNTRY",IF(AND(IFERROR(INDEX(VAT_Codes!$E:$E,MATCH($N1167,VAT_Codes!$A:$A,0)),"ANY")&lt;&gt;"ANY",$P1167&lt;&gt;IFERROR(INDEX(VAT_Codes!$E:$E,MATCH($N1167,VAT_Codes!$A:$A,0)),"ANY")),"REGION MISMATCH","OK")))))))</f>
        <v/>
      </c>
    </row>
    <row r="1168" customFormat="false" ht="15" hidden="false" customHeight="false" outlineLevel="0" collapsed="false">
      <c r="M1168" s="24" t="str">
        <f aca="false">IF($C1168="","",IFERROR(INDEX(Account_Mapping!$C:$C,MATCH($C1168&amp;"",Account_Mapping!$A:$A,0))&amp;"",""))</f>
        <v/>
      </c>
      <c r="N1168" s="24" t="str">
        <f aca="false">IF($K1168&lt;&gt;"",$K1168,$M1168)</f>
        <v/>
      </c>
      <c r="O1168" s="24" t="str">
        <f aca="false">IF($F1168="","",IFERROR(INDEX(Counterparties!$C:$C,MATCH($F1168&amp;"",Counterparties!$A:$A,0))&amp;"",""))</f>
        <v/>
      </c>
      <c r="P1168" s="24" t="str">
        <f aca="false">IF($O1168="","",IF($O1168="CY","CY",IF(ISNUMBER(MATCH($O1168,Lists!$A:$A,0)),"EU","3RD")))</f>
        <v/>
      </c>
      <c r="Q1168" s="24" t="str">
        <f aca="false">IF($F1168="","N",IFERROR(IF(INDEX(Counterparties!$E:$E,MATCH($F1168&amp;"",Counterparties!$A:$A,0))="Y","Y","N"),"N"))</f>
        <v>N</v>
      </c>
      <c r="R1168" s="25" t="n">
        <f aca="false">IF(OR($H1168="",$H1168="EUR"),1,IFERROR(INDEX(FX_Rates!$D:$D,MATCH($H1168,FX_Rates!$A:$A,0)),""))</f>
        <v>1</v>
      </c>
      <c r="S1168" s="26" t="str">
        <f aca="false">IF(AND($I1168="",$J1168=""),"",IF($J1168&lt;&gt;"",$J1168,IF(OR($R1168="",$R1168=0),"",ROUND($I1168/$R1168,2))))</f>
        <v/>
      </c>
      <c r="T1168" s="24" t="str">
        <f aca="false">IF($N1168="","",IFERROR(INDEX(VAT_Codes!$C:$C,MATCH($N1168,VAT_Codes!$A:$A,0)),"")&amp;"")</f>
        <v/>
      </c>
      <c r="U1168" s="26" t="n">
        <f aca="false">IF(OR($S1168="",$T1168="",$T1168="None"),0,IF($T1168="Output",-$S1168,$S1168))</f>
        <v>0</v>
      </c>
      <c r="V1168" s="27" t="n">
        <f aca="false">IF($N1168="",0,IFERROR(INDEX(VAT_Codes!$D:$D,MATCH($N1168,VAT_Codes!$A:$A,0)),0))</f>
        <v>0</v>
      </c>
      <c r="W1168" s="26" t="n">
        <f aca="false">IF($U1168=0,0,IF(IFERROR(INDEX(VAT_Codes!$F:$F,MATCH($N1168,VAT_Codes!$A:$A,0)),"N")="Y",$U1168,IF($L1168&lt;&gt;"",ROUND(ABS($L1168)/IF(OR($R1168="",$R1168=0),1,$R1168),2)*SIGN($U1168),ROUND($U1168*$V1168,2))))</f>
        <v>0</v>
      </c>
      <c r="X1168" s="24" t="str">
        <f aca="false">IF($N1168="","",IFERROR(INDEX(VAT_Codes!$H:$H,MATCH($N1168,VAT_Codes!$A:$A,0)),"")&amp;"")</f>
        <v/>
      </c>
      <c r="Y1168" s="24" t="str">
        <f aca="false">IF($A1168="","",(YEAR($A1168)-YEAR(Settings!$C$8))*12+MONTH($A1168)-MONTH(Settings!$C$8)+1)</f>
        <v/>
      </c>
      <c r="Z1168" s="24" t="str">
        <f aca="false">IF(AND($C1168="",$I1168="",$J1168=""),"",IF($N1168="","NO VAT CODE",IF($T1168="","UNKNOWN VAT CODE",IF($S1168="","MISSING FX RATE",IF(OR($A1168&lt;Settings!$C$8,$A1168&gt;Settings!$C$9),"OUTSIDE PERIOD",IF(AND(IFERROR(INDEX(VAT_Codes!$E:$E,MATCH($N1168,VAT_Codes!$A:$A,0)),"ANY")&lt;&gt;"ANY",$P1168=""),"MISSING COUNTERPARTY COUNTRY",IF(AND(IFERROR(INDEX(VAT_Codes!$E:$E,MATCH($N1168,VAT_Codes!$A:$A,0)),"ANY")&lt;&gt;"ANY",$P1168&lt;&gt;IFERROR(INDEX(VAT_Codes!$E:$E,MATCH($N1168,VAT_Codes!$A:$A,0)),"ANY")),"REGION MISMATCH","OK")))))))</f>
        <v/>
      </c>
    </row>
    <row r="1169" customFormat="false" ht="15" hidden="false" customHeight="false" outlineLevel="0" collapsed="false">
      <c r="M1169" s="24" t="str">
        <f aca="false">IF($C1169="","",IFERROR(INDEX(Account_Mapping!$C:$C,MATCH($C1169&amp;"",Account_Mapping!$A:$A,0))&amp;"",""))</f>
        <v/>
      </c>
      <c r="N1169" s="24" t="str">
        <f aca="false">IF($K1169&lt;&gt;"",$K1169,$M1169)</f>
        <v/>
      </c>
      <c r="O1169" s="24" t="str">
        <f aca="false">IF($F1169="","",IFERROR(INDEX(Counterparties!$C:$C,MATCH($F1169&amp;"",Counterparties!$A:$A,0))&amp;"",""))</f>
        <v/>
      </c>
      <c r="P1169" s="24" t="str">
        <f aca="false">IF($O1169="","",IF($O1169="CY","CY",IF(ISNUMBER(MATCH($O1169,Lists!$A:$A,0)),"EU","3RD")))</f>
        <v/>
      </c>
      <c r="Q1169" s="24" t="str">
        <f aca="false">IF($F1169="","N",IFERROR(IF(INDEX(Counterparties!$E:$E,MATCH($F1169&amp;"",Counterparties!$A:$A,0))="Y","Y","N"),"N"))</f>
        <v>N</v>
      </c>
      <c r="R1169" s="25" t="n">
        <f aca="false">IF(OR($H1169="",$H1169="EUR"),1,IFERROR(INDEX(FX_Rates!$D:$D,MATCH($H1169,FX_Rates!$A:$A,0)),""))</f>
        <v>1</v>
      </c>
      <c r="S1169" s="26" t="str">
        <f aca="false">IF(AND($I1169="",$J1169=""),"",IF($J1169&lt;&gt;"",$J1169,IF(OR($R1169="",$R1169=0),"",ROUND($I1169/$R1169,2))))</f>
        <v/>
      </c>
      <c r="T1169" s="24" t="str">
        <f aca="false">IF($N1169="","",IFERROR(INDEX(VAT_Codes!$C:$C,MATCH($N1169,VAT_Codes!$A:$A,0)),"")&amp;"")</f>
        <v/>
      </c>
      <c r="U1169" s="26" t="n">
        <f aca="false">IF(OR($S1169="",$T1169="",$T1169="None"),0,IF($T1169="Output",-$S1169,$S1169))</f>
        <v>0</v>
      </c>
      <c r="V1169" s="27" t="n">
        <f aca="false">IF($N1169="",0,IFERROR(INDEX(VAT_Codes!$D:$D,MATCH($N1169,VAT_Codes!$A:$A,0)),0))</f>
        <v>0</v>
      </c>
      <c r="W1169" s="26" t="n">
        <f aca="false">IF($U1169=0,0,IF(IFERROR(INDEX(VAT_Codes!$F:$F,MATCH($N1169,VAT_Codes!$A:$A,0)),"N")="Y",$U1169,IF($L1169&lt;&gt;"",ROUND(ABS($L1169)/IF(OR($R1169="",$R1169=0),1,$R1169),2)*SIGN($U1169),ROUND($U1169*$V1169,2))))</f>
        <v>0</v>
      </c>
      <c r="X1169" s="24" t="str">
        <f aca="false">IF($N1169="","",IFERROR(INDEX(VAT_Codes!$H:$H,MATCH($N1169,VAT_Codes!$A:$A,0)),"")&amp;"")</f>
        <v/>
      </c>
      <c r="Y1169" s="24" t="str">
        <f aca="false">IF($A1169="","",(YEAR($A1169)-YEAR(Settings!$C$8))*12+MONTH($A1169)-MONTH(Settings!$C$8)+1)</f>
        <v/>
      </c>
      <c r="Z1169" s="24" t="str">
        <f aca="false">IF(AND($C1169="",$I1169="",$J1169=""),"",IF($N1169="","NO VAT CODE",IF($T1169="","UNKNOWN VAT CODE",IF($S1169="","MISSING FX RATE",IF(OR($A1169&lt;Settings!$C$8,$A1169&gt;Settings!$C$9),"OUTSIDE PERIOD",IF(AND(IFERROR(INDEX(VAT_Codes!$E:$E,MATCH($N1169,VAT_Codes!$A:$A,0)),"ANY")&lt;&gt;"ANY",$P1169=""),"MISSING COUNTERPARTY COUNTRY",IF(AND(IFERROR(INDEX(VAT_Codes!$E:$E,MATCH($N1169,VAT_Codes!$A:$A,0)),"ANY")&lt;&gt;"ANY",$P1169&lt;&gt;IFERROR(INDEX(VAT_Codes!$E:$E,MATCH($N1169,VAT_Codes!$A:$A,0)),"ANY")),"REGION MISMATCH","OK")))))))</f>
        <v/>
      </c>
    </row>
    <row r="1170" customFormat="false" ht="15" hidden="false" customHeight="false" outlineLevel="0" collapsed="false">
      <c r="M1170" s="24" t="str">
        <f aca="false">IF($C1170="","",IFERROR(INDEX(Account_Mapping!$C:$C,MATCH($C1170&amp;"",Account_Mapping!$A:$A,0))&amp;"",""))</f>
        <v/>
      </c>
      <c r="N1170" s="24" t="str">
        <f aca="false">IF($K1170&lt;&gt;"",$K1170,$M1170)</f>
        <v/>
      </c>
      <c r="O1170" s="24" t="str">
        <f aca="false">IF($F1170="","",IFERROR(INDEX(Counterparties!$C:$C,MATCH($F1170&amp;"",Counterparties!$A:$A,0))&amp;"",""))</f>
        <v/>
      </c>
      <c r="P1170" s="24" t="str">
        <f aca="false">IF($O1170="","",IF($O1170="CY","CY",IF(ISNUMBER(MATCH($O1170,Lists!$A:$A,0)),"EU","3RD")))</f>
        <v/>
      </c>
      <c r="Q1170" s="24" t="str">
        <f aca="false">IF($F1170="","N",IFERROR(IF(INDEX(Counterparties!$E:$E,MATCH($F1170&amp;"",Counterparties!$A:$A,0))="Y","Y","N"),"N"))</f>
        <v>N</v>
      </c>
      <c r="R1170" s="25" t="n">
        <f aca="false">IF(OR($H1170="",$H1170="EUR"),1,IFERROR(INDEX(FX_Rates!$D:$D,MATCH($H1170,FX_Rates!$A:$A,0)),""))</f>
        <v>1</v>
      </c>
      <c r="S1170" s="26" t="str">
        <f aca="false">IF(AND($I1170="",$J1170=""),"",IF($J1170&lt;&gt;"",$J1170,IF(OR($R1170="",$R1170=0),"",ROUND($I1170/$R1170,2))))</f>
        <v/>
      </c>
      <c r="T1170" s="24" t="str">
        <f aca="false">IF($N1170="","",IFERROR(INDEX(VAT_Codes!$C:$C,MATCH($N1170,VAT_Codes!$A:$A,0)),"")&amp;"")</f>
        <v/>
      </c>
      <c r="U1170" s="26" t="n">
        <f aca="false">IF(OR($S1170="",$T1170="",$T1170="None"),0,IF($T1170="Output",-$S1170,$S1170))</f>
        <v>0</v>
      </c>
      <c r="V1170" s="27" t="n">
        <f aca="false">IF($N1170="",0,IFERROR(INDEX(VAT_Codes!$D:$D,MATCH($N1170,VAT_Codes!$A:$A,0)),0))</f>
        <v>0</v>
      </c>
      <c r="W1170" s="26" t="n">
        <f aca="false">IF($U1170=0,0,IF(IFERROR(INDEX(VAT_Codes!$F:$F,MATCH($N1170,VAT_Codes!$A:$A,0)),"N")="Y",$U1170,IF($L1170&lt;&gt;"",ROUND(ABS($L1170)/IF(OR($R1170="",$R1170=0),1,$R1170),2)*SIGN($U1170),ROUND($U1170*$V1170,2))))</f>
        <v>0</v>
      </c>
      <c r="X1170" s="24" t="str">
        <f aca="false">IF($N1170="","",IFERROR(INDEX(VAT_Codes!$H:$H,MATCH($N1170,VAT_Codes!$A:$A,0)),"")&amp;"")</f>
        <v/>
      </c>
      <c r="Y1170" s="24" t="str">
        <f aca="false">IF($A1170="","",(YEAR($A1170)-YEAR(Settings!$C$8))*12+MONTH($A1170)-MONTH(Settings!$C$8)+1)</f>
        <v/>
      </c>
      <c r="Z1170" s="24" t="str">
        <f aca="false">IF(AND($C1170="",$I1170="",$J1170=""),"",IF($N1170="","NO VAT CODE",IF($T1170="","UNKNOWN VAT CODE",IF($S1170="","MISSING FX RATE",IF(OR($A1170&lt;Settings!$C$8,$A1170&gt;Settings!$C$9),"OUTSIDE PERIOD",IF(AND(IFERROR(INDEX(VAT_Codes!$E:$E,MATCH($N1170,VAT_Codes!$A:$A,0)),"ANY")&lt;&gt;"ANY",$P1170=""),"MISSING COUNTERPARTY COUNTRY",IF(AND(IFERROR(INDEX(VAT_Codes!$E:$E,MATCH($N1170,VAT_Codes!$A:$A,0)),"ANY")&lt;&gt;"ANY",$P1170&lt;&gt;IFERROR(INDEX(VAT_Codes!$E:$E,MATCH($N1170,VAT_Codes!$A:$A,0)),"ANY")),"REGION MISMATCH","OK")))))))</f>
        <v/>
      </c>
    </row>
    <row r="1171" customFormat="false" ht="15" hidden="false" customHeight="false" outlineLevel="0" collapsed="false">
      <c r="M1171" s="24" t="str">
        <f aca="false">IF($C1171="","",IFERROR(INDEX(Account_Mapping!$C:$C,MATCH($C1171&amp;"",Account_Mapping!$A:$A,0))&amp;"",""))</f>
        <v/>
      </c>
      <c r="N1171" s="24" t="str">
        <f aca="false">IF($K1171&lt;&gt;"",$K1171,$M1171)</f>
        <v/>
      </c>
      <c r="O1171" s="24" t="str">
        <f aca="false">IF($F1171="","",IFERROR(INDEX(Counterparties!$C:$C,MATCH($F1171&amp;"",Counterparties!$A:$A,0))&amp;"",""))</f>
        <v/>
      </c>
      <c r="P1171" s="24" t="str">
        <f aca="false">IF($O1171="","",IF($O1171="CY","CY",IF(ISNUMBER(MATCH($O1171,Lists!$A:$A,0)),"EU","3RD")))</f>
        <v/>
      </c>
      <c r="Q1171" s="24" t="str">
        <f aca="false">IF($F1171="","N",IFERROR(IF(INDEX(Counterparties!$E:$E,MATCH($F1171&amp;"",Counterparties!$A:$A,0))="Y","Y","N"),"N"))</f>
        <v>N</v>
      </c>
      <c r="R1171" s="25" t="n">
        <f aca="false">IF(OR($H1171="",$H1171="EUR"),1,IFERROR(INDEX(FX_Rates!$D:$D,MATCH($H1171,FX_Rates!$A:$A,0)),""))</f>
        <v>1</v>
      </c>
      <c r="S1171" s="26" t="str">
        <f aca="false">IF(AND($I1171="",$J1171=""),"",IF($J1171&lt;&gt;"",$J1171,IF(OR($R1171="",$R1171=0),"",ROUND($I1171/$R1171,2))))</f>
        <v/>
      </c>
      <c r="T1171" s="24" t="str">
        <f aca="false">IF($N1171="","",IFERROR(INDEX(VAT_Codes!$C:$C,MATCH($N1171,VAT_Codes!$A:$A,0)),"")&amp;"")</f>
        <v/>
      </c>
      <c r="U1171" s="26" t="n">
        <f aca="false">IF(OR($S1171="",$T1171="",$T1171="None"),0,IF($T1171="Output",-$S1171,$S1171))</f>
        <v>0</v>
      </c>
      <c r="V1171" s="27" t="n">
        <f aca="false">IF($N1171="",0,IFERROR(INDEX(VAT_Codes!$D:$D,MATCH($N1171,VAT_Codes!$A:$A,0)),0))</f>
        <v>0</v>
      </c>
      <c r="W1171" s="26" t="n">
        <f aca="false">IF($U1171=0,0,IF(IFERROR(INDEX(VAT_Codes!$F:$F,MATCH($N1171,VAT_Codes!$A:$A,0)),"N")="Y",$U1171,IF($L1171&lt;&gt;"",ROUND(ABS($L1171)/IF(OR($R1171="",$R1171=0),1,$R1171),2)*SIGN($U1171),ROUND($U1171*$V1171,2))))</f>
        <v>0</v>
      </c>
      <c r="X1171" s="24" t="str">
        <f aca="false">IF($N1171="","",IFERROR(INDEX(VAT_Codes!$H:$H,MATCH($N1171,VAT_Codes!$A:$A,0)),"")&amp;"")</f>
        <v/>
      </c>
      <c r="Y1171" s="24" t="str">
        <f aca="false">IF($A1171="","",(YEAR($A1171)-YEAR(Settings!$C$8))*12+MONTH($A1171)-MONTH(Settings!$C$8)+1)</f>
        <v/>
      </c>
      <c r="Z1171" s="24" t="str">
        <f aca="false">IF(AND($C1171="",$I1171="",$J1171=""),"",IF($N1171="","NO VAT CODE",IF($T1171="","UNKNOWN VAT CODE",IF($S1171="","MISSING FX RATE",IF(OR($A1171&lt;Settings!$C$8,$A1171&gt;Settings!$C$9),"OUTSIDE PERIOD",IF(AND(IFERROR(INDEX(VAT_Codes!$E:$E,MATCH($N1171,VAT_Codes!$A:$A,0)),"ANY")&lt;&gt;"ANY",$P1171=""),"MISSING COUNTERPARTY COUNTRY",IF(AND(IFERROR(INDEX(VAT_Codes!$E:$E,MATCH($N1171,VAT_Codes!$A:$A,0)),"ANY")&lt;&gt;"ANY",$P1171&lt;&gt;IFERROR(INDEX(VAT_Codes!$E:$E,MATCH($N1171,VAT_Codes!$A:$A,0)),"ANY")),"REGION MISMATCH","OK")))))))</f>
        <v/>
      </c>
    </row>
    <row r="1172" customFormat="false" ht="15" hidden="false" customHeight="false" outlineLevel="0" collapsed="false">
      <c r="M1172" s="24" t="str">
        <f aca="false">IF($C1172="","",IFERROR(INDEX(Account_Mapping!$C:$C,MATCH($C1172&amp;"",Account_Mapping!$A:$A,0))&amp;"",""))</f>
        <v/>
      </c>
      <c r="N1172" s="24" t="str">
        <f aca="false">IF($K1172&lt;&gt;"",$K1172,$M1172)</f>
        <v/>
      </c>
      <c r="O1172" s="24" t="str">
        <f aca="false">IF($F1172="","",IFERROR(INDEX(Counterparties!$C:$C,MATCH($F1172&amp;"",Counterparties!$A:$A,0))&amp;"",""))</f>
        <v/>
      </c>
      <c r="P1172" s="24" t="str">
        <f aca="false">IF($O1172="","",IF($O1172="CY","CY",IF(ISNUMBER(MATCH($O1172,Lists!$A:$A,0)),"EU","3RD")))</f>
        <v/>
      </c>
      <c r="Q1172" s="24" t="str">
        <f aca="false">IF($F1172="","N",IFERROR(IF(INDEX(Counterparties!$E:$E,MATCH($F1172&amp;"",Counterparties!$A:$A,0))="Y","Y","N"),"N"))</f>
        <v>N</v>
      </c>
      <c r="R1172" s="25" t="n">
        <f aca="false">IF(OR($H1172="",$H1172="EUR"),1,IFERROR(INDEX(FX_Rates!$D:$D,MATCH($H1172,FX_Rates!$A:$A,0)),""))</f>
        <v>1</v>
      </c>
      <c r="S1172" s="26" t="str">
        <f aca="false">IF(AND($I1172="",$J1172=""),"",IF($J1172&lt;&gt;"",$J1172,IF(OR($R1172="",$R1172=0),"",ROUND($I1172/$R1172,2))))</f>
        <v/>
      </c>
      <c r="T1172" s="24" t="str">
        <f aca="false">IF($N1172="","",IFERROR(INDEX(VAT_Codes!$C:$C,MATCH($N1172,VAT_Codes!$A:$A,0)),"")&amp;"")</f>
        <v/>
      </c>
      <c r="U1172" s="26" t="n">
        <f aca="false">IF(OR($S1172="",$T1172="",$T1172="None"),0,IF($T1172="Output",-$S1172,$S1172))</f>
        <v>0</v>
      </c>
      <c r="V1172" s="27" t="n">
        <f aca="false">IF($N1172="",0,IFERROR(INDEX(VAT_Codes!$D:$D,MATCH($N1172,VAT_Codes!$A:$A,0)),0))</f>
        <v>0</v>
      </c>
      <c r="W1172" s="26" t="n">
        <f aca="false">IF($U1172=0,0,IF(IFERROR(INDEX(VAT_Codes!$F:$F,MATCH($N1172,VAT_Codes!$A:$A,0)),"N")="Y",$U1172,IF($L1172&lt;&gt;"",ROUND(ABS($L1172)/IF(OR($R1172="",$R1172=0),1,$R1172),2)*SIGN($U1172),ROUND($U1172*$V1172,2))))</f>
        <v>0</v>
      </c>
      <c r="X1172" s="24" t="str">
        <f aca="false">IF($N1172="","",IFERROR(INDEX(VAT_Codes!$H:$H,MATCH($N1172,VAT_Codes!$A:$A,0)),"")&amp;"")</f>
        <v/>
      </c>
      <c r="Y1172" s="24" t="str">
        <f aca="false">IF($A1172="","",(YEAR($A1172)-YEAR(Settings!$C$8))*12+MONTH($A1172)-MONTH(Settings!$C$8)+1)</f>
        <v/>
      </c>
      <c r="Z1172" s="24" t="str">
        <f aca="false">IF(AND($C1172="",$I1172="",$J1172=""),"",IF($N1172="","NO VAT CODE",IF($T1172="","UNKNOWN VAT CODE",IF($S1172="","MISSING FX RATE",IF(OR($A1172&lt;Settings!$C$8,$A1172&gt;Settings!$C$9),"OUTSIDE PERIOD",IF(AND(IFERROR(INDEX(VAT_Codes!$E:$E,MATCH($N1172,VAT_Codes!$A:$A,0)),"ANY")&lt;&gt;"ANY",$P1172=""),"MISSING COUNTERPARTY COUNTRY",IF(AND(IFERROR(INDEX(VAT_Codes!$E:$E,MATCH($N1172,VAT_Codes!$A:$A,0)),"ANY")&lt;&gt;"ANY",$P1172&lt;&gt;IFERROR(INDEX(VAT_Codes!$E:$E,MATCH($N1172,VAT_Codes!$A:$A,0)),"ANY")),"REGION MISMATCH","OK")))))))</f>
        <v/>
      </c>
    </row>
    <row r="1173" customFormat="false" ht="15" hidden="false" customHeight="false" outlineLevel="0" collapsed="false">
      <c r="M1173" s="24" t="str">
        <f aca="false">IF($C1173="","",IFERROR(INDEX(Account_Mapping!$C:$C,MATCH($C1173&amp;"",Account_Mapping!$A:$A,0))&amp;"",""))</f>
        <v/>
      </c>
      <c r="N1173" s="24" t="str">
        <f aca="false">IF($K1173&lt;&gt;"",$K1173,$M1173)</f>
        <v/>
      </c>
      <c r="O1173" s="24" t="str">
        <f aca="false">IF($F1173="","",IFERROR(INDEX(Counterparties!$C:$C,MATCH($F1173&amp;"",Counterparties!$A:$A,0))&amp;"",""))</f>
        <v/>
      </c>
      <c r="P1173" s="24" t="str">
        <f aca="false">IF($O1173="","",IF($O1173="CY","CY",IF(ISNUMBER(MATCH($O1173,Lists!$A:$A,0)),"EU","3RD")))</f>
        <v/>
      </c>
      <c r="Q1173" s="24" t="str">
        <f aca="false">IF($F1173="","N",IFERROR(IF(INDEX(Counterparties!$E:$E,MATCH($F1173&amp;"",Counterparties!$A:$A,0))="Y","Y","N"),"N"))</f>
        <v>N</v>
      </c>
      <c r="R1173" s="25" t="n">
        <f aca="false">IF(OR($H1173="",$H1173="EUR"),1,IFERROR(INDEX(FX_Rates!$D:$D,MATCH($H1173,FX_Rates!$A:$A,0)),""))</f>
        <v>1</v>
      </c>
      <c r="S1173" s="26" t="str">
        <f aca="false">IF(AND($I1173="",$J1173=""),"",IF($J1173&lt;&gt;"",$J1173,IF(OR($R1173="",$R1173=0),"",ROUND($I1173/$R1173,2))))</f>
        <v/>
      </c>
      <c r="T1173" s="24" t="str">
        <f aca="false">IF($N1173="","",IFERROR(INDEX(VAT_Codes!$C:$C,MATCH($N1173,VAT_Codes!$A:$A,0)),"")&amp;"")</f>
        <v/>
      </c>
      <c r="U1173" s="26" t="n">
        <f aca="false">IF(OR($S1173="",$T1173="",$T1173="None"),0,IF($T1173="Output",-$S1173,$S1173))</f>
        <v>0</v>
      </c>
      <c r="V1173" s="27" t="n">
        <f aca="false">IF($N1173="",0,IFERROR(INDEX(VAT_Codes!$D:$D,MATCH($N1173,VAT_Codes!$A:$A,0)),0))</f>
        <v>0</v>
      </c>
      <c r="W1173" s="26" t="n">
        <f aca="false">IF($U1173=0,0,IF(IFERROR(INDEX(VAT_Codes!$F:$F,MATCH($N1173,VAT_Codes!$A:$A,0)),"N")="Y",$U1173,IF($L1173&lt;&gt;"",ROUND(ABS($L1173)/IF(OR($R1173="",$R1173=0),1,$R1173),2)*SIGN($U1173),ROUND($U1173*$V1173,2))))</f>
        <v>0</v>
      </c>
      <c r="X1173" s="24" t="str">
        <f aca="false">IF($N1173="","",IFERROR(INDEX(VAT_Codes!$H:$H,MATCH($N1173,VAT_Codes!$A:$A,0)),"")&amp;"")</f>
        <v/>
      </c>
      <c r="Y1173" s="24" t="str">
        <f aca="false">IF($A1173="","",(YEAR($A1173)-YEAR(Settings!$C$8))*12+MONTH($A1173)-MONTH(Settings!$C$8)+1)</f>
        <v/>
      </c>
      <c r="Z1173" s="24" t="str">
        <f aca="false">IF(AND($C1173="",$I1173="",$J1173=""),"",IF($N1173="","NO VAT CODE",IF($T1173="","UNKNOWN VAT CODE",IF($S1173="","MISSING FX RATE",IF(OR($A1173&lt;Settings!$C$8,$A1173&gt;Settings!$C$9),"OUTSIDE PERIOD",IF(AND(IFERROR(INDEX(VAT_Codes!$E:$E,MATCH($N1173,VAT_Codes!$A:$A,0)),"ANY")&lt;&gt;"ANY",$P1173=""),"MISSING COUNTERPARTY COUNTRY",IF(AND(IFERROR(INDEX(VAT_Codes!$E:$E,MATCH($N1173,VAT_Codes!$A:$A,0)),"ANY")&lt;&gt;"ANY",$P1173&lt;&gt;IFERROR(INDEX(VAT_Codes!$E:$E,MATCH($N1173,VAT_Codes!$A:$A,0)),"ANY")),"REGION MISMATCH","OK")))))))</f>
        <v/>
      </c>
    </row>
    <row r="1174" customFormat="false" ht="15" hidden="false" customHeight="false" outlineLevel="0" collapsed="false">
      <c r="M1174" s="24" t="str">
        <f aca="false">IF($C1174="","",IFERROR(INDEX(Account_Mapping!$C:$C,MATCH($C1174&amp;"",Account_Mapping!$A:$A,0))&amp;"",""))</f>
        <v/>
      </c>
      <c r="N1174" s="24" t="str">
        <f aca="false">IF($K1174&lt;&gt;"",$K1174,$M1174)</f>
        <v/>
      </c>
      <c r="O1174" s="24" t="str">
        <f aca="false">IF($F1174="","",IFERROR(INDEX(Counterparties!$C:$C,MATCH($F1174&amp;"",Counterparties!$A:$A,0))&amp;"",""))</f>
        <v/>
      </c>
      <c r="P1174" s="24" t="str">
        <f aca="false">IF($O1174="","",IF($O1174="CY","CY",IF(ISNUMBER(MATCH($O1174,Lists!$A:$A,0)),"EU","3RD")))</f>
        <v/>
      </c>
      <c r="Q1174" s="24" t="str">
        <f aca="false">IF($F1174="","N",IFERROR(IF(INDEX(Counterparties!$E:$E,MATCH($F1174&amp;"",Counterparties!$A:$A,0))="Y","Y","N"),"N"))</f>
        <v>N</v>
      </c>
      <c r="R1174" s="25" t="n">
        <f aca="false">IF(OR($H1174="",$H1174="EUR"),1,IFERROR(INDEX(FX_Rates!$D:$D,MATCH($H1174,FX_Rates!$A:$A,0)),""))</f>
        <v>1</v>
      </c>
      <c r="S1174" s="26" t="str">
        <f aca="false">IF(AND($I1174="",$J1174=""),"",IF($J1174&lt;&gt;"",$J1174,IF(OR($R1174="",$R1174=0),"",ROUND($I1174/$R1174,2))))</f>
        <v/>
      </c>
      <c r="T1174" s="24" t="str">
        <f aca="false">IF($N1174="","",IFERROR(INDEX(VAT_Codes!$C:$C,MATCH($N1174,VAT_Codes!$A:$A,0)),"")&amp;"")</f>
        <v/>
      </c>
      <c r="U1174" s="26" t="n">
        <f aca="false">IF(OR($S1174="",$T1174="",$T1174="None"),0,IF($T1174="Output",-$S1174,$S1174))</f>
        <v>0</v>
      </c>
      <c r="V1174" s="27" t="n">
        <f aca="false">IF($N1174="",0,IFERROR(INDEX(VAT_Codes!$D:$D,MATCH($N1174,VAT_Codes!$A:$A,0)),0))</f>
        <v>0</v>
      </c>
      <c r="W1174" s="26" t="n">
        <f aca="false">IF($U1174=0,0,IF(IFERROR(INDEX(VAT_Codes!$F:$F,MATCH($N1174,VAT_Codes!$A:$A,0)),"N")="Y",$U1174,IF($L1174&lt;&gt;"",ROUND(ABS($L1174)/IF(OR($R1174="",$R1174=0),1,$R1174),2)*SIGN($U1174),ROUND($U1174*$V1174,2))))</f>
        <v>0</v>
      </c>
      <c r="X1174" s="24" t="str">
        <f aca="false">IF($N1174="","",IFERROR(INDEX(VAT_Codes!$H:$H,MATCH($N1174,VAT_Codes!$A:$A,0)),"")&amp;"")</f>
        <v/>
      </c>
      <c r="Y1174" s="24" t="str">
        <f aca="false">IF($A1174="","",(YEAR($A1174)-YEAR(Settings!$C$8))*12+MONTH($A1174)-MONTH(Settings!$C$8)+1)</f>
        <v/>
      </c>
      <c r="Z1174" s="24" t="str">
        <f aca="false">IF(AND($C1174="",$I1174="",$J1174=""),"",IF($N1174="","NO VAT CODE",IF($T1174="","UNKNOWN VAT CODE",IF($S1174="","MISSING FX RATE",IF(OR($A1174&lt;Settings!$C$8,$A1174&gt;Settings!$C$9),"OUTSIDE PERIOD",IF(AND(IFERROR(INDEX(VAT_Codes!$E:$E,MATCH($N1174,VAT_Codes!$A:$A,0)),"ANY")&lt;&gt;"ANY",$P1174=""),"MISSING COUNTERPARTY COUNTRY",IF(AND(IFERROR(INDEX(VAT_Codes!$E:$E,MATCH($N1174,VAT_Codes!$A:$A,0)),"ANY")&lt;&gt;"ANY",$P1174&lt;&gt;IFERROR(INDEX(VAT_Codes!$E:$E,MATCH($N1174,VAT_Codes!$A:$A,0)),"ANY")),"REGION MISMATCH","OK")))))))</f>
        <v/>
      </c>
    </row>
    <row r="1175" customFormat="false" ht="15" hidden="false" customHeight="false" outlineLevel="0" collapsed="false">
      <c r="M1175" s="24" t="str">
        <f aca="false">IF($C1175="","",IFERROR(INDEX(Account_Mapping!$C:$C,MATCH($C1175&amp;"",Account_Mapping!$A:$A,0))&amp;"",""))</f>
        <v/>
      </c>
      <c r="N1175" s="24" t="str">
        <f aca="false">IF($K1175&lt;&gt;"",$K1175,$M1175)</f>
        <v/>
      </c>
      <c r="O1175" s="24" t="str">
        <f aca="false">IF($F1175="","",IFERROR(INDEX(Counterparties!$C:$C,MATCH($F1175&amp;"",Counterparties!$A:$A,0))&amp;"",""))</f>
        <v/>
      </c>
      <c r="P1175" s="24" t="str">
        <f aca="false">IF($O1175="","",IF($O1175="CY","CY",IF(ISNUMBER(MATCH($O1175,Lists!$A:$A,0)),"EU","3RD")))</f>
        <v/>
      </c>
      <c r="Q1175" s="24" t="str">
        <f aca="false">IF($F1175="","N",IFERROR(IF(INDEX(Counterparties!$E:$E,MATCH($F1175&amp;"",Counterparties!$A:$A,0))="Y","Y","N"),"N"))</f>
        <v>N</v>
      </c>
      <c r="R1175" s="25" t="n">
        <f aca="false">IF(OR($H1175="",$H1175="EUR"),1,IFERROR(INDEX(FX_Rates!$D:$D,MATCH($H1175,FX_Rates!$A:$A,0)),""))</f>
        <v>1</v>
      </c>
      <c r="S1175" s="26" t="str">
        <f aca="false">IF(AND($I1175="",$J1175=""),"",IF($J1175&lt;&gt;"",$J1175,IF(OR($R1175="",$R1175=0),"",ROUND($I1175/$R1175,2))))</f>
        <v/>
      </c>
      <c r="T1175" s="24" t="str">
        <f aca="false">IF($N1175="","",IFERROR(INDEX(VAT_Codes!$C:$C,MATCH($N1175,VAT_Codes!$A:$A,0)),"")&amp;"")</f>
        <v/>
      </c>
      <c r="U1175" s="26" t="n">
        <f aca="false">IF(OR($S1175="",$T1175="",$T1175="None"),0,IF($T1175="Output",-$S1175,$S1175))</f>
        <v>0</v>
      </c>
      <c r="V1175" s="27" t="n">
        <f aca="false">IF($N1175="",0,IFERROR(INDEX(VAT_Codes!$D:$D,MATCH($N1175,VAT_Codes!$A:$A,0)),0))</f>
        <v>0</v>
      </c>
      <c r="W1175" s="26" t="n">
        <f aca="false">IF($U1175=0,0,IF(IFERROR(INDEX(VAT_Codes!$F:$F,MATCH($N1175,VAT_Codes!$A:$A,0)),"N")="Y",$U1175,IF($L1175&lt;&gt;"",ROUND(ABS($L1175)/IF(OR($R1175="",$R1175=0),1,$R1175),2)*SIGN($U1175),ROUND($U1175*$V1175,2))))</f>
        <v>0</v>
      </c>
      <c r="X1175" s="24" t="str">
        <f aca="false">IF($N1175="","",IFERROR(INDEX(VAT_Codes!$H:$H,MATCH($N1175,VAT_Codes!$A:$A,0)),"")&amp;"")</f>
        <v/>
      </c>
      <c r="Y1175" s="24" t="str">
        <f aca="false">IF($A1175="","",(YEAR($A1175)-YEAR(Settings!$C$8))*12+MONTH($A1175)-MONTH(Settings!$C$8)+1)</f>
        <v/>
      </c>
      <c r="Z1175" s="24" t="str">
        <f aca="false">IF(AND($C1175="",$I1175="",$J1175=""),"",IF($N1175="","NO VAT CODE",IF($T1175="","UNKNOWN VAT CODE",IF($S1175="","MISSING FX RATE",IF(OR($A1175&lt;Settings!$C$8,$A1175&gt;Settings!$C$9),"OUTSIDE PERIOD",IF(AND(IFERROR(INDEX(VAT_Codes!$E:$E,MATCH($N1175,VAT_Codes!$A:$A,0)),"ANY")&lt;&gt;"ANY",$P1175=""),"MISSING COUNTERPARTY COUNTRY",IF(AND(IFERROR(INDEX(VAT_Codes!$E:$E,MATCH($N1175,VAT_Codes!$A:$A,0)),"ANY")&lt;&gt;"ANY",$P1175&lt;&gt;IFERROR(INDEX(VAT_Codes!$E:$E,MATCH($N1175,VAT_Codes!$A:$A,0)),"ANY")),"REGION MISMATCH","OK")))))))</f>
        <v/>
      </c>
    </row>
    <row r="1176" customFormat="false" ht="15" hidden="false" customHeight="false" outlineLevel="0" collapsed="false">
      <c r="M1176" s="24" t="str">
        <f aca="false">IF($C1176="","",IFERROR(INDEX(Account_Mapping!$C:$C,MATCH($C1176&amp;"",Account_Mapping!$A:$A,0))&amp;"",""))</f>
        <v/>
      </c>
      <c r="N1176" s="24" t="str">
        <f aca="false">IF($K1176&lt;&gt;"",$K1176,$M1176)</f>
        <v/>
      </c>
      <c r="O1176" s="24" t="str">
        <f aca="false">IF($F1176="","",IFERROR(INDEX(Counterparties!$C:$C,MATCH($F1176&amp;"",Counterparties!$A:$A,0))&amp;"",""))</f>
        <v/>
      </c>
      <c r="P1176" s="24" t="str">
        <f aca="false">IF($O1176="","",IF($O1176="CY","CY",IF(ISNUMBER(MATCH($O1176,Lists!$A:$A,0)),"EU","3RD")))</f>
        <v/>
      </c>
      <c r="Q1176" s="24" t="str">
        <f aca="false">IF($F1176="","N",IFERROR(IF(INDEX(Counterparties!$E:$E,MATCH($F1176&amp;"",Counterparties!$A:$A,0))="Y","Y","N"),"N"))</f>
        <v>N</v>
      </c>
      <c r="R1176" s="25" t="n">
        <f aca="false">IF(OR($H1176="",$H1176="EUR"),1,IFERROR(INDEX(FX_Rates!$D:$D,MATCH($H1176,FX_Rates!$A:$A,0)),""))</f>
        <v>1</v>
      </c>
      <c r="S1176" s="26" t="str">
        <f aca="false">IF(AND($I1176="",$J1176=""),"",IF($J1176&lt;&gt;"",$J1176,IF(OR($R1176="",$R1176=0),"",ROUND($I1176/$R1176,2))))</f>
        <v/>
      </c>
      <c r="T1176" s="24" t="str">
        <f aca="false">IF($N1176="","",IFERROR(INDEX(VAT_Codes!$C:$C,MATCH($N1176,VAT_Codes!$A:$A,0)),"")&amp;"")</f>
        <v/>
      </c>
      <c r="U1176" s="26" t="n">
        <f aca="false">IF(OR($S1176="",$T1176="",$T1176="None"),0,IF($T1176="Output",-$S1176,$S1176))</f>
        <v>0</v>
      </c>
      <c r="V1176" s="27" t="n">
        <f aca="false">IF($N1176="",0,IFERROR(INDEX(VAT_Codes!$D:$D,MATCH($N1176,VAT_Codes!$A:$A,0)),0))</f>
        <v>0</v>
      </c>
      <c r="W1176" s="26" t="n">
        <f aca="false">IF($U1176=0,0,IF(IFERROR(INDEX(VAT_Codes!$F:$F,MATCH($N1176,VAT_Codes!$A:$A,0)),"N")="Y",$U1176,IF($L1176&lt;&gt;"",ROUND(ABS($L1176)/IF(OR($R1176="",$R1176=0),1,$R1176),2)*SIGN($U1176),ROUND($U1176*$V1176,2))))</f>
        <v>0</v>
      </c>
      <c r="X1176" s="24" t="str">
        <f aca="false">IF($N1176="","",IFERROR(INDEX(VAT_Codes!$H:$H,MATCH($N1176,VAT_Codes!$A:$A,0)),"")&amp;"")</f>
        <v/>
      </c>
      <c r="Y1176" s="24" t="str">
        <f aca="false">IF($A1176="","",(YEAR($A1176)-YEAR(Settings!$C$8))*12+MONTH($A1176)-MONTH(Settings!$C$8)+1)</f>
        <v/>
      </c>
      <c r="Z1176" s="24" t="str">
        <f aca="false">IF(AND($C1176="",$I1176="",$J1176=""),"",IF($N1176="","NO VAT CODE",IF($T1176="","UNKNOWN VAT CODE",IF($S1176="","MISSING FX RATE",IF(OR($A1176&lt;Settings!$C$8,$A1176&gt;Settings!$C$9),"OUTSIDE PERIOD",IF(AND(IFERROR(INDEX(VAT_Codes!$E:$E,MATCH($N1176,VAT_Codes!$A:$A,0)),"ANY")&lt;&gt;"ANY",$P1176=""),"MISSING COUNTERPARTY COUNTRY",IF(AND(IFERROR(INDEX(VAT_Codes!$E:$E,MATCH($N1176,VAT_Codes!$A:$A,0)),"ANY")&lt;&gt;"ANY",$P1176&lt;&gt;IFERROR(INDEX(VAT_Codes!$E:$E,MATCH($N1176,VAT_Codes!$A:$A,0)),"ANY")),"REGION MISMATCH","OK")))))))</f>
        <v/>
      </c>
    </row>
    <row r="1177" customFormat="false" ht="15" hidden="false" customHeight="false" outlineLevel="0" collapsed="false">
      <c r="M1177" s="24" t="str">
        <f aca="false">IF($C1177="","",IFERROR(INDEX(Account_Mapping!$C:$C,MATCH($C1177&amp;"",Account_Mapping!$A:$A,0))&amp;"",""))</f>
        <v/>
      </c>
      <c r="N1177" s="24" t="str">
        <f aca="false">IF($K1177&lt;&gt;"",$K1177,$M1177)</f>
        <v/>
      </c>
      <c r="O1177" s="24" t="str">
        <f aca="false">IF($F1177="","",IFERROR(INDEX(Counterparties!$C:$C,MATCH($F1177&amp;"",Counterparties!$A:$A,0))&amp;"",""))</f>
        <v/>
      </c>
      <c r="P1177" s="24" t="str">
        <f aca="false">IF($O1177="","",IF($O1177="CY","CY",IF(ISNUMBER(MATCH($O1177,Lists!$A:$A,0)),"EU","3RD")))</f>
        <v/>
      </c>
      <c r="Q1177" s="24" t="str">
        <f aca="false">IF($F1177="","N",IFERROR(IF(INDEX(Counterparties!$E:$E,MATCH($F1177&amp;"",Counterparties!$A:$A,0))="Y","Y","N"),"N"))</f>
        <v>N</v>
      </c>
      <c r="R1177" s="25" t="n">
        <f aca="false">IF(OR($H1177="",$H1177="EUR"),1,IFERROR(INDEX(FX_Rates!$D:$D,MATCH($H1177,FX_Rates!$A:$A,0)),""))</f>
        <v>1</v>
      </c>
      <c r="S1177" s="26" t="str">
        <f aca="false">IF(AND($I1177="",$J1177=""),"",IF($J1177&lt;&gt;"",$J1177,IF(OR($R1177="",$R1177=0),"",ROUND($I1177/$R1177,2))))</f>
        <v/>
      </c>
      <c r="T1177" s="24" t="str">
        <f aca="false">IF($N1177="","",IFERROR(INDEX(VAT_Codes!$C:$C,MATCH($N1177,VAT_Codes!$A:$A,0)),"")&amp;"")</f>
        <v/>
      </c>
      <c r="U1177" s="26" t="n">
        <f aca="false">IF(OR($S1177="",$T1177="",$T1177="None"),0,IF($T1177="Output",-$S1177,$S1177))</f>
        <v>0</v>
      </c>
      <c r="V1177" s="27" t="n">
        <f aca="false">IF($N1177="",0,IFERROR(INDEX(VAT_Codes!$D:$D,MATCH($N1177,VAT_Codes!$A:$A,0)),0))</f>
        <v>0</v>
      </c>
      <c r="W1177" s="26" t="n">
        <f aca="false">IF($U1177=0,0,IF(IFERROR(INDEX(VAT_Codes!$F:$F,MATCH($N1177,VAT_Codes!$A:$A,0)),"N")="Y",$U1177,IF($L1177&lt;&gt;"",ROUND(ABS($L1177)/IF(OR($R1177="",$R1177=0),1,$R1177),2)*SIGN($U1177),ROUND($U1177*$V1177,2))))</f>
        <v>0</v>
      </c>
      <c r="X1177" s="24" t="str">
        <f aca="false">IF($N1177="","",IFERROR(INDEX(VAT_Codes!$H:$H,MATCH($N1177,VAT_Codes!$A:$A,0)),"")&amp;"")</f>
        <v/>
      </c>
      <c r="Y1177" s="24" t="str">
        <f aca="false">IF($A1177="","",(YEAR($A1177)-YEAR(Settings!$C$8))*12+MONTH($A1177)-MONTH(Settings!$C$8)+1)</f>
        <v/>
      </c>
      <c r="Z1177" s="24" t="str">
        <f aca="false">IF(AND($C1177="",$I1177="",$J1177=""),"",IF($N1177="","NO VAT CODE",IF($T1177="","UNKNOWN VAT CODE",IF($S1177="","MISSING FX RATE",IF(OR($A1177&lt;Settings!$C$8,$A1177&gt;Settings!$C$9),"OUTSIDE PERIOD",IF(AND(IFERROR(INDEX(VAT_Codes!$E:$E,MATCH($N1177,VAT_Codes!$A:$A,0)),"ANY")&lt;&gt;"ANY",$P1177=""),"MISSING COUNTERPARTY COUNTRY",IF(AND(IFERROR(INDEX(VAT_Codes!$E:$E,MATCH($N1177,VAT_Codes!$A:$A,0)),"ANY")&lt;&gt;"ANY",$P1177&lt;&gt;IFERROR(INDEX(VAT_Codes!$E:$E,MATCH($N1177,VAT_Codes!$A:$A,0)),"ANY")),"REGION MISMATCH","OK")))))))</f>
        <v/>
      </c>
    </row>
    <row r="1178" customFormat="false" ht="15" hidden="false" customHeight="false" outlineLevel="0" collapsed="false">
      <c r="M1178" s="24" t="str">
        <f aca="false">IF($C1178="","",IFERROR(INDEX(Account_Mapping!$C:$C,MATCH($C1178&amp;"",Account_Mapping!$A:$A,0))&amp;"",""))</f>
        <v/>
      </c>
      <c r="N1178" s="24" t="str">
        <f aca="false">IF($K1178&lt;&gt;"",$K1178,$M1178)</f>
        <v/>
      </c>
      <c r="O1178" s="24" t="str">
        <f aca="false">IF($F1178="","",IFERROR(INDEX(Counterparties!$C:$C,MATCH($F1178&amp;"",Counterparties!$A:$A,0))&amp;"",""))</f>
        <v/>
      </c>
      <c r="P1178" s="24" t="str">
        <f aca="false">IF($O1178="","",IF($O1178="CY","CY",IF(ISNUMBER(MATCH($O1178,Lists!$A:$A,0)),"EU","3RD")))</f>
        <v/>
      </c>
      <c r="Q1178" s="24" t="str">
        <f aca="false">IF($F1178="","N",IFERROR(IF(INDEX(Counterparties!$E:$E,MATCH($F1178&amp;"",Counterparties!$A:$A,0))="Y","Y","N"),"N"))</f>
        <v>N</v>
      </c>
      <c r="R1178" s="25" t="n">
        <f aca="false">IF(OR($H1178="",$H1178="EUR"),1,IFERROR(INDEX(FX_Rates!$D:$D,MATCH($H1178,FX_Rates!$A:$A,0)),""))</f>
        <v>1</v>
      </c>
      <c r="S1178" s="26" t="str">
        <f aca="false">IF(AND($I1178="",$J1178=""),"",IF($J1178&lt;&gt;"",$J1178,IF(OR($R1178="",$R1178=0),"",ROUND($I1178/$R1178,2))))</f>
        <v/>
      </c>
      <c r="T1178" s="24" t="str">
        <f aca="false">IF($N1178="","",IFERROR(INDEX(VAT_Codes!$C:$C,MATCH($N1178,VAT_Codes!$A:$A,0)),"")&amp;"")</f>
        <v/>
      </c>
      <c r="U1178" s="26" t="n">
        <f aca="false">IF(OR($S1178="",$T1178="",$T1178="None"),0,IF($T1178="Output",-$S1178,$S1178))</f>
        <v>0</v>
      </c>
      <c r="V1178" s="27" t="n">
        <f aca="false">IF($N1178="",0,IFERROR(INDEX(VAT_Codes!$D:$D,MATCH($N1178,VAT_Codes!$A:$A,0)),0))</f>
        <v>0</v>
      </c>
      <c r="W1178" s="26" t="n">
        <f aca="false">IF($U1178=0,0,IF(IFERROR(INDEX(VAT_Codes!$F:$F,MATCH($N1178,VAT_Codes!$A:$A,0)),"N")="Y",$U1178,IF($L1178&lt;&gt;"",ROUND(ABS($L1178)/IF(OR($R1178="",$R1178=0),1,$R1178),2)*SIGN($U1178),ROUND($U1178*$V1178,2))))</f>
        <v>0</v>
      </c>
      <c r="X1178" s="24" t="str">
        <f aca="false">IF($N1178="","",IFERROR(INDEX(VAT_Codes!$H:$H,MATCH($N1178,VAT_Codes!$A:$A,0)),"")&amp;"")</f>
        <v/>
      </c>
      <c r="Y1178" s="24" t="str">
        <f aca="false">IF($A1178="","",(YEAR($A1178)-YEAR(Settings!$C$8))*12+MONTH($A1178)-MONTH(Settings!$C$8)+1)</f>
        <v/>
      </c>
      <c r="Z1178" s="24" t="str">
        <f aca="false">IF(AND($C1178="",$I1178="",$J1178=""),"",IF($N1178="","NO VAT CODE",IF($T1178="","UNKNOWN VAT CODE",IF($S1178="","MISSING FX RATE",IF(OR($A1178&lt;Settings!$C$8,$A1178&gt;Settings!$C$9),"OUTSIDE PERIOD",IF(AND(IFERROR(INDEX(VAT_Codes!$E:$E,MATCH($N1178,VAT_Codes!$A:$A,0)),"ANY")&lt;&gt;"ANY",$P1178=""),"MISSING COUNTERPARTY COUNTRY",IF(AND(IFERROR(INDEX(VAT_Codes!$E:$E,MATCH($N1178,VAT_Codes!$A:$A,0)),"ANY")&lt;&gt;"ANY",$P1178&lt;&gt;IFERROR(INDEX(VAT_Codes!$E:$E,MATCH($N1178,VAT_Codes!$A:$A,0)),"ANY")),"REGION MISMATCH","OK")))))))</f>
        <v/>
      </c>
    </row>
    <row r="1179" customFormat="false" ht="15" hidden="false" customHeight="false" outlineLevel="0" collapsed="false">
      <c r="M1179" s="24" t="str">
        <f aca="false">IF($C1179="","",IFERROR(INDEX(Account_Mapping!$C:$C,MATCH($C1179&amp;"",Account_Mapping!$A:$A,0))&amp;"",""))</f>
        <v/>
      </c>
      <c r="N1179" s="24" t="str">
        <f aca="false">IF($K1179&lt;&gt;"",$K1179,$M1179)</f>
        <v/>
      </c>
      <c r="O1179" s="24" t="str">
        <f aca="false">IF($F1179="","",IFERROR(INDEX(Counterparties!$C:$C,MATCH($F1179&amp;"",Counterparties!$A:$A,0))&amp;"",""))</f>
        <v/>
      </c>
      <c r="P1179" s="24" t="str">
        <f aca="false">IF($O1179="","",IF($O1179="CY","CY",IF(ISNUMBER(MATCH($O1179,Lists!$A:$A,0)),"EU","3RD")))</f>
        <v/>
      </c>
      <c r="Q1179" s="24" t="str">
        <f aca="false">IF($F1179="","N",IFERROR(IF(INDEX(Counterparties!$E:$E,MATCH($F1179&amp;"",Counterparties!$A:$A,0))="Y","Y","N"),"N"))</f>
        <v>N</v>
      </c>
      <c r="R1179" s="25" t="n">
        <f aca="false">IF(OR($H1179="",$H1179="EUR"),1,IFERROR(INDEX(FX_Rates!$D:$D,MATCH($H1179,FX_Rates!$A:$A,0)),""))</f>
        <v>1</v>
      </c>
      <c r="S1179" s="26" t="str">
        <f aca="false">IF(AND($I1179="",$J1179=""),"",IF($J1179&lt;&gt;"",$J1179,IF(OR($R1179="",$R1179=0),"",ROUND($I1179/$R1179,2))))</f>
        <v/>
      </c>
      <c r="T1179" s="24" t="str">
        <f aca="false">IF($N1179="","",IFERROR(INDEX(VAT_Codes!$C:$C,MATCH($N1179,VAT_Codes!$A:$A,0)),"")&amp;"")</f>
        <v/>
      </c>
      <c r="U1179" s="26" t="n">
        <f aca="false">IF(OR($S1179="",$T1179="",$T1179="None"),0,IF($T1179="Output",-$S1179,$S1179))</f>
        <v>0</v>
      </c>
      <c r="V1179" s="27" t="n">
        <f aca="false">IF($N1179="",0,IFERROR(INDEX(VAT_Codes!$D:$D,MATCH($N1179,VAT_Codes!$A:$A,0)),0))</f>
        <v>0</v>
      </c>
      <c r="W1179" s="26" t="n">
        <f aca="false">IF($U1179=0,0,IF(IFERROR(INDEX(VAT_Codes!$F:$F,MATCH($N1179,VAT_Codes!$A:$A,0)),"N")="Y",$U1179,IF($L1179&lt;&gt;"",ROUND(ABS($L1179)/IF(OR($R1179="",$R1179=0),1,$R1179),2)*SIGN($U1179),ROUND($U1179*$V1179,2))))</f>
        <v>0</v>
      </c>
      <c r="X1179" s="24" t="str">
        <f aca="false">IF($N1179="","",IFERROR(INDEX(VAT_Codes!$H:$H,MATCH($N1179,VAT_Codes!$A:$A,0)),"")&amp;"")</f>
        <v/>
      </c>
      <c r="Y1179" s="24" t="str">
        <f aca="false">IF($A1179="","",(YEAR($A1179)-YEAR(Settings!$C$8))*12+MONTH($A1179)-MONTH(Settings!$C$8)+1)</f>
        <v/>
      </c>
      <c r="Z1179" s="24" t="str">
        <f aca="false">IF(AND($C1179="",$I1179="",$J1179=""),"",IF($N1179="","NO VAT CODE",IF($T1179="","UNKNOWN VAT CODE",IF($S1179="","MISSING FX RATE",IF(OR($A1179&lt;Settings!$C$8,$A1179&gt;Settings!$C$9),"OUTSIDE PERIOD",IF(AND(IFERROR(INDEX(VAT_Codes!$E:$E,MATCH($N1179,VAT_Codes!$A:$A,0)),"ANY")&lt;&gt;"ANY",$P1179=""),"MISSING COUNTERPARTY COUNTRY",IF(AND(IFERROR(INDEX(VAT_Codes!$E:$E,MATCH($N1179,VAT_Codes!$A:$A,0)),"ANY")&lt;&gt;"ANY",$P1179&lt;&gt;IFERROR(INDEX(VAT_Codes!$E:$E,MATCH($N1179,VAT_Codes!$A:$A,0)),"ANY")),"REGION MISMATCH","OK")))))))</f>
        <v/>
      </c>
    </row>
    <row r="1180" customFormat="false" ht="15" hidden="false" customHeight="false" outlineLevel="0" collapsed="false">
      <c r="M1180" s="24" t="str">
        <f aca="false">IF($C1180="","",IFERROR(INDEX(Account_Mapping!$C:$C,MATCH($C1180&amp;"",Account_Mapping!$A:$A,0))&amp;"",""))</f>
        <v/>
      </c>
      <c r="N1180" s="24" t="str">
        <f aca="false">IF($K1180&lt;&gt;"",$K1180,$M1180)</f>
        <v/>
      </c>
      <c r="O1180" s="24" t="str">
        <f aca="false">IF($F1180="","",IFERROR(INDEX(Counterparties!$C:$C,MATCH($F1180&amp;"",Counterparties!$A:$A,0))&amp;"",""))</f>
        <v/>
      </c>
      <c r="P1180" s="24" t="str">
        <f aca="false">IF($O1180="","",IF($O1180="CY","CY",IF(ISNUMBER(MATCH($O1180,Lists!$A:$A,0)),"EU","3RD")))</f>
        <v/>
      </c>
      <c r="Q1180" s="24" t="str">
        <f aca="false">IF($F1180="","N",IFERROR(IF(INDEX(Counterparties!$E:$E,MATCH($F1180&amp;"",Counterparties!$A:$A,0))="Y","Y","N"),"N"))</f>
        <v>N</v>
      </c>
      <c r="R1180" s="25" t="n">
        <f aca="false">IF(OR($H1180="",$H1180="EUR"),1,IFERROR(INDEX(FX_Rates!$D:$D,MATCH($H1180,FX_Rates!$A:$A,0)),""))</f>
        <v>1</v>
      </c>
      <c r="S1180" s="26" t="str">
        <f aca="false">IF(AND($I1180="",$J1180=""),"",IF($J1180&lt;&gt;"",$J1180,IF(OR($R1180="",$R1180=0),"",ROUND($I1180/$R1180,2))))</f>
        <v/>
      </c>
      <c r="T1180" s="24" t="str">
        <f aca="false">IF($N1180="","",IFERROR(INDEX(VAT_Codes!$C:$C,MATCH($N1180,VAT_Codes!$A:$A,0)),"")&amp;"")</f>
        <v/>
      </c>
      <c r="U1180" s="26" t="n">
        <f aca="false">IF(OR($S1180="",$T1180="",$T1180="None"),0,IF($T1180="Output",-$S1180,$S1180))</f>
        <v>0</v>
      </c>
      <c r="V1180" s="27" t="n">
        <f aca="false">IF($N1180="",0,IFERROR(INDEX(VAT_Codes!$D:$D,MATCH($N1180,VAT_Codes!$A:$A,0)),0))</f>
        <v>0</v>
      </c>
      <c r="W1180" s="26" t="n">
        <f aca="false">IF($U1180=0,0,IF(IFERROR(INDEX(VAT_Codes!$F:$F,MATCH($N1180,VAT_Codes!$A:$A,0)),"N")="Y",$U1180,IF($L1180&lt;&gt;"",ROUND(ABS($L1180)/IF(OR($R1180="",$R1180=0),1,$R1180),2)*SIGN($U1180),ROUND($U1180*$V1180,2))))</f>
        <v>0</v>
      </c>
      <c r="X1180" s="24" t="str">
        <f aca="false">IF($N1180="","",IFERROR(INDEX(VAT_Codes!$H:$H,MATCH($N1180,VAT_Codes!$A:$A,0)),"")&amp;"")</f>
        <v/>
      </c>
      <c r="Y1180" s="24" t="str">
        <f aca="false">IF($A1180="","",(YEAR($A1180)-YEAR(Settings!$C$8))*12+MONTH($A1180)-MONTH(Settings!$C$8)+1)</f>
        <v/>
      </c>
      <c r="Z1180" s="24" t="str">
        <f aca="false">IF(AND($C1180="",$I1180="",$J1180=""),"",IF($N1180="","NO VAT CODE",IF($T1180="","UNKNOWN VAT CODE",IF($S1180="","MISSING FX RATE",IF(OR($A1180&lt;Settings!$C$8,$A1180&gt;Settings!$C$9),"OUTSIDE PERIOD",IF(AND(IFERROR(INDEX(VAT_Codes!$E:$E,MATCH($N1180,VAT_Codes!$A:$A,0)),"ANY")&lt;&gt;"ANY",$P1180=""),"MISSING COUNTERPARTY COUNTRY",IF(AND(IFERROR(INDEX(VAT_Codes!$E:$E,MATCH($N1180,VAT_Codes!$A:$A,0)),"ANY")&lt;&gt;"ANY",$P1180&lt;&gt;IFERROR(INDEX(VAT_Codes!$E:$E,MATCH($N1180,VAT_Codes!$A:$A,0)),"ANY")),"REGION MISMATCH","OK")))))))</f>
        <v/>
      </c>
    </row>
    <row r="1181" customFormat="false" ht="15" hidden="false" customHeight="false" outlineLevel="0" collapsed="false">
      <c r="M1181" s="24" t="str">
        <f aca="false">IF($C1181="","",IFERROR(INDEX(Account_Mapping!$C:$C,MATCH($C1181&amp;"",Account_Mapping!$A:$A,0))&amp;"",""))</f>
        <v/>
      </c>
      <c r="N1181" s="24" t="str">
        <f aca="false">IF($K1181&lt;&gt;"",$K1181,$M1181)</f>
        <v/>
      </c>
      <c r="O1181" s="24" t="str">
        <f aca="false">IF($F1181="","",IFERROR(INDEX(Counterparties!$C:$C,MATCH($F1181&amp;"",Counterparties!$A:$A,0))&amp;"",""))</f>
        <v/>
      </c>
      <c r="P1181" s="24" t="str">
        <f aca="false">IF($O1181="","",IF($O1181="CY","CY",IF(ISNUMBER(MATCH($O1181,Lists!$A:$A,0)),"EU","3RD")))</f>
        <v/>
      </c>
      <c r="Q1181" s="24" t="str">
        <f aca="false">IF($F1181="","N",IFERROR(IF(INDEX(Counterparties!$E:$E,MATCH($F1181&amp;"",Counterparties!$A:$A,0))="Y","Y","N"),"N"))</f>
        <v>N</v>
      </c>
      <c r="R1181" s="25" t="n">
        <f aca="false">IF(OR($H1181="",$H1181="EUR"),1,IFERROR(INDEX(FX_Rates!$D:$D,MATCH($H1181,FX_Rates!$A:$A,0)),""))</f>
        <v>1</v>
      </c>
      <c r="S1181" s="26" t="str">
        <f aca="false">IF(AND($I1181="",$J1181=""),"",IF($J1181&lt;&gt;"",$J1181,IF(OR($R1181="",$R1181=0),"",ROUND($I1181/$R1181,2))))</f>
        <v/>
      </c>
      <c r="T1181" s="24" t="str">
        <f aca="false">IF($N1181="","",IFERROR(INDEX(VAT_Codes!$C:$C,MATCH($N1181,VAT_Codes!$A:$A,0)),"")&amp;"")</f>
        <v/>
      </c>
      <c r="U1181" s="26" t="n">
        <f aca="false">IF(OR($S1181="",$T1181="",$T1181="None"),0,IF($T1181="Output",-$S1181,$S1181))</f>
        <v>0</v>
      </c>
      <c r="V1181" s="27" t="n">
        <f aca="false">IF($N1181="",0,IFERROR(INDEX(VAT_Codes!$D:$D,MATCH($N1181,VAT_Codes!$A:$A,0)),0))</f>
        <v>0</v>
      </c>
      <c r="W1181" s="26" t="n">
        <f aca="false">IF($U1181=0,0,IF(IFERROR(INDEX(VAT_Codes!$F:$F,MATCH($N1181,VAT_Codes!$A:$A,0)),"N")="Y",$U1181,IF($L1181&lt;&gt;"",ROUND(ABS($L1181)/IF(OR($R1181="",$R1181=0),1,$R1181),2)*SIGN($U1181),ROUND($U1181*$V1181,2))))</f>
        <v>0</v>
      </c>
      <c r="X1181" s="24" t="str">
        <f aca="false">IF($N1181="","",IFERROR(INDEX(VAT_Codes!$H:$H,MATCH($N1181,VAT_Codes!$A:$A,0)),"")&amp;"")</f>
        <v/>
      </c>
      <c r="Y1181" s="24" t="str">
        <f aca="false">IF($A1181="","",(YEAR($A1181)-YEAR(Settings!$C$8))*12+MONTH($A1181)-MONTH(Settings!$C$8)+1)</f>
        <v/>
      </c>
      <c r="Z1181" s="24" t="str">
        <f aca="false">IF(AND($C1181="",$I1181="",$J1181=""),"",IF($N1181="","NO VAT CODE",IF($T1181="","UNKNOWN VAT CODE",IF($S1181="","MISSING FX RATE",IF(OR($A1181&lt;Settings!$C$8,$A1181&gt;Settings!$C$9),"OUTSIDE PERIOD",IF(AND(IFERROR(INDEX(VAT_Codes!$E:$E,MATCH($N1181,VAT_Codes!$A:$A,0)),"ANY")&lt;&gt;"ANY",$P1181=""),"MISSING COUNTERPARTY COUNTRY",IF(AND(IFERROR(INDEX(VAT_Codes!$E:$E,MATCH($N1181,VAT_Codes!$A:$A,0)),"ANY")&lt;&gt;"ANY",$P1181&lt;&gt;IFERROR(INDEX(VAT_Codes!$E:$E,MATCH($N1181,VAT_Codes!$A:$A,0)),"ANY")),"REGION MISMATCH","OK")))))))</f>
        <v/>
      </c>
    </row>
    <row r="1182" customFormat="false" ht="15" hidden="false" customHeight="false" outlineLevel="0" collapsed="false">
      <c r="M1182" s="24" t="str">
        <f aca="false">IF($C1182="","",IFERROR(INDEX(Account_Mapping!$C:$C,MATCH($C1182&amp;"",Account_Mapping!$A:$A,0))&amp;"",""))</f>
        <v/>
      </c>
      <c r="N1182" s="24" t="str">
        <f aca="false">IF($K1182&lt;&gt;"",$K1182,$M1182)</f>
        <v/>
      </c>
      <c r="O1182" s="24" t="str">
        <f aca="false">IF($F1182="","",IFERROR(INDEX(Counterparties!$C:$C,MATCH($F1182&amp;"",Counterparties!$A:$A,0))&amp;"",""))</f>
        <v/>
      </c>
      <c r="P1182" s="24" t="str">
        <f aca="false">IF($O1182="","",IF($O1182="CY","CY",IF(ISNUMBER(MATCH($O1182,Lists!$A:$A,0)),"EU","3RD")))</f>
        <v/>
      </c>
      <c r="Q1182" s="24" t="str">
        <f aca="false">IF($F1182="","N",IFERROR(IF(INDEX(Counterparties!$E:$E,MATCH($F1182&amp;"",Counterparties!$A:$A,0))="Y","Y","N"),"N"))</f>
        <v>N</v>
      </c>
      <c r="R1182" s="25" t="n">
        <f aca="false">IF(OR($H1182="",$H1182="EUR"),1,IFERROR(INDEX(FX_Rates!$D:$D,MATCH($H1182,FX_Rates!$A:$A,0)),""))</f>
        <v>1</v>
      </c>
      <c r="S1182" s="26" t="str">
        <f aca="false">IF(AND($I1182="",$J1182=""),"",IF($J1182&lt;&gt;"",$J1182,IF(OR($R1182="",$R1182=0),"",ROUND($I1182/$R1182,2))))</f>
        <v/>
      </c>
      <c r="T1182" s="24" t="str">
        <f aca="false">IF($N1182="","",IFERROR(INDEX(VAT_Codes!$C:$C,MATCH($N1182,VAT_Codes!$A:$A,0)),"")&amp;"")</f>
        <v/>
      </c>
      <c r="U1182" s="26" t="n">
        <f aca="false">IF(OR($S1182="",$T1182="",$T1182="None"),0,IF($T1182="Output",-$S1182,$S1182))</f>
        <v>0</v>
      </c>
      <c r="V1182" s="27" t="n">
        <f aca="false">IF($N1182="",0,IFERROR(INDEX(VAT_Codes!$D:$D,MATCH($N1182,VAT_Codes!$A:$A,0)),0))</f>
        <v>0</v>
      </c>
      <c r="W1182" s="26" t="n">
        <f aca="false">IF($U1182=0,0,IF(IFERROR(INDEX(VAT_Codes!$F:$F,MATCH($N1182,VAT_Codes!$A:$A,0)),"N")="Y",$U1182,IF($L1182&lt;&gt;"",ROUND(ABS($L1182)/IF(OR($R1182="",$R1182=0),1,$R1182),2)*SIGN($U1182),ROUND($U1182*$V1182,2))))</f>
        <v>0</v>
      </c>
      <c r="X1182" s="24" t="str">
        <f aca="false">IF($N1182="","",IFERROR(INDEX(VAT_Codes!$H:$H,MATCH($N1182,VAT_Codes!$A:$A,0)),"")&amp;"")</f>
        <v/>
      </c>
      <c r="Y1182" s="24" t="str">
        <f aca="false">IF($A1182="","",(YEAR($A1182)-YEAR(Settings!$C$8))*12+MONTH($A1182)-MONTH(Settings!$C$8)+1)</f>
        <v/>
      </c>
      <c r="Z1182" s="24" t="str">
        <f aca="false">IF(AND($C1182="",$I1182="",$J1182=""),"",IF($N1182="","NO VAT CODE",IF($T1182="","UNKNOWN VAT CODE",IF($S1182="","MISSING FX RATE",IF(OR($A1182&lt;Settings!$C$8,$A1182&gt;Settings!$C$9),"OUTSIDE PERIOD",IF(AND(IFERROR(INDEX(VAT_Codes!$E:$E,MATCH($N1182,VAT_Codes!$A:$A,0)),"ANY")&lt;&gt;"ANY",$P1182=""),"MISSING COUNTERPARTY COUNTRY",IF(AND(IFERROR(INDEX(VAT_Codes!$E:$E,MATCH($N1182,VAT_Codes!$A:$A,0)),"ANY")&lt;&gt;"ANY",$P1182&lt;&gt;IFERROR(INDEX(VAT_Codes!$E:$E,MATCH($N1182,VAT_Codes!$A:$A,0)),"ANY")),"REGION MISMATCH","OK")))))))</f>
        <v/>
      </c>
    </row>
    <row r="1183" customFormat="false" ht="15" hidden="false" customHeight="false" outlineLevel="0" collapsed="false">
      <c r="M1183" s="24" t="str">
        <f aca="false">IF($C1183="","",IFERROR(INDEX(Account_Mapping!$C:$C,MATCH($C1183&amp;"",Account_Mapping!$A:$A,0))&amp;"",""))</f>
        <v/>
      </c>
      <c r="N1183" s="24" t="str">
        <f aca="false">IF($K1183&lt;&gt;"",$K1183,$M1183)</f>
        <v/>
      </c>
      <c r="O1183" s="24" t="str">
        <f aca="false">IF($F1183="","",IFERROR(INDEX(Counterparties!$C:$C,MATCH($F1183&amp;"",Counterparties!$A:$A,0))&amp;"",""))</f>
        <v/>
      </c>
      <c r="P1183" s="24" t="str">
        <f aca="false">IF($O1183="","",IF($O1183="CY","CY",IF(ISNUMBER(MATCH($O1183,Lists!$A:$A,0)),"EU","3RD")))</f>
        <v/>
      </c>
      <c r="Q1183" s="24" t="str">
        <f aca="false">IF($F1183="","N",IFERROR(IF(INDEX(Counterparties!$E:$E,MATCH($F1183&amp;"",Counterparties!$A:$A,0))="Y","Y","N"),"N"))</f>
        <v>N</v>
      </c>
      <c r="R1183" s="25" t="n">
        <f aca="false">IF(OR($H1183="",$H1183="EUR"),1,IFERROR(INDEX(FX_Rates!$D:$D,MATCH($H1183,FX_Rates!$A:$A,0)),""))</f>
        <v>1</v>
      </c>
      <c r="S1183" s="26" t="str">
        <f aca="false">IF(AND($I1183="",$J1183=""),"",IF($J1183&lt;&gt;"",$J1183,IF(OR($R1183="",$R1183=0),"",ROUND($I1183/$R1183,2))))</f>
        <v/>
      </c>
      <c r="T1183" s="24" t="str">
        <f aca="false">IF($N1183="","",IFERROR(INDEX(VAT_Codes!$C:$C,MATCH($N1183,VAT_Codes!$A:$A,0)),"")&amp;"")</f>
        <v/>
      </c>
      <c r="U1183" s="26" t="n">
        <f aca="false">IF(OR($S1183="",$T1183="",$T1183="None"),0,IF($T1183="Output",-$S1183,$S1183))</f>
        <v>0</v>
      </c>
      <c r="V1183" s="27" t="n">
        <f aca="false">IF($N1183="",0,IFERROR(INDEX(VAT_Codes!$D:$D,MATCH($N1183,VAT_Codes!$A:$A,0)),0))</f>
        <v>0</v>
      </c>
      <c r="W1183" s="26" t="n">
        <f aca="false">IF($U1183=0,0,IF(IFERROR(INDEX(VAT_Codes!$F:$F,MATCH($N1183,VAT_Codes!$A:$A,0)),"N")="Y",$U1183,IF($L1183&lt;&gt;"",ROUND(ABS($L1183)/IF(OR($R1183="",$R1183=0),1,$R1183),2)*SIGN($U1183),ROUND($U1183*$V1183,2))))</f>
        <v>0</v>
      </c>
      <c r="X1183" s="24" t="str">
        <f aca="false">IF($N1183="","",IFERROR(INDEX(VAT_Codes!$H:$H,MATCH($N1183,VAT_Codes!$A:$A,0)),"")&amp;"")</f>
        <v/>
      </c>
      <c r="Y1183" s="24" t="str">
        <f aca="false">IF($A1183="","",(YEAR($A1183)-YEAR(Settings!$C$8))*12+MONTH($A1183)-MONTH(Settings!$C$8)+1)</f>
        <v/>
      </c>
      <c r="Z1183" s="24" t="str">
        <f aca="false">IF(AND($C1183="",$I1183="",$J1183=""),"",IF($N1183="","NO VAT CODE",IF($T1183="","UNKNOWN VAT CODE",IF($S1183="","MISSING FX RATE",IF(OR($A1183&lt;Settings!$C$8,$A1183&gt;Settings!$C$9),"OUTSIDE PERIOD",IF(AND(IFERROR(INDEX(VAT_Codes!$E:$E,MATCH($N1183,VAT_Codes!$A:$A,0)),"ANY")&lt;&gt;"ANY",$P1183=""),"MISSING COUNTERPARTY COUNTRY",IF(AND(IFERROR(INDEX(VAT_Codes!$E:$E,MATCH($N1183,VAT_Codes!$A:$A,0)),"ANY")&lt;&gt;"ANY",$P1183&lt;&gt;IFERROR(INDEX(VAT_Codes!$E:$E,MATCH($N1183,VAT_Codes!$A:$A,0)),"ANY")),"REGION MISMATCH","OK")))))))</f>
        <v/>
      </c>
    </row>
    <row r="1184" customFormat="false" ht="15" hidden="false" customHeight="false" outlineLevel="0" collapsed="false">
      <c r="M1184" s="24" t="str">
        <f aca="false">IF($C1184="","",IFERROR(INDEX(Account_Mapping!$C:$C,MATCH($C1184&amp;"",Account_Mapping!$A:$A,0))&amp;"",""))</f>
        <v/>
      </c>
      <c r="N1184" s="24" t="str">
        <f aca="false">IF($K1184&lt;&gt;"",$K1184,$M1184)</f>
        <v/>
      </c>
      <c r="O1184" s="24" t="str">
        <f aca="false">IF($F1184="","",IFERROR(INDEX(Counterparties!$C:$C,MATCH($F1184&amp;"",Counterparties!$A:$A,0))&amp;"",""))</f>
        <v/>
      </c>
      <c r="P1184" s="24" t="str">
        <f aca="false">IF($O1184="","",IF($O1184="CY","CY",IF(ISNUMBER(MATCH($O1184,Lists!$A:$A,0)),"EU","3RD")))</f>
        <v/>
      </c>
      <c r="Q1184" s="24" t="str">
        <f aca="false">IF($F1184="","N",IFERROR(IF(INDEX(Counterparties!$E:$E,MATCH($F1184&amp;"",Counterparties!$A:$A,0))="Y","Y","N"),"N"))</f>
        <v>N</v>
      </c>
      <c r="R1184" s="25" t="n">
        <f aca="false">IF(OR($H1184="",$H1184="EUR"),1,IFERROR(INDEX(FX_Rates!$D:$D,MATCH($H1184,FX_Rates!$A:$A,0)),""))</f>
        <v>1</v>
      </c>
      <c r="S1184" s="26" t="str">
        <f aca="false">IF(AND($I1184="",$J1184=""),"",IF($J1184&lt;&gt;"",$J1184,IF(OR($R1184="",$R1184=0),"",ROUND($I1184/$R1184,2))))</f>
        <v/>
      </c>
      <c r="T1184" s="24" t="str">
        <f aca="false">IF($N1184="","",IFERROR(INDEX(VAT_Codes!$C:$C,MATCH($N1184,VAT_Codes!$A:$A,0)),"")&amp;"")</f>
        <v/>
      </c>
      <c r="U1184" s="26" t="n">
        <f aca="false">IF(OR($S1184="",$T1184="",$T1184="None"),0,IF($T1184="Output",-$S1184,$S1184))</f>
        <v>0</v>
      </c>
      <c r="V1184" s="27" t="n">
        <f aca="false">IF($N1184="",0,IFERROR(INDEX(VAT_Codes!$D:$D,MATCH($N1184,VAT_Codes!$A:$A,0)),0))</f>
        <v>0</v>
      </c>
      <c r="W1184" s="26" t="n">
        <f aca="false">IF($U1184=0,0,IF(IFERROR(INDEX(VAT_Codes!$F:$F,MATCH($N1184,VAT_Codes!$A:$A,0)),"N")="Y",$U1184,IF($L1184&lt;&gt;"",ROUND(ABS($L1184)/IF(OR($R1184="",$R1184=0),1,$R1184),2)*SIGN($U1184),ROUND($U1184*$V1184,2))))</f>
        <v>0</v>
      </c>
      <c r="X1184" s="24" t="str">
        <f aca="false">IF($N1184="","",IFERROR(INDEX(VAT_Codes!$H:$H,MATCH($N1184,VAT_Codes!$A:$A,0)),"")&amp;"")</f>
        <v/>
      </c>
      <c r="Y1184" s="24" t="str">
        <f aca="false">IF($A1184="","",(YEAR($A1184)-YEAR(Settings!$C$8))*12+MONTH($A1184)-MONTH(Settings!$C$8)+1)</f>
        <v/>
      </c>
      <c r="Z1184" s="24" t="str">
        <f aca="false">IF(AND($C1184="",$I1184="",$J1184=""),"",IF($N1184="","NO VAT CODE",IF($T1184="","UNKNOWN VAT CODE",IF($S1184="","MISSING FX RATE",IF(OR($A1184&lt;Settings!$C$8,$A1184&gt;Settings!$C$9),"OUTSIDE PERIOD",IF(AND(IFERROR(INDEX(VAT_Codes!$E:$E,MATCH($N1184,VAT_Codes!$A:$A,0)),"ANY")&lt;&gt;"ANY",$P1184=""),"MISSING COUNTERPARTY COUNTRY",IF(AND(IFERROR(INDEX(VAT_Codes!$E:$E,MATCH($N1184,VAT_Codes!$A:$A,0)),"ANY")&lt;&gt;"ANY",$P1184&lt;&gt;IFERROR(INDEX(VAT_Codes!$E:$E,MATCH($N1184,VAT_Codes!$A:$A,0)),"ANY")),"REGION MISMATCH","OK")))))))</f>
        <v/>
      </c>
    </row>
    <row r="1185" customFormat="false" ht="15" hidden="false" customHeight="false" outlineLevel="0" collapsed="false">
      <c r="M1185" s="24" t="str">
        <f aca="false">IF($C1185="","",IFERROR(INDEX(Account_Mapping!$C:$C,MATCH($C1185&amp;"",Account_Mapping!$A:$A,0))&amp;"",""))</f>
        <v/>
      </c>
      <c r="N1185" s="24" t="str">
        <f aca="false">IF($K1185&lt;&gt;"",$K1185,$M1185)</f>
        <v/>
      </c>
      <c r="O1185" s="24" t="str">
        <f aca="false">IF($F1185="","",IFERROR(INDEX(Counterparties!$C:$C,MATCH($F1185&amp;"",Counterparties!$A:$A,0))&amp;"",""))</f>
        <v/>
      </c>
      <c r="P1185" s="24" t="str">
        <f aca="false">IF($O1185="","",IF($O1185="CY","CY",IF(ISNUMBER(MATCH($O1185,Lists!$A:$A,0)),"EU","3RD")))</f>
        <v/>
      </c>
      <c r="Q1185" s="24" t="str">
        <f aca="false">IF($F1185="","N",IFERROR(IF(INDEX(Counterparties!$E:$E,MATCH($F1185&amp;"",Counterparties!$A:$A,0))="Y","Y","N"),"N"))</f>
        <v>N</v>
      </c>
      <c r="R1185" s="25" t="n">
        <f aca="false">IF(OR($H1185="",$H1185="EUR"),1,IFERROR(INDEX(FX_Rates!$D:$D,MATCH($H1185,FX_Rates!$A:$A,0)),""))</f>
        <v>1</v>
      </c>
      <c r="S1185" s="26" t="str">
        <f aca="false">IF(AND($I1185="",$J1185=""),"",IF($J1185&lt;&gt;"",$J1185,IF(OR($R1185="",$R1185=0),"",ROUND($I1185/$R1185,2))))</f>
        <v/>
      </c>
      <c r="T1185" s="24" t="str">
        <f aca="false">IF($N1185="","",IFERROR(INDEX(VAT_Codes!$C:$C,MATCH($N1185,VAT_Codes!$A:$A,0)),"")&amp;"")</f>
        <v/>
      </c>
      <c r="U1185" s="26" t="n">
        <f aca="false">IF(OR($S1185="",$T1185="",$T1185="None"),0,IF($T1185="Output",-$S1185,$S1185))</f>
        <v>0</v>
      </c>
      <c r="V1185" s="27" t="n">
        <f aca="false">IF($N1185="",0,IFERROR(INDEX(VAT_Codes!$D:$D,MATCH($N1185,VAT_Codes!$A:$A,0)),0))</f>
        <v>0</v>
      </c>
      <c r="W1185" s="26" t="n">
        <f aca="false">IF($U1185=0,0,IF(IFERROR(INDEX(VAT_Codes!$F:$F,MATCH($N1185,VAT_Codes!$A:$A,0)),"N")="Y",$U1185,IF($L1185&lt;&gt;"",ROUND(ABS($L1185)/IF(OR($R1185="",$R1185=0),1,$R1185),2)*SIGN($U1185),ROUND($U1185*$V1185,2))))</f>
        <v>0</v>
      </c>
      <c r="X1185" s="24" t="str">
        <f aca="false">IF($N1185="","",IFERROR(INDEX(VAT_Codes!$H:$H,MATCH($N1185,VAT_Codes!$A:$A,0)),"")&amp;"")</f>
        <v/>
      </c>
      <c r="Y1185" s="24" t="str">
        <f aca="false">IF($A1185="","",(YEAR($A1185)-YEAR(Settings!$C$8))*12+MONTH($A1185)-MONTH(Settings!$C$8)+1)</f>
        <v/>
      </c>
      <c r="Z1185" s="24" t="str">
        <f aca="false">IF(AND($C1185="",$I1185="",$J1185=""),"",IF($N1185="","NO VAT CODE",IF($T1185="","UNKNOWN VAT CODE",IF($S1185="","MISSING FX RATE",IF(OR($A1185&lt;Settings!$C$8,$A1185&gt;Settings!$C$9),"OUTSIDE PERIOD",IF(AND(IFERROR(INDEX(VAT_Codes!$E:$E,MATCH($N1185,VAT_Codes!$A:$A,0)),"ANY")&lt;&gt;"ANY",$P1185=""),"MISSING COUNTERPARTY COUNTRY",IF(AND(IFERROR(INDEX(VAT_Codes!$E:$E,MATCH($N1185,VAT_Codes!$A:$A,0)),"ANY")&lt;&gt;"ANY",$P1185&lt;&gt;IFERROR(INDEX(VAT_Codes!$E:$E,MATCH($N1185,VAT_Codes!$A:$A,0)),"ANY")),"REGION MISMATCH","OK")))))))</f>
        <v/>
      </c>
    </row>
    <row r="1186" customFormat="false" ht="15" hidden="false" customHeight="false" outlineLevel="0" collapsed="false">
      <c r="M1186" s="24" t="str">
        <f aca="false">IF($C1186="","",IFERROR(INDEX(Account_Mapping!$C:$C,MATCH($C1186&amp;"",Account_Mapping!$A:$A,0))&amp;"",""))</f>
        <v/>
      </c>
      <c r="N1186" s="24" t="str">
        <f aca="false">IF($K1186&lt;&gt;"",$K1186,$M1186)</f>
        <v/>
      </c>
      <c r="O1186" s="24" t="str">
        <f aca="false">IF($F1186="","",IFERROR(INDEX(Counterparties!$C:$C,MATCH($F1186&amp;"",Counterparties!$A:$A,0))&amp;"",""))</f>
        <v/>
      </c>
      <c r="P1186" s="24" t="str">
        <f aca="false">IF($O1186="","",IF($O1186="CY","CY",IF(ISNUMBER(MATCH($O1186,Lists!$A:$A,0)),"EU","3RD")))</f>
        <v/>
      </c>
      <c r="Q1186" s="24" t="str">
        <f aca="false">IF($F1186="","N",IFERROR(IF(INDEX(Counterparties!$E:$E,MATCH($F1186&amp;"",Counterparties!$A:$A,0))="Y","Y","N"),"N"))</f>
        <v>N</v>
      </c>
      <c r="R1186" s="25" t="n">
        <f aca="false">IF(OR($H1186="",$H1186="EUR"),1,IFERROR(INDEX(FX_Rates!$D:$D,MATCH($H1186,FX_Rates!$A:$A,0)),""))</f>
        <v>1</v>
      </c>
      <c r="S1186" s="26" t="str">
        <f aca="false">IF(AND($I1186="",$J1186=""),"",IF($J1186&lt;&gt;"",$J1186,IF(OR($R1186="",$R1186=0),"",ROUND($I1186/$R1186,2))))</f>
        <v/>
      </c>
      <c r="T1186" s="24" t="str">
        <f aca="false">IF($N1186="","",IFERROR(INDEX(VAT_Codes!$C:$C,MATCH($N1186,VAT_Codes!$A:$A,0)),"")&amp;"")</f>
        <v/>
      </c>
      <c r="U1186" s="26" t="n">
        <f aca="false">IF(OR($S1186="",$T1186="",$T1186="None"),0,IF($T1186="Output",-$S1186,$S1186))</f>
        <v>0</v>
      </c>
      <c r="V1186" s="27" t="n">
        <f aca="false">IF($N1186="",0,IFERROR(INDEX(VAT_Codes!$D:$D,MATCH($N1186,VAT_Codes!$A:$A,0)),0))</f>
        <v>0</v>
      </c>
      <c r="W1186" s="26" t="n">
        <f aca="false">IF($U1186=0,0,IF(IFERROR(INDEX(VAT_Codes!$F:$F,MATCH($N1186,VAT_Codes!$A:$A,0)),"N")="Y",$U1186,IF($L1186&lt;&gt;"",ROUND(ABS($L1186)/IF(OR($R1186="",$R1186=0),1,$R1186),2)*SIGN($U1186),ROUND($U1186*$V1186,2))))</f>
        <v>0</v>
      </c>
      <c r="X1186" s="24" t="str">
        <f aca="false">IF($N1186="","",IFERROR(INDEX(VAT_Codes!$H:$H,MATCH($N1186,VAT_Codes!$A:$A,0)),"")&amp;"")</f>
        <v/>
      </c>
      <c r="Y1186" s="24" t="str">
        <f aca="false">IF($A1186="","",(YEAR($A1186)-YEAR(Settings!$C$8))*12+MONTH($A1186)-MONTH(Settings!$C$8)+1)</f>
        <v/>
      </c>
      <c r="Z1186" s="24" t="str">
        <f aca="false">IF(AND($C1186="",$I1186="",$J1186=""),"",IF($N1186="","NO VAT CODE",IF($T1186="","UNKNOWN VAT CODE",IF($S1186="","MISSING FX RATE",IF(OR($A1186&lt;Settings!$C$8,$A1186&gt;Settings!$C$9),"OUTSIDE PERIOD",IF(AND(IFERROR(INDEX(VAT_Codes!$E:$E,MATCH($N1186,VAT_Codes!$A:$A,0)),"ANY")&lt;&gt;"ANY",$P1186=""),"MISSING COUNTERPARTY COUNTRY",IF(AND(IFERROR(INDEX(VAT_Codes!$E:$E,MATCH($N1186,VAT_Codes!$A:$A,0)),"ANY")&lt;&gt;"ANY",$P1186&lt;&gt;IFERROR(INDEX(VAT_Codes!$E:$E,MATCH($N1186,VAT_Codes!$A:$A,0)),"ANY")),"REGION MISMATCH","OK")))))))</f>
        <v/>
      </c>
    </row>
    <row r="1187" customFormat="false" ht="15" hidden="false" customHeight="false" outlineLevel="0" collapsed="false">
      <c r="M1187" s="24" t="str">
        <f aca="false">IF($C1187="","",IFERROR(INDEX(Account_Mapping!$C:$C,MATCH($C1187&amp;"",Account_Mapping!$A:$A,0))&amp;"",""))</f>
        <v/>
      </c>
      <c r="N1187" s="24" t="str">
        <f aca="false">IF($K1187&lt;&gt;"",$K1187,$M1187)</f>
        <v/>
      </c>
      <c r="O1187" s="24" t="str">
        <f aca="false">IF($F1187="","",IFERROR(INDEX(Counterparties!$C:$C,MATCH($F1187&amp;"",Counterparties!$A:$A,0))&amp;"",""))</f>
        <v/>
      </c>
      <c r="P1187" s="24" t="str">
        <f aca="false">IF($O1187="","",IF($O1187="CY","CY",IF(ISNUMBER(MATCH($O1187,Lists!$A:$A,0)),"EU","3RD")))</f>
        <v/>
      </c>
      <c r="Q1187" s="24" t="str">
        <f aca="false">IF($F1187="","N",IFERROR(IF(INDEX(Counterparties!$E:$E,MATCH($F1187&amp;"",Counterparties!$A:$A,0))="Y","Y","N"),"N"))</f>
        <v>N</v>
      </c>
      <c r="R1187" s="25" t="n">
        <f aca="false">IF(OR($H1187="",$H1187="EUR"),1,IFERROR(INDEX(FX_Rates!$D:$D,MATCH($H1187,FX_Rates!$A:$A,0)),""))</f>
        <v>1</v>
      </c>
      <c r="S1187" s="26" t="str">
        <f aca="false">IF(AND($I1187="",$J1187=""),"",IF($J1187&lt;&gt;"",$J1187,IF(OR($R1187="",$R1187=0),"",ROUND($I1187/$R1187,2))))</f>
        <v/>
      </c>
      <c r="T1187" s="24" t="str">
        <f aca="false">IF($N1187="","",IFERROR(INDEX(VAT_Codes!$C:$C,MATCH($N1187,VAT_Codes!$A:$A,0)),"")&amp;"")</f>
        <v/>
      </c>
      <c r="U1187" s="26" t="n">
        <f aca="false">IF(OR($S1187="",$T1187="",$T1187="None"),0,IF($T1187="Output",-$S1187,$S1187))</f>
        <v>0</v>
      </c>
      <c r="V1187" s="27" t="n">
        <f aca="false">IF($N1187="",0,IFERROR(INDEX(VAT_Codes!$D:$D,MATCH($N1187,VAT_Codes!$A:$A,0)),0))</f>
        <v>0</v>
      </c>
      <c r="W1187" s="26" t="n">
        <f aca="false">IF($U1187=0,0,IF(IFERROR(INDEX(VAT_Codes!$F:$F,MATCH($N1187,VAT_Codes!$A:$A,0)),"N")="Y",$U1187,IF($L1187&lt;&gt;"",ROUND(ABS($L1187)/IF(OR($R1187="",$R1187=0),1,$R1187),2)*SIGN($U1187),ROUND($U1187*$V1187,2))))</f>
        <v>0</v>
      </c>
      <c r="X1187" s="24" t="str">
        <f aca="false">IF($N1187="","",IFERROR(INDEX(VAT_Codes!$H:$H,MATCH($N1187,VAT_Codes!$A:$A,0)),"")&amp;"")</f>
        <v/>
      </c>
      <c r="Y1187" s="24" t="str">
        <f aca="false">IF($A1187="","",(YEAR($A1187)-YEAR(Settings!$C$8))*12+MONTH($A1187)-MONTH(Settings!$C$8)+1)</f>
        <v/>
      </c>
      <c r="Z1187" s="24" t="str">
        <f aca="false">IF(AND($C1187="",$I1187="",$J1187=""),"",IF($N1187="","NO VAT CODE",IF($T1187="","UNKNOWN VAT CODE",IF($S1187="","MISSING FX RATE",IF(OR($A1187&lt;Settings!$C$8,$A1187&gt;Settings!$C$9),"OUTSIDE PERIOD",IF(AND(IFERROR(INDEX(VAT_Codes!$E:$E,MATCH($N1187,VAT_Codes!$A:$A,0)),"ANY")&lt;&gt;"ANY",$P1187=""),"MISSING COUNTERPARTY COUNTRY",IF(AND(IFERROR(INDEX(VAT_Codes!$E:$E,MATCH($N1187,VAT_Codes!$A:$A,0)),"ANY")&lt;&gt;"ANY",$P1187&lt;&gt;IFERROR(INDEX(VAT_Codes!$E:$E,MATCH($N1187,VAT_Codes!$A:$A,0)),"ANY")),"REGION MISMATCH","OK")))))))</f>
        <v/>
      </c>
    </row>
    <row r="1188" customFormat="false" ht="15" hidden="false" customHeight="false" outlineLevel="0" collapsed="false">
      <c r="M1188" s="24" t="str">
        <f aca="false">IF($C1188="","",IFERROR(INDEX(Account_Mapping!$C:$C,MATCH($C1188&amp;"",Account_Mapping!$A:$A,0))&amp;"",""))</f>
        <v/>
      </c>
      <c r="N1188" s="24" t="str">
        <f aca="false">IF($K1188&lt;&gt;"",$K1188,$M1188)</f>
        <v/>
      </c>
      <c r="O1188" s="24" t="str">
        <f aca="false">IF($F1188="","",IFERROR(INDEX(Counterparties!$C:$C,MATCH($F1188&amp;"",Counterparties!$A:$A,0))&amp;"",""))</f>
        <v/>
      </c>
      <c r="P1188" s="24" t="str">
        <f aca="false">IF($O1188="","",IF($O1188="CY","CY",IF(ISNUMBER(MATCH($O1188,Lists!$A:$A,0)),"EU","3RD")))</f>
        <v/>
      </c>
      <c r="Q1188" s="24" t="str">
        <f aca="false">IF($F1188="","N",IFERROR(IF(INDEX(Counterparties!$E:$E,MATCH($F1188&amp;"",Counterparties!$A:$A,0))="Y","Y","N"),"N"))</f>
        <v>N</v>
      </c>
      <c r="R1188" s="25" t="n">
        <f aca="false">IF(OR($H1188="",$H1188="EUR"),1,IFERROR(INDEX(FX_Rates!$D:$D,MATCH($H1188,FX_Rates!$A:$A,0)),""))</f>
        <v>1</v>
      </c>
      <c r="S1188" s="26" t="str">
        <f aca="false">IF(AND($I1188="",$J1188=""),"",IF($J1188&lt;&gt;"",$J1188,IF(OR($R1188="",$R1188=0),"",ROUND($I1188/$R1188,2))))</f>
        <v/>
      </c>
      <c r="T1188" s="24" t="str">
        <f aca="false">IF($N1188="","",IFERROR(INDEX(VAT_Codes!$C:$C,MATCH($N1188,VAT_Codes!$A:$A,0)),"")&amp;"")</f>
        <v/>
      </c>
      <c r="U1188" s="26" t="n">
        <f aca="false">IF(OR($S1188="",$T1188="",$T1188="None"),0,IF($T1188="Output",-$S1188,$S1188))</f>
        <v>0</v>
      </c>
      <c r="V1188" s="27" t="n">
        <f aca="false">IF($N1188="",0,IFERROR(INDEX(VAT_Codes!$D:$D,MATCH($N1188,VAT_Codes!$A:$A,0)),0))</f>
        <v>0</v>
      </c>
      <c r="W1188" s="26" t="n">
        <f aca="false">IF($U1188=0,0,IF(IFERROR(INDEX(VAT_Codes!$F:$F,MATCH($N1188,VAT_Codes!$A:$A,0)),"N")="Y",$U1188,IF($L1188&lt;&gt;"",ROUND(ABS($L1188)/IF(OR($R1188="",$R1188=0),1,$R1188),2)*SIGN($U1188),ROUND($U1188*$V1188,2))))</f>
        <v>0</v>
      </c>
      <c r="X1188" s="24" t="str">
        <f aca="false">IF($N1188="","",IFERROR(INDEX(VAT_Codes!$H:$H,MATCH($N1188,VAT_Codes!$A:$A,0)),"")&amp;"")</f>
        <v/>
      </c>
      <c r="Y1188" s="24" t="str">
        <f aca="false">IF($A1188="","",(YEAR($A1188)-YEAR(Settings!$C$8))*12+MONTH($A1188)-MONTH(Settings!$C$8)+1)</f>
        <v/>
      </c>
      <c r="Z1188" s="24" t="str">
        <f aca="false">IF(AND($C1188="",$I1188="",$J1188=""),"",IF($N1188="","NO VAT CODE",IF($T1188="","UNKNOWN VAT CODE",IF($S1188="","MISSING FX RATE",IF(OR($A1188&lt;Settings!$C$8,$A1188&gt;Settings!$C$9),"OUTSIDE PERIOD",IF(AND(IFERROR(INDEX(VAT_Codes!$E:$E,MATCH($N1188,VAT_Codes!$A:$A,0)),"ANY")&lt;&gt;"ANY",$P1188=""),"MISSING COUNTERPARTY COUNTRY",IF(AND(IFERROR(INDEX(VAT_Codes!$E:$E,MATCH($N1188,VAT_Codes!$A:$A,0)),"ANY")&lt;&gt;"ANY",$P1188&lt;&gt;IFERROR(INDEX(VAT_Codes!$E:$E,MATCH($N1188,VAT_Codes!$A:$A,0)),"ANY")),"REGION MISMATCH","OK")))))))</f>
        <v/>
      </c>
    </row>
    <row r="1189" customFormat="false" ht="15" hidden="false" customHeight="false" outlineLevel="0" collapsed="false">
      <c r="M1189" s="24" t="str">
        <f aca="false">IF($C1189="","",IFERROR(INDEX(Account_Mapping!$C:$C,MATCH($C1189&amp;"",Account_Mapping!$A:$A,0))&amp;"",""))</f>
        <v/>
      </c>
      <c r="N1189" s="24" t="str">
        <f aca="false">IF($K1189&lt;&gt;"",$K1189,$M1189)</f>
        <v/>
      </c>
      <c r="O1189" s="24" t="str">
        <f aca="false">IF($F1189="","",IFERROR(INDEX(Counterparties!$C:$C,MATCH($F1189&amp;"",Counterparties!$A:$A,0))&amp;"",""))</f>
        <v/>
      </c>
      <c r="P1189" s="24" t="str">
        <f aca="false">IF($O1189="","",IF($O1189="CY","CY",IF(ISNUMBER(MATCH($O1189,Lists!$A:$A,0)),"EU","3RD")))</f>
        <v/>
      </c>
      <c r="Q1189" s="24" t="str">
        <f aca="false">IF($F1189="","N",IFERROR(IF(INDEX(Counterparties!$E:$E,MATCH($F1189&amp;"",Counterparties!$A:$A,0))="Y","Y","N"),"N"))</f>
        <v>N</v>
      </c>
      <c r="R1189" s="25" t="n">
        <f aca="false">IF(OR($H1189="",$H1189="EUR"),1,IFERROR(INDEX(FX_Rates!$D:$D,MATCH($H1189,FX_Rates!$A:$A,0)),""))</f>
        <v>1</v>
      </c>
      <c r="S1189" s="26" t="str">
        <f aca="false">IF(AND($I1189="",$J1189=""),"",IF($J1189&lt;&gt;"",$J1189,IF(OR($R1189="",$R1189=0),"",ROUND($I1189/$R1189,2))))</f>
        <v/>
      </c>
      <c r="T1189" s="24" t="str">
        <f aca="false">IF($N1189="","",IFERROR(INDEX(VAT_Codes!$C:$C,MATCH($N1189,VAT_Codes!$A:$A,0)),"")&amp;"")</f>
        <v/>
      </c>
      <c r="U1189" s="26" t="n">
        <f aca="false">IF(OR($S1189="",$T1189="",$T1189="None"),0,IF($T1189="Output",-$S1189,$S1189))</f>
        <v>0</v>
      </c>
      <c r="V1189" s="27" t="n">
        <f aca="false">IF($N1189="",0,IFERROR(INDEX(VAT_Codes!$D:$D,MATCH($N1189,VAT_Codes!$A:$A,0)),0))</f>
        <v>0</v>
      </c>
      <c r="W1189" s="26" t="n">
        <f aca="false">IF($U1189=0,0,IF(IFERROR(INDEX(VAT_Codes!$F:$F,MATCH($N1189,VAT_Codes!$A:$A,0)),"N")="Y",$U1189,IF($L1189&lt;&gt;"",ROUND(ABS($L1189)/IF(OR($R1189="",$R1189=0),1,$R1189),2)*SIGN($U1189),ROUND($U1189*$V1189,2))))</f>
        <v>0</v>
      </c>
      <c r="X1189" s="24" t="str">
        <f aca="false">IF($N1189="","",IFERROR(INDEX(VAT_Codes!$H:$H,MATCH($N1189,VAT_Codes!$A:$A,0)),"")&amp;"")</f>
        <v/>
      </c>
      <c r="Y1189" s="24" t="str">
        <f aca="false">IF($A1189="","",(YEAR($A1189)-YEAR(Settings!$C$8))*12+MONTH($A1189)-MONTH(Settings!$C$8)+1)</f>
        <v/>
      </c>
      <c r="Z1189" s="24" t="str">
        <f aca="false">IF(AND($C1189="",$I1189="",$J1189=""),"",IF($N1189="","NO VAT CODE",IF($T1189="","UNKNOWN VAT CODE",IF($S1189="","MISSING FX RATE",IF(OR($A1189&lt;Settings!$C$8,$A1189&gt;Settings!$C$9),"OUTSIDE PERIOD",IF(AND(IFERROR(INDEX(VAT_Codes!$E:$E,MATCH($N1189,VAT_Codes!$A:$A,0)),"ANY")&lt;&gt;"ANY",$P1189=""),"MISSING COUNTERPARTY COUNTRY",IF(AND(IFERROR(INDEX(VAT_Codes!$E:$E,MATCH($N1189,VAT_Codes!$A:$A,0)),"ANY")&lt;&gt;"ANY",$P1189&lt;&gt;IFERROR(INDEX(VAT_Codes!$E:$E,MATCH($N1189,VAT_Codes!$A:$A,0)),"ANY")),"REGION MISMATCH","OK")))))))</f>
        <v/>
      </c>
    </row>
    <row r="1190" customFormat="false" ht="15" hidden="false" customHeight="false" outlineLevel="0" collapsed="false">
      <c r="M1190" s="24" t="str">
        <f aca="false">IF($C1190="","",IFERROR(INDEX(Account_Mapping!$C:$C,MATCH($C1190&amp;"",Account_Mapping!$A:$A,0))&amp;"",""))</f>
        <v/>
      </c>
      <c r="N1190" s="24" t="str">
        <f aca="false">IF($K1190&lt;&gt;"",$K1190,$M1190)</f>
        <v/>
      </c>
      <c r="O1190" s="24" t="str">
        <f aca="false">IF($F1190="","",IFERROR(INDEX(Counterparties!$C:$C,MATCH($F1190&amp;"",Counterparties!$A:$A,0))&amp;"",""))</f>
        <v/>
      </c>
      <c r="P1190" s="24" t="str">
        <f aca="false">IF($O1190="","",IF($O1190="CY","CY",IF(ISNUMBER(MATCH($O1190,Lists!$A:$A,0)),"EU","3RD")))</f>
        <v/>
      </c>
      <c r="Q1190" s="24" t="str">
        <f aca="false">IF($F1190="","N",IFERROR(IF(INDEX(Counterparties!$E:$E,MATCH($F1190&amp;"",Counterparties!$A:$A,0))="Y","Y","N"),"N"))</f>
        <v>N</v>
      </c>
      <c r="R1190" s="25" t="n">
        <f aca="false">IF(OR($H1190="",$H1190="EUR"),1,IFERROR(INDEX(FX_Rates!$D:$D,MATCH($H1190,FX_Rates!$A:$A,0)),""))</f>
        <v>1</v>
      </c>
      <c r="S1190" s="26" t="str">
        <f aca="false">IF(AND($I1190="",$J1190=""),"",IF($J1190&lt;&gt;"",$J1190,IF(OR($R1190="",$R1190=0),"",ROUND($I1190/$R1190,2))))</f>
        <v/>
      </c>
      <c r="T1190" s="24" t="str">
        <f aca="false">IF($N1190="","",IFERROR(INDEX(VAT_Codes!$C:$C,MATCH($N1190,VAT_Codes!$A:$A,0)),"")&amp;"")</f>
        <v/>
      </c>
      <c r="U1190" s="26" t="n">
        <f aca="false">IF(OR($S1190="",$T1190="",$T1190="None"),0,IF($T1190="Output",-$S1190,$S1190))</f>
        <v>0</v>
      </c>
      <c r="V1190" s="27" t="n">
        <f aca="false">IF($N1190="",0,IFERROR(INDEX(VAT_Codes!$D:$D,MATCH($N1190,VAT_Codes!$A:$A,0)),0))</f>
        <v>0</v>
      </c>
      <c r="W1190" s="26" t="n">
        <f aca="false">IF($U1190=0,0,IF(IFERROR(INDEX(VAT_Codes!$F:$F,MATCH($N1190,VAT_Codes!$A:$A,0)),"N")="Y",$U1190,IF($L1190&lt;&gt;"",ROUND(ABS($L1190)/IF(OR($R1190="",$R1190=0),1,$R1190),2)*SIGN($U1190),ROUND($U1190*$V1190,2))))</f>
        <v>0</v>
      </c>
      <c r="X1190" s="24" t="str">
        <f aca="false">IF($N1190="","",IFERROR(INDEX(VAT_Codes!$H:$H,MATCH($N1190,VAT_Codes!$A:$A,0)),"")&amp;"")</f>
        <v/>
      </c>
      <c r="Y1190" s="24" t="str">
        <f aca="false">IF($A1190="","",(YEAR($A1190)-YEAR(Settings!$C$8))*12+MONTH($A1190)-MONTH(Settings!$C$8)+1)</f>
        <v/>
      </c>
      <c r="Z1190" s="24" t="str">
        <f aca="false">IF(AND($C1190="",$I1190="",$J1190=""),"",IF($N1190="","NO VAT CODE",IF($T1190="","UNKNOWN VAT CODE",IF($S1190="","MISSING FX RATE",IF(OR($A1190&lt;Settings!$C$8,$A1190&gt;Settings!$C$9),"OUTSIDE PERIOD",IF(AND(IFERROR(INDEX(VAT_Codes!$E:$E,MATCH($N1190,VAT_Codes!$A:$A,0)),"ANY")&lt;&gt;"ANY",$P1190=""),"MISSING COUNTERPARTY COUNTRY",IF(AND(IFERROR(INDEX(VAT_Codes!$E:$E,MATCH($N1190,VAT_Codes!$A:$A,0)),"ANY")&lt;&gt;"ANY",$P1190&lt;&gt;IFERROR(INDEX(VAT_Codes!$E:$E,MATCH($N1190,VAT_Codes!$A:$A,0)),"ANY")),"REGION MISMATCH","OK")))))))</f>
        <v/>
      </c>
    </row>
    <row r="1191" customFormat="false" ht="15" hidden="false" customHeight="false" outlineLevel="0" collapsed="false">
      <c r="M1191" s="24" t="str">
        <f aca="false">IF($C1191="","",IFERROR(INDEX(Account_Mapping!$C:$C,MATCH($C1191&amp;"",Account_Mapping!$A:$A,0))&amp;"",""))</f>
        <v/>
      </c>
      <c r="N1191" s="24" t="str">
        <f aca="false">IF($K1191&lt;&gt;"",$K1191,$M1191)</f>
        <v/>
      </c>
      <c r="O1191" s="24" t="str">
        <f aca="false">IF($F1191="","",IFERROR(INDEX(Counterparties!$C:$C,MATCH($F1191&amp;"",Counterparties!$A:$A,0))&amp;"",""))</f>
        <v/>
      </c>
      <c r="P1191" s="24" t="str">
        <f aca="false">IF($O1191="","",IF($O1191="CY","CY",IF(ISNUMBER(MATCH($O1191,Lists!$A:$A,0)),"EU","3RD")))</f>
        <v/>
      </c>
      <c r="Q1191" s="24" t="str">
        <f aca="false">IF($F1191="","N",IFERROR(IF(INDEX(Counterparties!$E:$E,MATCH($F1191&amp;"",Counterparties!$A:$A,0))="Y","Y","N"),"N"))</f>
        <v>N</v>
      </c>
      <c r="R1191" s="25" t="n">
        <f aca="false">IF(OR($H1191="",$H1191="EUR"),1,IFERROR(INDEX(FX_Rates!$D:$D,MATCH($H1191,FX_Rates!$A:$A,0)),""))</f>
        <v>1</v>
      </c>
      <c r="S1191" s="26" t="str">
        <f aca="false">IF(AND($I1191="",$J1191=""),"",IF($J1191&lt;&gt;"",$J1191,IF(OR($R1191="",$R1191=0),"",ROUND($I1191/$R1191,2))))</f>
        <v/>
      </c>
      <c r="T1191" s="24" t="str">
        <f aca="false">IF($N1191="","",IFERROR(INDEX(VAT_Codes!$C:$C,MATCH($N1191,VAT_Codes!$A:$A,0)),"")&amp;"")</f>
        <v/>
      </c>
      <c r="U1191" s="26" t="n">
        <f aca="false">IF(OR($S1191="",$T1191="",$T1191="None"),0,IF($T1191="Output",-$S1191,$S1191))</f>
        <v>0</v>
      </c>
      <c r="V1191" s="27" t="n">
        <f aca="false">IF($N1191="",0,IFERROR(INDEX(VAT_Codes!$D:$D,MATCH($N1191,VAT_Codes!$A:$A,0)),0))</f>
        <v>0</v>
      </c>
      <c r="W1191" s="26" t="n">
        <f aca="false">IF($U1191=0,0,IF(IFERROR(INDEX(VAT_Codes!$F:$F,MATCH($N1191,VAT_Codes!$A:$A,0)),"N")="Y",$U1191,IF($L1191&lt;&gt;"",ROUND(ABS($L1191)/IF(OR($R1191="",$R1191=0),1,$R1191),2)*SIGN($U1191),ROUND($U1191*$V1191,2))))</f>
        <v>0</v>
      </c>
      <c r="X1191" s="24" t="str">
        <f aca="false">IF($N1191="","",IFERROR(INDEX(VAT_Codes!$H:$H,MATCH($N1191,VAT_Codes!$A:$A,0)),"")&amp;"")</f>
        <v/>
      </c>
      <c r="Y1191" s="24" t="str">
        <f aca="false">IF($A1191="","",(YEAR($A1191)-YEAR(Settings!$C$8))*12+MONTH($A1191)-MONTH(Settings!$C$8)+1)</f>
        <v/>
      </c>
      <c r="Z1191" s="24" t="str">
        <f aca="false">IF(AND($C1191="",$I1191="",$J1191=""),"",IF($N1191="","NO VAT CODE",IF($T1191="","UNKNOWN VAT CODE",IF($S1191="","MISSING FX RATE",IF(OR($A1191&lt;Settings!$C$8,$A1191&gt;Settings!$C$9),"OUTSIDE PERIOD",IF(AND(IFERROR(INDEX(VAT_Codes!$E:$E,MATCH($N1191,VAT_Codes!$A:$A,0)),"ANY")&lt;&gt;"ANY",$P1191=""),"MISSING COUNTERPARTY COUNTRY",IF(AND(IFERROR(INDEX(VAT_Codes!$E:$E,MATCH($N1191,VAT_Codes!$A:$A,0)),"ANY")&lt;&gt;"ANY",$P1191&lt;&gt;IFERROR(INDEX(VAT_Codes!$E:$E,MATCH($N1191,VAT_Codes!$A:$A,0)),"ANY")),"REGION MISMATCH","OK")))))))</f>
        <v/>
      </c>
    </row>
    <row r="1192" customFormat="false" ht="15" hidden="false" customHeight="false" outlineLevel="0" collapsed="false">
      <c r="M1192" s="24" t="str">
        <f aca="false">IF($C1192="","",IFERROR(INDEX(Account_Mapping!$C:$C,MATCH($C1192&amp;"",Account_Mapping!$A:$A,0))&amp;"",""))</f>
        <v/>
      </c>
      <c r="N1192" s="24" t="str">
        <f aca="false">IF($K1192&lt;&gt;"",$K1192,$M1192)</f>
        <v/>
      </c>
      <c r="O1192" s="24" t="str">
        <f aca="false">IF($F1192="","",IFERROR(INDEX(Counterparties!$C:$C,MATCH($F1192&amp;"",Counterparties!$A:$A,0))&amp;"",""))</f>
        <v/>
      </c>
      <c r="P1192" s="24" t="str">
        <f aca="false">IF($O1192="","",IF($O1192="CY","CY",IF(ISNUMBER(MATCH($O1192,Lists!$A:$A,0)),"EU","3RD")))</f>
        <v/>
      </c>
      <c r="Q1192" s="24" t="str">
        <f aca="false">IF($F1192="","N",IFERROR(IF(INDEX(Counterparties!$E:$E,MATCH($F1192&amp;"",Counterparties!$A:$A,0))="Y","Y","N"),"N"))</f>
        <v>N</v>
      </c>
      <c r="R1192" s="25" t="n">
        <f aca="false">IF(OR($H1192="",$H1192="EUR"),1,IFERROR(INDEX(FX_Rates!$D:$D,MATCH($H1192,FX_Rates!$A:$A,0)),""))</f>
        <v>1</v>
      </c>
      <c r="S1192" s="26" t="str">
        <f aca="false">IF(AND($I1192="",$J1192=""),"",IF($J1192&lt;&gt;"",$J1192,IF(OR($R1192="",$R1192=0),"",ROUND($I1192/$R1192,2))))</f>
        <v/>
      </c>
      <c r="T1192" s="24" t="str">
        <f aca="false">IF($N1192="","",IFERROR(INDEX(VAT_Codes!$C:$C,MATCH($N1192,VAT_Codes!$A:$A,0)),"")&amp;"")</f>
        <v/>
      </c>
      <c r="U1192" s="26" t="n">
        <f aca="false">IF(OR($S1192="",$T1192="",$T1192="None"),0,IF($T1192="Output",-$S1192,$S1192))</f>
        <v>0</v>
      </c>
      <c r="V1192" s="27" t="n">
        <f aca="false">IF($N1192="",0,IFERROR(INDEX(VAT_Codes!$D:$D,MATCH($N1192,VAT_Codes!$A:$A,0)),0))</f>
        <v>0</v>
      </c>
      <c r="W1192" s="26" t="n">
        <f aca="false">IF($U1192=0,0,IF(IFERROR(INDEX(VAT_Codes!$F:$F,MATCH($N1192,VAT_Codes!$A:$A,0)),"N")="Y",$U1192,IF($L1192&lt;&gt;"",ROUND(ABS($L1192)/IF(OR($R1192="",$R1192=0),1,$R1192),2)*SIGN($U1192),ROUND($U1192*$V1192,2))))</f>
        <v>0</v>
      </c>
      <c r="X1192" s="24" t="str">
        <f aca="false">IF($N1192="","",IFERROR(INDEX(VAT_Codes!$H:$H,MATCH($N1192,VAT_Codes!$A:$A,0)),"")&amp;"")</f>
        <v/>
      </c>
      <c r="Y1192" s="24" t="str">
        <f aca="false">IF($A1192="","",(YEAR($A1192)-YEAR(Settings!$C$8))*12+MONTH($A1192)-MONTH(Settings!$C$8)+1)</f>
        <v/>
      </c>
      <c r="Z1192" s="24" t="str">
        <f aca="false">IF(AND($C1192="",$I1192="",$J1192=""),"",IF($N1192="","NO VAT CODE",IF($T1192="","UNKNOWN VAT CODE",IF($S1192="","MISSING FX RATE",IF(OR($A1192&lt;Settings!$C$8,$A1192&gt;Settings!$C$9),"OUTSIDE PERIOD",IF(AND(IFERROR(INDEX(VAT_Codes!$E:$E,MATCH($N1192,VAT_Codes!$A:$A,0)),"ANY")&lt;&gt;"ANY",$P1192=""),"MISSING COUNTERPARTY COUNTRY",IF(AND(IFERROR(INDEX(VAT_Codes!$E:$E,MATCH($N1192,VAT_Codes!$A:$A,0)),"ANY")&lt;&gt;"ANY",$P1192&lt;&gt;IFERROR(INDEX(VAT_Codes!$E:$E,MATCH($N1192,VAT_Codes!$A:$A,0)),"ANY")),"REGION MISMATCH","OK")))))))</f>
        <v/>
      </c>
    </row>
    <row r="1193" customFormat="false" ht="15" hidden="false" customHeight="false" outlineLevel="0" collapsed="false">
      <c r="M1193" s="24" t="str">
        <f aca="false">IF($C1193="","",IFERROR(INDEX(Account_Mapping!$C:$C,MATCH($C1193&amp;"",Account_Mapping!$A:$A,0))&amp;"",""))</f>
        <v/>
      </c>
      <c r="N1193" s="24" t="str">
        <f aca="false">IF($K1193&lt;&gt;"",$K1193,$M1193)</f>
        <v/>
      </c>
      <c r="O1193" s="24" t="str">
        <f aca="false">IF($F1193="","",IFERROR(INDEX(Counterparties!$C:$C,MATCH($F1193&amp;"",Counterparties!$A:$A,0))&amp;"",""))</f>
        <v/>
      </c>
      <c r="P1193" s="24" t="str">
        <f aca="false">IF($O1193="","",IF($O1193="CY","CY",IF(ISNUMBER(MATCH($O1193,Lists!$A:$A,0)),"EU","3RD")))</f>
        <v/>
      </c>
      <c r="Q1193" s="24" t="str">
        <f aca="false">IF($F1193="","N",IFERROR(IF(INDEX(Counterparties!$E:$E,MATCH($F1193&amp;"",Counterparties!$A:$A,0))="Y","Y","N"),"N"))</f>
        <v>N</v>
      </c>
      <c r="R1193" s="25" t="n">
        <f aca="false">IF(OR($H1193="",$H1193="EUR"),1,IFERROR(INDEX(FX_Rates!$D:$D,MATCH($H1193,FX_Rates!$A:$A,0)),""))</f>
        <v>1</v>
      </c>
      <c r="S1193" s="26" t="str">
        <f aca="false">IF(AND($I1193="",$J1193=""),"",IF($J1193&lt;&gt;"",$J1193,IF(OR($R1193="",$R1193=0),"",ROUND($I1193/$R1193,2))))</f>
        <v/>
      </c>
      <c r="T1193" s="24" t="str">
        <f aca="false">IF($N1193="","",IFERROR(INDEX(VAT_Codes!$C:$C,MATCH($N1193,VAT_Codes!$A:$A,0)),"")&amp;"")</f>
        <v/>
      </c>
      <c r="U1193" s="26" t="n">
        <f aca="false">IF(OR($S1193="",$T1193="",$T1193="None"),0,IF($T1193="Output",-$S1193,$S1193))</f>
        <v>0</v>
      </c>
      <c r="V1193" s="27" t="n">
        <f aca="false">IF($N1193="",0,IFERROR(INDEX(VAT_Codes!$D:$D,MATCH($N1193,VAT_Codes!$A:$A,0)),0))</f>
        <v>0</v>
      </c>
      <c r="W1193" s="26" t="n">
        <f aca="false">IF($U1193=0,0,IF(IFERROR(INDEX(VAT_Codes!$F:$F,MATCH($N1193,VAT_Codes!$A:$A,0)),"N")="Y",$U1193,IF($L1193&lt;&gt;"",ROUND(ABS($L1193)/IF(OR($R1193="",$R1193=0),1,$R1193),2)*SIGN($U1193),ROUND($U1193*$V1193,2))))</f>
        <v>0</v>
      </c>
      <c r="X1193" s="24" t="str">
        <f aca="false">IF($N1193="","",IFERROR(INDEX(VAT_Codes!$H:$H,MATCH($N1193,VAT_Codes!$A:$A,0)),"")&amp;"")</f>
        <v/>
      </c>
      <c r="Y1193" s="24" t="str">
        <f aca="false">IF($A1193="","",(YEAR($A1193)-YEAR(Settings!$C$8))*12+MONTH($A1193)-MONTH(Settings!$C$8)+1)</f>
        <v/>
      </c>
      <c r="Z1193" s="24" t="str">
        <f aca="false">IF(AND($C1193="",$I1193="",$J1193=""),"",IF($N1193="","NO VAT CODE",IF($T1193="","UNKNOWN VAT CODE",IF($S1193="","MISSING FX RATE",IF(OR($A1193&lt;Settings!$C$8,$A1193&gt;Settings!$C$9),"OUTSIDE PERIOD",IF(AND(IFERROR(INDEX(VAT_Codes!$E:$E,MATCH($N1193,VAT_Codes!$A:$A,0)),"ANY")&lt;&gt;"ANY",$P1193=""),"MISSING COUNTERPARTY COUNTRY",IF(AND(IFERROR(INDEX(VAT_Codes!$E:$E,MATCH($N1193,VAT_Codes!$A:$A,0)),"ANY")&lt;&gt;"ANY",$P1193&lt;&gt;IFERROR(INDEX(VAT_Codes!$E:$E,MATCH($N1193,VAT_Codes!$A:$A,0)),"ANY")),"REGION MISMATCH","OK")))))))</f>
        <v/>
      </c>
    </row>
    <row r="1194" customFormat="false" ht="15" hidden="false" customHeight="false" outlineLevel="0" collapsed="false">
      <c r="M1194" s="24" t="str">
        <f aca="false">IF($C1194="","",IFERROR(INDEX(Account_Mapping!$C:$C,MATCH($C1194&amp;"",Account_Mapping!$A:$A,0))&amp;"",""))</f>
        <v/>
      </c>
      <c r="N1194" s="24" t="str">
        <f aca="false">IF($K1194&lt;&gt;"",$K1194,$M1194)</f>
        <v/>
      </c>
      <c r="O1194" s="24" t="str">
        <f aca="false">IF($F1194="","",IFERROR(INDEX(Counterparties!$C:$C,MATCH($F1194&amp;"",Counterparties!$A:$A,0))&amp;"",""))</f>
        <v/>
      </c>
      <c r="P1194" s="24" t="str">
        <f aca="false">IF($O1194="","",IF($O1194="CY","CY",IF(ISNUMBER(MATCH($O1194,Lists!$A:$A,0)),"EU","3RD")))</f>
        <v/>
      </c>
      <c r="Q1194" s="24" t="str">
        <f aca="false">IF($F1194="","N",IFERROR(IF(INDEX(Counterparties!$E:$E,MATCH($F1194&amp;"",Counterparties!$A:$A,0))="Y","Y","N"),"N"))</f>
        <v>N</v>
      </c>
      <c r="R1194" s="25" t="n">
        <f aca="false">IF(OR($H1194="",$H1194="EUR"),1,IFERROR(INDEX(FX_Rates!$D:$D,MATCH($H1194,FX_Rates!$A:$A,0)),""))</f>
        <v>1</v>
      </c>
      <c r="S1194" s="26" t="str">
        <f aca="false">IF(AND($I1194="",$J1194=""),"",IF($J1194&lt;&gt;"",$J1194,IF(OR($R1194="",$R1194=0),"",ROUND($I1194/$R1194,2))))</f>
        <v/>
      </c>
      <c r="T1194" s="24" t="str">
        <f aca="false">IF($N1194="","",IFERROR(INDEX(VAT_Codes!$C:$C,MATCH($N1194,VAT_Codes!$A:$A,0)),"")&amp;"")</f>
        <v/>
      </c>
      <c r="U1194" s="26" t="n">
        <f aca="false">IF(OR($S1194="",$T1194="",$T1194="None"),0,IF($T1194="Output",-$S1194,$S1194))</f>
        <v>0</v>
      </c>
      <c r="V1194" s="27" t="n">
        <f aca="false">IF($N1194="",0,IFERROR(INDEX(VAT_Codes!$D:$D,MATCH($N1194,VAT_Codes!$A:$A,0)),0))</f>
        <v>0</v>
      </c>
      <c r="W1194" s="26" t="n">
        <f aca="false">IF($U1194=0,0,IF(IFERROR(INDEX(VAT_Codes!$F:$F,MATCH($N1194,VAT_Codes!$A:$A,0)),"N")="Y",$U1194,IF($L1194&lt;&gt;"",ROUND(ABS($L1194)/IF(OR($R1194="",$R1194=0),1,$R1194),2)*SIGN($U1194),ROUND($U1194*$V1194,2))))</f>
        <v>0</v>
      </c>
      <c r="X1194" s="24" t="str">
        <f aca="false">IF($N1194="","",IFERROR(INDEX(VAT_Codes!$H:$H,MATCH($N1194,VAT_Codes!$A:$A,0)),"")&amp;"")</f>
        <v/>
      </c>
      <c r="Y1194" s="24" t="str">
        <f aca="false">IF($A1194="","",(YEAR($A1194)-YEAR(Settings!$C$8))*12+MONTH($A1194)-MONTH(Settings!$C$8)+1)</f>
        <v/>
      </c>
      <c r="Z1194" s="24" t="str">
        <f aca="false">IF(AND($C1194="",$I1194="",$J1194=""),"",IF($N1194="","NO VAT CODE",IF($T1194="","UNKNOWN VAT CODE",IF($S1194="","MISSING FX RATE",IF(OR($A1194&lt;Settings!$C$8,$A1194&gt;Settings!$C$9),"OUTSIDE PERIOD",IF(AND(IFERROR(INDEX(VAT_Codes!$E:$E,MATCH($N1194,VAT_Codes!$A:$A,0)),"ANY")&lt;&gt;"ANY",$P1194=""),"MISSING COUNTERPARTY COUNTRY",IF(AND(IFERROR(INDEX(VAT_Codes!$E:$E,MATCH($N1194,VAT_Codes!$A:$A,0)),"ANY")&lt;&gt;"ANY",$P1194&lt;&gt;IFERROR(INDEX(VAT_Codes!$E:$E,MATCH($N1194,VAT_Codes!$A:$A,0)),"ANY")),"REGION MISMATCH","OK")))))))</f>
        <v/>
      </c>
    </row>
    <row r="1195" customFormat="false" ht="15" hidden="false" customHeight="false" outlineLevel="0" collapsed="false">
      <c r="M1195" s="24" t="str">
        <f aca="false">IF($C1195="","",IFERROR(INDEX(Account_Mapping!$C:$C,MATCH($C1195&amp;"",Account_Mapping!$A:$A,0))&amp;"",""))</f>
        <v/>
      </c>
      <c r="N1195" s="24" t="str">
        <f aca="false">IF($K1195&lt;&gt;"",$K1195,$M1195)</f>
        <v/>
      </c>
      <c r="O1195" s="24" t="str">
        <f aca="false">IF($F1195="","",IFERROR(INDEX(Counterparties!$C:$C,MATCH($F1195&amp;"",Counterparties!$A:$A,0))&amp;"",""))</f>
        <v/>
      </c>
      <c r="P1195" s="24" t="str">
        <f aca="false">IF($O1195="","",IF($O1195="CY","CY",IF(ISNUMBER(MATCH($O1195,Lists!$A:$A,0)),"EU","3RD")))</f>
        <v/>
      </c>
      <c r="Q1195" s="24" t="str">
        <f aca="false">IF($F1195="","N",IFERROR(IF(INDEX(Counterparties!$E:$E,MATCH($F1195&amp;"",Counterparties!$A:$A,0))="Y","Y","N"),"N"))</f>
        <v>N</v>
      </c>
      <c r="R1195" s="25" t="n">
        <f aca="false">IF(OR($H1195="",$H1195="EUR"),1,IFERROR(INDEX(FX_Rates!$D:$D,MATCH($H1195,FX_Rates!$A:$A,0)),""))</f>
        <v>1</v>
      </c>
      <c r="S1195" s="26" t="str">
        <f aca="false">IF(AND($I1195="",$J1195=""),"",IF($J1195&lt;&gt;"",$J1195,IF(OR($R1195="",$R1195=0),"",ROUND($I1195/$R1195,2))))</f>
        <v/>
      </c>
      <c r="T1195" s="24" t="str">
        <f aca="false">IF($N1195="","",IFERROR(INDEX(VAT_Codes!$C:$C,MATCH($N1195,VAT_Codes!$A:$A,0)),"")&amp;"")</f>
        <v/>
      </c>
      <c r="U1195" s="26" t="n">
        <f aca="false">IF(OR($S1195="",$T1195="",$T1195="None"),0,IF($T1195="Output",-$S1195,$S1195))</f>
        <v>0</v>
      </c>
      <c r="V1195" s="27" t="n">
        <f aca="false">IF($N1195="",0,IFERROR(INDEX(VAT_Codes!$D:$D,MATCH($N1195,VAT_Codes!$A:$A,0)),0))</f>
        <v>0</v>
      </c>
      <c r="W1195" s="26" t="n">
        <f aca="false">IF($U1195=0,0,IF(IFERROR(INDEX(VAT_Codes!$F:$F,MATCH($N1195,VAT_Codes!$A:$A,0)),"N")="Y",$U1195,IF($L1195&lt;&gt;"",ROUND(ABS($L1195)/IF(OR($R1195="",$R1195=0),1,$R1195),2)*SIGN($U1195),ROUND($U1195*$V1195,2))))</f>
        <v>0</v>
      </c>
      <c r="X1195" s="24" t="str">
        <f aca="false">IF($N1195="","",IFERROR(INDEX(VAT_Codes!$H:$H,MATCH($N1195,VAT_Codes!$A:$A,0)),"")&amp;"")</f>
        <v/>
      </c>
      <c r="Y1195" s="24" t="str">
        <f aca="false">IF($A1195="","",(YEAR($A1195)-YEAR(Settings!$C$8))*12+MONTH($A1195)-MONTH(Settings!$C$8)+1)</f>
        <v/>
      </c>
      <c r="Z1195" s="24" t="str">
        <f aca="false">IF(AND($C1195="",$I1195="",$J1195=""),"",IF($N1195="","NO VAT CODE",IF($T1195="","UNKNOWN VAT CODE",IF($S1195="","MISSING FX RATE",IF(OR($A1195&lt;Settings!$C$8,$A1195&gt;Settings!$C$9),"OUTSIDE PERIOD",IF(AND(IFERROR(INDEX(VAT_Codes!$E:$E,MATCH($N1195,VAT_Codes!$A:$A,0)),"ANY")&lt;&gt;"ANY",$P1195=""),"MISSING COUNTERPARTY COUNTRY",IF(AND(IFERROR(INDEX(VAT_Codes!$E:$E,MATCH($N1195,VAT_Codes!$A:$A,0)),"ANY")&lt;&gt;"ANY",$P1195&lt;&gt;IFERROR(INDEX(VAT_Codes!$E:$E,MATCH($N1195,VAT_Codes!$A:$A,0)),"ANY")),"REGION MISMATCH","OK")))))))</f>
        <v/>
      </c>
    </row>
    <row r="1196" customFormat="false" ht="15" hidden="false" customHeight="false" outlineLevel="0" collapsed="false">
      <c r="M1196" s="24" t="str">
        <f aca="false">IF($C1196="","",IFERROR(INDEX(Account_Mapping!$C:$C,MATCH($C1196&amp;"",Account_Mapping!$A:$A,0))&amp;"",""))</f>
        <v/>
      </c>
      <c r="N1196" s="24" t="str">
        <f aca="false">IF($K1196&lt;&gt;"",$K1196,$M1196)</f>
        <v/>
      </c>
      <c r="O1196" s="24" t="str">
        <f aca="false">IF($F1196="","",IFERROR(INDEX(Counterparties!$C:$C,MATCH($F1196&amp;"",Counterparties!$A:$A,0))&amp;"",""))</f>
        <v/>
      </c>
      <c r="P1196" s="24" t="str">
        <f aca="false">IF($O1196="","",IF($O1196="CY","CY",IF(ISNUMBER(MATCH($O1196,Lists!$A:$A,0)),"EU","3RD")))</f>
        <v/>
      </c>
      <c r="Q1196" s="24" t="str">
        <f aca="false">IF($F1196="","N",IFERROR(IF(INDEX(Counterparties!$E:$E,MATCH($F1196&amp;"",Counterparties!$A:$A,0))="Y","Y","N"),"N"))</f>
        <v>N</v>
      </c>
      <c r="R1196" s="25" t="n">
        <f aca="false">IF(OR($H1196="",$H1196="EUR"),1,IFERROR(INDEX(FX_Rates!$D:$D,MATCH($H1196,FX_Rates!$A:$A,0)),""))</f>
        <v>1</v>
      </c>
      <c r="S1196" s="26" t="str">
        <f aca="false">IF(AND($I1196="",$J1196=""),"",IF($J1196&lt;&gt;"",$J1196,IF(OR($R1196="",$R1196=0),"",ROUND($I1196/$R1196,2))))</f>
        <v/>
      </c>
      <c r="T1196" s="24" t="str">
        <f aca="false">IF($N1196="","",IFERROR(INDEX(VAT_Codes!$C:$C,MATCH($N1196,VAT_Codes!$A:$A,0)),"")&amp;"")</f>
        <v/>
      </c>
      <c r="U1196" s="26" t="n">
        <f aca="false">IF(OR($S1196="",$T1196="",$T1196="None"),0,IF($T1196="Output",-$S1196,$S1196))</f>
        <v>0</v>
      </c>
      <c r="V1196" s="27" t="n">
        <f aca="false">IF($N1196="",0,IFERROR(INDEX(VAT_Codes!$D:$D,MATCH($N1196,VAT_Codes!$A:$A,0)),0))</f>
        <v>0</v>
      </c>
      <c r="W1196" s="26" t="n">
        <f aca="false">IF($U1196=0,0,IF(IFERROR(INDEX(VAT_Codes!$F:$F,MATCH($N1196,VAT_Codes!$A:$A,0)),"N")="Y",$U1196,IF($L1196&lt;&gt;"",ROUND(ABS($L1196)/IF(OR($R1196="",$R1196=0),1,$R1196),2)*SIGN($U1196),ROUND($U1196*$V1196,2))))</f>
        <v>0</v>
      </c>
      <c r="X1196" s="24" t="str">
        <f aca="false">IF($N1196="","",IFERROR(INDEX(VAT_Codes!$H:$H,MATCH($N1196,VAT_Codes!$A:$A,0)),"")&amp;"")</f>
        <v/>
      </c>
      <c r="Y1196" s="24" t="str">
        <f aca="false">IF($A1196="","",(YEAR($A1196)-YEAR(Settings!$C$8))*12+MONTH($A1196)-MONTH(Settings!$C$8)+1)</f>
        <v/>
      </c>
      <c r="Z1196" s="24" t="str">
        <f aca="false">IF(AND($C1196="",$I1196="",$J1196=""),"",IF($N1196="","NO VAT CODE",IF($T1196="","UNKNOWN VAT CODE",IF($S1196="","MISSING FX RATE",IF(OR($A1196&lt;Settings!$C$8,$A1196&gt;Settings!$C$9),"OUTSIDE PERIOD",IF(AND(IFERROR(INDEX(VAT_Codes!$E:$E,MATCH($N1196,VAT_Codes!$A:$A,0)),"ANY")&lt;&gt;"ANY",$P1196=""),"MISSING COUNTERPARTY COUNTRY",IF(AND(IFERROR(INDEX(VAT_Codes!$E:$E,MATCH($N1196,VAT_Codes!$A:$A,0)),"ANY")&lt;&gt;"ANY",$P1196&lt;&gt;IFERROR(INDEX(VAT_Codes!$E:$E,MATCH($N1196,VAT_Codes!$A:$A,0)),"ANY")),"REGION MISMATCH","OK")))))))</f>
        <v/>
      </c>
    </row>
    <row r="1197" customFormat="false" ht="15" hidden="false" customHeight="false" outlineLevel="0" collapsed="false">
      <c r="M1197" s="24" t="str">
        <f aca="false">IF($C1197="","",IFERROR(INDEX(Account_Mapping!$C:$C,MATCH($C1197&amp;"",Account_Mapping!$A:$A,0))&amp;"",""))</f>
        <v/>
      </c>
      <c r="N1197" s="24" t="str">
        <f aca="false">IF($K1197&lt;&gt;"",$K1197,$M1197)</f>
        <v/>
      </c>
      <c r="O1197" s="24" t="str">
        <f aca="false">IF($F1197="","",IFERROR(INDEX(Counterparties!$C:$C,MATCH($F1197&amp;"",Counterparties!$A:$A,0))&amp;"",""))</f>
        <v/>
      </c>
      <c r="P1197" s="24" t="str">
        <f aca="false">IF($O1197="","",IF($O1197="CY","CY",IF(ISNUMBER(MATCH($O1197,Lists!$A:$A,0)),"EU","3RD")))</f>
        <v/>
      </c>
      <c r="Q1197" s="24" t="str">
        <f aca="false">IF($F1197="","N",IFERROR(IF(INDEX(Counterparties!$E:$E,MATCH($F1197&amp;"",Counterparties!$A:$A,0))="Y","Y","N"),"N"))</f>
        <v>N</v>
      </c>
      <c r="R1197" s="25" t="n">
        <f aca="false">IF(OR($H1197="",$H1197="EUR"),1,IFERROR(INDEX(FX_Rates!$D:$D,MATCH($H1197,FX_Rates!$A:$A,0)),""))</f>
        <v>1</v>
      </c>
      <c r="S1197" s="26" t="str">
        <f aca="false">IF(AND($I1197="",$J1197=""),"",IF($J1197&lt;&gt;"",$J1197,IF(OR($R1197="",$R1197=0),"",ROUND($I1197/$R1197,2))))</f>
        <v/>
      </c>
      <c r="T1197" s="24" t="str">
        <f aca="false">IF($N1197="","",IFERROR(INDEX(VAT_Codes!$C:$C,MATCH($N1197,VAT_Codes!$A:$A,0)),"")&amp;"")</f>
        <v/>
      </c>
      <c r="U1197" s="26" t="n">
        <f aca="false">IF(OR($S1197="",$T1197="",$T1197="None"),0,IF($T1197="Output",-$S1197,$S1197))</f>
        <v>0</v>
      </c>
      <c r="V1197" s="27" t="n">
        <f aca="false">IF($N1197="",0,IFERROR(INDEX(VAT_Codes!$D:$D,MATCH($N1197,VAT_Codes!$A:$A,0)),0))</f>
        <v>0</v>
      </c>
      <c r="W1197" s="26" t="n">
        <f aca="false">IF($U1197=0,0,IF(IFERROR(INDEX(VAT_Codes!$F:$F,MATCH($N1197,VAT_Codes!$A:$A,0)),"N")="Y",$U1197,IF($L1197&lt;&gt;"",ROUND(ABS($L1197)/IF(OR($R1197="",$R1197=0),1,$R1197),2)*SIGN($U1197),ROUND($U1197*$V1197,2))))</f>
        <v>0</v>
      </c>
      <c r="X1197" s="24" t="str">
        <f aca="false">IF($N1197="","",IFERROR(INDEX(VAT_Codes!$H:$H,MATCH($N1197,VAT_Codes!$A:$A,0)),"")&amp;"")</f>
        <v/>
      </c>
      <c r="Y1197" s="24" t="str">
        <f aca="false">IF($A1197="","",(YEAR($A1197)-YEAR(Settings!$C$8))*12+MONTH($A1197)-MONTH(Settings!$C$8)+1)</f>
        <v/>
      </c>
      <c r="Z1197" s="24" t="str">
        <f aca="false">IF(AND($C1197="",$I1197="",$J1197=""),"",IF($N1197="","NO VAT CODE",IF($T1197="","UNKNOWN VAT CODE",IF($S1197="","MISSING FX RATE",IF(OR($A1197&lt;Settings!$C$8,$A1197&gt;Settings!$C$9),"OUTSIDE PERIOD",IF(AND(IFERROR(INDEX(VAT_Codes!$E:$E,MATCH($N1197,VAT_Codes!$A:$A,0)),"ANY")&lt;&gt;"ANY",$P1197=""),"MISSING COUNTERPARTY COUNTRY",IF(AND(IFERROR(INDEX(VAT_Codes!$E:$E,MATCH($N1197,VAT_Codes!$A:$A,0)),"ANY")&lt;&gt;"ANY",$P1197&lt;&gt;IFERROR(INDEX(VAT_Codes!$E:$E,MATCH($N1197,VAT_Codes!$A:$A,0)),"ANY")),"REGION MISMATCH","OK")))))))</f>
        <v/>
      </c>
    </row>
    <row r="1198" customFormat="false" ht="15" hidden="false" customHeight="false" outlineLevel="0" collapsed="false">
      <c r="M1198" s="24" t="str">
        <f aca="false">IF($C1198="","",IFERROR(INDEX(Account_Mapping!$C:$C,MATCH($C1198&amp;"",Account_Mapping!$A:$A,0))&amp;"",""))</f>
        <v/>
      </c>
      <c r="N1198" s="24" t="str">
        <f aca="false">IF($K1198&lt;&gt;"",$K1198,$M1198)</f>
        <v/>
      </c>
      <c r="O1198" s="24" t="str">
        <f aca="false">IF($F1198="","",IFERROR(INDEX(Counterparties!$C:$C,MATCH($F1198&amp;"",Counterparties!$A:$A,0))&amp;"",""))</f>
        <v/>
      </c>
      <c r="P1198" s="24" t="str">
        <f aca="false">IF($O1198="","",IF($O1198="CY","CY",IF(ISNUMBER(MATCH($O1198,Lists!$A:$A,0)),"EU","3RD")))</f>
        <v/>
      </c>
      <c r="Q1198" s="24" t="str">
        <f aca="false">IF($F1198="","N",IFERROR(IF(INDEX(Counterparties!$E:$E,MATCH($F1198&amp;"",Counterparties!$A:$A,0))="Y","Y","N"),"N"))</f>
        <v>N</v>
      </c>
      <c r="R1198" s="25" t="n">
        <f aca="false">IF(OR($H1198="",$H1198="EUR"),1,IFERROR(INDEX(FX_Rates!$D:$D,MATCH($H1198,FX_Rates!$A:$A,0)),""))</f>
        <v>1</v>
      </c>
      <c r="S1198" s="26" t="str">
        <f aca="false">IF(AND($I1198="",$J1198=""),"",IF($J1198&lt;&gt;"",$J1198,IF(OR($R1198="",$R1198=0),"",ROUND($I1198/$R1198,2))))</f>
        <v/>
      </c>
      <c r="T1198" s="24" t="str">
        <f aca="false">IF($N1198="","",IFERROR(INDEX(VAT_Codes!$C:$C,MATCH($N1198,VAT_Codes!$A:$A,0)),"")&amp;"")</f>
        <v/>
      </c>
      <c r="U1198" s="26" t="n">
        <f aca="false">IF(OR($S1198="",$T1198="",$T1198="None"),0,IF($T1198="Output",-$S1198,$S1198))</f>
        <v>0</v>
      </c>
      <c r="V1198" s="27" t="n">
        <f aca="false">IF($N1198="",0,IFERROR(INDEX(VAT_Codes!$D:$D,MATCH($N1198,VAT_Codes!$A:$A,0)),0))</f>
        <v>0</v>
      </c>
      <c r="W1198" s="26" t="n">
        <f aca="false">IF($U1198=0,0,IF(IFERROR(INDEX(VAT_Codes!$F:$F,MATCH($N1198,VAT_Codes!$A:$A,0)),"N")="Y",$U1198,IF($L1198&lt;&gt;"",ROUND(ABS($L1198)/IF(OR($R1198="",$R1198=0),1,$R1198),2)*SIGN($U1198),ROUND($U1198*$V1198,2))))</f>
        <v>0</v>
      </c>
      <c r="X1198" s="24" t="str">
        <f aca="false">IF($N1198="","",IFERROR(INDEX(VAT_Codes!$H:$H,MATCH($N1198,VAT_Codes!$A:$A,0)),"")&amp;"")</f>
        <v/>
      </c>
      <c r="Y1198" s="24" t="str">
        <f aca="false">IF($A1198="","",(YEAR($A1198)-YEAR(Settings!$C$8))*12+MONTH($A1198)-MONTH(Settings!$C$8)+1)</f>
        <v/>
      </c>
      <c r="Z1198" s="24" t="str">
        <f aca="false">IF(AND($C1198="",$I1198="",$J1198=""),"",IF($N1198="","NO VAT CODE",IF($T1198="","UNKNOWN VAT CODE",IF($S1198="","MISSING FX RATE",IF(OR($A1198&lt;Settings!$C$8,$A1198&gt;Settings!$C$9),"OUTSIDE PERIOD",IF(AND(IFERROR(INDEX(VAT_Codes!$E:$E,MATCH($N1198,VAT_Codes!$A:$A,0)),"ANY")&lt;&gt;"ANY",$P1198=""),"MISSING COUNTERPARTY COUNTRY",IF(AND(IFERROR(INDEX(VAT_Codes!$E:$E,MATCH($N1198,VAT_Codes!$A:$A,0)),"ANY")&lt;&gt;"ANY",$P1198&lt;&gt;IFERROR(INDEX(VAT_Codes!$E:$E,MATCH($N1198,VAT_Codes!$A:$A,0)),"ANY")),"REGION MISMATCH","OK")))))))</f>
        <v/>
      </c>
    </row>
    <row r="1199" customFormat="false" ht="15" hidden="false" customHeight="false" outlineLevel="0" collapsed="false">
      <c r="M1199" s="24" t="str">
        <f aca="false">IF($C1199="","",IFERROR(INDEX(Account_Mapping!$C:$C,MATCH($C1199&amp;"",Account_Mapping!$A:$A,0))&amp;"",""))</f>
        <v/>
      </c>
      <c r="N1199" s="24" t="str">
        <f aca="false">IF($K1199&lt;&gt;"",$K1199,$M1199)</f>
        <v/>
      </c>
      <c r="O1199" s="24" t="str">
        <f aca="false">IF($F1199="","",IFERROR(INDEX(Counterparties!$C:$C,MATCH($F1199&amp;"",Counterparties!$A:$A,0))&amp;"",""))</f>
        <v/>
      </c>
      <c r="P1199" s="24" t="str">
        <f aca="false">IF($O1199="","",IF($O1199="CY","CY",IF(ISNUMBER(MATCH($O1199,Lists!$A:$A,0)),"EU","3RD")))</f>
        <v/>
      </c>
      <c r="Q1199" s="24" t="str">
        <f aca="false">IF($F1199="","N",IFERROR(IF(INDEX(Counterparties!$E:$E,MATCH($F1199&amp;"",Counterparties!$A:$A,0))="Y","Y","N"),"N"))</f>
        <v>N</v>
      </c>
      <c r="R1199" s="25" t="n">
        <f aca="false">IF(OR($H1199="",$H1199="EUR"),1,IFERROR(INDEX(FX_Rates!$D:$D,MATCH($H1199,FX_Rates!$A:$A,0)),""))</f>
        <v>1</v>
      </c>
      <c r="S1199" s="26" t="str">
        <f aca="false">IF(AND($I1199="",$J1199=""),"",IF($J1199&lt;&gt;"",$J1199,IF(OR($R1199="",$R1199=0),"",ROUND($I1199/$R1199,2))))</f>
        <v/>
      </c>
      <c r="T1199" s="24" t="str">
        <f aca="false">IF($N1199="","",IFERROR(INDEX(VAT_Codes!$C:$C,MATCH($N1199,VAT_Codes!$A:$A,0)),"")&amp;"")</f>
        <v/>
      </c>
      <c r="U1199" s="26" t="n">
        <f aca="false">IF(OR($S1199="",$T1199="",$T1199="None"),0,IF($T1199="Output",-$S1199,$S1199))</f>
        <v>0</v>
      </c>
      <c r="V1199" s="27" t="n">
        <f aca="false">IF($N1199="",0,IFERROR(INDEX(VAT_Codes!$D:$D,MATCH($N1199,VAT_Codes!$A:$A,0)),0))</f>
        <v>0</v>
      </c>
      <c r="W1199" s="26" t="n">
        <f aca="false">IF($U1199=0,0,IF(IFERROR(INDEX(VAT_Codes!$F:$F,MATCH($N1199,VAT_Codes!$A:$A,0)),"N")="Y",$U1199,IF($L1199&lt;&gt;"",ROUND(ABS($L1199)/IF(OR($R1199="",$R1199=0),1,$R1199),2)*SIGN($U1199),ROUND($U1199*$V1199,2))))</f>
        <v>0</v>
      </c>
      <c r="X1199" s="24" t="str">
        <f aca="false">IF($N1199="","",IFERROR(INDEX(VAT_Codes!$H:$H,MATCH($N1199,VAT_Codes!$A:$A,0)),"")&amp;"")</f>
        <v/>
      </c>
      <c r="Y1199" s="24" t="str">
        <f aca="false">IF($A1199="","",(YEAR($A1199)-YEAR(Settings!$C$8))*12+MONTH($A1199)-MONTH(Settings!$C$8)+1)</f>
        <v/>
      </c>
      <c r="Z1199" s="24" t="str">
        <f aca="false">IF(AND($C1199="",$I1199="",$J1199=""),"",IF($N1199="","NO VAT CODE",IF($T1199="","UNKNOWN VAT CODE",IF($S1199="","MISSING FX RATE",IF(OR($A1199&lt;Settings!$C$8,$A1199&gt;Settings!$C$9),"OUTSIDE PERIOD",IF(AND(IFERROR(INDEX(VAT_Codes!$E:$E,MATCH($N1199,VAT_Codes!$A:$A,0)),"ANY")&lt;&gt;"ANY",$P1199=""),"MISSING COUNTERPARTY COUNTRY",IF(AND(IFERROR(INDEX(VAT_Codes!$E:$E,MATCH($N1199,VAT_Codes!$A:$A,0)),"ANY")&lt;&gt;"ANY",$P1199&lt;&gt;IFERROR(INDEX(VAT_Codes!$E:$E,MATCH($N1199,VAT_Codes!$A:$A,0)),"ANY")),"REGION MISMATCH","OK")))))))</f>
        <v/>
      </c>
    </row>
    <row r="1200" customFormat="false" ht="15" hidden="false" customHeight="false" outlineLevel="0" collapsed="false">
      <c r="M1200" s="24" t="str">
        <f aca="false">IF($C1200="","",IFERROR(INDEX(Account_Mapping!$C:$C,MATCH($C1200&amp;"",Account_Mapping!$A:$A,0))&amp;"",""))</f>
        <v/>
      </c>
      <c r="N1200" s="24" t="str">
        <f aca="false">IF($K1200&lt;&gt;"",$K1200,$M1200)</f>
        <v/>
      </c>
      <c r="O1200" s="24" t="str">
        <f aca="false">IF($F1200="","",IFERROR(INDEX(Counterparties!$C:$C,MATCH($F1200&amp;"",Counterparties!$A:$A,0))&amp;"",""))</f>
        <v/>
      </c>
      <c r="P1200" s="24" t="str">
        <f aca="false">IF($O1200="","",IF($O1200="CY","CY",IF(ISNUMBER(MATCH($O1200,Lists!$A:$A,0)),"EU","3RD")))</f>
        <v/>
      </c>
      <c r="Q1200" s="24" t="str">
        <f aca="false">IF($F1200="","N",IFERROR(IF(INDEX(Counterparties!$E:$E,MATCH($F1200&amp;"",Counterparties!$A:$A,0))="Y","Y","N"),"N"))</f>
        <v>N</v>
      </c>
      <c r="R1200" s="25" t="n">
        <f aca="false">IF(OR($H1200="",$H1200="EUR"),1,IFERROR(INDEX(FX_Rates!$D:$D,MATCH($H1200,FX_Rates!$A:$A,0)),""))</f>
        <v>1</v>
      </c>
      <c r="S1200" s="26" t="str">
        <f aca="false">IF(AND($I1200="",$J1200=""),"",IF($J1200&lt;&gt;"",$J1200,IF(OR($R1200="",$R1200=0),"",ROUND($I1200/$R1200,2))))</f>
        <v/>
      </c>
      <c r="T1200" s="24" t="str">
        <f aca="false">IF($N1200="","",IFERROR(INDEX(VAT_Codes!$C:$C,MATCH($N1200,VAT_Codes!$A:$A,0)),"")&amp;"")</f>
        <v/>
      </c>
      <c r="U1200" s="26" t="n">
        <f aca="false">IF(OR($S1200="",$T1200="",$T1200="None"),0,IF($T1200="Output",-$S1200,$S1200))</f>
        <v>0</v>
      </c>
      <c r="V1200" s="27" t="n">
        <f aca="false">IF($N1200="",0,IFERROR(INDEX(VAT_Codes!$D:$D,MATCH($N1200,VAT_Codes!$A:$A,0)),0))</f>
        <v>0</v>
      </c>
      <c r="W1200" s="26" t="n">
        <f aca="false">IF($U1200=0,0,IF(IFERROR(INDEX(VAT_Codes!$F:$F,MATCH($N1200,VAT_Codes!$A:$A,0)),"N")="Y",$U1200,IF($L1200&lt;&gt;"",ROUND(ABS($L1200)/IF(OR($R1200="",$R1200=0),1,$R1200),2)*SIGN($U1200),ROUND($U1200*$V1200,2))))</f>
        <v>0</v>
      </c>
      <c r="X1200" s="24" t="str">
        <f aca="false">IF($N1200="","",IFERROR(INDEX(VAT_Codes!$H:$H,MATCH($N1200,VAT_Codes!$A:$A,0)),"")&amp;"")</f>
        <v/>
      </c>
      <c r="Y1200" s="24" t="str">
        <f aca="false">IF($A1200="","",(YEAR($A1200)-YEAR(Settings!$C$8))*12+MONTH($A1200)-MONTH(Settings!$C$8)+1)</f>
        <v/>
      </c>
      <c r="Z1200" s="24" t="str">
        <f aca="false">IF(AND($C1200="",$I1200="",$J1200=""),"",IF($N1200="","NO VAT CODE",IF($T1200="","UNKNOWN VAT CODE",IF($S1200="","MISSING FX RATE",IF(OR($A1200&lt;Settings!$C$8,$A1200&gt;Settings!$C$9),"OUTSIDE PERIOD",IF(AND(IFERROR(INDEX(VAT_Codes!$E:$E,MATCH($N1200,VAT_Codes!$A:$A,0)),"ANY")&lt;&gt;"ANY",$P1200=""),"MISSING COUNTERPARTY COUNTRY",IF(AND(IFERROR(INDEX(VAT_Codes!$E:$E,MATCH($N1200,VAT_Codes!$A:$A,0)),"ANY")&lt;&gt;"ANY",$P1200&lt;&gt;IFERROR(INDEX(VAT_Codes!$E:$E,MATCH($N1200,VAT_Codes!$A:$A,0)),"ANY")),"REGION MISMATCH","OK")))))))</f>
        <v/>
      </c>
    </row>
    <row r="1201" customFormat="false" ht="15" hidden="false" customHeight="false" outlineLevel="0" collapsed="false">
      <c r="M1201" s="24" t="str">
        <f aca="false">IF($C1201="","",IFERROR(INDEX(Account_Mapping!$C:$C,MATCH($C1201&amp;"",Account_Mapping!$A:$A,0))&amp;"",""))</f>
        <v/>
      </c>
      <c r="N1201" s="24" t="str">
        <f aca="false">IF($K1201&lt;&gt;"",$K1201,$M1201)</f>
        <v/>
      </c>
      <c r="O1201" s="24" t="str">
        <f aca="false">IF($F1201="","",IFERROR(INDEX(Counterparties!$C:$C,MATCH($F1201&amp;"",Counterparties!$A:$A,0))&amp;"",""))</f>
        <v/>
      </c>
      <c r="P1201" s="24" t="str">
        <f aca="false">IF($O1201="","",IF($O1201="CY","CY",IF(ISNUMBER(MATCH($O1201,Lists!$A:$A,0)),"EU","3RD")))</f>
        <v/>
      </c>
      <c r="Q1201" s="24" t="str">
        <f aca="false">IF($F1201="","N",IFERROR(IF(INDEX(Counterparties!$E:$E,MATCH($F1201&amp;"",Counterparties!$A:$A,0))="Y","Y","N"),"N"))</f>
        <v>N</v>
      </c>
      <c r="R1201" s="25" t="n">
        <f aca="false">IF(OR($H1201="",$H1201="EUR"),1,IFERROR(INDEX(FX_Rates!$D:$D,MATCH($H1201,FX_Rates!$A:$A,0)),""))</f>
        <v>1</v>
      </c>
      <c r="S1201" s="26" t="str">
        <f aca="false">IF(AND($I1201="",$J1201=""),"",IF($J1201&lt;&gt;"",$J1201,IF(OR($R1201="",$R1201=0),"",ROUND($I1201/$R1201,2))))</f>
        <v/>
      </c>
      <c r="T1201" s="24" t="str">
        <f aca="false">IF($N1201="","",IFERROR(INDEX(VAT_Codes!$C:$C,MATCH($N1201,VAT_Codes!$A:$A,0)),"")&amp;"")</f>
        <v/>
      </c>
      <c r="U1201" s="26" t="n">
        <f aca="false">IF(OR($S1201="",$T1201="",$T1201="None"),0,IF($T1201="Output",-$S1201,$S1201))</f>
        <v>0</v>
      </c>
      <c r="V1201" s="27" t="n">
        <f aca="false">IF($N1201="",0,IFERROR(INDEX(VAT_Codes!$D:$D,MATCH($N1201,VAT_Codes!$A:$A,0)),0))</f>
        <v>0</v>
      </c>
      <c r="W1201" s="26" t="n">
        <f aca="false">IF($U1201=0,0,IF(IFERROR(INDEX(VAT_Codes!$F:$F,MATCH($N1201,VAT_Codes!$A:$A,0)),"N")="Y",$U1201,IF($L1201&lt;&gt;"",ROUND(ABS($L1201)/IF(OR($R1201="",$R1201=0),1,$R1201),2)*SIGN($U1201),ROUND($U1201*$V1201,2))))</f>
        <v>0</v>
      </c>
      <c r="X1201" s="24" t="str">
        <f aca="false">IF($N1201="","",IFERROR(INDEX(VAT_Codes!$H:$H,MATCH($N1201,VAT_Codes!$A:$A,0)),"")&amp;"")</f>
        <v/>
      </c>
      <c r="Y1201" s="24" t="str">
        <f aca="false">IF($A1201="","",(YEAR($A1201)-YEAR(Settings!$C$8))*12+MONTH($A1201)-MONTH(Settings!$C$8)+1)</f>
        <v/>
      </c>
      <c r="Z1201" s="24" t="str">
        <f aca="false">IF(AND($C1201="",$I1201="",$J1201=""),"",IF($N1201="","NO VAT CODE",IF($T1201="","UNKNOWN VAT CODE",IF($S1201="","MISSING FX RATE",IF(OR($A1201&lt;Settings!$C$8,$A1201&gt;Settings!$C$9),"OUTSIDE PERIOD",IF(AND(IFERROR(INDEX(VAT_Codes!$E:$E,MATCH($N1201,VAT_Codes!$A:$A,0)),"ANY")&lt;&gt;"ANY",$P1201=""),"MISSING COUNTERPARTY COUNTRY",IF(AND(IFERROR(INDEX(VAT_Codes!$E:$E,MATCH($N1201,VAT_Codes!$A:$A,0)),"ANY")&lt;&gt;"ANY",$P1201&lt;&gt;IFERROR(INDEX(VAT_Codes!$E:$E,MATCH($N1201,VAT_Codes!$A:$A,0)),"ANY")),"REGION MISMATCH","OK")))))))</f>
        <v/>
      </c>
    </row>
    <row r="1202" customFormat="false" ht="15" hidden="false" customHeight="false" outlineLevel="0" collapsed="false">
      <c r="M1202" s="24" t="str">
        <f aca="false">IF($C1202="","",IFERROR(INDEX(Account_Mapping!$C:$C,MATCH($C1202&amp;"",Account_Mapping!$A:$A,0))&amp;"",""))</f>
        <v/>
      </c>
      <c r="N1202" s="24" t="str">
        <f aca="false">IF($K1202&lt;&gt;"",$K1202,$M1202)</f>
        <v/>
      </c>
      <c r="O1202" s="24" t="str">
        <f aca="false">IF($F1202="","",IFERROR(INDEX(Counterparties!$C:$C,MATCH($F1202&amp;"",Counterparties!$A:$A,0))&amp;"",""))</f>
        <v/>
      </c>
      <c r="P1202" s="24" t="str">
        <f aca="false">IF($O1202="","",IF($O1202="CY","CY",IF(ISNUMBER(MATCH($O1202,Lists!$A:$A,0)),"EU","3RD")))</f>
        <v/>
      </c>
      <c r="Q1202" s="24" t="str">
        <f aca="false">IF($F1202="","N",IFERROR(IF(INDEX(Counterparties!$E:$E,MATCH($F1202&amp;"",Counterparties!$A:$A,0))="Y","Y","N"),"N"))</f>
        <v>N</v>
      </c>
      <c r="R1202" s="25" t="n">
        <f aca="false">IF(OR($H1202="",$H1202="EUR"),1,IFERROR(INDEX(FX_Rates!$D:$D,MATCH($H1202,FX_Rates!$A:$A,0)),""))</f>
        <v>1</v>
      </c>
      <c r="S1202" s="26" t="str">
        <f aca="false">IF(AND($I1202="",$J1202=""),"",IF($J1202&lt;&gt;"",$J1202,IF(OR($R1202="",$R1202=0),"",ROUND($I1202/$R1202,2))))</f>
        <v/>
      </c>
      <c r="T1202" s="24" t="str">
        <f aca="false">IF($N1202="","",IFERROR(INDEX(VAT_Codes!$C:$C,MATCH($N1202,VAT_Codes!$A:$A,0)),"")&amp;"")</f>
        <v/>
      </c>
      <c r="U1202" s="26" t="n">
        <f aca="false">IF(OR($S1202="",$T1202="",$T1202="None"),0,IF($T1202="Output",-$S1202,$S1202))</f>
        <v>0</v>
      </c>
      <c r="V1202" s="27" t="n">
        <f aca="false">IF($N1202="",0,IFERROR(INDEX(VAT_Codes!$D:$D,MATCH($N1202,VAT_Codes!$A:$A,0)),0))</f>
        <v>0</v>
      </c>
      <c r="W1202" s="26" t="n">
        <f aca="false">IF($U1202=0,0,IF(IFERROR(INDEX(VAT_Codes!$F:$F,MATCH($N1202,VAT_Codes!$A:$A,0)),"N")="Y",$U1202,IF($L1202&lt;&gt;"",ROUND(ABS($L1202)/IF(OR($R1202="",$R1202=0),1,$R1202),2)*SIGN($U1202),ROUND($U1202*$V1202,2))))</f>
        <v>0</v>
      </c>
      <c r="X1202" s="24" t="str">
        <f aca="false">IF($N1202="","",IFERROR(INDEX(VAT_Codes!$H:$H,MATCH($N1202,VAT_Codes!$A:$A,0)),"")&amp;"")</f>
        <v/>
      </c>
      <c r="Y1202" s="24" t="str">
        <f aca="false">IF($A1202="","",(YEAR($A1202)-YEAR(Settings!$C$8))*12+MONTH($A1202)-MONTH(Settings!$C$8)+1)</f>
        <v/>
      </c>
      <c r="Z1202" s="24" t="str">
        <f aca="false">IF(AND($C1202="",$I1202="",$J1202=""),"",IF($N1202="","NO VAT CODE",IF($T1202="","UNKNOWN VAT CODE",IF($S1202="","MISSING FX RATE",IF(OR($A1202&lt;Settings!$C$8,$A1202&gt;Settings!$C$9),"OUTSIDE PERIOD",IF(AND(IFERROR(INDEX(VAT_Codes!$E:$E,MATCH($N1202,VAT_Codes!$A:$A,0)),"ANY")&lt;&gt;"ANY",$P1202=""),"MISSING COUNTERPARTY COUNTRY",IF(AND(IFERROR(INDEX(VAT_Codes!$E:$E,MATCH($N1202,VAT_Codes!$A:$A,0)),"ANY")&lt;&gt;"ANY",$P1202&lt;&gt;IFERROR(INDEX(VAT_Codes!$E:$E,MATCH($N1202,VAT_Codes!$A:$A,0)),"ANY")),"REGION MISMATCH","OK")))))))</f>
        <v/>
      </c>
    </row>
    <row r="1203" customFormat="false" ht="15" hidden="false" customHeight="false" outlineLevel="0" collapsed="false">
      <c r="M1203" s="24" t="str">
        <f aca="false">IF($C1203="","",IFERROR(INDEX(Account_Mapping!$C:$C,MATCH($C1203&amp;"",Account_Mapping!$A:$A,0))&amp;"",""))</f>
        <v/>
      </c>
      <c r="N1203" s="24" t="str">
        <f aca="false">IF($K1203&lt;&gt;"",$K1203,$M1203)</f>
        <v/>
      </c>
      <c r="O1203" s="24" t="str">
        <f aca="false">IF($F1203="","",IFERROR(INDEX(Counterparties!$C:$C,MATCH($F1203&amp;"",Counterparties!$A:$A,0))&amp;"",""))</f>
        <v/>
      </c>
      <c r="P1203" s="24" t="str">
        <f aca="false">IF($O1203="","",IF($O1203="CY","CY",IF(ISNUMBER(MATCH($O1203,Lists!$A:$A,0)),"EU","3RD")))</f>
        <v/>
      </c>
      <c r="Q1203" s="24" t="str">
        <f aca="false">IF($F1203="","N",IFERROR(IF(INDEX(Counterparties!$E:$E,MATCH($F1203&amp;"",Counterparties!$A:$A,0))="Y","Y","N"),"N"))</f>
        <v>N</v>
      </c>
      <c r="R1203" s="25" t="n">
        <f aca="false">IF(OR($H1203="",$H1203="EUR"),1,IFERROR(INDEX(FX_Rates!$D:$D,MATCH($H1203,FX_Rates!$A:$A,0)),""))</f>
        <v>1</v>
      </c>
      <c r="S1203" s="26" t="str">
        <f aca="false">IF(AND($I1203="",$J1203=""),"",IF($J1203&lt;&gt;"",$J1203,IF(OR($R1203="",$R1203=0),"",ROUND($I1203/$R1203,2))))</f>
        <v/>
      </c>
      <c r="T1203" s="24" t="str">
        <f aca="false">IF($N1203="","",IFERROR(INDEX(VAT_Codes!$C:$C,MATCH($N1203,VAT_Codes!$A:$A,0)),"")&amp;"")</f>
        <v/>
      </c>
      <c r="U1203" s="26" t="n">
        <f aca="false">IF(OR($S1203="",$T1203="",$T1203="None"),0,IF($T1203="Output",-$S1203,$S1203))</f>
        <v>0</v>
      </c>
      <c r="V1203" s="27" t="n">
        <f aca="false">IF($N1203="",0,IFERROR(INDEX(VAT_Codes!$D:$D,MATCH($N1203,VAT_Codes!$A:$A,0)),0))</f>
        <v>0</v>
      </c>
      <c r="W1203" s="26" t="n">
        <f aca="false">IF($U1203=0,0,IF(IFERROR(INDEX(VAT_Codes!$F:$F,MATCH($N1203,VAT_Codes!$A:$A,0)),"N")="Y",$U1203,IF($L1203&lt;&gt;"",ROUND(ABS($L1203)/IF(OR($R1203="",$R1203=0),1,$R1203),2)*SIGN($U1203),ROUND($U1203*$V1203,2))))</f>
        <v>0</v>
      </c>
      <c r="X1203" s="24" t="str">
        <f aca="false">IF($N1203="","",IFERROR(INDEX(VAT_Codes!$H:$H,MATCH($N1203,VAT_Codes!$A:$A,0)),"")&amp;"")</f>
        <v/>
      </c>
      <c r="Y1203" s="24" t="str">
        <f aca="false">IF($A1203="","",(YEAR($A1203)-YEAR(Settings!$C$8))*12+MONTH($A1203)-MONTH(Settings!$C$8)+1)</f>
        <v/>
      </c>
      <c r="Z1203" s="24" t="str">
        <f aca="false">IF(AND($C1203="",$I1203="",$J1203=""),"",IF($N1203="","NO VAT CODE",IF($T1203="","UNKNOWN VAT CODE",IF($S1203="","MISSING FX RATE",IF(OR($A1203&lt;Settings!$C$8,$A1203&gt;Settings!$C$9),"OUTSIDE PERIOD",IF(AND(IFERROR(INDEX(VAT_Codes!$E:$E,MATCH($N1203,VAT_Codes!$A:$A,0)),"ANY")&lt;&gt;"ANY",$P1203=""),"MISSING COUNTERPARTY COUNTRY",IF(AND(IFERROR(INDEX(VAT_Codes!$E:$E,MATCH($N1203,VAT_Codes!$A:$A,0)),"ANY")&lt;&gt;"ANY",$P1203&lt;&gt;IFERROR(INDEX(VAT_Codes!$E:$E,MATCH($N1203,VAT_Codes!$A:$A,0)),"ANY")),"REGION MISMATCH","OK")))))))</f>
        <v/>
      </c>
    </row>
    <row r="1204" customFormat="false" ht="15" hidden="false" customHeight="false" outlineLevel="0" collapsed="false">
      <c r="M1204" s="24" t="str">
        <f aca="false">IF($C1204="","",IFERROR(INDEX(Account_Mapping!$C:$C,MATCH($C1204&amp;"",Account_Mapping!$A:$A,0))&amp;"",""))</f>
        <v/>
      </c>
      <c r="N1204" s="24" t="str">
        <f aca="false">IF($K1204&lt;&gt;"",$K1204,$M1204)</f>
        <v/>
      </c>
      <c r="O1204" s="24" t="str">
        <f aca="false">IF($F1204="","",IFERROR(INDEX(Counterparties!$C:$C,MATCH($F1204&amp;"",Counterparties!$A:$A,0))&amp;"",""))</f>
        <v/>
      </c>
      <c r="P1204" s="24" t="str">
        <f aca="false">IF($O1204="","",IF($O1204="CY","CY",IF(ISNUMBER(MATCH($O1204,Lists!$A:$A,0)),"EU","3RD")))</f>
        <v/>
      </c>
      <c r="Q1204" s="24" t="str">
        <f aca="false">IF($F1204="","N",IFERROR(IF(INDEX(Counterparties!$E:$E,MATCH($F1204&amp;"",Counterparties!$A:$A,0))="Y","Y","N"),"N"))</f>
        <v>N</v>
      </c>
      <c r="R1204" s="25" t="n">
        <f aca="false">IF(OR($H1204="",$H1204="EUR"),1,IFERROR(INDEX(FX_Rates!$D:$D,MATCH($H1204,FX_Rates!$A:$A,0)),""))</f>
        <v>1</v>
      </c>
      <c r="S1204" s="26" t="str">
        <f aca="false">IF(AND($I1204="",$J1204=""),"",IF($J1204&lt;&gt;"",$J1204,IF(OR($R1204="",$R1204=0),"",ROUND($I1204/$R1204,2))))</f>
        <v/>
      </c>
      <c r="T1204" s="24" t="str">
        <f aca="false">IF($N1204="","",IFERROR(INDEX(VAT_Codes!$C:$C,MATCH($N1204,VAT_Codes!$A:$A,0)),"")&amp;"")</f>
        <v/>
      </c>
      <c r="U1204" s="26" t="n">
        <f aca="false">IF(OR($S1204="",$T1204="",$T1204="None"),0,IF($T1204="Output",-$S1204,$S1204))</f>
        <v>0</v>
      </c>
      <c r="V1204" s="27" t="n">
        <f aca="false">IF($N1204="",0,IFERROR(INDEX(VAT_Codes!$D:$D,MATCH($N1204,VAT_Codes!$A:$A,0)),0))</f>
        <v>0</v>
      </c>
      <c r="W1204" s="26" t="n">
        <f aca="false">IF($U1204=0,0,IF(IFERROR(INDEX(VAT_Codes!$F:$F,MATCH($N1204,VAT_Codes!$A:$A,0)),"N")="Y",$U1204,IF($L1204&lt;&gt;"",ROUND(ABS($L1204)/IF(OR($R1204="",$R1204=0),1,$R1204),2)*SIGN($U1204),ROUND($U1204*$V1204,2))))</f>
        <v>0</v>
      </c>
      <c r="X1204" s="24" t="str">
        <f aca="false">IF($N1204="","",IFERROR(INDEX(VAT_Codes!$H:$H,MATCH($N1204,VAT_Codes!$A:$A,0)),"")&amp;"")</f>
        <v/>
      </c>
      <c r="Y1204" s="24" t="str">
        <f aca="false">IF($A1204="","",(YEAR($A1204)-YEAR(Settings!$C$8))*12+MONTH($A1204)-MONTH(Settings!$C$8)+1)</f>
        <v/>
      </c>
      <c r="Z1204" s="24" t="str">
        <f aca="false">IF(AND($C1204="",$I1204="",$J1204=""),"",IF($N1204="","NO VAT CODE",IF($T1204="","UNKNOWN VAT CODE",IF($S1204="","MISSING FX RATE",IF(OR($A1204&lt;Settings!$C$8,$A1204&gt;Settings!$C$9),"OUTSIDE PERIOD",IF(AND(IFERROR(INDEX(VAT_Codes!$E:$E,MATCH($N1204,VAT_Codes!$A:$A,0)),"ANY")&lt;&gt;"ANY",$P1204=""),"MISSING COUNTERPARTY COUNTRY",IF(AND(IFERROR(INDEX(VAT_Codes!$E:$E,MATCH($N1204,VAT_Codes!$A:$A,0)),"ANY")&lt;&gt;"ANY",$P1204&lt;&gt;IFERROR(INDEX(VAT_Codes!$E:$E,MATCH($N1204,VAT_Codes!$A:$A,0)),"ANY")),"REGION MISMATCH","OK")))))))</f>
        <v/>
      </c>
    </row>
    <row r="1205" customFormat="false" ht="15" hidden="false" customHeight="false" outlineLevel="0" collapsed="false">
      <c r="M1205" s="24" t="str">
        <f aca="false">IF($C1205="","",IFERROR(INDEX(Account_Mapping!$C:$C,MATCH($C1205&amp;"",Account_Mapping!$A:$A,0))&amp;"",""))</f>
        <v/>
      </c>
      <c r="N1205" s="24" t="str">
        <f aca="false">IF($K1205&lt;&gt;"",$K1205,$M1205)</f>
        <v/>
      </c>
      <c r="O1205" s="24" t="str">
        <f aca="false">IF($F1205="","",IFERROR(INDEX(Counterparties!$C:$C,MATCH($F1205&amp;"",Counterparties!$A:$A,0))&amp;"",""))</f>
        <v/>
      </c>
      <c r="P1205" s="24" t="str">
        <f aca="false">IF($O1205="","",IF($O1205="CY","CY",IF(ISNUMBER(MATCH($O1205,Lists!$A:$A,0)),"EU","3RD")))</f>
        <v/>
      </c>
      <c r="Q1205" s="24" t="str">
        <f aca="false">IF($F1205="","N",IFERROR(IF(INDEX(Counterparties!$E:$E,MATCH($F1205&amp;"",Counterparties!$A:$A,0))="Y","Y","N"),"N"))</f>
        <v>N</v>
      </c>
      <c r="R1205" s="25" t="n">
        <f aca="false">IF(OR($H1205="",$H1205="EUR"),1,IFERROR(INDEX(FX_Rates!$D:$D,MATCH($H1205,FX_Rates!$A:$A,0)),""))</f>
        <v>1</v>
      </c>
      <c r="S1205" s="26" t="str">
        <f aca="false">IF(AND($I1205="",$J1205=""),"",IF($J1205&lt;&gt;"",$J1205,IF(OR($R1205="",$R1205=0),"",ROUND($I1205/$R1205,2))))</f>
        <v/>
      </c>
      <c r="T1205" s="24" t="str">
        <f aca="false">IF($N1205="","",IFERROR(INDEX(VAT_Codes!$C:$C,MATCH($N1205,VAT_Codes!$A:$A,0)),"")&amp;"")</f>
        <v/>
      </c>
      <c r="U1205" s="26" t="n">
        <f aca="false">IF(OR($S1205="",$T1205="",$T1205="None"),0,IF($T1205="Output",-$S1205,$S1205))</f>
        <v>0</v>
      </c>
      <c r="V1205" s="27" t="n">
        <f aca="false">IF($N1205="",0,IFERROR(INDEX(VAT_Codes!$D:$D,MATCH($N1205,VAT_Codes!$A:$A,0)),0))</f>
        <v>0</v>
      </c>
      <c r="W1205" s="26" t="n">
        <f aca="false">IF($U1205=0,0,IF(IFERROR(INDEX(VAT_Codes!$F:$F,MATCH($N1205,VAT_Codes!$A:$A,0)),"N")="Y",$U1205,IF($L1205&lt;&gt;"",ROUND(ABS($L1205)/IF(OR($R1205="",$R1205=0),1,$R1205),2)*SIGN($U1205),ROUND($U1205*$V1205,2))))</f>
        <v>0</v>
      </c>
      <c r="X1205" s="24" t="str">
        <f aca="false">IF($N1205="","",IFERROR(INDEX(VAT_Codes!$H:$H,MATCH($N1205,VAT_Codes!$A:$A,0)),"")&amp;"")</f>
        <v/>
      </c>
      <c r="Y1205" s="24" t="str">
        <f aca="false">IF($A1205="","",(YEAR($A1205)-YEAR(Settings!$C$8))*12+MONTH($A1205)-MONTH(Settings!$C$8)+1)</f>
        <v/>
      </c>
      <c r="Z1205" s="24" t="str">
        <f aca="false">IF(AND($C1205="",$I1205="",$J1205=""),"",IF($N1205="","NO VAT CODE",IF($T1205="","UNKNOWN VAT CODE",IF($S1205="","MISSING FX RATE",IF(OR($A1205&lt;Settings!$C$8,$A1205&gt;Settings!$C$9),"OUTSIDE PERIOD",IF(AND(IFERROR(INDEX(VAT_Codes!$E:$E,MATCH($N1205,VAT_Codes!$A:$A,0)),"ANY")&lt;&gt;"ANY",$P1205=""),"MISSING COUNTERPARTY COUNTRY",IF(AND(IFERROR(INDEX(VAT_Codes!$E:$E,MATCH($N1205,VAT_Codes!$A:$A,0)),"ANY")&lt;&gt;"ANY",$P1205&lt;&gt;IFERROR(INDEX(VAT_Codes!$E:$E,MATCH($N1205,VAT_Codes!$A:$A,0)),"ANY")),"REGION MISMATCH","OK")))))))</f>
        <v/>
      </c>
    </row>
    <row r="1206" customFormat="false" ht="15" hidden="false" customHeight="false" outlineLevel="0" collapsed="false">
      <c r="M1206" s="24" t="str">
        <f aca="false">IF($C1206="","",IFERROR(INDEX(Account_Mapping!$C:$C,MATCH($C1206&amp;"",Account_Mapping!$A:$A,0))&amp;"",""))</f>
        <v/>
      </c>
      <c r="N1206" s="24" t="str">
        <f aca="false">IF($K1206&lt;&gt;"",$K1206,$M1206)</f>
        <v/>
      </c>
      <c r="O1206" s="24" t="str">
        <f aca="false">IF($F1206="","",IFERROR(INDEX(Counterparties!$C:$C,MATCH($F1206&amp;"",Counterparties!$A:$A,0))&amp;"",""))</f>
        <v/>
      </c>
      <c r="P1206" s="24" t="str">
        <f aca="false">IF($O1206="","",IF($O1206="CY","CY",IF(ISNUMBER(MATCH($O1206,Lists!$A:$A,0)),"EU","3RD")))</f>
        <v/>
      </c>
      <c r="Q1206" s="24" t="str">
        <f aca="false">IF($F1206="","N",IFERROR(IF(INDEX(Counterparties!$E:$E,MATCH($F1206&amp;"",Counterparties!$A:$A,0))="Y","Y","N"),"N"))</f>
        <v>N</v>
      </c>
      <c r="R1206" s="25" t="n">
        <f aca="false">IF(OR($H1206="",$H1206="EUR"),1,IFERROR(INDEX(FX_Rates!$D:$D,MATCH($H1206,FX_Rates!$A:$A,0)),""))</f>
        <v>1</v>
      </c>
      <c r="S1206" s="26" t="str">
        <f aca="false">IF(AND($I1206="",$J1206=""),"",IF($J1206&lt;&gt;"",$J1206,IF(OR($R1206="",$R1206=0),"",ROUND($I1206/$R1206,2))))</f>
        <v/>
      </c>
      <c r="T1206" s="24" t="str">
        <f aca="false">IF($N1206="","",IFERROR(INDEX(VAT_Codes!$C:$C,MATCH($N1206,VAT_Codes!$A:$A,0)),"")&amp;"")</f>
        <v/>
      </c>
      <c r="U1206" s="26" t="n">
        <f aca="false">IF(OR($S1206="",$T1206="",$T1206="None"),0,IF($T1206="Output",-$S1206,$S1206))</f>
        <v>0</v>
      </c>
      <c r="V1206" s="27" t="n">
        <f aca="false">IF($N1206="",0,IFERROR(INDEX(VAT_Codes!$D:$D,MATCH($N1206,VAT_Codes!$A:$A,0)),0))</f>
        <v>0</v>
      </c>
      <c r="W1206" s="26" t="n">
        <f aca="false">IF($U1206=0,0,IF(IFERROR(INDEX(VAT_Codes!$F:$F,MATCH($N1206,VAT_Codes!$A:$A,0)),"N")="Y",$U1206,IF($L1206&lt;&gt;"",ROUND(ABS($L1206)/IF(OR($R1206="",$R1206=0),1,$R1206),2)*SIGN($U1206),ROUND($U1206*$V1206,2))))</f>
        <v>0</v>
      </c>
      <c r="X1206" s="24" t="str">
        <f aca="false">IF($N1206="","",IFERROR(INDEX(VAT_Codes!$H:$H,MATCH($N1206,VAT_Codes!$A:$A,0)),"")&amp;"")</f>
        <v/>
      </c>
      <c r="Y1206" s="24" t="str">
        <f aca="false">IF($A1206="","",(YEAR($A1206)-YEAR(Settings!$C$8))*12+MONTH($A1206)-MONTH(Settings!$C$8)+1)</f>
        <v/>
      </c>
      <c r="Z1206" s="24" t="str">
        <f aca="false">IF(AND($C1206="",$I1206="",$J1206=""),"",IF($N1206="","NO VAT CODE",IF($T1206="","UNKNOWN VAT CODE",IF($S1206="","MISSING FX RATE",IF(OR($A1206&lt;Settings!$C$8,$A1206&gt;Settings!$C$9),"OUTSIDE PERIOD",IF(AND(IFERROR(INDEX(VAT_Codes!$E:$E,MATCH($N1206,VAT_Codes!$A:$A,0)),"ANY")&lt;&gt;"ANY",$P1206=""),"MISSING COUNTERPARTY COUNTRY",IF(AND(IFERROR(INDEX(VAT_Codes!$E:$E,MATCH($N1206,VAT_Codes!$A:$A,0)),"ANY")&lt;&gt;"ANY",$P1206&lt;&gt;IFERROR(INDEX(VAT_Codes!$E:$E,MATCH($N1206,VAT_Codes!$A:$A,0)),"ANY")),"REGION MISMATCH","OK")))))))</f>
        <v/>
      </c>
    </row>
    <row r="1207" customFormat="false" ht="15" hidden="false" customHeight="false" outlineLevel="0" collapsed="false">
      <c r="M1207" s="24" t="str">
        <f aca="false">IF($C1207="","",IFERROR(INDEX(Account_Mapping!$C:$C,MATCH($C1207&amp;"",Account_Mapping!$A:$A,0))&amp;"",""))</f>
        <v/>
      </c>
      <c r="N1207" s="24" t="str">
        <f aca="false">IF($K1207&lt;&gt;"",$K1207,$M1207)</f>
        <v/>
      </c>
      <c r="O1207" s="24" t="str">
        <f aca="false">IF($F1207="","",IFERROR(INDEX(Counterparties!$C:$C,MATCH($F1207&amp;"",Counterparties!$A:$A,0))&amp;"",""))</f>
        <v/>
      </c>
      <c r="P1207" s="24" t="str">
        <f aca="false">IF($O1207="","",IF($O1207="CY","CY",IF(ISNUMBER(MATCH($O1207,Lists!$A:$A,0)),"EU","3RD")))</f>
        <v/>
      </c>
      <c r="Q1207" s="24" t="str">
        <f aca="false">IF($F1207="","N",IFERROR(IF(INDEX(Counterparties!$E:$E,MATCH($F1207&amp;"",Counterparties!$A:$A,0))="Y","Y","N"),"N"))</f>
        <v>N</v>
      </c>
      <c r="R1207" s="25" t="n">
        <f aca="false">IF(OR($H1207="",$H1207="EUR"),1,IFERROR(INDEX(FX_Rates!$D:$D,MATCH($H1207,FX_Rates!$A:$A,0)),""))</f>
        <v>1</v>
      </c>
      <c r="S1207" s="26" t="str">
        <f aca="false">IF(AND($I1207="",$J1207=""),"",IF($J1207&lt;&gt;"",$J1207,IF(OR($R1207="",$R1207=0),"",ROUND($I1207/$R1207,2))))</f>
        <v/>
      </c>
      <c r="T1207" s="24" t="str">
        <f aca="false">IF($N1207="","",IFERROR(INDEX(VAT_Codes!$C:$C,MATCH($N1207,VAT_Codes!$A:$A,0)),"")&amp;"")</f>
        <v/>
      </c>
      <c r="U1207" s="26" t="n">
        <f aca="false">IF(OR($S1207="",$T1207="",$T1207="None"),0,IF($T1207="Output",-$S1207,$S1207))</f>
        <v>0</v>
      </c>
      <c r="V1207" s="27" t="n">
        <f aca="false">IF($N1207="",0,IFERROR(INDEX(VAT_Codes!$D:$D,MATCH($N1207,VAT_Codes!$A:$A,0)),0))</f>
        <v>0</v>
      </c>
      <c r="W1207" s="26" t="n">
        <f aca="false">IF($U1207=0,0,IF(IFERROR(INDEX(VAT_Codes!$F:$F,MATCH($N1207,VAT_Codes!$A:$A,0)),"N")="Y",$U1207,IF($L1207&lt;&gt;"",ROUND(ABS($L1207)/IF(OR($R1207="",$R1207=0),1,$R1207),2)*SIGN($U1207),ROUND($U1207*$V1207,2))))</f>
        <v>0</v>
      </c>
      <c r="X1207" s="24" t="str">
        <f aca="false">IF($N1207="","",IFERROR(INDEX(VAT_Codes!$H:$H,MATCH($N1207,VAT_Codes!$A:$A,0)),"")&amp;"")</f>
        <v/>
      </c>
      <c r="Y1207" s="24" t="str">
        <f aca="false">IF($A1207="","",(YEAR($A1207)-YEAR(Settings!$C$8))*12+MONTH($A1207)-MONTH(Settings!$C$8)+1)</f>
        <v/>
      </c>
      <c r="Z1207" s="24" t="str">
        <f aca="false">IF(AND($C1207="",$I1207="",$J1207=""),"",IF($N1207="","NO VAT CODE",IF($T1207="","UNKNOWN VAT CODE",IF($S1207="","MISSING FX RATE",IF(OR($A1207&lt;Settings!$C$8,$A1207&gt;Settings!$C$9),"OUTSIDE PERIOD",IF(AND(IFERROR(INDEX(VAT_Codes!$E:$E,MATCH($N1207,VAT_Codes!$A:$A,0)),"ANY")&lt;&gt;"ANY",$P1207=""),"MISSING COUNTERPARTY COUNTRY",IF(AND(IFERROR(INDEX(VAT_Codes!$E:$E,MATCH($N1207,VAT_Codes!$A:$A,0)),"ANY")&lt;&gt;"ANY",$P1207&lt;&gt;IFERROR(INDEX(VAT_Codes!$E:$E,MATCH($N1207,VAT_Codes!$A:$A,0)),"ANY")),"REGION MISMATCH","OK")))))))</f>
        <v/>
      </c>
    </row>
    <row r="1208" customFormat="false" ht="15" hidden="false" customHeight="false" outlineLevel="0" collapsed="false">
      <c r="M1208" s="24" t="str">
        <f aca="false">IF($C1208="","",IFERROR(INDEX(Account_Mapping!$C:$C,MATCH($C1208&amp;"",Account_Mapping!$A:$A,0))&amp;"",""))</f>
        <v/>
      </c>
      <c r="N1208" s="24" t="str">
        <f aca="false">IF($K1208&lt;&gt;"",$K1208,$M1208)</f>
        <v/>
      </c>
      <c r="O1208" s="24" t="str">
        <f aca="false">IF($F1208="","",IFERROR(INDEX(Counterparties!$C:$C,MATCH($F1208&amp;"",Counterparties!$A:$A,0))&amp;"",""))</f>
        <v/>
      </c>
      <c r="P1208" s="24" t="str">
        <f aca="false">IF($O1208="","",IF($O1208="CY","CY",IF(ISNUMBER(MATCH($O1208,Lists!$A:$A,0)),"EU","3RD")))</f>
        <v/>
      </c>
      <c r="Q1208" s="24" t="str">
        <f aca="false">IF($F1208="","N",IFERROR(IF(INDEX(Counterparties!$E:$E,MATCH($F1208&amp;"",Counterparties!$A:$A,0))="Y","Y","N"),"N"))</f>
        <v>N</v>
      </c>
      <c r="R1208" s="25" t="n">
        <f aca="false">IF(OR($H1208="",$H1208="EUR"),1,IFERROR(INDEX(FX_Rates!$D:$D,MATCH($H1208,FX_Rates!$A:$A,0)),""))</f>
        <v>1</v>
      </c>
      <c r="S1208" s="26" t="str">
        <f aca="false">IF(AND($I1208="",$J1208=""),"",IF($J1208&lt;&gt;"",$J1208,IF(OR($R1208="",$R1208=0),"",ROUND($I1208/$R1208,2))))</f>
        <v/>
      </c>
      <c r="T1208" s="24" t="str">
        <f aca="false">IF($N1208="","",IFERROR(INDEX(VAT_Codes!$C:$C,MATCH($N1208,VAT_Codes!$A:$A,0)),"")&amp;"")</f>
        <v/>
      </c>
      <c r="U1208" s="26" t="n">
        <f aca="false">IF(OR($S1208="",$T1208="",$T1208="None"),0,IF($T1208="Output",-$S1208,$S1208))</f>
        <v>0</v>
      </c>
      <c r="V1208" s="27" t="n">
        <f aca="false">IF($N1208="",0,IFERROR(INDEX(VAT_Codes!$D:$D,MATCH($N1208,VAT_Codes!$A:$A,0)),0))</f>
        <v>0</v>
      </c>
      <c r="W1208" s="26" t="n">
        <f aca="false">IF($U1208=0,0,IF(IFERROR(INDEX(VAT_Codes!$F:$F,MATCH($N1208,VAT_Codes!$A:$A,0)),"N")="Y",$U1208,IF($L1208&lt;&gt;"",ROUND(ABS($L1208)/IF(OR($R1208="",$R1208=0),1,$R1208),2)*SIGN($U1208),ROUND($U1208*$V1208,2))))</f>
        <v>0</v>
      </c>
      <c r="X1208" s="24" t="str">
        <f aca="false">IF($N1208="","",IFERROR(INDEX(VAT_Codes!$H:$H,MATCH($N1208,VAT_Codes!$A:$A,0)),"")&amp;"")</f>
        <v/>
      </c>
      <c r="Y1208" s="24" t="str">
        <f aca="false">IF($A1208="","",(YEAR($A1208)-YEAR(Settings!$C$8))*12+MONTH($A1208)-MONTH(Settings!$C$8)+1)</f>
        <v/>
      </c>
      <c r="Z1208" s="24" t="str">
        <f aca="false">IF(AND($C1208="",$I1208="",$J1208=""),"",IF($N1208="","NO VAT CODE",IF($T1208="","UNKNOWN VAT CODE",IF($S1208="","MISSING FX RATE",IF(OR($A1208&lt;Settings!$C$8,$A1208&gt;Settings!$C$9),"OUTSIDE PERIOD",IF(AND(IFERROR(INDEX(VAT_Codes!$E:$E,MATCH($N1208,VAT_Codes!$A:$A,0)),"ANY")&lt;&gt;"ANY",$P1208=""),"MISSING COUNTERPARTY COUNTRY",IF(AND(IFERROR(INDEX(VAT_Codes!$E:$E,MATCH($N1208,VAT_Codes!$A:$A,0)),"ANY")&lt;&gt;"ANY",$P1208&lt;&gt;IFERROR(INDEX(VAT_Codes!$E:$E,MATCH($N1208,VAT_Codes!$A:$A,0)),"ANY")),"REGION MISMATCH","OK")))))))</f>
        <v/>
      </c>
    </row>
    <row r="1209" customFormat="false" ht="15" hidden="false" customHeight="false" outlineLevel="0" collapsed="false">
      <c r="M1209" s="24" t="str">
        <f aca="false">IF($C1209="","",IFERROR(INDEX(Account_Mapping!$C:$C,MATCH($C1209&amp;"",Account_Mapping!$A:$A,0))&amp;"",""))</f>
        <v/>
      </c>
      <c r="N1209" s="24" t="str">
        <f aca="false">IF($K1209&lt;&gt;"",$K1209,$M1209)</f>
        <v/>
      </c>
      <c r="O1209" s="24" t="str">
        <f aca="false">IF($F1209="","",IFERROR(INDEX(Counterparties!$C:$C,MATCH($F1209&amp;"",Counterparties!$A:$A,0))&amp;"",""))</f>
        <v/>
      </c>
      <c r="P1209" s="24" t="str">
        <f aca="false">IF($O1209="","",IF($O1209="CY","CY",IF(ISNUMBER(MATCH($O1209,Lists!$A:$A,0)),"EU","3RD")))</f>
        <v/>
      </c>
      <c r="Q1209" s="24" t="str">
        <f aca="false">IF($F1209="","N",IFERROR(IF(INDEX(Counterparties!$E:$E,MATCH($F1209&amp;"",Counterparties!$A:$A,0))="Y","Y","N"),"N"))</f>
        <v>N</v>
      </c>
      <c r="R1209" s="25" t="n">
        <f aca="false">IF(OR($H1209="",$H1209="EUR"),1,IFERROR(INDEX(FX_Rates!$D:$D,MATCH($H1209,FX_Rates!$A:$A,0)),""))</f>
        <v>1</v>
      </c>
      <c r="S1209" s="26" t="str">
        <f aca="false">IF(AND($I1209="",$J1209=""),"",IF($J1209&lt;&gt;"",$J1209,IF(OR($R1209="",$R1209=0),"",ROUND($I1209/$R1209,2))))</f>
        <v/>
      </c>
      <c r="T1209" s="24" t="str">
        <f aca="false">IF($N1209="","",IFERROR(INDEX(VAT_Codes!$C:$C,MATCH($N1209,VAT_Codes!$A:$A,0)),"")&amp;"")</f>
        <v/>
      </c>
      <c r="U1209" s="26" t="n">
        <f aca="false">IF(OR($S1209="",$T1209="",$T1209="None"),0,IF($T1209="Output",-$S1209,$S1209))</f>
        <v>0</v>
      </c>
      <c r="V1209" s="27" t="n">
        <f aca="false">IF($N1209="",0,IFERROR(INDEX(VAT_Codes!$D:$D,MATCH($N1209,VAT_Codes!$A:$A,0)),0))</f>
        <v>0</v>
      </c>
      <c r="W1209" s="26" t="n">
        <f aca="false">IF($U1209=0,0,IF(IFERROR(INDEX(VAT_Codes!$F:$F,MATCH($N1209,VAT_Codes!$A:$A,0)),"N")="Y",$U1209,IF($L1209&lt;&gt;"",ROUND(ABS($L1209)/IF(OR($R1209="",$R1209=0),1,$R1209),2)*SIGN($U1209),ROUND($U1209*$V1209,2))))</f>
        <v>0</v>
      </c>
      <c r="X1209" s="24" t="str">
        <f aca="false">IF($N1209="","",IFERROR(INDEX(VAT_Codes!$H:$H,MATCH($N1209,VAT_Codes!$A:$A,0)),"")&amp;"")</f>
        <v/>
      </c>
      <c r="Y1209" s="24" t="str">
        <f aca="false">IF($A1209="","",(YEAR($A1209)-YEAR(Settings!$C$8))*12+MONTH($A1209)-MONTH(Settings!$C$8)+1)</f>
        <v/>
      </c>
      <c r="Z1209" s="24" t="str">
        <f aca="false">IF(AND($C1209="",$I1209="",$J1209=""),"",IF($N1209="","NO VAT CODE",IF($T1209="","UNKNOWN VAT CODE",IF($S1209="","MISSING FX RATE",IF(OR($A1209&lt;Settings!$C$8,$A1209&gt;Settings!$C$9),"OUTSIDE PERIOD",IF(AND(IFERROR(INDEX(VAT_Codes!$E:$E,MATCH($N1209,VAT_Codes!$A:$A,0)),"ANY")&lt;&gt;"ANY",$P1209=""),"MISSING COUNTERPARTY COUNTRY",IF(AND(IFERROR(INDEX(VAT_Codes!$E:$E,MATCH($N1209,VAT_Codes!$A:$A,0)),"ANY")&lt;&gt;"ANY",$P1209&lt;&gt;IFERROR(INDEX(VAT_Codes!$E:$E,MATCH($N1209,VAT_Codes!$A:$A,0)),"ANY")),"REGION MISMATCH","OK")))))))</f>
        <v/>
      </c>
    </row>
    <row r="1210" customFormat="false" ht="15" hidden="false" customHeight="false" outlineLevel="0" collapsed="false">
      <c r="M1210" s="24" t="str">
        <f aca="false">IF($C1210="","",IFERROR(INDEX(Account_Mapping!$C:$C,MATCH($C1210&amp;"",Account_Mapping!$A:$A,0))&amp;"",""))</f>
        <v/>
      </c>
      <c r="N1210" s="24" t="str">
        <f aca="false">IF($K1210&lt;&gt;"",$K1210,$M1210)</f>
        <v/>
      </c>
      <c r="O1210" s="24" t="str">
        <f aca="false">IF($F1210="","",IFERROR(INDEX(Counterparties!$C:$C,MATCH($F1210&amp;"",Counterparties!$A:$A,0))&amp;"",""))</f>
        <v/>
      </c>
      <c r="P1210" s="24" t="str">
        <f aca="false">IF($O1210="","",IF($O1210="CY","CY",IF(ISNUMBER(MATCH($O1210,Lists!$A:$A,0)),"EU","3RD")))</f>
        <v/>
      </c>
      <c r="Q1210" s="24" t="str">
        <f aca="false">IF($F1210="","N",IFERROR(IF(INDEX(Counterparties!$E:$E,MATCH($F1210&amp;"",Counterparties!$A:$A,0))="Y","Y","N"),"N"))</f>
        <v>N</v>
      </c>
      <c r="R1210" s="25" t="n">
        <f aca="false">IF(OR($H1210="",$H1210="EUR"),1,IFERROR(INDEX(FX_Rates!$D:$D,MATCH($H1210,FX_Rates!$A:$A,0)),""))</f>
        <v>1</v>
      </c>
      <c r="S1210" s="26" t="str">
        <f aca="false">IF(AND($I1210="",$J1210=""),"",IF($J1210&lt;&gt;"",$J1210,IF(OR($R1210="",$R1210=0),"",ROUND($I1210/$R1210,2))))</f>
        <v/>
      </c>
      <c r="T1210" s="24" t="str">
        <f aca="false">IF($N1210="","",IFERROR(INDEX(VAT_Codes!$C:$C,MATCH($N1210,VAT_Codes!$A:$A,0)),"")&amp;"")</f>
        <v/>
      </c>
      <c r="U1210" s="26" t="n">
        <f aca="false">IF(OR($S1210="",$T1210="",$T1210="None"),0,IF($T1210="Output",-$S1210,$S1210))</f>
        <v>0</v>
      </c>
      <c r="V1210" s="27" t="n">
        <f aca="false">IF($N1210="",0,IFERROR(INDEX(VAT_Codes!$D:$D,MATCH($N1210,VAT_Codes!$A:$A,0)),0))</f>
        <v>0</v>
      </c>
      <c r="W1210" s="26" t="n">
        <f aca="false">IF($U1210=0,0,IF(IFERROR(INDEX(VAT_Codes!$F:$F,MATCH($N1210,VAT_Codes!$A:$A,0)),"N")="Y",$U1210,IF($L1210&lt;&gt;"",ROUND(ABS($L1210)/IF(OR($R1210="",$R1210=0),1,$R1210),2)*SIGN($U1210),ROUND($U1210*$V1210,2))))</f>
        <v>0</v>
      </c>
      <c r="X1210" s="24" t="str">
        <f aca="false">IF($N1210="","",IFERROR(INDEX(VAT_Codes!$H:$H,MATCH($N1210,VAT_Codes!$A:$A,0)),"")&amp;"")</f>
        <v/>
      </c>
      <c r="Y1210" s="24" t="str">
        <f aca="false">IF($A1210="","",(YEAR($A1210)-YEAR(Settings!$C$8))*12+MONTH($A1210)-MONTH(Settings!$C$8)+1)</f>
        <v/>
      </c>
      <c r="Z1210" s="24" t="str">
        <f aca="false">IF(AND($C1210="",$I1210="",$J1210=""),"",IF($N1210="","NO VAT CODE",IF($T1210="","UNKNOWN VAT CODE",IF($S1210="","MISSING FX RATE",IF(OR($A1210&lt;Settings!$C$8,$A1210&gt;Settings!$C$9),"OUTSIDE PERIOD",IF(AND(IFERROR(INDEX(VAT_Codes!$E:$E,MATCH($N1210,VAT_Codes!$A:$A,0)),"ANY")&lt;&gt;"ANY",$P1210=""),"MISSING COUNTERPARTY COUNTRY",IF(AND(IFERROR(INDEX(VAT_Codes!$E:$E,MATCH($N1210,VAT_Codes!$A:$A,0)),"ANY")&lt;&gt;"ANY",$P1210&lt;&gt;IFERROR(INDEX(VAT_Codes!$E:$E,MATCH($N1210,VAT_Codes!$A:$A,0)),"ANY")),"REGION MISMATCH","OK")))))))</f>
        <v/>
      </c>
    </row>
    <row r="1211" customFormat="false" ht="15" hidden="false" customHeight="false" outlineLevel="0" collapsed="false">
      <c r="M1211" s="24" t="str">
        <f aca="false">IF($C1211="","",IFERROR(INDEX(Account_Mapping!$C:$C,MATCH($C1211&amp;"",Account_Mapping!$A:$A,0))&amp;"",""))</f>
        <v/>
      </c>
      <c r="N1211" s="24" t="str">
        <f aca="false">IF($K1211&lt;&gt;"",$K1211,$M1211)</f>
        <v/>
      </c>
      <c r="O1211" s="24" t="str">
        <f aca="false">IF($F1211="","",IFERROR(INDEX(Counterparties!$C:$C,MATCH($F1211&amp;"",Counterparties!$A:$A,0))&amp;"",""))</f>
        <v/>
      </c>
      <c r="P1211" s="24" t="str">
        <f aca="false">IF($O1211="","",IF($O1211="CY","CY",IF(ISNUMBER(MATCH($O1211,Lists!$A:$A,0)),"EU","3RD")))</f>
        <v/>
      </c>
      <c r="Q1211" s="24" t="str">
        <f aca="false">IF($F1211="","N",IFERROR(IF(INDEX(Counterparties!$E:$E,MATCH($F1211&amp;"",Counterparties!$A:$A,0))="Y","Y","N"),"N"))</f>
        <v>N</v>
      </c>
      <c r="R1211" s="25" t="n">
        <f aca="false">IF(OR($H1211="",$H1211="EUR"),1,IFERROR(INDEX(FX_Rates!$D:$D,MATCH($H1211,FX_Rates!$A:$A,0)),""))</f>
        <v>1</v>
      </c>
      <c r="S1211" s="26" t="str">
        <f aca="false">IF(AND($I1211="",$J1211=""),"",IF($J1211&lt;&gt;"",$J1211,IF(OR($R1211="",$R1211=0),"",ROUND($I1211/$R1211,2))))</f>
        <v/>
      </c>
      <c r="T1211" s="24" t="str">
        <f aca="false">IF($N1211="","",IFERROR(INDEX(VAT_Codes!$C:$C,MATCH($N1211,VAT_Codes!$A:$A,0)),"")&amp;"")</f>
        <v/>
      </c>
      <c r="U1211" s="26" t="n">
        <f aca="false">IF(OR($S1211="",$T1211="",$T1211="None"),0,IF($T1211="Output",-$S1211,$S1211))</f>
        <v>0</v>
      </c>
      <c r="V1211" s="27" t="n">
        <f aca="false">IF($N1211="",0,IFERROR(INDEX(VAT_Codes!$D:$D,MATCH($N1211,VAT_Codes!$A:$A,0)),0))</f>
        <v>0</v>
      </c>
      <c r="W1211" s="26" t="n">
        <f aca="false">IF($U1211=0,0,IF(IFERROR(INDEX(VAT_Codes!$F:$F,MATCH($N1211,VAT_Codes!$A:$A,0)),"N")="Y",$U1211,IF($L1211&lt;&gt;"",ROUND(ABS($L1211)/IF(OR($R1211="",$R1211=0),1,$R1211),2)*SIGN($U1211),ROUND($U1211*$V1211,2))))</f>
        <v>0</v>
      </c>
      <c r="X1211" s="24" t="str">
        <f aca="false">IF($N1211="","",IFERROR(INDEX(VAT_Codes!$H:$H,MATCH($N1211,VAT_Codes!$A:$A,0)),"")&amp;"")</f>
        <v/>
      </c>
      <c r="Y1211" s="24" t="str">
        <f aca="false">IF($A1211="","",(YEAR($A1211)-YEAR(Settings!$C$8))*12+MONTH($A1211)-MONTH(Settings!$C$8)+1)</f>
        <v/>
      </c>
      <c r="Z1211" s="24" t="str">
        <f aca="false">IF(AND($C1211="",$I1211="",$J1211=""),"",IF($N1211="","NO VAT CODE",IF($T1211="","UNKNOWN VAT CODE",IF($S1211="","MISSING FX RATE",IF(OR($A1211&lt;Settings!$C$8,$A1211&gt;Settings!$C$9),"OUTSIDE PERIOD",IF(AND(IFERROR(INDEX(VAT_Codes!$E:$E,MATCH($N1211,VAT_Codes!$A:$A,0)),"ANY")&lt;&gt;"ANY",$P1211=""),"MISSING COUNTERPARTY COUNTRY",IF(AND(IFERROR(INDEX(VAT_Codes!$E:$E,MATCH($N1211,VAT_Codes!$A:$A,0)),"ANY")&lt;&gt;"ANY",$P1211&lt;&gt;IFERROR(INDEX(VAT_Codes!$E:$E,MATCH($N1211,VAT_Codes!$A:$A,0)),"ANY")),"REGION MISMATCH","OK")))))))</f>
        <v/>
      </c>
    </row>
    <row r="1212" customFormat="false" ht="15" hidden="false" customHeight="false" outlineLevel="0" collapsed="false">
      <c r="M1212" s="24" t="str">
        <f aca="false">IF($C1212="","",IFERROR(INDEX(Account_Mapping!$C:$C,MATCH($C1212&amp;"",Account_Mapping!$A:$A,0))&amp;"",""))</f>
        <v/>
      </c>
      <c r="N1212" s="24" t="str">
        <f aca="false">IF($K1212&lt;&gt;"",$K1212,$M1212)</f>
        <v/>
      </c>
      <c r="O1212" s="24" t="str">
        <f aca="false">IF($F1212="","",IFERROR(INDEX(Counterparties!$C:$C,MATCH($F1212&amp;"",Counterparties!$A:$A,0))&amp;"",""))</f>
        <v/>
      </c>
      <c r="P1212" s="24" t="str">
        <f aca="false">IF($O1212="","",IF($O1212="CY","CY",IF(ISNUMBER(MATCH($O1212,Lists!$A:$A,0)),"EU","3RD")))</f>
        <v/>
      </c>
      <c r="Q1212" s="24" t="str">
        <f aca="false">IF($F1212="","N",IFERROR(IF(INDEX(Counterparties!$E:$E,MATCH($F1212&amp;"",Counterparties!$A:$A,0))="Y","Y","N"),"N"))</f>
        <v>N</v>
      </c>
      <c r="R1212" s="25" t="n">
        <f aca="false">IF(OR($H1212="",$H1212="EUR"),1,IFERROR(INDEX(FX_Rates!$D:$D,MATCH($H1212,FX_Rates!$A:$A,0)),""))</f>
        <v>1</v>
      </c>
      <c r="S1212" s="26" t="str">
        <f aca="false">IF(AND($I1212="",$J1212=""),"",IF($J1212&lt;&gt;"",$J1212,IF(OR($R1212="",$R1212=0),"",ROUND($I1212/$R1212,2))))</f>
        <v/>
      </c>
      <c r="T1212" s="24" t="str">
        <f aca="false">IF($N1212="","",IFERROR(INDEX(VAT_Codes!$C:$C,MATCH($N1212,VAT_Codes!$A:$A,0)),"")&amp;"")</f>
        <v/>
      </c>
      <c r="U1212" s="26" t="n">
        <f aca="false">IF(OR($S1212="",$T1212="",$T1212="None"),0,IF($T1212="Output",-$S1212,$S1212))</f>
        <v>0</v>
      </c>
      <c r="V1212" s="27" t="n">
        <f aca="false">IF($N1212="",0,IFERROR(INDEX(VAT_Codes!$D:$D,MATCH($N1212,VAT_Codes!$A:$A,0)),0))</f>
        <v>0</v>
      </c>
      <c r="W1212" s="26" t="n">
        <f aca="false">IF($U1212=0,0,IF(IFERROR(INDEX(VAT_Codes!$F:$F,MATCH($N1212,VAT_Codes!$A:$A,0)),"N")="Y",$U1212,IF($L1212&lt;&gt;"",ROUND(ABS($L1212)/IF(OR($R1212="",$R1212=0),1,$R1212),2)*SIGN($U1212),ROUND($U1212*$V1212,2))))</f>
        <v>0</v>
      </c>
      <c r="X1212" s="24" t="str">
        <f aca="false">IF($N1212="","",IFERROR(INDEX(VAT_Codes!$H:$H,MATCH($N1212,VAT_Codes!$A:$A,0)),"")&amp;"")</f>
        <v/>
      </c>
      <c r="Y1212" s="24" t="str">
        <f aca="false">IF($A1212="","",(YEAR($A1212)-YEAR(Settings!$C$8))*12+MONTH($A1212)-MONTH(Settings!$C$8)+1)</f>
        <v/>
      </c>
      <c r="Z1212" s="24" t="str">
        <f aca="false">IF(AND($C1212="",$I1212="",$J1212=""),"",IF($N1212="","NO VAT CODE",IF($T1212="","UNKNOWN VAT CODE",IF($S1212="","MISSING FX RATE",IF(OR($A1212&lt;Settings!$C$8,$A1212&gt;Settings!$C$9),"OUTSIDE PERIOD",IF(AND(IFERROR(INDEX(VAT_Codes!$E:$E,MATCH($N1212,VAT_Codes!$A:$A,0)),"ANY")&lt;&gt;"ANY",$P1212=""),"MISSING COUNTERPARTY COUNTRY",IF(AND(IFERROR(INDEX(VAT_Codes!$E:$E,MATCH($N1212,VAT_Codes!$A:$A,0)),"ANY")&lt;&gt;"ANY",$P1212&lt;&gt;IFERROR(INDEX(VAT_Codes!$E:$E,MATCH($N1212,VAT_Codes!$A:$A,0)),"ANY")),"REGION MISMATCH","OK")))))))</f>
        <v/>
      </c>
    </row>
    <row r="1213" customFormat="false" ht="15" hidden="false" customHeight="false" outlineLevel="0" collapsed="false">
      <c r="M1213" s="24" t="str">
        <f aca="false">IF($C1213="","",IFERROR(INDEX(Account_Mapping!$C:$C,MATCH($C1213&amp;"",Account_Mapping!$A:$A,0))&amp;"",""))</f>
        <v/>
      </c>
      <c r="N1213" s="24" t="str">
        <f aca="false">IF($K1213&lt;&gt;"",$K1213,$M1213)</f>
        <v/>
      </c>
      <c r="O1213" s="24" t="str">
        <f aca="false">IF($F1213="","",IFERROR(INDEX(Counterparties!$C:$C,MATCH($F1213&amp;"",Counterparties!$A:$A,0))&amp;"",""))</f>
        <v/>
      </c>
      <c r="P1213" s="24" t="str">
        <f aca="false">IF($O1213="","",IF($O1213="CY","CY",IF(ISNUMBER(MATCH($O1213,Lists!$A:$A,0)),"EU","3RD")))</f>
        <v/>
      </c>
      <c r="Q1213" s="24" t="str">
        <f aca="false">IF($F1213="","N",IFERROR(IF(INDEX(Counterparties!$E:$E,MATCH($F1213&amp;"",Counterparties!$A:$A,0))="Y","Y","N"),"N"))</f>
        <v>N</v>
      </c>
      <c r="R1213" s="25" t="n">
        <f aca="false">IF(OR($H1213="",$H1213="EUR"),1,IFERROR(INDEX(FX_Rates!$D:$D,MATCH($H1213,FX_Rates!$A:$A,0)),""))</f>
        <v>1</v>
      </c>
      <c r="S1213" s="26" t="str">
        <f aca="false">IF(AND($I1213="",$J1213=""),"",IF($J1213&lt;&gt;"",$J1213,IF(OR($R1213="",$R1213=0),"",ROUND($I1213/$R1213,2))))</f>
        <v/>
      </c>
      <c r="T1213" s="24" t="str">
        <f aca="false">IF($N1213="","",IFERROR(INDEX(VAT_Codes!$C:$C,MATCH($N1213,VAT_Codes!$A:$A,0)),"")&amp;"")</f>
        <v/>
      </c>
      <c r="U1213" s="26" t="n">
        <f aca="false">IF(OR($S1213="",$T1213="",$T1213="None"),0,IF($T1213="Output",-$S1213,$S1213))</f>
        <v>0</v>
      </c>
      <c r="V1213" s="27" t="n">
        <f aca="false">IF($N1213="",0,IFERROR(INDEX(VAT_Codes!$D:$D,MATCH($N1213,VAT_Codes!$A:$A,0)),0))</f>
        <v>0</v>
      </c>
      <c r="W1213" s="26" t="n">
        <f aca="false">IF($U1213=0,0,IF(IFERROR(INDEX(VAT_Codes!$F:$F,MATCH($N1213,VAT_Codes!$A:$A,0)),"N")="Y",$U1213,IF($L1213&lt;&gt;"",ROUND(ABS($L1213)/IF(OR($R1213="",$R1213=0),1,$R1213),2)*SIGN($U1213),ROUND($U1213*$V1213,2))))</f>
        <v>0</v>
      </c>
      <c r="X1213" s="24" t="str">
        <f aca="false">IF($N1213="","",IFERROR(INDEX(VAT_Codes!$H:$H,MATCH($N1213,VAT_Codes!$A:$A,0)),"")&amp;"")</f>
        <v/>
      </c>
      <c r="Y1213" s="24" t="str">
        <f aca="false">IF($A1213="","",(YEAR($A1213)-YEAR(Settings!$C$8))*12+MONTH($A1213)-MONTH(Settings!$C$8)+1)</f>
        <v/>
      </c>
      <c r="Z1213" s="24" t="str">
        <f aca="false">IF(AND($C1213="",$I1213="",$J1213=""),"",IF($N1213="","NO VAT CODE",IF($T1213="","UNKNOWN VAT CODE",IF($S1213="","MISSING FX RATE",IF(OR($A1213&lt;Settings!$C$8,$A1213&gt;Settings!$C$9),"OUTSIDE PERIOD",IF(AND(IFERROR(INDEX(VAT_Codes!$E:$E,MATCH($N1213,VAT_Codes!$A:$A,0)),"ANY")&lt;&gt;"ANY",$P1213=""),"MISSING COUNTERPARTY COUNTRY",IF(AND(IFERROR(INDEX(VAT_Codes!$E:$E,MATCH($N1213,VAT_Codes!$A:$A,0)),"ANY")&lt;&gt;"ANY",$P1213&lt;&gt;IFERROR(INDEX(VAT_Codes!$E:$E,MATCH($N1213,VAT_Codes!$A:$A,0)),"ANY")),"REGION MISMATCH","OK")))))))</f>
        <v/>
      </c>
    </row>
    <row r="1214" customFormat="false" ht="15" hidden="false" customHeight="false" outlineLevel="0" collapsed="false">
      <c r="M1214" s="24" t="str">
        <f aca="false">IF($C1214="","",IFERROR(INDEX(Account_Mapping!$C:$C,MATCH($C1214&amp;"",Account_Mapping!$A:$A,0))&amp;"",""))</f>
        <v/>
      </c>
      <c r="N1214" s="24" t="str">
        <f aca="false">IF($K1214&lt;&gt;"",$K1214,$M1214)</f>
        <v/>
      </c>
      <c r="O1214" s="24" t="str">
        <f aca="false">IF($F1214="","",IFERROR(INDEX(Counterparties!$C:$C,MATCH($F1214&amp;"",Counterparties!$A:$A,0))&amp;"",""))</f>
        <v/>
      </c>
      <c r="P1214" s="24" t="str">
        <f aca="false">IF($O1214="","",IF($O1214="CY","CY",IF(ISNUMBER(MATCH($O1214,Lists!$A:$A,0)),"EU","3RD")))</f>
        <v/>
      </c>
      <c r="Q1214" s="24" t="str">
        <f aca="false">IF($F1214="","N",IFERROR(IF(INDEX(Counterparties!$E:$E,MATCH($F1214&amp;"",Counterparties!$A:$A,0))="Y","Y","N"),"N"))</f>
        <v>N</v>
      </c>
      <c r="R1214" s="25" t="n">
        <f aca="false">IF(OR($H1214="",$H1214="EUR"),1,IFERROR(INDEX(FX_Rates!$D:$D,MATCH($H1214,FX_Rates!$A:$A,0)),""))</f>
        <v>1</v>
      </c>
      <c r="S1214" s="26" t="str">
        <f aca="false">IF(AND($I1214="",$J1214=""),"",IF($J1214&lt;&gt;"",$J1214,IF(OR($R1214="",$R1214=0),"",ROUND($I1214/$R1214,2))))</f>
        <v/>
      </c>
      <c r="T1214" s="24" t="str">
        <f aca="false">IF($N1214="","",IFERROR(INDEX(VAT_Codes!$C:$C,MATCH($N1214,VAT_Codes!$A:$A,0)),"")&amp;"")</f>
        <v/>
      </c>
      <c r="U1214" s="26" t="n">
        <f aca="false">IF(OR($S1214="",$T1214="",$T1214="None"),0,IF($T1214="Output",-$S1214,$S1214))</f>
        <v>0</v>
      </c>
      <c r="V1214" s="27" t="n">
        <f aca="false">IF($N1214="",0,IFERROR(INDEX(VAT_Codes!$D:$D,MATCH($N1214,VAT_Codes!$A:$A,0)),0))</f>
        <v>0</v>
      </c>
      <c r="W1214" s="26" t="n">
        <f aca="false">IF($U1214=0,0,IF(IFERROR(INDEX(VAT_Codes!$F:$F,MATCH($N1214,VAT_Codes!$A:$A,0)),"N")="Y",$U1214,IF($L1214&lt;&gt;"",ROUND(ABS($L1214)/IF(OR($R1214="",$R1214=0),1,$R1214),2)*SIGN($U1214),ROUND($U1214*$V1214,2))))</f>
        <v>0</v>
      </c>
      <c r="X1214" s="24" t="str">
        <f aca="false">IF($N1214="","",IFERROR(INDEX(VAT_Codes!$H:$H,MATCH($N1214,VAT_Codes!$A:$A,0)),"")&amp;"")</f>
        <v/>
      </c>
      <c r="Y1214" s="24" t="str">
        <f aca="false">IF($A1214="","",(YEAR($A1214)-YEAR(Settings!$C$8))*12+MONTH($A1214)-MONTH(Settings!$C$8)+1)</f>
        <v/>
      </c>
      <c r="Z1214" s="24" t="str">
        <f aca="false">IF(AND($C1214="",$I1214="",$J1214=""),"",IF($N1214="","NO VAT CODE",IF($T1214="","UNKNOWN VAT CODE",IF($S1214="","MISSING FX RATE",IF(OR($A1214&lt;Settings!$C$8,$A1214&gt;Settings!$C$9),"OUTSIDE PERIOD",IF(AND(IFERROR(INDEX(VAT_Codes!$E:$E,MATCH($N1214,VAT_Codes!$A:$A,0)),"ANY")&lt;&gt;"ANY",$P1214=""),"MISSING COUNTERPARTY COUNTRY",IF(AND(IFERROR(INDEX(VAT_Codes!$E:$E,MATCH($N1214,VAT_Codes!$A:$A,0)),"ANY")&lt;&gt;"ANY",$P1214&lt;&gt;IFERROR(INDEX(VAT_Codes!$E:$E,MATCH($N1214,VAT_Codes!$A:$A,0)),"ANY")),"REGION MISMATCH","OK")))))))</f>
        <v/>
      </c>
    </row>
    <row r="1215" customFormat="false" ht="15" hidden="false" customHeight="false" outlineLevel="0" collapsed="false">
      <c r="M1215" s="24" t="str">
        <f aca="false">IF($C1215="","",IFERROR(INDEX(Account_Mapping!$C:$C,MATCH($C1215&amp;"",Account_Mapping!$A:$A,0))&amp;"",""))</f>
        <v/>
      </c>
      <c r="N1215" s="24" t="str">
        <f aca="false">IF($K1215&lt;&gt;"",$K1215,$M1215)</f>
        <v/>
      </c>
      <c r="O1215" s="24" t="str">
        <f aca="false">IF($F1215="","",IFERROR(INDEX(Counterparties!$C:$C,MATCH($F1215&amp;"",Counterparties!$A:$A,0))&amp;"",""))</f>
        <v/>
      </c>
      <c r="P1215" s="24" t="str">
        <f aca="false">IF($O1215="","",IF($O1215="CY","CY",IF(ISNUMBER(MATCH($O1215,Lists!$A:$A,0)),"EU","3RD")))</f>
        <v/>
      </c>
      <c r="Q1215" s="24" t="str">
        <f aca="false">IF($F1215="","N",IFERROR(IF(INDEX(Counterparties!$E:$E,MATCH($F1215&amp;"",Counterparties!$A:$A,0))="Y","Y","N"),"N"))</f>
        <v>N</v>
      </c>
      <c r="R1215" s="25" t="n">
        <f aca="false">IF(OR($H1215="",$H1215="EUR"),1,IFERROR(INDEX(FX_Rates!$D:$D,MATCH($H1215,FX_Rates!$A:$A,0)),""))</f>
        <v>1</v>
      </c>
      <c r="S1215" s="26" t="str">
        <f aca="false">IF(AND($I1215="",$J1215=""),"",IF($J1215&lt;&gt;"",$J1215,IF(OR($R1215="",$R1215=0),"",ROUND($I1215/$R1215,2))))</f>
        <v/>
      </c>
      <c r="T1215" s="24" t="str">
        <f aca="false">IF($N1215="","",IFERROR(INDEX(VAT_Codes!$C:$C,MATCH($N1215,VAT_Codes!$A:$A,0)),"")&amp;"")</f>
        <v/>
      </c>
      <c r="U1215" s="26" t="n">
        <f aca="false">IF(OR($S1215="",$T1215="",$T1215="None"),0,IF($T1215="Output",-$S1215,$S1215))</f>
        <v>0</v>
      </c>
      <c r="V1215" s="27" t="n">
        <f aca="false">IF($N1215="",0,IFERROR(INDEX(VAT_Codes!$D:$D,MATCH($N1215,VAT_Codes!$A:$A,0)),0))</f>
        <v>0</v>
      </c>
      <c r="W1215" s="26" t="n">
        <f aca="false">IF($U1215=0,0,IF(IFERROR(INDEX(VAT_Codes!$F:$F,MATCH($N1215,VAT_Codes!$A:$A,0)),"N")="Y",$U1215,IF($L1215&lt;&gt;"",ROUND(ABS($L1215)/IF(OR($R1215="",$R1215=0),1,$R1215),2)*SIGN($U1215),ROUND($U1215*$V1215,2))))</f>
        <v>0</v>
      </c>
      <c r="X1215" s="24" t="str">
        <f aca="false">IF($N1215="","",IFERROR(INDEX(VAT_Codes!$H:$H,MATCH($N1215,VAT_Codes!$A:$A,0)),"")&amp;"")</f>
        <v/>
      </c>
      <c r="Y1215" s="24" t="str">
        <f aca="false">IF($A1215="","",(YEAR($A1215)-YEAR(Settings!$C$8))*12+MONTH($A1215)-MONTH(Settings!$C$8)+1)</f>
        <v/>
      </c>
      <c r="Z1215" s="24" t="str">
        <f aca="false">IF(AND($C1215="",$I1215="",$J1215=""),"",IF($N1215="","NO VAT CODE",IF($T1215="","UNKNOWN VAT CODE",IF($S1215="","MISSING FX RATE",IF(OR($A1215&lt;Settings!$C$8,$A1215&gt;Settings!$C$9),"OUTSIDE PERIOD",IF(AND(IFERROR(INDEX(VAT_Codes!$E:$E,MATCH($N1215,VAT_Codes!$A:$A,0)),"ANY")&lt;&gt;"ANY",$P1215=""),"MISSING COUNTERPARTY COUNTRY",IF(AND(IFERROR(INDEX(VAT_Codes!$E:$E,MATCH($N1215,VAT_Codes!$A:$A,0)),"ANY")&lt;&gt;"ANY",$P1215&lt;&gt;IFERROR(INDEX(VAT_Codes!$E:$E,MATCH($N1215,VAT_Codes!$A:$A,0)),"ANY")),"REGION MISMATCH","OK")))))))</f>
        <v/>
      </c>
    </row>
    <row r="1216" customFormat="false" ht="15" hidden="false" customHeight="false" outlineLevel="0" collapsed="false">
      <c r="M1216" s="24" t="str">
        <f aca="false">IF($C1216="","",IFERROR(INDEX(Account_Mapping!$C:$C,MATCH($C1216&amp;"",Account_Mapping!$A:$A,0))&amp;"",""))</f>
        <v/>
      </c>
      <c r="N1216" s="24" t="str">
        <f aca="false">IF($K1216&lt;&gt;"",$K1216,$M1216)</f>
        <v/>
      </c>
      <c r="O1216" s="24" t="str">
        <f aca="false">IF($F1216="","",IFERROR(INDEX(Counterparties!$C:$C,MATCH($F1216&amp;"",Counterparties!$A:$A,0))&amp;"",""))</f>
        <v/>
      </c>
      <c r="P1216" s="24" t="str">
        <f aca="false">IF($O1216="","",IF($O1216="CY","CY",IF(ISNUMBER(MATCH($O1216,Lists!$A:$A,0)),"EU","3RD")))</f>
        <v/>
      </c>
      <c r="Q1216" s="24" t="str">
        <f aca="false">IF($F1216="","N",IFERROR(IF(INDEX(Counterparties!$E:$E,MATCH($F1216&amp;"",Counterparties!$A:$A,0))="Y","Y","N"),"N"))</f>
        <v>N</v>
      </c>
      <c r="R1216" s="25" t="n">
        <f aca="false">IF(OR($H1216="",$H1216="EUR"),1,IFERROR(INDEX(FX_Rates!$D:$D,MATCH($H1216,FX_Rates!$A:$A,0)),""))</f>
        <v>1</v>
      </c>
      <c r="S1216" s="26" t="str">
        <f aca="false">IF(AND($I1216="",$J1216=""),"",IF($J1216&lt;&gt;"",$J1216,IF(OR($R1216="",$R1216=0),"",ROUND($I1216/$R1216,2))))</f>
        <v/>
      </c>
      <c r="T1216" s="24" t="str">
        <f aca="false">IF($N1216="","",IFERROR(INDEX(VAT_Codes!$C:$C,MATCH($N1216,VAT_Codes!$A:$A,0)),"")&amp;"")</f>
        <v/>
      </c>
      <c r="U1216" s="26" t="n">
        <f aca="false">IF(OR($S1216="",$T1216="",$T1216="None"),0,IF($T1216="Output",-$S1216,$S1216))</f>
        <v>0</v>
      </c>
      <c r="V1216" s="27" t="n">
        <f aca="false">IF($N1216="",0,IFERROR(INDEX(VAT_Codes!$D:$D,MATCH($N1216,VAT_Codes!$A:$A,0)),0))</f>
        <v>0</v>
      </c>
      <c r="W1216" s="26" t="n">
        <f aca="false">IF($U1216=0,0,IF(IFERROR(INDEX(VAT_Codes!$F:$F,MATCH($N1216,VAT_Codes!$A:$A,0)),"N")="Y",$U1216,IF($L1216&lt;&gt;"",ROUND(ABS($L1216)/IF(OR($R1216="",$R1216=0),1,$R1216),2)*SIGN($U1216),ROUND($U1216*$V1216,2))))</f>
        <v>0</v>
      </c>
      <c r="X1216" s="24" t="str">
        <f aca="false">IF($N1216="","",IFERROR(INDEX(VAT_Codes!$H:$H,MATCH($N1216,VAT_Codes!$A:$A,0)),"")&amp;"")</f>
        <v/>
      </c>
      <c r="Y1216" s="24" t="str">
        <f aca="false">IF($A1216="","",(YEAR($A1216)-YEAR(Settings!$C$8))*12+MONTH($A1216)-MONTH(Settings!$C$8)+1)</f>
        <v/>
      </c>
      <c r="Z1216" s="24" t="str">
        <f aca="false">IF(AND($C1216="",$I1216="",$J1216=""),"",IF($N1216="","NO VAT CODE",IF($T1216="","UNKNOWN VAT CODE",IF($S1216="","MISSING FX RATE",IF(OR($A1216&lt;Settings!$C$8,$A1216&gt;Settings!$C$9),"OUTSIDE PERIOD",IF(AND(IFERROR(INDEX(VAT_Codes!$E:$E,MATCH($N1216,VAT_Codes!$A:$A,0)),"ANY")&lt;&gt;"ANY",$P1216=""),"MISSING COUNTERPARTY COUNTRY",IF(AND(IFERROR(INDEX(VAT_Codes!$E:$E,MATCH($N1216,VAT_Codes!$A:$A,0)),"ANY")&lt;&gt;"ANY",$P1216&lt;&gt;IFERROR(INDEX(VAT_Codes!$E:$E,MATCH($N1216,VAT_Codes!$A:$A,0)),"ANY")),"REGION MISMATCH","OK")))))))</f>
        <v/>
      </c>
    </row>
    <row r="1217" customFormat="false" ht="15" hidden="false" customHeight="false" outlineLevel="0" collapsed="false">
      <c r="M1217" s="24" t="str">
        <f aca="false">IF($C1217="","",IFERROR(INDEX(Account_Mapping!$C:$C,MATCH($C1217&amp;"",Account_Mapping!$A:$A,0))&amp;"",""))</f>
        <v/>
      </c>
      <c r="N1217" s="24" t="str">
        <f aca="false">IF($K1217&lt;&gt;"",$K1217,$M1217)</f>
        <v/>
      </c>
      <c r="O1217" s="24" t="str">
        <f aca="false">IF($F1217="","",IFERROR(INDEX(Counterparties!$C:$C,MATCH($F1217&amp;"",Counterparties!$A:$A,0))&amp;"",""))</f>
        <v/>
      </c>
      <c r="P1217" s="24" t="str">
        <f aca="false">IF($O1217="","",IF($O1217="CY","CY",IF(ISNUMBER(MATCH($O1217,Lists!$A:$A,0)),"EU","3RD")))</f>
        <v/>
      </c>
      <c r="Q1217" s="24" t="str">
        <f aca="false">IF($F1217="","N",IFERROR(IF(INDEX(Counterparties!$E:$E,MATCH($F1217&amp;"",Counterparties!$A:$A,0))="Y","Y","N"),"N"))</f>
        <v>N</v>
      </c>
      <c r="R1217" s="25" t="n">
        <f aca="false">IF(OR($H1217="",$H1217="EUR"),1,IFERROR(INDEX(FX_Rates!$D:$D,MATCH($H1217,FX_Rates!$A:$A,0)),""))</f>
        <v>1</v>
      </c>
      <c r="S1217" s="26" t="str">
        <f aca="false">IF(AND($I1217="",$J1217=""),"",IF($J1217&lt;&gt;"",$J1217,IF(OR($R1217="",$R1217=0),"",ROUND($I1217/$R1217,2))))</f>
        <v/>
      </c>
      <c r="T1217" s="24" t="str">
        <f aca="false">IF($N1217="","",IFERROR(INDEX(VAT_Codes!$C:$C,MATCH($N1217,VAT_Codes!$A:$A,0)),"")&amp;"")</f>
        <v/>
      </c>
      <c r="U1217" s="26" t="n">
        <f aca="false">IF(OR($S1217="",$T1217="",$T1217="None"),0,IF($T1217="Output",-$S1217,$S1217))</f>
        <v>0</v>
      </c>
      <c r="V1217" s="27" t="n">
        <f aca="false">IF($N1217="",0,IFERROR(INDEX(VAT_Codes!$D:$D,MATCH($N1217,VAT_Codes!$A:$A,0)),0))</f>
        <v>0</v>
      </c>
      <c r="W1217" s="26" t="n">
        <f aca="false">IF($U1217=0,0,IF(IFERROR(INDEX(VAT_Codes!$F:$F,MATCH($N1217,VAT_Codes!$A:$A,0)),"N")="Y",$U1217,IF($L1217&lt;&gt;"",ROUND(ABS($L1217)/IF(OR($R1217="",$R1217=0),1,$R1217),2)*SIGN($U1217),ROUND($U1217*$V1217,2))))</f>
        <v>0</v>
      </c>
      <c r="X1217" s="24" t="str">
        <f aca="false">IF($N1217="","",IFERROR(INDEX(VAT_Codes!$H:$H,MATCH($N1217,VAT_Codes!$A:$A,0)),"")&amp;"")</f>
        <v/>
      </c>
      <c r="Y1217" s="24" t="str">
        <f aca="false">IF($A1217="","",(YEAR($A1217)-YEAR(Settings!$C$8))*12+MONTH($A1217)-MONTH(Settings!$C$8)+1)</f>
        <v/>
      </c>
      <c r="Z1217" s="24" t="str">
        <f aca="false">IF(AND($C1217="",$I1217="",$J1217=""),"",IF($N1217="","NO VAT CODE",IF($T1217="","UNKNOWN VAT CODE",IF($S1217="","MISSING FX RATE",IF(OR($A1217&lt;Settings!$C$8,$A1217&gt;Settings!$C$9),"OUTSIDE PERIOD",IF(AND(IFERROR(INDEX(VAT_Codes!$E:$E,MATCH($N1217,VAT_Codes!$A:$A,0)),"ANY")&lt;&gt;"ANY",$P1217=""),"MISSING COUNTERPARTY COUNTRY",IF(AND(IFERROR(INDEX(VAT_Codes!$E:$E,MATCH($N1217,VAT_Codes!$A:$A,0)),"ANY")&lt;&gt;"ANY",$P1217&lt;&gt;IFERROR(INDEX(VAT_Codes!$E:$E,MATCH($N1217,VAT_Codes!$A:$A,0)),"ANY")),"REGION MISMATCH","OK")))))))</f>
        <v/>
      </c>
    </row>
    <row r="1218" customFormat="false" ht="15" hidden="false" customHeight="false" outlineLevel="0" collapsed="false">
      <c r="M1218" s="24" t="str">
        <f aca="false">IF($C1218="","",IFERROR(INDEX(Account_Mapping!$C:$C,MATCH($C1218&amp;"",Account_Mapping!$A:$A,0))&amp;"",""))</f>
        <v/>
      </c>
      <c r="N1218" s="24" t="str">
        <f aca="false">IF($K1218&lt;&gt;"",$K1218,$M1218)</f>
        <v/>
      </c>
      <c r="O1218" s="24" t="str">
        <f aca="false">IF($F1218="","",IFERROR(INDEX(Counterparties!$C:$C,MATCH($F1218&amp;"",Counterparties!$A:$A,0))&amp;"",""))</f>
        <v/>
      </c>
      <c r="P1218" s="24" t="str">
        <f aca="false">IF($O1218="","",IF($O1218="CY","CY",IF(ISNUMBER(MATCH($O1218,Lists!$A:$A,0)),"EU","3RD")))</f>
        <v/>
      </c>
      <c r="Q1218" s="24" t="str">
        <f aca="false">IF($F1218="","N",IFERROR(IF(INDEX(Counterparties!$E:$E,MATCH($F1218&amp;"",Counterparties!$A:$A,0))="Y","Y","N"),"N"))</f>
        <v>N</v>
      </c>
      <c r="R1218" s="25" t="n">
        <f aca="false">IF(OR($H1218="",$H1218="EUR"),1,IFERROR(INDEX(FX_Rates!$D:$D,MATCH($H1218,FX_Rates!$A:$A,0)),""))</f>
        <v>1</v>
      </c>
      <c r="S1218" s="26" t="str">
        <f aca="false">IF(AND($I1218="",$J1218=""),"",IF($J1218&lt;&gt;"",$J1218,IF(OR($R1218="",$R1218=0),"",ROUND($I1218/$R1218,2))))</f>
        <v/>
      </c>
      <c r="T1218" s="24" t="str">
        <f aca="false">IF($N1218="","",IFERROR(INDEX(VAT_Codes!$C:$C,MATCH($N1218,VAT_Codes!$A:$A,0)),"")&amp;"")</f>
        <v/>
      </c>
      <c r="U1218" s="26" t="n">
        <f aca="false">IF(OR($S1218="",$T1218="",$T1218="None"),0,IF($T1218="Output",-$S1218,$S1218))</f>
        <v>0</v>
      </c>
      <c r="V1218" s="27" t="n">
        <f aca="false">IF($N1218="",0,IFERROR(INDEX(VAT_Codes!$D:$D,MATCH($N1218,VAT_Codes!$A:$A,0)),0))</f>
        <v>0</v>
      </c>
      <c r="W1218" s="26" t="n">
        <f aca="false">IF($U1218=0,0,IF(IFERROR(INDEX(VAT_Codes!$F:$F,MATCH($N1218,VAT_Codes!$A:$A,0)),"N")="Y",$U1218,IF($L1218&lt;&gt;"",ROUND(ABS($L1218)/IF(OR($R1218="",$R1218=0),1,$R1218),2)*SIGN($U1218),ROUND($U1218*$V1218,2))))</f>
        <v>0</v>
      </c>
      <c r="X1218" s="24" t="str">
        <f aca="false">IF($N1218="","",IFERROR(INDEX(VAT_Codes!$H:$H,MATCH($N1218,VAT_Codes!$A:$A,0)),"")&amp;"")</f>
        <v/>
      </c>
      <c r="Y1218" s="24" t="str">
        <f aca="false">IF($A1218="","",(YEAR($A1218)-YEAR(Settings!$C$8))*12+MONTH($A1218)-MONTH(Settings!$C$8)+1)</f>
        <v/>
      </c>
      <c r="Z1218" s="24" t="str">
        <f aca="false">IF(AND($C1218="",$I1218="",$J1218=""),"",IF($N1218="","NO VAT CODE",IF($T1218="","UNKNOWN VAT CODE",IF($S1218="","MISSING FX RATE",IF(OR($A1218&lt;Settings!$C$8,$A1218&gt;Settings!$C$9),"OUTSIDE PERIOD",IF(AND(IFERROR(INDEX(VAT_Codes!$E:$E,MATCH($N1218,VAT_Codes!$A:$A,0)),"ANY")&lt;&gt;"ANY",$P1218=""),"MISSING COUNTERPARTY COUNTRY",IF(AND(IFERROR(INDEX(VAT_Codes!$E:$E,MATCH($N1218,VAT_Codes!$A:$A,0)),"ANY")&lt;&gt;"ANY",$P1218&lt;&gt;IFERROR(INDEX(VAT_Codes!$E:$E,MATCH($N1218,VAT_Codes!$A:$A,0)),"ANY")),"REGION MISMATCH","OK")))))))</f>
        <v/>
      </c>
    </row>
    <row r="1219" customFormat="false" ht="15" hidden="false" customHeight="false" outlineLevel="0" collapsed="false">
      <c r="M1219" s="24" t="str">
        <f aca="false">IF($C1219="","",IFERROR(INDEX(Account_Mapping!$C:$C,MATCH($C1219&amp;"",Account_Mapping!$A:$A,0))&amp;"",""))</f>
        <v/>
      </c>
      <c r="N1219" s="24" t="str">
        <f aca="false">IF($K1219&lt;&gt;"",$K1219,$M1219)</f>
        <v/>
      </c>
      <c r="O1219" s="24" t="str">
        <f aca="false">IF($F1219="","",IFERROR(INDEX(Counterparties!$C:$C,MATCH($F1219&amp;"",Counterparties!$A:$A,0))&amp;"",""))</f>
        <v/>
      </c>
      <c r="P1219" s="24" t="str">
        <f aca="false">IF($O1219="","",IF($O1219="CY","CY",IF(ISNUMBER(MATCH($O1219,Lists!$A:$A,0)),"EU","3RD")))</f>
        <v/>
      </c>
      <c r="Q1219" s="24" t="str">
        <f aca="false">IF($F1219="","N",IFERROR(IF(INDEX(Counterparties!$E:$E,MATCH($F1219&amp;"",Counterparties!$A:$A,0))="Y","Y","N"),"N"))</f>
        <v>N</v>
      </c>
      <c r="R1219" s="25" t="n">
        <f aca="false">IF(OR($H1219="",$H1219="EUR"),1,IFERROR(INDEX(FX_Rates!$D:$D,MATCH($H1219,FX_Rates!$A:$A,0)),""))</f>
        <v>1</v>
      </c>
      <c r="S1219" s="26" t="str">
        <f aca="false">IF(AND($I1219="",$J1219=""),"",IF($J1219&lt;&gt;"",$J1219,IF(OR($R1219="",$R1219=0),"",ROUND($I1219/$R1219,2))))</f>
        <v/>
      </c>
      <c r="T1219" s="24" t="str">
        <f aca="false">IF($N1219="","",IFERROR(INDEX(VAT_Codes!$C:$C,MATCH($N1219,VAT_Codes!$A:$A,0)),"")&amp;"")</f>
        <v/>
      </c>
      <c r="U1219" s="26" t="n">
        <f aca="false">IF(OR($S1219="",$T1219="",$T1219="None"),0,IF($T1219="Output",-$S1219,$S1219))</f>
        <v>0</v>
      </c>
      <c r="V1219" s="27" t="n">
        <f aca="false">IF($N1219="",0,IFERROR(INDEX(VAT_Codes!$D:$D,MATCH($N1219,VAT_Codes!$A:$A,0)),0))</f>
        <v>0</v>
      </c>
      <c r="W1219" s="26" t="n">
        <f aca="false">IF($U1219=0,0,IF(IFERROR(INDEX(VAT_Codes!$F:$F,MATCH($N1219,VAT_Codes!$A:$A,0)),"N")="Y",$U1219,IF($L1219&lt;&gt;"",ROUND(ABS($L1219)/IF(OR($R1219="",$R1219=0),1,$R1219),2)*SIGN($U1219),ROUND($U1219*$V1219,2))))</f>
        <v>0</v>
      </c>
      <c r="X1219" s="24" t="str">
        <f aca="false">IF($N1219="","",IFERROR(INDEX(VAT_Codes!$H:$H,MATCH($N1219,VAT_Codes!$A:$A,0)),"")&amp;"")</f>
        <v/>
      </c>
      <c r="Y1219" s="24" t="str">
        <f aca="false">IF($A1219="","",(YEAR($A1219)-YEAR(Settings!$C$8))*12+MONTH($A1219)-MONTH(Settings!$C$8)+1)</f>
        <v/>
      </c>
      <c r="Z1219" s="24" t="str">
        <f aca="false">IF(AND($C1219="",$I1219="",$J1219=""),"",IF($N1219="","NO VAT CODE",IF($T1219="","UNKNOWN VAT CODE",IF($S1219="","MISSING FX RATE",IF(OR($A1219&lt;Settings!$C$8,$A1219&gt;Settings!$C$9),"OUTSIDE PERIOD",IF(AND(IFERROR(INDEX(VAT_Codes!$E:$E,MATCH($N1219,VAT_Codes!$A:$A,0)),"ANY")&lt;&gt;"ANY",$P1219=""),"MISSING COUNTERPARTY COUNTRY",IF(AND(IFERROR(INDEX(VAT_Codes!$E:$E,MATCH($N1219,VAT_Codes!$A:$A,0)),"ANY")&lt;&gt;"ANY",$P1219&lt;&gt;IFERROR(INDEX(VAT_Codes!$E:$E,MATCH($N1219,VAT_Codes!$A:$A,0)),"ANY")),"REGION MISMATCH","OK")))))))</f>
        <v/>
      </c>
    </row>
    <row r="1220" customFormat="false" ht="15" hidden="false" customHeight="false" outlineLevel="0" collapsed="false">
      <c r="M1220" s="24" t="str">
        <f aca="false">IF($C1220="","",IFERROR(INDEX(Account_Mapping!$C:$C,MATCH($C1220&amp;"",Account_Mapping!$A:$A,0))&amp;"",""))</f>
        <v/>
      </c>
      <c r="N1220" s="24" t="str">
        <f aca="false">IF($K1220&lt;&gt;"",$K1220,$M1220)</f>
        <v/>
      </c>
      <c r="O1220" s="24" t="str">
        <f aca="false">IF($F1220="","",IFERROR(INDEX(Counterparties!$C:$C,MATCH($F1220&amp;"",Counterparties!$A:$A,0))&amp;"",""))</f>
        <v/>
      </c>
      <c r="P1220" s="24" t="str">
        <f aca="false">IF($O1220="","",IF($O1220="CY","CY",IF(ISNUMBER(MATCH($O1220,Lists!$A:$A,0)),"EU","3RD")))</f>
        <v/>
      </c>
      <c r="Q1220" s="24" t="str">
        <f aca="false">IF($F1220="","N",IFERROR(IF(INDEX(Counterparties!$E:$E,MATCH($F1220&amp;"",Counterparties!$A:$A,0))="Y","Y","N"),"N"))</f>
        <v>N</v>
      </c>
      <c r="R1220" s="25" t="n">
        <f aca="false">IF(OR($H1220="",$H1220="EUR"),1,IFERROR(INDEX(FX_Rates!$D:$D,MATCH($H1220,FX_Rates!$A:$A,0)),""))</f>
        <v>1</v>
      </c>
      <c r="S1220" s="26" t="str">
        <f aca="false">IF(AND($I1220="",$J1220=""),"",IF($J1220&lt;&gt;"",$J1220,IF(OR($R1220="",$R1220=0),"",ROUND($I1220/$R1220,2))))</f>
        <v/>
      </c>
      <c r="T1220" s="24" t="str">
        <f aca="false">IF($N1220="","",IFERROR(INDEX(VAT_Codes!$C:$C,MATCH($N1220,VAT_Codes!$A:$A,0)),"")&amp;"")</f>
        <v/>
      </c>
      <c r="U1220" s="26" t="n">
        <f aca="false">IF(OR($S1220="",$T1220="",$T1220="None"),0,IF($T1220="Output",-$S1220,$S1220))</f>
        <v>0</v>
      </c>
      <c r="V1220" s="27" t="n">
        <f aca="false">IF($N1220="",0,IFERROR(INDEX(VAT_Codes!$D:$D,MATCH($N1220,VAT_Codes!$A:$A,0)),0))</f>
        <v>0</v>
      </c>
      <c r="W1220" s="26" t="n">
        <f aca="false">IF($U1220=0,0,IF(IFERROR(INDEX(VAT_Codes!$F:$F,MATCH($N1220,VAT_Codes!$A:$A,0)),"N")="Y",$U1220,IF($L1220&lt;&gt;"",ROUND(ABS($L1220)/IF(OR($R1220="",$R1220=0),1,$R1220),2)*SIGN($U1220),ROUND($U1220*$V1220,2))))</f>
        <v>0</v>
      </c>
      <c r="X1220" s="24" t="str">
        <f aca="false">IF($N1220="","",IFERROR(INDEX(VAT_Codes!$H:$H,MATCH($N1220,VAT_Codes!$A:$A,0)),"")&amp;"")</f>
        <v/>
      </c>
      <c r="Y1220" s="24" t="str">
        <f aca="false">IF($A1220="","",(YEAR($A1220)-YEAR(Settings!$C$8))*12+MONTH($A1220)-MONTH(Settings!$C$8)+1)</f>
        <v/>
      </c>
      <c r="Z1220" s="24" t="str">
        <f aca="false">IF(AND($C1220="",$I1220="",$J1220=""),"",IF($N1220="","NO VAT CODE",IF($T1220="","UNKNOWN VAT CODE",IF($S1220="","MISSING FX RATE",IF(OR($A1220&lt;Settings!$C$8,$A1220&gt;Settings!$C$9),"OUTSIDE PERIOD",IF(AND(IFERROR(INDEX(VAT_Codes!$E:$E,MATCH($N1220,VAT_Codes!$A:$A,0)),"ANY")&lt;&gt;"ANY",$P1220=""),"MISSING COUNTERPARTY COUNTRY",IF(AND(IFERROR(INDEX(VAT_Codes!$E:$E,MATCH($N1220,VAT_Codes!$A:$A,0)),"ANY")&lt;&gt;"ANY",$P1220&lt;&gt;IFERROR(INDEX(VAT_Codes!$E:$E,MATCH($N1220,VAT_Codes!$A:$A,0)),"ANY")),"REGION MISMATCH","OK")))))))</f>
        <v/>
      </c>
    </row>
    <row r="1221" customFormat="false" ht="15" hidden="false" customHeight="false" outlineLevel="0" collapsed="false">
      <c r="M1221" s="24" t="str">
        <f aca="false">IF($C1221="","",IFERROR(INDEX(Account_Mapping!$C:$C,MATCH($C1221&amp;"",Account_Mapping!$A:$A,0))&amp;"",""))</f>
        <v/>
      </c>
      <c r="N1221" s="24" t="str">
        <f aca="false">IF($K1221&lt;&gt;"",$K1221,$M1221)</f>
        <v/>
      </c>
      <c r="O1221" s="24" t="str">
        <f aca="false">IF($F1221="","",IFERROR(INDEX(Counterparties!$C:$C,MATCH($F1221&amp;"",Counterparties!$A:$A,0))&amp;"",""))</f>
        <v/>
      </c>
      <c r="P1221" s="24" t="str">
        <f aca="false">IF($O1221="","",IF($O1221="CY","CY",IF(ISNUMBER(MATCH($O1221,Lists!$A:$A,0)),"EU","3RD")))</f>
        <v/>
      </c>
      <c r="Q1221" s="24" t="str">
        <f aca="false">IF($F1221="","N",IFERROR(IF(INDEX(Counterparties!$E:$E,MATCH($F1221&amp;"",Counterparties!$A:$A,0))="Y","Y","N"),"N"))</f>
        <v>N</v>
      </c>
      <c r="R1221" s="25" t="n">
        <f aca="false">IF(OR($H1221="",$H1221="EUR"),1,IFERROR(INDEX(FX_Rates!$D:$D,MATCH($H1221,FX_Rates!$A:$A,0)),""))</f>
        <v>1</v>
      </c>
      <c r="S1221" s="26" t="str">
        <f aca="false">IF(AND($I1221="",$J1221=""),"",IF($J1221&lt;&gt;"",$J1221,IF(OR($R1221="",$R1221=0),"",ROUND($I1221/$R1221,2))))</f>
        <v/>
      </c>
      <c r="T1221" s="24" t="str">
        <f aca="false">IF($N1221="","",IFERROR(INDEX(VAT_Codes!$C:$C,MATCH($N1221,VAT_Codes!$A:$A,0)),"")&amp;"")</f>
        <v/>
      </c>
      <c r="U1221" s="26" t="n">
        <f aca="false">IF(OR($S1221="",$T1221="",$T1221="None"),0,IF($T1221="Output",-$S1221,$S1221))</f>
        <v>0</v>
      </c>
      <c r="V1221" s="27" t="n">
        <f aca="false">IF($N1221="",0,IFERROR(INDEX(VAT_Codes!$D:$D,MATCH($N1221,VAT_Codes!$A:$A,0)),0))</f>
        <v>0</v>
      </c>
      <c r="W1221" s="26" t="n">
        <f aca="false">IF($U1221=0,0,IF(IFERROR(INDEX(VAT_Codes!$F:$F,MATCH($N1221,VAT_Codes!$A:$A,0)),"N")="Y",$U1221,IF($L1221&lt;&gt;"",ROUND(ABS($L1221)/IF(OR($R1221="",$R1221=0),1,$R1221),2)*SIGN($U1221),ROUND($U1221*$V1221,2))))</f>
        <v>0</v>
      </c>
      <c r="X1221" s="24" t="str">
        <f aca="false">IF($N1221="","",IFERROR(INDEX(VAT_Codes!$H:$H,MATCH($N1221,VAT_Codes!$A:$A,0)),"")&amp;"")</f>
        <v/>
      </c>
      <c r="Y1221" s="24" t="str">
        <f aca="false">IF($A1221="","",(YEAR($A1221)-YEAR(Settings!$C$8))*12+MONTH($A1221)-MONTH(Settings!$C$8)+1)</f>
        <v/>
      </c>
      <c r="Z1221" s="24" t="str">
        <f aca="false">IF(AND($C1221="",$I1221="",$J1221=""),"",IF($N1221="","NO VAT CODE",IF($T1221="","UNKNOWN VAT CODE",IF($S1221="","MISSING FX RATE",IF(OR($A1221&lt;Settings!$C$8,$A1221&gt;Settings!$C$9),"OUTSIDE PERIOD",IF(AND(IFERROR(INDEX(VAT_Codes!$E:$E,MATCH($N1221,VAT_Codes!$A:$A,0)),"ANY")&lt;&gt;"ANY",$P1221=""),"MISSING COUNTERPARTY COUNTRY",IF(AND(IFERROR(INDEX(VAT_Codes!$E:$E,MATCH($N1221,VAT_Codes!$A:$A,0)),"ANY")&lt;&gt;"ANY",$P1221&lt;&gt;IFERROR(INDEX(VAT_Codes!$E:$E,MATCH($N1221,VAT_Codes!$A:$A,0)),"ANY")),"REGION MISMATCH","OK")))))))</f>
        <v/>
      </c>
    </row>
    <row r="1222" customFormat="false" ht="15" hidden="false" customHeight="false" outlineLevel="0" collapsed="false">
      <c r="M1222" s="24" t="str">
        <f aca="false">IF($C1222="","",IFERROR(INDEX(Account_Mapping!$C:$C,MATCH($C1222&amp;"",Account_Mapping!$A:$A,0))&amp;"",""))</f>
        <v/>
      </c>
      <c r="N1222" s="24" t="str">
        <f aca="false">IF($K1222&lt;&gt;"",$K1222,$M1222)</f>
        <v/>
      </c>
      <c r="O1222" s="24" t="str">
        <f aca="false">IF($F1222="","",IFERROR(INDEX(Counterparties!$C:$C,MATCH($F1222&amp;"",Counterparties!$A:$A,0))&amp;"",""))</f>
        <v/>
      </c>
      <c r="P1222" s="24" t="str">
        <f aca="false">IF($O1222="","",IF($O1222="CY","CY",IF(ISNUMBER(MATCH($O1222,Lists!$A:$A,0)),"EU","3RD")))</f>
        <v/>
      </c>
      <c r="Q1222" s="24" t="str">
        <f aca="false">IF($F1222="","N",IFERROR(IF(INDEX(Counterparties!$E:$E,MATCH($F1222&amp;"",Counterparties!$A:$A,0))="Y","Y","N"),"N"))</f>
        <v>N</v>
      </c>
      <c r="R1222" s="25" t="n">
        <f aca="false">IF(OR($H1222="",$H1222="EUR"),1,IFERROR(INDEX(FX_Rates!$D:$D,MATCH($H1222,FX_Rates!$A:$A,0)),""))</f>
        <v>1</v>
      </c>
      <c r="S1222" s="26" t="str">
        <f aca="false">IF(AND($I1222="",$J1222=""),"",IF($J1222&lt;&gt;"",$J1222,IF(OR($R1222="",$R1222=0),"",ROUND($I1222/$R1222,2))))</f>
        <v/>
      </c>
      <c r="T1222" s="24" t="str">
        <f aca="false">IF($N1222="","",IFERROR(INDEX(VAT_Codes!$C:$C,MATCH($N1222,VAT_Codes!$A:$A,0)),"")&amp;"")</f>
        <v/>
      </c>
      <c r="U1222" s="26" t="n">
        <f aca="false">IF(OR($S1222="",$T1222="",$T1222="None"),0,IF($T1222="Output",-$S1222,$S1222))</f>
        <v>0</v>
      </c>
      <c r="V1222" s="27" t="n">
        <f aca="false">IF($N1222="",0,IFERROR(INDEX(VAT_Codes!$D:$D,MATCH($N1222,VAT_Codes!$A:$A,0)),0))</f>
        <v>0</v>
      </c>
      <c r="W1222" s="26" t="n">
        <f aca="false">IF($U1222=0,0,IF(IFERROR(INDEX(VAT_Codes!$F:$F,MATCH($N1222,VAT_Codes!$A:$A,0)),"N")="Y",$U1222,IF($L1222&lt;&gt;"",ROUND(ABS($L1222)/IF(OR($R1222="",$R1222=0),1,$R1222),2)*SIGN($U1222),ROUND($U1222*$V1222,2))))</f>
        <v>0</v>
      </c>
      <c r="X1222" s="24" t="str">
        <f aca="false">IF($N1222="","",IFERROR(INDEX(VAT_Codes!$H:$H,MATCH($N1222,VAT_Codes!$A:$A,0)),"")&amp;"")</f>
        <v/>
      </c>
      <c r="Y1222" s="24" t="str">
        <f aca="false">IF($A1222="","",(YEAR($A1222)-YEAR(Settings!$C$8))*12+MONTH($A1222)-MONTH(Settings!$C$8)+1)</f>
        <v/>
      </c>
      <c r="Z1222" s="24" t="str">
        <f aca="false">IF(AND($C1222="",$I1222="",$J1222=""),"",IF($N1222="","NO VAT CODE",IF($T1222="","UNKNOWN VAT CODE",IF($S1222="","MISSING FX RATE",IF(OR($A1222&lt;Settings!$C$8,$A1222&gt;Settings!$C$9),"OUTSIDE PERIOD",IF(AND(IFERROR(INDEX(VAT_Codes!$E:$E,MATCH($N1222,VAT_Codes!$A:$A,0)),"ANY")&lt;&gt;"ANY",$P1222=""),"MISSING COUNTERPARTY COUNTRY",IF(AND(IFERROR(INDEX(VAT_Codes!$E:$E,MATCH($N1222,VAT_Codes!$A:$A,0)),"ANY")&lt;&gt;"ANY",$P1222&lt;&gt;IFERROR(INDEX(VAT_Codes!$E:$E,MATCH($N1222,VAT_Codes!$A:$A,0)),"ANY")),"REGION MISMATCH","OK")))))))</f>
        <v/>
      </c>
    </row>
    <row r="1223" customFormat="false" ht="15" hidden="false" customHeight="false" outlineLevel="0" collapsed="false">
      <c r="M1223" s="24" t="str">
        <f aca="false">IF($C1223="","",IFERROR(INDEX(Account_Mapping!$C:$C,MATCH($C1223&amp;"",Account_Mapping!$A:$A,0))&amp;"",""))</f>
        <v/>
      </c>
      <c r="N1223" s="24" t="str">
        <f aca="false">IF($K1223&lt;&gt;"",$K1223,$M1223)</f>
        <v/>
      </c>
      <c r="O1223" s="24" t="str">
        <f aca="false">IF($F1223="","",IFERROR(INDEX(Counterparties!$C:$C,MATCH($F1223&amp;"",Counterparties!$A:$A,0))&amp;"",""))</f>
        <v/>
      </c>
      <c r="P1223" s="24" t="str">
        <f aca="false">IF($O1223="","",IF($O1223="CY","CY",IF(ISNUMBER(MATCH($O1223,Lists!$A:$A,0)),"EU","3RD")))</f>
        <v/>
      </c>
      <c r="Q1223" s="24" t="str">
        <f aca="false">IF($F1223="","N",IFERROR(IF(INDEX(Counterparties!$E:$E,MATCH($F1223&amp;"",Counterparties!$A:$A,0))="Y","Y","N"),"N"))</f>
        <v>N</v>
      </c>
      <c r="R1223" s="25" t="n">
        <f aca="false">IF(OR($H1223="",$H1223="EUR"),1,IFERROR(INDEX(FX_Rates!$D:$D,MATCH($H1223,FX_Rates!$A:$A,0)),""))</f>
        <v>1</v>
      </c>
      <c r="S1223" s="26" t="str">
        <f aca="false">IF(AND($I1223="",$J1223=""),"",IF($J1223&lt;&gt;"",$J1223,IF(OR($R1223="",$R1223=0),"",ROUND($I1223/$R1223,2))))</f>
        <v/>
      </c>
      <c r="T1223" s="24" t="str">
        <f aca="false">IF($N1223="","",IFERROR(INDEX(VAT_Codes!$C:$C,MATCH($N1223,VAT_Codes!$A:$A,0)),"")&amp;"")</f>
        <v/>
      </c>
      <c r="U1223" s="26" t="n">
        <f aca="false">IF(OR($S1223="",$T1223="",$T1223="None"),0,IF($T1223="Output",-$S1223,$S1223))</f>
        <v>0</v>
      </c>
      <c r="V1223" s="27" t="n">
        <f aca="false">IF($N1223="",0,IFERROR(INDEX(VAT_Codes!$D:$D,MATCH($N1223,VAT_Codes!$A:$A,0)),0))</f>
        <v>0</v>
      </c>
      <c r="W1223" s="26" t="n">
        <f aca="false">IF($U1223=0,0,IF(IFERROR(INDEX(VAT_Codes!$F:$F,MATCH($N1223,VAT_Codes!$A:$A,0)),"N")="Y",$U1223,IF($L1223&lt;&gt;"",ROUND(ABS($L1223)/IF(OR($R1223="",$R1223=0),1,$R1223),2)*SIGN($U1223),ROUND($U1223*$V1223,2))))</f>
        <v>0</v>
      </c>
      <c r="X1223" s="24" t="str">
        <f aca="false">IF($N1223="","",IFERROR(INDEX(VAT_Codes!$H:$H,MATCH($N1223,VAT_Codes!$A:$A,0)),"")&amp;"")</f>
        <v/>
      </c>
      <c r="Y1223" s="24" t="str">
        <f aca="false">IF($A1223="","",(YEAR($A1223)-YEAR(Settings!$C$8))*12+MONTH($A1223)-MONTH(Settings!$C$8)+1)</f>
        <v/>
      </c>
      <c r="Z1223" s="24" t="str">
        <f aca="false">IF(AND($C1223="",$I1223="",$J1223=""),"",IF($N1223="","NO VAT CODE",IF($T1223="","UNKNOWN VAT CODE",IF($S1223="","MISSING FX RATE",IF(OR($A1223&lt;Settings!$C$8,$A1223&gt;Settings!$C$9),"OUTSIDE PERIOD",IF(AND(IFERROR(INDEX(VAT_Codes!$E:$E,MATCH($N1223,VAT_Codes!$A:$A,0)),"ANY")&lt;&gt;"ANY",$P1223=""),"MISSING COUNTERPARTY COUNTRY",IF(AND(IFERROR(INDEX(VAT_Codes!$E:$E,MATCH($N1223,VAT_Codes!$A:$A,0)),"ANY")&lt;&gt;"ANY",$P1223&lt;&gt;IFERROR(INDEX(VAT_Codes!$E:$E,MATCH($N1223,VAT_Codes!$A:$A,0)),"ANY")),"REGION MISMATCH","OK")))))))</f>
        <v/>
      </c>
    </row>
    <row r="1224" customFormat="false" ht="15" hidden="false" customHeight="false" outlineLevel="0" collapsed="false">
      <c r="M1224" s="24" t="str">
        <f aca="false">IF($C1224="","",IFERROR(INDEX(Account_Mapping!$C:$C,MATCH($C1224&amp;"",Account_Mapping!$A:$A,0))&amp;"",""))</f>
        <v/>
      </c>
      <c r="N1224" s="24" t="str">
        <f aca="false">IF($K1224&lt;&gt;"",$K1224,$M1224)</f>
        <v/>
      </c>
      <c r="O1224" s="24" t="str">
        <f aca="false">IF($F1224="","",IFERROR(INDEX(Counterparties!$C:$C,MATCH($F1224&amp;"",Counterparties!$A:$A,0))&amp;"",""))</f>
        <v/>
      </c>
      <c r="P1224" s="24" t="str">
        <f aca="false">IF($O1224="","",IF($O1224="CY","CY",IF(ISNUMBER(MATCH($O1224,Lists!$A:$A,0)),"EU","3RD")))</f>
        <v/>
      </c>
      <c r="Q1224" s="24" t="str">
        <f aca="false">IF($F1224="","N",IFERROR(IF(INDEX(Counterparties!$E:$E,MATCH($F1224&amp;"",Counterparties!$A:$A,0))="Y","Y","N"),"N"))</f>
        <v>N</v>
      </c>
      <c r="R1224" s="25" t="n">
        <f aca="false">IF(OR($H1224="",$H1224="EUR"),1,IFERROR(INDEX(FX_Rates!$D:$D,MATCH($H1224,FX_Rates!$A:$A,0)),""))</f>
        <v>1</v>
      </c>
      <c r="S1224" s="26" t="str">
        <f aca="false">IF(AND($I1224="",$J1224=""),"",IF($J1224&lt;&gt;"",$J1224,IF(OR($R1224="",$R1224=0),"",ROUND($I1224/$R1224,2))))</f>
        <v/>
      </c>
      <c r="T1224" s="24" t="str">
        <f aca="false">IF($N1224="","",IFERROR(INDEX(VAT_Codes!$C:$C,MATCH($N1224,VAT_Codes!$A:$A,0)),"")&amp;"")</f>
        <v/>
      </c>
      <c r="U1224" s="26" t="n">
        <f aca="false">IF(OR($S1224="",$T1224="",$T1224="None"),0,IF($T1224="Output",-$S1224,$S1224))</f>
        <v>0</v>
      </c>
      <c r="V1224" s="27" t="n">
        <f aca="false">IF($N1224="",0,IFERROR(INDEX(VAT_Codes!$D:$D,MATCH($N1224,VAT_Codes!$A:$A,0)),0))</f>
        <v>0</v>
      </c>
      <c r="W1224" s="26" t="n">
        <f aca="false">IF($U1224=0,0,IF(IFERROR(INDEX(VAT_Codes!$F:$F,MATCH($N1224,VAT_Codes!$A:$A,0)),"N")="Y",$U1224,IF($L1224&lt;&gt;"",ROUND(ABS($L1224)/IF(OR($R1224="",$R1224=0),1,$R1224),2)*SIGN($U1224),ROUND($U1224*$V1224,2))))</f>
        <v>0</v>
      </c>
      <c r="X1224" s="24" t="str">
        <f aca="false">IF($N1224="","",IFERROR(INDEX(VAT_Codes!$H:$H,MATCH($N1224,VAT_Codes!$A:$A,0)),"")&amp;"")</f>
        <v/>
      </c>
      <c r="Y1224" s="24" t="str">
        <f aca="false">IF($A1224="","",(YEAR($A1224)-YEAR(Settings!$C$8))*12+MONTH($A1224)-MONTH(Settings!$C$8)+1)</f>
        <v/>
      </c>
      <c r="Z1224" s="24" t="str">
        <f aca="false">IF(AND($C1224="",$I1224="",$J1224=""),"",IF($N1224="","NO VAT CODE",IF($T1224="","UNKNOWN VAT CODE",IF($S1224="","MISSING FX RATE",IF(OR($A1224&lt;Settings!$C$8,$A1224&gt;Settings!$C$9),"OUTSIDE PERIOD",IF(AND(IFERROR(INDEX(VAT_Codes!$E:$E,MATCH($N1224,VAT_Codes!$A:$A,0)),"ANY")&lt;&gt;"ANY",$P1224=""),"MISSING COUNTERPARTY COUNTRY",IF(AND(IFERROR(INDEX(VAT_Codes!$E:$E,MATCH($N1224,VAT_Codes!$A:$A,0)),"ANY")&lt;&gt;"ANY",$P1224&lt;&gt;IFERROR(INDEX(VAT_Codes!$E:$E,MATCH($N1224,VAT_Codes!$A:$A,0)),"ANY")),"REGION MISMATCH","OK")))))))</f>
        <v/>
      </c>
    </row>
    <row r="1225" customFormat="false" ht="15" hidden="false" customHeight="false" outlineLevel="0" collapsed="false">
      <c r="M1225" s="24" t="str">
        <f aca="false">IF($C1225="","",IFERROR(INDEX(Account_Mapping!$C:$C,MATCH($C1225&amp;"",Account_Mapping!$A:$A,0))&amp;"",""))</f>
        <v/>
      </c>
      <c r="N1225" s="24" t="str">
        <f aca="false">IF($K1225&lt;&gt;"",$K1225,$M1225)</f>
        <v/>
      </c>
      <c r="O1225" s="24" t="str">
        <f aca="false">IF($F1225="","",IFERROR(INDEX(Counterparties!$C:$C,MATCH($F1225&amp;"",Counterparties!$A:$A,0))&amp;"",""))</f>
        <v/>
      </c>
      <c r="P1225" s="24" t="str">
        <f aca="false">IF($O1225="","",IF($O1225="CY","CY",IF(ISNUMBER(MATCH($O1225,Lists!$A:$A,0)),"EU","3RD")))</f>
        <v/>
      </c>
      <c r="Q1225" s="24" t="str">
        <f aca="false">IF($F1225="","N",IFERROR(IF(INDEX(Counterparties!$E:$E,MATCH($F1225&amp;"",Counterparties!$A:$A,0))="Y","Y","N"),"N"))</f>
        <v>N</v>
      </c>
      <c r="R1225" s="25" t="n">
        <f aca="false">IF(OR($H1225="",$H1225="EUR"),1,IFERROR(INDEX(FX_Rates!$D:$D,MATCH($H1225,FX_Rates!$A:$A,0)),""))</f>
        <v>1</v>
      </c>
      <c r="S1225" s="26" t="str">
        <f aca="false">IF(AND($I1225="",$J1225=""),"",IF($J1225&lt;&gt;"",$J1225,IF(OR($R1225="",$R1225=0),"",ROUND($I1225/$R1225,2))))</f>
        <v/>
      </c>
      <c r="T1225" s="24" t="str">
        <f aca="false">IF($N1225="","",IFERROR(INDEX(VAT_Codes!$C:$C,MATCH($N1225,VAT_Codes!$A:$A,0)),"")&amp;"")</f>
        <v/>
      </c>
      <c r="U1225" s="26" t="n">
        <f aca="false">IF(OR($S1225="",$T1225="",$T1225="None"),0,IF($T1225="Output",-$S1225,$S1225))</f>
        <v>0</v>
      </c>
      <c r="V1225" s="27" t="n">
        <f aca="false">IF($N1225="",0,IFERROR(INDEX(VAT_Codes!$D:$D,MATCH($N1225,VAT_Codes!$A:$A,0)),0))</f>
        <v>0</v>
      </c>
      <c r="W1225" s="26" t="n">
        <f aca="false">IF($U1225=0,0,IF(IFERROR(INDEX(VAT_Codes!$F:$F,MATCH($N1225,VAT_Codes!$A:$A,0)),"N")="Y",$U1225,IF($L1225&lt;&gt;"",ROUND(ABS($L1225)/IF(OR($R1225="",$R1225=0),1,$R1225),2)*SIGN($U1225),ROUND($U1225*$V1225,2))))</f>
        <v>0</v>
      </c>
      <c r="X1225" s="24" t="str">
        <f aca="false">IF($N1225="","",IFERROR(INDEX(VAT_Codes!$H:$H,MATCH($N1225,VAT_Codes!$A:$A,0)),"")&amp;"")</f>
        <v/>
      </c>
      <c r="Y1225" s="24" t="str">
        <f aca="false">IF($A1225="","",(YEAR($A1225)-YEAR(Settings!$C$8))*12+MONTH($A1225)-MONTH(Settings!$C$8)+1)</f>
        <v/>
      </c>
      <c r="Z1225" s="24" t="str">
        <f aca="false">IF(AND($C1225="",$I1225="",$J1225=""),"",IF($N1225="","NO VAT CODE",IF($T1225="","UNKNOWN VAT CODE",IF($S1225="","MISSING FX RATE",IF(OR($A1225&lt;Settings!$C$8,$A1225&gt;Settings!$C$9),"OUTSIDE PERIOD",IF(AND(IFERROR(INDEX(VAT_Codes!$E:$E,MATCH($N1225,VAT_Codes!$A:$A,0)),"ANY")&lt;&gt;"ANY",$P1225=""),"MISSING COUNTERPARTY COUNTRY",IF(AND(IFERROR(INDEX(VAT_Codes!$E:$E,MATCH($N1225,VAT_Codes!$A:$A,0)),"ANY")&lt;&gt;"ANY",$P1225&lt;&gt;IFERROR(INDEX(VAT_Codes!$E:$E,MATCH($N1225,VAT_Codes!$A:$A,0)),"ANY")),"REGION MISMATCH","OK")))))))</f>
        <v/>
      </c>
    </row>
    <row r="1226" customFormat="false" ht="15" hidden="false" customHeight="false" outlineLevel="0" collapsed="false">
      <c r="M1226" s="24" t="str">
        <f aca="false">IF($C1226="","",IFERROR(INDEX(Account_Mapping!$C:$C,MATCH($C1226&amp;"",Account_Mapping!$A:$A,0))&amp;"",""))</f>
        <v/>
      </c>
      <c r="N1226" s="24" t="str">
        <f aca="false">IF($K1226&lt;&gt;"",$K1226,$M1226)</f>
        <v/>
      </c>
      <c r="O1226" s="24" t="str">
        <f aca="false">IF($F1226="","",IFERROR(INDEX(Counterparties!$C:$C,MATCH($F1226&amp;"",Counterparties!$A:$A,0))&amp;"",""))</f>
        <v/>
      </c>
      <c r="P1226" s="24" t="str">
        <f aca="false">IF($O1226="","",IF($O1226="CY","CY",IF(ISNUMBER(MATCH($O1226,Lists!$A:$A,0)),"EU","3RD")))</f>
        <v/>
      </c>
      <c r="Q1226" s="24" t="str">
        <f aca="false">IF($F1226="","N",IFERROR(IF(INDEX(Counterparties!$E:$E,MATCH($F1226&amp;"",Counterparties!$A:$A,0))="Y","Y","N"),"N"))</f>
        <v>N</v>
      </c>
      <c r="R1226" s="25" t="n">
        <f aca="false">IF(OR($H1226="",$H1226="EUR"),1,IFERROR(INDEX(FX_Rates!$D:$D,MATCH($H1226,FX_Rates!$A:$A,0)),""))</f>
        <v>1</v>
      </c>
      <c r="S1226" s="26" t="str">
        <f aca="false">IF(AND($I1226="",$J1226=""),"",IF($J1226&lt;&gt;"",$J1226,IF(OR($R1226="",$R1226=0),"",ROUND($I1226/$R1226,2))))</f>
        <v/>
      </c>
      <c r="T1226" s="24" t="str">
        <f aca="false">IF($N1226="","",IFERROR(INDEX(VAT_Codes!$C:$C,MATCH($N1226,VAT_Codes!$A:$A,0)),"")&amp;"")</f>
        <v/>
      </c>
      <c r="U1226" s="26" t="n">
        <f aca="false">IF(OR($S1226="",$T1226="",$T1226="None"),0,IF($T1226="Output",-$S1226,$S1226))</f>
        <v>0</v>
      </c>
      <c r="V1226" s="27" t="n">
        <f aca="false">IF($N1226="",0,IFERROR(INDEX(VAT_Codes!$D:$D,MATCH($N1226,VAT_Codes!$A:$A,0)),0))</f>
        <v>0</v>
      </c>
      <c r="W1226" s="26" t="n">
        <f aca="false">IF($U1226=0,0,IF(IFERROR(INDEX(VAT_Codes!$F:$F,MATCH($N1226,VAT_Codes!$A:$A,0)),"N")="Y",$U1226,IF($L1226&lt;&gt;"",ROUND(ABS($L1226)/IF(OR($R1226="",$R1226=0),1,$R1226),2)*SIGN($U1226),ROUND($U1226*$V1226,2))))</f>
        <v>0</v>
      </c>
      <c r="X1226" s="24" t="str">
        <f aca="false">IF($N1226="","",IFERROR(INDEX(VAT_Codes!$H:$H,MATCH($N1226,VAT_Codes!$A:$A,0)),"")&amp;"")</f>
        <v/>
      </c>
      <c r="Y1226" s="24" t="str">
        <f aca="false">IF($A1226="","",(YEAR($A1226)-YEAR(Settings!$C$8))*12+MONTH($A1226)-MONTH(Settings!$C$8)+1)</f>
        <v/>
      </c>
      <c r="Z1226" s="24" t="str">
        <f aca="false">IF(AND($C1226="",$I1226="",$J1226=""),"",IF($N1226="","NO VAT CODE",IF($T1226="","UNKNOWN VAT CODE",IF($S1226="","MISSING FX RATE",IF(OR($A1226&lt;Settings!$C$8,$A1226&gt;Settings!$C$9),"OUTSIDE PERIOD",IF(AND(IFERROR(INDEX(VAT_Codes!$E:$E,MATCH($N1226,VAT_Codes!$A:$A,0)),"ANY")&lt;&gt;"ANY",$P1226=""),"MISSING COUNTERPARTY COUNTRY",IF(AND(IFERROR(INDEX(VAT_Codes!$E:$E,MATCH($N1226,VAT_Codes!$A:$A,0)),"ANY")&lt;&gt;"ANY",$P1226&lt;&gt;IFERROR(INDEX(VAT_Codes!$E:$E,MATCH($N1226,VAT_Codes!$A:$A,0)),"ANY")),"REGION MISMATCH","OK")))))))</f>
        <v/>
      </c>
    </row>
    <row r="1227" customFormat="false" ht="15" hidden="false" customHeight="false" outlineLevel="0" collapsed="false">
      <c r="M1227" s="24" t="str">
        <f aca="false">IF($C1227="","",IFERROR(INDEX(Account_Mapping!$C:$C,MATCH($C1227&amp;"",Account_Mapping!$A:$A,0))&amp;"",""))</f>
        <v/>
      </c>
      <c r="N1227" s="24" t="str">
        <f aca="false">IF($K1227&lt;&gt;"",$K1227,$M1227)</f>
        <v/>
      </c>
      <c r="O1227" s="24" t="str">
        <f aca="false">IF($F1227="","",IFERROR(INDEX(Counterparties!$C:$C,MATCH($F1227&amp;"",Counterparties!$A:$A,0))&amp;"",""))</f>
        <v/>
      </c>
      <c r="P1227" s="24" t="str">
        <f aca="false">IF($O1227="","",IF($O1227="CY","CY",IF(ISNUMBER(MATCH($O1227,Lists!$A:$A,0)),"EU","3RD")))</f>
        <v/>
      </c>
      <c r="Q1227" s="24" t="str">
        <f aca="false">IF($F1227="","N",IFERROR(IF(INDEX(Counterparties!$E:$E,MATCH($F1227&amp;"",Counterparties!$A:$A,0))="Y","Y","N"),"N"))</f>
        <v>N</v>
      </c>
      <c r="R1227" s="25" t="n">
        <f aca="false">IF(OR($H1227="",$H1227="EUR"),1,IFERROR(INDEX(FX_Rates!$D:$D,MATCH($H1227,FX_Rates!$A:$A,0)),""))</f>
        <v>1</v>
      </c>
      <c r="S1227" s="26" t="str">
        <f aca="false">IF(AND($I1227="",$J1227=""),"",IF($J1227&lt;&gt;"",$J1227,IF(OR($R1227="",$R1227=0),"",ROUND($I1227/$R1227,2))))</f>
        <v/>
      </c>
      <c r="T1227" s="24" t="str">
        <f aca="false">IF($N1227="","",IFERROR(INDEX(VAT_Codes!$C:$C,MATCH($N1227,VAT_Codes!$A:$A,0)),"")&amp;"")</f>
        <v/>
      </c>
      <c r="U1227" s="26" t="n">
        <f aca="false">IF(OR($S1227="",$T1227="",$T1227="None"),0,IF($T1227="Output",-$S1227,$S1227))</f>
        <v>0</v>
      </c>
      <c r="V1227" s="27" t="n">
        <f aca="false">IF($N1227="",0,IFERROR(INDEX(VAT_Codes!$D:$D,MATCH($N1227,VAT_Codes!$A:$A,0)),0))</f>
        <v>0</v>
      </c>
      <c r="W1227" s="26" t="n">
        <f aca="false">IF($U1227=0,0,IF(IFERROR(INDEX(VAT_Codes!$F:$F,MATCH($N1227,VAT_Codes!$A:$A,0)),"N")="Y",$U1227,IF($L1227&lt;&gt;"",ROUND(ABS($L1227)/IF(OR($R1227="",$R1227=0),1,$R1227),2)*SIGN($U1227),ROUND($U1227*$V1227,2))))</f>
        <v>0</v>
      </c>
      <c r="X1227" s="24" t="str">
        <f aca="false">IF($N1227="","",IFERROR(INDEX(VAT_Codes!$H:$H,MATCH($N1227,VAT_Codes!$A:$A,0)),"")&amp;"")</f>
        <v/>
      </c>
      <c r="Y1227" s="24" t="str">
        <f aca="false">IF($A1227="","",(YEAR($A1227)-YEAR(Settings!$C$8))*12+MONTH($A1227)-MONTH(Settings!$C$8)+1)</f>
        <v/>
      </c>
      <c r="Z1227" s="24" t="str">
        <f aca="false">IF(AND($C1227="",$I1227="",$J1227=""),"",IF($N1227="","NO VAT CODE",IF($T1227="","UNKNOWN VAT CODE",IF($S1227="","MISSING FX RATE",IF(OR($A1227&lt;Settings!$C$8,$A1227&gt;Settings!$C$9),"OUTSIDE PERIOD",IF(AND(IFERROR(INDEX(VAT_Codes!$E:$E,MATCH($N1227,VAT_Codes!$A:$A,0)),"ANY")&lt;&gt;"ANY",$P1227=""),"MISSING COUNTERPARTY COUNTRY",IF(AND(IFERROR(INDEX(VAT_Codes!$E:$E,MATCH($N1227,VAT_Codes!$A:$A,0)),"ANY")&lt;&gt;"ANY",$P1227&lt;&gt;IFERROR(INDEX(VAT_Codes!$E:$E,MATCH($N1227,VAT_Codes!$A:$A,0)),"ANY")),"REGION MISMATCH","OK")))))))</f>
        <v/>
      </c>
    </row>
    <row r="1228" customFormat="false" ht="15" hidden="false" customHeight="false" outlineLevel="0" collapsed="false">
      <c r="M1228" s="24" t="str">
        <f aca="false">IF($C1228="","",IFERROR(INDEX(Account_Mapping!$C:$C,MATCH($C1228&amp;"",Account_Mapping!$A:$A,0))&amp;"",""))</f>
        <v/>
      </c>
      <c r="N1228" s="24" t="str">
        <f aca="false">IF($K1228&lt;&gt;"",$K1228,$M1228)</f>
        <v/>
      </c>
      <c r="O1228" s="24" t="str">
        <f aca="false">IF($F1228="","",IFERROR(INDEX(Counterparties!$C:$C,MATCH($F1228&amp;"",Counterparties!$A:$A,0))&amp;"",""))</f>
        <v/>
      </c>
      <c r="P1228" s="24" t="str">
        <f aca="false">IF($O1228="","",IF($O1228="CY","CY",IF(ISNUMBER(MATCH($O1228,Lists!$A:$A,0)),"EU","3RD")))</f>
        <v/>
      </c>
      <c r="Q1228" s="24" t="str">
        <f aca="false">IF($F1228="","N",IFERROR(IF(INDEX(Counterparties!$E:$E,MATCH($F1228&amp;"",Counterparties!$A:$A,0))="Y","Y","N"),"N"))</f>
        <v>N</v>
      </c>
      <c r="R1228" s="25" t="n">
        <f aca="false">IF(OR($H1228="",$H1228="EUR"),1,IFERROR(INDEX(FX_Rates!$D:$D,MATCH($H1228,FX_Rates!$A:$A,0)),""))</f>
        <v>1</v>
      </c>
      <c r="S1228" s="26" t="str">
        <f aca="false">IF(AND($I1228="",$J1228=""),"",IF($J1228&lt;&gt;"",$J1228,IF(OR($R1228="",$R1228=0),"",ROUND($I1228/$R1228,2))))</f>
        <v/>
      </c>
      <c r="T1228" s="24" t="str">
        <f aca="false">IF($N1228="","",IFERROR(INDEX(VAT_Codes!$C:$C,MATCH($N1228,VAT_Codes!$A:$A,0)),"")&amp;"")</f>
        <v/>
      </c>
      <c r="U1228" s="26" t="n">
        <f aca="false">IF(OR($S1228="",$T1228="",$T1228="None"),0,IF($T1228="Output",-$S1228,$S1228))</f>
        <v>0</v>
      </c>
      <c r="V1228" s="27" t="n">
        <f aca="false">IF($N1228="",0,IFERROR(INDEX(VAT_Codes!$D:$D,MATCH($N1228,VAT_Codes!$A:$A,0)),0))</f>
        <v>0</v>
      </c>
      <c r="W1228" s="26" t="n">
        <f aca="false">IF($U1228=0,0,IF(IFERROR(INDEX(VAT_Codes!$F:$F,MATCH($N1228,VAT_Codes!$A:$A,0)),"N")="Y",$U1228,IF($L1228&lt;&gt;"",ROUND(ABS($L1228)/IF(OR($R1228="",$R1228=0),1,$R1228),2)*SIGN($U1228),ROUND($U1228*$V1228,2))))</f>
        <v>0</v>
      </c>
      <c r="X1228" s="24" t="str">
        <f aca="false">IF($N1228="","",IFERROR(INDEX(VAT_Codes!$H:$H,MATCH($N1228,VAT_Codes!$A:$A,0)),"")&amp;"")</f>
        <v/>
      </c>
      <c r="Y1228" s="24" t="str">
        <f aca="false">IF($A1228="","",(YEAR($A1228)-YEAR(Settings!$C$8))*12+MONTH($A1228)-MONTH(Settings!$C$8)+1)</f>
        <v/>
      </c>
      <c r="Z1228" s="24" t="str">
        <f aca="false">IF(AND($C1228="",$I1228="",$J1228=""),"",IF($N1228="","NO VAT CODE",IF($T1228="","UNKNOWN VAT CODE",IF($S1228="","MISSING FX RATE",IF(OR($A1228&lt;Settings!$C$8,$A1228&gt;Settings!$C$9),"OUTSIDE PERIOD",IF(AND(IFERROR(INDEX(VAT_Codes!$E:$E,MATCH($N1228,VAT_Codes!$A:$A,0)),"ANY")&lt;&gt;"ANY",$P1228=""),"MISSING COUNTERPARTY COUNTRY",IF(AND(IFERROR(INDEX(VAT_Codes!$E:$E,MATCH($N1228,VAT_Codes!$A:$A,0)),"ANY")&lt;&gt;"ANY",$P1228&lt;&gt;IFERROR(INDEX(VAT_Codes!$E:$E,MATCH($N1228,VAT_Codes!$A:$A,0)),"ANY")),"REGION MISMATCH","OK")))))))</f>
        <v/>
      </c>
    </row>
    <row r="1229" customFormat="false" ht="15" hidden="false" customHeight="false" outlineLevel="0" collapsed="false">
      <c r="M1229" s="24" t="str">
        <f aca="false">IF($C1229="","",IFERROR(INDEX(Account_Mapping!$C:$C,MATCH($C1229&amp;"",Account_Mapping!$A:$A,0))&amp;"",""))</f>
        <v/>
      </c>
      <c r="N1229" s="24" t="str">
        <f aca="false">IF($K1229&lt;&gt;"",$K1229,$M1229)</f>
        <v/>
      </c>
      <c r="O1229" s="24" t="str">
        <f aca="false">IF($F1229="","",IFERROR(INDEX(Counterparties!$C:$C,MATCH($F1229&amp;"",Counterparties!$A:$A,0))&amp;"",""))</f>
        <v/>
      </c>
      <c r="P1229" s="24" t="str">
        <f aca="false">IF($O1229="","",IF($O1229="CY","CY",IF(ISNUMBER(MATCH($O1229,Lists!$A:$A,0)),"EU","3RD")))</f>
        <v/>
      </c>
      <c r="Q1229" s="24" t="str">
        <f aca="false">IF($F1229="","N",IFERROR(IF(INDEX(Counterparties!$E:$E,MATCH($F1229&amp;"",Counterparties!$A:$A,0))="Y","Y","N"),"N"))</f>
        <v>N</v>
      </c>
      <c r="R1229" s="25" t="n">
        <f aca="false">IF(OR($H1229="",$H1229="EUR"),1,IFERROR(INDEX(FX_Rates!$D:$D,MATCH($H1229,FX_Rates!$A:$A,0)),""))</f>
        <v>1</v>
      </c>
      <c r="S1229" s="26" t="str">
        <f aca="false">IF(AND($I1229="",$J1229=""),"",IF($J1229&lt;&gt;"",$J1229,IF(OR($R1229="",$R1229=0),"",ROUND($I1229/$R1229,2))))</f>
        <v/>
      </c>
      <c r="T1229" s="24" t="str">
        <f aca="false">IF($N1229="","",IFERROR(INDEX(VAT_Codes!$C:$C,MATCH($N1229,VAT_Codes!$A:$A,0)),"")&amp;"")</f>
        <v/>
      </c>
      <c r="U1229" s="26" t="n">
        <f aca="false">IF(OR($S1229="",$T1229="",$T1229="None"),0,IF($T1229="Output",-$S1229,$S1229))</f>
        <v>0</v>
      </c>
      <c r="V1229" s="27" t="n">
        <f aca="false">IF($N1229="",0,IFERROR(INDEX(VAT_Codes!$D:$D,MATCH($N1229,VAT_Codes!$A:$A,0)),0))</f>
        <v>0</v>
      </c>
      <c r="W1229" s="26" t="n">
        <f aca="false">IF($U1229=0,0,IF(IFERROR(INDEX(VAT_Codes!$F:$F,MATCH($N1229,VAT_Codes!$A:$A,0)),"N")="Y",$U1229,IF($L1229&lt;&gt;"",ROUND(ABS($L1229)/IF(OR($R1229="",$R1229=0),1,$R1229),2)*SIGN($U1229),ROUND($U1229*$V1229,2))))</f>
        <v>0</v>
      </c>
      <c r="X1229" s="24" t="str">
        <f aca="false">IF($N1229="","",IFERROR(INDEX(VAT_Codes!$H:$H,MATCH($N1229,VAT_Codes!$A:$A,0)),"")&amp;"")</f>
        <v/>
      </c>
      <c r="Y1229" s="24" t="str">
        <f aca="false">IF($A1229="","",(YEAR($A1229)-YEAR(Settings!$C$8))*12+MONTH($A1229)-MONTH(Settings!$C$8)+1)</f>
        <v/>
      </c>
      <c r="Z1229" s="24" t="str">
        <f aca="false">IF(AND($C1229="",$I1229="",$J1229=""),"",IF($N1229="","NO VAT CODE",IF($T1229="","UNKNOWN VAT CODE",IF($S1229="","MISSING FX RATE",IF(OR($A1229&lt;Settings!$C$8,$A1229&gt;Settings!$C$9),"OUTSIDE PERIOD",IF(AND(IFERROR(INDEX(VAT_Codes!$E:$E,MATCH($N1229,VAT_Codes!$A:$A,0)),"ANY")&lt;&gt;"ANY",$P1229=""),"MISSING COUNTERPARTY COUNTRY",IF(AND(IFERROR(INDEX(VAT_Codes!$E:$E,MATCH($N1229,VAT_Codes!$A:$A,0)),"ANY")&lt;&gt;"ANY",$P1229&lt;&gt;IFERROR(INDEX(VAT_Codes!$E:$E,MATCH($N1229,VAT_Codes!$A:$A,0)),"ANY")),"REGION MISMATCH","OK")))))))</f>
        <v/>
      </c>
    </row>
    <row r="1230" customFormat="false" ht="15" hidden="false" customHeight="false" outlineLevel="0" collapsed="false">
      <c r="M1230" s="24" t="str">
        <f aca="false">IF($C1230="","",IFERROR(INDEX(Account_Mapping!$C:$C,MATCH($C1230&amp;"",Account_Mapping!$A:$A,0))&amp;"",""))</f>
        <v/>
      </c>
      <c r="N1230" s="24" t="str">
        <f aca="false">IF($K1230&lt;&gt;"",$K1230,$M1230)</f>
        <v/>
      </c>
      <c r="O1230" s="24" t="str">
        <f aca="false">IF($F1230="","",IFERROR(INDEX(Counterparties!$C:$C,MATCH($F1230&amp;"",Counterparties!$A:$A,0))&amp;"",""))</f>
        <v/>
      </c>
      <c r="P1230" s="24" t="str">
        <f aca="false">IF($O1230="","",IF($O1230="CY","CY",IF(ISNUMBER(MATCH($O1230,Lists!$A:$A,0)),"EU","3RD")))</f>
        <v/>
      </c>
      <c r="Q1230" s="24" t="str">
        <f aca="false">IF($F1230="","N",IFERROR(IF(INDEX(Counterparties!$E:$E,MATCH($F1230&amp;"",Counterparties!$A:$A,0))="Y","Y","N"),"N"))</f>
        <v>N</v>
      </c>
      <c r="R1230" s="25" t="n">
        <f aca="false">IF(OR($H1230="",$H1230="EUR"),1,IFERROR(INDEX(FX_Rates!$D:$D,MATCH($H1230,FX_Rates!$A:$A,0)),""))</f>
        <v>1</v>
      </c>
      <c r="S1230" s="26" t="str">
        <f aca="false">IF(AND($I1230="",$J1230=""),"",IF($J1230&lt;&gt;"",$J1230,IF(OR($R1230="",$R1230=0),"",ROUND($I1230/$R1230,2))))</f>
        <v/>
      </c>
      <c r="T1230" s="24" t="str">
        <f aca="false">IF($N1230="","",IFERROR(INDEX(VAT_Codes!$C:$C,MATCH($N1230,VAT_Codes!$A:$A,0)),"")&amp;"")</f>
        <v/>
      </c>
      <c r="U1230" s="26" t="n">
        <f aca="false">IF(OR($S1230="",$T1230="",$T1230="None"),0,IF($T1230="Output",-$S1230,$S1230))</f>
        <v>0</v>
      </c>
      <c r="V1230" s="27" t="n">
        <f aca="false">IF($N1230="",0,IFERROR(INDEX(VAT_Codes!$D:$D,MATCH($N1230,VAT_Codes!$A:$A,0)),0))</f>
        <v>0</v>
      </c>
      <c r="W1230" s="26" t="n">
        <f aca="false">IF($U1230=0,0,IF(IFERROR(INDEX(VAT_Codes!$F:$F,MATCH($N1230,VAT_Codes!$A:$A,0)),"N")="Y",$U1230,IF($L1230&lt;&gt;"",ROUND(ABS($L1230)/IF(OR($R1230="",$R1230=0),1,$R1230),2)*SIGN($U1230),ROUND($U1230*$V1230,2))))</f>
        <v>0</v>
      </c>
      <c r="X1230" s="24" t="str">
        <f aca="false">IF($N1230="","",IFERROR(INDEX(VAT_Codes!$H:$H,MATCH($N1230,VAT_Codes!$A:$A,0)),"")&amp;"")</f>
        <v/>
      </c>
      <c r="Y1230" s="24" t="str">
        <f aca="false">IF($A1230="","",(YEAR($A1230)-YEAR(Settings!$C$8))*12+MONTH($A1230)-MONTH(Settings!$C$8)+1)</f>
        <v/>
      </c>
      <c r="Z1230" s="24" t="str">
        <f aca="false">IF(AND($C1230="",$I1230="",$J1230=""),"",IF($N1230="","NO VAT CODE",IF($T1230="","UNKNOWN VAT CODE",IF($S1230="","MISSING FX RATE",IF(OR($A1230&lt;Settings!$C$8,$A1230&gt;Settings!$C$9),"OUTSIDE PERIOD",IF(AND(IFERROR(INDEX(VAT_Codes!$E:$E,MATCH($N1230,VAT_Codes!$A:$A,0)),"ANY")&lt;&gt;"ANY",$P1230=""),"MISSING COUNTERPARTY COUNTRY",IF(AND(IFERROR(INDEX(VAT_Codes!$E:$E,MATCH($N1230,VAT_Codes!$A:$A,0)),"ANY")&lt;&gt;"ANY",$P1230&lt;&gt;IFERROR(INDEX(VAT_Codes!$E:$E,MATCH($N1230,VAT_Codes!$A:$A,0)),"ANY")),"REGION MISMATCH","OK")))))))</f>
        <v/>
      </c>
    </row>
    <row r="1231" customFormat="false" ht="15" hidden="false" customHeight="false" outlineLevel="0" collapsed="false">
      <c r="M1231" s="24" t="str">
        <f aca="false">IF($C1231="","",IFERROR(INDEX(Account_Mapping!$C:$C,MATCH($C1231&amp;"",Account_Mapping!$A:$A,0))&amp;"",""))</f>
        <v/>
      </c>
      <c r="N1231" s="24" t="str">
        <f aca="false">IF($K1231&lt;&gt;"",$K1231,$M1231)</f>
        <v/>
      </c>
      <c r="O1231" s="24" t="str">
        <f aca="false">IF($F1231="","",IFERROR(INDEX(Counterparties!$C:$C,MATCH($F1231&amp;"",Counterparties!$A:$A,0))&amp;"",""))</f>
        <v/>
      </c>
      <c r="P1231" s="24" t="str">
        <f aca="false">IF($O1231="","",IF($O1231="CY","CY",IF(ISNUMBER(MATCH($O1231,Lists!$A:$A,0)),"EU","3RD")))</f>
        <v/>
      </c>
      <c r="Q1231" s="24" t="str">
        <f aca="false">IF($F1231="","N",IFERROR(IF(INDEX(Counterparties!$E:$E,MATCH($F1231&amp;"",Counterparties!$A:$A,0))="Y","Y","N"),"N"))</f>
        <v>N</v>
      </c>
      <c r="R1231" s="25" t="n">
        <f aca="false">IF(OR($H1231="",$H1231="EUR"),1,IFERROR(INDEX(FX_Rates!$D:$D,MATCH($H1231,FX_Rates!$A:$A,0)),""))</f>
        <v>1</v>
      </c>
      <c r="S1231" s="26" t="str">
        <f aca="false">IF(AND($I1231="",$J1231=""),"",IF($J1231&lt;&gt;"",$J1231,IF(OR($R1231="",$R1231=0),"",ROUND($I1231/$R1231,2))))</f>
        <v/>
      </c>
      <c r="T1231" s="24" t="str">
        <f aca="false">IF($N1231="","",IFERROR(INDEX(VAT_Codes!$C:$C,MATCH($N1231,VAT_Codes!$A:$A,0)),"")&amp;"")</f>
        <v/>
      </c>
      <c r="U1231" s="26" t="n">
        <f aca="false">IF(OR($S1231="",$T1231="",$T1231="None"),0,IF($T1231="Output",-$S1231,$S1231))</f>
        <v>0</v>
      </c>
      <c r="V1231" s="27" t="n">
        <f aca="false">IF($N1231="",0,IFERROR(INDEX(VAT_Codes!$D:$D,MATCH($N1231,VAT_Codes!$A:$A,0)),0))</f>
        <v>0</v>
      </c>
      <c r="W1231" s="26" t="n">
        <f aca="false">IF($U1231=0,0,IF(IFERROR(INDEX(VAT_Codes!$F:$F,MATCH($N1231,VAT_Codes!$A:$A,0)),"N")="Y",$U1231,IF($L1231&lt;&gt;"",ROUND(ABS($L1231)/IF(OR($R1231="",$R1231=0),1,$R1231),2)*SIGN($U1231),ROUND($U1231*$V1231,2))))</f>
        <v>0</v>
      </c>
      <c r="X1231" s="24" t="str">
        <f aca="false">IF($N1231="","",IFERROR(INDEX(VAT_Codes!$H:$H,MATCH($N1231,VAT_Codes!$A:$A,0)),"")&amp;"")</f>
        <v/>
      </c>
      <c r="Y1231" s="24" t="str">
        <f aca="false">IF($A1231="","",(YEAR($A1231)-YEAR(Settings!$C$8))*12+MONTH($A1231)-MONTH(Settings!$C$8)+1)</f>
        <v/>
      </c>
      <c r="Z1231" s="24" t="str">
        <f aca="false">IF(AND($C1231="",$I1231="",$J1231=""),"",IF($N1231="","NO VAT CODE",IF($T1231="","UNKNOWN VAT CODE",IF($S1231="","MISSING FX RATE",IF(OR($A1231&lt;Settings!$C$8,$A1231&gt;Settings!$C$9),"OUTSIDE PERIOD",IF(AND(IFERROR(INDEX(VAT_Codes!$E:$E,MATCH($N1231,VAT_Codes!$A:$A,0)),"ANY")&lt;&gt;"ANY",$P1231=""),"MISSING COUNTERPARTY COUNTRY",IF(AND(IFERROR(INDEX(VAT_Codes!$E:$E,MATCH($N1231,VAT_Codes!$A:$A,0)),"ANY")&lt;&gt;"ANY",$P1231&lt;&gt;IFERROR(INDEX(VAT_Codes!$E:$E,MATCH($N1231,VAT_Codes!$A:$A,0)),"ANY")),"REGION MISMATCH","OK")))))))</f>
        <v/>
      </c>
    </row>
    <row r="1232" customFormat="false" ht="15" hidden="false" customHeight="false" outlineLevel="0" collapsed="false">
      <c r="M1232" s="24" t="str">
        <f aca="false">IF($C1232="","",IFERROR(INDEX(Account_Mapping!$C:$C,MATCH($C1232&amp;"",Account_Mapping!$A:$A,0))&amp;"",""))</f>
        <v/>
      </c>
      <c r="N1232" s="24" t="str">
        <f aca="false">IF($K1232&lt;&gt;"",$K1232,$M1232)</f>
        <v/>
      </c>
      <c r="O1232" s="24" t="str">
        <f aca="false">IF($F1232="","",IFERROR(INDEX(Counterparties!$C:$C,MATCH($F1232&amp;"",Counterparties!$A:$A,0))&amp;"",""))</f>
        <v/>
      </c>
      <c r="P1232" s="24" t="str">
        <f aca="false">IF($O1232="","",IF($O1232="CY","CY",IF(ISNUMBER(MATCH($O1232,Lists!$A:$A,0)),"EU","3RD")))</f>
        <v/>
      </c>
      <c r="Q1232" s="24" t="str">
        <f aca="false">IF($F1232="","N",IFERROR(IF(INDEX(Counterparties!$E:$E,MATCH($F1232&amp;"",Counterparties!$A:$A,0))="Y","Y","N"),"N"))</f>
        <v>N</v>
      </c>
      <c r="R1232" s="25" t="n">
        <f aca="false">IF(OR($H1232="",$H1232="EUR"),1,IFERROR(INDEX(FX_Rates!$D:$D,MATCH($H1232,FX_Rates!$A:$A,0)),""))</f>
        <v>1</v>
      </c>
      <c r="S1232" s="26" t="str">
        <f aca="false">IF(AND($I1232="",$J1232=""),"",IF($J1232&lt;&gt;"",$J1232,IF(OR($R1232="",$R1232=0),"",ROUND($I1232/$R1232,2))))</f>
        <v/>
      </c>
      <c r="T1232" s="24" t="str">
        <f aca="false">IF($N1232="","",IFERROR(INDEX(VAT_Codes!$C:$C,MATCH($N1232,VAT_Codes!$A:$A,0)),"")&amp;"")</f>
        <v/>
      </c>
      <c r="U1232" s="26" t="n">
        <f aca="false">IF(OR($S1232="",$T1232="",$T1232="None"),0,IF($T1232="Output",-$S1232,$S1232))</f>
        <v>0</v>
      </c>
      <c r="V1232" s="27" t="n">
        <f aca="false">IF($N1232="",0,IFERROR(INDEX(VAT_Codes!$D:$D,MATCH($N1232,VAT_Codes!$A:$A,0)),0))</f>
        <v>0</v>
      </c>
      <c r="W1232" s="26" t="n">
        <f aca="false">IF($U1232=0,0,IF(IFERROR(INDEX(VAT_Codes!$F:$F,MATCH($N1232,VAT_Codes!$A:$A,0)),"N")="Y",$U1232,IF($L1232&lt;&gt;"",ROUND(ABS($L1232)/IF(OR($R1232="",$R1232=0),1,$R1232),2)*SIGN($U1232),ROUND($U1232*$V1232,2))))</f>
        <v>0</v>
      </c>
      <c r="X1232" s="24" t="str">
        <f aca="false">IF($N1232="","",IFERROR(INDEX(VAT_Codes!$H:$H,MATCH($N1232,VAT_Codes!$A:$A,0)),"")&amp;"")</f>
        <v/>
      </c>
      <c r="Y1232" s="24" t="str">
        <f aca="false">IF($A1232="","",(YEAR($A1232)-YEAR(Settings!$C$8))*12+MONTH($A1232)-MONTH(Settings!$C$8)+1)</f>
        <v/>
      </c>
      <c r="Z1232" s="24" t="str">
        <f aca="false">IF(AND($C1232="",$I1232="",$J1232=""),"",IF($N1232="","NO VAT CODE",IF($T1232="","UNKNOWN VAT CODE",IF($S1232="","MISSING FX RATE",IF(OR($A1232&lt;Settings!$C$8,$A1232&gt;Settings!$C$9),"OUTSIDE PERIOD",IF(AND(IFERROR(INDEX(VAT_Codes!$E:$E,MATCH($N1232,VAT_Codes!$A:$A,0)),"ANY")&lt;&gt;"ANY",$P1232=""),"MISSING COUNTERPARTY COUNTRY",IF(AND(IFERROR(INDEX(VAT_Codes!$E:$E,MATCH($N1232,VAT_Codes!$A:$A,0)),"ANY")&lt;&gt;"ANY",$P1232&lt;&gt;IFERROR(INDEX(VAT_Codes!$E:$E,MATCH($N1232,VAT_Codes!$A:$A,0)),"ANY")),"REGION MISMATCH","OK")))))))</f>
        <v/>
      </c>
    </row>
    <row r="1233" customFormat="false" ht="15" hidden="false" customHeight="false" outlineLevel="0" collapsed="false">
      <c r="M1233" s="24" t="str">
        <f aca="false">IF($C1233="","",IFERROR(INDEX(Account_Mapping!$C:$C,MATCH($C1233&amp;"",Account_Mapping!$A:$A,0))&amp;"",""))</f>
        <v/>
      </c>
      <c r="N1233" s="24" t="str">
        <f aca="false">IF($K1233&lt;&gt;"",$K1233,$M1233)</f>
        <v/>
      </c>
      <c r="O1233" s="24" t="str">
        <f aca="false">IF($F1233="","",IFERROR(INDEX(Counterparties!$C:$C,MATCH($F1233&amp;"",Counterparties!$A:$A,0))&amp;"",""))</f>
        <v/>
      </c>
      <c r="P1233" s="24" t="str">
        <f aca="false">IF($O1233="","",IF($O1233="CY","CY",IF(ISNUMBER(MATCH($O1233,Lists!$A:$A,0)),"EU","3RD")))</f>
        <v/>
      </c>
      <c r="Q1233" s="24" t="str">
        <f aca="false">IF($F1233="","N",IFERROR(IF(INDEX(Counterparties!$E:$E,MATCH($F1233&amp;"",Counterparties!$A:$A,0))="Y","Y","N"),"N"))</f>
        <v>N</v>
      </c>
      <c r="R1233" s="25" t="n">
        <f aca="false">IF(OR($H1233="",$H1233="EUR"),1,IFERROR(INDEX(FX_Rates!$D:$D,MATCH($H1233,FX_Rates!$A:$A,0)),""))</f>
        <v>1</v>
      </c>
      <c r="S1233" s="26" t="str">
        <f aca="false">IF(AND($I1233="",$J1233=""),"",IF($J1233&lt;&gt;"",$J1233,IF(OR($R1233="",$R1233=0),"",ROUND($I1233/$R1233,2))))</f>
        <v/>
      </c>
      <c r="T1233" s="24" t="str">
        <f aca="false">IF($N1233="","",IFERROR(INDEX(VAT_Codes!$C:$C,MATCH($N1233,VAT_Codes!$A:$A,0)),"")&amp;"")</f>
        <v/>
      </c>
      <c r="U1233" s="26" t="n">
        <f aca="false">IF(OR($S1233="",$T1233="",$T1233="None"),0,IF($T1233="Output",-$S1233,$S1233))</f>
        <v>0</v>
      </c>
      <c r="V1233" s="27" t="n">
        <f aca="false">IF($N1233="",0,IFERROR(INDEX(VAT_Codes!$D:$D,MATCH($N1233,VAT_Codes!$A:$A,0)),0))</f>
        <v>0</v>
      </c>
      <c r="W1233" s="26" t="n">
        <f aca="false">IF($U1233=0,0,IF(IFERROR(INDEX(VAT_Codes!$F:$F,MATCH($N1233,VAT_Codes!$A:$A,0)),"N")="Y",$U1233,IF($L1233&lt;&gt;"",ROUND(ABS($L1233)/IF(OR($R1233="",$R1233=0),1,$R1233),2)*SIGN($U1233),ROUND($U1233*$V1233,2))))</f>
        <v>0</v>
      </c>
      <c r="X1233" s="24" t="str">
        <f aca="false">IF($N1233="","",IFERROR(INDEX(VAT_Codes!$H:$H,MATCH($N1233,VAT_Codes!$A:$A,0)),"")&amp;"")</f>
        <v/>
      </c>
      <c r="Y1233" s="24" t="str">
        <f aca="false">IF($A1233="","",(YEAR($A1233)-YEAR(Settings!$C$8))*12+MONTH($A1233)-MONTH(Settings!$C$8)+1)</f>
        <v/>
      </c>
      <c r="Z1233" s="24" t="str">
        <f aca="false">IF(AND($C1233="",$I1233="",$J1233=""),"",IF($N1233="","NO VAT CODE",IF($T1233="","UNKNOWN VAT CODE",IF($S1233="","MISSING FX RATE",IF(OR($A1233&lt;Settings!$C$8,$A1233&gt;Settings!$C$9),"OUTSIDE PERIOD",IF(AND(IFERROR(INDEX(VAT_Codes!$E:$E,MATCH($N1233,VAT_Codes!$A:$A,0)),"ANY")&lt;&gt;"ANY",$P1233=""),"MISSING COUNTERPARTY COUNTRY",IF(AND(IFERROR(INDEX(VAT_Codes!$E:$E,MATCH($N1233,VAT_Codes!$A:$A,0)),"ANY")&lt;&gt;"ANY",$P1233&lt;&gt;IFERROR(INDEX(VAT_Codes!$E:$E,MATCH($N1233,VAT_Codes!$A:$A,0)),"ANY")),"REGION MISMATCH","OK")))))))</f>
        <v/>
      </c>
    </row>
    <row r="1234" customFormat="false" ht="15" hidden="false" customHeight="false" outlineLevel="0" collapsed="false">
      <c r="M1234" s="24" t="str">
        <f aca="false">IF($C1234="","",IFERROR(INDEX(Account_Mapping!$C:$C,MATCH($C1234&amp;"",Account_Mapping!$A:$A,0))&amp;"",""))</f>
        <v/>
      </c>
      <c r="N1234" s="24" t="str">
        <f aca="false">IF($K1234&lt;&gt;"",$K1234,$M1234)</f>
        <v/>
      </c>
      <c r="O1234" s="24" t="str">
        <f aca="false">IF($F1234="","",IFERROR(INDEX(Counterparties!$C:$C,MATCH($F1234&amp;"",Counterparties!$A:$A,0))&amp;"",""))</f>
        <v/>
      </c>
      <c r="P1234" s="24" t="str">
        <f aca="false">IF($O1234="","",IF($O1234="CY","CY",IF(ISNUMBER(MATCH($O1234,Lists!$A:$A,0)),"EU","3RD")))</f>
        <v/>
      </c>
      <c r="Q1234" s="24" t="str">
        <f aca="false">IF($F1234="","N",IFERROR(IF(INDEX(Counterparties!$E:$E,MATCH($F1234&amp;"",Counterparties!$A:$A,0))="Y","Y","N"),"N"))</f>
        <v>N</v>
      </c>
      <c r="R1234" s="25" t="n">
        <f aca="false">IF(OR($H1234="",$H1234="EUR"),1,IFERROR(INDEX(FX_Rates!$D:$D,MATCH($H1234,FX_Rates!$A:$A,0)),""))</f>
        <v>1</v>
      </c>
      <c r="S1234" s="26" t="str">
        <f aca="false">IF(AND($I1234="",$J1234=""),"",IF($J1234&lt;&gt;"",$J1234,IF(OR($R1234="",$R1234=0),"",ROUND($I1234/$R1234,2))))</f>
        <v/>
      </c>
      <c r="T1234" s="24" t="str">
        <f aca="false">IF($N1234="","",IFERROR(INDEX(VAT_Codes!$C:$C,MATCH($N1234,VAT_Codes!$A:$A,0)),"")&amp;"")</f>
        <v/>
      </c>
      <c r="U1234" s="26" t="n">
        <f aca="false">IF(OR($S1234="",$T1234="",$T1234="None"),0,IF($T1234="Output",-$S1234,$S1234))</f>
        <v>0</v>
      </c>
      <c r="V1234" s="27" t="n">
        <f aca="false">IF($N1234="",0,IFERROR(INDEX(VAT_Codes!$D:$D,MATCH($N1234,VAT_Codes!$A:$A,0)),0))</f>
        <v>0</v>
      </c>
      <c r="W1234" s="26" t="n">
        <f aca="false">IF($U1234=0,0,IF(IFERROR(INDEX(VAT_Codes!$F:$F,MATCH($N1234,VAT_Codes!$A:$A,0)),"N")="Y",$U1234,IF($L1234&lt;&gt;"",ROUND(ABS($L1234)/IF(OR($R1234="",$R1234=0),1,$R1234),2)*SIGN($U1234),ROUND($U1234*$V1234,2))))</f>
        <v>0</v>
      </c>
      <c r="X1234" s="24" t="str">
        <f aca="false">IF($N1234="","",IFERROR(INDEX(VAT_Codes!$H:$H,MATCH($N1234,VAT_Codes!$A:$A,0)),"")&amp;"")</f>
        <v/>
      </c>
      <c r="Y1234" s="24" t="str">
        <f aca="false">IF($A1234="","",(YEAR($A1234)-YEAR(Settings!$C$8))*12+MONTH($A1234)-MONTH(Settings!$C$8)+1)</f>
        <v/>
      </c>
      <c r="Z1234" s="24" t="str">
        <f aca="false">IF(AND($C1234="",$I1234="",$J1234=""),"",IF($N1234="","NO VAT CODE",IF($T1234="","UNKNOWN VAT CODE",IF($S1234="","MISSING FX RATE",IF(OR($A1234&lt;Settings!$C$8,$A1234&gt;Settings!$C$9),"OUTSIDE PERIOD",IF(AND(IFERROR(INDEX(VAT_Codes!$E:$E,MATCH($N1234,VAT_Codes!$A:$A,0)),"ANY")&lt;&gt;"ANY",$P1234=""),"MISSING COUNTERPARTY COUNTRY",IF(AND(IFERROR(INDEX(VAT_Codes!$E:$E,MATCH($N1234,VAT_Codes!$A:$A,0)),"ANY")&lt;&gt;"ANY",$P1234&lt;&gt;IFERROR(INDEX(VAT_Codes!$E:$E,MATCH($N1234,VAT_Codes!$A:$A,0)),"ANY")),"REGION MISMATCH","OK")))))))</f>
        <v/>
      </c>
    </row>
    <row r="1235" customFormat="false" ht="15" hidden="false" customHeight="false" outlineLevel="0" collapsed="false">
      <c r="M1235" s="24" t="str">
        <f aca="false">IF($C1235="","",IFERROR(INDEX(Account_Mapping!$C:$C,MATCH($C1235&amp;"",Account_Mapping!$A:$A,0))&amp;"",""))</f>
        <v/>
      </c>
      <c r="N1235" s="24" t="str">
        <f aca="false">IF($K1235&lt;&gt;"",$K1235,$M1235)</f>
        <v/>
      </c>
      <c r="O1235" s="24" t="str">
        <f aca="false">IF($F1235="","",IFERROR(INDEX(Counterparties!$C:$C,MATCH($F1235&amp;"",Counterparties!$A:$A,0))&amp;"",""))</f>
        <v/>
      </c>
      <c r="P1235" s="24" t="str">
        <f aca="false">IF($O1235="","",IF($O1235="CY","CY",IF(ISNUMBER(MATCH($O1235,Lists!$A:$A,0)),"EU","3RD")))</f>
        <v/>
      </c>
      <c r="Q1235" s="24" t="str">
        <f aca="false">IF($F1235="","N",IFERROR(IF(INDEX(Counterparties!$E:$E,MATCH($F1235&amp;"",Counterparties!$A:$A,0))="Y","Y","N"),"N"))</f>
        <v>N</v>
      </c>
      <c r="R1235" s="25" t="n">
        <f aca="false">IF(OR($H1235="",$H1235="EUR"),1,IFERROR(INDEX(FX_Rates!$D:$D,MATCH($H1235,FX_Rates!$A:$A,0)),""))</f>
        <v>1</v>
      </c>
      <c r="S1235" s="26" t="str">
        <f aca="false">IF(AND($I1235="",$J1235=""),"",IF($J1235&lt;&gt;"",$J1235,IF(OR($R1235="",$R1235=0),"",ROUND($I1235/$R1235,2))))</f>
        <v/>
      </c>
      <c r="T1235" s="24" t="str">
        <f aca="false">IF($N1235="","",IFERROR(INDEX(VAT_Codes!$C:$C,MATCH($N1235,VAT_Codes!$A:$A,0)),"")&amp;"")</f>
        <v/>
      </c>
      <c r="U1235" s="26" t="n">
        <f aca="false">IF(OR($S1235="",$T1235="",$T1235="None"),0,IF($T1235="Output",-$S1235,$S1235))</f>
        <v>0</v>
      </c>
      <c r="V1235" s="27" t="n">
        <f aca="false">IF($N1235="",0,IFERROR(INDEX(VAT_Codes!$D:$D,MATCH($N1235,VAT_Codes!$A:$A,0)),0))</f>
        <v>0</v>
      </c>
      <c r="W1235" s="26" t="n">
        <f aca="false">IF($U1235=0,0,IF(IFERROR(INDEX(VAT_Codes!$F:$F,MATCH($N1235,VAT_Codes!$A:$A,0)),"N")="Y",$U1235,IF($L1235&lt;&gt;"",ROUND(ABS($L1235)/IF(OR($R1235="",$R1235=0),1,$R1235),2)*SIGN($U1235),ROUND($U1235*$V1235,2))))</f>
        <v>0</v>
      </c>
      <c r="X1235" s="24" t="str">
        <f aca="false">IF($N1235="","",IFERROR(INDEX(VAT_Codes!$H:$H,MATCH($N1235,VAT_Codes!$A:$A,0)),"")&amp;"")</f>
        <v/>
      </c>
      <c r="Y1235" s="24" t="str">
        <f aca="false">IF($A1235="","",(YEAR($A1235)-YEAR(Settings!$C$8))*12+MONTH($A1235)-MONTH(Settings!$C$8)+1)</f>
        <v/>
      </c>
      <c r="Z1235" s="24" t="str">
        <f aca="false">IF(AND($C1235="",$I1235="",$J1235=""),"",IF($N1235="","NO VAT CODE",IF($T1235="","UNKNOWN VAT CODE",IF($S1235="","MISSING FX RATE",IF(OR($A1235&lt;Settings!$C$8,$A1235&gt;Settings!$C$9),"OUTSIDE PERIOD",IF(AND(IFERROR(INDEX(VAT_Codes!$E:$E,MATCH($N1235,VAT_Codes!$A:$A,0)),"ANY")&lt;&gt;"ANY",$P1235=""),"MISSING COUNTERPARTY COUNTRY",IF(AND(IFERROR(INDEX(VAT_Codes!$E:$E,MATCH($N1235,VAT_Codes!$A:$A,0)),"ANY")&lt;&gt;"ANY",$P1235&lt;&gt;IFERROR(INDEX(VAT_Codes!$E:$E,MATCH($N1235,VAT_Codes!$A:$A,0)),"ANY")),"REGION MISMATCH","OK")))))))</f>
        <v/>
      </c>
    </row>
    <row r="1236" customFormat="false" ht="15" hidden="false" customHeight="false" outlineLevel="0" collapsed="false">
      <c r="M1236" s="24" t="str">
        <f aca="false">IF($C1236="","",IFERROR(INDEX(Account_Mapping!$C:$C,MATCH($C1236&amp;"",Account_Mapping!$A:$A,0))&amp;"",""))</f>
        <v/>
      </c>
      <c r="N1236" s="24" t="str">
        <f aca="false">IF($K1236&lt;&gt;"",$K1236,$M1236)</f>
        <v/>
      </c>
      <c r="O1236" s="24" t="str">
        <f aca="false">IF($F1236="","",IFERROR(INDEX(Counterparties!$C:$C,MATCH($F1236&amp;"",Counterparties!$A:$A,0))&amp;"",""))</f>
        <v/>
      </c>
      <c r="P1236" s="24" t="str">
        <f aca="false">IF($O1236="","",IF($O1236="CY","CY",IF(ISNUMBER(MATCH($O1236,Lists!$A:$A,0)),"EU","3RD")))</f>
        <v/>
      </c>
      <c r="Q1236" s="24" t="str">
        <f aca="false">IF($F1236="","N",IFERROR(IF(INDEX(Counterparties!$E:$E,MATCH($F1236&amp;"",Counterparties!$A:$A,0))="Y","Y","N"),"N"))</f>
        <v>N</v>
      </c>
      <c r="R1236" s="25" t="n">
        <f aca="false">IF(OR($H1236="",$H1236="EUR"),1,IFERROR(INDEX(FX_Rates!$D:$D,MATCH($H1236,FX_Rates!$A:$A,0)),""))</f>
        <v>1</v>
      </c>
      <c r="S1236" s="26" t="str">
        <f aca="false">IF(AND($I1236="",$J1236=""),"",IF($J1236&lt;&gt;"",$J1236,IF(OR($R1236="",$R1236=0),"",ROUND($I1236/$R1236,2))))</f>
        <v/>
      </c>
      <c r="T1236" s="24" t="str">
        <f aca="false">IF($N1236="","",IFERROR(INDEX(VAT_Codes!$C:$C,MATCH($N1236,VAT_Codes!$A:$A,0)),"")&amp;"")</f>
        <v/>
      </c>
      <c r="U1236" s="26" t="n">
        <f aca="false">IF(OR($S1236="",$T1236="",$T1236="None"),0,IF($T1236="Output",-$S1236,$S1236))</f>
        <v>0</v>
      </c>
      <c r="V1236" s="27" t="n">
        <f aca="false">IF($N1236="",0,IFERROR(INDEX(VAT_Codes!$D:$D,MATCH($N1236,VAT_Codes!$A:$A,0)),0))</f>
        <v>0</v>
      </c>
      <c r="W1236" s="26" t="n">
        <f aca="false">IF($U1236=0,0,IF(IFERROR(INDEX(VAT_Codes!$F:$F,MATCH($N1236,VAT_Codes!$A:$A,0)),"N")="Y",$U1236,IF($L1236&lt;&gt;"",ROUND(ABS($L1236)/IF(OR($R1236="",$R1236=0),1,$R1236),2)*SIGN($U1236),ROUND($U1236*$V1236,2))))</f>
        <v>0</v>
      </c>
      <c r="X1236" s="24" t="str">
        <f aca="false">IF($N1236="","",IFERROR(INDEX(VAT_Codes!$H:$H,MATCH($N1236,VAT_Codes!$A:$A,0)),"")&amp;"")</f>
        <v/>
      </c>
      <c r="Y1236" s="24" t="str">
        <f aca="false">IF($A1236="","",(YEAR($A1236)-YEAR(Settings!$C$8))*12+MONTH($A1236)-MONTH(Settings!$C$8)+1)</f>
        <v/>
      </c>
      <c r="Z1236" s="24" t="str">
        <f aca="false">IF(AND($C1236="",$I1236="",$J1236=""),"",IF($N1236="","NO VAT CODE",IF($T1236="","UNKNOWN VAT CODE",IF($S1236="","MISSING FX RATE",IF(OR($A1236&lt;Settings!$C$8,$A1236&gt;Settings!$C$9),"OUTSIDE PERIOD",IF(AND(IFERROR(INDEX(VAT_Codes!$E:$E,MATCH($N1236,VAT_Codes!$A:$A,0)),"ANY")&lt;&gt;"ANY",$P1236=""),"MISSING COUNTERPARTY COUNTRY",IF(AND(IFERROR(INDEX(VAT_Codes!$E:$E,MATCH($N1236,VAT_Codes!$A:$A,0)),"ANY")&lt;&gt;"ANY",$P1236&lt;&gt;IFERROR(INDEX(VAT_Codes!$E:$E,MATCH($N1236,VAT_Codes!$A:$A,0)),"ANY")),"REGION MISMATCH","OK")))))))</f>
        <v/>
      </c>
    </row>
    <row r="1237" customFormat="false" ht="15" hidden="false" customHeight="false" outlineLevel="0" collapsed="false">
      <c r="M1237" s="24" t="str">
        <f aca="false">IF($C1237="","",IFERROR(INDEX(Account_Mapping!$C:$C,MATCH($C1237&amp;"",Account_Mapping!$A:$A,0))&amp;"",""))</f>
        <v/>
      </c>
      <c r="N1237" s="24" t="str">
        <f aca="false">IF($K1237&lt;&gt;"",$K1237,$M1237)</f>
        <v/>
      </c>
      <c r="O1237" s="24" t="str">
        <f aca="false">IF($F1237="","",IFERROR(INDEX(Counterparties!$C:$C,MATCH($F1237&amp;"",Counterparties!$A:$A,0))&amp;"",""))</f>
        <v/>
      </c>
      <c r="P1237" s="24" t="str">
        <f aca="false">IF($O1237="","",IF($O1237="CY","CY",IF(ISNUMBER(MATCH($O1237,Lists!$A:$A,0)),"EU","3RD")))</f>
        <v/>
      </c>
      <c r="Q1237" s="24" t="str">
        <f aca="false">IF($F1237="","N",IFERROR(IF(INDEX(Counterparties!$E:$E,MATCH($F1237&amp;"",Counterparties!$A:$A,0))="Y","Y","N"),"N"))</f>
        <v>N</v>
      </c>
      <c r="R1237" s="25" t="n">
        <f aca="false">IF(OR($H1237="",$H1237="EUR"),1,IFERROR(INDEX(FX_Rates!$D:$D,MATCH($H1237,FX_Rates!$A:$A,0)),""))</f>
        <v>1</v>
      </c>
      <c r="S1237" s="26" t="str">
        <f aca="false">IF(AND($I1237="",$J1237=""),"",IF($J1237&lt;&gt;"",$J1237,IF(OR($R1237="",$R1237=0),"",ROUND($I1237/$R1237,2))))</f>
        <v/>
      </c>
      <c r="T1237" s="24" t="str">
        <f aca="false">IF($N1237="","",IFERROR(INDEX(VAT_Codes!$C:$C,MATCH($N1237,VAT_Codes!$A:$A,0)),"")&amp;"")</f>
        <v/>
      </c>
      <c r="U1237" s="26" t="n">
        <f aca="false">IF(OR($S1237="",$T1237="",$T1237="None"),0,IF($T1237="Output",-$S1237,$S1237))</f>
        <v>0</v>
      </c>
      <c r="V1237" s="27" t="n">
        <f aca="false">IF($N1237="",0,IFERROR(INDEX(VAT_Codes!$D:$D,MATCH($N1237,VAT_Codes!$A:$A,0)),0))</f>
        <v>0</v>
      </c>
      <c r="W1237" s="26" t="n">
        <f aca="false">IF($U1237=0,0,IF(IFERROR(INDEX(VAT_Codes!$F:$F,MATCH($N1237,VAT_Codes!$A:$A,0)),"N")="Y",$U1237,IF($L1237&lt;&gt;"",ROUND(ABS($L1237)/IF(OR($R1237="",$R1237=0),1,$R1237),2)*SIGN($U1237),ROUND($U1237*$V1237,2))))</f>
        <v>0</v>
      </c>
      <c r="X1237" s="24" t="str">
        <f aca="false">IF($N1237="","",IFERROR(INDEX(VAT_Codes!$H:$H,MATCH($N1237,VAT_Codes!$A:$A,0)),"")&amp;"")</f>
        <v/>
      </c>
      <c r="Y1237" s="24" t="str">
        <f aca="false">IF($A1237="","",(YEAR($A1237)-YEAR(Settings!$C$8))*12+MONTH($A1237)-MONTH(Settings!$C$8)+1)</f>
        <v/>
      </c>
      <c r="Z1237" s="24" t="str">
        <f aca="false">IF(AND($C1237="",$I1237="",$J1237=""),"",IF($N1237="","NO VAT CODE",IF($T1237="","UNKNOWN VAT CODE",IF($S1237="","MISSING FX RATE",IF(OR($A1237&lt;Settings!$C$8,$A1237&gt;Settings!$C$9),"OUTSIDE PERIOD",IF(AND(IFERROR(INDEX(VAT_Codes!$E:$E,MATCH($N1237,VAT_Codes!$A:$A,0)),"ANY")&lt;&gt;"ANY",$P1237=""),"MISSING COUNTERPARTY COUNTRY",IF(AND(IFERROR(INDEX(VAT_Codes!$E:$E,MATCH($N1237,VAT_Codes!$A:$A,0)),"ANY")&lt;&gt;"ANY",$P1237&lt;&gt;IFERROR(INDEX(VAT_Codes!$E:$E,MATCH($N1237,VAT_Codes!$A:$A,0)),"ANY")),"REGION MISMATCH","OK")))))))</f>
        <v/>
      </c>
    </row>
    <row r="1238" customFormat="false" ht="15" hidden="false" customHeight="false" outlineLevel="0" collapsed="false">
      <c r="M1238" s="24" t="str">
        <f aca="false">IF($C1238="","",IFERROR(INDEX(Account_Mapping!$C:$C,MATCH($C1238&amp;"",Account_Mapping!$A:$A,0))&amp;"",""))</f>
        <v/>
      </c>
      <c r="N1238" s="24" t="str">
        <f aca="false">IF($K1238&lt;&gt;"",$K1238,$M1238)</f>
        <v/>
      </c>
      <c r="O1238" s="24" t="str">
        <f aca="false">IF($F1238="","",IFERROR(INDEX(Counterparties!$C:$C,MATCH($F1238&amp;"",Counterparties!$A:$A,0))&amp;"",""))</f>
        <v/>
      </c>
      <c r="P1238" s="24" t="str">
        <f aca="false">IF($O1238="","",IF($O1238="CY","CY",IF(ISNUMBER(MATCH($O1238,Lists!$A:$A,0)),"EU","3RD")))</f>
        <v/>
      </c>
      <c r="Q1238" s="24" t="str">
        <f aca="false">IF($F1238="","N",IFERROR(IF(INDEX(Counterparties!$E:$E,MATCH($F1238&amp;"",Counterparties!$A:$A,0))="Y","Y","N"),"N"))</f>
        <v>N</v>
      </c>
      <c r="R1238" s="25" t="n">
        <f aca="false">IF(OR($H1238="",$H1238="EUR"),1,IFERROR(INDEX(FX_Rates!$D:$D,MATCH($H1238,FX_Rates!$A:$A,0)),""))</f>
        <v>1</v>
      </c>
      <c r="S1238" s="26" t="str">
        <f aca="false">IF(AND($I1238="",$J1238=""),"",IF($J1238&lt;&gt;"",$J1238,IF(OR($R1238="",$R1238=0),"",ROUND($I1238/$R1238,2))))</f>
        <v/>
      </c>
      <c r="T1238" s="24" t="str">
        <f aca="false">IF($N1238="","",IFERROR(INDEX(VAT_Codes!$C:$C,MATCH($N1238,VAT_Codes!$A:$A,0)),"")&amp;"")</f>
        <v/>
      </c>
      <c r="U1238" s="26" t="n">
        <f aca="false">IF(OR($S1238="",$T1238="",$T1238="None"),0,IF($T1238="Output",-$S1238,$S1238))</f>
        <v>0</v>
      </c>
      <c r="V1238" s="27" t="n">
        <f aca="false">IF($N1238="",0,IFERROR(INDEX(VAT_Codes!$D:$D,MATCH($N1238,VAT_Codes!$A:$A,0)),0))</f>
        <v>0</v>
      </c>
      <c r="W1238" s="26" t="n">
        <f aca="false">IF($U1238=0,0,IF(IFERROR(INDEX(VAT_Codes!$F:$F,MATCH($N1238,VAT_Codes!$A:$A,0)),"N")="Y",$U1238,IF($L1238&lt;&gt;"",ROUND(ABS($L1238)/IF(OR($R1238="",$R1238=0),1,$R1238),2)*SIGN($U1238),ROUND($U1238*$V1238,2))))</f>
        <v>0</v>
      </c>
      <c r="X1238" s="24" t="str">
        <f aca="false">IF($N1238="","",IFERROR(INDEX(VAT_Codes!$H:$H,MATCH($N1238,VAT_Codes!$A:$A,0)),"")&amp;"")</f>
        <v/>
      </c>
      <c r="Y1238" s="24" t="str">
        <f aca="false">IF($A1238="","",(YEAR($A1238)-YEAR(Settings!$C$8))*12+MONTH($A1238)-MONTH(Settings!$C$8)+1)</f>
        <v/>
      </c>
      <c r="Z1238" s="24" t="str">
        <f aca="false">IF(AND($C1238="",$I1238="",$J1238=""),"",IF($N1238="","NO VAT CODE",IF($T1238="","UNKNOWN VAT CODE",IF($S1238="","MISSING FX RATE",IF(OR($A1238&lt;Settings!$C$8,$A1238&gt;Settings!$C$9),"OUTSIDE PERIOD",IF(AND(IFERROR(INDEX(VAT_Codes!$E:$E,MATCH($N1238,VAT_Codes!$A:$A,0)),"ANY")&lt;&gt;"ANY",$P1238=""),"MISSING COUNTERPARTY COUNTRY",IF(AND(IFERROR(INDEX(VAT_Codes!$E:$E,MATCH($N1238,VAT_Codes!$A:$A,0)),"ANY")&lt;&gt;"ANY",$P1238&lt;&gt;IFERROR(INDEX(VAT_Codes!$E:$E,MATCH($N1238,VAT_Codes!$A:$A,0)),"ANY")),"REGION MISMATCH","OK")))))))</f>
        <v/>
      </c>
    </row>
    <row r="1239" customFormat="false" ht="15" hidden="false" customHeight="false" outlineLevel="0" collapsed="false">
      <c r="M1239" s="24" t="str">
        <f aca="false">IF($C1239="","",IFERROR(INDEX(Account_Mapping!$C:$C,MATCH($C1239&amp;"",Account_Mapping!$A:$A,0))&amp;"",""))</f>
        <v/>
      </c>
      <c r="N1239" s="24" t="str">
        <f aca="false">IF($K1239&lt;&gt;"",$K1239,$M1239)</f>
        <v/>
      </c>
      <c r="O1239" s="24" t="str">
        <f aca="false">IF($F1239="","",IFERROR(INDEX(Counterparties!$C:$C,MATCH($F1239&amp;"",Counterparties!$A:$A,0))&amp;"",""))</f>
        <v/>
      </c>
      <c r="P1239" s="24" t="str">
        <f aca="false">IF($O1239="","",IF($O1239="CY","CY",IF(ISNUMBER(MATCH($O1239,Lists!$A:$A,0)),"EU","3RD")))</f>
        <v/>
      </c>
      <c r="Q1239" s="24" t="str">
        <f aca="false">IF($F1239="","N",IFERROR(IF(INDEX(Counterparties!$E:$E,MATCH($F1239&amp;"",Counterparties!$A:$A,0))="Y","Y","N"),"N"))</f>
        <v>N</v>
      </c>
      <c r="R1239" s="25" t="n">
        <f aca="false">IF(OR($H1239="",$H1239="EUR"),1,IFERROR(INDEX(FX_Rates!$D:$D,MATCH($H1239,FX_Rates!$A:$A,0)),""))</f>
        <v>1</v>
      </c>
      <c r="S1239" s="26" t="str">
        <f aca="false">IF(AND($I1239="",$J1239=""),"",IF($J1239&lt;&gt;"",$J1239,IF(OR($R1239="",$R1239=0),"",ROUND($I1239/$R1239,2))))</f>
        <v/>
      </c>
      <c r="T1239" s="24" t="str">
        <f aca="false">IF($N1239="","",IFERROR(INDEX(VAT_Codes!$C:$C,MATCH($N1239,VAT_Codes!$A:$A,0)),"")&amp;"")</f>
        <v/>
      </c>
      <c r="U1239" s="26" t="n">
        <f aca="false">IF(OR($S1239="",$T1239="",$T1239="None"),0,IF($T1239="Output",-$S1239,$S1239))</f>
        <v>0</v>
      </c>
      <c r="V1239" s="27" t="n">
        <f aca="false">IF($N1239="",0,IFERROR(INDEX(VAT_Codes!$D:$D,MATCH($N1239,VAT_Codes!$A:$A,0)),0))</f>
        <v>0</v>
      </c>
      <c r="W1239" s="26" t="n">
        <f aca="false">IF($U1239=0,0,IF(IFERROR(INDEX(VAT_Codes!$F:$F,MATCH($N1239,VAT_Codes!$A:$A,0)),"N")="Y",$U1239,IF($L1239&lt;&gt;"",ROUND(ABS($L1239)/IF(OR($R1239="",$R1239=0),1,$R1239),2)*SIGN($U1239),ROUND($U1239*$V1239,2))))</f>
        <v>0</v>
      </c>
      <c r="X1239" s="24" t="str">
        <f aca="false">IF($N1239="","",IFERROR(INDEX(VAT_Codes!$H:$H,MATCH($N1239,VAT_Codes!$A:$A,0)),"")&amp;"")</f>
        <v/>
      </c>
      <c r="Y1239" s="24" t="str">
        <f aca="false">IF($A1239="","",(YEAR($A1239)-YEAR(Settings!$C$8))*12+MONTH($A1239)-MONTH(Settings!$C$8)+1)</f>
        <v/>
      </c>
      <c r="Z1239" s="24" t="str">
        <f aca="false">IF(AND($C1239="",$I1239="",$J1239=""),"",IF($N1239="","NO VAT CODE",IF($T1239="","UNKNOWN VAT CODE",IF($S1239="","MISSING FX RATE",IF(OR($A1239&lt;Settings!$C$8,$A1239&gt;Settings!$C$9),"OUTSIDE PERIOD",IF(AND(IFERROR(INDEX(VAT_Codes!$E:$E,MATCH($N1239,VAT_Codes!$A:$A,0)),"ANY")&lt;&gt;"ANY",$P1239=""),"MISSING COUNTERPARTY COUNTRY",IF(AND(IFERROR(INDEX(VAT_Codes!$E:$E,MATCH($N1239,VAT_Codes!$A:$A,0)),"ANY")&lt;&gt;"ANY",$P1239&lt;&gt;IFERROR(INDEX(VAT_Codes!$E:$E,MATCH($N1239,VAT_Codes!$A:$A,0)),"ANY")),"REGION MISMATCH","OK")))))))</f>
        <v/>
      </c>
    </row>
    <row r="1240" customFormat="false" ht="15" hidden="false" customHeight="false" outlineLevel="0" collapsed="false">
      <c r="M1240" s="24" t="str">
        <f aca="false">IF($C1240="","",IFERROR(INDEX(Account_Mapping!$C:$C,MATCH($C1240&amp;"",Account_Mapping!$A:$A,0))&amp;"",""))</f>
        <v/>
      </c>
      <c r="N1240" s="24" t="str">
        <f aca="false">IF($K1240&lt;&gt;"",$K1240,$M1240)</f>
        <v/>
      </c>
      <c r="O1240" s="24" t="str">
        <f aca="false">IF($F1240="","",IFERROR(INDEX(Counterparties!$C:$C,MATCH($F1240&amp;"",Counterparties!$A:$A,0))&amp;"",""))</f>
        <v/>
      </c>
      <c r="P1240" s="24" t="str">
        <f aca="false">IF($O1240="","",IF($O1240="CY","CY",IF(ISNUMBER(MATCH($O1240,Lists!$A:$A,0)),"EU","3RD")))</f>
        <v/>
      </c>
      <c r="Q1240" s="24" t="str">
        <f aca="false">IF($F1240="","N",IFERROR(IF(INDEX(Counterparties!$E:$E,MATCH($F1240&amp;"",Counterparties!$A:$A,0))="Y","Y","N"),"N"))</f>
        <v>N</v>
      </c>
      <c r="R1240" s="25" t="n">
        <f aca="false">IF(OR($H1240="",$H1240="EUR"),1,IFERROR(INDEX(FX_Rates!$D:$D,MATCH($H1240,FX_Rates!$A:$A,0)),""))</f>
        <v>1</v>
      </c>
      <c r="S1240" s="26" t="str">
        <f aca="false">IF(AND($I1240="",$J1240=""),"",IF($J1240&lt;&gt;"",$J1240,IF(OR($R1240="",$R1240=0),"",ROUND($I1240/$R1240,2))))</f>
        <v/>
      </c>
      <c r="T1240" s="24" t="str">
        <f aca="false">IF($N1240="","",IFERROR(INDEX(VAT_Codes!$C:$C,MATCH($N1240,VAT_Codes!$A:$A,0)),"")&amp;"")</f>
        <v/>
      </c>
      <c r="U1240" s="26" t="n">
        <f aca="false">IF(OR($S1240="",$T1240="",$T1240="None"),0,IF($T1240="Output",-$S1240,$S1240))</f>
        <v>0</v>
      </c>
      <c r="V1240" s="27" t="n">
        <f aca="false">IF($N1240="",0,IFERROR(INDEX(VAT_Codes!$D:$D,MATCH($N1240,VAT_Codes!$A:$A,0)),0))</f>
        <v>0</v>
      </c>
      <c r="W1240" s="26" t="n">
        <f aca="false">IF($U1240=0,0,IF(IFERROR(INDEX(VAT_Codes!$F:$F,MATCH($N1240,VAT_Codes!$A:$A,0)),"N")="Y",$U1240,IF($L1240&lt;&gt;"",ROUND(ABS($L1240)/IF(OR($R1240="",$R1240=0),1,$R1240),2)*SIGN($U1240),ROUND($U1240*$V1240,2))))</f>
        <v>0</v>
      </c>
      <c r="X1240" s="24" t="str">
        <f aca="false">IF($N1240="","",IFERROR(INDEX(VAT_Codes!$H:$H,MATCH($N1240,VAT_Codes!$A:$A,0)),"")&amp;"")</f>
        <v/>
      </c>
      <c r="Y1240" s="24" t="str">
        <f aca="false">IF($A1240="","",(YEAR($A1240)-YEAR(Settings!$C$8))*12+MONTH($A1240)-MONTH(Settings!$C$8)+1)</f>
        <v/>
      </c>
      <c r="Z1240" s="24" t="str">
        <f aca="false">IF(AND($C1240="",$I1240="",$J1240=""),"",IF($N1240="","NO VAT CODE",IF($T1240="","UNKNOWN VAT CODE",IF($S1240="","MISSING FX RATE",IF(OR($A1240&lt;Settings!$C$8,$A1240&gt;Settings!$C$9),"OUTSIDE PERIOD",IF(AND(IFERROR(INDEX(VAT_Codes!$E:$E,MATCH($N1240,VAT_Codes!$A:$A,0)),"ANY")&lt;&gt;"ANY",$P1240=""),"MISSING COUNTERPARTY COUNTRY",IF(AND(IFERROR(INDEX(VAT_Codes!$E:$E,MATCH($N1240,VAT_Codes!$A:$A,0)),"ANY")&lt;&gt;"ANY",$P1240&lt;&gt;IFERROR(INDEX(VAT_Codes!$E:$E,MATCH($N1240,VAT_Codes!$A:$A,0)),"ANY")),"REGION MISMATCH","OK")))))))</f>
        <v/>
      </c>
    </row>
    <row r="1241" customFormat="false" ht="15" hidden="false" customHeight="false" outlineLevel="0" collapsed="false">
      <c r="M1241" s="24" t="str">
        <f aca="false">IF($C1241="","",IFERROR(INDEX(Account_Mapping!$C:$C,MATCH($C1241&amp;"",Account_Mapping!$A:$A,0))&amp;"",""))</f>
        <v/>
      </c>
      <c r="N1241" s="24" t="str">
        <f aca="false">IF($K1241&lt;&gt;"",$K1241,$M1241)</f>
        <v/>
      </c>
      <c r="O1241" s="24" t="str">
        <f aca="false">IF($F1241="","",IFERROR(INDEX(Counterparties!$C:$C,MATCH($F1241&amp;"",Counterparties!$A:$A,0))&amp;"",""))</f>
        <v/>
      </c>
      <c r="P1241" s="24" t="str">
        <f aca="false">IF($O1241="","",IF($O1241="CY","CY",IF(ISNUMBER(MATCH($O1241,Lists!$A:$A,0)),"EU","3RD")))</f>
        <v/>
      </c>
      <c r="Q1241" s="24" t="str">
        <f aca="false">IF($F1241="","N",IFERROR(IF(INDEX(Counterparties!$E:$E,MATCH($F1241&amp;"",Counterparties!$A:$A,0))="Y","Y","N"),"N"))</f>
        <v>N</v>
      </c>
      <c r="R1241" s="25" t="n">
        <f aca="false">IF(OR($H1241="",$H1241="EUR"),1,IFERROR(INDEX(FX_Rates!$D:$D,MATCH($H1241,FX_Rates!$A:$A,0)),""))</f>
        <v>1</v>
      </c>
      <c r="S1241" s="26" t="str">
        <f aca="false">IF(AND($I1241="",$J1241=""),"",IF($J1241&lt;&gt;"",$J1241,IF(OR($R1241="",$R1241=0),"",ROUND($I1241/$R1241,2))))</f>
        <v/>
      </c>
      <c r="T1241" s="24" t="str">
        <f aca="false">IF($N1241="","",IFERROR(INDEX(VAT_Codes!$C:$C,MATCH($N1241,VAT_Codes!$A:$A,0)),"")&amp;"")</f>
        <v/>
      </c>
      <c r="U1241" s="26" t="n">
        <f aca="false">IF(OR($S1241="",$T1241="",$T1241="None"),0,IF($T1241="Output",-$S1241,$S1241))</f>
        <v>0</v>
      </c>
      <c r="V1241" s="27" t="n">
        <f aca="false">IF($N1241="",0,IFERROR(INDEX(VAT_Codes!$D:$D,MATCH($N1241,VAT_Codes!$A:$A,0)),0))</f>
        <v>0</v>
      </c>
      <c r="W1241" s="26" t="n">
        <f aca="false">IF($U1241=0,0,IF(IFERROR(INDEX(VAT_Codes!$F:$F,MATCH($N1241,VAT_Codes!$A:$A,0)),"N")="Y",$U1241,IF($L1241&lt;&gt;"",ROUND(ABS($L1241)/IF(OR($R1241="",$R1241=0),1,$R1241),2)*SIGN($U1241),ROUND($U1241*$V1241,2))))</f>
        <v>0</v>
      </c>
      <c r="X1241" s="24" t="str">
        <f aca="false">IF($N1241="","",IFERROR(INDEX(VAT_Codes!$H:$H,MATCH($N1241,VAT_Codes!$A:$A,0)),"")&amp;"")</f>
        <v/>
      </c>
      <c r="Y1241" s="24" t="str">
        <f aca="false">IF($A1241="","",(YEAR($A1241)-YEAR(Settings!$C$8))*12+MONTH($A1241)-MONTH(Settings!$C$8)+1)</f>
        <v/>
      </c>
      <c r="Z1241" s="24" t="str">
        <f aca="false">IF(AND($C1241="",$I1241="",$J1241=""),"",IF($N1241="","NO VAT CODE",IF($T1241="","UNKNOWN VAT CODE",IF($S1241="","MISSING FX RATE",IF(OR($A1241&lt;Settings!$C$8,$A1241&gt;Settings!$C$9),"OUTSIDE PERIOD",IF(AND(IFERROR(INDEX(VAT_Codes!$E:$E,MATCH($N1241,VAT_Codes!$A:$A,0)),"ANY")&lt;&gt;"ANY",$P1241=""),"MISSING COUNTERPARTY COUNTRY",IF(AND(IFERROR(INDEX(VAT_Codes!$E:$E,MATCH($N1241,VAT_Codes!$A:$A,0)),"ANY")&lt;&gt;"ANY",$P1241&lt;&gt;IFERROR(INDEX(VAT_Codes!$E:$E,MATCH($N1241,VAT_Codes!$A:$A,0)),"ANY")),"REGION MISMATCH","OK")))))))</f>
        <v/>
      </c>
    </row>
    <row r="1242" customFormat="false" ht="15" hidden="false" customHeight="false" outlineLevel="0" collapsed="false">
      <c r="M1242" s="24" t="str">
        <f aca="false">IF($C1242="","",IFERROR(INDEX(Account_Mapping!$C:$C,MATCH($C1242&amp;"",Account_Mapping!$A:$A,0))&amp;"",""))</f>
        <v/>
      </c>
      <c r="N1242" s="24" t="str">
        <f aca="false">IF($K1242&lt;&gt;"",$K1242,$M1242)</f>
        <v/>
      </c>
      <c r="O1242" s="24" t="str">
        <f aca="false">IF($F1242="","",IFERROR(INDEX(Counterparties!$C:$C,MATCH($F1242&amp;"",Counterparties!$A:$A,0))&amp;"",""))</f>
        <v/>
      </c>
      <c r="P1242" s="24" t="str">
        <f aca="false">IF($O1242="","",IF($O1242="CY","CY",IF(ISNUMBER(MATCH($O1242,Lists!$A:$A,0)),"EU","3RD")))</f>
        <v/>
      </c>
      <c r="Q1242" s="24" t="str">
        <f aca="false">IF($F1242="","N",IFERROR(IF(INDEX(Counterparties!$E:$E,MATCH($F1242&amp;"",Counterparties!$A:$A,0))="Y","Y","N"),"N"))</f>
        <v>N</v>
      </c>
      <c r="R1242" s="25" t="n">
        <f aca="false">IF(OR($H1242="",$H1242="EUR"),1,IFERROR(INDEX(FX_Rates!$D:$D,MATCH($H1242,FX_Rates!$A:$A,0)),""))</f>
        <v>1</v>
      </c>
      <c r="S1242" s="26" t="str">
        <f aca="false">IF(AND($I1242="",$J1242=""),"",IF($J1242&lt;&gt;"",$J1242,IF(OR($R1242="",$R1242=0),"",ROUND($I1242/$R1242,2))))</f>
        <v/>
      </c>
      <c r="T1242" s="24" t="str">
        <f aca="false">IF($N1242="","",IFERROR(INDEX(VAT_Codes!$C:$C,MATCH($N1242,VAT_Codes!$A:$A,0)),"")&amp;"")</f>
        <v/>
      </c>
      <c r="U1242" s="26" t="n">
        <f aca="false">IF(OR($S1242="",$T1242="",$T1242="None"),0,IF($T1242="Output",-$S1242,$S1242))</f>
        <v>0</v>
      </c>
      <c r="V1242" s="27" t="n">
        <f aca="false">IF($N1242="",0,IFERROR(INDEX(VAT_Codes!$D:$D,MATCH($N1242,VAT_Codes!$A:$A,0)),0))</f>
        <v>0</v>
      </c>
      <c r="W1242" s="26" t="n">
        <f aca="false">IF($U1242=0,0,IF(IFERROR(INDEX(VAT_Codes!$F:$F,MATCH($N1242,VAT_Codes!$A:$A,0)),"N")="Y",$U1242,IF($L1242&lt;&gt;"",ROUND(ABS($L1242)/IF(OR($R1242="",$R1242=0),1,$R1242),2)*SIGN($U1242),ROUND($U1242*$V1242,2))))</f>
        <v>0</v>
      </c>
      <c r="X1242" s="24" t="str">
        <f aca="false">IF($N1242="","",IFERROR(INDEX(VAT_Codes!$H:$H,MATCH($N1242,VAT_Codes!$A:$A,0)),"")&amp;"")</f>
        <v/>
      </c>
      <c r="Y1242" s="24" t="str">
        <f aca="false">IF($A1242="","",(YEAR($A1242)-YEAR(Settings!$C$8))*12+MONTH($A1242)-MONTH(Settings!$C$8)+1)</f>
        <v/>
      </c>
      <c r="Z1242" s="24" t="str">
        <f aca="false">IF(AND($C1242="",$I1242="",$J1242=""),"",IF($N1242="","NO VAT CODE",IF($T1242="","UNKNOWN VAT CODE",IF($S1242="","MISSING FX RATE",IF(OR($A1242&lt;Settings!$C$8,$A1242&gt;Settings!$C$9),"OUTSIDE PERIOD",IF(AND(IFERROR(INDEX(VAT_Codes!$E:$E,MATCH($N1242,VAT_Codes!$A:$A,0)),"ANY")&lt;&gt;"ANY",$P1242=""),"MISSING COUNTERPARTY COUNTRY",IF(AND(IFERROR(INDEX(VAT_Codes!$E:$E,MATCH($N1242,VAT_Codes!$A:$A,0)),"ANY")&lt;&gt;"ANY",$P1242&lt;&gt;IFERROR(INDEX(VAT_Codes!$E:$E,MATCH($N1242,VAT_Codes!$A:$A,0)),"ANY")),"REGION MISMATCH","OK")))))))</f>
        <v/>
      </c>
    </row>
    <row r="1243" customFormat="false" ht="15" hidden="false" customHeight="false" outlineLevel="0" collapsed="false">
      <c r="M1243" s="24" t="str">
        <f aca="false">IF($C1243="","",IFERROR(INDEX(Account_Mapping!$C:$C,MATCH($C1243&amp;"",Account_Mapping!$A:$A,0))&amp;"",""))</f>
        <v/>
      </c>
      <c r="N1243" s="24" t="str">
        <f aca="false">IF($K1243&lt;&gt;"",$K1243,$M1243)</f>
        <v/>
      </c>
      <c r="O1243" s="24" t="str">
        <f aca="false">IF($F1243="","",IFERROR(INDEX(Counterparties!$C:$C,MATCH($F1243&amp;"",Counterparties!$A:$A,0))&amp;"",""))</f>
        <v/>
      </c>
      <c r="P1243" s="24" t="str">
        <f aca="false">IF($O1243="","",IF($O1243="CY","CY",IF(ISNUMBER(MATCH($O1243,Lists!$A:$A,0)),"EU","3RD")))</f>
        <v/>
      </c>
      <c r="Q1243" s="24" t="str">
        <f aca="false">IF($F1243="","N",IFERROR(IF(INDEX(Counterparties!$E:$E,MATCH($F1243&amp;"",Counterparties!$A:$A,0))="Y","Y","N"),"N"))</f>
        <v>N</v>
      </c>
      <c r="R1243" s="25" t="n">
        <f aca="false">IF(OR($H1243="",$H1243="EUR"),1,IFERROR(INDEX(FX_Rates!$D:$D,MATCH($H1243,FX_Rates!$A:$A,0)),""))</f>
        <v>1</v>
      </c>
      <c r="S1243" s="26" t="str">
        <f aca="false">IF(AND($I1243="",$J1243=""),"",IF($J1243&lt;&gt;"",$J1243,IF(OR($R1243="",$R1243=0),"",ROUND($I1243/$R1243,2))))</f>
        <v/>
      </c>
      <c r="T1243" s="24" t="str">
        <f aca="false">IF($N1243="","",IFERROR(INDEX(VAT_Codes!$C:$C,MATCH($N1243,VAT_Codes!$A:$A,0)),"")&amp;"")</f>
        <v/>
      </c>
      <c r="U1243" s="26" t="n">
        <f aca="false">IF(OR($S1243="",$T1243="",$T1243="None"),0,IF($T1243="Output",-$S1243,$S1243))</f>
        <v>0</v>
      </c>
      <c r="V1243" s="27" t="n">
        <f aca="false">IF($N1243="",0,IFERROR(INDEX(VAT_Codes!$D:$D,MATCH($N1243,VAT_Codes!$A:$A,0)),0))</f>
        <v>0</v>
      </c>
      <c r="W1243" s="26" t="n">
        <f aca="false">IF($U1243=0,0,IF(IFERROR(INDEX(VAT_Codes!$F:$F,MATCH($N1243,VAT_Codes!$A:$A,0)),"N")="Y",$U1243,IF($L1243&lt;&gt;"",ROUND(ABS($L1243)/IF(OR($R1243="",$R1243=0),1,$R1243),2)*SIGN($U1243),ROUND($U1243*$V1243,2))))</f>
        <v>0</v>
      </c>
      <c r="X1243" s="24" t="str">
        <f aca="false">IF($N1243="","",IFERROR(INDEX(VAT_Codes!$H:$H,MATCH($N1243,VAT_Codes!$A:$A,0)),"")&amp;"")</f>
        <v/>
      </c>
      <c r="Y1243" s="24" t="str">
        <f aca="false">IF($A1243="","",(YEAR($A1243)-YEAR(Settings!$C$8))*12+MONTH($A1243)-MONTH(Settings!$C$8)+1)</f>
        <v/>
      </c>
      <c r="Z1243" s="24" t="str">
        <f aca="false">IF(AND($C1243="",$I1243="",$J1243=""),"",IF($N1243="","NO VAT CODE",IF($T1243="","UNKNOWN VAT CODE",IF($S1243="","MISSING FX RATE",IF(OR($A1243&lt;Settings!$C$8,$A1243&gt;Settings!$C$9),"OUTSIDE PERIOD",IF(AND(IFERROR(INDEX(VAT_Codes!$E:$E,MATCH($N1243,VAT_Codes!$A:$A,0)),"ANY")&lt;&gt;"ANY",$P1243=""),"MISSING COUNTERPARTY COUNTRY",IF(AND(IFERROR(INDEX(VAT_Codes!$E:$E,MATCH($N1243,VAT_Codes!$A:$A,0)),"ANY")&lt;&gt;"ANY",$P1243&lt;&gt;IFERROR(INDEX(VAT_Codes!$E:$E,MATCH($N1243,VAT_Codes!$A:$A,0)),"ANY")),"REGION MISMATCH","OK")))))))</f>
        <v/>
      </c>
    </row>
    <row r="1244" customFormat="false" ht="15" hidden="false" customHeight="false" outlineLevel="0" collapsed="false">
      <c r="M1244" s="24" t="str">
        <f aca="false">IF($C1244="","",IFERROR(INDEX(Account_Mapping!$C:$C,MATCH($C1244&amp;"",Account_Mapping!$A:$A,0))&amp;"",""))</f>
        <v/>
      </c>
      <c r="N1244" s="24" t="str">
        <f aca="false">IF($K1244&lt;&gt;"",$K1244,$M1244)</f>
        <v/>
      </c>
      <c r="O1244" s="24" t="str">
        <f aca="false">IF($F1244="","",IFERROR(INDEX(Counterparties!$C:$C,MATCH($F1244&amp;"",Counterparties!$A:$A,0))&amp;"",""))</f>
        <v/>
      </c>
      <c r="P1244" s="24" t="str">
        <f aca="false">IF($O1244="","",IF($O1244="CY","CY",IF(ISNUMBER(MATCH($O1244,Lists!$A:$A,0)),"EU","3RD")))</f>
        <v/>
      </c>
      <c r="Q1244" s="24" t="str">
        <f aca="false">IF($F1244="","N",IFERROR(IF(INDEX(Counterparties!$E:$E,MATCH($F1244&amp;"",Counterparties!$A:$A,0))="Y","Y","N"),"N"))</f>
        <v>N</v>
      </c>
      <c r="R1244" s="25" t="n">
        <f aca="false">IF(OR($H1244="",$H1244="EUR"),1,IFERROR(INDEX(FX_Rates!$D:$D,MATCH($H1244,FX_Rates!$A:$A,0)),""))</f>
        <v>1</v>
      </c>
      <c r="S1244" s="26" t="str">
        <f aca="false">IF(AND($I1244="",$J1244=""),"",IF($J1244&lt;&gt;"",$J1244,IF(OR($R1244="",$R1244=0),"",ROUND($I1244/$R1244,2))))</f>
        <v/>
      </c>
      <c r="T1244" s="24" t="str">
        <f aca="false">IF($N1244="","",IFERROR(INDEX(VAT_Codes!$C:$C,MATCH($N1244,VAT_Codes!$A:$A,0)),"")&amp;"")</f>
        <v/>
      </c>
      <c r="U1244" s="26" t="n">
        <f aca="false">IF(OR($S1244="",$T1244="",$T1244="None"),0,IF($T1244="Output",-$S1244,$S1244))</f>
        <v>0</v>
      </c>
      <c r="V1244" s="27" t="n">
        <f aca="false">IF($N1244="",0,IFERROR(INDEX(VAT_Codes!$D:$D,MATCH($N1244,VAT_Codes!$A:$A,0)),0))</f>
        <v>0</v>
      </c>
      <c r="W1244" s="26" t="n">
        <f aca="false">IF($U1244=0,0,IF(IFERROR(INDEX(VAT_Codes!$F:$F,MATCH($N1244,VAT_Codes!$A:$A,0)),"N")="Y",$U1244,IF($L1244&lt;&gt;"",ROUND(ABS($L1244)/IF(OR($R1244="",$R1244=0),1,$R1244),2)*SIGN($U1244),ROUND($U1244*$V1244,2))))</f>
        <v>0</v>
      </c>
      <c r="X1244" s="24" t="str">
        <f aca="false">IF($N1244="","",IFERROR(INDEX(VAT_Codes!$H:$H,MATCH($N1244,VAT_Codes!$A:$A,0)),"")&amp;"")</f>
        <v/>
      </c>
      <c r="Y1244" s="24" t="str">
        <f aca="false">IF($A1244="","",(YEAR($A1244)-YEAR(Settings!$C$8))*12+MONTH($A1244)-MONTH(Settings!$C$8)+1)</f>
        <v/>
      </c>
      <c r="Z1244" s="24" t="str">
        <f aca="false">IF(AND($C1244="",$I1244="",$J1244=""),"",IF($N1244="","NO VAT CODE",IF($T1244="","UNKNOWN VAT CODE",IF($S1244="","MISSING FX RATE",IF(OR($A1244&lt;Settings!$C$8,$A1244&gt;Settings!$C$9),"OUTSIDE PERIOD",IF(AND(IFERROR(INDEX(VAT_Codes!$E:$E,MATCH($N1244,VAT_Codes!$A:$A,0)),"ANY")&lt;&gt;"ANY",$P1244=""),"MISSING COUNTERPARTY COUNTRY",IF(AND(IFERROR(INDEX(VAT_Codes!$E:$E,MATCH($N1244,VAT_Codes!$A:$A,0)),"ANY")&lt;&gt;"ANY",$P1244&lt;&gt;IFERROR(INDEX(VAT_Codes!$E:$E,MATCH($N1244,VAT_Codes!$A:$A,0)),"ANY")),"REGION MISMATCH","OK")))))))</f>
        <v/>
      </c>
    </row>
    <row r="1245" customFormat="false" ht="15" hidden="false" customHeight="false" outlineLevel="0" collapsed="false">
      <c r="M1245" s="24" t="str">
        <f aca="false">IF($C1245="","",IFERROR(INDEX(Account_Mapping!$C:$C,MATCH($C1245&amp;"",Account_Mapping!$A:$A,0))&amp;"",""))</f>
        <v/>
      </c>
      <c r="N1245" s="24" t="str">
        <f aca="false">IF($K1245&lt;&gt;"",$K1245,$M1245)</f>
        <v/>
      </c>
      <c r="O1245" s="24" t="str">
        <f aca="false">IF($F1245="","",IFERROR(INDEX(Counterparties!$C:$C,MATCH($F1245&amp;"",Counterparties!$A:$A,0))&amp;"",""))</f>
        <v/>
      </c>
      <c r="P1245" s="24" t="str">
        <f aca="false">IF($O1245="","",IF($O1245="CY","CY",IF(ISNUMBER(MATCH($O1245,Lists!$A:$A,0)),"EU","3RD")))</f>
        <v/>
      </c>
      <c r="Q1245" s="24" t="str">
        <f aca="false">IF($F1245="","N",IFERROR(IF(INDEX(Counterparties!$E:$E,MATCH($F1245&amp;"",Counterparties!$A:$A,0))="Y","Y","N"),"N"))</f>
        <v>N</v>
      </c>
      <c r="R1245" s="25" t="n">
        <f aca="false">IF(OR($H1245="",$H1245="EUR"),1,IFERROR(INDEX(FX_Rates!$D:$D,MATCH($H1245,FX_Rates!$A:$A,0)),""))</f>
        <v>1</v>
      </c>
      <c r="S1245" s="26" t="str">
        <f aca="false">IF(AND($I1245="",$J1245=""),"",IF($J1245&lt;&gt;"",$J1245,IF(OR($R1245="",$R1245=0),"",ROUND($I1245/$R1245,2))))</f>
        <v/>
      </c>
      <c r="T1245" s="24" t="str">
        <f aca="false">IF($N1245="","",IFERROR(INDEX(VAT_Codes!$C:$C,MATCH($N1245,VAT_Codes!$A:$A,0)),"")&amp;"")</f>
        <v/>
      </c>
      <c r="U1245" s="26" t="n">
        <f aca="false">IF(OR($S1245="",$T1245="",$T1245="None"),0,IF($T1245="Output",-$S1245,$S1245))</f>
        <v>0</v>
      </c>
      <c r="V1245" s="27" t="n">
        <f aca="false">IF($N1245="",0,IFERROR(INDEX(VAT_Codes!$D:$D,MATCH($N1245,VAT_Codes!$A:$A,0)),0))</f>
        <v>0</v>
      </c>
      <c r="W1245" s="26" t="n">
        <f aca="false">IF($U1245=0,0,IF(IFERROR(INDEX(VAT_Codes!$F:$F,MATCH($N1245,VAT_Codes!$A:$A,0)),"N")="Y",$U1245,IF($L1245&lt;&gt;"",ROUND(ABS($L1245)/IF(OR($R1245="",$R1245=0),1,$R1245),2)*SIGN($U1245),ROUND($U1245*$V1245,2))))</f>
        <v>0</v>
      </c>
      <c r="X1245" s="24" t="str">
        <f aca="false">IF($N1245="","",IFERROR(INDEX(VAT_Codes!$H:$H,MATCH($N1245,VAT_Codes!$A:$A,0)),"")&amp;"")</f>
        <v/>
      </c>
      <c r="Y1245" s="24" t="str">
        <f aca="false">IF($A1245="","",(YEAR($A1245)-YEAR(Settings!$C$8))*12+MONTH($A1245)-MONTH(Settings!$C$8)+1)</f>
        <v/>
      </c>
      <c r="Z1245" s="24" t="str">
        <f aca="false">IF(AND($C1245="",$I1245="",$J1245=""),"",IF($N1245="","NO VAT CODE",IF($T1245="","UNKNOWN VAT CODE",IF($S1245="","MISSING FX RATE",IF(OR($A1245&lt;Settings!$C$8,$A1245&gt;Settings!$C$9),"OUTSIDE PERIOD",IF(AND(IFERROR(INDEX(VAT_Codes!$E:$E,MATCH($N1245,VAT_Codes!$A:$A,0)),"ANY")&lt;&gt;"ANY",$P1245=""),"MISSING COUNTERPARTY COUNTRY",IF(AND(IFERROR(INDEX(VAT_Codes!$E:$E,MATCH($N1245,VAT_Codes!$A:$A,0)),"ANY")&lt;&gt;"ANY",$P1245&lt;&gt;IFERROR(INDEX(VAT_Codes!$E:$E,MATCH($N1245,VAT_Codes!$A:$A,0)),"ANY")),"REGION MISMATCH","OK")))))))</f>
        <v/>
      </c>
    </row>
    <row r="1246" customFormat="false" ht="15" hidden="false" customHeight="false" outlineLevel="0" collapsed="false">
      <c r="M1246" s="24" t="str">
        <f aca="false">IF($C1246="","",IFERROR(INDEX(Account_Mapping!$C:$C,MATCH($C1246&amp;"",Account_Mapping!$A:$A,0))&amp;"",""))</f>
        <v/>
      </c>
      <c r="N1246" s="24" t="str">
        <f aca="false">IF($K1246&lt;&gt;"",$K1246,$M1246)</f>
        <v/>
      </c>
      <c r="O1246" s="24" t="str">
        <f aca="false">IF($F1246="","",IFERROR(INDEX(Counterparties!$C:$C,MATCH($F1246&amp;"",Counterparties!$A:$A,0))&amp;"",""))</f>
        <v/>
      </c>
      <c r="P1246" s="24" t="str">
        <f aca="false">IF($O1246="","",IF($O1246="CY","CY",IF(ISNUMBER(MATCH($O1246,Lists!$A:$A,0)),"EU","3RD")))</f>
        <v/>
      </c>
      <c r="Q1246" s="24" t="str">
        <f aca="false">IF($F1246="","N",IFERROR(IF(INDEX(Counterparties!$E:$E,MATCH($F1246&amp;"",Counterparties!$A:$A,0))="Y","Y","N"),"N"))</f>
        <v>N</v>
      </c>
      <c r="R1246" s="25" t="n">
        <f aca="false">IF(OR($H1246="",$H1246="EUR"),1,IFERROR(INDEX(FX_Rates!$D:$D,MATCH($H1246,FX_Rates!$A:$A,0)),""))</f>
        <v>1</v>
      </c>
      <c r="S1246" s="26" t="str">
        <f aca="false">IF(AND($I1246="",$J1246=""),"",IF($J1246&lt;&gt;"",$J1246,IF(OR($R1246="",$R1246=0),"",ROUND($I1246/$R1246,2))))</f>
        <v/>
      </c>
      <c r="T1246" s="24" t="str">
        <f aca="false">IF($N1246="","",IFERROR(INDEX(VAT_Codes!$C:$C,MATCH($N1246,VAT_Codes!$A:$A,0)),"")&amp;"")</f>
        <v/>
      </c>
      <c r="U1246" s="26" t="n">
        <f aca="false">IF(OR($S1246="",$T1246="",$T1246="None"),0,IF($T1246="Output",-$S1246,$S1246))</f>
        <v>0</v>
      </c>
      <c r="V1246" s="27" t="n">
        <f aca="false">IF($N1246="",0,IFERROR(INDEX(VAT_Codes!$D:$D,MATCH($N1246,VAT_Codes!$A:$A,0)),0))</f>
        <v>0</v>
      </c>
      <c r="W1246" s="26" t="n">
        <f aca="false">IF($U1246=0,0,IF(IFERROR(INDEX(VAT_Codes!$F:$F,MATCH($N1246,VAT_Codes!$A:$A,0)),"N")="Y",$U1246,IF($L1246&lt;&gt;"",ROUND(ABS($L1246)/IF(OR($R1246="",$R1246=0),1,$R1246),2)*SIGN($U1246),ROUND($U1246*$V1246,2))))</f>
        <v>0</v>
      </c>
      <c r="X1246" s="24" t="str">
        <f aca="false">IF($N1246="","",IFERROR(INDEX(VAT_Codes!$H:$H,MATCH($N1246,VAT_Codes!$A:$A,0)),"")&amp;"")</f>
        <v/>
      </c>
      <c r="Y1246" s="24" t="str">
        <f aca="false">IF($A1246="","",(YEAR($A1246)-YEAR(Settings!$C$8))*12+MONTH($A1246)-MONTH(Settings!$C$8)+1)</f>
        <v/>
      </c>
      <c r="Z1246" s="24" t="str">
        <f aca="false">IF(AND($C1246="",$I1246="",$J1246=""),"",IF($N1246="","NO VAT CODE",IF($T1246="","UNKNOWN VAT CODE",IF($S1246="","MISSING FX RATE",IF(OR($A1246&lt;Settings!$C$8,$A1246&gt;Settings!$C$9),"OUTSIDE PERIOD",IF(AND(IFERROR(INDEX(VAT_Codes!$E:$E,MATCH($N1246,VAT_Codes!$A:$A,0)),"ANY")&lt;&gt;"ANY",$P1246=""),"MISSING COUNTERPARTY COUNTRY",IF(AND(IFERROR(INDEX(VAT_Codes!$E:$E,MATCH($N1246,VAT_Codes!$A:$A,0)),"ANY")&lt;&gt;"ANY",$P1246&lt;&gt;IFERROR(INDEX(VAT_Codes!$E:$E,MATCH($N1246,VAT_Codes!$A:$A,0)),"ANY")),"REGION MISMATCH","OK")))))))</f>
        <v/>
      </c>
    </row>
    <row r="1247" customFormat="false" ht="15" hidden="false" customHeight="false" outlineLevel="0" collapsed="false">
      <c r="M1247" s="24" t="str">
        <f aca="false">IF($C1247="","",IFERROR(INDEX(Account_Mapping!$C:$C,MATCH($C1247&amp;"",Account_Mapping!$A:$A,0))&amp;"",""))</f>
        <v/>
      </c>
      <c r="N1247" s="24" t="str">
        <f aca="false">IF($K1247&lt;&gt;"",$K1247,$M1247)</f>
        <v/>
      </c>
      <c r="O1247" s="24" t="str">
        <f aca="false">IF($F1247="","",IFERROR(INDEX(Counterparties!$C:$C,MATCH($F1247&amp;"",Counterparties!$A:$A,0))&amp;"",""))</f>
        <v/>
      </c>
      <c r="P1247" s="24" t="str">
        <f aca="false">IF($O1247="","",IF($O1247="CY","CY",IF(ISNUMBER(MATCH($O1247,Lists!$A:$A,0)),"EU","3RD")))</f>
        <v/>
      </c>
      <c r="Q1247" s="24" t="str">
        <f aca="false">IF($F1247="","N",IFERROR(IF(INDEX(Counterparties!$E:$E,MATCH($F1247&amp;"",Counterparties!$A:$A,0))="Y","Y","N"),"N"))</f>
        <v>N</v>
      </c>
      <c r="R1247" s="25" t="n">
        <f aca="false">IF(OR($H1247="",$H1247="EUR"),1,IFERROR(INDEX(FX_Rates!$D:$D,MATCH($H1247,FX_Rates!$A:$A,0)),""))</f>
        <v>1</v>
      </c>
      <c r="S1247" s="26" t="str">
        <f aca="false">IF(AND($I1247="",$J1247=""),"",IF($J1247&lt;&gt;"",$J1247,IF(OR($R1247="",$R1247=0),"",ROUND($I1247/$R1247,2))))</f>
        <v/>
      </c>
      <c r="T1247" s="24" t="str">
        <f aca="false">IF($N1247="","",IFERROR(INDEX(VAT_Codes!$C:$C,MATCH($N1247,VAT_Codes!$A:$A,0)),"")&amp;"")</f>
        <v/>
      </c>
      <c r="U1247" s="26" t="n">
        <f aca="false">IF(OR($S1247="",$T1247="",$T1247="None"),0,IF($T1247="Output",-$S1247,$S1247))</f>
        <v>0</v>
      </c>
      <c r="V1247" s="27" t="n">
        <f aca="false">IF($N1247="",0,IFERROR(INDEX(VAT_Codes!$D:$D,MATCH($N1247,VAT_Codes!$A:$A,0)),0))</f>
        <v>0</v>
      </c>
      <c r="W1247" s="26" t="n">
        <f aca="false">IF($U1247=0,0,IF(IFERROR(INDEX(VAT_Codes!$F:$F,MATCH($N1247,VAT_Codes!$A:$A,0)),"N")="Y",$U1247,IF($L1247&lt;&gt;"",ROUND(ABS($L1247)/IF(OR($R1247="",$R1247=0),1,$R1247),2)*SIGN($U1247),ROUND($U1247*$V1247,2))))</f>
        <v>0</v>
      </c>
      <c r="X1247" s="24" t="str">
        <f aca="false">IF($N1247="","",IFERROR(INDEX(VAT_Codes!$H:$H,MATCH($N1247,VAT_Codes!$A:$A,0)),"")&amp;"")</f>
        <v/>
      </c>
      <c r="Y1247" s="24" t="str">
        <f aca="false">IF($A1247="","",(YEAR($A1247)-YEAR(Settings!$C$8))*12+MONTH($A1247)-MONTH(Settings!$C$8)+1)</f>
        <v/>
      </c>
      <c r="Z1247" s="24" t="str">
        <f aca="false">IF(AND($C1247="",$I1247="",$J1247=""),"",IF($N1247="","NO VAT CODE",IF($T1247="","UNKNOWN VAT CODE",IF($S1247="","MISSING FX RATE",IF(OR($A1247&lt;Settings!$C$8,$A1247&gt;Settings!$C$9),"OUTSIDE PERIOD",IF(AND(IFERROR(INDEX(VAT_Codes!$E:$E,MATCH($N1247,VAT_Codes!$A:$A,0)),"ANY")&lt;&gt;"ANY",$P1247=""),"MISSING COUNTERPARTY COUNTRY",IF(AND(IFERROR(INDEX(VAT_Codes!$E:$E,MATCH($N1247,VAT_Codes!$A:$A,0)),"ANY")&lt;&gt;"ANY",$P1247&lt;&gt;IFERROR(INDEX(VAT_Codes!$E:$E,MATCH($N1247,VAT_Codes!$A:$A,0)),"ANY")),"REGION MISMATCH","OK")))))))</f>
        <v/>
      </c>
    </row>
    <row r="1248" customFormat="false" ht="15" hidden="false" customHeight="false" outlineLevel="0" collapsed="false">
      <c r="M1248" s="24" t="str">
        <f aca="false">IF($C1248="","",IFERROR(INDEX(Account_Mapping!$C:$C,MATCH($C1248&amp;"",Account_Mapping!$A:$A,0))&amp;"",""))</f>
        <v/>
      </c>
      <c r="N1248" s="24" t="str">
        <f aca="false">IF($K1248&lt;&gt;"",$K1248,$M1248)</f>
        <v/>
      </c>
      <c r="O1248" s="24" t="str">
        <f aca="false">IF($F1248="","",IFERROR(INDEX(Counterparties!$C:$C,MATCH($F1248&amp;"",Counterparties!$A:$A,0))&amp;"",""))</f>
        <v/>
      </c>
      <c r="P1248" s="24" t="str">
        <f aca="false">IF($O1248="","",IF($O1248="CY","CY",IF(ISNUMBER(MATCH($O1248,Lists!$A:$A,0)),"EU","3RD")))</f>
        <v/>
      </c>
      <c r="Q1248" s="24" t="str">
        <f aca="false">IF($F1248="","N",IFERROR(IF(INDEX(Counterparties!$E:$E,MATCH($F1248&amp;"",Counterparties!$A:$A,0))="Y","Y","N"),"N"))</f>
        <v>N</v>
      </c>
      <c r="R1248" s="25" t="n">
        <f aca="false">IF(OR($H1248="",$H1248="EUR"),1,IFERROR(INDEX(FX_Rates!$D:$D,MATCH($H1248,FX_Rates!$A:$A,0)),""))</f>
        <v>1</v>
      </c>
      <c r="S1248" s="26" t="str">
        <f aca="false">IF(AND($I1248="",$J1248=""),"",IF($J1248&lt;&gt;"",$J1248,IF(OR($R1248="",$R1248=0),"",ROUND($I1248/$R1248,2))))</f>
        <v/>
      </c>
      <c r="T1248" s="24" t="str">
        <f aca="false">IF($N1248="","",IFERROR(INDEX(VAT_Codes!$C:$C,MATCH($N1248,VAT_Codes!$A:$A,0)),"")&amp;"")</f>
        <v/>
      </c>
      <c r="U1248" s="26" t="n">
        <f aca="false">IF(OR($S1248="",$T1248="",$T1248="None"),0,IF($T1248="Output",-$S1248,$S1248))</f>
        <v>0</v>
      </c>
      <c r="V1248" s="27" t="n">
        <f aca="false">IF($N1248="",0,IFERROR(INDEX(VAT_Codes!$D:$D,MATCH($N1248,VAT_Codes!$A:$A,0)),0))</f>
        <v>0</v>
      </c>
      <c r="W1248" s="26" t="n">
        <f aca="false">IF($U1248=0,0,IF(IFERROR(INDEX(VAT_Codes!$F:$F,MATCH($N1248,VAT_Codes!$A:$A,0)),"N")="Y",$U1248,IF($L1248&lt;&gt;"",ROUND(ABS($L1248)/IF(OR($R1248="",$R1248=0),1,$R1248),2)*SIGN($U1248),ROUND($U1248*$V1248,2))))</f>
        <v>0</v>
      </c>
      <c r="X1248" s="24" t="str">
        <f aca="false">IF($N1248="","",IFERROR(INDEX(VAT_Codes!$H:$H,MATCH($N1248,VAT_Codes!$A:$A,0)),"")&amp;"")</f>
        <v/>
      </c>
      <c r="Y1248" s="24" t="str">
        <f aca="false">IF($A1248="","",(YEAR($A1248)-YEAR(Settings!$C$8))*12+MONTH($A1248)-MONTH(Settings!$C$8)+1)</f>
        <v/>
      </c>
      <c r="Z1248" s="24" t="str">
        <f aca="false">IF(AND($C1248="",$I1248="",$J1248=""),"",IF($N1248="","NO VAT CODE",IF($T1248="","UNKNOWN VAT CODE",IF($S1248="","MISSING FX RATE",IF(OR($A1248&lt;Settings!$C$8,$A1248&gt;Settings!$C$9),"OUTSIDE PERIOD",IF(AND(IFERROR(INDEX(VAT_Codes!$E:$E,MATCH($N1248,VAT_Codes!$A:$A,0)),"ANY")&lt;&gt;"ANY",$P1248=""),"MISSING COUNTERPARTY COUNTRY",IF(AND(IFERROR(INDEX(VAT_Codes!$E:$E,MATCH($N1248,VAT_Codes!$A:$A,0)),"ANY")&lt;&gt;"ANY",$P1248&lt;&gt;IFERROR(INDEX(VAT_Codes!$E:$E,MATCH($N1248,VAT_Codes!$A:$A,0)),"ANY")),"REGION MISMATCH","OK")))))))</f>
        <v/>
      </c>
    </row>
    <row r="1249" customFormat="false" ht="15" hidden="false" customHeight="false" outlineLevel="0" collapsed="false">
      <c r="M1249" s="24" t="str">
        <f aca="false">IF($C1249="","",IFERROR(INDEX(Account_Mapping!$C:$C,MATCH($C1249&amp;"",Account_Mapping!$A:$A,0))&amp;"",""))</f>
        <v/>
      </c>
      <c r="N1249" s="24" t="str">
        <f aca="false">IF($K1249&lt;&gt;"",$K1249,$M1249)</f>
        <v/>
      </c>
      <c r="O1249" s="24" t="str">
        <f aca="false">IF($F1249="","",IFERROR(INDEX(Counterparties!$C:$C,MATCH($F1249&amp;"",Counterparties!$A:$A,0))&amp;"",""))</f>
        <v/>
      </c>
      <c r="P1249" s="24" t="str">
        <f aca="false">IF($O1249="","",IF($O1249="CY","CY",IF(ISNUMBER(MATCH($O1249,Lists!$A:$A,0)),"EU","3RD")))</f>
        <v/>
      </c>
      <c r="Q1249" s="24" t="str">
        <f aca="false">IF($F1249="","N",IFERROR(IF(INDEX(Counterparties!$E:$E,MATCH($F1249&amp;"",Counterparties!$A:$A,0))="Y","Y","N"),"N"))</f>
        <v>N</v>
      </c>
      <c r="R1249" s="25" t="n">
        <f aca="false">IF(OR($H1249="",$H1249="EUR"),1,IFERROR(INDEX(FX_Rates!$D:$D,MATCH($H1249,FX_Rates!$A:$A,0)),""))</f>
        <v>1</v>
      </c>
      <c r="S1249" s="26" t="str">
        <f aca="false">IF(AND($I1249="",$J1249=""),"",IF($J1249&lt;&gt;"",$J1249,IF(OR($R1249="",$R1249=0),"",ROUND($I1249/$R1249,2))))</f>
        <v/>
      </c>
      <c r="T1249" s="24" t="str">
        <f aca="false">IF($N1249="","",IFERROR(INDEX(VAT_Codes!$C:$C,MATCH($N1249,VAT_Codes!$A:$A,0)),"")&amp;"")</f>
        <v/>
      </c>
      <c r="U1249" s="26" t="n">
        <f aca="false">IF(OR($S1249="",$T1249="",$T1249="None"),0,IF($T1249="Output",-$S1249,$S1249))</f>
        <v>0</v>
      </c>
      <c r="V1249" s="27" t="n">
        <f aca="false">IF($N1249="",0,IFERROR(INDEX(VAT_Codes!$D:$D,MATCH($N1249,VAT_Codes!$A:$A,0)),0))</f>
        <v>0</v>
      </c>
      <c r="W1249" s="26" t="n">
        <f aca="false">IF($U1249=0,0,IF(IFERROR(INDEX(VAT_Codes!$F:$F,MATCH($N1249,VAT_Codes!$A:$A,0)),"N")="Y",$U1249,IF($L1249&lt;&gt;"",ROUND(ABS($L1249)/IF(OR($R1249="",$R1249=0),1,$R1249),2)*SIGN($U1249),ROUND($U1249*$V1249,2))))</f>
        <v>0</v>
      </c>
      <c r="X1249" s="24" t="str">
        <f aca="false">IF($N1249="","",IFERROR(INDEX(VAT_Codes!$H:$H,MATCH($N1249,VAT_Codes!$A:$A,0)),"")&amp;"")</f>
        <v/>
      </c>
      <c r="Y1249" s="24" t="str">
        <f aca="false">IF($A1249="","",(YEAR($A1249)-YEAR(Settings!$C$8))*12+MONTH($A1249)-MONTH(Settings!$C$8)+1)</f>
        <v/>
      </c>
      <c r="Z1249" s="24" t="str">
        <f aca="false">IF(AND($C1249="",$I1249="",$J1249=""),"",IF($N1249="","NO VAT CODE",IF($T1249="","UNKNOWN VAT CODE",IF($S1249="","MISSING FX RATE",IF(OR($A1249&lt;Settings!$C$8,$A1249&gt;Settings!$C$9),"OUTSIDE PERIOD",IF(AND(IFERROR(INDEX(VAT_Codes!$E:$E,MATCH($N1249,VAT_Codes!$A:$A,0)),"ANY")&lt;&gt;"ANY",$P1249=""),"MISSING COUNTERPARTY COUNTRY",IF(AND(IFERROR(INDEX(VAT_Codes!$E:$E,MATCH($N1249,VAT_Codes!$A:$A,0)),"ANY")&lt;&gt;"ANY",$P1249&lt;&gt;IFERROR(INDEX(VAT_Codes!$E:$E,MATCH($N1249,VAT_Codes!$A:$A,0)),"ANY")),"REGION MISMATCH","OK")))))))</f>
        <v/>
      </c>
    </row>
    <row r="1250" customFormat="false" ht="15" hidden="false" customHeight="false" outlineLevel="0" collapsed="false">
      <c r="M1250" s="24" t="str">
        <f aca="false">IF($C1250="","",IFERROR(INDEX(Account_Mapping!$C:$C,MATCH($C1250&amp;"",Account_Mapping!$A:$A,0))&amp;"",""))</f>
        <v/>
      </c>
      <c r="N1250" s="24" t="str">
        <f aca="false">IF($K1250&lt;&gt;"",$K1250,$M1250)</f>
        <v/>
      </c>
      <c r="O1250" s="24" t="str">
        <f aca="false">IF($F1250="","",IFERROR(INDEX(Counterparties!$C:$C,MATCH($F1250&amp;"",Counterparties!$A:$A,0))&amp;"",""))</f>
        <v/>
      </c>
      <c r="P1250" s="24" t="str">
        <f aca="false">IF($O1250="","",IF($O1250="CY","CY",IF(ISNUMBER(MATCH($O1250,Lists!$A:$A,0)),"EU","3RD")))</f>
        <v/>
      </c>
      <c r="Q1250" s="24" t="str">
        <f aca="false">IF($F1250="","N",IFERROR(IF(INDEX(Counterparties!$E:$E,MATCH($F1250&amp;"",Counterparties!$A:$A,0))="Y","Y","N"),"N"))</f>
        <v>N</v>
      </c>
      <c r="R1250" s="25" t="n">
        <f aca="false">IF(OR($H1250="",$H1250="EUR"),1,IFERROR(INDEX(FX_Rates!$D:$D,MATCH($H1250,FX_Rates!$A:$A,0)),""))</f>
        <v>1</v>
      </c>
      <c r="S1250" s="26" t="str">
        <f aca="false">IF(AND($I1250="",$J1250=""),"",IF($J1250&lt;&gt;"",$J1250,IF(OR($R1250="",$R1250=0),"",ROUND($I1250/$R1250,2))))</f>
        <v/>
      </c>
      <c r="T1250" s="24" t="str">
        <f aca="false">IF($N1250="","",IFERROR(INDEX(VAT_Codes!$C:$C,MATCH($N1250,VAT_Codes!$A:$A,0)),"")&amp;"")</f>
        <v/>
      </c>
      <c r="U1250" s="26" t="n">
        <f aca="false">IF(OR($S1250="",$T1250="",$T1250="None"),0,IF($T1250="Output",-$S1250,$S1250))</f>
        <v>0</v>
      </c>
      <c r="V1250" s="27" t="n">
        <f aca="false">IF($N1250="",0,IFERROR(INDEX(VAT_Codes!$D:$D,MATCH($N1250,VAT_Codes!$A:$A,0)),0))</f>
        <v>0</v>
      </c>
      <c r="W1250" s="26" t="n">
        <f aca="false">IF($U1250=0,0,IF(IFERROR(INDEX(VAT_Codes!$F:$F,MATCH($N1250,VAT_Codes!$A:$A,0)),"N")="Y",$U1250,IF($L1250&lt;&gt;"",ROUND(ABS($L1250)/IF(OR($R1250="",$R1250=0),1,$R1250),2)*SIGN($U1250),ROUND($U1250*$V1250,2))))</f>
        <v>0</v>
      </c>
      <c r="X1250" s="24" t="str">
        <f aca="false">IF($N1250="","",IFERROR(INDEX(VAT_Codes!$H:$H,MATCH($N1250,VAT_Codes!$A:$A,0)),"")&amp;"")</f>
        <v/>
      </c>
      <c r="Y1250" s="24" t="str">
        <f aca="false">IF($A1250="","",(YEAR($A1250)-YEAR(Settings!$C$8))*12+MONTH($A1250)-MONTH(Settings!$C$8)+1)</f>
        <v/>
      </c>
      <c r="Z1250" s="24" t="str">
        <f aca="false">IF(AND($C1250="",$I1250="",$J1250=""),"",IF($N1250="","NO VAT CODE",IF($T1250="","UNKNOWN VAT CODE",IF($S1250="","MISSING FX RATE",IF(OR($A1250&lt;Settings!$C$8,$A1250&gt;Settings!$C$9),"OUTSIDE PERIOD",IF(AND(IFERROR(INDEX(VAT_Codes!$E:$E,MATCH($N1250,VAT_Codes!$A:$A,0)),"ANY")&lt;&gt;"ANY",$P1250=""),"MISSING COUNTERPARTY COUNTRY",IF(AND(IFERROR(INDEX(VAT_Codes!$E:$E,MATCH($N1250,VAT_Codes!$A:$A,0)),"ANY")&lt;&gt;"ANY",$P1250&lt;&gt;IFERROR(INDEX(VAT_Codes!$E:$E,MATCH($N1250,VAT_Codes!$A:$A,0)),"ANY")),"REGION MISMATCH","OK")))))))</f>
        <v/>
      </c>
    </row>
    <row r="1251" customFormat="false" ht="15" hidden="false" customHeight="false" outlineLevel="0" collapsed="false">
      <c r="M1251" s="24" t="str">
        <f aca="false">IF($C1251="","",IFERROR(INDEX(Account_Mapping!$C:$C,MATCH($C1251&amp;"",Account_Mapping!$A:$A,0))&amp;"",""))</f>
        <v/>
      </c>
      <c r="N1251" s="24" t="str">
        <f aca="false">IF($K1251&lt;&gt;"",$K1251,$M1251)</f>
        <v/>
      </c>
      <c r="O1251" s="24" t="str">
        <f aca="false">IF($F1251="","",IFERROR(INDEX(Counterparties!$C:$C,MATCH($F1251&amp;"",Counterparties!$A:$A,0))&amp;"",""))</f>
        <v/>
      </c>
      <c r="P1251" s="24" t="str">
        <f aca="false">IF($O1251="","",IF($O1251="CY","CY",IF(ISNUMBER(MATCH($O1251,Lists!$A:$A,0)),"EU","3RD")))</f>
        <v/>
      </c>
      <c r="Q1251" s="24" t="str">
        <f aca="false">IF($F1251="","N",IFERROR(IF(INDEX(Counterparties!$E:$E,MATCH($F1251&amp;"",Counterparties!$A:$A,0))="Y","Y","N"),"N"))</f>
        <v>N</v>
      </c>
      <c r="R1251" s="25" t="n">
        <f aca="false">IF(OR($H1251="",$H1251="EUR"),1,IFERROR(INDEX(FX_Rates!$D:$D,MATCH($H1251,FX_Rates!$A:$A,0)),""))</f>
        <v>1</v>
      </c>
      <c r="S1251" s="26" t="str">
        <f aca="false">IF(AND($I1251="",$J1251=""),"",IF($J1251&lt;&gt;"",$J1251,IF(OR($R1251="",$R1251=0),"",ROUND($I1251/$R1251,2))))</f>
        <v/>
      </c>
      <c r="T1251" s="24" t="str">
        <f aca="false">IF($N1251="","",IFERROR(INDEX(VAT_Codes!$C:$C,MATCH($N1251,VAT_Codes!$A:$A,0)),"")&amp;"")</f>
        <v/>
      </c>
      <c r="U1251" s="26" t="n">
        <f aca="false">IF(OR($S1251="",$T1251="",$T1251="None"),0,IF($T1251="Output",-$S1251,$S1251))</f>
        <v>0</v>
      </c>
      <c r="V1251" s="27" t="n">
        <f aca="false">IF($N1251="",0,IFERROR(INDEX(VAT_Codes!$D:$D,MATCH($N1251,VAT_Codes!$A:$A,0)),0))</f>
        <v>0</v>
      </c>
      <c r="W1251" s="26" t="n">
        <f aca="false">IF($U1251=0,0,IF(IFERROR(INDEX(VAT_Codes!$F:$F,MATCH($N1251,VAT_Codes!$A:$A,0)),"N")="Y",$U1251,IF($L1251&lt;&gt;"",ROUND(ABS($L1251)/IF(OR($R1251="",$R1251=0),1,$R1251),2)*SIGN($U1251),ROUND($U1251*$V1251,2))))</f>
        <v>0</v>
      </c>
      <c r="X1251" s="24" t="str">
        <f aca="false">IF($N1251="","",IFERROR(INDEX(VAT_Codes!$H:$H,MATCH($N1251,VAT_Codes!$A:$A,0)),"")&amp;"")</f>
        <v/>
      </c>
      <c r="Y1251" s="24" t="str">
        <f aca="false">IF($A1251="","",(YEAR($A1251)-YEAR(Settings!$C$8))*12+MONTH($A1251)-MONTH(Settings!$C$8)+1)</f>
        <v/>
      </c>
      <c r="Z1251" s="24" t="str">
        <f aca="false">IF(AND($C1251="",$I1251="",$J1251=""),"",IF($N1251="","NO VAT CODE",IF($T1251="","UNKNOWN VAT CODE",IF($S1251="","MISSING FX RATE",IF(OR($A1251&lt;Settings!$C$8,$A1251&gt;Settings!$C$9),"OUTSIDE PERIOD",IF(AND(IFERROR(INDEX(VAT_Codes!$E:$E,MATCH($N1251,VAT_Codes!$A:$A,0)),"ANY")&lt;&gt;"ANY",$P1251=""),"MISSING COUNTERPARTY COUNTRY",IF(AND(IFERROR(INDEX(VAT_Codes!$E:$E,MATCH($N1251,VAT_Codes!$A:$A,0)),"ANY")&lt;&gt;"ANY",$P1251&lt;&gt;IFERROR(INDEX(VAT_Codes!$E:$E,MATCH($N1251,VAT_Codes!$A:$A,0)),"ANY")),"REGION MISMATCH","OK")))))))</f>
        <v/>
      </c>
    </row>
    <row r="1252" customFormat="false" ht="15" hidden="false" customHeight="false" outlineLevel="0" collapsed="false">
      <c r="M1252" s="24" t="str">
        <f aca="false">IF($C1252="","",IFERROR(INDEX(Account_Mapping!$C:$C,MATCH($C1252&amp;"",Account_Mapping!$A:$A,0))&amp;"",""))</f>
        <v/>
      </c>
      <c r="N1252" s="24" t="str">
        <f aca="false">IF($K1252&lt;&gt;"",$K1252,$M1252)</f>
        <v/>
      </c>
      <c r="O1252" s="24" t="str">
        <f aca="false">IF($F1252="","",IFERROR(INDEX(Counterparties!$C:$C,MATCH($F1252&amp;"",Counterparties!$A:$A,0))&amp;"",""))</f>
        <v/>
      </c>
      <c r="P1252" s="24" t="str">
        <f aca="false">IF($O1252="","",IF($O1252="CY","CY",IF(ISNUMBER(MATCH($O1252,Lists!$A:$A,0)),"EU","3RD")))</f>
        <v/>
      </c>
      <c r="Q1252" s="24" t="str">
        <f aca="false">IF($F1252="","N",IFERROR(IF(INDEX(Counterparties!$E:$E,MATCH($F1252&amp;"",Counterparties!$A:$A,0))="Y","Y","N"),"N"))</f>
        <v>N</v>
      </c>
      <c r="R1252" s="25" t="n">
        <f aca="false">IF(OR($H1252="",$H1252="EUR"),1,IFERROR(INDEX(FX_Rates!$D:$D,MATCH($H1252,FX_Rates!$A:$A,0)),""))</f>
        <v>1</v>
      </c>
      <c r="S1252" s="26" t="str">
        <f aca="false">IF(AND($I1252="",$J1252=""),"",IF($J1252&lt;&gt;"",$J1252,IF(OR($R1252="",$R1252=0),"",ROUND($I1252/$R1252,2))))</f>
        <v/>
      </c>
      <c r="T1252" s="24" t="str">
        <f aca="false">IF($N1252="","",IFERROR(INDEX(VAT_Codes!$C:$C,MATCH($N1252,VAT_Codes!$A:$A,0)),"")&amp;"")</f>
        <v/>
      </c>
      <c r="U1252" s="26" t="n">
        <f aca="false">IF(OR($S1252="",$T1252="",$T1252="None"),0,IF($T1252="Output",-$S1252,$S1252))</f>
        <v>0</v>
      </c>
      <c r="V1252" s="27" t="n">
        <f aca="false">IF($N1252="",0,IFERROR(INDEX(VAT_Codes!$D:$D,MATCH($N1252,VAT_Codes!$A:$A,0)),0))</f>
        <v>0</v>
      </c>
      <c r="W1252" s="26" t="n">
        <f aca="false">IF($U1252=0,0,IF(IFERROR(INDEX(VAT_Codes!$F:$F,MATCH($N1252,VAT_Codes!$A:$A,0)),"N")="Y",$U1252,IF($L1252&lt;&gt;"",ROUND(ABS($L1252)/IF(OR($R1252="",$R1252=0),1,$R1252),2)*SIGN($U1252),ROUND($U1252*$V1252,2))))</f>
        <v>0</v>
      </c>
      <c r="X1252" s="24" t="str">
        <f aca="false">IF($N1252="","",IFERROR(INDEX(VAT_Codes!$H:$H,MATCH($N1252,VAT_Codes!$A:$A,0)),"")&amp;"")</f>
        <v/>
      </c>
      <c r="Y1252" s="24" t="str">
        <f aca="false">IF($A1252="","",(YEAR($A1252)-YEAR(Settings!$C$8))*12+MONTH($A1252)-MONTH(Settings!$C$8)+1)</f>
        <v/>
      </c>
      <c r="Z1252" s="24" t="str">
        <f aca="false">IF(AND($C1252="",$I1252="",$J1252=""),"",IF($N1252="","NO VAT CODE",IF($T1252="","UNKNOWN VAT CODE",IF($S1252="","MISSING FX RATE",IF(OR($A1252&lt;Settings!$C$8,$A1252&gt;Settings!$C$9),"OUTSIDE PERIOD",IF(AND(IFERROR(INDEX(VAT_Codes!$E:$E,MATCH($N1252,VAT_Codes!$A:$A,0)),"ANY")&lt;&gt;"ANY",$P1252=""),"MISSING COUNTERPARTY COUNTRY",IF(AND(IFERROR(INDEX(VAT_Codes!$E:$E,MATCH($N1252,VAT_Codes!$A:$A,0)),"ANY")&lt;&gt;"ANY",$P1252&lt;&gt;IFERROR(INDEX(VAT_Codes!$E:$E,MATCH($N1252,VAT_Codes!$A:$A,0)),"ANY")),"REGION MISMATCH","OK")))))))</f>
        <v/>
      </c>
    </row>
    <row r="1253" customFormat="false" ht="15" hidden="false" customHeight="false" outlineLevel="0" collapsed="false">
      <c r="M1253" s="24" t="str">
        <f aca="false">IF($C1253="","",IFERROR(INDEX(Account_Mapping!$C:$C,MATCH($C1253&amp;"",Account_Mapping!$A:$A,0))&amp;"",""))</f>
        <v/>
      </c>
      <c r="N1253" s="24" t="str">
        <f aca="false">IF($K1253&lt;&gt;"",$K1253,$M1253)</f>
        <v/>
      </c>
      <c r="O1253" s="24" t="str">
        <f aca="false">IF($F1253="","",IFERROR(INDEX(Counterparties!$C:$C,MATCH($F1253&amp;"",Counterparties!$A:$A,0))&amp;"",""))</f>
        <v/>
      </c>
      <c r="P1253" s="24" t="str">
        <f aca="false">IF($O1253="","",IF($O1253="CY","CY",IF(ISNUMBER(MATCH($O1253,Lists!$A:$A,0)),"EU","3RD")))</f>
        <v/>
      </c>
      <c r="Q1253" s="24" t="str">
        <f aca="false">IF($F1253="","N",IFERROR(IF(INDEX(Counterparties!$E:$E,MATCH($F1253&amp;"",Counterparties!$A:$A,0))="Y","Y","N"),"N"))</f>
        <v>N</v>
      </c>
      <c r="R1253" s="25" t="n">
        <f aca="false">IF(OR($H1253="",$H1253="EUR"),1,IFERROR(INDEX(FX_Rates!$D:$D,MATCH($H1253,FX_Rates!$A:$A,0)),""))</f>
        <v>1</v>
      </c>
      <c r="S1253" s="26" t="str">
        <f aca="false">IF(AND($I1253="",$J1253=""),"",IF($J1253&lt;&gt;"",$J1253,IF(OR($R1253="",$R1253=0),"",ROUND($I1253/$R1253,2))))</f>
        <v/>
      </c>
      <c r="T1253" s="24" t="str">
        <f aca="false">IF($N1253="","",IFERROR(INDEX(VAT_Codes!$C:$C,MATCH($N1253,VAT_Codes!$A:$A,0)),"")&amp;"")</f>
        <v/>
      </c>
      <c r="U1253" s="26" t="n">
        <f aca="false">IF(OR($S1253="",$T1253="",$T1253="None"),0,IF($T1253="Output",-$S1253,$S1253))</f>
        <v>0</v>
      </c>
      <c r="V1253" s="27" t="n">
        <f aca="false">IF($N1253="",0,IFERROR(INDEX(VAT_Codes!$D:$D,MATCH($N1253,VAT_Codes!$A:$A,0)),0))</f>
        <v>0</v>
      </c>
      <c r="W1253" s="26" t="n">
        <f aca="false">IF($U1253=0,0,IF(IFERROR(INDEX(VAT_Codes!$F:$F,MATCH($N1253,VAT_Codes!$A:$A,0)),"N")="Y",$U1253,IF($L1253&lt;&gt;"",ROUND(ABS($L1253)/IF(OR($R1253="",$R1253=0),1,$R1253),2)*SIGN($U1253),ROUND($U1253*$V1253,2))))</f>
        <v>0</v>
      </c>
      <c r="X1253" s="24" t="str">
        <f aca="false">IF($N1253="","",IFERROR(INDEX(VAT_Codes!$H:$H,MATCH($N1253,VAT_Codes!$A:$A,0)),"")&amp;"")</f>
        <v/>
      </c>
      <c r="Y1253" s="24" t="str">
        <f aca="false">IF($A1253="","",(YEAR($A1253)-YEAR(Settings!$C$8))*12+MONTH($A1253)-MONTH(Settings!$C$8)+1)</f>
        <v/>
      </c>
      <c r="Z1253" s="24" t="str">
        <f aca="false">IF(AND($C1253="",$I1253="",$J1253=""),"",IF($N1253="","NO VAT CODE",IF($T1253="","UNKNOWN VAT CODE",IF($S1253="","MISSING FX RATE",IF(OR($A1253&lt;Settings!$C$8,$A1253&gt;Settings!$C$9),"OUTSIDE PERIOD",IF(AND(IFERROR(INDEX(VAT_Codes!$E:$E,MATCH($N1253,VAT_Codes!$A:$A,0)),"ANY")&lt;&gt;"ANY",$P1253=""),"MISSING COUNTERPARTY COUNTRY",IF(AND(IFERROR(INDEX(VAT_Codes!$E:$E,MATCH($N1253,VAT_Codes!$A:$A,0)),"ANY")&lt;&gt;"ANY",$P1253&lt;&gt;IFERROR(INDEX(VAT_Codes!$E:$E,MATCH($N1253,VAT_Codes!$A:$A,0)),"ANY")),"REGION MISMATCH","OK")))))))</f>
        <v/>
      </c>
    </row>
    <row r="1254" customFormat="false" ht="15" hidden="false" customHeight="false" outlineLevel="0" collapsed="false">
      <c r="M1254" s="24" t="str">
        <f aca="false">IF($C1254="","",IFERROR(INDEX(Account_Mapping!$C:$C,MATCH($C1254&amp;"",Account_Mapping!$A:$A,0))&amp;"",""))</f>
        <v/>
      </c>
      <c r="N1254" s="24" t="str">
        <f aca="false">IF($K1254&lt;&gt;"",$K1254,$M1254)</f>
        <v/>
      </c>
      <c r="O1254" s="24" t="str">
        <f aca="false">IF($F1254="","",IFERROR(INDEX(Counterparties!$C:$C,MATCH($F1254&amp;"",Counterparties!$A:$A,0))&amp;"",""))</f>
        <v/>
      </c>
      <c r="P1254" s="24" t="str">
        <f aca="false">IF($O1254="","",IF($O1254="CY","CY",IF(ISNUMBER(MATCH($O1254,Lists!$A:$A,0)),"EU","3RD")))</f>
        <v/>
      </c>
      <c r="Q1254" s="24" t="str">
        <f aca="false">IF($F1254="","N",IFERROR(IF(INDEX(Counterparties!$E:$E,MATCH($F1254&amp;"",Counterparties!$A:$A,0))="Y","Y","N"),"N"))</f>
        <v>N</v>
      </c>
      <c r="R1254" s="25" t="n">
        <f aca="false">IF(OR($H1254="",$H1254="EUR"),1,IFERROR(INDEX(FX_Rates!$D:$D,MATCH($H1254,FX_Rates!$A:$A,0)),""))</f>
        <v>1</v>
      </c>
      <c r="S1254" s="26" t="str">
        <f aca="false">IF(AND($I1254="",$J1254=""),"",IF($J1254&lt;&gt;"",$J1254,IF(OR($R1254="",$R1254=0),"",ROUND($I1254/$R1254,2))))</f>
        <v/>
      </c>
      <c r="T1254" s="24" t="str">
        <f aca="false">IF($N1254="","",IFERROR(INDEX(VAT_Codes!$C:$C,MATCH($N1254,VAT_Codes!$A:$A,0)),"")&amp;"")</f>
        <v/>
      </c>
      <c r="U1254" s="26" t="n">
        <f aca="false">IF(OR($S1254="",$T1254="",$T1254="None"),0,IF($T1254="Output",-$S1254,$S1254))</f>
        <v>0</v>
      </c>
      <c r="V1254" s="27" t="n">
        <f aca="false">IF($N1254="",0,IFERROR(INDEX(VAT_Codes!$D:$D,MATCH($N1254,VAT_Codes!$A:$A,0)),0))</f>
        <v>0</v>
      </c>
      <c r="W1254" s="26" t="n">
        <f aca="false">IF($U1254=0,0,IF(IFERROR(INDEX(VAT_Codes!$F:$F,MATCH($N1254,VAT_Codes!$A:$A,0)),"N")="Y",$U1254,IF($L1254&lt;&gt;"",ROUND(ABS($L1254)/IF(OR($R1254="",$R1254=0),1,$R1254),2)*SIGN($U1254),ROUND($U1254*$V1254,2))))</f>
        <v>0</v>
      </c>
      <c r="X1254" s="24" t="str">
        <f aca="false">IF($N1254="","",IFERROR(INDEX(VAT_Codes!$H:$H,MATCH($N1254,VAT_Codes!$A:$A,0)),"")&amp;"")</f>
        <v/>
      </c>
      <c r="Y1254" s="24" t="str">
        <f aca="false">IF($A1254="","",(YEAR($A1254)-YEAR(Settings!$C$8))*12+MONTH($A1254)-MONTH(Settings!$C$8)+1)</f>
        <v/>
      </c>
      <c r="Z1254" s="24" t="str">
        <f aca="false">IF(AND($C1254="",$I1254="",$J1254=""),"",IF($N1254="","NO VAT CODE",IF($T1254="","UNKNOWN VAT CODE",IF($S1254="","MISSING FX RATE",IF(OR($A1254&lt;Settings!$C$8,$A1254&gt;Settings!$C$9),"OUTSIDE PERIOD",IF(AND(IFERROR(INDEX(VAT_Codes!$E:$E,MATCH($N1254,VAT_Codes!$A:$A,0)),"ANY")&lt;&gt;"ANY",$P1254=""),"MISSING COUNTERPARTY COUNTRY",IF(AND(IFERROR(INDEX(VAT_Codes!$E:$E,MATCH($N1254,VAT_Codes!$A:$A,0)),"ANY")&lt;&gt;"ANY",$P1254&lt;&gt;IFERROR(INDEX(VAT_Codes!$E:$E,MATCH($N1254,VAT_Codes!$A:$A,0)),"ANY")),"REGION MISMATCH","OK")))))))</f>
        <v/>
      </c>
    </row>
    <row r="1255" customFormat="false" ht="15" hidden="false" customHeight="false" outlineLevel="0" collapsed="false">
      <c r="M1255" s="24" t="str">
        <f aca="false">IF($C1255="","",IFERROR(INDEX(Account_Mapping!$C:$C,MATCH($C1255&amp;"",Account_Mapping!$A:$A,0))&amp;"",""))</f>
        <v/>
      </c>
      <c r="N1255" s="24" t="str">
        <f aca="false">IF($K1255&lt;&gt;"",$K1255,$M1255)</f>
        <v/>
      </c>
      <c r="O1255" s="24" t="str">
        <f aca="false">IF($F1255="","",IFERROR(INDEX(Counterparties!$C:$C,MATCH($F1255&amp;"",Counterparties!$A:$A,0))&amp;"",""))</f>
        <v/>
      </c>
      <c r="P1255" s="24" t="str">
        <f aca="false">IF($O1255="","",IF($O1255="CY","CY",IF(ISNUMBER(MATCH($O1255,Lists!$A:$A,0)),"EU","3RD")))</f>
        <v/>
      </c>
      <c r="Q1255" s="24" t="str">
        <f aca="false">IF($F1255="","N",IFERROR(IF(INDEX(Counterparties!$E:$E,MATCH($F1255&amp;"",Counterparties!$A:$A,0))="Y","Y","N"),"N"))</f>
        <v>N</v>
      </c>
      <c r="R1255" s="25" t="n">
        <f aca="false">IF(OR($H1255="",$H1255="EUR"),1,IFERROR(INDEX(FX_Rates!$D:$D,MATCH($H1255,FX_Rates!$A:$A,0)),""))</f>
        <v>1</v>
      </c>
      <c r="S1255" s="26" t="str">
        <f aca="false">IF(AND($I1255="",$J1255=""),"",IF($J1255&lt;&gt;"",$J1255,IF(OR($R1255="",$R1255=0),"",ROUND($I1255/$R1255,2))))</f>
        <v/>
      </c>
      <c r="T1255" s="24" t="str">
        <f aca="false">IF($N1255="","",IFERROR(INDEX(VAT_Codes!$C:$C,MATCH($N1255,VAT_Codes!$A:$A,0)),"")&amp;"")</f>
        <v/>
      </c>
      <c r="U1255" s="26" t="n">
        <f aca="false">IF(OR($S1255="",$T1255="",$T1255="None"),0,IF($T1255="Output",-$S1255,$S1255))</f>
        <v>0</v>
      </c>
      <c r="V1255" s="27" t="n">
        <f aca="false">IF($N1255="",0,IFERROR(INDEX(VAT_Codes!$D:$D,MATCH($N1255,VAT_Codes!$A:$A,0)),0))</f>
        <v>0</v>
      </c>
      <c r="W1255" s="26" t="n">
        <f aca="false">IF($U1255=0,0,IF(IFERROR(INDEX(VAT_Codes!$F:$F,MATCH($N1255,VAT_Codes!$A:$A,0)),"N")="Y",$U1255,IF($L1255&lt;&gt;"",ROUND(ABS($L1255)/IF(OR($R1255="",$R1255=0),1,$R1255),2)*SIGN($U1255),ROUND($U1255*$V1255,2))))</f>
        <v>0</v>
      </c>
      <c r="X1255" s="24" t="str">
        <f aca="false">IF($N1255="","",IFERROR(INDEX(VAT_Codes!$H:$H,MATCH($N1255,VAT_Codes!$A:$A,0)),"")&amp;"")</f>
        <v/>
      </c>
      <c r="Y1255" s="24" t="str">
        <f aca="false">IF($A1255="","",(YEAR($A1255)-YEAR(Settings!$C$8))*12+MONTH($A1255)-MONTH(Settings!$C$8)+1)</f>
        <v/>
      </c>
      <c r="Z1255" s="24" t="str">
        <f aca="false">IF(AND($C1255="",$I1255="",$J1255=""),"",IF($N1255="","NO VAT CODE",IF($T1255="","UNKNOWN VAT CODE",IF($S1255="","MISSING FX RATE",IF(OR($A1255&lt;Settings!$C$8,$A1255&gt;Settings!$C$9),"OUTSIDE PERIOD",IF(AND(IFERROR(INDEX(VAT_Codes!$E:$E,MATCH($N1255,VAT_Codes!$A:$A,0)),"ANY")&lt;&gt;"ANY",$P1255=""),"MISSING COUNTERPARTY COUNTRY",IF(AND(IFERROR(INDEX(VAT_Codes!$E:$E,MATCH($N1255,VAT_Codes!$A:$A,0)),"ANY")&lt;&gt;"ANY",$P1255&lt;&gt;IFERROR(INDEX(VAT_Codes!$E:$E,MATCH($N1255,VAT_Codes!$A:$A,0)),"ANY")),"REGION MISMATCH","OK")))))))</f>
        <v/>
      </c>
    </row>
    <row r="1256" customFormat="false" ht="15" hidden="false" customHeight="false" outlineLevel="0" collapsed="false">
      <c r="M1256" s="24" t="str">
        <f aca="false">IF($C1256="","",IFERROR(INDEX(Account_Mapping!$C:$C,MATCH($C1256&amp;"",Account_Mapping!$A:$A,0))&amp;"",""))</f>
        <v/>
      </c>
      <c r="N1256" s="24" t="str">
        <f aca="false">IF($K1256&lt;&gt;"",$K1256,$M1256)</f>
        <v/>
      </c>
      <c r="O1256" s="24" t="str">
        <f aca="false">IF($F1256="","",IFERROR(INDEX(Counterparties!$C:$C,MATCH($F1256&amp;"",Counterparties!$A:$A,0))&amp;"",""))</f>
        <v/>
      </c>
      <c r="P1256" s="24" t="str">
        <f aca="false">IF($O1256="","",IF($O1256="CY","CY",IF(ISNUMBER(MATCH($O1256,Lists!$A:$A,0)),"EU","3RD")))</f>
        <v/>
      </c>
      <c r="Q1256" s="24" t="str">
        <f aca="false">IF($F1256="","N",IFERROR(IF(INDEX(Counterparties!$E:$E,MATCH($F1256&amp;"",Counterparties!$A:$A,0))="Y","Y","N"),"N"))</f>
        <v>N</v>
      </c>
      <c r="R1256" s="25" t="n">
        <f aca="false">IF(OR($H1256="",$H1256="EUR"),1,IFERROR(INDEX(FX_Rates!$D:$D,MATCH($H1256,FX_Rates!$A:$A,0)),""))</f>
        <v>1</v>
      </c>
      <c r="S1256" s="26" t="str">
        <f aca="false">IF(AND($I1256="",$J1256=""),"",IF($J1256&lt;&gt;"",$J1256,IF(OR($R1256="",$R1256=0),"",ROUND($I1256/$R1256,2))))</f>
        <v/>
      </c>
      <c r="T1256" s="24" t="str">
        <f aca="false">IF($N1256="","",IFERROR(INDEX(VAT_Codes!$C:$C,MATCH($N1256,VAT_Codes!$A:$A,0)),"")&amp;"")</f>
        <v/>
      </c>
      <c r="U1256" s="26" t="n">
        <f aca="false">IF(OR($S1256="",$T1256="",$T1256="None"),0,IF($T1256="Output",-$S1256,$S1256))</f>
        <v>0</v>
      </c>
      <c r="V1256" s="27" t="n">
        <f aca="false">IF($N1256="",0,IFERROR(INDEX(VAT_Codes!$D:$D,MATCH($N1256,VAT_Codes!$A:$A,0)),0))</f>
        <v>0</v>
      </c>
      <c r="W1256" s="26" t="n">
        <f aca="false">IF($U1256=0,0,IF(IFERROR(INDEX(VAT_Codes!$F:$F,MATCH($N1256,VAT_Codes!$A:$A,0)),"N")="Y",$U1256,IF($L1256&lt;&gt;"",ROUND(ABS($L1256)/IF(OR($R1256="",$R1256=0),1,$R1256),2)*SIGN($U1256),ROUND($U1256*$V1256,2))))</f>
        <v>0</v>
      </c>
      <c r="X1256" s="24" t="str">
        <f aca="false">IF($N1256="","",IFERROR(INDEX(VAT_Codes!$H:$H,MATCH($N1256,VAT_Codes!$A:$A,0)),"")&amp;"")</f>
        <v/>
      </c>
      <c r="Y1256" s="24" t="str">
        <f aca="false">IF($A1256="","",(YEAR($A1256)-YEAR(Settings!$C$8))*12+MONTH($A1256)-MONTH(Settings!$C$8)+1)</f>
        <v/>
      </c>
      <c r="Z1256" s="24" t="str">
        <f aca="false">IF(AND($C1256="",$I1256="",$J1256=""),"",IF($N1256="","NO VAT CODE",IF($T1256="","UNKNOWN VAT CODE",IF($S1256="","MISSING FX RATE",IF(OR($A1256&lt;Settings!$C$8,$A1256&gt;Settings!$C$9),"OUTSIDE PERIOD",IF(AND(IFERROR(INDEX(VAT_Codes!$E:$E,MATCH($N1256,VAT_Codes!$A:$A,0)),"ANY")&lt;&gt;"ANY",$P1256=""),"MISSING COUNTERPARTY COUNTRY",IF(AND(IFERROR(INDEX(VAT_Codes!$E:$E,MATCH($N1256,VAT_Codes!$A:$A,0)),"ANY")&lt;&gt;"ANY",$P1256&lt;&gt;IFERROR(INDEX(VAT_Codes!$E:$E,MATCH($N1256,VAT_Codes!$A:$A,0)),"ANY")),"REGION MISMATCH","OK")))))))</f>
        <v/>
      </c>
    </row>
    <row r="1257" customFormat="false" ht="15" hidden="false" customHeight="false" outlineLevel="0" collapsed="false">
      <c r="M1257" s="24" t="str">
        <f aca="false">IF($C1257="","",IFERROR(INDEX(Account_Mapping!$C:$C,MATCH($C1257&amp;"",Account_Mapping!$A:$A,0))&amp;"",""))</f>
        <v/>
      </c>
      <c r="N1257" s="24" t="str">
        <f aca="false">IF($K1257&lt;&gt;"",$K1257,$M1257)</f>
        <v/>
      </c>
      <c r="O1257" s="24" t="str">
        <f aca="false">IF($F1257="","",IFERROR(INDEX(Counterparties!$C:$C,MATCH($F1257&amp;"",Counterparties!$A:$A,0))&amp;"",""))</f>
        <v/>
      </c>
      <c r="P1257" s="24" t="str">
        <f aca="false">IF($O1257="","",IF($O1257="CY","CY",IF(ISNUMBER(MATCH($O1257,Lists!$A:$A,0)),"EU","3RD")))</f>
        <v/>
      </c>
      <c r="Q1257" s="24" t="str">
        <f aca="false">IF($F1257="","N",IFERROR(IF(INDEX(Counterparties!$E:$E,MATCH($F1257&amp;"",Counterparties!$A:$A,0))="Y","Y","N"),"N"))</f>
        <v>N</v>
      </c>
      <c r="R1257" s="25" t="n">
        <f aca="false">IF(OR($H1257="",$H1257="EUR"),1,IFERROR(INDEX(FX_Rates!$D:$D,MATCH($H1257,FX_Rates!$A:$A,0)),""))</f>
        <v>1</v>
      </c>
      <c r="S1257" s="26" t="str">
        <f aca="false">IF(AND($I1257="",$J1257=""),"",IF($J1257&lt;&gt;"",$J1257,IF(OR($R1257="",$R1257=0),"",ROUND($I1257/$R1257,2))))</f>
        <v/>
      </c>
      <c r="T1257" s="24" t="str">
        <f aca="false">IF($N1257="","",IFERROR(INDEX(VAT_Codes!$C:$C,MATCH($N1257,VAT_Codes!$A:$A,0)),"")&amp;"")</f>
        <v/>
      </c>
      <c r="U1257" s="26" t="n">
        <f aca="false">IF(OR($S1257="",$T1257="",$T1257="None"),0,IF($T1257="Output",-$S1257,$S1257))</f>
        <v>0</v>
      </c>
      <c r="V1257" s="27" t="n">
        <f aca="false">IF($N1257="",0,IFERROR(INDEX(VAT_Codes!$D:$D,MATCH($N1257,VAT_Codes!$A:$A,0)),0))</f>
        <v>0</v>
      </c>
      <c r="W1257" s="26" t="n">
        <f aca="false">IF($U1257=0,0,IF(IFERROR(INDEX(VAT_Codes!$F:$F,MATCH($N1257,VAT_Codes!$A:$A,0)),"N")="Y",$U1257,IF($L1257&lt;&gt;"",ROUND(ABS($L1257)/IF(OR($R1257="",$R1257=0),1,$R1257),2)*SIGN($U1257),ROUND($U1257*$V1257,2))))</f>
        <v>0</v>
      </c>
      <c r="X1257" s="24" t="str">
        <f aca="false">IF($N1257="","",IFERROR(INDEX(VAT_Codes!$H:$H,MATCH($N1257,VAT_Codes!$A:$A,0)),"")&amp;"")</f>
        <v/>
      </c>
      <c r="Y1257" s="24" t="str">
        <f aca="false">IF($A1257="","",(YEAR($A1257)-YEAR(Settings!$C$8))*12+MONTH($A1257)-MONTH(Settings!$C$8)+1)</f>
        <v/>
      </c>
      <c r="Z1257" s="24" t="str">
        <f aca="false">IF(AND($C1257="",$I1257="",$J1257=""),"",IF($N1257="","NO VAT CODE",IF($T1257="","UNKNOWN VAT CODE",IF($S1257="","MISSING FX RATE",IF(OR($A1257&lt;Settings!$C$8,$A1257&gt;Settings!$C$9),"OUTSIDE PERIOD",IF(AND(IFERROR(INDEX(VAT_Codes!$E:$E,MATCH($N1257,VAT_Codes!$A:$A,0)),"ANY")&lt;&gt;"ANY",$P1257=""),"MISSING COUNTERPARTY COUNTRY",IF(AND(IFERROR(INDEX(VAT_Codes!$E:$E,MATCH($N1257,VAT_Codes!$A:$A,0)),"ANY")&lt;&gt;"ANY",$P1257&lt;&gt;IFERROR(INDEX(VAT_Codes!$E:$E,MATCH($N1257,VAT_Codes!$A:$A,0)),"ANY")),"REGION MISMATCH","OK")))))))</f>
        <v/>
      </c>
    </row>
    <row r="1258" customFormat="false" ht="15" hidden="false" customHeight="false" outlineLevel="0" collapsed="false">
      <c r="M1258" s="24" t="str">
        <f aca="false">IF($C1258="","",IFERROR(INDEX(Account_Mapping!$C:$C,MATCH($C1258&amp;"",Account_Mapping!$A:$A,0))&amp;"",""))</f>
        <v/>
      </c>
      <c r="N1258" s="24" t="str">
        <f aca="false">IF($K1258&lt;&gt;"",$K1258,$M1258)</f>
        <v/>
      </c>
      <c r="O1258" s="24" t="str">
        <f aca="false">IF($F1258="","",IFERROR(INDEX(Counterparties!$C:$C,MATCH($F1258&amp;"",Counterparties!$A:$A,0))&amp;"",""))</f>
        <v/>
      </c>
      <c r="P1258" s="24" t="str">
        <f aca="false">IF($O1258="","",IF($O1258="CY","CY",IF(ISNUMBER(MATCH($O1258,Lists!$A:$A,0)),"EU","3RD")))</f>
        <v/>
      </c>
      <c r="Q1258" s="24" t="str">
        <f aca="false">IF($F1258="","N",IFERROR(IF(INDEX(Counterparties!$E:$E,MATCH($F1258&amp;"",Counterparties!$A:$A,0))="Y","Y","N"),"N"))</f>
        <v>N</v>
      </c>
      <c r="R1258" s="25" t="n">
        <f aca="false">IF(OR($H1258="",$H1258="EUR"),1,IFERROR(INDEX(FX_Rates!$D:$D,MATCH($H1258,FX_Rates!$A:$A,0)),""))</f>
        <v>1</v>
      </c>
      <c r="S1258" s="26" t="str">
        <f aca="false">IF(AND($I1258="",$J1258=""),"",IF($J1258&lt;&gt;"",$J1258,IF(OR($R1258="",$R1258=0),"",ROUND($I1258/$R1258,2))))</f>
        <v/>
      </c>
      <c r="T1258" s="24" t="str">
        <f aca="false">IF($N1258="","",IFERROR(INDEX(VAT_Codes!$C:$C,MATCH($N1258,VAT_Codes!$A:$A,0)),"")&amp;"")</f>
        <v/>
      </c>
      <c r="U1258" s="26" t="n">
        <f aca="false">IF(OR($S1258="",$T1258="",$T1258="None"),0,IF($T1258="Output",-$S1258,$S1258))</f>
        <v>0</v>
      </c>
      <c r="V1258" s="27" t="n">
        <f aca="false">IF($N1258="",0,IFERROR(INDEX(VAT_Codes!$D:$D,MATCH($N1258,VAT_Codes!$A:$A,0)),0))</f>
        <v>0</v>
      </c>
      <c r="W1258" s="26" t="n">
        <f aca="false">IF($U1258=0,0,IF(IFERROR(INDEX(VAT_Codes!$F:$F,MATCH($N1258,VAT_Codes!$A:$A,0)),"N")="Y",$U1258,IF($L1258&lt;&gt;"",ROUND(ABS($L1258)/IF(OR($R1258="",$R1258=0),1,$R1258),2)*SIGN($U1258),ROUND($U1258*$V1258,2))))</f>
        <v>0</v>
      </c>
      <c r="X1258" s="24" t="str">
        <f aca="false">IF($N1258="","",IFERROR(INDEX(VAT_Codes!$H:$H,MATCH($N1258,VAT_Codes!$A:$A,0)),"")&amp;"")</f>
        <v/>
      </c>
      <c r="Y1258" s="24" t="str">
        <f aca="false">IF($A1258="","",(YEAR($A1258)-YEAR(Settings!$C$8))*12+MONTH($A1258)-MONTH(Settings!$C$8)+1)</f>
        <v/>
      </c>
      <c r="Z1258" s="24" t="str">
        <f aca="false">IF(AND($C1258="",$I1258="",$J1258=""),"",IF($N1258="","NO VAT CODE",IF($T1258="","UNKNOWN VAT CODE",IF($S1258="","MISSING FX RATE",IF(OR($A1258&lt;Settings!$C$8,$A1258&gt;Settings!$C$9),"OUTSIDE PERIOD",IF(AND(IFERROR(INDEX(VAT_Codes!$E:$E,MATCH($N1258,VAT_Codes!$A:$A,0)),"ANY")&lt;&gt;"ANY",$P1258=""),"MISSING COUNTERPARTY COUNTRY",IF(AND(IFERROR(INDEX(VAT_Codes!$E:$E,MATCH($N1258,VAT_Codes!$A:$A,0)),"ANY")&lt;&gt;"ANY",$P1258&lt;&gt;IFERROR(INDEX(VAT_Codes!$E:$E,MATCH($N1258,VAT_Codes!$A:$A,0)),"ANY")),"REGION MISMATCH","OK")))))))</f>
        <v/>
      </c>
    </row>
    <row r="1259" customFormat="false" ht="15" hidden="false" customHeight="false" outlineLevel="0" collapsed="false">
      <c r="M1259" s="24" t="str">
        <f aca="false">IF($C1259="","",IFERROR(INDEX(Account_Mapping!$C:$C,MATCH($C1259&amp;"",Account_Mapping!$A:$A,0))&amp;"",""))</f>
        <v/>
      </c>
      <c r="N1259" s="24" t="str">
        <f aca="false">IF($K1259&lt;&gt;"",$K1259,$M1259)</f>
        <v/>
      </c>
      <c r="O1259" s="24" t="str">
        <f aca="false">IF($F1259="","",IFERROR(INDEX(Counterparties!$C:$C,MATCH($F1259&amp;"",Counterparties!$A:$A,0))&amp;"",""))</f>
        <v/>
      </c>
      <c r="P1259" s="24" t="str">
        <f aca="false">IF($O1259="","",IF($O1259="CY","CY",IF(ISNUMBER(MATCH($O1259,Lists!$A:$A,0)),"EU","3RD")))</f>
        <v/>
      </c>
      <c r="Q1259" s="24" t="str">
        <f aca="false">IF($F1259="","N",IFERROR(IF(INDEX(Counterparties!$E:$E,MATCH($F1259&amp;"",Counterparties!$A:$A,0))="Y","Y","N"),"N"))</f>
        <v>N</v>
      </c>
      <c r="R1259" s="25" t="n">
        <f aca="false">IF(OR($H1259="",$H1259="EUR"),1,IFERROR(INDEX(FX_Rates!$D:$D,MATCH($H1259,FX_Rates!$A:$A,0)),""))</f>
        <v>1</v>
      </c>
      <c r="S1259" s="26" t="str">
        <f aca="false">IF(AND($I1259="",$J1259=""),"",IF($J1259&lt;&gt;"",$J1259,IF(OR($R1259="",$R1259=0),"",ROUND($I1259/$R1259,2))))</f>
        <v/>
      </c>
      <c r="T1259" s="24" t="str">
        <f aca="false">IF($N1259="","",IFERROR(INDEX(VAT_Codes!$C:$C,MATCH($N1259,VAT_Codes!$A:$A,0)),"")&amp;"")</f>
        <v/>
      </c>
      <c r="U1259" s="26" t="n">
        <f aca="false">IF(OR($S1259="",$T1259="",$T1259="None"),0,IF($T1259="Output",-$S1259,$S1259))</f>
        <v>0</v>
      </c>
      <c r="V1259" s="27" t="n">
        <f aca="false">IF($N1259="",0,IFERROR(INDEX(VAT_Codes!$D:$D,MATCH($N1259,VAT_Codes!$A:$A,0)),0))</f>
        <v>0</v>
      </c>
      <c r="W1259" s="26" t="n">
        <f aca="false">IF($U1259=0,0,IF(IFERROR(INDEX(VAT_Codes!$F:$F,MATCH($N1259,VAT_Codes!$A:$A,0)),"N")="Y",$U1259,IF($L1259&lt;&gt;"",ROUND(ABS($L1259)/IF(OR($R1259="",$R1259=0),1,$R1259),2)*SIGN($U1259),ROUND($U1259*$V1259,2))))</f>
        <v>0</v>
      </c>
      <c r="X1259" s="24" t="str">
        <f aca="false">IF($N1259="","",IFERROR(INDEX(VAT_Codes!$H:$H,MATCH($N1259,VAT_Codes!$A:$A,0)),"")&amp;"")</f>
        <v/>
      </c>
      <c r="Y1259" s="24" t="str">
        <f aca="false">IF($A1259="","",(YEAR($A1259)-YEAR(Settings!$C$8))*12+MONTH($A1259)-MONTH(Settings!$C$8)+1)</f>
        <v/>
      </c>
      <c r="Z1259" s="24" t="str">
        <f aca="false">IF(AND($C1259="",$I1259="",$J1259=""),"",IF($N1259="","NO VAT CODE",IF($T1259="","UNKNOWN VAT CODE",IF($S1259="","MISSING FX RATE",IF(OR($A1259&lt;Settings!$C$8,$A1259&gt;Settings!$C$9),"OUTSIDE PERIOD",IF(AND(IFERROR(INDEX(VAT_Codes!$E:$E,MATCH($N1259,VAT_Codes!$A:$A,0)),"ANY")&lt;&gt;"ANY",$P1259=""),"MISSING COUNTERPARTY COUNTRY",IF(AND(IFERROR(INDEX(VAT_Codes!$E:$E,MATCH($N1259,VAT_Codes!$A:$A,0)),"ANY")&lt;&gt;"ANY",$P1259&lt;&gt;IFERROR(INDEX(VAT_Codes!$E:$E,MATCH($N1259,VAT_Codes!$A:$A,0)),"ANY")),"REGION MISMATCH","OK")))))))</f>
        <v/>
      </c>
    </row>
    <row r="1260" customFormat="false" ht="15" hidden="false" customHeight="false" outlineLevel="0" collapsed="false">
      <c r="M1260" s="24" t="str">
        <f aca="false">IF($C1260="","",IFERROR(INDEX(Account_Mapping!$C:$C,MATCH($C1260&amp;"",Account_Mapping!$A:$A,0))&amp;"",""))</f>
        <v/>
      </c>
      <c r="N1260" s="24" t="str">
        <f aca="false">IF($K1260&lt;&gt;"",$K1260,$M1260)</f>
        <v/>
      </c>
      <c r="O1260" s="24" t="str">
        <f aca="false">IF($F1260="","",IFERROR(INDEX(Counterparties!$C:$C,MATCH($F1260&amp;"",Counterparties!$A:$A,0))&amp;"",""))</f>
        <v/>
      </c>
      <c r="P1260" s="24" t="str">
        <f aca="false">IF($O1260="","",IF($O1260="CY","CY",IF(ISNUMBER(MATCH($O1260,Lists!$A:$A,0)),"EU","3RD")))</f>
        <v/>
      </c>
      <c r="Q1260" s="24" t="str">
        <f aca="false">IF($F1260="","N",IFERROR(IF(INDEX(Counterparties!$E:$E,MATCH($F1260&amp;"",Counterparties!$A:$A,0))="Y","Y","N"),"N"))</f>
        <v>N</v>
      </c>
      <c r="R1260" s="25" t="n">
        <f aca="false">IF(OR($H1260="",$H1260="EUR"),1,IFERROR(INDEX(FX_Rates!$D:$D,MATCH($H1260,FX_Rates!$A:$A,0)),""))</f>
        <v>1</v>
      </c>
      <c r="S1260" s="26" t="str">
        <f aca="false">IF(AND($I1260="",$J1260=""),"",IF($J1260&lt;&gt;"",$J1260,IF(OR($R1260="",$R1260=0),"",ROUND($I1260/$R1260,2))))</f>
        <v/>
      </c>
      <c r="T1260" s="24" t="str">
        <f aca="false">IF($N1260="","",IFERROR(INDEX(VAT_Codes!$C:$C,MATCH($N1260,VAT_Codes!$A:$A,0)),"")&amp;"")</f>
        <v/>
      </c>
      <c r="U1260" s="26" t="n">
        <f aca="false">IF(OR($S1260="",$T1260="",$T1260="None"),0,IF($T1260="Output",-$S1260,$S1260))</f>
        <v>0</v>
      </c>
      <c r="V1260" s="27" t="n">
        <f aca="false">IF($N1260="",0,IFERROR(INDEX(VAT_Codes!$D:$D,MATCH($N1260,VAT_Codes!$A:$A,0)),0))</f>
        <v>0</v>
      </c>
      <c r="W1260" s="26" t="n">
        <f aca="false">IF($U1260=0,0,IF(IFERROR(INDEX(VAT_Codes!$F:$F,MATCH($N1260,VAT_Codes!$A:$A,0)),"N")="Y",$U1260,IF($L1260&lt;&gt;"",ROUND(ABS($L1260)/IF(OR($R1260="",$R1260=0),1,$R1260),2)*SIGN($U1260),ROUND($U1260*$V1260,2))))</f>
        <v>0</v>
      </c>
      <c r="X1260" s="24" t="str">
        <f aca="false">IF($N1260="","",IFERROR(INDEX(VAT_Codes!$H:$H,MATCH($N1260,VAT_Codes!$A:$A,0)),"")&amp;"")</f>
        <v/>
      </c>
      <c r="Y1260" s="24" t="str">
        <f aca="false">IF($A1260="","",(YEAR($A1260)-YEAR(Settings!$C$8))*12+MONTH($A1260)-MONTH(Settings!$C$8)+1)</f>
        <v/>
      </c>
      <c r="Z1260" s="24" t="str">
        <f aca="false">IF(AND($C1260="",$I1260="",$J1260=""),"",IF($N1260="","NO VAT CODE",IF($T1260="","UNKNOWN VAT CODE",IF($S1260="","MISSING FX RATE",IF(OR($A1260&lt;Settings!$C$8,$A1260&gt;Settings!$C$9),"OUTSIDE PERIOD",IF(AND(IFERROR(INDEX(VAT_Codes!$E:$E,MATCH($N1260,VAT_Codes!$A:$A,0)),"ANY")&lt;&gt;"ANY",$P1260=""),"MISSING COUNTERPARTY COUNTRY",IF(AND(IFERROR(INDEX(VAT_Codes!$E:$E,MATCH($N1260,VAT_Codes!$A:$A,0)),"ANY")&lt;&gt;"ANY",$P1260&lt;&gt;IFERROR(INDEX(VAT_Codes!$E:$E,MATCH($N1260,VAT_Codes!$A:$A,0)),"ANY")),"REGION MISMATCH","OK")))))))</f>
        <v/>
      </c>
    </row>
    <row r="1261" customFormat="false" ht="15" hidden="false" customHeight="false" outlineLevel="0" collapsed="false">
      <c r="M1261" s="24" t="str">
        <f aca="false">IF($C1261="","",IFERROR(INDEX(Account_Mapping!$C:$C,MATCH($C1261&amp;"",Account_Mapping!$A:$A,0))&amp;"",""))</f>
        <v/>
      </c>
      <c r="N1261" s="24" t="str">
        <f aca="false">IF($K1261&lt;&gt;"",$K1261,$M1261)</f>
        <v/>
      </c>
      <c r="O1261" s="24" t="str">
        <f aca="false">IF($F1261="","",IFERROR(INDEX(Counterparties!$C:$C,MATCH($F1261&amp;"",Counterparties!$A:$A,0))&amp;"",""))</f>
        <v/>
      </c>
      <c r="P1261" s="24" t="str">
        <f aca="false">IF($O1261="","",IF($O1261="CY","CY",IF(ISNUMBER(MATCH($O1261,Lists!$A:$A,0)),"EU","3RD")))</f>
        <v/>
      </c>
      <c r="Q1261" s="24" t="str">
        <f aca="false">IF($F1261="","N",IFERROR(IF(INDEX(Counterparties!$E:$E,MATCH($F1261&amp;"",Counterparties!$A:$A,0))="Y","Y","N"),"N"))</f>
        <v>N</v>
      </c>
      <c r="R1261" s="25" t="n">
        <f aca="false">IF(OR($H1261="",$H1261="EUR"),1,IFERROR(INDEX(FX_Rates!$D:$D,MATCH($H1261,FX_Rates!$A:$A,0)),""))</f>
        <v>1</v>
      </c>
      <c r="S1261" s="26" t="str">
        <f aca="false">IF(AND($I1261="",$J1261=""),"",IF($J1261&lt;&gt;"",$J1261,IF(OR($R1261="",$R1261=0),"",ROUND($I1261/$R1261,2))))</f>
        <v/>
      </c>
      <c r="T1261" s="24" t="str">
        <f aca="false">IF($N1261="","",IFERROR(INDEX(VAT_Codes!$C:$C,MATCH($N1261,VAT_Codes!$A:$A,0)),"")&amp;"")</f>
        <v/>
      </c>
      <c r="U1261" s="26" t="n">
        <f aca="false">IF(OR($S1261="",$T1261="",$T1261="None"),0,IF($T1261="Output",-$S1261,$S1261))</f>
        <v>0</v>
      </c>
      <c r="V1261" s="27" t="n">
        <f aca="false">IF($N1261="",0,IFERROR(INDEX(VAT_Codes!$D:$D,MATCH($N1261,VAT_Codes!$A:$A,0)),0))</f>
        <v>0</v>
      </c>
      <c r="W1261" s="26" t="n">
        <f aca="false">IF($U1261=0,0,IF(IFERROR(INDEX(VAT_Codes!$F:$F,MATCH($N1261,VAT_Codes!$A:$A,0)),"N")="Y",$U1261,IF($L1261&lt;&gt;"",ROUND(ABS($L1261)/IF(OR($R1261="",$R1261=0),1,$R1261),2)*SIGN($U1261),ROUND($U1261*$V1261,2))))</f>
        <v>0</v>
      </c>
      <c r="X1261" s="24" t="str">
        <f aca="false">IF($N1261="","",IFERROR(INDEX(VAT_Codes!$H:$H,MATCH($N1261,VAT_Codes!$A:$A,0)),"")&amp;"")</f>
        <v/>
      </c>
      <c r="Y1261" s="24" t="str">
        <f aca="false">IF($A1261="","",(YEAR($A1261)-YEAR(Settings!$C$8))*12+MONTH($A1261)-MONTH(Settings!$C$8)+1)</f>
        <v/>
      </c>
      <c r="Z1261" s="24" t="str">
        <f aca="false">IF(AND($C1261="",$I1261="",$J1261=""),"",IF($N1261="","NO VAT CODE",IF($T1261="","UNKNOWN VAT CODE",IF($S1261="","MISSING FX RATE",IF(OR($A1261&lt;Settings!$C$8,$A1261&gt;Settings!$C$9),"OUTSIDE PERIOD",IF(AND(IFERROR(INDEX(VAT_Codes!$E:$E,MATCH($N1261,VAT_Codes!$A:$A,0)),"ANY")&lt;&gt;"ANY",$P1261=""),"MISSING COUNTERPARTY COUNTRY",IF(AND(IFERROR(INDEX(VAT_Codes!$E:$E,MATCH($N1261,VAT_Codes!$A:$A,0)),"ANY")&lt;&gt;"ANY",$P1261&lt;&gt;IFERROR(INDEX(VAT_Codes!$E:$E,MATCH($N1261,VAT_Codes!$A:$A,0)),"ANY")),"REGION MISMATCH","OK")))))))</f>
        <v/>
      </c>
    </row>
    <row r="1262" customFormat="false" ht="15" hidden="false" customHeight="false" outlineLevel="0" collapsed="false">
      <c r="M1262" s="24" t="str">
        <f aca="false">IF($C1262="","",IFERROR(INDEX(Account_Mapping!$C:$C,MATCH($C1262&amp;"",Account_Mapping!$A:$A,0))&amp;"",""))</f>
        <v/>
      </c>
      <c r="N1262" s="24" t="str">
        <f aca="false">IF($K1262&lt;&gt;"",$K1262,$M1262)</f>
        <v/>
      </c>
      <c r="O1262" s="24" t="str">
        <f aca="false">IF($F1262="","",IFERROR(INDEX(Counterparties!$C:$C,MATCH($F1262&amp;"",Counterparties!$A:$A,0))&amp;"",""))</f>
        <v/>
      </c>
      <c r="P1262" s="24" t="str">
        <f aca="false">IF($O1262="","",IF($O1262="CY","CY",IF(ISNUMBER(MATCH($O1262,Lists!$A:$A,0)),"EU","3RD")))</f>
        <v/>
      </c>
      <c r="Q1262" s="24" t="str">
        <f aca="false">IF($F1262="","N",IFERROR(IF(INDEX(Counterparties!$E:$E,MATCH($F1262&amp;"",Counterparties!$A:$A,0))="Y","Y","N"),"N"))</f>
        <v>N</v>
      </c>
      <c r="R1262" s="25" t="n">
        <f aca="false">IF(OR($H1262="",$H1262="EUR"),1,IFERROR(INDEX(FX_Rates!$D:$D,MATCH($H1262,FX_Rates!$A:$A,0)),""))</f>
        <v>1</v>
      </c>
      <c r="S1262" s="26" t="str">
        <f aca="false">IF(AND($I1262="",$J1262=""),"",IF($J1262&lt;&gt;"",$J1262,IF(OR($R1262="",$R1262=0),"",ROUND($I1262/$R1262,2))))</f>
        <v/>
      </c>
      <c r="T1262" s="24" t="str">
        <f aca="false">IF($N1262="","",IFERROR(INDEX(VAT_Codes!$C:$C,MATCH($N1262,VAT_Codes!$A:$A,0)),"")&amp;"")</f>
        <v/>
      </c>
      <c r="U1262" s="26" t="n">
        <f aca="false">IF(OR($S1262="",$T1262="",$T1262="None"),0,IF($T1262="Output",-$S1262,$S1262))</f>
        <v>0</v>
      </c>
      <c r="V1262" s="27" t="n">
        <f aca="false">IF($N1262="",0,IFERROR(INDEX(VAT_Codes!$D:$D,MATCH($N1262,VAT_Codes!$A:$A,0)),0))</f>
        <v>0</v>
      </c>
      <c r="W1262" s="26" t="n">
        <f aca="false">IF($U1262=0,0,IF(IFERROR(INDEX(VAT_Codes!$F:$F,MATCH($N1262,VAT_Codes!$A:$A,0)),"N")="Y",$U1262,IF($L1262&lt;&gt;"",ROUND(ABS($L1262)/IF(OR($R1262="",$R1262=0),1,$R1262),2)*SIGN($U1262),ROUND($U1262*$V1262,2))))</f>
        <v>0</v>
      </c>
      <c r="X1262" s="24" t="str">
        <f aca="false">IF($N1262="","",IFERROR(INDEX(VAT_Codes!$H:$H,MATCH($N1262,VAT_Codes!$A:$A,0)),"")&amp;"")</f>
        <v/>
      </c>
      <c r="Y1262" s="24" t="str">
        <f aca="false">IF($A1262="","",(YEAR($A1262)-YEAR(Settings!$C$8))*12+MONTH($A1262)-MONTH(Settings!$C$8)+1)</f>
        <v/>
      </c>
      <c r="Z1262" s="24" t="str">
        <f aca="false">IF(AND($C1262="",$I1262="",$J1262=""),"",IF($N1262="","NO VAT CODE",IF($T1262="","UNKNOWN VAT CODE",IF($S1262="","MISSING FX RATE",IF(OR($A1262&lt;Settings!$C$8,$A1262&gt;Settings!$C$9),"OUTSIDE PERIOD",IF(AND(IFERROR(INDEX(VAT_Codes!$E:$E,MATCH($N1262,VAT_Codes!$A:$A,0)),"ANY")&lt;&gt;"ANY",$P1262=""),"MISSING COUNTERPARTY COUNTRY",IF(AND(IFERROR(INDEX(VAT_Codes!$E:$E,MATCH($N1262,VAT_Codes!$A:$A,0)),"ANY")&lt;&gt;"ANY",$P1262&lt;&gt;IFERROR(INDEX(VAT_Codes!$E:$E,MATCH($N1262,VAT_Codes!$A:$A,0)),"ANY")),"REGION MISMATCH","OK")))))))</f>
        <v/>
      </c>
    </row>
    <row r="1263" customFormat="false" ht="15" hidden="false" customHeight="false" outlineLevel="0" collapsed="false">
      <c r="M1263" s="24" t="str">
        <f aca="false">IF($C1263="","",IFERROR(INDEX(Account_Mapping!$C:$C,MATCH($C1263&amp;"",Account_Mapping!$A:$A,0))&amp;"",""))</f>
        <v/>
      </c>
      <c r="N1263" s="24" t="str">
        <f aca="false">IF($K1263&lt;&gt;"",$K1263,$M1263)</f>
        <v/>
      </c>
      <c r="O1263" s="24" t="str">
        <f aca="false">IF($F1263="","",IFERROR(INDEX(Counterparties!$C:$C,MATCH($F1263&amp;"",Counterparties!$A:$A,0))&amp;"",""))</f>
        <v/>
      </c>
      <c r="P1263" s="24" t="str">
        <f aca="false">IF($O1263="","",IF($O1263="CY","CY",IF(ISNUMBER(MATCH($O1263,Lists!$A:$A,0)),"EU","3RD")))</f>
        <v/>
      </c>
      <c r="Q1263" s="24" t="str">
        <f aca="false">IF($F1263="","N",IFERROR(IF(INDEX(Counterparties!$E:$E,MATCH($F1263&amp;"",Counterparties!$A:$A,0))="Y","Y","N"),"N"))</f>
        <v>N</v>
      </c>
      <c r="R1263" s="25" t="n">
        <f aca="false">IF(OR($H1263="",$H1263="EUR"),1,IFERROR(INDEX(FX_Rates!$D:$D,MATCH($H1263,FX_Rates!$A:$A,0)),""))</f>
        <v>1</v>
      </c>
      <c r="S1263" s="26" t="str">
        <f aca="false">IF(AND($I1263="",$J1263=""),"",IF($J1263&lt;&gt;"",$J1263,IF(OR($R1263="",$R1263=0),"",ROUND($I1263/$R1263,2))))</f>
        <v/>
      </c>
      <c r="T1263" s="24" t="str">
        <f aca="false">IF($N1263="","",IFERROR(INDEX(VAT_Codes!$C:$C,MATCH($N1263,VAT_Codes!$A:$A,0)),"")&amp;"")</f>
        <v/>
      </c>
      <c r="U1263" s="26" t="n">
        <f aca="false">IF(OR($S1263="",$T1263="",$T1263="None"),0,IF($T1263="Output",-$S1263,$S1263))</f>
        <v>0</v>
      </c>
      <c r="V1263" s="27" t="n">
        <f aca="false">IF($N1263="",0,IFERROR(INDEX(VAT_Codes!$D:$D,MATCH($N1263,VAT_Codes!$A:$A,0)),0))</f>
        <v>0</v>
      </c>
      <c r="W1263" s="26" t="n">
        <f aca="false">IF($U1263=0,0,IF(IFERROR(INDEX(VAT_Codes!$F:$F,MATCH($N1263,VAT_Codes!$A:$A,0)),"N")="Y",$U1263,IF($L1263&lt;&gt;"",ROUND(ABS($L1263)/IF(OR($R1263="",$R1263=0),1,$R1263),2)*SIGN($U1263),ROUND($U1263*$V1263,2))))</f>
        <v>0</v>
      </c>
      <c r="X1263" s="24" t="str">
        <f aca="false">IF($N1263="","",IFERROR(INDEX(VAT_Codes!$H:$H,MATCH($N1263,VAT_Codes!$A:$A,0)),"")&amp;"")</f>
        <v/>
      </c>
      <c r="Y1263" s="24" t="str">
        <f aca="false">IF($A1263="","",(YEAR($A1263)-YEAR(Settings!$C$8))*12+MONTH($A1263)-MONTH(Settings!$C$8)+1)</f>
        <v/>
      </c>
      <c r="Z1263" s="24" t="str">
        <f aca="false">IF(AND($C1263="",$I1263="",$J1263=""),"",IF($N1263="","NO VAT CODE",IF($T1263="","UNKNOWN VAT CODE",IF($S1263="","MISSING FX RATE",IF(OR($A1263&lt;Settings!$C$8,$A1263&gt;Settings!$C$9),"OUTSIDE PERIOD",IF(AND(IFERROR(INDEX(VAT_Codes!$E:$E,MATCH($N1263,VAT_Codes!$A:$A,0)),"ANY")&lt;&gt;"ANY",$P1263=""),"MISSING COUNTERPARTY COUNTRY",IF(AND(IFERROR(INDEX(VAT_Codes!$E:$E,MATCH($N1263,VAT_Codes!$A:$A,0)),"ANY")&lt;&gt;"ANY",$P1263&lt;&gt;IFERROR(INDEX(VAT_Codes!$E:$E,MATCH($N1263,VAT_Codes!$A:$A,0)),"ANY")),"REGION MISMATCH","OK")))))))</f>
        <v/>
      </c>
    </row>
    <row r="1264" customFormat="false" ht="15" hidden="false" customHeight="false" outlineLevel="0" collapsed="false">
      <c r="M1264" s="24" t="str">
        <f aca="false">IF($C1264="","",IFERROR(INDEX(Account_Mapping!$C:$C,MATCH($C1264&amp;"",Account_Mapping!$A:$A,0))&amp;"",""))</f>
        <v/>
      </c>
      <c r="N1264" s="24" t="str">
        <f aca="false">IF($K1264&lt;&gt;"",$K1264,$M1264)</f>
        <v/>
      </c>
      <c r="O1264" s="24" t="str">
        <f aca="false">IF($F1264="","",IFERROR(INDEX(Counterparties!$C:$C,MATCH($F1264&amp;"",Counterparties!$A:$A,0))&amp;"",""))</f>
        <v/>
      </c>
      <c r="P1264" s="24" t="str">
        <f aca="false">IF($O1264="","",IF($O1264="CY","CY",IF(ISNUMBER(MATCH($O1264,Lists!$A:$A,0)),"EU","3RD")))</f>
        <v/>
      </c>
      <c r="Q1264" s="24" t="str">
        <f aca="false">IF($F1264="","N",IFERROR(IF(INDEX(Counterparties!$E:$E,MATCH($F1264&amp;"",Counterparties!$A:$A,0))="Y","Y","N"),"N"))</f>
        <v>N</v>
      </c>
      <c r="R1264" s="25" t="n">
        <f aca="false">IF(OR($H1264="",$H1264="EUR"),1,IFERROR(INDEX(FX_Rates!$D:$D,MATCH($H1264,FX_Rates!$A:$A,0)),""))</f>
        <v>1</v>
      </c>
      <c r="S1264" s="26" t="str">
        <f aca="false">IF(AND($I1264="",$J1264=""),"",IF($J1264&lt;&gt;"",$J1264,IF(OR($R1264="",$R1264=0),"",ROUND($I1264/$R1264,2))))</f>
        <v/>
      </c>
      <c r="T1264" s="24" t="str">
        <f aca="false">IF($N1264="","",IFERROR(INDEX(VAT_Codes!$C:$C,MATCH($N1264,VAT_Codes!$A:$A,0)),"")&amp;"")</f>
        <v/>
      </c>
      <c r="U1264" s="26" t="n">
        <f aca="false">IF(OR($S1264="",$T1264="",$T1264="None"),0,IF($T1264="Output",-$S1264,$S1264))</f>
        <v>0</v>
      </c>
      <c r="V1264" s="27" t="n">
        <f aca="false">IF($N1264="",0,IFERROR(INDEX(VAT_Codes!$D:$D,MATCH($N1264,VAT_Codes!$A:$A,0)),0))</f>
        <v>0</v>
      </c>
      <c r="W1264" s="26" t="n">
        <f aca="false">IF($U1264=0,0,IF(IFERROR(INDEX(VAT_Codes!$F:$F,MATCH($N1264,VAT_Codes!$A:$A,0)),"N")="Y",$U1264,IF($L1264&lt;&gt;"",ROUND(ABS($L1264)/IF(OR($R1264="",$R1264=0),1,$R1264),2)*SIGN($U1264),ROUND($U1264*$V1264,2))))</f>
        <v>0</v>
      </c>
      <c r="X1264" s="24" t="str">
        <f aca="false">IF($N1264="","",IFERROR(INDEX(VAT_Codes!$H:$H,MATCH($N1264,VAT_Codes!$A:$A,0)),"")&amp;"")</f>
        <v/>
      </c>
      <c r="Y1264" s="24" t="str">
        <f aca="false">IF($A1264="","",(YEAR($A1264)-YEAR(Settings!$C$8))*12+MONTH($A1264)-MONTH(Settings!$C$8)+1)</f>
        <v/>
      </c>
      <c r="Z1264" s="24" t="str">
        <f aca="false">IF(AND($C1264="",$I1264="",$J1264=""),"",IF($N1264="","NO VAT CODE",IF($T1264="","UNKNOWN VAT CODE",IF($S1264="","MISSING FX RATE",IF(OR($A1264&lt;Settings!$C$8,$A1264&gt;Settings!$C$9),"OUTSIDE PERIOD",IF(AND(IFERROR(INDEX(VAT_Codes!$E:$E,MATCH($N1264,VAT_Codes!$A:$A,0)),"ANY")&lt;&gt;"ANY",$P1264=""),"MISSING COUNTERPARTY COUNTRY",IF(AND(IFERROR(INDEX(VAT_Codes!$E:$E,MATCH($N1264,VAT_Codes!$A:$A,0)),"ANY")&lt;&gt;"ANY",$P1264&lt;&gt;IFERROR(INDEX(VAT_Codes!$E:$E,MATCH($N1264,VAT_Codes!$A:$A,0)),"ANY")),"REGION MISMATCH","OK")))))))</f>
        <v/>
      </c>
    </row>
    <row r="1265" customFormat="false" ht="15" hidden="false" customHeight="false" outlineLevel="0" collapsed="false">
      <c r="M1265" s="24" t="str">
        <f aca="false">IF($C1265="","",IFERROR(INDEX(Account_Mapping!$C:$C,MATCH($C1265&amp;"",Account_Mapping!$A:$A,0))&amp;"",""))</f>
        <v/>
      </c>
      <c r="N1265" s="24" t="str">
        <f aca="false">IF($K1265&lt;&gt;"",$K1265,$M1265)</f>
        <v/>
      </c>
      <c r="O1265" s="24" t="str">
        <f aca="false">IF($F1265="","",IFERROR(INDEX(Counterparties!$C:$C,MATCH($F1265&amp;"",Counterparties!$A:$A,0))&amp;"",""))</f>
        <v/>
      </c>
      <c r="P1265" s="24" t="str">
        <f aca="false">IF($O1265="","",IF($O1265="CY","CY",IF(ISNUMBER(MATCH($O1265,Lists!$A:$A,0)),"EU","3RD")))</f>
        <v/>
      </c>
      <c r="Q1265" s="24" t="str">
        <f aca="false">IF($F1265="","N",IFERROR(IF(INDEX(Counterparties!$E:$E,MATCH($F1265&amp;"",Counterparties!$A:$A,0))="Y","Y","N"),"N"))</f>
        <v>N</v>
      </c>
      <c r="R1265" s="25" t="n">
        <f aca="false">IF(OR($H1265="",$H1265="EUR"),1,IFERROR(INDEX(FX_Rates!$D:$D,MATCH($H1265,FX_Rates!$A:$A,0)),""))</f>
        <v>1</v>
      </c>
      <c r="S1265" s="26" t="str">
        <f aca="false">IF(AND($I1265="",$J1265=""),"",IF($J1265&lt;&gt;"",$J1265,IF(OR($R1265="",$R1265=0),"",ROUND($I1265/$R1265,2))))</f>
        <v/>
      </c>
      <c r="T1265" s="24" t="str">
        <f aca="false">IF($N1265="","",IFERROR(INDEX(VAT_Codes!$C:$C,MATCH($N1265,VAT_Codes!$A:$A,0)),"")&amp;"")</f>
        <v/>
      </c>
      <c r="U1265" s="26" t="n">
        <f aca="false">IF(OR($S1265="",$T1265="",$T1265="None"),0,IF($T1265="Output",-$S1265,$S1265))</f>
        <v>0</v>
      </c>
      <c r="V1265" s="27" t="n">
        <f aca="false">IF($N1265="",0,IFERROR(INDEX(VAT_Codes!$D:$D,MATCH($N1265,VAT_Codes!$A:$A,0)),0))</f>
        <v>0</v>
      </c>
      <c r="W1265" s="26" t="n">
        <f aca="false">IF($U1265=0,0,IF(IFERROR(INDEX(VAT_Codes!$F:$F,MATCH($N1265,VAT_Codes!$A:$A,0)),"N")="Y",$U1265,IF($L1265&lt;&gt;"",ROUND(ABS($L1265)/IF(OR($R1265="",$R1265=0),1,$R1265),2)*SIGN($U1265),ROUND($U1265*$V1265,2))))</f>
        <v>0</v>
      </c>
      <c r="X1265" s="24" t="str">
        <f aca="false">IF($N1265="","",IFERROR(INDEX(VAT_Codes!$H:$H,MATCH($N1265,VAT_Codes!$A:$A,0)),"")&amp;"")</f>
        <v/>
      </c>
      <c r="Y1265" s="24" t="str">
        <f aca="false">IF($A1265="","",(YEAR($A1265)-YEAR(Settings!$C$8))*12+MONTH($A1265)-MONTH(Settings!$C$8)+1)</f>
        <v/>
      </c>
      <c r="Z1265" s="24" t="str">
        <f aca="false">IF(AND($C1265="",$I1265="",$J1265=""),"",IF($N1265="","NO VAT CODE",IF($T1265="","UNKNOWN VAT CODE",IF($S1265="","MISSING FX RATE",IF(OR($A1265&lt;Settings!$C$8,$A1265&gt;Settings!$C$9),"OUTSIDE PERIOD",IF(AND(IFERROR(INDEX(VAT_Codes!$E:$E,MATCH($N1265,VAT_Codes!$A:$A,0)),"ANY")&lt;&gt;"ANY",$P1265=""),"MISSING COUNTERPARTY COUNTRY",IF(AND(IFERROR(INDEX(VAT_Codes!$E:$E,MATCH($N1265,VAT_Codes!$A:$A,0)),"ANY")&lt;&gt;"ANY",$P1265&lt;&gt;IFERROR(INDEX(VAT_Codes!$E:$E,MATCH($N1265,VAT_Codes!$A:$A,0)),"ANY")),"REGION MISMATCH","OK")))))))</f>
        <v/>
      </c>
    </row>
    <row r="1266" customFormat="false" ht="15" hidden="false" customHeight="false" outlineLevel="0" collapsed="false">
      <c r="M1266" s="24" t="str">
        <f aca="false">IF($C1266="","",IFERROR(INDEX(Account_Mapping!$C:$C,MATCH($C1266&amp;"",Account_Mapping!$A:$A,0))&amp;"",""))</f>
        <v/>
      </c>
      <c r="N1266" s="24" t="str">
        <f aca="false">IF($K1266&lt;&gt;"",$K1266,$M1266)</f>
        <v/>
      </c>
      <c r="O1266" s="24" t="str">
        <f aca="false">IF($F1266="","",IFERROR(INDEX(Counterparties!$C:$C,MATCH($F1266&amp;"",Counterparties!$A:$A,0))&amp;"",""))</f>
        <v/>
      </c>
      <c r="P1266" s="24" t="str">
        <f aca="false">IF($O1266="","",IF($O1266="CY","CY",IF(ISNUMBER(MATCH($O1266,Lists!$A:$A,0)),"EU","3RD")))</f>
        <v/>
      </c>
      <c r="Q1266" s="24" t="str">
        <f aca="false">IF($F1266="","N",IFERROR(IF(INDEX(Counterparties!$E:$E,MATCH($F1266&amp;"",Counterparties!$A:$A,0))="Y","Y","N"),"N"))</f>
        <v>N</v>
      </c>
      <c r="R1266" s="25" t="n">
        <f aca="false">IF(OR($H1266="",$H1266="EUR"),1,IFERROR(INDEX(FX_Rates!$D:$D,MATCH($H1266,FX_Rates!$A:$A,0)),""))</f>
        <v>1</v>
      </c>
      <c r="S1266" s="26" t="str">
        <f aca="false">IF(AND($I1266="",$J1266=""),"",IF($J1266&lt;&gt;"",$J1266,IF(OR($R1266="",$R1266=0),"",ROUND($I1266/$R1266,2))))</f>
        <v/>
      </c>
      <c r="T1266" s="24" t="str">
        <f aca="false">IF($N1266="","",IFERROR(INDEX(VAT_Codes!$C:$C,MATCH($N1266,VAT_Codes!$A:$A,0)),"")&amp;"")</f>
        <v/>
      </c>
      <c r="U1266" s="26" t="n">
        <f aca="false">IF(OR($S1266="",$T1266="",$T1266="None"),0,IF($T1266="Output",-$S1266,$S1266))</f>
        <v>0</v>
      </c>
      <c r="V1266" s="27" t="n">
        <f aca="false">IF($N1266="",0,IFERROR(INDEX(VAT_Codes!$D:$D,MATCH($N1266,VAT_Codes!$A:$A,0)),0))</f>
        <v>0</v>
      </c>
      <c r="W1266" s="26" t="n">
        <f aca="false">IF($U1266=0,0,IF(IFERROR(INDEX(VAT_Codes!$F:$F,MATCH($N1266,VAT_Codes!$A:$A,0)),"N")="Y",$U1266,IF($L1266&lt;&gt;"",ROUND(ABS($L1266)/IF(OR($R1266="",$R1266=0),1,$R1266),2)*SIGN($U1266),ROUND($U1266*$V1266,2))))</f>
        <v>0</v>
      </c>
      <c r="X1266" s="24" t="str">
        <f aca="false">IF($N1266="","",IFERROR(INDEX(VAT_Codes!$H:$H,MATCH($N1266,VAT_Codes!$A:$A,0)),"")&amp;"")</f>
        <v/>
      </c>
      <c r="Y1266" s="24" t="str">
        <f aca="false">IF($A1266="","",(YEAR($A1266)-YEAR(Settings!$C$8))*12+MONTH($A1266)-MONTH(Settings!$C$8)+1)</f>
        <v/>
      </c>
      <c r="Z1266" s="24" t="str">
        <f aca="false">IF(AND($C1266="",$I1266="",$J1266=""),"",IF($N1266="","NO VAT CODE",IF($T1266="","UNKNOWN VAT CODE",IF($S1266="","MISSING FX RATE",IF(OR($A1266&lt;Settings!$C$8,$A1266&gt;Settings!$C$9),"OUTSIDE PERIOD",IF(AND(IFERROR(INDEX(VAT_Codes!$E:$E,MATCH($N1266,VAT_Codes!$A:$A,0)),"ANY")&lt;&gt;"ANY",$P1266=""),"MISSING COUNTERPARTY COUNTRY",IF(AND(IFERROR(INDEX(VAT_Codes!$E:$E,MATCH($N1266,VAT_Codes!$A:$A,0)),"ANY")&lt;&gt;"ANY",$P1266&lt;&gt;IFERROR(INDEX(VAT_Codes!$E:$E,MATCH($N1266,VAT_Codes!$A:$A,0)),"ANY")),"REGION MISMATCH","OK")))))))</f>
        <v/>
      </c>
    </row>
    <row r="1267" customFormat="false" ht="15" hidden="false" customHeight="false" outlineLevel="0" collapsed="false">
      <c r="M1267" s="24" t="str">
        <f aca="false">IF($C1267="","",IFERROR(INDEX(Account_Mapping!$C:$C,MATCH($C1267&amp;"",Account_Mapping!$A:$A,0))&amp;"",""))</f>
        <v/>
      </c>
      <c r="N1267" s="24" t="str">
        <f aca="false">IF($K1267&lt;&gt;"",$K1267,$M1267)</f>
        <v/>
      </c>
      <c r="O1267" s="24" t="str">
        <f aca="false">IF($F1267="","",IFERROR(INDEX(Counterparties!$C:$C,MATCH($F1267&amp;"",Counterparties!$A:$A,0))&amp;"",""))</f>
        <v/>
      </c>
      <c r="P1267" s="24" t="str">
        <f aca="false">IF($O1267="","",IF($O1267="CY","CY",IF(ISNUMBER(MATCH($O1267,Lists!$A:$A,0)),"EU","3RD")))</f>
        <v/>
      </c>
      <c r="Q1267" s="24" t="str">
        <f aca="false">IF($F1267="","N",IFERROR(IF(INDEX(Counterparties!$E:$E,MATCH($F1267&amp;"",Counterparties!$A:$A,0))="Y","Y","N"),"N"))</f>
        <v>N</v>
      </c>
      <c r="R1267" s="25" t="n">
        <f aca="false">IF(OR($H1267="",$H1267="EUR"),1,IFERROR(INDEX(FX_Rates!$D:$D,MATCH($H1267,FX_Rates!$A:$A,0)),""))</f>
        <v>1</v>
      </c>
      <c r="S1267" s="26" t="str">
        <f aca="false">IF(AND($I1267="",$J1267=""),"",IF($J1267&lt;&gt;"",$J1267,IF(OR($R1267="",$R1267=0),"",ROUND($I1267/$R1267,2))))</f>
        <v/>
      </c>
      <c r="T1267" s="24" t="str">
        <f aca="false">IF($N1267="","",IFERROR(INDEX(VAT_Codes!$C:$C,MATCH($N1267,VAT_Codes!$A:$A,0)),"")&amp;"")</f>
        <v/>
      </c>
      <c r="U1267" s="26" t="n">
        <f aca="false">IF(OR($S1267="",$T1267="",$T1267="None"),0,IF($T1267="Output",-$S1267,$S1267))</f>
        <v>0</v>
      </c>
      <c r="V1267" s="27" t="n">
        <f aca="false">IF($N1267="",0,IFERROR(INDEX(VAT_Codes!$D:$D,MATCH($N1267,VAT_Codes!$A:$A,0)),0))</f>
        <v>0</v>
      </c>
      <c r="W1267" s="26" t="n">
        <f aca="false">IF($U1267=0,0,IF(IFERROR(INDEX(VAT_Codes!$F:$F,MATCH($N1267,VAT_Codes!$A:$A,0)),"N")="Y",$U1267,IF($L1267&lt;&gt;"",ROUND(ABS($L1267)/IF(OR($R1267="",$R1267=0),1,$R1267),2)*SIGN($U1267),ROUND($U1267*$V1267,2))))</f>
        <v>0</v>
      </c>
      <c r="X1267" s="24" t="str">
        <f aca="false">IF($N1267="","",IFERROR(INDEX(VAT_Codes!$H:$H,MATCH($N1267,VAT_Codes!$A:$A,0)),"")&amp;"")</f>
        <v/>
      </c>
      <c r="Y1267" s="24" t="str">
        <f aca="false">IF($A1267="","",(YEAR($A1267)-YEAR(Settings!$C$8))*12+MONTH($A1267)-MONTH(Settings!$C$8)+1)</f>
        <v/>
      </c>
      <c r="Z1267" s="24" t="str">
        <f aca="false">IF(AND($C1267="",$I1267="",$J1267=""),"",IF($N1267="","NO VAT CODE",IF($T1267="","UNKNOWN VAT CODE",IF($S1267="","MISSING FX RATE",IF(OR($A1267&lt;Settings!$C$8,$A1267&gt;Settings!$C$9),"OUTSIDE PERIOD",IF(AND(IFERROR(INDEX(VAT_Codes!$E:$E,MATCH($N1267,VAT_Codes!$A:$A,0)),"ANY")&lt;&gt;"ANY",$P1267=""),"MISSING COUNTERPARTY COUNTRY",IF(AND(IFERROR(INDEX(VAT_Codes!$E:$E,MATCH($N1267,VAT_Codes!$A:$A,0)),"ANY")&lt;&gt;"ANY",$P1267&lt;&gt;IFERROR(INDEX(VAT_Codes!$E:$E,MATCH($N1267,VAT_Codes!$A:$A,0)),"ANY")),"REGION MISMATCH","OK")))))))</f>
        <v/>
      </c>
    </row>
    <row r="1268" customFormat="false" ht="15" hidden="false" customHeight="false" outlineLevel="0" collapsed="false">
      <c r="M1268" s="24" t="str">
        <f aca="false">IF($C1268="","",IFERROR(INDEX(Account_Mapping!$C:$C,MATCH($C1268&amp;"",Account_Mapping!$A:$A,0))&amp;"",""))</f>
        <v/>
      </c>
      <c r="N1268" s="24" t="str">
        <f aca="false">IF($K1268&lt;&gt;"",$K1268,$M1268)</f>
        <v/>
      </c>
      <c r="O1268" s="24" t="str">
        <f aca="false">IF($F1268="","",IFERROR(INDEX(Counterparties!$C:$C,MATCH($F1268&amp;"",Counterparties!$A:$A,0))&amp;"",""))</f>
        <v/>
      </c>
      <c r="P1268" s="24" t="str">
        <f aca="false">IF($O1268="","",IF($O1268="CY","CY",IF(ISNUMBER(MATCH($O1268,Lists!$A:$A,0)),"EU","3RD")))</f>
        <v/>
      </c>
      <c r="Q1268" s="24" t="str">
        <f aca="false">IF($F1268="","N",IFERROR(IF(INDEX(Counterparties!$E:$E,MATCH($F1268&amp;"",Counterparties!$A:$A,0))="Y","Y","N"),"N"))</f>
        <v>N</v>
      </c>
      <c r="R1268" s="25" t="n">
        <f aca="false">IF(OR($H1268="",$H1268="EUR"),1,IFERROR(INDEX(FX_Rates!$D:$D,MATCH($H1268,FX_Rates!$A:$A,0)),""))</f>
        <v>1</v>
      </c>
      <c r="S1268" s="26" t="str">
        <f aca="false">IF(AND($I1268="",$J1268=""),"",IF($J1268&lt;&gt;"",$J1268,IF(OR($R1268="",$R1268=0),"",ROUND($I1268/$R1268,2))))</f>
        <v/>
      </c>
      <c r="T1268" s="24" t="str">
        <f aca="false">IF($N1268="","",IFERROR(INDEX(VAT_Codes!$C:$C,MATCH($N1268,VAT_Codes!$A:$A,0)),"")&amp;"")</f>
        <v/>
      </c>
      <c r="U1268" s="26" t="n">
        <f aca="false">IF(OR($S1268="",$T1268="",$T1268="None"),0,IF($T1268="Output",-$S1268,$S1268))</f>
        <v>0</v>
      </c>
      <c r="V1268" s="27" t="n">
        <f aca="false">IF($N1268="",0,IFERROR(INDEX(VAT_Codes!$D:$D,MATCH($N1268,VAT_Codes!$A:$A,0)),0))</f>
        <v>0</v>
      </c>
      <c r="W1268" s="26" t="n">
        <f aca="false">IF($U1268=0,0,IF(IFERROR(INDEX(VAT_Codes!$F:$F,MATCH($N1268,VAT_Codes!$A:$A,0)),"N")="Y",$U1268,IF($L1268&lt;&gt;"",ROUND(ABS($L1268)/IF(OR($R1268="",$R1268=0),1,$R1268),2)*SIGN($U1268),ROUND($U1268*$V1268,2))))</f>
        <v>0</v>
      </c>
      <c r="X1268" s="24" t="str">
        <f aca="false">IF($N1268="","",IFERROR(INDEX(VAT_Codes!$H:$H,MATCH($N1268,VAT_Codes!$A:$A,0)),"")&amp;"")</f>
        <v/>
      </c>
      <c r="Y1268" s="24" t="str">
        <f aca="false">IF($A1268="","",(YEAR($A1268)-YEAR(Settings!$C$8))*12+MONTH($A1268)-MONTH(Settings!$C$8)+1)</f>
        <v/>
      </c>
      <c r="Z1268" s="24" t="str">
        <f aca="false">IF(AND($C1268="",$I1268="",$J1268=""),"",IF($N1268="","NO VAT CODE",IF($T1268="","UNKNOWN VAT CODE",IF($S1268="","MISSING FX RATE",IF(OR($A1268&lt;Settings!$C$8,$A1268&gt;Settings!$C$9),"OUTSIDE PERIOD",IF(AND(IFERROR(INDEX(VAT_Codes!$E:$E,MATCH($N1268,VAT_Codes!$A:$A,0)),"ANY")&lt;&gt;"ANY",$P1268=""),"MISSING COUNTERPARTY COUNTRY",IF(AND(IFERROR(INDEX(VAT_Codes!$E:$E,MATCH($N1268,VAT_Codes!$A:$A,0)),"ANY")&lt;&gt;"ANY",$P1268&lt;&gt;IFERROR(INDEX(VAT_Codes!$E:$E,MATCH($N1268,VAT_Codes!$A:$A,0)),"ANY")),"REGION MISMATCH","OK")))))))</f>
        <v/>
      </c>
    </row>
    <row r="1269" customFormat="false" ht="15" hidden="false" customHeight="false" outlineLevel="0" collapsed="false">
      <c r="M1269" s="24" t="str">
        <f aca="false">IF($C1269="","",IFERROR(INDEX(Account_Mapping!$C:$C,MATCH($C1269&amp;"",Account_Mapping!$A:$A,0))&amp;"",""))</f>
        <v/>
      </c>
      <c r="N1269" s="24" t="str">
        <f aca="false">IF($K1269&lt;&gt;"",$K1269,$M1269)</f>
        <v/>
      </c>
      <c r="O1269" s="24" t="str">
        <f aca="false">IF($F1269="","",IFERROR(INDEX(Counterparties!$C:$C,MATCH($F1269&amp;"",Counterparties!$A:$A,0))&amp;"",""))</f>
        <v/>
      </c>
      <c r="P1269" s="24" t="str">
        <f aca="false">IF($O1269="","",IF($O1269="CY","CY",IF(ISNUMBER(MATCH($O1269,Lists!$A:$A,0)),"EU","3RD")))</f>
        <v/>
      </c>
      <c r="Q1269" s="24" t="str">
        <f aca="false">IF($F1269="","N",IFERROR(IF(INDEX(Counterparties!$E:$E,MATCH($F1269&amp;"",Counterparties!$A:$A,0))="Y","Y","N"),"N"))</f>
        <v>N</v>
      </c>
      <c r="R1269" s="25" t="n">
        <f aca="false">IF(OR($H1269="",$H1269="EUR"),1,IFERROR(INDEX(FX_Rates!$D:$D,MATCH($H1269,FX_Rates!$A:$A,0)),""))</f>
        <v>1</v>
      </c>
      <c r="S1269" s="26" t="str">
        <f aca="false">IF(AND($I1269="",$J1269=""),"",IF($J1269&lt;&gt;"",$J1269,IF(OR($R1269="",$R1269=0),"",ROUND($I1269/$R1269,2))))</f>
        <v/>
      </c>
      <c r="T1269" s="24" t="str">
        <f aca="false">IF($N1269="","",IFERROR(INDEX(VAT_Codes!$C:$C,MATCH($N1269,VAT_Codes!$A:$A,0)),"")&amp;"")</f>
        <v/>
      </c>
      <c r="U1269" s="26" t="n">
        <f aca="false">IF(OR($S1269="",$T1269="",$T1269="None"),0,IF($T1269="Output",-$S1269,$S1269))</f>
        <v>0</v>
      </c>
      <c r="V1269" s="27" t="n">
        <f aca="false">IF($N1269="",0,IFERROR(INDEX(VAT_Codes!$D:$D,MATCH($N1269,VAT_Codes!$A:$A,0)),0))</f>
        <v>0</v>
      </c>
      <c r="W1269" s="26" t="n">
        <f aca="false">IF($U1269=0,0,IF(IFERROR(INDEX(VAT_Codes!$F:$F,MATCH($N1269,VAT_Codes!$A:$A,0)),"N")="Y",$U1269,IF($L1269&lt;&gt;"",ROUND(ABS($L1269)/IF(OR($R1269="",$R1269=0),1,$R1269),2)*SIGN($U1269),ROUND($U1269*$V1269,2))))</f>
        <v>0</v>
      </c>
      <c r="X1269" s="24" t="str">
        <f aca="false">IF($N1269="","",IFERROR(INDEX(VAT_Codes!$H:$H,MATCH($N1269,VAT_Codes!$A:$A,0)),"")&amp;"")</f>
        <v/>
      </c>
      <c r="Y1269" s="24" t="str">
        <f aca="false">IF($A1269="","",(YEAR($A1269)-YEAR(Settings!$C$8))*12+MONTH($A1269)-MONTH(Settings!$C$8)+1)</f>
        <v/>
      </c>
      <c r="Z1269" s="24" t="str">
        <f aca="false">IF(AND($C1269="",$I1269="",$J1269=""),"",IF($N1269="","NO VAT CODE",IF($T1269="","UNKNOWN VAT CODE",IF($S1269="","MISSING FX RATE",IF(OR($A1269&lt;Settings!$C$8,$A1269&gt;Settings!$C$9),"OUTSIDE PERIOD",IF(AND(IFERROR(INDEX(VAT_Codes!$E:$E,MATCH($N1269,VAT_Codes!$A:$A,0)),"ANY")&lt;&gt;"ANY",$P1269=""),"MISSING COUNTERPARTY COUNTRY",IF(AND(IFERROR(INDEX(VAT_Codes!$E:$E,MATCH($N1269,VAT_Codes!$A:$A,0)),"ANY")&lt;&gt;"ANY",$P1269&lt;&gt;IFERROR(INDEX(VAT_Codes!$E:$E,MATCH($N1269,VAT_Codes!$A:$A,0)),"ANY")),"REGION MISMATCH","OK")))))))</f>
        <v/>
      </c>
    </row>
    <row r="1270" customFormat="false" ht="15" hidden="false" customHeight="false" outlineLevel="0" collapsed="false">
      <c r="M1270" s="24" t="str">
        <f aca="false">IF($C1270="","",IFERROR(INDEX(Account_Mapping!$C:$C,MATCH($C1270&amp;"",Account_Mapping!$A:$A,0))&amp;"",""))</f>
        <v/>
      </c>
      <c r="N1270" s="24" t="str">
        <f aca="false">IF($K1270&lt;&gt;"",$K1270,$M1270)</f>
        <v/>
      </c>
      <c r="O1270" s="24" t="str">
        <f aca="false">IF($F1270="","",IFERROR(INDEX(Counterparties!$C:$C,MATCH($F1270&amp;"",Counterparties!$A:$A,0))&amp;"",""))</f>
        <v/>
      </c>
      <c r="P1270" s="24" t="str">
        <f aca="false">IF($O1270="","",IF($O1270="CY","CY",IF(ISNUMBER(MATCH($O1270,Lists!$A:$A,0)),"EU","3RD")))</f>
        <v/>
      </c>
      <c r="Q1270" s="24" t="str">
        <f aca="false">IF($F1270="","N",IFERROR(IF(INDEX(Counterparties!$E:$E,MATCH($F1270&amp;"",Counterparties!$A:$A,0))="Y","Y","N"),"N"))</f>
        <v>N</v>
      </c>
      <c r="R1270" s="25" t="n">
        <f aca="false">IF(OR($H1270="",$H1270="EUR"),1,IFERROR(INDEX(FX_Rates!$D:$D,MATCH($H1270,FX_Rates!$A:$A,0)),""))</f>
        <v>1</v>
      </c>
      <c r="S1270" s="26" t="str">
        <f aca="false">IF(AND($I1270="",$J1270=""),"",IF($J1270&lt;&gt;"",$J1270,IF(OR($R1270="",$R1270=0),"",ROUND($I1270/$R1270,2))))</f>
        <v/>
      </c>
      <c r="T1270" s="24" t="str">
        <f aca="false">IF($N1270="","",IFERROR(INDEX(VAT_Codes!$C:$C,MATCH($N1270,VAT_Codes!$A:$A,0)),"")&amp;"")</f>
        <v/>
      </c>
      <c r="U1270" s="26" t="n">
        <f aca="false">IF(OR($S1270="",$T1270="",$T1270="None"),0,IF($T1270="Output",-$S1270,$S1270))</f>
        <v>0</v>
      </c>
      <c r="V1270" s="27" t="n">
        <f aca="false">IF($N1270="",0,IFERROR(INDEX(VAT_Codes!$D:$D,MATCH($N1270,VAT_Codes!$A:$A,0)),0))</f>
        <v>0</v>
      </c>
      <c r="W1270" s="26" t="n">
        <f aca="false">IF($U1270=0,0,IF(IFERROR(INDEX(VAT_Codes!$F:$F,MATCH($N1270,VAT_Codes!$A:$A,0)),"N")="Y",$U1270,IF($L1270&lt;&gt;"",ROUND(ABS($L1270)/IF(OR($R1270="",$R1270=0),1,$R1270),2)*SIGN($U1270),ROUND($U1270*$V1270,2))))</f>
        <v>0</v>
      </c>
      <c r="X1270" s="24" t="str">
        <f aca="false">IF($N1270="","",IFERROR(INDEX(VAT_Codes!$H:$H,MATCH($N1270,VAT_Codes!$A:$A,0)),"")&amp;"")</f>
        <v/>
      </c>
      <c r="Y1270" s="24" t="str">
        <f aca="false">IF($A1270="","",(YEAR($A1270)-YEAR(Settings!$C$8))*12+MONTH($A1270)-MONTH(Settings!$C$8)+1)</f>
        <v/>
      </c>
      <c r="Z1270" s="24" t="str">
        <f aca="false">IF(AND($C1270="",$I1270="",$J1270=""),"",IF($N1270="","NO VAT CODE",IF($T1270="","UNKNOWN VAT CODE",IF($S1270="","MISSING FX RATE",IF(OR($A1270&lt;Settings!$C$8,$A1270&gt;Settings!$C$9),"OUTSIDE PERIOD",IF(AND(IFERROR(INDEX(VAT_Codes!$E:$E,MATCH($N1270,VAT_Codes!$A:$A,0)),"ANY")&lt;&gt;"ANY",$P1270=""),"MISSING COUNTERPARTY COUNTRY",IF(AND(IFERROR(INDEX(VAT_Codes!$E:$E,MATCH($N1270,VAT_Codes!$A:$A,0)),"ANY")&lt;&gt;"ANY",$P1270&lt;&gt;IFERROR(INDEX(VAT_Codes!$E:$E,MATCH($N1270,VAT_Codes!$A:$A,0)),"ANY")),"REGION MISMATCH","OK")))))))</f>
        <v/>
      </c>
    </row>
    <row r="1271" customFormat="false" ht="15" hidden="false" customHeight="false" outlineLevel="0" collapsed="false">
      <c r="M1271" s="24" t="str">
        <f aca="false">IF($C1271="","",IFERROR(INDEX(Account_Mapping!$C:$C,MATCH($C1271&amp;"",Account_Mapping!$A:$A,0))&amp;"",""))</f>
        <v/>
      </c>
      <c r="N1271" s="24" t="str">
        <f aca="false">IF($K1271&lt;&gt;"",$K1271,$M1271)</f>
        <v/>
      </c>
      <c r="O1271" s="24" t="str">
        <f aca="false">IF($F1271="","",IFERROR(INDEX(Counterparties!$C:$C,MATCH($F1271&amp;"",Counterparties!$A:$A,0))&amp;"",""))</f>
        <v/>
      </c>
      <c r="P1271" s="24" t="str">
        <f aca="false">IF($O1271="","",IF($O1271="CY","CY",IF(ISNUMBER(MATCH($O1271,Lists!$A:$A,0)),"EU","3RD")))</f>
        <v/>
      </c>
      <c r="Q1271" s="24" t="str">
        <f aca="false">IF($F1271="","N",IFERROR(IF(INDEX(Counterparties!$E:$E,MATCH($F1271&amp;"",Counterparties!$A:$A,0))="Y","Y","N"),"N"))</f>
        <v>N</v>
      </c>
      <c r="R1271" s="25" t="n">
        <f aca="false">IF(OR($H1271="",$H1271="EUR"),1,IFERROR(INDEX(FX_Rates!$D:$D,MATCH($H1271,FX_Rates!$A:$A,0)),""))</f>
        <v>1</v>
      </c>
      <c r="S1271" s="26" t="str">
        <f aca="false">IF(AND($I1271="",$J1271=""),"",IF($J1271&lt;&gt;"",$J1271,IF(OR($R1271="",$R1271=0),"",ROUND($I1271/$R1271,2))))</f>
        <v/>
      </c>
      <c r="T1271" s="24" t="str">
        <f aca="false">IF($N1271="","",IFERROR(INDEX(VAT_Codes!$C:$C,MATCH($N1271,VAT_Codes!$A:$A,0)),"")&amp;"")</f>
        <v/>
      </c>
      <c r="U1271" s="26" t="n">
        <f aca="false">IF(OR($S1271="",$T1271="",$T1271="None"),0,IF($T1271="Output",-$S1271,$S1271))</f>
        <v>0</v>
      </c>
      <c r="V1271" s="27" t="n">
        <f aca="false">IF($N1271="",0,IFERROR(INDEX(VAT_Codes!$D:$D,MATCH($N1271,VAT_Codes!$A:$A,0)),0))</f>
        <v>0</v>
      </c>
      <c r="W1271" s="26" t="n">
        <f aca="false">IF($U1271=0,0,IF(IFERROR(INDEX(VAT_Codes!$F:$F,MATCH($N1271,VAT_Codes!$A:$A,0)),"N")="Y",$U1271,IF($L1271&lt;&gt;"",ROUND(ABS($L1271)/IF(OR($R1271="",$R1271=0),1,$R1271),2)*SIGN($U1271),ROUND($U1271*$V1271,2))))</f>
        <v>0</v>
      </c>
      <c r="X1271" s="24" t="str">
        <f aca="false">IF($N1271="","",IFERROR(INDEX(VAT_Codes!$H:$H,MATCH($N1271,VAT_Codes!$A:$A,0)),"")&amp;"")</f>
        <v/>
      </c>
      <c r="Y1271" s="24" t="str">
        <f aca="false">IF($A1271="","",(YEAR($A1271)-YEAR(Settings!$C$8))*12+MONTH($A1271)-MONTH(Settings!$C$8)+1)</f>
        <v/>
      </c>
      <c r="Z1271" s="24" t="str">
        <f aca="false">IF(AND($C1271="",$I1271="",$J1271=""),"",IF($N1271="","NO VAT CODE",IF($T1271="","UNKNOWN VAT CODE",IF($S1271="","MISSING FX RATE",IF(OR($A1271&lt;Settings!$C$8,$A1271&gt;Settings!$C$9),"OUTSIDE PERIOD",IF(AND(IFERROR(INDEX(VAT_Codes!$E:$E,MATCH($N1271,VAT_Codes!$A:$A,0)),"ANY")&lt;&gt;"ANY",$P1271=""),"MISSING COUNTERPARTY COUNTRY",IF(AND(IFERROR(INDEX(VAT_Codes!$E:$E,MATCH($N1271,VAT_Codes!$A:$A,0)),"ANY")&lt;&gt;"ANY",$P1271&lt;&gt;IFERROR(INDEX(VAT_Codes!$E:$E,MATCH($N1271,VAT_Codes!$A:$A,0)),"ANY")),"REGION MISMATCH","OK")))))))</f>
        <v/>
      </c>
    </row>
    <row r="1272" customFormat="false" ht="15" hidden="false" customHeight="false" outlineLevel="0" collapsed="false">
      <c r="M1272" s="24" t="str">
        <f aca="false">IF($C1272="","",IFERROR(INDEX(Account_Mapping!$C:$C,MATCH($C1272&amp;"",Account_Mapping!$A:$A,0))&amp;"",""))</f>
        <v/>
      </c>
      <c r="N1272" s="24" t="str">
        <f aca="false">IF($K1272&lt;&gt;"",$K1272,$M1272)</f>
        <v/>
      </c>
      <c r="O1272" s="24" t="str">
        <f aca="false">IF($F1272="","",IFERROR(INDEX(Counterparties!$C:$C,MATCH($F1272&amp;"",Counterparties!$A:$A,0))&amp;"",""))</f>
        <v/>
      </c>
      <c r="P1272" s="24" t="str">
        <f aca="false">IF($O1272="","",IF($O1272="CY","CY",IF(ISNUMBER(MATCH($O1272,Lists!$A:$A,0)),"EU","3RD")))</f>
        <v/>
      </c>
      <c r="Q1272" s="24" t="str">
        <f aca="false">IF($F1272="","N",IFERROR(IF(INDEX(Counterparties!$E:$E,MATCH($F1272&amp;"",Counterparties!$A:$A,0))="Y","Y","N"),"N"))</f>
        <v>N</v>
      </c>
      <c r="R1272" s="25" t="n">
        <f aca="false">IF(OR($H1272="",$H1272="EUR"),1,IFERROR(INDEX(FX_Rates!$D:$D,MATCH($H1272,FX_Rates!$A:$A,0)),""))</f>
        <v>1</v>
      </c>
      <c r="S1272" s="26" t="str">
        <f aca="false">IF(AND($I1272="",$J1272=""),"",IF($J1272&lt;&gt;"",$J1272,IF(OR($R1272="",$R1272=0),"",ROUND($I1272/$R1272,2))))</f>
        <v/>
      </c>
      <c r="T1272" s="24" t="str">
        <f aca="false">IF($N1272="","",IFERROR(INDEX(VAT_Codes!$C:$C,MATCH($N1272,VAT_Codes!$A:$A,0)),"")&amp;"")</f>
        <v/>
      </c>
      <c r="U1272" s="26" t="n">
        <f aca="false">IF(OR($S1272="",$T1272="",$T1272="None"),0,IF($T1272="Output",-$S1272,$S1272))</f>
        <v>0</v>
      </c>
      <c r="V1272" s="27" t="n">
        <f aca="false">IF($N1272="",0,IFERROR(INDEX(VAT_Codes!$D:$D,MATCH($N1272,VAT_Codes!$A:$A,0)),0))</f>
        <v>0</v>
      </c>
      <c r="W1272" s="26" t="n">
        <f aca="false">IF($U1272=0,0,IF(IFERROR(INDEX(VAT_Codes!$F:$F,MATCH($N1272,VAT_Codes!$A:$A,0)),"N")="Y",$U1272,IF($L1272&lt;&gt;"",ROUND(ABS($L1272)/IF(OR($R1272="",$R1272=0),1,$R1272),2)*SIGN($U1272),ROUND($U1272*$V1272,2))))</f>
        <v>0</v>
      </c>
      <c r="X1272" s="24" t="str">
        <f aca="false">IF($N1272="","",IFERROR(INDEX(VAT_Codes!$H:$H,MATCH($N1272,VAT_Codes!$A:$A,0)),"")&amp;"")</f>
        <v/>
      </c>
      <c r="Y1272" s="24" t="str">
        <f aca="false">IF($A1272="","",(YEAR($A1272)-YEAR(Settings!$C$8))*12+MONTH($A1272)-MONTH(Settings!$C$8)+1)</f>
        <v/>
      </c>
      <c r="Z1272" s="24" t="str">
        <f aca="false">IF(AND($C1272="",$I1272="",$J1272=""),"",IF($N1272="","NO VAT CODE",IF($T1272="","UNKNOWN VAT CODE",IF($S1272="","MISSING FX RATE",IF(OR($A1272&lt;Settings!$C$8,$A1272&gt;Settings!$C$9),"OUTSIDE PERIOD",IF(AND(IFERROR(INDEX(VAT_Codes!$E:$E,MATCH($N1272,VAT_Codes!$A:$A,0)),"ANY")&lt;&gt;"ANY",$P1272=""),"MISSING COUNTERPARTY COUNTRY",IF(AND(IFERROR(INDEX(VAT_Codes!$E:$E,MATCH($N1272,VAT_Codes!$A:$A,0)),"ANY")&lt;&gt;"ANY",$P1272&lt;&gt;IFERROR(INDEX(VAT_Codes!$E:$E,MATCH($N1272,VAT_Codes!$A:$A,0)),"ANY")),"REGION MISMATCH","OK")))))))</f>
        <v/>
      </c>
    </row>
    <row r="1273" customFormat="false" ht="15" hidden="false" customHeight="false" outlineLevel="0" collapsed="false">
      <c r="M1273" s="24" t="str">
        <f aca="false">IF($C1273="","",IFERROR(INDEX(Account_Mapping!$C:$C,MATCH($C1273&amp;"",Account_Mapping!$A:$A,0))&amp;"",""))</f>
        <v/>
      </c>
      <c r="N1273" s="24" t="str">
        <f aca="false">IF($K1273&lt;&gt;"",$K1273,$M1273)</f>
        <v/>
      </c>
      <c r="O1273" s="24" t="str">
        <f aca="false">IF($F1273="","",IFERROR(INDEX(Counterparties!$C:$C,MATCH($F1273&amp;"",Counterparties!$A:$A,0))&amp;"",""))</f>
        <v/>
      </c>
      <c r="P1273" s="24" t="str">
        <f aca="false">IF($O1273="","",IF($O1273="CY","CY",IF(ISNUMBER(MATCH($O1273,Lists!$A:$A,0)),"EU","3RD")))</f>
        <v/>
      </c>
      <c r="Q1273" s="24" t="str">
        <f aca="false">IF($F1273="","N",IFERROR(IF(INDEX(Counterparties!$E:$E,MATCH($F1273&amp;"",Counterparties!$A:$A,0))="Y","Y","N"),"N"))</f>
        <v>N</v>
      </c>
      <c r="R1273" s="25" t="n">
        <f aca="false">IF(OR($H1273="",$H1273="EUR"),1,IFERROR(INDEX(FX_Rates!$D:$D,MATCH($H1273,FX_Rates!$A:$A,0)),""))</f>
        <v>1</v>
      </c>
      <c r="S1273" s="26" t="str">
        <f aca="false">IF(AND($I1273="",$J1273=""),"",IF($J1273&lt;&gt;"",$J1273,IF(OR($R1273="",$R1273=0),"",ROUND($I1273/$R1273,2))))</f>
        <v/>
      </c>
      <c r="T1273" s="24" t="str">
        <f aca="false">IF($N1273="","",IFERROR(INDEX(VAT_Codes!$C:$C,MATCH($N1273,VAT_Codes!$A:$A,0)),"")&amp;"")</f>
        <v/>
      </c>
      <c r="U1273" s="26" t="n">
        <f aca="false">IF(OR($S1273="",$T1273="",$T1273="None"),0,IF($T1273="Output",-$S1273,$S1273))</f>
        <v>0</v>
      </c>
      <c r="V1273" s="27" t="n">
        <f aca="false">IF($N1273="",0,IFERROR(INDEX(VAT_Codes!$D:$D,MATCH($N1273,VAT_Codes!$A:$A,0)),0))</f>
        <v>0</v>
      </c>
      <c r="W1273" s="26" t="n">
        <f aca="false">IF($U1273=0,0,IF(IFERROR(INDEX(VAT_Codes!$F:$F,MATCH($N1273,VAT_Codes!$A:$A,0)),"N")="Y",$U1273,IF($L1273&lt;&gt;"",ROUND(ABS($L1273)/IF(OR($R1273="",$R1273=0),1,$R1273),2)*SIGN($U1273),ROUND($U1273*$V1273,2))))</f>
        <v>0</v>
      </c>
      <c r="X1273" s="24" t="str">
        <f aca="false">IF($N1273="","",IFERROR(INDEX(VAT_Codes!$H:$H,MATCH($N1273,VAT_Codes!$A:$A,0)),"")&amp;"")</f>
        <v/>
      </c>
      <c r="Y1273" s="24" t="str">
        <f aca="false">IF($A1273="","",(YEAR($A1273)-YEAR(Settings!$C$8))*12+MONTH($A1273)-MONTH(Settings!$C$8)+1)</f>
        <v/>
      </c>
      <c r="Z1273" s="24" t="str">
        <f aca="false">IF(AND($C1273="",$I1273="",$J1273=""),"",IF($N1273="","NO VAT CODE",IF($T1273="","UNKNOWN VAT CODE",IF($S1273="","MISSING FX RATE",IF(OR($A1273&lt;Settings!$C$8,$A1273&gt;Settings!$C$9),"OUTSIDE PERIOD",IF(AND(IFERROR(INDEX(VAT_Codes!$E:$E,MATCH($N1273,VAT_Codes!$A:$A,0)),"ANY")&lt;&gt;"ANY",$P1273=""),"MISSING COUNTERPARTY COUNTRY",IF(AND(IFERROR(INDEX(VAT_Codes!$E:$E,MATCH($N1273,VAT_Codes!$A:$A,0)),"ANY")&lt;&gt;"ANY",$P1273&lt;&gt;IFERROR(INDEX(VAT_Codes!$E:$E,MATCH($N1273,VAT_Codes!$A:$A,0)),"ANY")),"REGION MISMATCH","OK")))))))</f>
        <v/>
      </c>
    </row>
    <row r="1274" customFormat="false" ht="15" hidden="false" customHeight="false" outlineLevel="0" collapsed="false">
      <c r="M1274" s="24" t="str">
        <f aca="false">IF($C1274="","",IFERROR(INDEX(Account_Mapping!$C:$C,MATCH($C1274&amp;"",Account_Mapping!$A:$A,0))&amp;"",""))</f>
        <v/>
      </c>
      <c r="N1274" s="24" t="str">
        <f aca="false">IF($K1274&lt;&gt;"",$K1274,$M1274)</f>
        <v/>
      </c>
      <c r="O1274" s="24" t="str">
        <f aca="false">IF($F1274="","",IFERROR(INDEX(Counterparties!$C:$C,MATCH($F1274&amp;"",Counterparties!$A:$A,0))&amp;"",""))</f>
        <v/>
      </c>
      <c r="P1274" s="24" t="str">
        <f aca="false">IF($O1274="","",IF($O1274="CY","CY",IF(ISNUMBER(MATCH($O1274,Lists!$A:$A,0)),"EU","3RD")))</f>
        <v/>
      </c>
      <c r="Q1274" s="24" t="str">
        <f aca="false">IF($F1274="","N",IFERROR(IF(INDEX(Counterparties!$E:$E,MATCH($F1274&amp;"",Counterparties!$A:$A,0))="Y","Y","N"),"N"))</f>
        <v>N</v>
      </c>
      <c r="R1274" s="25" t="n">
        <f aca="false">IF(OR($H1274="",$H1274="EUR"),1,IFERROR(INDEX(FX_Rates!$D:$D,MATCH($H1274,FX_Rates!$A:$A,0)),""))</f>
        <v>1</v>
      </c>
      <c r="S1274" s="26" t="str">
        <f aca="false">IF(AND($I1274="",$J1274=""),"",IF($J1274&lt;&gt;"",$J1274,IF(OR($R1274="",$R1274=0),"",ROUND($I1274/$R1274,2))))</f>
        <v/>
      </c>
      <c r="T1274" s="24" t="str">
        <f aca="false">IF($N1274="","",IFERROR(INDEX(VAT_Codes!$C:$C,MATCH($N1274,VAT_Codes!$A:$A,0)),"")&amp;"")</f>
        <v/>
      </c>
      <c r="U1274" s="26" t="n">
        <f aca="false">IF(OR($S1274="",$T1274="",$T1274="None"),0,IF($T1274="Output",-$S1274,$S1274))</f>
        <v>0</v>
      </c>
      <c r="V1274" s="27" t="n">
        <f aca="false">IF($N1274="",0,IFERROR(INDEX(VAT_Codes!$D:$D,MATCH($N1274,VAT_Codes!$A:$A,0)),0))</f>
        <v>0</v>
      </c>
      <c r="W1274" s="26" t="n">
        <f aca="false">IF($U1274=0,0,IF(IFERROR(INDEX(VAT_Codes!$F:$F,MATCH($N1274,VAT_Codes!$A:$A,0)),"N")="Y",$U1274,IF($L1274&lt;&gt;"",ROUND(ABS($L1274)/IF(OR($R1274="",$R1274=0),1,$R1274),2)*SIGN($U1274),ROUND($U1274*$V1274,2))))</f>
        <v>0</v>
      </c>
      <c r="X1274" s="24" t="str">
        <f aca="false">IF($N1274="","",IFERROR(INDEX(VAT_Codes!$H:$H,MATCH($N1274,VAT_Codes!$A:$A,0)),"")&amp;"")</f>
        <v/>
      </c>
      <c r="Y1274" s="24" t="str">
        <f aca="false">IF($A1274="","",(YEAR($A1274)-YEAR(Settings!$C$8))*12+MONTH($A1274)-MONTH(Settings!$C$8)+1)</f>
        <v/>
      </c>
      <c r="Z1274" s="24" t="str">
        <f aca="false">IF(AND($C1274="",$I1274="",$J1274=""),"",IF($N1274="","NO VAT CODE",IF($T1274="","UNKNOWN VAT CODE",IF($S1274="","MISSING FX RATE",IF(OR($A1274&lt;Settings!$C$8,$A1274&gt;Settings!$C$9),"OUTSIDE PERIOD",IF(AND(IFERROR(INDEX(VAT_Codes!$E:$E,MATCH($N1274,VAT_Codes!$A:$A,0)),"ANY")&lt;&gt;"ANY",$P1274=""),"MISSING COUNTERPARTY COUNTRY",IF(AND(IFERROR(INDEX(VAT_Codes!$E:$E,MATCH($N1274,VAT_Codes!$A:$A,0)),"ANY")&lt;&gt;"ANY",$P1274&lt;&gt;IFERROR(INDEX(VAT_Codes!$E:$E,MATCH($N1274,VAT_Codes!$A:$A,0)),"ANY")),"REGION MISMATCH","OK")))))))</f>
        <v/>
      </c>
    </row>
    <row r="1275" customFormat="false" ht="15" hidden="false" customHeight="false" outlineLevel="0" collapsed="false">
      <c r="M1275" s="24" t="str">
        <f aca="false">IF($C1275="","",IFERROR(INDEX(Account_Mapping!$C:$C,MATCH($C1275&amp;"",Account_Mapping!$A:$A,0))&amp;"",""))</f>
        <v/>
      </c>
      <c r="N1275" s="24" t="str">
        <f aca="false">IF($K1275&lt;&gt;"",$K1275,$M1275)</f>
        <v/>
      </c>
      <c r="O1275" s="24" t="str">
        <f aca="false">IF($F1275="","",IFERROR(INDEX(Counterparties!$C:$C,MATCH($F1275&amp;"",Counterparties!$A:$A,0))&amp;"",""))</f>
        <v/>
      </c>
      <c r="P1275" s="24" t="str">
        <f aca="false">IF($O1275="","",IF($O1275="CY","CY",IF(ISNUMBER(MATCH($O1275,Lists!$A:$A,0)),"EU","3RD")))</f>
        <v/>
      </c>
      <c r="Q1275" s="24" t="str">
        <f aca="false">IF($F1275="","N",IFERROR(IF(INDEX(Counterparties!$E:$E,MATCH($F1275&amp;"",Counterparties!$A:$A,0))="Y","Y","N"),"N"))</f>
        <v>N</v>
      </c>
      <c r="R1275" s="25" t="n">
        <f aca="false">IF(OR($H1275="",$H1275="EUR"),1,IFERROR(INDEX(FX_Rates!$D:$D,MATCH($H1275,FX_Rates!$A:$A,0)),""))</f>
        <v>1</v>
      </c>
      <c r="S1275" s="26" t="str">
        <f aca="false">IF(AND($I1275="",$J1275=""),"",IF($J1275&lt;&gt;"",$J1275,IF(OR($R1275="",$R1275=0),"",ROUND($I1275/$R1275,2))))</f>
        <v/>
      </c>
      <c r="T1275" s="24" t="str">
        <f aca="false">IF($N1275="","",IFERROR(INDEX(VAT_Codes!$C:$C,MATCH($N1275,VAT_Codes!$A:$A,0)),"")&amp;"")</f>
        <v/>
      </c>
      <c r="U1275" s="26" t="n">
        <f aca="false">IF(OR($S1275="",$T1275="",$T1275="None"),0,IF($T1275="Output",-$S1275,$S1275))</f>
        <v>0</v>
      </c>
      <c r="V1275" s="27" t="n">
        <f aca="false">IF($N1275="",0,IFERROR(INDEX(VAT_Codes!$D:$D,MATCH($N1275,VAT_Codes!$A:$A,0)),0))</f>
        <v>0</v>
      </c>
      <c r="W1275" s="26" t="n">
        <f aca="false">IF($U1275=0,0,IF(IFERROR(INDEX(VAT_Codes!$F:$F,MATCH($N1275,VAT_Codes!$A:$A,0)),"N")="Y",$U1275,IF($L1275&lt;&gt;"",ROUND(ABS($L1275)/IF(OR($R1275="",$R1275=0),1,$R1275),2)*SIGN($U1275),ROUND($U1275*$V1275,2))))</f>
        <v>0</v>
      </c>
      <c r="X1275" s="24" t="str">
        <f aca="false">IF($N1275="","",IFERROR(INDEX(VAT_Codes!$H:$H,MATCH($N1275,VAT_Codes!$A:$A,0)),"")&amp;"")</f>
        <v/>
      </c>
      <c r="Y1275" s="24" t="str">
        <f aca="false">IF($A1275="","",(YEAR($A1275)-YEAR(Settings!$C$8))*12+MONTH($A1275)-MONTH(Settings!$C$8)+1)</f>
        <v/>
      </c>
      <c r="Z1275" s="24" t="str">
        <f aca="false">IF(AND($C1275="",$I1275="",$J1275=""),"",IF($N1275="","NO VAT CODE",IF($T1275="","UNKNOWN VAT CODE",IF($S1275="","MISSING FX RATE",IF(OR($A1275&lt;Settings!$C$8,$A1275&gt;Settings!$C$9),"OUTSIDE PERIOD",IF(AND(IFERROR(INDEX(VAT_Codes!$E:$E,MATCH($N1275,VAT_Codes!$A:$A,0)),"ANY")&lt;&gt;"ANY",$P1275=""),"MISSING COUNTERPARTY COUNTRY",IF(AND(IFERROR(INDEX(VAT_Codes!$E:$E,MATCH($N1275,VAT_Codes!$A:$A,0)),"ANY")&lt;&gt;"ANY",$P1275&lt;&gt;IFERROR(INDEX(VAT_Codes!$E:$E,MATCH($N1275,VAT_Codes!$A:$A,0)),"ANY")),"REGION MISMATCH","OK")))))))</f>
        <v/>
      </c>
    </row>
    <row r="1276" customFormat="false" ht="15" hidden="false" customHeight="false" outlineLevel="0" collapsed="false">
      <c r="M1276" s="24" t="str">
        <f aca="false">IF($C1276="","",IFERROR(INDEX(Account_Mapping!$C:$C,MATCH($C1276&amp;"",Account_Mapping!$A:$A,0))&amp;"",""))</f>
        <v/>
      </c>
      <c r="N1276" s="24" t="str">
        <f aca="false">IF($K1276&lt;&gt;"",$K1276,$M1276)</f>
        <v/>
      </c>
      <c r="O1276" s="24" t="str">
        <f aca="false">IF($F1276="","",IFERROR(INDEX(Counterparties!$C:$C,MATCH($F1276&amp;"",Counterparties!$A:$A,0))&amp;"",""))</f>
        <v/>
      </c>
      <c r="P1276" s="24" t="str">
        <f aca="false">IF($O1276="","",IF($O1276="CY","CY",IF(ISNUMBER(MATCH($O1276,Lists!$A:$A,0)),"EU","3RD")))</f>
        <v/>
      </c>
      <c r="Q1276" s="24" t="str">
        <f aca="false">IF($F1276="","N",IFERROR(IF(INDEX(Counterparties!$E:$E,MATCH($F1276&amp;"",Counterparties!$A:$A,0))="Y","Y","N"),"N"))</f>
        <v>N</v>
      </c>
      <c r="R1276" s="25" t="n">
        <f aca="false">IF(OR($H1276="",$H1276="EUR"),1,IFERROR(INDEX(FX_Rates!$D:$D,MATCH($H1276,FX_Rates!$A:$A,0)),""))</f>
        <v>1</v>
      </c>
      <c r="S1276" s="26" t="str">
        <f aca="false">IF(AND($I1276="",$J1276=""),"",IF($J1276&lt;&gt;"",$J1276,IF(OR($R1276="",$R1276=0),"",ROUND($I1276/$R1276,2))))</f>
        <v/>
      </c>
      <c r="T1276" s="24" t="str">
        <f aca="false">IF($N1276="","",IFERROR(INDEX(VAT_Codes!$C:$C,MATCH($N1276,VAT_Codes!$A:$A,0)),"")&amp;"")</f>
        <v/>
      </c>
      <c r="U1276" s="26" t="n">
        <f aca="false">IF(OR($S1276="",$T1276="",$T1276="None"),0,IF($T1276="Output",-$S1276,$S1276))</f>
        <v>0</v>
      </c>
      <c r="V1276" s="27" t="n">
        <f aca="false">IF($N1276="",0,IFERROR(INDEX(VAT_Codes!$D:$D,MATCH($N1276,VAT_Codes!$A:$A,0)),0))</f>
        <v>0</v>
      </c>
      <c r="W1276" s="26" t="n">
        <f aca="false">IF($U1276=0,0,IF(IFERROR(INDEX(VAT_Codes!$F:$F,MATCH($N1276,VAT_Codes!$A:$A,0)),"N")="Y",$U1276,IF($L1276&lt;&gt;"",ROUND(ABS($L1276)/IF(OR($R1276="",$R1276=0),1,$R1276),2)*SIGN($U1276),ROUND($U1276*$V1276,2))))</f>
        <v>0</v>
      </c>
      <c r="X1276" s="24" t="str">
        <f aca="false">IF($N1276="","",IFERROR(INDEX(VAT_Codes!$H:$H,MATCH($N1276,VAT_Codes!$A:$A,0)),"")&amp;"")</f>
        <v/>
      </c>
      <c r="Y1276" s="24" t="str">
        <f aca="false">IF($A1276="","",(YEAR($A1276)-YEAR(Settings!$C$8))*12+MONTH($A1276)-MONTH(Settings!$C$8)+1)</f>
        <v/>
      </c>
      <c r="Z1276" s="24" t="str">
        <f aca="false">IF(AND($C1276="",$I1276="",$J1276=""),"",IF($N1276="","NO VAT CODE",IF($T1276="","UNKNOWN VAT CODE",IF($S1276="","MISSING FX RATE",IF(OR($A1276&lt;Settings!$C$8,$A1276&gt;Settings!$C$9),"OUTSIDE PERIOD",IF(AND(IFERROR(INDEX(VAT_Codes!$E:$E,MATCH($N1276,VAT_Codes!$A:$A,0)),"ANY")&lt;&gt;"ANY",$P1276=""),"MISSING COUNTERPARTY COUNTRY",IF(AND(IFERROR(INDEX(VAT_Codes!$E:$E,MATCH($N1276,VAT_Codes!$A:$A,0)),"ANY")&lt;&gt;"ANY",$P1276&lt;&gt;IFERROR(INDEX(VAT_Codes!$E:$E,MATCH($N1276,VAT_Codes!$A:$A,0)),"ANY")),"REGION MISMATCH","OK")))))))</f>
        <v/>
      </c>
    </row>
    <row r="1277" customFormat="false" ht="15" hidden="false" customHeight="false" outlineLevel="0" collapsed="false">
      <c r="M1277" s="24" t="str">
        <f aca="false">IF($C1277="","",IFERROR(INDEX(Account_Mapping!$C:$C,MATCH($C1277&amp;"",Account_Mapping!$A:$A,0))&amp;"",""))</f>
        <v/>
      </c>
      <c r="N1277" s="24" t="str">
        <f aca="false">IF($K1277&lt;&gt;"",$K1277,$M1277)</f>
        <v/>
      </c>
      <c r="O1277" s="24" t="str">
        <f aca="false">IF($F1277="","",IFERROR(INDEX(Counterparties!$C:$C,MATCH($F1277&amp;"",Counterparties!$A:$A,0))&amp;"",""))</f>
        <v/>
      </c>
      <c r="P1277" s="24" t="str">
        <f aca="false">IF($O1277="","",IF($O1277="CY","CY",IF(ISNUMBER(MATCH($O1277,Lists!$A:$A,0)),"EU","3RD")))</f>
        <v/>
      </c>
      <c r="Q1277" s="24" t="str">
        <f aca="false">IF($F1277="","N",IFERROR(IF(INDEX(Counterparties!$E:$E,MATCH($F1277&amp;"",Counterparties!$A:$A,0))="Y","Y","N"),"N"))</f>
        <v>N</v>
      </c>
      <c r="R1277" s="25" t="n">
        <f aca="false">IF(OR($H1277="",$H1277="EUR"),1,IFERROR(INDEX(FX_Rates!$D:$D,MATCH($H1277,FX_Rates!$A:$A,0)),""))</f>
        <v>1</v>
      </c>
      <c r="S1277" s="26" t="str">
        <f aca="false">IF(AND($I1277="",$J1277=""),"",IF($J1277&lt;&gt;"",$J1277,IF(OR($R1277="",$R1277=0),"",ROUND($I1277/$R1277,2))))</f>
        <v/>
      </c>
      <c r="T1277" s="24" t="str">
        <f aca="false">IF($N1277="","",IFERROR(INDEX(VAT_Codes!$C:$C,MATCH($N1277,VAT_Codes!$A:$A,0)),"")&amp;"")</f>
        <v/>
      </c>
      <c r="U1277" s="26" t="n">
        <f aca="false">IF(OR($S1277="",$T1277="",$T1277="None"),0,IF($T1277="Output",-$S1277,$S1277))</f>
        <v>0</v>
      </c>
      <c r="V1277" s="27" t="n">
        <f aca="false">IF($N1277="",0,IFERROR(INDEX(VAT_Codes!$D:$D,MATCH($N1277,VAT_Codes!$A:$A,0)),0))</f>
        <v>0</v>
      </c>
      <c r="W1277" s="26" t="n">
        <f aca="false">IF($U1277=0,0,IF(IFERROR(INDEX(VAT_Codes!$F:$F,MATCH($N1277,VAT_Codes!$A:$A,0)),"N")="Y",$U1277,IF($L1277&lt;&gt;"",ROUND(ABS($L1277)/IF(OR($R1277="",$R1277=0),1,$R1277),2)*SIGN($U1277),ROUND($U1277*$V1277,2))))</f>
        <v>0</v>
      </c>
      <c r="X1277" s="24" t="str">
        <f aca="false">IF($N1277="","",IFERROR(INDEX(VAT_Codes!$H:$H,MATCH($N1277,VAT_Codes!$A:$A,0)),"")&amp;"")</f>
        <v/>
      </c>
      <c r="Y1277" s="24" t="str">
        <f aca="false">IF($A1277="","",(YEAR($A1277)-YEAR(Settings!$C$8))*12+MONTH($A1277)-MONTH(Settings!$C$8)+1)</f>
        <v/>
      </c>
      <c r="Z1277" s="24" t="str">
        <f aca="false">IF(AND($C1277="",$I1277="",$J1277=""),"",IF($N1277="","NO VAT CODE",IF($T1277="","UNKNOWN VAT CODE",IF($S1277="","MISSING FX RATE",IF(OR($A1277&lt;Settings!$C$8,$A1277&gt;Settings!$C$9),"OUTSIDE PERIOD",IF(AND(IFERROR(INDEX(VAT_Codes!$E:$E,MATCH($N1277,VAT_Codes!$A:$A,0)),"ANY")&lt;&gt;"ANY",$P1277=""),"MISSING COUNTERPARTY COUNTRY",IF(AND(IFERROR(INDEX(VAT_Codes!$E:$E,MATCH($N1277,VAT_Codes!$A:$A,0)),"ANY")&lt;&gt;"ANY",$P1277&lt;&gt;IFERROR(INDEX(VAT_Codes!$E:$E,MATCH($N1277,VAT_Codes!$A:$A,0)),"ANY")),"REGION MISMATCH","OK")))))))</f>
        <v/>
      </c>
    </row>
    <row r="1278" customFormat="false" ht="15" hidden="false" customHeight="false" outlineLevel="0" collapsed="false">
      <c r="M1278" s="24" t="str">
        <f aca="false">IF($C1278="","",IFERROR(INDEX(Account_Mapping!$C:$C,MATCH($C1278&amp;"",Account_Mapping!$A:$A,0))&amp;"",""))</f>
        <v/>
      </c>
      <c r="N1278" s="24" t="str">
        <f aca="false">IF($K1278&lt;&gt;"",$K1278,$M1278)</f>
        <v/>
      </c>
      <c r="O1278" s="24" t="str">
        <f aca="false">IF($F1278="","",IFERROR(INDEX(Counterparties!$C:$C,MATCH($F1278&amp;"",Counterparties!$A:$A,0))&amp;"",""))</f>
        <v/>
      </c>
      <c r="P1278" s="24" t="str">
        <f aca="false">IF($O1278="","",IF($O1278="CY","CY",IF(ISNUMBER(MATCH($O1278,Lists!$A:$A,0)),"EU","3RD")))</f>
        <v/>
      </c>
      <c r="Q1278" s="24" t="str">
        <f aca="false">IF($F1278="","N",IFERROR(IF(INDEX(Counterparties!$E:$E,MATCH($F1278&amp;"",Counterparties!$A:$A,0))="Y","Y","N"),"N"))</f>
        <v>N</v>
      </c>
      <c r="R1278" s="25" t="n">
        <f aca="false">IF(OR($H1278="",$H1278="EUR"),1,IFERROR(INDEX(FX_Rates!$D:$D,MATCH($H1278,FX_Rates!$A:$A,0)),""))</f>
        <v>1</v>
      </c>
      <c r="S1278" s="26" t="str">
        <f aca="false">IF(AND($I1278="",$J1278=""),"",IF($J1278&lt;&gt;"",$J1278,IF(OR($R1278="",$R1278=0),"",ROUND($I1278/$R1278,2))))</f>
        <v/>
      </c>
      <c r="T1278" s="24" t="str">
        <f aca="false">IF($N1278="","",IFERROR(INDEX(VAT_Codes!$C:$C,MATCH($N1278,VAT_Codes!$A:$A,0)),"")&amp;"")</f>
        <v/>
      </c>
      <c r="U1278" s="26" t="n">
        <f aca="false">IF(OR($S1278="",$T1278="",$T1278="None"),0,IF($T1278="Output",-$S1278,$S1278))</f>
        <v>0</v>
      </c>
      <c r="V1278" s="27" t="n">
        <f aca="false">IF($N1278="",0,IFERROR(INDEX(VAT_Codes!$D:$D,MATCH($N1278,VAT_Codes!$A:$A,0)),0))</f>
        <v>0</v>
      </c>
      <c r="W1278" s="26" t="n">
        <f aca="false">IF($U1278=0,0,IF(IFERROR(INDEX(VAT_Codes!$F:$F,MATCH($N1278,VAT_Codes!$A:$A,0)),"N")="Y",$U1278,IF($L1278&lt;&gt;"",ROUND(ABS($L1278)/IF(OR($R1278="",$R1278=0),1,$R1278),2)*SIGN($U1278),ROUND($U1278*$V1278,2))))</f>
        <v>0</v>
      </c>
      <c r="X1278" s="24" t="str">
        <f aca="false">IF($N1278="","",IFERROR(INDEX(VAT_Codes!$H:$H,MATCH($N1278,VAT_Codes!$A:$A,0)),"")&amp;"")</f>
        <v/>
      </c>
      <c r="Y1278" s="24" t="str">
        <f aca="false">IF($A1278="","",(YEAR($A1278)-YEAR(Settings!$C$8))*12+MONTH($A1278)-MONTH(Settings!$C$8)+1)</f>
        <v/>
      </c>
      <c r="Z1278" s="24" t="str">
        <f aca="false">IF(AND($C1278="",$I1278="",$J1278=""),"",IF($N1278="","NO VAT CODE",IF($T1278="","UNKNOWN VAT CODE",IF($S1278="","MISSING FX RATE",IF(OR($A1278&lt;Settings!$C$8,$A1278&gt;Settings!$C$9),"OUTSIDE PERIOD",IF(AND(IFERROR(INDEX(VAT_Codes!$E:$E,MATCH($N1278,VAT_Codes!$A:$A,0)),"ANY")&lt;&gt;"ANY",$P1278=""),"MISSING COUNTERPARTY COUNTRY",IF(AND(IFERROR(INDEX(VAT_Codes!$E:$E,MATCH($N1278,VAT_Codes!$A:$A,0)),"ANY")&lt;&gt;"ANY",$P1278&lt;&gt;IFERROR(INDEX(VAT_Codes!$E:$E,MATCH($N1278,VAT_Codes!$A:$A,0)),"ANY")),"REGION MISMATCH","OK")))))))</f>
        <v/>
      </c>
    </row>
    <row r="1279" customFormat="false" ht="15" hidden="false" customHeight="false" outlineLevel="0" collapsed="false">
      <c r="M1279" s="24" t="str">
        <f aca="false">IF($C1279="","",IFERROR(INDEX(Account_Mapping!$C:$C,MATCH($C1279&amp;"",Account_Mapping!$A:$A,0))&amp;"",""))</f>
        <v/>
      </c>
      <c r="N1279" s="24" t="str">
        <f aca="false">IF($K1279&lt;&gt;"",$K1279,$M1279)</f>
        <v/>
      </c>
      <c r="O1279" s="24" t="str">
        <f aca="false">IF($F1279="","",IFERROR(INDEX(Counterparties!$C:$C,MATCH($F1279&amp;"",Counterparties!$A:$A,0))&amp;"",""))</f>
        <v/>
      </c>
      <c r="P1279" s="24" t="str">
        <f aca="false">IF($O1279="","",IF($O1279="CY","CY",IF(ISNUMBER(MATCH($O1279,Lists!$A:$A,0)),"EU","3RD")))</f>
        <v/>
      </c>
      <c r="Q1279" s="24" t="str">
        <f aca="false">IF($F1279="","N",IFERROR(IF(INDEX(Counterparties!$E:$E,MATCH($F1279&amp;"",Counterparties!$A:$A,0))="Y","Y","N"),"N"))</f>
        <v>N</v>
      </c>
      <c r="R1279" s="25" t="n">
        <f aca="false">IF(OR($H1279="",$H1279="EUR"),1,IFERROR(INDEX(FX_Rates!$D:$D,MATCH($H1279,FX_Rates!$A:$A,0)),""))</f>
        <v>1</v>
      </c>
      <c r="S1279" s="26" t="str">
        <f aca="false">IF(AND($I1279="",$J1279=""),"",IF($J1279&lt;&gt;"",$J1279,IF(OR($R1279="",$R1279=0),"",ROUND($I1279/$R1279,2))))</f>
        <v/>
      </c>
      <c r="T1279" s="24" t="str">
        <f aca="false">IF($N1279="","",IFERROR(INDEX(VAT_Codes!$C:$C,MATCH($N1279,VAT_Codes!$A:$A,0)),"")&amp;"")</f>
        <v/>
      </c>
      <c r="U1279" s="26" t="n">
        <f aca="false">IF(OR($S1279="",$T1279="",$T1279="None"),0,IF($T1279="Output",-$S1279,$S1279))</f>
        <v>0</v>
      </c>
      <c r="V1279" s="27" t="n">
        <f aca="false">IF($N1279="",0,IFERROR(INDEX(VAT_Codes!$D:$D,MATCH($N1279,VAT_Codes!$A:$A,0)),0))</f>
        <v>0</v>
      </c>
      <c r="W1279" s="26" t="n">
        <f aca="false">IF($U1279=0,0,IF(IFERROR(INDEX(VAT_Codes!$F:$F,MATCH($N1279,VAT_Codes!$A:$A,0)),"N")="Y",$U1279,IF($L1279&lt;&gt;"",ROUND(ABS($L1279)/IF(OR($R1279="",$R1279=0),1,$R1279),2)*SIGN($U1279),ROUND($U1279*$V1279,2))))</f>
        <v>0</v>
      </c>
      <c r="X1279" s="24" t="str">
        <f aca="false">IF($N1279="","",IFERROR(INDEX(VAT_Codes!$H:$H,MATCH($N1279,VAT_Codes!$A:$A,0)),"")&amp;"")</f>
        <v/>
      </c>
      <c r="Y1279" s="24" t="str">
        <f aca="false">IF($A1279="","",(YEAR($A1279)-YEAR(Settings!$C$8))*12+MONTH($A1279)-MONTH(Settings!$C$8)+1)</f>
        <v/>
      </c>
      <c r="Z1279" s="24" t="str">
        <f aca="false">IF(AND($C1279="",$I1279="",$J1279=""),"",IF($N1279="","NO VAT CODE",IF($T1279="","UNKNOWN VAT CODE",IF($S1279="","MISSING FX RATE",IF(OR($A1279&lt;Settings!$C$8,$A1279&gt;Settings!$C$9),"OUTSIDE PERIOD",IF(AND(IFERROR(INDEX(VAT_Codes!$E:$E,MATCH($N1279,VAT_Codes!$A:$A,0)),"ANY")&lt;&gt;"ANY",$P1279=""),"MISSING COUNTERPARTY COUNTRY",IF(AND(IFERROR(INDEX(VAT_Codes!$E:$E,MATCH($N1279,VAT_Codes!$A:$A,0)),"ANY")&lt;&gt;"ANY",$P1279&lt;&gt;IFERROR(INDEX(VAT_Codes!$E:$E,MATCH($N1279,VAT_Codes!$A:$A,0)),"ANY")),"REGION MISMATCH","OK")))))))</f>
        <v/>
      </c>
    </row>
    <row r="1280" customFormat="false" ht="15" hidden="false" customHeight="false" outlineLevel="0" collapsed="false">
      <c r="M1280" s="24" t="str">
        <f aca="false">IF($C1280="","",IFERROR(INDEX(Account_Mapping!$C:$C,MATCH($C1280&amp;"",Account_Mapping!$A:$A,0))&amp;"",""))</f>
        <v/>
      </c>
      <c r="N1280" s="24" t="str">
        <f aca="false">IF($K1280&lt;&gt;"",$K1280,$M1280)</f>
        <v/>
      </c>
      <c r="O1280" s="24" t="str">
        <f aca="false">IF($F1280="","",IFERROR(INDEX(Counterparties!$C:$C,MATCH($F1280&amp;"",Counterparties!$A:$A,0))&amp;"",""))</f>
        <v/>
      </c>
      <c r="P1280" s="24" t="str">
        <f aca="false">IF($O1280="","",IF($O1280="CY","CY",IF(ISNUMBER(MATCH($O1280,Lists!$A:$A,0)),"EU","3RD")))</f>
        <v/>
      </c>
      <c r="Q1280" s="24" t="str">
        <f aca="false">IF($F1280="","N",IFERROR(IF(INDEX(Counterparties!$E:$E,MATCH($F1280&amp;"",Counterparties!$A:$A,0))="Y","Y","N"),"N"))</f>
        <v>N</v>
      </c>
      <c r="R1280" s="25" t="n">
        <f aca="false">IF(OR($H1280="",$H1280="EUR"),1,IFERROR(INDEX(FX_Rates!$D:$D,MATCH($H1280,FX_Rates!$A:$A,0)),""))</f>
        <v>1</v>
      </c>
      <c r="S1280" s="26" t="str">
        <f aca="false">IF(AND($I1280="",$J1280=""),"",IF($J1280&lt;&gt;"",$J1280,IF(OR($R1280="",$R1280=0),"",ROUND($I1280/$R1280,2))))</f>
        <v/>
      </c>
      <c r="T1280" s="24" t="str">
        <f aca="false">IF($N1280="","",IFERROR(INDEX(VAT_Codes!$C:$C,MATCH($N1280,VAT_Codes!$A:$A,0)),"")&amp;"")</f>
        <v/>
      </c>
      <c r="U1280" s="26" t="n">
        <f aca="false">IF(OR($S1280="",$T1280="",$T1280="None"),0,IF($T1280="Output",-$S1280,$S1280))</f>
        <v>0</v>
      </c>
      <c r="V1280" s="27" t="n">
        <f aca="false">IF($N1280="",0,IFERROR(INDEX(VAT_Codes!$D:$D,MATCH($N1280,VAT_Codes!$A:$A,0)),0))</f>
        <v>0</v>
      </c>
      <c r="W1280" s="26" t="n">
        <f aca="false">IF($U1280=0,0,IF(IFERROR(INDEX(VAT_Codes!$F:$F,MATCH($N1280,VAT_Codes!$A:$A,0)),"N")="Y",$U1280,IF($L1280&lt;&gt;"",ROUND(ABS($L1280)/IF(OR($R1280="",$R1280=0),1,$R1280),2)*SIGN($U1280),ROUND($U1280*$V1280,2))))</f>
        <v>0</v>
      </c>
      <c r="X1280" s="24" t="str">
        <f aca="false">IF($N1280="","",IFERROR(INDEX(VAT_Codes!$H:$H,MATCH($N1280,VAT_Codes!$A:$A,0)),"")&amp;"")</f>
        <v/>
      </c>
      <c r="Y1280" s="24" t="str">
        <f aca="false">IF($A1280="","",(YEAR($A1280)-YEAR(Settings!$C$8))*12+MONTH($A1280)-MONTH(Settings!$C$8)+1)</f>
        <v/>
      </c>
      <c r="Z1280" s="24" t="str">
        <f aca="false">IF(AND($C1280="",$I1280="",$J1280=""),"",IF($N1280="","NO VAT CODE",IF($T1280="","UNKNOWN VAT CODE",IF($S1280="","MISSING FX RATE",IF(OR($A1280&lt;Settings!$C$8,$A1280&gt;Settings!$C$9),"OUTSIDE PERIOD",IF(AND(IFERROR(INDEX(VAT_Codes!$E:$E,MATCH($N1280,VAT_Codes!$A:$A,0)),"ANY")&lt;&gt;"ANY",$P1280=""),"MISSING COUNTERPARTY COUNTRY",IF(AND(IFERROR(INDEX(VAT_Codes!$E:$E,MATCH($N1280,VAT_Codes!$A:$A,0)),"ANY")&lt;&gt;"ANY",$P1280&lt;&gt;IFERROR(INDEX(VAT_Codes!$E:$E,MATCH($N1280,VAT_Codes!$A:$A,0)),"ANY")),"REGION MISMATCH","OK")))))))</f>
        <v/>
      </c>
    </row>
    <row r="1281" customFormat="false" ht="15" hidden="false" customHeight="false" outlineLevel="0" collapsed="false">
      <c r="M1281" s="24" t="str">
        <f aca="false">IF($C1281="","",IFERROR(INDEX(Account_Mapping!$C:$C,MATCH($C1281&amp;"",Account_Mapping!$A:$A,0))&amp;"",""))</f>
        <v/>
      </c>
      <c r="N1281" s="24" t="str">
        <f aca="false">IF($K1281&lt;&gt;"",$K1281,$M1281)</f>
        <v/>
      </c>
      <c r="O1281" s="24" t="str">
        <f aca="false">IF($F1281="","",IFERROR(INDEX(Counterparties!$C:$C,MATCH($F1281&amp;"",Counterparties!$A:$A,0))&amp;"",""))</f>
        <v/>
      </c>
      <c r="P1281" s="24" t="str">
        <f aca="false">IF($O1281="","",IF($O1281="CY","CY",IF(ISNUMBER(MATCH($O1281,Lists!$A:$A,0)),"EU","3RD")))</f>
        <v/>
      </c>
      <c r="Q1281" s="24" t="str">
        <f aca="false">IF($F1281="","N",IFERROR(IF(INDEX(Counterparties!$E:$E,MATCH($F1281&amp;"",Counterparties!$A:$A,0))="Y","Y","N"),"N"))</f>
        <v>N</v>
      </c>
      <c r="R1281" s="25" t="n">
        <f aca="false">IF(OR($H1281="",$H1281="EUR"),1,IFERROR(INDEX(FX_Rates!$D:$D,MATCH($H1281,FX_Rates!$A:$A,0)),""))</f>
        <v>1</v>
      </c>
      <c r="S1281" s="26" t="str">
        <f aca="false">IF(AND($I1281="",$J1281=""),"",IF($J1281&lt;&gt;"",$J1281,IF(OR($R1281="",$R1281=0),"",ROUND($I1281/$R1281,2))))</f>
        <v/>
      </c>
      <c r="T1281" s="24" t="str">
        <f aca="false">IF($N1281="","",IFERROR(INDEX(VAT_Codes!$C:$C,MATCH($N1281,VAT_Codes!$A:$A,0)),"")&amp;"")</f>
        <v/>
      </c>
      <c r="U1281" s="26" t="n">
        <f aca="false">IF(OR($S1281="",$T1281="",$T1281="None"),0,IF($T1281="Output",-$S1281,$S1281))</f>
        <v>0</v>
      </c>
      <c r="V1281" s="27" t="n">
        <f aca="false">IF($N1281="",0,IFERROR(INDEX(VAT_Codes!$D:$D,MATCH($N1281,VAT_Codes!$A:$A,0)),0))</f>
        <v>0</v>
      </c>
      <c r="W1281" s="26" t="n">
        <f aca="false">IF($U1281=0,0,IF(IFERROR(INDEX(VAT_Codes!$F:$F,MATCH($N1281,VAT_Codes!$A:$A,0)),"N")="Y",$U1281,IF($L1281&lt;&gt;"",ROUND(ABS($L1281)/IF(OR($R1281="",$R1281=0),1,$R1281),2)*SIGN($U1281),ROUND($U1281*$V1281,2))))</f>
        <v>0</v>
      </c>
      <c r="X1281" s="24" t="str">
        <f aca="false">IF($N1281="","",IFERROR(INDEX(VAT_Codes!$H:$H,MATCH($N1281,VAT_Codes!$A:$A,0)),"")&amp;"")</f>
        <v/>
      </c>
      <c r="Y1281" s="24" t="str">
        <f aca="false">IF($A1281="","",(YEAR($A1281)-YEAR(Settings!$C$8))*12+MONTH($A1281)-MONTH(Settings!$C$8)+1)</f>
        <v/>
      </c>
      <c r="Z1281" s="24" t="str">
        <f aca="false">IF(AND($C1281="",$I1281="",$J1281=""),"",IF($N1281="","NO VAT CODE",IF($T1281="","UNKNOWN VAT CODE",IF($S1281="","MISSING FX RATE",IF(OR($A1281&lt;Settings!$C$8,$A1281&gt;Settings!$C$9),"OUTSIDE PERIOD",IF(AND(IFERROR(INDEX(VAT_Codes!$E:$E,MATCH($N1281,VAT_Codes!$A:$A,0)),"ANY")&lt;&gt;"ANY",$P1281=""),"MISSING COUNTERPARTY COUNTRY",IF(AND(IFERROR(INDEX(VAT_Codes!$E:$E,MATCH($N1281,VAT_Codes!$A:$A,0)),"ANY")&lt;&gt;"ANY",$P1281&lt;&gt;IFERROR(INDEX(VAT_Codes!$E:$E,MATCH($N1281,VAT_Codes!$A:$A,0)),"ANY")),"REGION MISMATCH","OK")))))))</f>
        <v/>
      </c>
    </row>
    <row r="1282" customFormat="false" ht="15" hidden="false" customHeight="false" outlineLevel="0" collapsed="false">
      <c r="M1282" s="24" t="str">
        <f aca="false">IF($C1282="","",IFERROR(INDEX(Account_Mapping!$C:$C,MATCH($C1282&amp;"",Account_Mapping!$A:$A,0))&amp;"",""))</f>
        <v/>
      </c>
      <c r="N1282" s="24" t="str">
        <f aca="false">IF($K1282&lt;&gt;"",$K1282,$M1282)</f>
        <v/>
      </c>
      <c r="O1282" s="24" t="str">
        <f aca="false">IF($F1282="","",IFERROR(INDEX(Counterparties!$C:$C,MATCH($F1282&amp;"",Counterparties!$A:$A,0))&amp;"",""))</f>
        <v/>
      </c>
      <c r="P1282" s="24" t="str">
        <f aca="false">IF($O1282="","",IF($O1282="CY","CY",IF(ISNUMBER(MATCH($O1282,Lists!$A:$A,0)),"EU","3RD")))</f>
        <v/>
      </c>
      <c r="Q1282" s="24" t="str">
        <f aca="false">IF($F1282="","N",IFERROR(IF(INDEX(Counterparties!$E:$E,MATCH($F1282&amp;"",Counterparties!$A:$A,0))="Y","Y","N"),"N"))</f>
        <v>N</v>
      </c>
      <c r="R1282" s="25" t="n">
        <f aca="false">IF(OR($H1282="",$H1282="EUR"),1,IFERROR(INDEX(FX_Rates!$D:$D,MATCH($H1282,FX_Rates!$A:$A,0)),""))</f>
        <v>1</v>
      </c>
      <c r="S1282" s="26" t="str">
        <f aca="false">IF(AND($I1282="",$J1282=""),"",IF($J1282&lt;&gt;"",$J1282,IF(OR($R1282="",$R1282=0),"",ROUND($I1282/$R1282,2))))</f>
        <v/>
      </c>
      <c r="T1282" s="24" t="str">
        <f aca="false">IF($N1282="","",IFERROR(INDEX(VAT_Codes!$C:$C,MATCH($N1282,VAT_Codes!$A:$A,0)),"")&amp;"")</f>
        <v/>
      </c>
      <c r="U1282" s="26" t="n">
        <f aca="false">IF(OR($S1282="",$T1282="",$T1282="None"),0,IF($T1282="Output",-$S1282,$S1282))</f>
        <v>0</v>
      </c>
      <c r="V1282" s="27" t="n">
        <f aca="false">IF($N1282="",0,IFERROR(INDEX(VAT_Codes!$D:$D,MATCH($N1282,VAT_Codes!$A:$A,0)),0))</f>
        <v>0</v>
      </c>
      <c r="W1282" s="26" t="n">
        <f aca="false">IF($U1282=0,0,IF(IFERROR(INDEX(VAT_Codes!$F:$F,MATCH($N1282,VAT_Codes!$A:$A,0)),"N")="Y",$U1282,IF($L1282&lt;&gt;"",ROUND(ABS($L1282)/IF(OR($R1282="",$R1282=0),1,$R1282),2)*SIGN($U1282),ROUND($U1282*$V1282,2))))</f>
        <v>0</v>
      </c>
      <c r="X1282" s="24" t="str">
        <f aca="false">IF($N1282="","",IFERROR(INDEX(VAT_Codes!$H:$H,MATCH($N1282,VAT_Codes!$A:$A,0)),"")&amp;"")</f>
        <v/>
      </c>
      <c r="Y1282" s="24" t="str">
        <f aca="false">IF($A1282="","",(YEAR($A1282)-YEAR(Settings!$C$8))*12+MONTH($A1282)-MONTH(Settings!$C$8)+1)</f>
        <v/>
      </c>
      <c r="Z1282" s="24" t="str">
        <f aca="false">IF(AND($C1282="",$I1282="",$J1282=""),"",IF($N1282="","NO VAT CODE",IF($T1282="","UNKNOWN VAT CODE",IF($S1282="","MISSING FX RATE",IF(OR($A1282&lt;Settings!$C$8,$A1282&gt;Settings!$C$9),"OUTSIDE PERIOD",IF(AND(IFERROR(INDEX(VAT_Codes!$E:$E,MATCH($N1282,VAT_Codes!$A:$A,0)),"ANY")&lt;&gt;"ANY",$P1282=""),"MISSING COUNTERPARTY COUNTRY",IF(AND(IFERROR(INDEX(VAT_Codes!$E:$E,MATCH($N1282,VAT_Codes!$A:$A,0)),"ANY")&lt;&gt;"ANY",$P1282&lt;&gt;IFERROR(INDEX(VAT_Codes!$E:$E,MATCH($N1282,VAT_Codes!$A:$A,0)),"ANY")),"REGION MISMATCH","OK")))))))</f>
        <v/>
      </c>
    </row>
    <row r="1283" customFormat="false" ht="15" hidden="false" customHeight="false" outlineLevel="0" collapsed="false">
      <c r="M1283" s="24" t="str">
        <f aca="false">IF($C1283="","",IFERROR(INDEX(Account_Mapping!$C:$C,MATCH($C1283&amp;"",Account_Mapping!$A:$A,0))&amp;"",""))</f>
        <v/>
      </c>
      <c r="N1283" s="24" t="str">
        <f aca="false">IF($K1283&lt;&gt;"",$K1283,$M1283)</f>
        <v/>
      </c>
      <c r="O1283" s="24" t="str">
        <f aca="false">IF($F1283="","",IFERROR(INDEX(Counterparties!$C:$C,MATCH($F1283&amp;"",Counterparties!$A:$A,0))&amp;"",""))</f>
        <v/>
      </c>
      <c r="P1283" s="24" t="str">
        <f aca="false">IF($O1283="","",IF($O1283="CY","CY",IF(ISNUMBER(MATCH($O1283,Lists!$A:$A,0)),"EU","3RD")))</f>
        <v/>
      </c>
      <c r="Q1283" s="24" t="str">
        <f aca="false">IF($F1283="","N",IFERROR(IF(INDEX(Counterparties!$E:$E,MATCH($F1283&amp;"",Counterparties!$A:$A,0))="Y","Y","N"),"N"))</f>
        <v>N</v>
      </c>
      <c r="R1283" s="25" t="n">
        <f aca="false">IF(OR($H1283="",$H1283="EUR"),1,IFERROR(INDEX(FX_Rates!$D:$D,MATCH($H1283,FX_Rates!$A:$A,0)),""))</f>
        <v>1</v>
      </c>
      <c r="S1283" s="26" t="str">
        <f aca="false">IF(AND($I1283="",$J1283=""),"",IF($J1283&lt;&gt;"",$J1283,IF(OR($R1283="",$R1283=0),"",ROUND($I1283/$R1283,2))))</f>
        <v/>
      </c>
      <c r="T1283" s="24" t="str">
        <f aca="false">IF($N1283="","",IFERROR(INDEX(VAT_Codes!$C:$C,MATCH($N1283,VAT_Codes!$A:$A,0)),"")&amp;"")</f>
        <v/>
      </c>
      <c r="U1283" s="26" t="n">
        <f aca="false">IF(OR($S1283="",$T1283="",$T1283="None"),0,IF($T1283="Output",-$S1283,$S1283))</f>
        <v>0</v>
      </c>
      <c r="V1283" s="27" t="n">
        <f aca="false">IF($N1283="",0,IFERROR(INDEX(VAT_Codes!$D:$D,MATCH($N1283,VAT_Codes!$A:$A,0)),0))</f>
        <v>0</v>
      </c>
      <c r="W1283" s="26" t="n">
        <f aca="false">IF($U1283=0,0,IF(IFERROR(INDEX(VAT_Codes!$F:$F,MATCH($N1283,VAT_Codes!$A:$A,0)),"N")="Y",$U1283,IF($L1283&lt;&gt;"",ROUND(ABS($L1283)/IF(OR($R1283="",$R1283=0),1,$R1283),2)*SIGN($U1283),ROUND($U1283*$V1283,2))))</f>
        <v>0</v>
      </c>
      <c r="X1283" s="24" t="str">
        <f aca="false">IF($N1283="","",IFERROR(INDEX(VAT_Codes!$H:$H,MATCH($N1283,VAT_Codes!$A:$A,0)),"")&amp;"")</f>
        <v/>
      </c>
      <c r="Y1283" s="24" t="str">
        <f aca="false">IF($A1283="","",(YEAR($A1283)-YEAR(Settings!$C$8))*12+MONTH($A1283)-MONTH(Settings!$C$8)+1)</f>
        <v/>
      </c>
      <c r="Z1283" s="24" t="str">
        <f aca="false">IF(AND($C1283="",$I1283="",$J1283=""),"",IF($N1283="","NO VAT CODE",IF($T1283="","UNKNOWN VAT CODE",IF($S1283="","MISSING FX RATE",IF(OR($A1283&lt;Settings!$C$8,$A1283&gt;Settings!$C$9),"OUTSIDE PERIOD",IF(AND(IFERROR(INDEX(VAT_Codes!$E:$E,MATCH($N1283,VAT_Codes!$A:$A,0)),"ANY")&lt;&gt;"ANY",$P1283=""),"MISSING COUNTERPARTY COUNTRY",IF(AND(IFERROR(INDEX(VAT_Codes!$E:$E,MATCH($N1283,VAT_Codes!$A:$A,0)),"ANY")&lt;&gt;"ANY",$P1283&lt;&gt;IFERROR(INDEX(VAT_Codes!$E:$E,MATCH($N1283,VAT_Codes!$A:$A,0)),"ANY")),"REGION MISMATCH","OK")))))))</f>
        <v/>
      </c>
    </row>
    <row r="1284" customFormat="false" ht="15" hidden="false" customHeight="false" outlineLevel="0" collapsed="false">
      <c r="M1284" s="24" t="str">
        <f aca="false">IF($C1284="","",IFERROR(INDEX(Account_Mapping!$C:$C,MATCH($C1284&amp;"",Account_Mapping!$A:$A,0))&amp;"",""))</f>
        <v/>
      </c>
      <c r="N1284" s="24" t="str">
        <f aca="false">IF($K1284&lt;&gt;"",$K1284,$M1284)</f>
        <v/>
      </c>
      <c r="O1284" s="24" t="str">
        <f aca="false">IF($F1284="","",IFERROR(INDEX(Counterparties!$C:$C,MATCH($F1284&amp;"",Counterparties!$A:$A,0))&amp;"",""))</f>
        <v/>
      </c>
      <c r="P1284" s="24" t="str">
        <f aca="false">IF($O1284="","",IF($O1284="CY","CY",IF(ISNUMBER(MATCH($O1284,Lists!$A:$A,0)),"EU","3RD")))</f>
        <v/>
      </c>
      <c r="Q1284" s="24" t="str">
        <f aca="false">IF($F1284="","N",IFERROR(IF(INDEX(Counterparties!$E:$E,MATCH($F1284&amp;"",Counterparties!$A:$A,0))="Y","Y","N"),"N"))</f>
        <v>N</v>
      </c>
      <c r="R1284" s="25" t="n">
        <f aca="false">IF(OR($H1284="",$H1284="EUR"),1,IFERROR(INDEX(FX_Rates!$D:$D,MATCH($H1284,FX_Rates!$A:$A,0)),""))</f>
        <v>1</v>
      </c>
      <c r="S1284" s="26" t="str">
        <f aca="false">IF(AND($I1284="",$J1284=""),"",IF($J1284&lt;&gt;"",$J1284,IF(OR($R1284="",$R1284=0),"",ROUND($I1284/$R1284,2))))</f>
        <v/>
      </c>
      <c r="T1284" s="24" t="str">
        <f aca="false">IF($N1284="","",IFERROR(INDEX(VAT_Codes!$C:$C,MATCH($N1284,VAT_Codes!$A:$A,0)),"")&amp;"")</f>
        <v/>
      </c>
      <c r="U1284" s="26" t="n">
        <f aca="false">IF(OR($S1284="",$T1284="",$T1284="None"),0,IF($T1284="Output",-$S1284,$S1284))</f>
        <v>0</v>
      </c>
      <c r="V1284" s="27" t="n">
        <f aca="false">IF($N1284="",0,IFERROR(INDEX(VAT_Codes!$D:$D,MATCH($N1284,VAT_Codes!$A:$A,0)),0))</f>
        <v>0</v>
      </c>
      <c r="W1284" s="26" t="n">
        <f aca="false">IF($U1284=0,0,IF(IFERROR(INDEX(VAT_Codes!$F:$F,MATCH($N1284,VAT_Codes!$A:$A,0)),"N")="Y",$U1284,IF($L1284&lt;&gt;"",ROUND(ABS($L1284)/IF(OR($R1284="",$R1284=0),1,$R1284),2)*SIGN($U1284),ROUND($U1284*$V1284,2))))</f>
        <v>0</v>
      </c>
      <c r="X1284" s="24" t="str">
        <f aca="false">IF($N1284="","",IFERROR(INDEX(VAT_Codes!$H:$H,MATCH($N1284,VAT_Codes!$A:$A,0)),"")&amp;"")</f>
        <v/>
      </c>
      <c r="Y1284" s="24" t="str">
        <f aca="false">IF($A1284="","",(YEAR($A1284)-YEAR(Settings!$C$8))*12+MONTH($A1284)-MONTH(Settings!$C$8)+1)</f>
        <v/>
      </c>
      <c r="Z1284" s="24" t="str">
        <f aca="false">IF(AND($C1284="",$I1284="",$J1284=""),"",IF($N1284="","NO VAT CODE",IF($T1284="","UNKNOWN VAT CODE",IF($S1284="","MISSING FX RATE",IF(OR($A1284&lt;Settings!$C$8,$A1284&gt;Settings!$C$9),"OUTSIDE PERIOD",IF(AND(IFERROR(INDEX(VAT_Codes!$E:$E,MATCH($N1284,VAT_Codes!$A:$A,0)),"ANY")&lt;&gt;"ANY",$P1284=""),"MISSING COUNTERPARTY COUNTRY",IF(AND(IFERROR(INDEX(VAT_Codes!$E:$E,MATCH($N1284,VAT_Codes!$A:$A,0)),"ANY")&lt;&gt;"ANY",$P1284&lt;&gt;IFERROR(INDEX(VAT_Codes!$E:$E,MATCH($N1284,VAT_Codes!$A:$A,0)),"ANY")),"REGION MISMATCH","OK")))))))</f>
        <v/>
      </c>
    </row>
    <row r="1285" customFormat="false" ht="15" hidden="false" customHeight="false" outlineLevel="0" collapsed="false">
      <c r="M1285" s="24" t="str">
        <f aca="false">IF($C1285="","",IFERROR(INDEX(Account_Mapping!$C:$C,MATCH($C1285&amp;"",Account_Mapping!$A:$A,0))&amp;"",""))</f>
        <v/>
      </c>
      <c r="N1285" s="24" t="str">
        <f aca="false">IF($K1285&lt;&gt;"",$K1285,$M1285)</f>
        <v/>
      </c>
      <c r="O1285" s="24" t="str">
        <f aca="false">IF($F1285="","",IFERROR(INDEX(Counterparties!$C:$C,MATCH($F1285&amp;"",Counterparties!$A:$A,0))&amp;"",""))</f>
        <v/>
      </c>
      <c r="P1285" s="24" t="str">
        <f aca="false">IF($O1285="","",IF($O1285="CY","CY",IF(ISNUMBER(MATCH($O1285,Lists!$A:$A,0)),"EU","3RD")))</f>
        <v/>
      </c>
      <c r="Q1285" s="24" t="str">
        <f aca="false">IF($F1285="","N",IFERROR(IF(INDEX(Counterparties!$E:$E,MATCH($F1285&amp;"",Counterparties!$A:$A,0))="Y","Y","N"),"N"))</f>
        <v>N</v>
      </c>
      <c r="R1285" s="25" t="n">
        <f aca="false">IF(OR($H1285="",$H1285="EUR"),1,IFERROR(INDEX(FX_Rates!$D:$D,MATCH($H1285,FX_Rates!$A:$A,0)),""))</f>
        <v>1</v>
      </c>
      <c r="S1285" s="26" t="str">
        <f aca="false">IF(AND($I1285="",$J1285=""),"",IF($J1285&lt;&gt;"",$J1285,IF(OR($R1285="",$R1285=0),"",ROUND($I1285/$R1285,2))))</f>
        <v/>
      </c>
      <c r="T1285" s="24" t="str">
        <f aca="false">IF($N1285="","",IFERROR(INDEX(VAT_Codes!$C:$C,MATCH($N1285,VAT_Codes!$A:$A,0)),"")&amp;"")</f>
        <v/>
      </c>
      <c r="U1285" s="26" t="n">
        <f aca="false">IF(OR($S1285="",$T1285="",$T1285="None"),0,IF($T1285="Output",-$S1285,$S1285))</f>
        <v>0</v>
      </c>
      <c r="V1285" s="27" t="n">
        <f aca="false">IF($N1285="",0,IFERROR(INDEX(VAT_Codes!$D:$D,MATCH($N1285,VAT_Codes!$A:$A,0)),0))</f>
        <v>0</v>
      </c>
      <c r="W1285" s="26" t="n">
        <f aca="false">IF($U1285=0,0,IF(IFERROR(INDEX(VAT_Codes!$F:$F,MATCH($N1285,VAT_Codes!$A:$A,0)),"N")="Y",$U1285,IF($L1285&lt;&gt;"",ROUND(ABS($L1285)/IF(OR($R1285="",$R1285=0),1,$R1285),2)*SIGN($U1285),ROUND($U1285*$V1285,2))))</f>
        <v>0</v>
      </c>
      <c r="X1285" s="24" t="str">
        <f aca="false">IF($N1285="","",IFERROR(INDEX(VAT_Codes!$H:$H,MATCH($N1285,VAT_Codes!$A:$A,0)),"")&amp;"")</f>
        <v/>
      </c>
      <c r="Y1285" s="24" t="str">
        <f aca="false">IF($A1285="","",(YEAR($A1285)-YEAR(Settings!$C$8))*12+MONTH($A1285)-MONTH(Settings!$C$8)+1)</f>
        <v/>
      </c>
      <c r="Z1285" s="24" t="str">
        <f aca="false">IF(AND($C1285="",$I1285="",$J1285=""),"",IF($N1285="","NO VAT CODE",IF($T1285="","UNKNOWN VAT CODE",IF($S1285="","MISSING FX RATE",IF(OR($A1285&lt;Settings!$C$8,$A1285&gt;Settings!$C$9),"OUTSIDE PERIOD",IF(AND(IFERROR(INDEX(VAT_Codes!$E:$E,MATCH($N1285,VAT_Codes!$A:$A,0)),"ANY")&lt;&gt;"ANY",$P1285=""),"MISSING COUNTERPARTY COUNTRY",IF(AND(IFERROR(INDEX(VAT_Codes!$E:$E,MATCH($N1285,VAT_Codes!$A:$A,0)),"ANY")&lt;&gt;"ANY",$P1285&lt;&gt;IFERROR(INDEX(VAT_Codes!$E:$E,MATCH($N1285,VAT_Codes!$A:$A,0)),"ANY")),"REGION MISMATCH","OK")))))))</f>
        <v/>
      </c>
    </row>
    <row r="1286" customFormat="false" ht="15" hidden="false" customHeight="false" outlineLevel="0" collapsed="false">
      <c r="M1286" s="24" t="str">
        <f aca="false">IF($C1286="","",IFERROR(INDEX(Account_Mapping!$C:$C,MATCH($C1286&amp;"",Account_Mapping!$A:$A,0))&amp;"",""))</f>
        <v/>
      </c>
      <c r="N1286" s="24" t="str">
        <f aca="false">IF($K1286&lt;&gt;"",$K1286,$M1286)</f>
        <v/>
      </c>
      <c r="O1286" s="24" t="str">
        <f aca="false">IF($F1286="","",IFERROR(INDEX(Counterparties!$C:$C,MATCH($F1286&amp;"",Counterparties!$A:$A,0))&amp;"",""))</f>
        <v/>
      </c>
      <c r="P1286" s="24" t="str">
        <f aca="false">IF($O1286="","",IF($O1286="CY","CY",IF(ISNUMBER(MATCH($O1286,Lists!$A:$A,0)),"EU","3RD")))</f>
        <v/>
      </c>
      <c r="Q1286" s="24" t="str">
        <f aca="false">IF($F1286="","N",IFERROR(IF(INDEX(Counterparties!$E:$E,MATCH($F1286&amp;"",Counterparties!$A:$A,0))="Y","Y","N"),"N"))</f>
        <v>N</v>
      </c>
      <c r="R1286" s="25" t="n">
        <f aca="false">IF(OR($H1286="",$H1286="EUR"),1,IFERROR(INDEX(FX_Rates!$D:$D,MATCH($H1286,FX_Rates!$A:$A,0)),""))</f>
        <v>1</v>
      </c>
      <c r="S1286" s="26" t="str">
        <f aca="false">IF(AND($I1286="",$J1286=""),"",IF($J1286&lt;&gt;"",$J1286,IF(OR($R1286="",$R1286=0),"",ROUND($I1286/$R1286,2))))</f>
        <v/>
      </c>
      <c r="T1286" s="24" t="str">
        <f aca="false">IF($N1286="","",IFERROR(INDEX(VAT_Codes!$C:$C,MATCH($N1286,VAT_Codes!$A:$A,0)),"")&amp;"")</f>
        <v/>
      </c>
      <c r="U1286" s="26" t="n">
        <f aca="false">IF(OR($S1286="",$T1286="",$T1286="None"),0,IF($T1286="Output",-$S1286,$S1286))</f>
        <v>0</v>
      </c>
      <c r="V1286" s="27" t="n">
        <f aca="false">IF($N1286="",0,IFERROR(INDEX(VAT_Codes!$D:$D,MATCH($N1286,VAT_Codes!$A:$A,0)),0))</f>
        <v>0</v>
      </c>
      <c r="W1286" s="26" t="n">
        <f aca="false">IF($U1286=0,0,IF(IFERROR(INDEX(VAT_Codes!$F:$F,MATCH($N1286,VAT_Codes!$A:$A,0)),"N")="Y",$U1286,IF($L1286&lt;&gt;"",ROUND(ABS($L1286)/IF(OR($R1286="",$R1286=0),1,$R1286),2)*SIGN($U1286),ROUND($U1286*$V1286,2))))</f>
        <v>0</v>
      </c>
      <c r="X1286" s="24" t="str">
        <f aca="false">IF($N1286="","",IFERROR(INDEX(VAT_Codes!$H:$H,MATCH($N1286,VAT_Codes!$A:$A,0)),"")&amp;"")</f>
        <v/>
      </c>
      <c r="Y1286" s="24" t="str">
        <f aca="false">IF($A1286="","",(YEAR($A1286)-YEAR(Settings!$C$8))*12+MONTH($A1286)-MONTH(Settings!$C$8)+1)</f>
        <v/>
      </c>
      <c r="Z1286" s="24" t="str">
        <f aca="false">IF(AND($C1286="",$I1286="",$J1286=""),"",IF($N1286="","NO VAT CODE",IF($T1286="","UNKNOWN VAT CODE",IF($S1286="","MISSING FX RATE",IF(OR($A1286&lt;Settings!$C$8,$A1286&gt;Settings!$C$9),"OUTSIDE PERIOD",IF(AND(IFERROR(INDEX(VAT_Codes!$E:$E,MATCH($N1286,VAT_Codes!$A:$A,0)),"ANY")&lt;&gt;"ANY",$P1286=""),"MISSING COUNTERPARTY COUNTRY",IF(AND(IFERROR(INDEX(VAT_Codes!$E:$E,MATCH($N1286,VAT_Codes!$A:$A,0)),"ANY")&lt;&gt;"ANY",$P1286&lt;&gt;IFERROR(INDEX(VAT_Codes!$E:$E,MATCH($N1286,VAT_Codes!$A:$A,0)),"ANY")),"REGION MISMATCH","OK")))))))</f>
        <v/>
      </c>
    </row>
    <row r="1287" customFormat="false" ht="15" hidden="false" customHeight="false" outlineLevel="0" collapsed="false">
      <c r="M1287" s="24" t="str">
        <f aca="false">IF($C1287="","",IFERROR(INDEX(Account_Mapping!$C:$C,MATCH($C1287&amp;"",Account_Mapping!$A:$A,0))&amp;"",""))</f>
        <v/>
      </c>
      <c r="N1287" s="24" t="str">
        <f aca="false">IF($K1287&lt;&gt;"",$K1287,$M1287)</f>
        <v/>
      </c>
      <c r="O1287" s="24" t="str">
        <f aca="false">IF($F1287="","",IFERROR(INDEX(Counterparties!$C:$C,MATCH($F1287&amp;"",Counterparties!$A:$A,0))&amp;"",""))</f>
        <v/>
      </c>
      <c r="P1287" s="24" t="str">
        <f aca="false">IF($O1287="","",IF($O1287="CY","CY",IF(ISNUMBER(MATCH($O1287,Lists!$A:$A,0)),"EU","3RD")))</f>
        <v/>
      </c>
      <c r="Q1287" s="24" t="str">
        <f aca="false">IF($F1287="","N",IFERROR(IF(INDEX(Counterparties!$E:$E,MATCH($F1287&amp;"",Counterparties!$A:$A,0))="Y","Y","N"),"N"))</f>
        <v>N</v>
      </c>
      <c r="R1287" s="25" t="n">
        <f aca="false">IF(OR($H1287="",$H1287="EUR"),1,IFERROR(INDEX(FX_Rates!$D:$D,MATCH($H1287,FX_Rates!$A:$A,0)),""))</f>
        <v>1</v>
      </c>
      <c r="S1287" s="26" t="str">
        <f aca="false">IF(AND($I1287="",$J1287=""),"",IF($J1287&lt;&gt;"",$J1287,IF(OR($R1287="",$R1287=0),"",ROUND($I1287/$R1287,2))))</f>
        <v/>
      </c>
      <c r="T1287" s="24" t="str">
        <f aca="false">IF($N1287="","",IFERROR(INDEX(VAT_Codes!$C:$C,MATCH($N1287,VAT_Codes!$A:$A,0)),"")&amp;"")</f>
        <v/>
      </c>
      <c r="U1287" s="26" t="n">
        <f aca="false">IF(OR($S1287="",$T1287="",$T1287="None"),0,IF($T1287="Output",-$S1287,$S1287))</f>
        <v>0</v>
      </c>
      <c r="V1287" s="27" t="n">
        <f aca="false">IF($N1287="",0,IFERROR(INDEX(VAT_Codes!$D:$D,MATCH($N1287,VAT_Codes!$A:$A,0)),0))</f>
        <v>0</v>
      </c>
      <c r="W1287" s="26" t="n">
        <f aca="false">IF($U1287=0,0,IF(IFERROR(INDEX(VAT_Codes!$F:$F,MATCH($N1287,VAT_Codes!$A:$A,0)),"N")="Y",$U1287,IF($L1287&lt;&gt;"",ROUND(ABS($L1287)/IF(OR($R1287="",$R1287=0),1,$R1287),2)*SIGN($U1287),ROUND($U1287*$V1287,2))))</f>
        <v>0</v>
      </c>
      <c r="X1287" s="24" t="str">
        <f aca="false">IF($N1287="","",IFERROR(INDEX(VAT_Codes!$H:$H,MATCH($N1287,VAT_Codes!$A:$A,0)),"")&amp;"")</f>
        <v/>
      </c>
      <c r="Y1287" s="24" t="str">
        <f aca="false">IF($A1287="","",(YEAR($A1287)-YEAR(Settings!$C$8))*12+MONTH($A1287)-MONTH(Settings!$C$8)+1)</f>
        <v/>
      </c>
      <c r="Z1287" s="24" t="str">
        <f aca="false">IF(AND($C1287="",$I1287="",$J1287=""),"",IF($N1287="","NO VAT CODE",IF($T1287="","UNKNOWN VAT CODE",IF($S1287="","MISSING FX RATE",IF(OR($A1287&lt;Settings!$C$8,$A1287&gt;Settings!$C$9),"OUTSIDE PERIOD",IF(AND(IFERROR(INDEX(VAT_Codes!$E:$E,MATCH($N1287,VAT_Codes!$A:$A,0)),"ANY")&lt;&gt;"ANY",$P1287=""),"MISSING COUNTERPARTY COUNTRY",IF(AND(IFERROR(INDEX(VAT_Codes!$E:$E,MATCH($N1287,VAT_Codes!$A:$A,0)),"ANY")&lt;&gt;"ANY",$P1287&lt;&gt;IFERROR(INDEX(VAT_Codes!$E:$E,MATCH($N1287,VAT_Codes!$A:$A,0)),"ANY")),"REGION MISMATCH","OK")))))))</f>
        <v/>
      </c>
    </row>
    <row r="1288" customFormat="false" ht="15" hidden="false" customHeight="false" outlineLevel="0" collapsed="false">
      <c r="M1288" s="24" t="str">
        <f aca="false">IF($C1288="","",IFERROR(INDEX(Account_Mapping!$C:$C,MATCH($C1288&amp;"",Account_Mapping!$A:$A,0))&amp;"",""))</f>
        <v/>
      </c>
      <c r="N1288" s="24" t="str">
        <f aca="false">IF($K1288&lt;&gt;"",$K1288,$M1288)</f>
        <v/>
      </c>
      <c r="O1288" s="24" t="str">
        <f aca="false">IF($F1288="","",IFERROR(INDEX(Counterparties!$C:$C,MATCH($F1288&amp;"",Counterparties!$A:$A,0))&amp;"",""))</f>
        <v/>
      </c>
      <c r="P1288" s="24" t="str">
        <f aca="false">IF($O1288="","",IF($O1288="CY","CY",IF(ISNUMBER(MATCH($O1288,Lists!$A:$A,0)),"EU","3RD")))</f>
        <v/>
      </c>
      <c r="Q1288" s="24" t="str">
        <f aca="false">IF($F1288="","N",IFERROR(IF(INDEX(Counterparties!$E:$E,MATCH($F1288&amp;"",Counterparties!$A:$A,0))="Y","Y","N"),"N"))</f>
        <v>N</v>
      </c>
      <c r="R1288" s="25" t="n">
        <f aca="false">IF(OR($H1288="",$H1288="EUR"),1,IFERROR(INDEX(FX_Rates!$D:$D,MATCH($H1288,FX_Rates!$A:$A,0)),""))</f>
        <v>1</v>
      </c>
      <c r="S1288" s="26" t="str">
        <f aca="false">IF(AND($I1288="",$J1288=""),"",IF($J1288&lt;&gt;"",$J1288,IF(OR($R1288="",$R1288=0),"",ROUND($I1288/$R1288,2))))</f>
        <v/>
      </c>
      <c r="T1288" s="24" t="str">
        <f aca="false">IF($N1288="","",IFERROR(INDEX(VAT_Codes!$C:$C,MATCH($N1288,VAT_Codes!$A:$A,0)),"")&amp;"")</f>
        <v/>
      </c>
      <c r="U1288" s="26" t="n">
        <f aca="false">IF(OR($S1288="",$T1288="",$T1288="None"),0,IF($T1288="Output",-$S1288,$S1288))</f>
        <v>0</v>
      </c>
      <c r="V1288" s="27" t="n">
        <f aca="false">IF($N1288="",0,IFERROR(INDEX(VAT_Codes!$D:$D,MATCH($N1288,VAT_Codes!$A:$A,0)),0))</f>
        <v>0</v>
      </c>
      <c r="W1288" s="26" t="n">
        <f aca="false">IF($U1288=0,0,IF(IFERROR(INDEX(VAT_Codes!$F:$F,MATCH($N1288,VAT_Codes!$A:$A,0)),"N")="Y",$U1288,IF($L1288&lt;&gt;"",ROUND(ABS($L1288)/IF(OR($R1288="",$R1288=0),1,$R1288),2)*SIGN($U1288),ROUND($U1288*$V1288,2))))</f>
        <v>0</v>
      </c>
      <c r="X1288" s="24" t="str">
        <f aca="false">IF($N1288="","",IFERROR(INDEX(VAT_Codes!$H:$H,MATCH($N1288,VAT_Codes!$A:$A,0)),"")&amp;"")</f>
        <v/>
      </c>
      <c r="Y1288" s="24" t="str">
        <f aca="false">IF($A1288="","",(YEAR($A1288)-YEAR(Settings!$C$8))*12+MONTH($A1288)-MONTH(Settings!$C$8)+1)</f>
        <v/>
      </c>
      <c r="Z1288" s="24" t="str">
        <f aca="false">IF(AND($C1288="",$I1288="",$J1288=""),"",IF($N1288="","NO VAT CODE",IF($T1288="","UNKNOWN VAT CODE",IF($S1288="","MISSING FX RATE",IF(OR($A1288&lt;Settings!$C$8,$A1288&gt;Settings!$C$9),"OUTSIDE PERIOD",IF(AND(IFERROR(INDEX(VAT_Codes!$E:$E,MATCH($N1288,VAT_Codes!$A:$A,0)),"ANY")&lt;&gt;"ANY",$P1288=""),"MISSING COUNTERPARTY COUNTRY",IF(AND(IFERROR(INDEX(VAT_Codes!$E:$E,MATCH($N1288,VAT_Codes!$A:$A,0)),"ANY")&lt;&gt;"ANY",$P1288&lt;&gt;IFERROR(INDEX(VAT_Codes!$E:$E,MATCH($N1288,VAT_Codes!$A:$A,0)),"ANY")),"REGION MISMATCH","OK")))))))</f>
        <v/>
      </c>
    </row>
    <row r="1289" customFormat="false" ht="15" hidden="false" customHeight="false" outlineLevel="0" collapsed="false">
      <c r="M1289" s="24" t="str">
        <f aca="false">IF($C1289="","",IFERROR(INDEX(Account_Mapping!$C:$C,MATCH($C1289&amp;"",Account_Mapping!$A:$A,0))&amp;"",""))</f>
        <v/>
      </c>
      <c r="N1289" s="24" t="str">
        <f aca="false">IF($K1289&lt;&gt;"",$K1289,$M1289)</f>
        <v/>
      </c>
      <c r="O1289" s="24" t="str">
        <f aca="false">IF($F1289="","",IFERROR(INDEX(Counterparties!$C:$C,MATCH($F1289&amp;"",Counterparties!$A:$A,0))&amp;"",""))</f>
        <v/>
      </c>
      <c r="P1289" s="24" t="str">
        <f aca="false">IF($O1289="","",IF($O1289="CY","CY",IF(ISNUMBER(MATCH($O1289,Lists!$A:$A,0)),"EU","3RD")))</f>
        <v/>
      </c>
      <c r="Q1289" s="24" t="str">
        <f aca="false">IF($F1289="","N",IFERROR(IF(INDEX(Counterparties!$E:$E,MATCH($F1289&amp;"",Counterparties!$A:$A,0))="Y","Y","N"),"N"))</f>
        <v>N</v>
      </c>
      <c r="R1289" s="25" t="n">
        <f aca="false">IF(OR($H1289="",$H1289="EUR"),1,IFERROR(INDEX(FX_Rates!$D:$D,MATCH($H1289,FX_Rates!$A:$A,0)),""))</f>
        <v>1</v>
      </c>
      <c r="S1289" s="26" t="str">
        <f aca="false">IF(AND($I1289="",$J1289=""),"",IF($J1289&lt;&gt;"",$J1289,IF(OR($R1289="",$R1289=0),"",ROUND($I1289/$R1289,2))))</f>
        <v/>
      </c>
      <c r="T1289" s="24" t="str">
        <f aca="false">IF($N1289="","",IFERROR(INDEX(VAT_Codes!$C:$C,MATCH($N1289,VAT_Codes!$A:$A,0)),"")&amp;"")</f>
        <v/>
      </c>
      <c r="U1289" s="26" t="n">
        <f aca="false">IF(OR($S1289="",$T1289="",$T1289="None"),0,IF($T1289="Output",-$S1289,$S1289))</f>
        <v>0</v>
      </c>
      <c r="V1289" s="27" t="n">
        <f aca="false">IF($N1289="",0,IFERROR(INDEX(VAT_Codes!$D:$D,MATCH($N1289,VAT_Codes!$A:$A,0)),0))</f>
        <v>0</v>
      </c>
      <c r="W1289" s="26" t="n">
        <f aca="false">IF($U1289=0,0,IF(IFERROR(INDEX(VAT_Codes!$F:$F,MATCH($N1289,VAT_Codes!$A:$A,0)),"N")="Y",$U1289,IF($L1289&lt;&gt;"",ROUND(ABS($L1289)/IF(OR($R1289="",$R1289=0),1,$R1289),2)*SIGN($U1289),ROUND($U1289*$V1289,2))))</f>
        <v>0</v>
      </c>
      <c r="X1289" s="24" t="str">
        <f aca="false">IF($N1289="","",IFERROR(INDEX(VAT_Codes!$H:$H,MATCH($N1289,VAT_Codes!$A:$A,0)),"")&amp;"")</f>
        <v/>
      </c>
      <c r="Y1289" s="24" t="str">
        <f aca="false">IF($A1289="","",(YEAR($A1289)-YEAR(Settings!$C$8))*12+MONTH($A1289)-MONTH(Settings!$C$8)+1)</f>
        <v/>
      </c>
      <c r="Z1289" s="24" t="str">
        <f aca="false">IF(AND($C1289="",$I1289="",$J1289=""),"",IF($N1289="","NO VAT CODE",IF($T1289="","UNKNOWN VAT CODE",IF($S1289="","MISSING FX RATE",IF(OR($A1289&lt;Settings!$C$8,$A1289&gt;Settings!$C$9),"OUTSIDE PERIOD",IF(AND(IFERROR(INDEX(VAT_Codes!$E:$E,MATCH($N1289,VAT_Codes!$A:$A,0)),"ANY")&lt;&gt;"ANY",$P1289=""),"MISSING COUNTERPARTY COUNTRY",IF(AND(IFERROR(INDEX(VAT_Codes!$E:$E,MATCH($N1289,VAT_Codes!$A:$A,0)),"ANY")&lt;&gt;"ANY",$P1289&lt;&gt;IFERROR(INDEX(VAT_Codes!$E:$E,MATCH($N1289,VAT_Codes!$A:$A,0)),"ANY")),"REGION MISMATCH","OK")))))))</f>
        <v/>
      </c>
    </row>
    <row r="1290" customFormat="false" ht="15" hidden="false" customHeight="false" outlineLevel="0" collapsed="false">
      <c r="M1290" s="24" t="str">
        <f aca="false">IF($C1290="","",IFERROR(INDEX(Account_Mapping!$C:$C,MATCH($C1290&amp;"",Account_Mapping!$A:$A,0))&amp;"",""))</f>
        <v/>
      </c>
      <c r="N1290" s="24" t="str">
        <f aca="false">IF($K1290&lt;&gt;"",$K1290,$M1290)</f>
        <v/>
      </c>
      <c r="O1290" s="24" t="str">
        <f aca="false">IF($F1290="","",IFERROR(INDEX(Counterparties!$C:$C,MATCH($F1290&amp;"",Counterparties!$A:$A,0))&amp;"",""))</f>
        <v/>
      </c>
      <c r="P1290" s="24" t="str">
        <f aca="false">IF($O1290="","",IF($O1290="CY","CY",IF(ISNUMBER(MATCH($O1290,Lists!$A:$A,0)),"EU","3RD")))</f>
        <v/>
      </c>
      <c r="Q1290" s="24" t="str">
        <f aca="false">IF($F1290="","N",IFERROR(IF(INDEX(Counterparties!$E:$E,MATCH($F1290&amp;"",Counterparties!$A:$A,0))="Y","Y","N"),"N"))</f>
        <v>N</v>
      </c>
      <c r="R1290" s="25" t="n">
        <f aca="false">IF(OR($H1290="",$H1290="EUR"),1,IFERROR(INDEX(FX_Rates!$D:$D,MATCH($H1290,FX_Rates!$A:$A,0)),""))</f>
        <v>1</v>
      </c>
      <c r="S1290" s="26" t="str">
        <f aca="false">IF(AND($I1290="",$J1290=""),"",IF($J1290&lt;&gt;"",$J1290,IF(OR($R1290="",$R1290=0),"",ROUND($I1290/$R1290,2))))</f>
        <v/>
      </c>
      <c r="T1290" s="24" t="str">
        <f aca="false">IF($N1290="","",IFERROR(INDEX(VAT_Codes!$C:$C,MATCH($N1290,VAT_Codes!$A:$A,0)),"")&amp;"")</f>
        <v/>
      </c>
      <c r="U1290" s="26" t="n">
        <f aca="false">IF(OR($S1290="",$T1290="",$T1290="None"),0,IF($T1290="Output",-$S1290,$S1290))</f>
        <v>0</v>
      </c>
      <c r="V1290" s="27" t="n">
        <f aca="false">IF($N1290="",0,IFERROR(INDEX(VAT_Codes!$D:$D,MATCH($N1290,VAT_Codes!$A:$A,0)),0))</f>
        <v>0</v>
      </c>
      <c r="W1290" s="26" t="n">
        <f aca="false">IF($U1290=0,0,IF(IFERROR(INDEX(VAT_Codes!$F:$F,MATCH($N1290,VAT_Codes!$A:$A,0)),"N")="Y",$U1290,IF($L1290&lt;&gt;"",ROUND(ABS($L1290)/IF(OR($R1290="",$R1290=0),1,$R1290),2)*SIGN($U1290),ROUND($U1290*$V1290,2))))</f>
        <v>0</v>
      </c>
      <c r="X1290" s="24" t="str">
        <f aca="false">IF($N1290="","",IFERROR(INDEX(VAT_Codes!$H:$H,MATCH($N1290,VAT_Codes!$A:$A,0)),"")&amp;"")</f>
        <v/>
      </c>
      <c r="Y1290" s="24" t="str">
        <f aca="false">IF($A1290="","",(YEAR($A1290)-YEAR(Settings!$C$8))*12+MONTH($A1290)-MONTH(Settings!$C$8)+1)</f>
        <v/>
      </c>
      <c r="Z1290" s="24" t="str">
        <f aca="false">IF(AND($C1290="",$I1290="",$J1290=""),"",IF($N1290="","NO VAT CODE",IF($T1290="","UNKNOWN VAT CODE",IF($S1290="","MISSING FX RATE",IF(OR($A1290&lt;Settings!$C$8,$A1290&gt;Settings!$C$9),"OUTSIDE PERIOD",IF(AND(IFERROR(INDEX(VAT_Codes!$E:$E,MATCH($N1290,VAT_Codes!$A:$A,0)),"ANY")&lt;&gt;"ANY",$P1290=""),"MISSING COUNTERPARTY COUNTRY",IF(AND(IFERROR(INDEX(VAT_Codes!$E:$E,MATCH($N1290,VAT_Codes!$A:$A,0)),"ANY")&lt;&gt;"ANY",$P1290&lt;&gt;IFERROR(INDEX(VAT_Codes!$E:$E,MATCH($N1290,VAT_Codes!$A:$A,0)),"ANY")),"REGION MISMATCH","OK")))))))</f>
        <v/>
      </c>
    </row>
    <row r="1291" customFormat="false" ht="15" hidden="false" customHeight="false" outlineLevel="0" collapsed="false">
      <c r="M1291" s="24" t="str">
        <f aca="false">IF($C1291="","",IFERROR(INDEX(Account_Mapping!$C:$C,MATCH($C1291&amp;"",Account_Mapping!$A:$A,0))&amp;"",""))</f>
        <v/>
      </c>
      <c r="N1291" s="24" t="str">
        <f aca="false">IF($K1291&lt;&gt;"",$K1291,$M1291)</f>
        <v/>
      </c>
      <c r="O1291" s="24" t="str">
        <f aca="false">IF($F1291="","",IFERROR(INDEX(Counterparties!$C:$C,MATCH($F1291&amp;"",Counterparties!$A:$A,0))&amp;"",""))</f>
        <v/>
      </c>
      <c r="P1291" s="24" t="str">
        <f aca="false">IF($O1291="","",IF($O1291="CY","CY",IF(ISNUMBER(MATCH($O1291,Lists!$A:$A,0)),"EU","3RD")))</f>
        <v/>
      </c>
      <c r="Q1291" s="24" t="str">
        <f aca="false">IF($F1291="","N",IFERROR(IF(INDEX(Counterparties!$E:$E,MATCH($F1291&amp;"",Counterparties!$A:$A,0))="Y","Y","N"),"N"))</f>
        <v>N</v>
      </c>
      <c r="R1291" s="25" t="n">
        <f aca="false">IF(OR($H1291="",$H1291="EUR"),1,IFERROR(INDEX(FX_Rates!$D:$D,MATCH($H1291,FX_Rates!$A:$A,0)),""))</f>
        <v>1</v>
      </c>
      <c r="S1291" s="26" t="str">
        <f aca="false">IF(AND($I1291="",$J1291=""),"",IF($J1291&lt;&gt;"",$J1291,IF(OR($R1291="",$R1291=0),"",ROUND($I1291/$R1291,2))))</f>
        <v/>
      </c>
      <c r="T1291" s="24" t="str">
        <f aca="false">IF($N1291="","",IFERROR(INDEX(VAT_Codes!$C:$C,MATCH($N1291,VAT_Codes!$A:$A,0)),"")&amp;"")</f>
        <v/>
      </c>
      <c r="U1291" s="26" t="n">
        <f aca="false">IF(OR($S1291="",$T1291="",$T1291="None"),0,IF($T1291="Output",-$S1291,$S1291))</f>
        <v>0</v>
      </c>
      <c r="V1291" s="27" t="n">
        <f aca="false">IF($N1291="",0,IFERROR(INDEX(VAT_Codes!$D:$D,MATCH($N1291,VAT_Codes!$A:$A,0)),0))</f>
        <v>0</v>
      </c>
      <c r="W1291" s="26" t="n">
        <f aca="false">IF($U1291=0,0,IF(IFERROR(INDEX(VAT_Codes!$F:$F,MATCH($N1291,VAT_Codes!$A:$A,0)),"N")="Y",$U1291,IF($L1291&lt;&gt;"",ROUND(ABS($L1291)/IF(OR($R1291="",$R1291=0),1,$R1291),2)*SIGN($U1291),ROUND($U1291*$V1291,2))))</f>
        <v>0</v>
      </c>
      <c r="X1291" s="24" t="str">
        <f aca="false">IF($N1291="","",IFERROR(INDEX(VAT_Codes!$H:$H,MATCH($N1291,VAT_Codes!$A:$A,0)),"")&amp;"")</f>
        <v/>
      </c>
      <c r="Y1291" s="24" t="str">
        <f aca="false">IF($A1291="","",(YEAR($A1291)-YEAR(Settings!$C$8))*12+MONTH($A1291)-MONTH(Settings!$C$8)+1)</f>
        <v/>
      </c>
      <c r="Z1291" s="24" t="str">
        <f aca="false">IF(AND($C1291="",$I1291="",$J1291=""),"",IF($N1291="","NO VAT CODE",IF($T1291="","UNKNOWN VAT CODE",IF($S1291="","MISSING FX RATE",IF(OR($A1291&lt;Settings!$C$8,$A1291&gt;Settings!$C$9),"OUTSIDE PERIOD",IF(AND(IFERROR(INDEX(VAT_Codes!$E:$E,MATCH($N1291,VAT_Codes!$A:$A,0)),"ANY")&lt;&gt;"ANY",$P1291=""),"MISSING COUNTERPARTY COUNTRY",IF(AND(IFERROR(INDEX(VAT_Codes!$E:$E,MATCH($N1291,VAT_Codes!$A:$A,0)),"ANY")&lt;&gt;"ANY",$P1291&lt;&gt;IFERROR(INDEX(VAT_Codes!$E:$E,MATCH($N1291,VAT_Codes!$A:$A,0)),"ANY")),"REGION MISMATCH","OK")))))))</f>
        <v/>
      </c>
    </row>
    <row r="1292" customFormat="false" ht="15" hidden="false" customHeight="false" outlineLevel="0" collapsed="false">
      <c r="M1292" s="24" t="str">
        <f aca="false">IF($C1292="","",IFERROR(INDEX(Account_Mapping!$C:$C,MATCH($C1292&amp;"",Account_Mapping!$A:$A,0))&amp;"",""))</f>
        <v/>
      </c>
      <c r="N1292" s="24" t="str">
        <f aca="false">IF($K1292&lt;&gt;"",$K1292,$M1292)</f>
        <v/>
      </c>
      <c r="O1292" s="24" t="str">
        <f aca="false">IF($F1292="","",IFERROR(INDEX(Counterparties!$C:$C,MATCH($F1292&amp;"",Counterparties!$A:$A,0))&amp;"",""))</f>
        <v/>
      </c>
      <c r="P1292" s="24" t="str">
        <f aca="false">IF($O1292="","",IF($O1292="CY","CY",IF(ISNUMBER(MATCH($O1292,Lists!$A:$A,0)),"EU","3RD")))</f>
        <v/>
      </c>
      <c r="Q1292" s="24" t="str">
        <f aca="false">IF($F1292="","N",IFERROR(IF(INDEX(Counterparties!$E:$E,MATCH($F1292&amp;"",Counterparties!$A:$A,0))="Y","Y","N"),"N"))</f>
        <v>N</v>
      </c>
      <c r="R1292" s="25" t="n">
        <f aca="false">IF(OR($H1292="",$H1292="EUR"),1,IFERROR(INDEX(FX_Rates!$D:$D,MATCH($H1292,FX_Rates!$A:$A,0)),""))</f>
        <v>1</v>
      </c>
      <c r="S1292" s="26" t="str">
        <f aca="false">IF(AND($I1292="",$J1292=""),"",IF($J1292&lt;&gt;"",$J1292,IF(OR($R1292="",$R1292=0),"",ROUND($I1292/$R1292,2))))</f>
        <v/>
      </c>
      <c r="T1292" s="24" t="str">
        <f aca="false">IF($N1292="","",IFERROR(INDEX(VAT_Codes!$C:$C,MATCH($N1292,VAT_Codes!$A:$A,0)),"")&amp;"")</f>
        <v/>
      </c>
      <c r="U1292" s="26" t="n">
        <f aca="false">IF(OR($S1292="",$T1292="",$T1292="None"),0,IF($T1292="Output",-$S1292,$S1292))</f>
        <v>0</v>
      </c>
      <c r="V1292" s="27" t="n">
        <f aca="false">IF($N1292="",0,IFERROR(INDEX(VAT_Codes!$D:$D,MATCH($N1292,VAT_Codes!$A:$A,0)),0))</f>
        <v>0</v>
      </c>
      <c r="W1292" s="26" t="n">
        <f aca="false">IF($U1292=0,0,IF(IFERROR(INDEX(VAT_Codes!$F:$F,MATCH($N1292,VAT_Codes!$A:$A,0)),"N")="Y",$U1292,IF($L1292&lt;&gt;"",ROUND(ABS($L1292)/IF(OR($R1292="",$R1292=0),1,$R1292),2)*SIGN($U1292),ROUND($U1292*$V1292,2))))</f>
        <v>0</v>
      </c>
      <c r="X1292" s="24" t="str">
        <f aca="false">IF($N1292="","",IFERROR(INDEX(VAT_Codes!$H:$H,MATCH($N1292,VAT_Codes!$A:$A,0)),"")&amp;"")</f>
        <v/>
      </c>
      <c r="Y1292" s="24" t="str">
        <f aca="false">IF($A1292="","",(YEAR($A1292)-YEAR(Settings!$C$8))*12+MONTH($A1292)-MONTH(Settings!$C$8)+1)</f>
        <v/>
      </c>
      <c r="Z1292" s="24" t="str">
        <f aca="false">IF(AND($C1292="",$I1292="",$J1292=""),"",IF($N1292="","NO VAT CODE",IF($T1292="","UNKNOWN VAT CODE",IF($S1292="","MISSING FX RATE",IF(OR($A1292&lt;Settings!$C$8,$A1292&gt;Settings!$C$9),"OUTSIDE PERIOD",IF(AND(IFERROR(INDEX(VAT_Codes!$E:$E,MATCH($N1292,VAT_Codes!$A:$A,0)),"ANY")&lt;&gt;"ANY",$P1292=""),"MISSING COUNTERPARTY COUNTRY",IF(AND(IFERROR(INDEX(VAT_Codes!$E:$E,MATCH($N1292,VAT_Codes!$A:$A,0)),"ANY")&lt;&gt;"ANY",$P1292&lt;&gt;IFERROR(INDEX(VAT_Codes!$E:$E,MATCH($N1292,VAT_Codes!$A:$A,0)),"ANY")),"REGION MISMATCH","OK")))))))</f>
        <v/>
      </c>
    </row>
    <row r="1293" customFormat="false" ht="15" hidden="false" customHeight="false" outlineLevel="0" collapsed="false">
      <c r="M1293" s="24" t="str">
        <f aca="false">IF($C1293="","",IFERROR(INDEX(Account_Mapping!$C:$C,MATCH($C1293&amp;"",Account_Mapping!$A:$A,0))&amp;"",""))</f>
        <v/>
      </c>
      <c r="N1293" s="24" t="str">
        <f aca="false">IF($K1293&lt;&gt;"",$K1293,$M1293)</f>
        <v/>
      </c>
      <c r="O1293" s="24" t="str">
        <f aca="false">IF($F1293="","",IFERROR(INDEX(Counterparties!$C:$C,MATCH($F1293&amp;"",Counterparties!$A:$A,0))&amp;"",""))</f>
        <v/>
      </c>
      <c r="P1293" s="24" t="str">
        <f aca="false">IF($O1293="","",IF($O1293="CY","CY",IF(ISNUMBER(MATCH($O1293,Lists!$A:$A,0)),"EU","3RD")))</f>
        <v/>
      </c>
      <c r="Q1293" s="24" t="str">
        <f aca="false">IF($F1293="","N",IFERROR(IF(INDEX(Counterparties!$E:$E,MATCH($F1293&amp;"",Counterparties!$A:$A,0))="Y","Y","N"),"N"))</f>
        <v>N</v>
      </c>
      <c r="R1293" s="25" t="n">
        <f aca="false">IF(OR($H1293="",$H1293="EUR"),1,IFERROR(INDEX(FX_Rates!$D:$D,MATCH($H1293,FX_Rates!$A:$A,0)),""))</f>
        <v>1</v>
      </c>
      <c r="S1293" s="26" t="str">
        <f aca="false">IF(AND($I1293="",$J1293=""),"",IF($J1293&lt;&gt;"",$J1293,IF(OR($R1293="",$R1293=0),"",ROUND($I1293/$R1293,2))))</f>
        <v/>
      </c>
      <c r="T1293" s="24" t="str">
        <f aca="false">IF($N1293="","",IFERROR(INDEX(VAT_Codes!$C:$C,MATCH($N1293,VAT_Codes!$A:$A,0)),"")&amp;"")</f>
        <v/>
      </c>
      <c r="U1293" s="26" t="n">
        <f aca="false">IF(OR($S1293="",$T1293="",$T1293="None"),0,IF($T1293="Output",-$S1293,$S1293))</f>
        <v>0</v>
      </c>
      <c r="V1293" s="27" t="n">
        <f aca="false">IF($N1293="",0,IFERROR(INDEX(VAT_Codes!$D:$D,MATCH($N1293,VAT_Codes!$A:$A,0)),0))</f>
        <v>0</v>
      </c>
      <c r="W1293" s="26" t="n">
        <f aca="false">IF($U1293=0,0,IF(IFERROR(INDEX(VAT_Codes!$F:$F,MATCH($N1293,VAT_Codes!$A:$A,0)),"N")="Y",$U1293,IF($L1293&lt;&gt;"",ROUND(ABS($L1293)/IF(OR($R1293="",$R1293=0),1,$R1293),2)*SIGN($U1293),ROUND($U1293*$V1293,2))))</f>
        <v>0</v>
      </c>
      <c r="X1293" s="24" t="str">
        <f aca="false">IF($N1293="","",IFERROR(INDEX(VAT_Codes!$H:$H,MATCH($N1293,VAT_Codes!$A:$A,0)),"")&amp;"")</f>
        <v/>
      </c>
      <c r="Y1293" s="24" t="str">
        <f aca="false">IF($A1293="","",(YEAR($A1293)-YEAR(Settings!$C$8))*12+MONTH($A1293)-MONTH(Settings!$C$8)+1)</f>
        <v/>
      </c>
      <c r="Z1293" s="24" t="str">
        <f aca="false">IF(AND($C1293="",$I1293="",$J1293=""),"",IF($N1293="","NO VAT CODE",IF($T1293="","UNKNOWN VAT CODE",IF($S1293="","MISSING FX RATE",IF(OR($A1293&lt;Settings!$C$8,$A1293&gt;Settings!$C$9),"OUTSIDE PERIOD",IF(AND(IFERROR(INDEX(VAT_Codes!$E:$E,MATCH($N1293,VAT_Codes!$A:$A,0)),"ANY")&lt;&gt;"ANY",$P1293=""),"MISSING COUNTERPARTY COUNTRY",IF(AND(IFERROR(INDEX(VAT_Codes!$E:$E,MATCH($N1293,VAT_Codes!$A:$A,0)),"ANY")&lt;&gt;"ANY",$P1293&lt;&gt;IFERROR(INDEX(VAT_Codes!$E:$E,MATCH($N1293,VAT_Codes!$A:$A,0)),"ANY")),"REGION MISMATCH","OK")))))))</f>
        <v/>
      </c>
    </row>
    <row r="1294" customFormat="false" ht="15" hidden="false" customHeight="false" outlineLevel="0" collapsed="false">
      <c r="M1294" s="24" t="str">
        <f aca="false">IF($C1294="","",IFERROR(INDEX(Account_Mapping!$C:$C,MATCH($C1294&amp;"",Account_Mapping!$A:$A,0))&amp;"",""))</f>
        <v/>
      </c>
      <c r="N1294" s="24" t="str">
        <f aca="false">IF($K1294&lt;&gt;"",$K1294,$M1294)</f>
        <v/>
      </c>
      <c r="O1294" s="24" t="str">
        <f aca="false">IF($F1294="","",IFERROR(INDEX(Counterparties!$C:$C,MATCH($F1294&amp;"",Counterparties!$A:$A,0))&amp;"",""))</f>
        <v/>
      </c>
      <c r="P1294" s="24" t="str">
        <f aca="false">IF($O1294="","",IF($O1294="CY","CY",IF(ISNUMBER(MATCH($O1294,Lists!$A:$A,0)),"EU","3RD")))</f>
        <v/>
      </c>
      <c r="Q1294" s="24" t="str">
        <f aca="false">IF($F1294="","N",IFERROR(IF(INDEX(Counterparties!$E:$E,MATCH($F1294&amp;"",Counterparties!$A:$A,0))="Y","Y","N"),"N"))</f>
        <v>N</v>
      </c>
      <c r="R1294" s="25" t="n">
        <f aca="false">IF(OR($H1294="",$H1294="EUR"),1,IFERROR(INDEX(FX_Rates!$D:$D,MATCH($H1294,FX_Rates!$A:$A,0)),""))</f>
        <v>1</v>
      </c>
      <c r="S1294" s="26" t="str">
        <f aca="false">IF(AND($I1294="",$J1294=""),"",IF($J1294&lt;&gt;"",$J1294,IF(OR($R1294="",$R1294=0),"",ROUND($I1294/$R1294,2))))</f>
        <v/>
      </c>
      <c r="T1294" s="24" t="str">
        <f aca="false">IF($N1294="","",IFERROR(INDEX(VAT_Codes!$C:$C,MATCH($N1294,VAT_Codes!$A:$A,0)),"")&amp;"")</f>
        <v/>
      </c>
      <c r="U1294" s="26" t="n">
        <f aca="false">IF(OR($S1294="",$T1294="",$T1294="None"),0,IF($T1294="Output",-$S1294,$S1294))</f>
        <v>0</v>
      </c>
      <c r="V1294" s="27" t="n">
        <f aca="false">IF($N1294="",0,IFERROR(INDEX(VAT_Codes!$D:$D,MATCH($N1294,VAT_Codes!$A:$A,0)),0))</f>
        <v>0</v>
      </c>
      <c r="W1294" s="26" t="n">
        <f aca="false">IF($U1294=0,0,IF(IFERROR(INDEX(VAT_Codes!$F:$F,MATCH($N1294,VAT_Codes!$A:$A,0)),"N")="Y",$U1294,IF($L1294&lt;&gt;"",ROUND(ABS($L1294)/IF(OR($R1294="",$R1294=0),1,$R1294),2)*SIGN($U1294),ROUND($U1294*$V1294,2))))</f>
        <v>0</v>
      </c>
      <c r="X1294" s="24" t="str">
        <f aca="false">IF($N1294="","",IFERROR(INDEX(VAT_Codes!$H:$H,MATCH($N1294,VAT_Codes!$A:$A,0)),"")&amp;"")</f>
        <v/>
      </c>
      <c r="Y1294" s="24" t="str">
        <f aca="false">IF($A1294="","",(YEAR($A1294)-YEAR(Settings!$C$8))*12+MONTH($A1294)-MONTH(Settings!$C$8)+1)</f>
        <v/>
      </c>
      <c r="Z1294" s="24" t="str">
        <f aca="false">IF(AND($C1294="",$I1294="",$J1294=""),"",IF($N1294="","NO VAT CODE",IF($T1294="","UNKNOWN VAT CODE",IF($S1294="","MISSING FX RATE",IF(OR($A1294&lt;Settings!$C$8,$A1294&gt;Settings!$C$9),"OUTSIDE PERIOD",IF(AND(IFERROR(INDEX(VAT_Codes!$E:$E,MATCH($N1294,VAT_Codes!$A:$A,0)),"ANY")&lt;&gt;"ANY",$P1294=""),"MISSING COUNTERPARTY COUNTRY",IF(AND(IFERROR(INDEX(VAT_Codes!$E:$E,MATCH($N1294,VAT_Codes!$A:$A,0)),"ANY")&lt;&gt;"ANY",$P1294&lt;&gt;IFERROR(INDEX(VAT_Codes!$E:$E,MATCH($N1294,VAT_Codes!$A:$A,0)),"ANY")),"REGION MISMATCH","OK")))))))</f>
        <v/>
      </c>
    </row>
    <row r="1295" customFormat="false" ht="15" hidden="false" customHeight="false" outlineLevel="0" collapsed="false">
      <c r="M1295" s="24" t="str">
        <f aca="false">IF($C1295="","",IFERROR(INDEX(Account_Mapping!$C:$C,MATCH($C1295&amp;"",Account_Mapping!$A:$A,0))&amp;"",""))</f>
        <v/>
      </c>
      <c r="N1295" s="24" t="str">
        <f aca="false">IF($K1295&lt;&gt;"",$K1295,$M1295)</f>
        <v/>
      </c>
      <c r="O1295" s="24" t="str">
        <f aca="false">IF($F1295="","",IFERROR(INDEX(Counterparties!$C:$C,MATCH($F1295&amp;"",Counterparties!$A:$A,0))&amp;"",""))</f>
        <v/>
      </c>
      <c r="P1295" s="24" t="str">
        <f aca="false">IF($O1295="","",IF($O1295="CY","CY",IF(ISNUMBER(MATCH($O1295,Lists!$A:$A,0)),"EU","3RD")))</f>
        <v/>
      </c>
      <c r="Q1295" s="24" t="str">
        <f aca="false">IF($F1295="","N",IFERROR(IF(INDEX(Counterparties!$E:$E,MATCH($F1295&amp;"",Counterparties!$A:$A,0))="Y","Y","N"),"N"))</f>
        <v>N</v>
      </c>
      <c r="R1295" s="25" t="n">
        <f aca="false">IF(OR($H1295="",$H1295="EUR"),1,IFERROR(INDEX(FX_Rates!$D:$D,MATCH($H1295,FX_Rates!$A:$A,0)),""))</f>
        <v>1</v>
      </c>
      <c r="S1295" s="26" t="str">
        <f aca="false">IF(AND($I1295="",$J1295=""),"",IF($J1295&lt;&gt;"",$J1295,IF(OR($R1295="",$R1295=0),"",ROUND($I1295/$R1295,2))))</f>
        <v/>
      </c>
      <c r="T1295" s="24" t="str">
        <f aca="false">IF($N1295="","",IFERROR(INDEX(VAT_Codes!$C:$C,MATCH($N1295,VAT_Codes!$A:$A,0)),"")&amp;"")</f>
        <v/>
      </c>
      <c r="U1295" s="26" t="n">
        <f aca="false">IF(OR($S1295="",$T1295="",$T1295="None"),0,IF($T1295="Output",-$S1295,$S1295))</f>
        <v>0</v>
      </c>
      <c r="V1295" s="27" t="n">
        <f aca="false">IF($N1295="",0,IFERROR(INDEX(VAT_Codes!$D:$D,MATCH($N1295,VAT_Codes!$A:$A,0)),0))</f>
        <v>0</v>
      </c>
      <c r="W1295" s="26" t="n">
        <f aca="false">IF($U1295=0,0,IF(IFERROR(INDEX(VAT_Codes!$F:$F,MATCH($N1295,VAT_Codes!$A:$A,0)),"N")="Y",$U1295,IF($L1295&lt;&gt;"",ROUND(ABS($L1295)/IF(OR($R1295="",$R1295=0),1,$R1295),2)*SIGN($U1295),ROUND($U1295*$V1295,2))))</f>
        <v>0</v>
      </c>
      <c r="X1295" s="24" t="str">
        <f aca="false">IF($N1295="","",IFERROR(INDEX(VAT_Codes!$H:$H,MATCH($N1295,VAT_Codes!$A:$A,0)),"")&amp;"")</f>
        <v/>
      </c>
      <c r="Y1295" s="24" t="str">
        <f aca="false">IF($A1295="","",(YEAR($A1295)-YEAR(Settings!$C$8))*12+MONTH($A1295)-MONTH(Settings!$C$8)+1)</f>
        <v/>
      </c>
      <c r="Z1295" s="24" t="str">
        <f aca="false">IF(AND($C1295="",$I1295="",$J1295=""),"",IF($N1295="","NO VAT CODE",IF($T1295="","UNKNOWN VAT CODE",IF($S1295="","MISSING FX RATE",IF(OR($A1295&lt;Settings!$C$8,$A1295&gt;Settings!$C$9),"OUTSIDE PERIOD",IF(AND(IFERROR(INDEX(VAT_Codes!$E:$E,MATCH($N1295,VAT_Codes!$A:$A,0)),"ANY")&lt;&gt;"ANY",$P1295=""),"MISSING COUNTERPARTY COUNTRY",IF(AND(IFERROR(INDEX(VAT_Codes!$E:$E,MATCH($N1295,VAT_Codes!$A:$A,0)),"ANY")&lt;&gt;"ANY",$P1295&lt;&gt;IFERROR(INDEX(VAT_Codes!$E:$E,MATCH($N1295,VAT_Codes!$A:$A,0)),"ANY")),"REGION MISMATCH","OK")))))))</f>
        <v/>
      </c>
    </row>
    <row r="1296" customFormat="false" ht="15" hidden="false" customHeight="false" outlineLevel="0" collapsed="false">
      <c r="M1296" s="24" t="str">
        <f aca="false">IF($C1296="","",IFERROR(INDEX(Account_Mapping!$C:$C,MATCH($C1296&amp;"",Account_Mapping!$A:$A,0))&amp;"",""))</f>
        <v/>
      </c>
      <c r="N1296" s="24" t="str">
        <f aca="false">IF($K1296&lt;&gt;"",$K1296,$M1296)</f>
        <v/>
      </c>
      <c r="O1296" s="24" t="str">
        <f aca="false">IF($F1296="","",IFERROR(INDEX(Counterparties!$C:$C,MATCH($F1296&amp;"",Counterparties!$A:$A,0))&amp;"",""))</f>
        <v/>
      </c>
      <c r="P1296" s="24" t="str">
        <f aca="false">IF($O1296="","",IF($O1296="CY","CY",IF(ISNUMBER(MATCH($O1296,Lists!$A:$A,0)),"EU","3RD")))</f>
        <v/>
      </c>
      <c r="Q1296" s="24" t="str">
        <f aca="false">IF($F1296="","N",IFERROR(IF(INDEX(Counterparties!$E:$E,MATCH($F1296&amp;"",Counterparties!$A:$A,0))="Y","Y","N"),"N"))</f>
        <v>N</v>
      </c>
      <c r="R1296" s="25" t="n">
        <f aca="false">IF(OR($H1296="",$H1296="EUR"),1,IFERROR(INDEX(FX_Rates!$D:$D,MATCH($H1296,FX_Rates!$A:$A,0)),""))</f>
        <v>1</v>
      </c>
      <c r="S1296" s="26" t="str">
        <f aca="false">IF(AND($I1296="",$J1296=""),"",IF($J1296&lt;&gt;"",$J1296,IF(OR($R1296="",$R1296=0),"",ROUND($I1296/$R1296,2))))</f>
        <v/>
      </c>
      <c r="T1296" s="24" t="str">
        <f aca="false">IF($N1296="","",IFERROR(INDEX(VAT_Codes!$C:$C,MATCH($N1296,VAT_Codes!$A:$A,0)),"")&amp;"")</f>
        <v/>
      </c>
      <c r="U1296" s="26" t="n">
        <f aca="false">IF(OR($S1296="",$T1296="",$T1296="None"),0,IF($T1296="Output",-$S1296,$S1296))</f>
        <v>0</v>
      </c>
      <c r="V1296" s="27" t="n">
        <f aca="false">IF($N1296="",0,IFERROR(INDEX(VAT_Codes!$D:$D,MATCH($N1296,VAT_Codes!$A:$A,0)),0))</f>
        <v>0</v>
      </c>
      <c r="W1296" s="26" t="n">
        <f aca="false">IF($U1296=0,0,IF(IFERROR(INDEX(VAT_Codes!$F:$F,MATCH($N1296,VAT_Codes!$A:$A,0)),"N")="Y",$U1296,IF($L1296&lt;&gt;"",ROUND(ABS($L1296)/IF(OR($R1296="",$R1296=0),1,$R1296),2)*SIGN($U1296),ROUND($U1296*$V1296,2))))</f>
        <v>0</v>
      </c>
      <c r="X1296" s="24" t="str">
        <f aca="false">IF($N1296="","",IFERROR(INDEX(VAT_Codes!$H:$H,MATCH($N1296,VAT_Codes!$A:$A,0)),"")&amp;"")</f>
        <v/>
      </c>
      <c r="Y1296" s="24" t="str">
        <f aca="false">IF($A1296="","",(YEAR($A1296)-YEAR(Settings!$C$8))*12+MONTH($A1296)-MONTH(Settings!$C$8)+1)</f>
        <v/>
      </c>
      <c r="Z1296" s="24" t="str">
        <f aca="false">IF(AND($C1296="",$I1296="",$J1296=""),"",IF($N1296="","NO VAT CODE",IF($T1296="","UNKNOWN VAT CODE",IF($S1296="","MISSING FX RATE",IF(OR($A1296&lt;Settings!$C$8,$A1296&gt;Settings!$C$9),"OUTSIDE PERIOD",IF(AND(IFERROR(INDEX(VAT_Codes!$E:$E,MATCH($N1296,VAT_Codes!$A:$A,0)),"ANY")&lt;&gt;"ANY",$P1296=""),"MISSING COUNTERPARTY COUNTRY",IF(AND(IFERROR(INDEX(VAT_Codes!$E:$E,MATCH($N1296,VAT_Codes!$A:$A,0)),"ANY")&lt;&gt;"ANY",$P1296&lt;&gt;IFERROR(INDEX(VAT_Codes!$E:$E,MATCH($N1296,VAT_Codes!$A:$A,0)),"ANY")),"REGION MISMATCH","OK")))))))</f>
        <v/>
      </c>
    </row>
    <row r="1297" customFormat="false" ht="15" hidden="false" customHeight="false" outlineLevel="0" collapsed="false">
      <c r="M1297" s="24" t="str">
        <f aca="false">IF($C1297="","",IFERROR(INDEX(Account_Mapping!$C:$C,MATCH($C1297&amp;"",Account_Mapping!$A:$A,0))&amp;"",""))</f>
        <v/>
      </c>
      <c r="N1297" s="24" t="str">
        <f aca="false">IF($K1297&lt;&gt;"",$K1297,$M1297)</f>
        <v/>
      </c>
      <c r="O1297" s="24" t="str">
        <f aca="false">IF($F1297="","",IFERROR(INDEX(Counterparties!$C:$C,MATCH($F1297&amp;"",Counterparties!$A:$A,0))&amp;"",""))</f>
        <v/>
      </c>
      <c r="P1297" s="24" t="str">
        <f aca="false">IF($O1297="","",IF($O1297="CY","CY",IF(ISNUMBER(MATCH($O1297,Lists!$A:$A,0)),"EU","3RD")))</f>
        <v/>
      </c>
      <c r="Q1297" s="24" t="str">
        <f aca="false">IF($F1297="","N",IFERROR(IF(INDEX(Counterparties!$E:$E,MATCH($F1297&amp;"",Counterparties!$A:$A,0))="Y","Y","N"),"N"))</f>
        <v>N</v>
      </c>
      <c r="R1297" s="25" t="n">
        <f aca="false">IF(OR($H1297="",$H1297="EUR"),1,IFERROR(INDEX(FX_Rates!$D:$D,MATCH($H1297,FX_Rates!$A:$A,0)),""))</f>
        <v>1</v>
      </c>
      <c r="S1297" s="26" t="str">
        <f aca="false">IF(AND($I1297="",$J1297=""),"",IF($J1297&lt;&gt;"",$J1297,IF(OR($R1297="",$R1297=0),"",ROUND($I1297/$R1297,2))))</f>
        <v/>
      </c>
      <c r="T1297" s="24" t="str">
        <f aca="false">IF($N1297="","",IFERROR(INDEX(VAT_Codes!$C:$C,MATCH($N1297,VAT_Codes!$A:$A,0)),"")&amp;"")</f>
        <v/>
      </c>
      <c r="U1297" s="26" t="n">
        <f aca="false">IF(OR($S1297="",$T1297="",$T1297="None"),0,IF($T1297="Output",-$S1297,$S1297))</f>
        <v>0</v>
      </c>
      <c r="V1297" s="27" t="n">
        <f aca="false">IF($N1297="",0,IFERROR(INDEX(VAT_Codes!$D:$D,MATCH($N1297,VAT_Codes!$A:$A,0)),0))</f>
        <v>0</v>
      </c>
      <c r="W1297" s="26" t="n">
        <f aca="false">IF($U1297=0,0,IF(IFERROR(INDEX(VAT_Codes!$F:$F,MATCH($N1297,VAT_Codes!$A:$A,0)),"N")="Y",$U1297,IF($L1297&lt;&gt;"",ROUND(ABS($L1297)/IF(OR($R1297="",$R1297=0),1,$R1297),2)*SIGN($U1297),ROUND($U1297*$V1297,2))))</f>
        <v>0</v>
      </c>
      <c r="X1297" s="24" t="str">
        <f aca="false">IF($N1297="","",IFERROR(INDEX(VAT_Codes!$H:$H,MATCH($N1297,VAT_Codes!$A:$A,0)),"")&amp;"")</f>
        <v/>
      </c>
      <c r="Y1297" s="24" t="str">
        <f aca="false">IF($A1297="","",(YEAR($A1297)-YEAR(Settings!$C$8))*12+MONTH($A1297)-MONTH(Settings!$C$8)+1)</f>
        <v/>
      </c>
      <c r="Z1297" s="24" t="str">
        <f aca="false">IF(AND($C1297="",$I1297="",$J1297=""),"",IF($N1297="","NO VAT CODE",IF($T1297="","UNKNOWN VAT CODE",IF($S1297="","MISSING FX RATE",IF(OR($A1297&lt;Settings!$C$8,$A1297&gt;Settings!$C$9),"OUTSIDE PERIOD",IF(AND(IFERROR(INDEX(VAT_Codes!$E:$E,MATCH($N1297,VAT_Codes!$A:$A,0)),"ANY")&lt;&gt;"ANY",$P1297=""),"MISSING COUNTERPARTY COUNTRY",IF(AND(IFERROR(INDEX(VAT_Codes!$E:$E,MATCH($N1297,VAT_Codes!$A:$A,0)),"ANY")&lt;&gt;"ANY",$P1297&lt;&gt;IFERROR(INDEX(VAT_Codes!$E:$E,MATCH($N1297,VAT_Codes!$A:$A,0)),"ANY")),"REGION MISMATCH","OK")))))))</f>
        <v/>
      </c>
    </row>
    <row r="1298" customFormat="false" ht="15" hidden="false" customHeight="false" outlineLevel="0" collapsed="false">
      <c r="M1298" s="24" t="str">
        <f aca="false">IF($C1298="","",IFERROR(INDEX(Account_Mapping!$C:$C,MATCH($C1298&amp;"",Account_Mapping!$A:$A,0))&amp;"",""))</f>
        <v/>
      </c>
      <c r="N1298" s="24" t="str">
        <f aca="false">IF($K1298&lt;&gt;"",$K1298,$M1298)</f>
        <v/>
      </c>
      <c r="O1298" s="24" t="str">
        <f aca="false">IF($F1298="","",IFERROR(INDEX(Counterparties!$C:$C,MATCH($F1298&amp;"",Counterparties!$A:$A,0))&amp;"",""))</f>
        <v/>
      </c>
      <c r="P1298" s="24" t="str">
        <f aca="false">IF($O1298="","",IF($O1298="CY","CY",IF(ISNUMBER(MATCH($O1298,Lists!$A:$A,0)),"EU","3RD")))</f>
        <v/>
      </c>
      <c r="Q1298" s="24" t="str">
        <f aca="false">IF($F1298="","N",IFERROR(IF(INDEX(Counterparties!$E:$E,MATCH($F1298&amp;"",Counterparties!$A:$A,0))="Y","Y","N"),"N"))</f>
        <v>N</v>
      </c>
      <c r="R1298" s="25" t="n">
        <f aca="false">IF(OR($H1298="",$H1298="EUR"),1,IFERROR(INDEX(FX_Rates!$D:$D,MATCH($H1298,FX_Rates!$A:$A,0)),""))</f>
        <v>1</v>
      </c>
      <c r="S1298" s="26" t="str">
        <f aca="false">IF(AND($I1298="",$J1298=""),"",IF($J1298&lt;&gt;"",$J1298,IF(OR($R1298="",$R1298=0),"",ROUND($I1298/$R1298,2))))</f>
        <v/>
      </c>
      <c r="T1298" s="24" t="str">
        <f aca="false">IF($N1298="","",IFERROR(INDEX(VAT_Codes!$C:$C,MATCH($N1298,VAT_Codes!$A:$A,0)),"")&amp;"")</f>
        <v/>
      </c>
      <c r="U1298" s="26" t="n">
        <f aca="false">IF(OR($S1298="",$T1298="",$T1298="None"),0,IF($T1298="Output",-$S1298,$S1298))</f>
        <v>0</v>
      </c>
      <c r="V1298" s="27" t="n">
        <f aca="false">IF($N1298="",0,IFERROR(INDEX(VAT_Codes!$D:$D,MATCH($N1298,VAT_Codes!$A:$A,0)),0))</f>
        <v>0</v>
      </c>
      <c r="W1298" s="26" t="n">
        <f aca="false">IF($U1298=0,0,IF(IFERROR(INDEX(VAT_Codes!$F:$F,MATCH($N1298,VAT_Codes!$A:$A,0)),"N")="Y",$U1298,IF($L1298&lt;&gt;"",ROUND(ABS($L1298)/IF(OR($R1298="",$R1298=0),1,$R1298),2)*SIGN($U1298),ROUND($U1298*$V1298,2))))</f>
        <v>0</v>
      </c>
      <c r="X1298" s="24" t="str">
        <f aca="false">IF($N1298="","",IFERROR(INDEX(VAT_Codes!$H:$H,MATCH($N1298,VAT_Codes!$A:$A,0)),"")&amp;"")</f>
        <v/>
      </c>
      <c r="Y1298" s="24" t="str">
        <f aca="false">IF($A1298="","",(YEAR($A1298)-YEAR(Settings!$C$8))*12+MONTH($A1298)-MONTH(Settings!$C$8)+1)</f>
        <v/>
      </c>
      <c r="Z1298" s="24" t="str">
        <f aca="false">IF(AND($C1298="",$I1298="",$J1298=""),"",IF($N1298="","NO VAT CODE",IF($T1298="","UNKNOWN VAT CODE",IF($S1298="","MISSING FX RATE",IF(OR($A1298&lt;Settings!$C$8,$A1298&gt;Settings!$C$9),"OUTSIDE PERIOD",IF(AND(IFERROR(INDEX(VAT_Codes!$E:$E,MATCH($N1298,VAT_Codes!$A:$A,0)),"ANY")&lt;&gt;"ANY",$P1298=""),"MISSING COUNTERPARTY COUNTRY",IF(AND(IFERROR(INDEX(VAT_Codes!$E:$E,MATCH($N1298,VAT_Codes!$A:$A,0)),"ANY")&lt;&gt;"ANY",$P1298&lt;&gt;IFERROR(INDEX(VAT_Codes!$E:$E,MATCH($N1298,VAT_Codes!$A:$A,0)),"ANY")),"REGION MISMATCH","OK")))))))</f>
        <v/>
      </c>
    </row>
    <row r="1299" customFormat="false" ht="15" hidden="false" customHeight="false" outlineLevel="0" collapsed="false">
      <c r="M1299" s="24" t="str">
        <f aca="false">IF($C1299="","",IFERROR(INDEX(Account_Mapping!$C:$C,MATCH($C1299&amp;"",Account_Mapping!$A:$A,0))&amp;"",""))</f>
        <v/>
      </c>
      <c r="N1299" s="24" t="str">
        <f aca="false">IF($K1299&lt;&gt;"",$K1299,$M1299)</f>
        <v/>
      </c>
      <c r="O1299" s="24" t="str">
        <f aca="false">IF($F1299="","",IFERROR(INDEX(Counterparties!$C:$C,MATCH($F1299&amp;"",Counterparties!$A:$A,0))&amp;"",""))</f>
        <v/>
      </c>
      <c r="P1299" s="24" t="str">
        <f aca="false">IF($O1299="","",IF($O1299="CY","CY",IF(ISNUMBER(MATCH($O1299,Lists!$A:$A,0)),"EU","3RD")))</f>
        <v/>
      </c>
      <c r="Q1299" s="24" t="str">
        <f aca="false">IF($F1299="","N",IFERROR(IF(INDEX(Counterparties!$E:$E,MATCH($F1299&amp;"",Counterparties!$A:$A,0))="Y","Y","N"),"N"))</f>
        <v>N</v>
      </c>
      <c r="R1299" s="25" t="n">
        <f aca="false">IF(OR($H1299="",$H1299="EUR"),1,IFERROR(INDEX(FX_Rates!$D:$D,MATCH($H1299,FX_Rates!$A:$A,0)),""))</f>
        <v>1</v>
      </c>
      <c r="S1299" s="26" t="str">
        <f aca="false">IF(AND($I1299="",$J1299=""),"",IF($J1299&lt;&gt;"",$J1299,IF(OR($R1299="",$R1299=0),"",ROUND($I1299/$R1299,2))))</f>
        <v/>
      </c>
      <c r="T1299" s="24" t="str">
        <f aca="false">IF($N1299="","",IFERROR(INDEX(VAT_Codes!$C:$C,MATCH($N1299,VAT_Codes!$A:$A,0)),"")&amp;"")</f>
        <v/>
      </c>
      <c r="U1299" s="26" t="n">
        <f aca="false">IF(OR($S1299="",$T1299="",$T1299="None"),0,IF($T1299="Output",-$S1299,$S1299))</f>
        <v>0</v>
      </c>
      <c r="V1299" s="27" t="n">
        <f aca="false">IF($N1299="",0,IFERROR(INDEX(VAT_Codes!$D:$D,MATCH($N1299,VAT_Codes!$A:$A,0)),0))</f>
        <v>0</v>
      </c>
      <c r="W1299" s="26" t="n">
        <f aca="false">IF($U1299=0,0,IF(IFERROR(INDEX(VAT_Codes!$F:$F,MATCH($N1299,VAT_Codes!$A:$A,0)),"N")="Y",$U1299,IF($L1299&lt;&gt;"",ROUND(ABS($L1299)/IF(OR($R1299="",$R1299=0),1,$R1299),2)*SIGN($U1299),ROUND($U1299*$V1299,2))))</f>
        <v>0</v>
      </c>
      <c r="X1299" s="24" t="str">
        <f aca="false">IF($N1299="","",IFERROR(INDEX(VAT_Codes!$H:$H,MATCH($N1299,VAT_Codes!$A:$A,0)),"")&amp;"")</f>
        <v/>
      </c>
      <c r="Y1299" s="24" t="str">
        <f aca="false">IF($A1299="","",(YEAR($A1299)-YEAR(Settings!$C$8))*12+MONTH($A1299)-MONTH(Settings!$C$8)+1)</f>
        <v/>
      </c>
      <c r="Z1299" s="24" t="str">
        <f aca="false">IF(AND($C1299="",$I1299="",$J1299=""),"",IF($N1299="","NO VAT CODE",IF($T1299="","UNKNOWN VAT CODE",IF($S1299="","MISSING FX RATE",IF(OR($A1299&lt;Settings!$C$8,$A1299&gt;Settings!$C$9),"OUTSIDE PERIOD",IF(AND(IFERROR(INDEX(VAT_Codes!$E:$E,MATCH($N1299,VAT_Codes!$A:$A,0)),"ANY")&lt;&gt;"ANY",$P1299=""),"MISSING COUNTERPARTY COUNTRY",IF(AND(IFERROR(INDEX(VAT_Codes!$E:$E,MATCH($N1299,VAT_Codes!$A:$A,0)),"ANY")&lt;&gt;"ANY",$P1299&lt;&gt;IFERROR(INDEX(VAT_Codes!$E:$E,MATCH($N1299,VAT_Codes!$A:$A,0)),"ANY")),"REGION MISMATCH","OK")))))))</f>
        <v/>
      </c>
    </row>
    <row r="1300" customFormat="false" ht="15" hidden="false" customHeight="false" outlineLevel="0" collapsed="false">
      <c r="M1300" s="24" t="str">
        <f aca="false">IF($C1300="","",IFERROR(INDEX(Account_Mapping!$C:$C,MATCH($C1300&amp;"",Account_Mapping!$A:$A,0))&amp;"",""))</f>
        <v/>
      </c>
      <c r="N1300" s="24" t="str">
        <f aca="false">IF($K1300&lt;&gt;"",$K1300,$M1300)</f>
        <v/>
      </c>
      <c r="O1300" s="24" t="str">
        <f aca="false">IF($F1300="","",IFERROR(INDEX(Counterparties!$C:$C,MATCH($F1300&amp;"",Counterparties!$A:$A,0))&amp;"",""))</f>
        <v/>
      </c>
      <c r="P1300" s="24" t="str">
        <f aca="false">IF($O1300="","",IF($O1300="CY","CY",IF(ISNUMBER(MATCH($O1300,Lists!$A:$A,0)),"EU","3RD")))</f>
        <v/>
      </c>
      <c r="Q1300" s="24" t="str">
        <f aca="false">IF($F1300="","N",IFERROR(IF(INDEX(Counterparties!$E:$E,MATCH($F1300&amp;"",Counterparties!$A:$A,0))="Y","Y","N"),"N"))</f>
        <v>N</v>
      </c>
      <c r="R1300" s="25" t="n">
        <f aca="false">IF(OR($H1300="",$H1300="EUR"),1,IFERROR(INDEX(FX_Rates!$D:$D,MATCH($H1300,FX_Rates!$A:$A,0)),""))</f>
        <v>1</v>
      </c>
      <c r="S1300" s="26" t="str">
        <f aca="false">IF(AND($I1300="",$J1300=""),"",IF($J1300&lt;&gt;"",$J1300,IF(OR($R1300="",$R1300=0),"",ROUND($I1300/$R1300,2))))</f>
        <v/>
      </c>
      <c r="T1300" s="24" t="str">
        <f aca="false">IF($N1300="","",IFERROR(INDEX(VAT_Codes!$C:$C,MATCH($N1300,VAT_Codes!$A:$A,0)),"")&amp;"")</f>
        <v/>
      </c>
      <c r="U1300" s="26" t="n">
        <f aca="false">IF(OR($S1300="",$T1300="",$T1300="None"),0,IF($T1300="Output",-$S1300,$S1300))</f>
        <v>0</v>
      </c>
      <c r="V1300" s="27" t="n">
        <f aca="false">IF($N1300="",0,IFERROR(INDEX(VAT_Codes!$D:$D,MATCH($N1300,VAT_Codes!$A:$A,0)),0))</f>
        <v>0</v>
      </c>
      <c r="W1300" s="26" t="n">
        <f aca="false">IF($U1300=0,0,IF(IFERROR(INDEX(VAT_Codes!$F:$F,MATCH($N1300,VAT_Codes!$A:$A,0)),"N")="Y",$U1300,IF($L1300&lt;&gt;"",ROUND(ABS($L1300)/IF(OR($R1300="",$R1300=0),1,$R1300),2)*SIGN($U1300),ROUND($U1300*$V1300,2))))</f>
        <v>0</v>
      </c>
      <c r="X1300" s="24" t="str">
        <f aca="false">IF($N1300="","",IFERROR(INDEX(VAT_Codes!$H:$H,MATCH($N1300,VAT_Codes!$A:$A,0)),"")&amp;"")</f>
        <v/>
      </c>
      <c r="Y1300" s="24" t="str">
        <f aca="false">IF($A1300="","",(YEAR($A1300)-YEAR(Settings!$C$8))*12+MONTH($A1300)-MONTH(Settings!$C$8)+1)</f>
        <v/>
      </c>
      <c r="Z1300" s="24" t="str">
        <f aca="false">IF(AND($C1300="",$I1300="",$J1300=""),"",IF($N1300="","NO VAT CODE",IF($T1300="","UNKNOWN VAT CODE",IF($S1300="","MISSING FX RATE",IF(OR($A1300&lt;Settings!$C$8,$A1300&gt;Settings!$C$9),"OUTSIDE PERIOD",IF(AND(IFERROR(INDEX(VAT_Codes!$E:$E,MATCH($N1300,VAT_Codes!$A:$A,0)),"ANY")&lt;&gt;"ANY",$P1300=""),"MISSING COUNTERPARTY COUNTRY",IF(AND(IFERROR(INDEX(VAT_Codes!$E:$E,MATCH($N1300,VAT_Codes!$A:$A,0)),"ANY")&lt;&gt;"ANY",$P1300&lt;&gt;IFERROR(INDEX(VAT_Codes!$E:$E,MATCH($N1300,VAT_Codes!$A:$A,0)),"ANY")),"REGION MISMATCH","OK")))))))</f>
        <v/>
      </c>
    </row>
    <row r="1301" customFormat="false" ht="15" hidden="false" customHeight="false" outlineLevel="0" collapsed="false">
      <c r="M1301" s="24" t="str">
        <f aca="false">IF($C1301="","",IFERROR(INDEX(Account_Mapping!$C:$C,MATCH($C1301&amp;"",Account_Mapping!$A:$A,0))&amp;"",""))</f>
        <v/>
      </c>
      <c r="N1301" s="24" t="str">
        <f aca="false">IF($K1301&lt;&gt;"",$K1301,$M1301)</f>
        <v/>
      </c>
      <c r="O1301" s="24" t="str">
        <f aca="false">IF($F1301="","",IFERROR(INDEX(Counterparties!$C:$C,MATCH($F1301&amp;"",Counterparties!$A:$A,0))&amp;"",""))</f>
        <v/>
      </c>
      <c r="P1301" s="24" t="str">
        <f aca="false">IF($O1301="","",IF($O1301="CY","CY",IF(ISNUMBER(MATCH($O1301,Lists!$A:$A,0)),"EU","3RD")))</f>
        <v/>
      </c>
      <c r="Q1301" s="24" t="str">
        <f aca="false">IF($F1301="","N",IFERROR(IF(INDEX(Counterparties!$E:$E,MATCH($F1301&amp;"",Counterparties!$A:$A,0))="Y","Y","N"),"N"))</f>
        <v>N</v>
      </c>
      <c r="R1301" s="25" t="n">
        <f aca="false">IF(OR($H1301="",$H1301="EUR"),1,IFERROR(INDEX(FX_Rates!$D:$D,MATCH($H1301,FX_Rates!$A:$A,0)),""))</f>
        <v>1</v>
      </c>
      <c r="S1301" s="26" t="str">
        <f aca="false">IF(AND($I1301="",$J1301=""),"",IF($J1301&lt;&gt;"",$J1301,IF(OR($R1301="",$R1301=0),"",ROUND($I1301/$R1301,2))))</f>
        <v/>
      </c>
      <c r="T1301" s="24" t="str">
        <f aca="false">IF($N1301="","",IFERROR(INDEX(VAT_Codes!$C:$C,MATCH($N1301,VAT_Codes!$A:$A,0)),"")&amp;"")</f>
        <v/>
      </c>
      <c r="U1301" s="26" t="n">
        <f aca="false">IF(OR($S1301="",$T1301="",$T1301="None"),0,IF($T1301="Output",-$S1301,$S1301))</f>
        <v>0</v>
      </c>
      <c r="V1301" s="27" t="n">
        <f aca="false">IF($N1301="",0,IFERROR(INDEX(VAT_Codes!$D:$D,MATCH($N1301,VAT_Codes!$A:$A,0)),0))</f>
        <v>0</v>
      </c>
      <c r="W1301" s="26" t="n">
        <f aca="false">IF($U1301=0,0,IF(IFERROR(INDEX(VAT_Codes!$F:$F,MATCH($N1301,VAT_Codes!$A:$A,0)),"N")="Y",$U1301,IF($L1301&lt;&gt;"",ROUND(ABS($L1301)/IF(OR($R1301="",$R1301=0),1,$R1301),2)*SIGN($U1301),ROUND($U1301*$V1301,2))))</f>
        <v>0</v>
      </c>
      <c r="X1301" s="24" t="str">
        <f aca="false">IF($N1301="","",IFERROR(INDEX(VAT_Codes!$H:$H,MATCH($N1301,VAT_Codes!$A:$A,0)),"")&amp;"")</f>
        <v/>
      </c>
      <c r="Y1301" s="24" t="str">
        <f aca="false">IF($A1301="","",(YEAR($A1301)-YEAR(Settings!$C$8))*12+MONTH($A1301)-MONTH(Settings!$C$8)+1)</f>
        <v/>
      </c>
      <c r="Z1301" s="24" t="str">
        <f aca="false">IF(AND($C1301="",$I1301="",$J1301=""),"",IF($N1301="","NO VAT CODE",IF($T1301="","UNKNOWN VAT CODE",IF($S1301="","MISSING FX RATE",IF(OR($A1301&lt;Settings!$C$8,$A1301&gt;Settings!$C$9),"OUTSIDE PERIOD",IF(AND(IFERROR(INDEX(VAT_Codes!$E:$E,MATCH($N1301,VAT_Codes!$A:$A,0)),"ANY")&lt;&gt;"ANY",$P1301=""),"MISSING COUNTERPARTY COUNTRY",IF(AND(IFERROR(INDEX(VAT_Codes!$E:$E,MATCH($N1301,VAT_Codes!$A:$A,0)),"ANY")&lt;&gt;"ANY",$P1301&lt;&gt;IFERROR(INDEX(VAT_Codes!$E:$E,MATCH($N1301,VAT_Codes!$A:$A,0)),"ANY")),"REGION MISMATCH","OK")))))))</f>
        <v/>
      </c>
    </row>
    <row r="1302" customFormat="false" ht="15" hidden="false" customHeight="false" outlineLevel="0" collapsed="false">
      <c r="M1302" s="24" t="str">
        <f aca="false">IF($C1302="","",IFERROR(INDEX(Account_Mapping!$C:$C,MATCH($C1302&amp;"",Account_Mapping!$A:$A,0))&amp;"",""))</f>
        <v/>
      </c>
      <c r="N1302" s="24" t="str">
        <f aca="false">IF($K1302&lt;&gt;"",$K1302,$M1302)</f>
        <v/>
      </c>
      <c r="O1302" s="24" t="str">
        <f aca="false">IF($F1302="","",IFERROR(INDEX(Counterparties!$C:$C,MATCH($F1302&amp;"",Counterparties!$A:$A,0))&amp;"",""))</f>
        <v/>
      </c>
      <c r="P1302" s="24" t="str">
        <f aca="false">IF($O1302="","",IF($O1302="CY","CY",IF(ISNUMBER(MATCH($O1302,Lists!$A:$A,0)),"EU","3RD")))</f>
        <v/>
      </c>
      <c r="Q1302" s="24" t="str">
        <f aca="false">IF($F1302="","N",IFERROR(IF(INDEX(Counterparties!$E:$E,MATCH($F1302&amp;"",Counterparties!$A:$A,0))="Y","Y","N"),"N"))</f>
        <v>N</v>
      </c>
      <c r="R1302" s="25" t="n">
        <f aca="false">IF(OR($H1302="",$H1302="EUR"),1,IFERROR(INDEX(FX_Rates!$D:$D,MATCH($H1302,FX_Rates!$A:$A,0)),""))</f>
        <v>1</v>
      </c>
      <c r="S1302" s="26" t="str">
        <f aca="false">IF(AND($I1302="",$J1302=""),"",IF($J1302&lt;&gt;"",$J1302,IF(OR($R1302="",$R1302=0),"",ROUND($I1302/$R1302,2))))</f>
        <v/>
      </c>
      <c r="T1302" s="24" t="str">
        <f aca="false">IF($N1302="","",IFERROR(INDEX(VAT_Codes!$C:$C,MATCH($N1302,VAT_Codes!$A:$A,0)),"")&amp;"")</f>
        <v/>
      </c>
      <c r="U1302" s="26" t="n">
        <f aca="false">IF(OR($S1302="",$T1302="",$T1302="None"),0,IF($T1302="Output",-$S1302,$S1302))</f>
        <v>0</v>
      </c>
      <c r="V1302" s="27" t="n">
        <f aca="false">IF($N1302="",0,IFERROR(INDEX(VAT_Codes!$D:$D,MATCH($N1302,VAT_Codes!$A:$A,0)),0))</f>
        <v>0</v>
      </c>
      <c r="W1302" s="26" t="n">
        <f aca="false">IF($U1302=0,0,IF(IFERROR(INDEX(VAT_Codes!$F:$F,MATCH($N1302,VAT_Codes!$A:$A,0)),"N")="Y",$U1302,IF($L1302&lt;&gt;"",ROUND(ABS($L1302)/IF(OR($R1302="",$R1302=0),1,$R1302),2)*SIGN($U1302),ROUND($U1302*$V1302,2))))</f>
        <v>0</v>
      </c>
      <c r="X1302" s="24" t="str">
        <f aca="false">IF($N1302="","",IFERROR(INDEX(VAT_Codes!$H:$H,MATCH($N1302,VAT_Codes!$A:$A,0)),"")&amp;"")</f>
        <v/>
      </c>
      <c r="Y1302" s="24" t="str">
        <f aca="false">IF($A1302="","",(YEAR($A1302)-YEAR(Settings!$C$8))*12+MONTH($A1302)-MONTH(Settings!$C$8)+1)</f>
        <v/>
      </c>
      <c r="Z1302" s="24" t="str">
        <f aca="false">IF(AND($C1302="",$I1302="",$J1302=""),"",IF($N1302="","NO VAT CODE",IF($T1302="","UNKNOWN VAT CODE",IF($S1302="","MISSING FX RATE",IF(OR($A1302&lt;Settings!$C$8,$A1302&gt;Settings!$C$9),"OUTSIDE PERIOD",IF(AND(IFERROR(INDEX(VAT_Codes!$E:$E,MATCH($N1302,VAT_Codes!$A:$A,0)),"ANY")&lt;&gt;"ANY",$P1302=""),"MISSING COUNTERPARTY COUNTRY",IF(AND(IFERROR(INDEX(VAT_Codes!$E:$E,MATCH($N1302,VAT_Codes!$A:$A,0)),"ANY")&lt;&gt;"ANY",$P1302&lt;&gt;IFERROR(INDEX(VAT_Codes!$E:$E,MATCH($N1302,VAT_Codes!$A:$A,0)),"ANY")),"REGION MISMATCH","OK")))))))</f>
        <v/>
      </c>
    </row>
    <row r="1303" customFormat="false" ht="15" hidden="false" customHeight="false" outlineLevel="0" collapsed="false">
      <c r="M1303" s="24" t="str">
        <f aca="false">IF($C1303="","",IFERROR(INDEX(Account_Mapping!$C:$C,MATCH($C1303&amp;"",Account_Mapping!$A:$A,0))&amp;"",""))</f>
        <v/>
      </c>
      <c r="N1303" s="24" t="str">
        <f aca="false">IF($K1303&lt;&gt;"",$K1303,$M1303)</f>
        <v/>
      </c>
      <c r="O1303" s="24" t="str">
        <f aca="false">IF($F1303="","",IFERROR(INDEX(Counterparties!$C:$C,MATCH($F1303&amp;"",Counterparties!$A:$A,0))&amp;"",""))</f>
        <v/>
      </c>
      <c r="P1303" s="24" t="str">
        <f aca="false">IF($O1303="","",IF($O1303="CY","CY",IF(ISNUMBER(MATCH($O1303,Lists!$A:$A,0)),"EU","3RD")))</f>
        <v/>
      </c>
      <c r="Q1303" s="24" t="str">
        <f aca="false">IF($F1303="","N",IFERROR(IF(INDEX(Counterparties!$E:$E,MATCH($F1303&amp;"",Counterparties!$A:$A,0))="Y","Y","N"),"N"))</f>
        <v>N</v>
      </c>
      <c r="R1303" s="25" t="n">
        <f aca="false">IF(OR($H1303="",$H1303="EUR"),1,IFERROR(INDEX(FX_Rates!$D:$D,MATCH($H1303,FX_Rates!$A:$A,0)),""))</f>
        <v>1</v>
      </c>
      <c r="S1303" s="26" t="str">
        <f aca="false">IF(AND($I1303="",$J1303=""),"",IF($J1303&lt;&gt;"",$J1303,IF(OR($R1303="",$R1303=0),"",ROUND($I1303/$R1303,2))))</f>
        <v/>
      </c>
      <c r="T1303" s="24" t="str">
        <f aca="false">IF($N1303="","",IFERROR(INDEX(VAT_Codes!$C:$C,MATCH($N1303,VAT_Codes!$A:$A,0)),"")&amp;"")</f>
        <v/>
      </c>
      <c r="U1303" s="26" t="n">
        <f aca="false">IF(OR($S1303="",$T1303="",$T1303="None"),0,IF($T1303="Output",-$S1303,$S1303))</f>
        <v>0</v>
      </c>
      <c r="V1303" s="27" t="n">
        <f aca="false">IF($N1303="",0,IFERROR(INDEX(VAT_Codes!$D:$D,MATCH($N1303,VAT_Codes!$A:$A,0)),0))</f>
        <v>0</v>
      </c>
      <c r="W1303" s="26" t="n">
        <f aca="false">IF($U1303=0,0,IF(IFERROR(INDEX(VAT_Codes!$F:$F,MATCH($N1303,VAT_Codes!$A:$A,0)),"N")="Y",$U1303,IF($L1303&lt;&gt;"",ROUND(ABS($L1303)/IF(OR($R1303="",$R1303=0),1,$R1303),2)*SIGN($U1303),ROUND($U1303*$V1303,2))))</f>
        <v>0</v>
      </c>
      <c r="X1303" s="24" t="str">
        <f aca="false">IF($N1303="","",IFERROR(INDEX(VAT_Codes!$H:$H,MATCH($N1303,VAT_Codes!$A:$A,0)),"")&amp;"")</f>
        <v/>
      </c>
      <c r="Y1303" s="24" t="str">
        <f aca="false">IF($A1303="","",(YEAR($A1303)-YEAR(Settings!$C$8))*12+MONTH($A1303)-MONTH(Settings!$C$8)+1)</f>
        <v/>
      </c>
      <c r="Z1303" s="24" t="str">
        <f aca="false">IF(AND($C1303="",$I1303="",$J1303=""),"",IF($N1303="","NO VAT CODE",IF($T1303="","UNKNOWN VAT CODE",IF($S1303="","MISSING FX RATE",IF(OR($A1303&lt;Settings!$C$8,$A1303&gt;Settings!$C$9),"OUTSIDE PERIOD",IF(AND(IFERROR(INDEX(VAT_Codes!$E:$E,MATCH($N1303,VAT_Codes!$A:$A,0)),"ANY")&lt;&gt;"ANY",$P1303=""),"MISSING COUNTERPARTY COUNTRY",IF(AND(IFERROR(INDEX(VAT_Codes!$E:$E,MATCH($N1303,VAT_Codes!$A:$A,0)),"ANY")&lt;&gt;"ANY",$P1303&lt;&gt;IFERROR(INDEX(VAT_Codes!$E:$E,MATCH($N1303,VAT_Codes!$A:$A,0)),"ANY")),"REGION MISMATCH","OK")))))))</f>
        <v/>
      </c>
    </row>
    <row r="1304" customFormat="false" ht="15" hidden="false" customHeight="false" outlineLevel="0" collapsed="false">
      <c r="M1304" s="24" t="str">
        <f aca="false">IF($C1304="","",IFERROR(INDEX(Account_Mapping!$C:$C,MATCH($C1304&amp;"",Account_Mapping!$A:$A,0))&amp;"",""))</f>
        <v/>
      </c>
      <c r="N1304" s="24" t="str">
        <f aca="false">IF($K1304&lt;&gt;"",$K1304,$M1304)</f>
        <v/>
      </c>
      <c r="O1304" s="24" t="str">
        <f aca="false">IF($F1304="","",IFERROR(INDEX(Counterparties!$C:$C,MATCH($F1304&amp;"",Counterparties!$A:$A,0))&amp;"",""))</f>
        <v/>
      </c>
      <c r="P1304" s="24" t="str">
        <f aca="false">IF($O1304="","",IF($O1304="CY","CY",IF(ISNUMBER(MATCH($O1304,Lists!$A:$A,0)),"EU","3RD")))</f>
        <v/>
      </c>
      <c r="Q1304" s="24" t="str">
        <f aca="false">IF($F1304="","N",IFERROR(IF(INDEX(Counterparties!$E:$E,MATCH($F1304&amp;"",Counterparties!$A:$A,0))="Y","Y","N"),"N"))</f>
        <v>N</v>
      </c>
      <c r="R1304" s="25" t="n">
        <f aca="false">IF(OR($H1304="",$H1304="EUR"),1,IFERROR(INDEX(FX_Rates!$D:$D,MATCH($H1304,FX_Rates!$A:$A,0)),""))</f>
        <v>1</v>
      </c>
      <c r="S1304" s="26" t="str">
        <f aca="false">IF(AND($I1304="",$J1304=""),"",IF($J1304&lt;&gt;"",$J1304,IF(OR($R1304="",$R1304=0),"",ROUND($I1304/$R1304,2))))</f>
        <v/>
      </c>
      <c r="T1304" s="24" t="str">
        <f aca="false">IF($N1304="","",IFERROR(INDEX(VAT_Codes!$C:$C,MATCH($N1304,VAT_Codes!$A:$A,0)),"")&amp;"")</f>
        <v/>
      </c>
      <c r="U1304" s="26" t="n">
        <f aca="false">IF(OR($S1304="",$T1304="",$T1304="None"),0,IF($T1304="Output",-$S1304,$S1304))</f>
        <v>0</v>
      </c>
      <c r="V1304" s="27" t="n">
        <f aca="false">IF($N1304="",0,IFERROR(INDEX(VAT_Codes!$D:$D,MATCH($N1304,VAT_Codes!$A:$A,0)),0))</f>
        <v>0</v>
      </c>
      <c r="W1304" s="26" t="n">
        <f aca="false">IF($U1304=0,0,IF(IFERROR(INDEX(VAT_Codes!$F:$F,MATCH($N1304,VAT_Codes!$A:$A,0)),"N")="Y",$U1304,IF($L1304&lt;&gt;"",ROUND(ABS($L1304)/IF(OR($R1304="",$R1304=0),1,$R1304),2)*SIGN($U1304),ROUND($U1304*$V1304,2))))</f>
        <v>0</v>
      </c>
      <c r="X1304" s="24" t="str">
        <f aca="false">IF($N1304="","",IFERROR(INDEX(VAT_Codes!$H:$H,MATCH($N1304,VAT_Codes!$A:$A,0)),"")&amp;"")</f>
        <v/>
      </c>
      <c r="Y1304" s="24" t="str">
        <f aca="false">IF($A1304="","",(YEAR($A1304)-YEAR(Settings!$C$8))*12+MONTH($A1304)-MONTH(Settings!$C$8)+1)</f>
        <v/>
      </c>
      <c r="Z1304" s="24" t="str">
        <f aca="false">IF(AND($C1304="",$I1304="",$J1304=""),"",IF($N1304="","NO VAT CODE",IF($T1304="","UNKNOWN VAT CODE",IF($S1304="","MISSING FX RATE",IF(OR($A1304&lt;Settings!$C$8,$A1304&gt;Settings!$C$9),"OUTSIDE PERIOD",IF(AND(IFERROR(INDEX(VAT_Codes!$E:$E,MATCH($N1304,VAT_Codes!$A:$A,0)),"ANY")&lt;&gt;"ANY",$P1304=""),"MISSING COUNTERPARTY COUNTRY",IF(AND(IFERROR(INDEX(VAT_Codes!$E:$E,MATCH($N1304,VAT_Codes!$A:$A,0)),"ANY")&lt;&gt;"ANY",$P1304&lt;&gt;IFERROR(INDEX(VAT_Codes!$E:$E,MATCH($N1304,VAT_Codes!$A:$A,0)),"ANY")),"REGION MISMATCH","OK")))))))</f>
        <v/>
      </c>
    </row>
    <row r="1305" customFormat="false" ht="15" hidden="false" customHeight="false" outlineLevel="0" collapsed="false">
      <c r="M1305" s="24" t="str">
        <f aca="false">IF($C1305="","",IFERROR(INDEX(Account_Mapping!$C:$C,MATCH($C1305&amp;"",Account_Mapping!$A:$A,0))&amp;"",""))</f>
        <v/>
      </c>
      <c r="N1305" s="24" t="str">
        <f aca="false">IF($K1305&lt;&gt;"",$K1305,$M1305)</f>
        <v/>
      </c>
      <c r="O1305" s="24" t="str">
        <f aca="false">IF($F1305="","",IFERROR(INDEX(Counterparties!$C:$C,MATCH($F1305&amp;"",Counterparties!$A:$A,0))&amp;"",""))</f>
        <v/>
      </c>
      <c r="P1305" s="24" t="str">
        <f aca="false">IF($O1305="","",IF($O1305="CY","CY",IF(ISNUMBER(MATCH($O1305,Lists!$A:$A,0)),"EU","3RD")))</f>
        <v/>
      </c>
      <c r="Q1305" s="24" t="str">
        <f aca="false">IF($F1305="","N",IFERROR(IF(INDEX(Counterparties!$E:$E,MATCH($F1305&amp;"",Counterparties!$A:$A,0))="Y","Y","N"),"N"))</f>
        <v>N</v>
      </c>
      <c r="R1305" s="25" t="n">
        <f aca="false">IF(OR($H1305="",$H1305="EUR"),1,IFERROR(INDEX(FX_Rates!$D:$D,MATCH($H1305,FX_Rates!$A:$A,0)),""))</f>
        <v>1</v>
      </c>
      <c r="S1305" s="26" t="str">
        <f aca="false">IF(AND($I1305="",$J1305=""),"",IF($J1305&lt;&gt;"",$J1305,IF(OR($R1305="",$R1305=0),"",ROUND($I1305/$R1305,2))))</f>
        <v/>
      </c>
      <c r="T1305" s="24" t="str">
        <f aca="false">IF($N1305="","",IFERROR(INDEX(VAT_Codes!$C:$C,MATCH($N1305,VAT_Codes!$A:$A,0)),"")&amp;"")</f>
        <v/>
      </c>
      <c r="U1305" s="26" t="n">
        <f aca="false">IF(OR($S1305="",$T1305="",$T1305="None"),0,IF($T1305="Output",-$S1305,$S1305))</f>
        <v>0</v>
      </c>
      <c r="V1305" s="27" t="n">
        <f aca="false">IF($N1305="",0,IFERROR(INDEX(VAT_Codes!$D:$D,MATCH($N1305,VAT_Codes!$A:$A,0)),0))</f>
        <v>0</v>
      </c>
      <c r="W1305" s="26" t="n">
        <f aca="false">IF($U1305=0,0,IF(IFERROR(INDEX(VAT_Codes!$F:$F,MATCH($N1305,VAT_Codes!$A:$A,0)),"N")="Y",$U1305,IF($L1305&lt;&gt;"",ROUND(ABS($L1305)/IF(OR($R1305="",$R1305=0),1,$R1305),2)*SIGN($U1305),ROUND($U1305*$V1305,2))))</f>
        <v>0</v>
      </c>
      <c r="X1305" s="24" t="str">
        <f aca="false">IF($N1305="","",IFERROR(INDEX(VAT_Codes!$H:$H,MATCH($N1305,VAT_Codes!$A:$A,0)),"")&amp;"")</f>
        <v/>
      </c>
      <c r="Y1305" s="24" t="str">
        <f aca="false">IF($A1305="","",(YEAR($A1305)-YEAR(Settings!$C$8))*12+MONTH($A1305)-MONTH(Settings!$C$8)+1)</f>
        <v/>
      </c>
      <c r="Z1305" s="24" t="str">
        <f aca="false">IF(AND($C1305="",$I1305="",$J1305=""),"",IF($N1305="","NO VAT CODE",IF($T1305="","UNKNOWN VAT CODE",IF($S1305="","MISSING FX RATE",IF(OR($A1305&lt;Settings!$C$8,$A1305&gt;Settings!$C$9),"OUTSIDE PERIOD",IF(AND(IFERROR(INDEX(VAT_Codes!$E:$E,MATCH($N1305,VAT_Codes!$A:$A,0)),"ANY")&lt;&gt;"ANY",$P1305=""),"MISSING COUNTERPARTY COUNTRY",IF(AND(IFERROR(INDEX(VAT_Codes!$E:$E,MATCH($N1305,VAT_Codes!$A:$A,0)),"ANY")&lt;&gt;"ANY",$P1305&lt;&gt;IFERROR(INDEX(VAT_Codes!$E:$E,MATCH($N1305,VAT_Codes!$A:$A,0)),"ANY")),"REGION MISMATCH","OK")))))))</f>
        <v/>
      </c>
    </row>
    <row r="1306" customFormat="false" ht="15" hidden="false" customHeight="false" outlineLevel="0" collapsed="false">
      <c r="M1306" s="24" t="str">
        <f aca="false">IF($C1306="","",IFERROR(INDEX(Account_Mapping!$C:$C,MATCH($C1306&amp;"",Account_Mapping!$A:$A,0))&amp;"",""))</f>
        <v/>
      </c>
      <c r="N1306" s="24" t="str">
        <f aca="false">IF($K1306&lt;&gt;"",$K1306,$M1306)</f>
        <v/>
      </c>
      <c r="O1306" s="24" t="str">
        <f aca="false">IF($F1306="","",IFERROR(INDEX(Counterparties!$C:$C,MATCH($F1306&amp;"",Counterparties!$A:$A,0))&amp;"",""))</f>
        <v/>
      </c>
      <c r="P1306" s="24" t="str">
        <f aca="false">IF($O1306="","",IF($O1306="CY","CY",IF(ISNUMBER(MATCH($O1306,Lists!$A:$A,0)),"EU","3RD")))</f>
        <v/>
      </c>
      <c r="Q1306" s="24" t="str">
        <f aca="false">IF($F1306="","N",IFERROR(IF(INDEX(Counterparties!$E:$E,MATCH($F1306&amp;"",Counterparties!$A:$A,0))="Y","Y","N"),"N"))</f>
        <v>N</v>
      </c>
      <c r="R1306" s="25" t="n">
        <f aca="false">IF(OR($H1306="",$H1306="EUR"),1,IFERROR(INDEX(FX_Rates!$D:$D,MATCH($H1306,FX_Rates!$A:$A,0)),""))</f>
        <v>1</v>
      </c>
      <c r="S1306" s="26" t="str">
        <f aca="false">IF(AND($I1306="",$J1306=""),"",IF($J1306&lt;&gt;"",$J1306,IF(OR($R1306="",$R1306=0),"",ROUND($I1306/$R1306,2))))</f>
        <v/>
      </c>
      <c r="T1306" s="24" t="str">
        <f aca="false">IF($N1306="","",IFERROR(INDEX(VAT_Codes!$C:$C,MATCH($N1306,VAT_Codes!$A:$A,0)),"")&amp;"")</f>
        <v/>
      </c>
      <c r="U1306" s="26" t="n">
        <f aca="false">IF(OR($S1306="",$T1306="",$T1306="None"),0,IF($T1306="Output",-$S1306,$S1306))</f>
        <v>0</v>
      </c>
      <c r="V1306" s="27" t="n">
        <f aca="false">IF($N1306="",0,IFERROR(INDEX(VAT_Codes!$D:$D,MATCH($N1306,VAT_Codes!$A:$A,0)),0))</f>
        <v>0</v>
      </c>
      <c r="W1306" s="26" t="n">
        <f aca="false">IF($U1306=0,0,IF(IFERROR(INDEX(VAT_Codes!$F:$F,MATCH($N1306,VAT_Codes!$A:$A,0)),"N")="Y",$U1306,IF($L1306&lt;&gt;"",ROUND(ABS($L1306)/IF(OR($R1306="",$R1306=0),1,$R1306),2)*SIGN($U1306),ROUND($U1306*$V1306,2))))</f>
        <v>0</v>
      </c>
      <c r="X1306" s="24" t="str">
        <f aca="false">IF($N1306="","",IFERROR(INDEX(VAT_Codes!$H:$H,MATCH($N1306,VAT_Codes!$A:$A,0)),"")&amp;"")</f>
        <v/>
      </c>
      <c r="Y1306" s="24" t="str">
        <f aca="false">IF($A1306="","",(YEAR($A1306)-YEAR(Settings!$C$8))*12+MONTH($A1306)-MONTH(Settings!$C$8)+1)</f>
        <v/>
      </c>
      <c r="Z1306" s="24" t="str">
        <f aca="false">IF(AND($C1306="",$I1306="",$J1306=""),"",IF($N1306="","NO VAT CODE",IF($T1306="","UNKNOWN VAT CODE",IF($S1306="","MISSING FX RATE",IF(OR($A1306&lt;Settings!$C$8,$A1306&gt;Settings!$C$9),"OUTSIDE PERIOD",IF(AND(IFERROR(INDEX(VAT_Codes!$E:$E,MATCH($N1306,VAT_Codes!$A:$A,0)),"ANY")&lt;&gt;"ANY",$P1306=""),"MISSING COUNTERPARTY COUNTRY",IF(AND(IFERROR(INDEX(VAT_Codes!$E:$E,MATCH($N1306,VAT_Codes!$A:$A,0)),"ANY")&lt;&gt;"ANY",$P1306&lt;&gt;IFERROR(INDEX(VAT_Codes!$E:$E,MATCH($N1306,VAT_Codes!$A:$A,0)),"ANY")),"REGION MISMATCH","OK")))))))</f>
        <v/>
      </c>
    </row>
    <row r="1307" customFormat="false" ht="15" hidden="false" customHeight="false" outlineLevel="0" collapsed="false">
      <c r="M1307" s="24" t="str">
        <f aca="false">IF($C1307="","",IFERROR(INDEX(Account_Mapping!$C:$C,MATCH($C1307&amp;"",Account_Mapping!$A:$A,0))&amp;"",""))</f>
        <v/>
      </c>
      <c r="N1307" s="24" t="str">
        <f aca="false">IF($K1307&lt;&gt;"",$K1307,$M1307)</f>
        <v/>
      </c>
      <c r="O1307" s="24" t="str">
        <f aca="false">IF($F1307="","",IFERROR(INDEX(Counterparties!$C:$C,MATCH($F1307&amp;"",Counterparties!$A:$A,0))&amp;"",""))</f>
        <v/>
      </c>
      <c r="P1307" s="24" t="str">
        <f aca="false">IF($O1307="","",IF($O1307="CY","CY",IF(ISNUMBER(MATCH($O1307,Lists!$A:$A,0)),"EU","3RD")))</f>
        <v/>
      </c>
      <c r="Q1307" s="24" t="str">
        <f aca="false">IF($F1307="","N",IFERROR(IF(INDEX(Counterparties!$E:$E,MATCH($F1307&amp;"",Counterparties!$A:$A,0))="Y","Y","N"),"N"))</f>
        <v>N</v>
      </c>
      <c r="R1307" s="25" t="n">
        <f aca="false">IF(OR($H1307="",$H1307="EUR"),1,IFERROR(INDEX(FX_Rates!$D:$D,MATCH($H1307,FX_Rates!$A:$A,0)),""))</f>
        <v>1</v>
      </c>
      <c r="S1307" s="26" t="str">
        <f aca="false">IF(AND($I1307="",$J1307=""),"",IF($J1307&lt;&gt;"",$J1307,IF(OR($R1307="",$R1307=0),"",ROUND($I1307/$R1307,2))))</f>
        <v/>
      </c>
      <c r="T1307" s="24" t="str">
        <f aca="false">IF($N1307="","",IFERROR(INDEX(VAT_Codes!$C:$C,MATCH($N1307,VAT_Codes!$A:$A,0)),"")&amp;"")</f>
        <v/>
      </c>
      <c r="U1307" s="26" t="n">
        <f aca="false">IF(OR($S1307="",$T1307="",$T1307="None"),0,IF($T1307="Output",-$S1307,$S1307))</f>
        <v>0</v>
      </c>
      <c r="V1307" s="27" t="n">
        <f aca="false">IF($N1307="",0,IFERROR(INDEX(VAT_Codes!$D:$D,MATCH($N1307,VAT_Codes!$A:$A,0)),0))</f>
        <v>0</v>
      </c>
      <c r="W1307" s="26" t="n">
        <f aca="false">IF($U1307=0,0,IF(IFERROR(INDEX(VAT_Codes!$F:$F,MATCH($N1307,VAT_Codes!$A:$A,0)),"N")="Y",$U1307,IF($L1307&lt;&gt;"",ROUND(ABS($L1307)/IF(OR($R1307="",$R1307=0),1,$R1307),2)*SIGN($U1307),ROUND($U1307*$V1307,2))))</f>
        <v>0</v>
      </c>
      <c r="X1307" s="24" t="str">
        <f aca="false">IF($N1307="","",IFERROR(INDEX(VAT_Codes!$H:$H,MATCH($N1307,VAT_Codes!$A:$A,0)),"")&amp;"")</f>
        <v/>
      </c>
      <c r="Y1307" s="24" t="str">
        <f aca="false">IF($A1307="","",(YEAR($A1307)-YEAR(Settings!$C$8))*12+MONTH($A1307)-MONTH(Settings!$C$8)+1)</f>
        <v/>
      </c>
      <c r="Z1307" s="24" t="str">
        <f aca="false">IF(AND($C1307="",$I1307="",$J1307=""),"",IF($N1307="","NO VAT CODE",IF($T1307="","UNKNOWN VAT CODE",IF($S1307="","MISSING FX RATE",IF(OR($A1307&lt;Settings!$C$8,$A1307&gt;Settings!$C$9),"OUTSIDE PERIOD",IF(AND(IFERROR(INDEX(VAT_Codes!$E:$E,MATCH($N1307,VAT_Codes!$A:$A,0)),"ANY")&lt;&gt;"ANY",$P1307=""),"MISSING COUNTERPARTY COUNTRY",IF(AND(IFERROR(INDEX(VAT_Codes!$E:$E,MATCH($N1307,VAT_Codes!$A:$A,0)),"ANY")&lt;&gt;"ANY",$P1307&lt;&gt;IFERROR(INDEX(VAT_Codes!$E:$E,MATCH($N1307,VAT_Codes!$A:$A,0)),"ANY")),"REGION MISMATCH","OK")))))))</f>
        <v/>
      </c>
    </row>
    <row r="1308" customFormat="false" ht="15" hidden="false" customHeight="false" outlineLevel="0" collapsed="false">
      <c r="M1308" s="24" t="str">
        <f aca="false">IF($C1308="","",IFERROR(INDEX(Account_Mapping!$C:$C,MATCH($C1308&amp;"",Account_Mapping!$A:$A,0))&amp;"",""))</f>
        <v/>
      </c>
      <c r="N1308" s="24" t="str">
        <f aca="false">IF($K1308&lt;&gt;"",$K1308,$M1308)</f>
        <v/>
      </c>
      <c r="O1308" s="24" t="str">
        <f aca="false">IF($F1308="","",IFERROR(INDEX(Counterparties!$C:$C,MATCH($F1308&amp;"",Counterparties!$A:$A,0))&amp;"",""))</f>
        <v/>
      </c>
      <c r="P1308" s="24" t="str">
        <f aca="false">IF($O1308="","",IF($O1308="CY","CY",IF(ISNUMBER(MATCH($O1308,Lists!$A:$A,0)),"EU","3RD")))</f>
        <v/>
      </c>
      <c r="Q1308" s="24" t="str">
        <f aca="false">IF($F1308="","N",IFERROR(IF(INDEX(Counterparties!$E:$E,MATCH($F1308&amp;"",Counterparties!$A:$A,0))="Y","Y","N"),"N"))</f>
        <v>N</v>
      </c>
      <c r="R1308" s="25" t="n">
        <f aca="false">IF(OR($H1308="",$H1308="EUR"),1,IFERROR(INDEX(FX_Rates!$D:$D,MATCH($H1308,FX_Rates!$A:$A,0)),""))</f>
        <v>1</v>
      </c>
      <c r="S1308" s="26" t="str">
        <f aca="false">IF(AND($I1308="",$J1308=""),"",IF($J1308&lt;&gt;"",$J1308,IF(OR($R1308="",$R1308=0),"",ROUND($I1308/$R1308,2))))</f>
        <v/>
      </c>
      <c r="T1308" s="24" t="str">
        <f aca="false">IF($N1308="","",IFERROR(INDEX(VAT_Codes!$C:$C,MATCH($N1308,VAT_Codes!$A:$A,0)),"")&amp;"")</f>
        <v/>
      </c>
      <c r="U1308" s="26" t="n">
        <f aca="false">IF(OR($S1308="",$T1308="",$T1308="None"),0,IF($T1308="Output",-$S1308,$S1308))</f>
        <v>0</v>
      </c>
      <c r="V1308" s="27" t="n">
        <f aca="false">IF($N1308="",0,IFERROR(INDEX(VAT_Codes!$D:$D,MATCH($N1308,VAT_Codes!$A:$A,0)),0))</f>
        <v>0</v>
      </c>
      <c r="W1308" s="26" t="n">
        <f aca="false">IF($U1308=0,0,IF(IFERROR(INDEX(VAT_Codes!$F:$F,MATCH($N1308,VAT_Codes!$A:$A,0)),"N")="Y",$U1308,IF($L1308&lt;&gt;"",ROUND(ABS($L1308)/IF(OR($R1308="",$R1308=0),1,$R1308),2)*SIGN($U1308),ROUND($U1308*$V1308,2))))</f>
        <v>0</v>
      </c>
      <c r="X1308" s="24" t="str">
        <f aca="false">IF($N1308="","",IFERROR(INDEX(VAT_Codes!$H:$H,MATCH($N1308,VAT_Codes!$A:$A,0)),"")&amp;"")</f>
        <v/>
      </c>
      <c r="Y1308" s="24" t="str">
        <f aca="false">IF($A1308="","",(YEAR($A1308)-YEAR(Settings!$C$8))*12+MONTH($A1308)-MONTH(Settings!$C$8)+1)</f>
        <v/>
      </c>
      <c r="Z1308" s="24" t="str">
        <f aca="false">IF(AND($C1308="",$I1308="",$J1308=""),"",IF($N1308="","NO VAT CODE",IF($T1308="","UNKNOWN VAT CODE",IF($S1308="","MISSING FX RATE",IF(OR($A1308&lt;Settings!$C$8,$A1308&gt;Settings!$C$9),"OUTSIDE PERIOD",IF(AND(IFERROR(INDEX(VAT_Codes!$E:$E,MATCH($N1308,VAT_Codes!$A:$A,0)),"ANY")&lt;&gt;"ANY",$P1308=""),"MISSING COUNTERPARTY COUNTRY",IF(AND(IFERROR(INDEX(VAT_Codes!$E:$E,MATCH($N1308,VAT_Codes!$A:$A,0)),"ANY")&lt;&gt;"ANY",$P1308&lt;&gt;IFERROR(INDEX(VAT_Codes!$E:$E,MATCH($N1308,VAT_Codes!$A:$A,0)),"ANY")),"REGION MISMATCH","OK")))))))</f>
        <v/>
      </c>
    </row>
    <row r="1309" customFormat="false" ht="15" hidden="false" customHeight="false" outlineLevel="0" collapsed="false">
      <c r="M1309" s="24" t="str">
        <f aca="false">IF($C1309="","",IFERROR(INDEX(Account_Mapping!$C:$C,MATCH($C1309&amp;"",Account_Mapping!$A:$A,0))&amp;"",""))</f>
        <v/>
      </c>
      <c r="N1309" s="24" t="str">
        <f aca="false">IF($K1309&lt;&gt;"",$K1309,$M1309)</f>
        <v/>
      </c>
      <c r="O1309" s="24" t="str">
        <f aca="false">IF($F1309="","",IFERROR(INDEX(Counterparties!$C:$C,MATCH($F1309&amp;"",Counterparties!$A:$A,0))&amp;"",""))</f>
        <v/>
      </c>
      <c r="P1309" s="24" t="str">
        <f aca="false">IF($O1309="","",IF($O1309="CY","CY",IF(ISNUMBER(MATCH($O1309,Lists!$A:$A,0)),"EU","3RD")))</f>
        <v/>
      </c>
      <c r="Q1309" s="24" t="str">
        <f aca="false">IF($F1309="","N",IFERROR(IF(INDEX(Counterparties!$E:$E,MATCH($F1309&amp;"",Counterparties!$A:$A,0))="Y","Y","N"),"N"))</f>
        <v>N</v>
      </c>
      <c r="R1309" s="25" t="n">
        <f aca="false">IF(OR($H1309="",$H1309="EUR"),1,IFERROR(INDEX(FX_Rates!$D:$D,MATCH($H1309,FX_Rates!$A:$A,0)),""))</f>
        <v>1</v>
      </c>
      <c r="S1309" s="26" t="str">
        <f aca="false">IF(AND($I1309="",$J1309=""),"",IF($J1309&lt;&gt;"",$J1309,IF(OR($R1309="",$R1309=0),"",ROUND($I1309/$R1309,2))))</f>
        <v/>
      </c>
      <c r="T1309" s="24" t="str">
        <f aca="false">IF($N1309="","",IFERROR(INDEX(VAT_Codes!$C:$C,MATCH($N1309,VAT_Codes!$A:$A,0)),"")&amp;"")</f>
        <v/>
      </c>
      <c r="U1309" s="26" t="n">
        <f aca="false">IF(OR($S1309="",$T1309="",$T1309="None"),0,IF($T1309="Output",-$S1309,$S1309))</f>
        <v>0</v>
      </c>
      <c r="V1309" s="27" t="n">
        <f aca="false">IF($N1309="",0,IFERROR(INDEX(VAT_Codes!$D:$D,MATCH($N1309,VAT_Codes!$A:$A,0)),0))</f>
        <v>0</v>
      </c>
      <c r="W1309" s="26" t="n">
        <f aca="false">IF($U1309=0,0,IF(IFERROR(INDEX(VAT_Codes!$F:$F,MATCH($N1309,VAT_Codes!$A:$A,0)),"N")="Y",$U1309,IF($L1309&lt;&gt;"",ROUND(ABS($L1309)/IF(OR($R1309="",$R1309=0),1,$R1309),2)*SIGN($U1309),ROUND($U1309*$V1309,2))))</f>
        <v>0</v>
      </c>
      <c r="X1309" s="24" t="str">
        <f aca="false">IF($N1309="","",IFERROR(INDEX(VAT_Codes!$H:$H,MATCH($N1309,VAT_Codes!$A:$A,0)),"")&amp;"")</f>
        <v/>
      </c>
      <c r="Y1309" s="24" t="str">
        <f aca="false">IF($A1309="","",(YEAR($A1309)-YEAR(Settings!$C$8))*12+MONTH($A1309)-MONTH(Settings!$C$8)+1)</f>
        <v/>
      </c>
      <c r="Z1309" s="24" t="str">
        <f aca="false">IF(AND($C1309="",$I1309="",$J1309=""),"",IF($N1309="","NO VAT CODE",IF($T1309="","UNKNOWN VAT CODE",IF($S1309="","MISSING FX RATE",IF(OR($A1309&lt;Settings!$C$8,$A1309&gt;Settings!$C$9),"OUTSIDE PERIOD",IF(AND(IFERROR(INDEX(VAT_Codes!$E:$E,MATCH($N1309,VAT_Codes!$A:$A,0)),"ANY")&lt;&gt;"ANY",$P1309=""),"MISSING COUNTERPARTY COUNTRY",IF(AND(IFERROR(INDEX(VAT_Codes!$E:$E,MATCH($N1309,VAT_Codes!$A:$A,0)),"ANY")&lt;&gt;"ANY",$P1309&lt;&gt;IFERROR(INDEX(VAT_Codes!$E:$E,MATCH($N1309,VAT_Codes!$A:$A,0)),"ANY")),"REGION MISMATCH","OK")))))))</f>
        <v/>
      </c>
    </row>
    <row r="1310" customFormat="false" ht="15" hidden="false" customHeight="false" outlineLevel="0" collapsed="false">
      <c r="M1310" s="24" t="str">
        <f aca="false">IF($C1310="","",IFERROR(INDEX(Account_Mapping!$C:$C,MATCH($C1310&amp;"",Account_Mapping!$A:$A,0))&amp;"",""))</f>
        <v/>
      </c>
      <c r="N1310" s="24" t="str">
        <f aca="false">IF($K1310&lt;&gt;"",$K1310,$M1310)</f>
        <v/>
      </c>
      <c r="O1310" s="24" t="str">
        <f aca="false">IF($F1310="","",IFERROR(INDEX(Counterparties!$C:$C,MATCH($F1310&amp;"",Counterparties!$A:$A,0))&amp;"",""))</f>
        <v/>
      </c>
      <c r="P1310" s="24" t="str">
        <f aca="false">IF($O1310="","",IF($O1310="CY","CY",IF(ISNUMBER(MATCH($O1310,Lists!$A:$A,0)),"EU","3RD")))</f>
        <v/>
      </c>
      <c r="Q1310" s="24" t="str">
        <f aca="false">IF($F1310="","N",IFERROR(IF(INDEX(Counterparties!$E:$E,MATCH($F1310&amp;"",Counterparties!$A:$A,0))="Y","Y","N"),"N"))</f>
        <v>N</v>
      </c>
      <c r="R1310" s="25" t="n">
        <f aca="false">IF(OR($H1310="",$H1310="EUR"),1,IFERROR(INDEX(FX_Rates!$D:$D,MATCH($H1310,FX_Rates!$A:$A,0)),""))</f>
        <v>1</v>
      </c>
      <c r="S1310" s="26" t="str">
        <f aca="false">IF(AND($I1310="",$J1310=""),"",IF($J1310&lt;&gt;"",$J1310,IF(OR($R1310="",$R1310=0),"",ROUND($I1310/$R1310,2))))</f>
        <v/>
      </c>
      <c r="T1310" s="24" t="str">
        <f aca="false">IF($N1310="","",IFERROR(INDEX(VAT_Codes!$C:$C,MATCH($N1310,VAT_Codes!$A:$A,0)),"")&amp;"")</f>
        <v/>
      </c>
      <c r="U1310" s="26" t="n">
        <f aca="false">IF(OR($S1310="",$T1310="",$T1310="None"),0,IF($T1310="Output",-$S1310,$S1310))</f>
        <v>0</v>
      </c>
      <c r="V1310" s="27" t="n">
        <f aca="false">IF($N1310="",0,IFERROR(INDEX(VAT_Codes!$D:$D,MATCH($N1310,VAT_Codes!$A:$A,0)),0))</f>
        <v>0</v>
      </c>
      <c r="W1310" s="26" t="n">
        <f aca="false">IF($U1310=0,0,IF(IFERROR(INDEX(VAT_Codes!$F:$F,MATCH($N1310,VAT_Codes!$A:$A,0)),"N")="Y",$U1310,IF($L1310&lt;&gt;"",ROUND(ABS($L1310)/IF(OR($R1310="",$R1310=0),1,$R1310),2)*SIGN($U1310),ROUND($U1310*$V1310,2))))</f>
        <v>0</v>
      </c>
      <c r="X1310" s="24" t="str">
        <f aca="false">IF($N1310="","",IFERROR(INDEX(VAT_Codes!$H:$H,MATCH($N1310,VAT_Codes!$A:$A,0)),"")&amp;"")</f>
        <v/>
      </c>
      <c r="Y1310" s="24" t="str">
        <f aca="false">IF($A1310="","",(YEAR($A1310)-YEAR(Settings!$C$8))*12+MONTH($A1310)-MONTH(Settings!$C$8)+1)</f>
        <v/>
      </c>
      <c r="Z1310" s="24" t="str">
        <f aca="false">IF(AND($C1310="",$I1310="",$J1310=""),"",IF($N1310="","NO VAT CODE",IF($T1310="","UNKNOWN VAT CODE",IF($S1310="","MISSING FX RATE",IF(OR($A1310&lt;Settings!$C$8,$A1310&gt;Settings!$C$9),"OUTSIDE PERIOD",IF(AND(IFERROR(INDEX(VAT_Codes!$E:$E,MATCH($N1310,VAT_Codes!$A:$A,0)),"ANY")&lt;&gt;"ANY",$P1310=""),"MISSING COUNTERPARTY COUNTRY",IF(AND(IFERROR(INDEX(VAT_Codes!$E:$E,MATCH($N1310,VAT_Codes!$A:$A,0)),"ANY")&lt;&gt;"ANY",$P1310&lt;&gt;IFERROR(INDEX(VAT_Codes!$E:$E,MATCH($N1310,VAT_Codes!$A:$A,0)),"ANY")),"REGION MISMATCH","OK")))))))</f>
        <v/>
      </c>
    </row>
    <row r="1311" customFormat="false" ht="15" hidden="false" customHeight="false" outlineLevel="0" collapsed="false">
      <c r="M1311" s="24" t="str">
        <f aca="false">IF($C1311="","",IFERROR(INDEX(Account_Mapping!$C:$C,MATCH($C1311&amp;"",Account_Mapping!$A:$A,0))&amp;"",""))</f>
        <v/>
      </c>
      <c r="N1311" s="24" t="str">
        <f aca="false">IF($K1311&lt;&gt;"",$K1311,$M1311)</f>
        <v/>
      </c>
      <c r="O1311" s="24" t="str">
        <f aca="false">IF($F1311="","",IFERROR(INDEX(Counterparties!$C:$C,MATCH($F1311&amp;"",Counterparties!$A:$A,0))&amp;"",""))</f>
        <v/>
      </c>
      <c r="P1311" s="24" t="str">
        <f aca="false">IF($O1311="","",IF($O1311="CY","CY",IF(ISNUMBER(MATCH($O1311,Lists!$A:$A,0)),"EU","3RD")))</f>
        <v/>
      </c>
      <c r="Q1311" s="24" t="str">
        <f aca="false">IF($F1311="","N",IFERROR(IF(INDEX(Counterparties!$E:$E,MATCH($F1311&amp;"",Counterparties!$A:$A,0))="Y","Y","N"),"N"))</f>
        <v>N</v>
      </c>
      <c r="R1311" s="25" t="n">
        <f aca="false">IF(OR($H1311="",$H1311="EUR"),1,IFERROR(INDEX(FX_Rates!$D:$D,MATCH($H1311,FX_Rates!$A:$A,0)),""))</f>
        <v>1</v>
      </c>
      <c r="S1311" s="26" t="str">
        <f aca="false">IF(AND($I1311="",$J1311=""),"",IF($J1311&lt;&gt;"",$J1311,IF(OR($R1311="",$R1311=0),"",ROUND($I1311/$R1311,2))))</f>
        <v/>
      </c>
      <c r="T1311" s="24" t="str">
        <f aca="false">IF($N1311="","",IFERROR(INDEX(VAT_Codes!$C:$C,MATCH($N1311,VAT_Codes!$A:$A,0)),"")&amp;"")</f>
        <v/>
      </c>
      <c r="U1311" s="26" t="n">
        <f aca="false">IF(OR($S1311="",$T1311="",$T1311="None"),0,IF($T1311="Output",-$S1311,$S1311))</f>
        <v>0</v>
      </c>
      <c r="V1311" s="27" t="n">
        <f aca="false">IF($N1311="",0,IFERROR(INDEX(VAT_Codes!$D:$D,MATCH($N1311,VAT_Codes!$A:$A,0)),0))</f>
        <v>0</v>
      </c>
      <c r="W1311" s="26" t="n">
        <f aca="false">IF($U1311=0,0,IF(IFERROR(INDEX(VAT_Codes!$F:$F,MATCH($N1311,VAT_Codes!$A:$A,0)),"N")="Y",$U1311,IF($L1311&lt;&gt;"",ROUND(ABS($L1311)/IF(OR($R1311="",$R1311=0),1,$R1311),2)*SIGN($U1311),ROUND($U1311*$V1311,2))))</f>
        <v>0</v>
      </c>
      <c r="X1311" s="24" t="str">
        <f aca="false">IF($N1311="","",IFERROR(INDEX(VAT_Codes!$H:$H,MATCH($N1311,VAT_Codes!$A:$A,0)),"")&amp;"")</f>
        <v/>
      </c>
      <c r="Y1311" s="24" t="str">
        <f aca="false">IF($A1311="","",(YEAR($A1311)-YEAR(Settings!$C$8))*12+MONTH($A1311)-MONTH(Settings!$C$8)+1)</f>
        <v/>
      </c>
      <c r="Z1311" s="24" t="str">
        <f aca="false">IF(AND($C1311="",$I1311="",$J1311=""),"",IF($N1311="","NO VAT CODE",IF($T1311="","UNKNOWN VAT CODE",IF($S1311="","MISSING FX RATE",IF(OR($A1311&lt;Settings!$C$8,$A1311&gt;Settings!$C$9),"OUTSIDE PERIOD",IF(AND(IFERROR(INDEX(VAT_Codes!$E:$E,MATCH($N1311,VAT_Codes!$A:$A,0)),"ANY")&lt;&gt;"ANY",$P1311=""),"MISSING COUNTERPARTY COUNTRY",IF(AND(IFERROR(INDEX(VAT_Codes!$E:$E,MATCH($N1311,VAT_Codes!$A:$A,0)),"ANY")&lt;&gt;"ANY",$P1311&lt;&gt;IFERROR(INDEX(VAT_Codes!$E:$E,MATCH($N1311,VAT_Codes!$A:$A,0)),"ANY")),"REGION MISMATCH","OK")))))))</f>
        <v/>
      </c>
    </row>
    <row r="1312" customFormat="false" ht="15" hidden="false" customHeight="false" outlineLevel="0" collapsed="false">
      <c r="M1312" s="24" t="str">
        <f aca="false">IF($C1312="","",IFERROR(INDEX(Account_Mapping!$C:$C,MATCH($C1312&amp;"",Account_Mapping!$A:$A,0))&amp;"",""))</f>
        <v/>
      </c>
      <c r="N1312" s="24" t="str">
        <f aca="false">IF($K1312&lt;&gt;"",$K1312,$M1312)</f>
        <v/>
      </c>
      <c r="O1312" s="24" t="str">
        <f aca="false">IF($F1312="","",IFERROR(INDEX(Counterparties!$C:$C,MATCH($F1312&amp;"",Counterparties!$A:$A,0))&amp;"",""))</f>
        <v/>
      </c>
      <c r="P1312" s="24" t="str">
        <f aca="false">IF($O1312="","",IF($O1312="CY","CY",IF(ISNUMBER(MATCH($O1312,Lists!$A:$A,0)),"EU","3RD")))</f>
        <v/>
      </c>
      <c r="Q1312" s="24" t="str">
        <f aca="false">IF($F1312="","N",IFERROR(IF(INDEX(Counterparties!$E:$E,MATCH($F1312&amp;"",Counterparties!$A:$A,0))="Y","Y","N"),"N"))</f>
        <v>N</v>
      </c>
      <c r="R1312" s="25" t="n">
        <f aca="false">IF(OR($H1312="",$H1312="EUR"),1,IFERROR(INDEX(FX_Rates!$D:$D,MATCH($H1312,FX_Rates!$A:$A,0)),""))</f>
        <v>1</v>
      </c>
      <c r="S1312" s="26" t="str">
        <f aca="false">IF(AND($I1312="",$J1312=""),"",IF($J1312&lt;&gt;"",$J1312,IF(OR($R1312="",$R1312=0),"",ROUND($I1312/$R1312,2))))</f>
        <v/>
      </c>
      <c r="T1312" s="24" t="str">
        <f aca="false">IF($N1312="","",IFERROR(INDEX(VAT_Codes!$C:$C,MATCH($N1312,VAT_Codes!$A:$A,0)),"")&amp;"")</f>
        <v/>
      </c>
      <c r="U1312" s="26" t="n">
        <f aca="false">IF(OR($S1312="",$T1312="",$T1312="None"),0,IF($T1312="Output",-$S1312,$S1312))</f>
        <v>0</v>
      </c>
      <c r="V1312" s="27" t="n">
        <f aca="false">IF($N1312="",0,IFERROR(INDEX(VAT_Codes!$D:$D,MATCH($N1312,VAT_Codes!$A:$A,0)),0))</f>
        <v>0</v>
      </c>
      <c r="W1312" s="26" t="n">
        <f aca="false">IF($U1312=0,0,IF(IFERROR(INDEX(VAT_Codes!$F:$F,MATCH($N1312,VAT_Codes!$A:$A,0)),"N")="Y",$U1312,IF($L1312&lt;&gt;"",ROUND(ABS($L1312)/IF(OR($R1312="",$R1312=0),1,$R1312),2)*SIGN($U1312),ROUND($U1312*$V1312,2))))</f>
        <v>0</v>
      </c>
      <c r="X1312" s="24" t="str">
        <f aca="false">IF($N1312="","",IFERROR(INDEX(VAT_Codes!$H:$H,MATCH($N1312,VAT_Codes!$A:$A,0)),"")&amp;"")</f>
        <v/>
      </c>
      <c r="Y1312" s="24" t="str">
        <f aca="false">IF($A1312="","",(YEAR($A1312)-YEAR(Settings!$C$8))*12+MONTH($A1312)-MONTH(Settings!$C$8)+1)</f>
        <v/>
      </c>
      <c r="Z1312" s="24" t="str">
        <f aca="false">IF(AND($C1312="",$I1312="",$J1312=""),"",IF($N1312="","NO VAT CODE",IF($T1312="","UNKNOWN VAT CODE",IF($S1312="","MISSING FX RATE",IF(OR($A1312&lt;Settings!$C$8,$A1312&gt;Settings!$C$9),"OUTSIDE PERIOD",IF(AND(IFERROR(INDEX(VAT_Codes!$E:$E,MATCH($N1312,VAT_Codes!$A:$A,0)),"ANY")&lt;&gt;"ANY",$P1312=""),"MISSING COUNTERPARTY COUNTRY",IF(AND(IFERROR(INDEX(VAT_Codes!$E:$E,MATCH($N1312,VAT_Codes!$A:$A,0)),"ANY")&lt;&gt;"ANY",$P1312&lt;&gt;IFERROR(INDEX(VAT_Codes!$E:$E,MATCH($N1312,VAT_Codes!$A:$A,0)),"ANY")),"REGION MISMATCH","OK")))))))</f>
        <v/>
      </c>
    </row>
    <row r="1313" customFormat="false" ht="15" hidden="false" customHeight="false" outlineLevel="0" collapsed="false">
      <c r="M1313" s="24" t="str">
        <f aca="false">IF($C1313="","",IFERROR(INDEX(Account_Mapping!$C:$C,MATCH($C1313&amp;"",Account_Mapping!$A:$A,0))&amp;"",""))</f>
        <v/>
      </c>
      <c r="N1313" s="24" t="str">
        <f aca="false">IF($K1313&lt;&gt;"",$K1313,$M1313)</f>
        <v/>
      </c>
      <c r="O1313" s="24" t="str">
        <f aca="false">IF($F1313="","",IFERROR(INDEX(Counterparties!$C:$C,MATCH($F1313&amp;"",Counterparties!$A:$A,0))&amp;"",""))</f>
        <v/>
      </c>
      <c r="P1313" s="24" t="str">
        <f aca="false">IF($O1313="","",IF($O1313="CY","CY",IF(ISNUMBER(MATCH($O1313,Lists!$A:$A,0)),"EU","3RD")))</f>
        <v/>
      </c>
      <c r="Q1313" s="24" t="str">
        <f aca="false">IF($F1313="","N",IFERROR(IF(INDEX(Counterparties!$E:$E,MATCH($F1313&amp;"",Counterparties!$A:$A,0))="Y","Y","N"),"N"))</f>
        <v>N</v>
      </c>
      <c r="R1313" s="25" t="n">
        <f aca="false">IF(OR($H1313="",$H1313="EUR"),1,IFERROR(INDEX(FX_Rates!$D:$D,MATCH($H1313,FX_Rates!$A:$A,0)),""))</f>
        <v>1</v>
      </c>
      <c r="S1313" s="26" t="str">
        <f aca="false">IF(AND($I1313="",$J1313=""),"",IF($J1313&lt;&gt;"",$J1313,IF(OR($R1313="",$R1313=0),"",ROUND($I1313/$R1313,2))))</f>
        <v/>
      </c>
      <c r="T1313" s="24" t="str">
        <f aca="false">IF($N1313="","",IFERROR(INDEX(VAT_Codes!$C:$C,MATCH($N1313,VAT_Codes!$A:$A,0)),"")&amp;"")</f>
        <v/>
      </c>
      <c r="U1313" s="26" t="n">
        <f aca="false">IF(OR($S1313="",$T1313="",$T1313="None"),0,IF($T1313="Output",-$S1313,$S1313))</f>
        <v>0</v>
      </c>
      <c r="V1313" s="27" t="n">
        <f aca="false">IF($N1313="",0,IFERROR(INDEX(VAT_Codes!$D:$D,MATCH($N1313,VAT_Codes!$A:$A,0)),0))</f>
        <v>0</v>
      </c>
      <c r="W1313" s="26" t="n">
        <f aca="false">IF($U1313=0,0,IF(IFERROR(INDEX(VAT_Codes!$F:$F,MATCH($N1313,VAT_Codes!$A:$A,0)),"N")="Y",$U1313,IF($L1313&lt;&gt;"",ROUND(ABS($L1313)/IF(OR($R1313="",$R1313=0),1,$R1313),2)*SIGN($U1313),ROUND($U1313*$V1313,2))))</f>
        <v>0</v>
      </c>
      <c r="X1313" s="24" t="str">
        <f aca="false">IF($N1313="","",IFERROR(INDEX(VAT_Codes!$H:$H,MATCH($N1313,VAT_Codes!$A:$A,0)),"")&amp;"")</f>
        <v/>
      </c>
      <c r="Y1313" s="24" t="str">
        <f aca="false">IF($A1313="","",(YEAR($A1313)-YEAR(Settings!$C$8))*12+MONTH($A1313)-MONTH(Settings!$C$8)+1)</f>
        <v/>
      </c>
      <c r="Z1313" s="24" t="str">
        <f aca="false">IF(AND($C1313="",$I1313="",$J1313=""),"",IF($N1313="","NO VAT CODE",IF($T1313="","UNKNOWN VAT CODE",IF($S1313="","MISSING FX RATE",IF(OR($A1313&lt;Settings!$C$8,$A1313&gt;Settings!$C$9),"OUTSIDE PERIOD",IF(AND(IFERROR(INDEX(VAT_Codes!$E:$E,MATCH($N1313,VAT_Codes!$A:$A,0)),"ANY")&lt;&gt;"ANY",$P1313=""),"MISSING COUNTERPARTY COUNTRY",IF(AND(IFERROR(INDEX(VAT_Codes!$E:$E,MATCH($N1313,VAT_Codes!$A:$A,0)),"ANY")&lt;&gt;"ANY",$P1313&lt;&gt;IFERROR(INDEX(VAT_Codes!$E:$E,MATCH($N1313,VAT_Codes!$A:$A,0)),"ANY")),"REGION MISMATCH","OK")))))))</f>
        <v/>
      </c>
    </row>
    <row r="1314" customFormat="false" ht="15" hidden="false" customHeight="false" outlineLevel="0" collapsed="false">
      <c r="M1314" s="24" t="str">
        <f aca="false">IF($C1314="","",IFERROR(INDEX(Account_Mapping!$C:$C,MATCH($C1314&amp;"",Account_Mapping!$A:$A,0))&amp;"",""))</f>
        <v/>
      </c>
      <c r="N1314" s="24" t="str">
        <f aca="false">IF($K1314&lt;&gt;"",$K1314,$M1314)</f>
        <v/>
      </c>
      <c r="O1314" s="24" t="str">
        <f aca="false">IF($F1314="","",IFERROR(INDEX(Counterparties!$C:$C,MATCH($F1314&amp;"",Counterparties!$A:$A,0))&amp;"",""))</f>
        <v/>
      </c>
      <c r="P1314" s="24" t="str">
        <f aca="false">IF($O1314="","",IF($O1314="CY","CY",IF(ISNUMBER(MATCH($O1314,Lists!$A:$A,0)),"EU","3RD")))</f>
        <v/>
      </c>
      <c r="Q1314" s="24" t="str">
        <f aca="false">IF($F1314="","N",IFERROR(IF(INDEX(Counterparties!$E:$E,MATCH($F1314&amp;"",Counterparties!$A:$A,0))="Y","Y","N"),"N"))</f>
        <v>N</v>
      </c>
      <c r="R1314" s="25" t="n">
        <f aca="false">IF(OR($H1314="",$H1314="EUR"),1,IFERROR(INDEX(FX_Rates!$D:$D,MATCH($H1314,FX_Rates!$A:$A,0)),""))</f>
        <v>1</v>
      </c>
      <c r="S1314" s="26" t="str">
        <f aca="false">IF(AND($I1314="",$J1314=""),"",IF($J1314&lt;&gt;"",$J1314,IF(OR($R1314="",$R1314=0),"",ROUND($I1314/$R1314,2))))</f>
        <v/>
      </c>
      <c r="T1314" s="24" t="str">
        <f aca="false">IF($N1314="","",IFERROR(INDEX(VAT_Codes!$C:$C,MATCH($N1314,VAT_Codes!$A:$A,0)),"")&amp;"")</f>
        <v/>
      </c>
      <c r="U1314" s="26" t="n">
        <f aca="false">IF(OR($S1314="",$T1314="",$T1314="None"),0,IF($T1314="Output",-$S1314,$S1314))</f>
        <v>0</v>
      </c>
      <c r="V1314" s="27" t="n">
        <f aca="false">IF($N1314="",0,IFERROR(INDEX(VAT_Codes!$D:$D,MATCH($N1314,VAT_Codes!$A:$A,0)),0))</f>
        <v>0</v>
      </c>
      <c r="W1314" s="26" t="n">
        <f aca="false">IF($U1314=0,0,IF(IFERROR(INDEX(VAT_Codes!$F:$F,MATCH($N1314,VAT_Codes!$A:$A,0)),"N")="Y",$U1314,IF($L1314&lt;&gt;"",ROUND(ABS($L1314)/IF(OR($R1314="",$R1314=0),1,$R1314),2)*SIGN($U1314),ROUND($U1314*$V1314,2))))</f>
        <v>0</v>
      </c>
      <c r="X1314" s="24" t="str">
        <f aca="false">IF($N1314="","",IFERROR(INDEX(VAT_Codes!$H:$H,MATCH($N1314,VAT_Codes!$A:$A,0)),"")&amp;"")</f>
        <v/>
      </c>
      <c r="Y1314" s="24" t="str">
        <f aca="false">IF($A1314="","",(YEAR($A1314)-YEAR(Settings!$C$8))*12+MONTH($A1314)-MONTH(Settings!$C$8)+1)</f>
        <v/>
      </c>
      <c r="Z1314" s="24" t="str">
        <f aca="false">IF(AND($C1314="",$I1314="",$J1314=""),"",IF($N1314="","NO VAT CODE",IF($T1314="","UNKNOWN VAT CODE",IF($S1314="","MISSING FX RATE",IF(OR($A1314&lt;Settings!$C$8,$A1314&gt;Settings!$C$9),"OUTSIDE PERIOD",IF(AND(IFERROR(INDEX(VAT_Codes!$E:$E,MATCH($N1314,VAT_Codes!$A:$A,0)),"ANY")&lt;&gt;"ANY",$P1314=""),"MISSING COUNTERPARTY COUNTRY",IF(AND(IFERROR(INDEX(VAT_Codes!$E:$E,MATCH($N1314,VAT_Codes!$A:$A,0)),"ANY")&lt;&gt;"ANY",$P1314&lt;&gt;IFERROR(INDEX(VAT_Codes!$E:$E,MATCH($N1314,VAT_Codes!$A:$A,0)),"ANY")),"REGION MISMATCH","OK")))))))</f>
        <v/>
      </c>
    </row>
    <row r="1315" customFormat="false" ht="15" hidden="false" customHeight="false" outlineLevel="0" collapsed="false">
      <c r="M1315" s="24" t="str">
        <f aca="false">IF($C1315="","",IFERROR(INDEX(Account_Mapping!$C:$C,MATCH($C1315&amp;"",Account_Mapping!$A:$A,0))&amp;"",""))</f>
        <v/>
      </c>
      <c r="N1315" s="24" t="str">
        <f aca="false">IF($K1315&lt;&gt;"",$K1315,$M1315)</f>
        <v/>
      </c>
      <c r="O1315" s="24" t="str">
        <f aca="false">IF($F1315="","",IFERROR(INDEX(Counterparties!$C:$C,MATCH($F1315&amp;"",Counterparties!$A:$A,0))&amp;"",""))</f>
        <v/>
      </c>
      <c r="P1315" s="24" t="str">
        <f aca="false">IF($O1315="","",IF($O1315="CY","CY",IF(ISNUMBER(MATCH($O1315,Lists!$A:$A,0)),"EU","3RD")))</f>
        <v/>
      </c>
      <c r="Q1315" s="24" t="str">
        <f aca="false">IF($F1315="","N",IFERROR(IF(INDEX(Counterparties!$E:$E,MATCH($F1315&amp;"",Counterparties!$A:$A,0))="Y","Y","N"),"N"))</f>
        <v>N</v>
      </c>
      <c r="R1315" s="25" t="n">
        <f aca="false">IF(OR($H1315="",$H1315="EUR"),1,IFERROR(INDEX(FX_Rates!$D:$D,MATCH($H1315,FX_Rates!$A:$A,0)),""))</f>
        <v>1</v>
      </c>
      <c r="S1315" s="26" t="str">
        <f aca="false">IF(AND($I1315="",$J1315=""),"",IF($J1315&lt;&gt;"",$J1315,IF(OR($R1315="",$R1315=0),"",ROUND($I1315/$R1315,2))))</f>
        <v/>
      </c>
      <c r="T1315" s="24" t="str">
        <f aca="false">IF($N1315="","",IFERROR(INDEX(VAT_Codes!$C:$C,MATCH($N1315,VAT_Codes!$A:$A,0)),"")&amp;"")</f>
        <v/>
      </c>
      <c r="U1315" s="26" t="n">
        <f aca="false">IF(OR($S1315="",$T1315="",$T1315="None"),0,IF($T1315="Output",-$S1315,$S1315))</f>
        <v>0</v>
      </c>
      <c r="V1315" s="27" t="n">
        <f aca="false">IF($N1315="",0,IFERROR(INDEX(VAT_Codes!$D:$D,MATCH($N1315,VAT_Codes!$A:$A,0)),0))</f>
        <v>0</v>
      </c>
      <c r="W1315" s="26" t="n">
        <f aca="false">IF($U1315=0,0,IF(IFERROR(INDEX(VAT_Codes!$F:$F,MATCH($N1315,VAT_Codes!$A:$A,0)),"N")="Y",$U1315,IF($L1315&lt;&gt;"",ROUND(ABS($L1315)/IF(OR($R1315="",$R1315=0),1,$R1315),2)*SIGN($U1315),ROUND($U1315*$V1315,2))))</f>
        <v>0</v>
      </c>
      <c r="X1315" s="24" t="str">
        <f aca="false">IF($N1315="","",IFERROR(INDEX(VAT_Codes!$H:$H,MATCH($N1315,VAT_Codes!$A:$A,0)),"")&amp;"")</f>
        <v/>
      </c>
      <c r="Y1315" s="24" t="str">
        <f aca="false">IF($A1315="","",(YEAR($A1315)-YEAR(Settings!$C$8))*12+MONTH($A1315)-MONTH(Settings!$C$8)+1)</f>
        <v/>
      </c>
      <c r="Z1315" s="24" t="str">
        <f aca="false">IF(AND($C1315="",$I1315="",$J1315=""),"",IF($N1315="","NO VAT CODE",IF($T1315="","UNKNOWN VAT CODE",IF($S1315="","MISSING FX RATE",IF(OR($A1315&lt;Settings!$C$8,$A1315&gt;Settings!$C$9),"OUTSIDE PERIOD",IF(AND(IFERROR(INDEX(VAT_Codes!$E:$E,MATCH($N1315,VAT_Codes!$A:$A,0)),"ANY")&lt;&gt;"ANY",$P1315=""),"MISSING COUNTERPARTY COUNTRY",IF(AND(IFERROR(INDEX(VAT_Codes!$E:$E,MATCH($N1315,VAT_Codes!$A:$A,0)),"ANY")&lt;&gt;"ANY",$P1315&lt;&gt;IFERROR(INDEX(VAT_Codes!$E:$E,MATCH($N1315,VAT_Codes!$A:$A,0)),"ANY")),"REGION MISMATCH","OK")))))))</f>
        <v/>
      </c>
    </row>
    <row r="1316" customFormat="false" ht="15" hidden="false" customHeight="false" outlineLevel="0" collapsed="false">
      <c r="M1316" s="24" t="str">
        <f aca="false">IF($C1316="","",IFERROR(INDEX(Account_Mapping!$C:$C,MATCH($C1316&amp;"",Account_Mapping!$A:$A,0))&amp;"",""))</f>
        <v/>
      </c>
      <c r="N1316" s="24" t="str">
        <f aca="false">IF($K1316&lt;&gt;"",$K1316,$M1316)</f>
        <v/>
      </c>
      <c r="O1316" s="24" t="str">
        <f aca="false">IF($F1316="","",IFERROR(INDEX(Counterparties!$C:$C,MATCH($F1316&amp;"",Counterparties!$A:$A,0))&amp;"",""))</f>
        <v/>
      </c>
      <c r="P1316" s="24" t="str">
        <f aca="false">IF($O1316="","",IF($O1316="CY","CY",IF(ISNUMBER(MATCH($O1316,Lists!$A:$A,0)),"EU","3RD")))</f>
        <v/>
      </c>
      <c r="Q1316" s="24" t="str">
        <f aca="false">IF($F1316="","N",IFERROR(IF(INDEX(Counterparties!$E:$E,MATCH($F1316&amp;"",Counterparties!$A:$A,0))="Y","Y","N"),"N"))</f>
        <v>N</v>
      </c>
      <c r="R1316" s="25" t="n">
        <f aca="false">IF(OR($H1316="",$H1316="EUR"),1,IFERROR(INDEX(FX_Rates!$D:$D,MATCH($H1316,FX_Rates!$A:$A,0)),""))</f>
        <v>1</v>
      </c>
      <c r="S1316" s="26" t="str">
        <f aca="false">IF(AND($I1316="",$J1316=""),"",IF($J1316&lt;&gt;"",$J1316,IF(OR($R1316="",$R1316=0),"",ROUND($I1316/$R1316,2))))</f>
        <v/>
      </c>
      <c r="T1316" s="24" t="str">
        <f aca="false">IF($N1316="","",IFERROR(INDEX(VAT_Codes!$C:$C,MATCH($N1316,VAT_Codes!$A:$A,0)),"")&amp;"")</f>
        <v/>
      </c>
      <c r="U1316" s="26" t="n">
        <f aca="false">IF(OR($S1316="",$T1316="",$T1316="None"),0,IF($T1316="Output",-$S1316,$S1316))</f>
        <v>0</v>
      </c>
      <c r="V1316" s="27" t="n">
        <f aca="false">IF($N1316="",0,IFERROR(INDEX(VAT_Codes!$D:$D,MATCH($N1316,VAT_Codes!$A:$A,0)),0))</f>
        <v>0</v>
      </c>
      <c r="W1316" s="26" t="n">
        <f aca="false">IF($U1316=0,0,IF(IFERROR(INDEX(VAT_Codes!$F:$F,MATCH($N1316,VAT_Codes!$A:$A,0)),"N")="Y",$U1316,IF($L1316&lt;&gt;"",ROUND(ABS($L1316)/IF(OR($R1316="",$R1316=0),1,$R1316),2)*SIGN($U1316),ROUND($U1316*$V1316,2))))</f>
        <v>0</v>
      </c>
      <c r="X1316" s="24" t="str">
        <f aca="false">IF($N1316="","",IFERROR(INDEX(VAT_Codes!$H:$H,MATCH($N1316,VAT_Codes!$A:$A,0)),"")&amp;"")</f>
        <v/>
      </c>
      <c r="Y1316" s="24" t="str">
        <f aca="false">IF($A1316="","",(YEAR($A1316)-YEAR(Settings!$C$8))*12+MONTH($A1316)-MONTH(Settings!$C$8)+1)</f>
        <v/>
      </c>
      <c r="Z1316" s="24" t="str">
        <f aca="false">IF(AND($C1316="",$I1316="",$J1316=""),"",IF($N1316="","NO VAT CODE",IF($T1316="","UNKNOWN VAT CODE",IF($S1316="","MISSING FX RATE",IF(OR($A1316&lt;Settings!$C$8,$A1316&gt;Settings!$C$9),"OUTSIDE PERIOD",IF(AND(IFERROR(INDEX(VAT_Codes!$E:$E,MATCH($N1316,VAT_Codes!$A:$A,0)),"ANY")&lt;&gt;"ANY",$P1316=""),"MISSING COUNTERPARTY COUNTRY",IF(AND(IFERROR(INDEX(VAT_Codes!$E:$E,MATCH($N1316,VAT_Codes!$A:$A,0)),"ANY")&lt;&gt;"ANY",$P1316&lt;&gt;IFERROR(INDEX(VAT_Codes!$E:$E,MATCH($N1316,VAT_Codes!$A:$A,0)),"ANY")),"REGION MISMATCH","OK")))))))</f>
        <v/>
      </c>
    </row>
    <row r="1317" customFormat="false" ht="15" hidden="false" customHeight="false" outlineLevel="0" collapsed="false">
      <c r="M1317" s="24" t="str">
        <f aca="false">IF($C1317="","",IFERROR(INDEX(Account_Mapping!$C:$C,MATCH($C1317&amp;"",Account_Mapping!$A:$A,0))&amp;"",""))</f>
        <v/>
      </c>
      <c r="N1317" s="24" t="str">
        <f aca="false">IF($K1317&lt;&gt;"",$K1317,$M1317)</f>
        <v/>
      </c>
      <c r="O1317" s="24" t="str">
        <f aca="false">IF($F1317="","",IFERROR(INDEX(Counterparties!$C:$C,MATCH($F1317&amp;"",Counterparties!$A:$A,0))&amp;"",""))</f>
        <v/>
      </c>
      <c r="P1317" s="24" t="str">
        <f aca="false">IF($O1317="","",IF($O1317="CY","CY",IF(ISNUMBER(MATCH($O1317,Lists!$A:$A,0)),"EU","3RD")))</f>
        <v/>
      </c>
      <c r="Q1317" s="24" t="str">
        <f aca="false">IF($F1317="","N",IFERROR(IF(INDEX(Counterparties!$E:$E,MATCH($F1317&amp;"",Counterparties!$A:$A,0))="Y","Y","N"),"N"))</f>
        <v>N</v>
      </c>
      <c r="R1317" s="25" t="n">
        <f aca="false">IF(OR($H1317="",$H1317="EUR"),1,IFERROR(INDEX(FX_Rates!$D:$D,MATCH($H1317,FX_Rates!$A:$A,0)),""))</f>
        <v>1</v>
      </c>
      <c r="S1317" s="26" t="str">
        <f aca="false">IF(AND($I1317="",$J1317=""),"",IF($J1317&lt;&gt;"",$J1317,IF(OR($R1317="",$R1317=0),"",ROUND($I1317/$R1317,2))))</f>
        <v/>
      </c>
      <c r="T1317" s="24" t="str">
        <f aca="false">IF($N1317="","",IFERROR(INDEX(VAT_Codes!$C:$C,MATCH($N1317,VAT_Codes!$A:$A,0)),"")&amp;"")</f>
        <v/>
      </c>
      <c r="U1317" s="26" t="n">
        <f aca="false">IF(OR($S1317="",$T1317="",$T1317="None"),0,IF($T1317="Output",-$S1317,$S1317))</f>
        <v>0</v>
      </c>
      <c r="V1317" s="27" t="n">
        <f aca="false">IF($N1317="",0,IFERROR(INDEX(VAT_Codes!$D:$D,MATCH($N1317,VAT_Codes!$A:$A,0)),0))</f>
        <v>0</v>
      </c>
      <c r="W1317" s="26" t="n">
        <f aca="false">IF($U1317=0,0,IF(IFERROR(INDEX(VAT_Codes!$F:$F,MATCH($N1317,VAT_Codes!$A:$A,0)),"N")="Y",$U1317,IF($L1317&lt;&gt;"",ROUND(ABS($L1317)/IF(OR($R1317="",$R1317=0),1,$R1317),2)*SIGN($U1317),ROUND($U1317*$V1317,2))))</f>
        <v>0</v>
      </c>
      <c r="X1317" s="24" t="str">
        <f aca="false">IF($N1317="","",IFERROR(INDEX(VAT_Codes!$H:$H,MATCH($N1317,VAT_Codes!$A:$A,0)),"")&amp;"")</f>
        <v/>
      </c>
      <c r="Y1317" s="24" t="str">
        <f aca="false">IF($A1317="","",(YEAR($A1317)-YEAR(Settings!$C$8))*12+MONTH($A1317)-MONTH(Settings!$C$8)+1)</f>
        <v/>
      </c>
      <c r="Z1317" s="24" t="str">
        <f aca="false">IF(AND($C1317="",$I1317="",$J1317=""),"",IF($N1317="","NO VAT CODE",IF($T1317="","UNKNOWN VAT CODE",IF($S1317="","MISSING FX RATE",IF(OR($A1317&lt;Settings!$C$8,$A1317&gt;Settings!$C$9),"OUTSIDE PERIOD",IF(AND(IFERROR(INDEX(VAT_Codes!$E:$E,MATCH($N1317,VAT_Codes!$A:$A,0)),"ANY")&lt;&gt;"ANY",$P1317=""),"MISSING COUNTERPARTY COUNTRY",IF(AND(IFERROR(INDEX(VAT_Codes!$E:$E,MATCH($N1317,VAT_Codes!$A:$A,0)),"ANY")&lt;&gt;"ANY",$P1317&lt;&gt;IFERROR(INDEX(VAT_Codes!$E:$E,MATCH($N1317,VAT_Codes!$A:$A,0)),"ANY")),"REGION MISMATCH","OK")))))))</f>
        <v/>
      </c>
    </row>
    <row r="1318" customFormat="false" ht="15" hidden="false" customHeight="false" outlineLevel="0" collapsed="false">
      <c r="M1318" s="24" t="str">
        <f aca="false">IF($C1318="","",IFERROR(INDEX(Account_Mapping!$C:$C,MATCH($C1318&amp;"",Account_Mapping!$A:$A,0))&amp;"",""))</f>
        <v/>
      </c>
      <c r="N1318" s="24" t="str">
        <f aca="false">IF($K1318&lt;&gt;"",$K1318,$M1318)</f>
        <v/>
      </c>
      <c r="O1318" s="24" t="str">
        <f aca="false">IF($F1318="","",IFERROR(INDEX(Counterparties!$C:$C,MATCH($F1318&amp;"",Counterparties!$A:$A,0))&amp;"",""))</f>
        <v/>
      </c>
      <c r="P1318" s="24" t="str">
        <f aca="false">IF($O1318="","",IF($O1318="CY","CY",IF(ISNUMBER(MATCH($O1318,Lists!$A:$A,0)),"EU","3RD")))</f>
        <v/>
      </c>
      <c r="Q1318" s="24" t="str">
        <f aca="false">IF($F1318="","N",IFERROR(IF(INDEX(Counterparties!$E:$E,MATCH($F1318&amp;"",Counterparties!$A:$A,0))="Y","Y","N"),"N"))</f>
        <v>N</v>
      </c>
      <c r="R1318" s="25" t="n">
        <f aca="false">IF(OR($H1318="",$H1318="EUR"),1,IFERROR(INDEX(FX_Rates!$D:$D,MATCH($H1318,FX_Rates!$A:$A,0)),""))</f>
        <v>1</v>
      </c>
      <c r="S1318" s="26" t="str">
        <f aca="false">IF(AND($I1318="",$J1318=""),"",IF($J1318&lt;&gt;"",$J1318,IF(OR($R1318="",$R1318=0),"",ROUND($I1318/$R1318,2))))</f>
        <v/>
      </c>
      <c r="T1318" s="24" t="str">
        <f aca="false">IF($N1318="","",IFERROR(INDEX(VAT_Codes!$C:$C,MATCH($N1318,VAT_Codes!$A:$A,0)),"")&amp;"")</f>
        <v/>
      </c>
      <c r="U1318" s="26" t="n">
        <f aca="false">IF(OR($S1318="",$T1318="",$T1318="None"),0,IF($T1318="Output",-$S1318,$S1318))</f>
        <v>0</v>
      </c>
      <c r="V1318" s="27" t="n">
        <f aca="false">IF($N1318="",0,IFERROR(INDEX(VAT_Codes!$D:$D,MATCH($N1318,VAT_Codes!$A:$A,0)),0))</f>
        <v>0</v>
      </c>
      <c r="W1318" s="26" t="n">
        <f aca="false">IF($U1318=0,0,IF(IFERROR(INDEX(VAT_Codes!$F:$F,MATCH($N1318,VAT_Codes!$A:$A,0)),"N")="Y",$U1318,IF($L1318&lt;&gt;"",ROUND(ABS($L1318)/IF(OR($R1318="",$R1318=0),1,$R1318),2)*SIGN($U1318),ROUND($U1318*$V1318,2))))</f>
        <v>0</v>
      </c>
      <c r="X1318" s="24" t="str">
        <f aca="false">IF($N1318="","",IFERROR(INDEX(VAT_Codes!$H:$H,MATCH($N1318,VAT_Codes!$A:$A,0)),"")&amp;"")</f>
        <v/>
      </c>
      <c r="Y1318" s="24" t="str">
        <f aca="false">IF($A1318="","",(YEAR($A1318)-YEAR(Settings!$C$8))*12+MONTH($A1318)-MONTH(Settings!$C$8)+1)</f>
        <v/>
      </c>
      <c r="Z1318" s="24" t="str">
        <f aca="false">IF(AND($C1318="",$I1318="",$J1318=""),"",IF($N1318="","NO VAT CODE",IF($T1318="","UNKNOWN VAT CODE",IF($S1318="","MISSING FX RATE",IF(OR($A1318&lt;Settings!$C$8,$A1318&gt;Settings!$C$9),"OUTSIDE PERIOD",IF(AND(IFERROR(INDEX(VAT_Codes!$E:$E,MATCH($N1318,VAT_Codes!$A:$A,0)),"ANY")&lt;&gt;"ANY",$P1318=""),"MISSING COUNTERPARTY COUNTRY",IF(AND(IFERROR(INDEX(VAT_Codes!$E:$E,MATCH($N1318,VAT_Codes!$A:$A,0)),"ANY")&lt;&gt;"ANY",$P1318&lt;&gt;IFERROR(INDEX(VAT_Codes!$E:$E,MATCH($N1318,VAT_Codes!$A:$A,0)),"ANY")),"REGION MISMATCH","OK")))))))</f>
        <v/>
      </c>
    </row>
    <row r="1319" customFormat="false" ht="15" hidden="false" customHeight="false" outlineLevel="0" collapsed="false">
      <c r="M1319" s="24" t="str">
        <f aca="false">IF($C1319="","",IFERROR(INDEX(Account_Mapping!$C:$C,MATCH($C1319&amp;"",Account_Mapping!$A:$A,0))&amp;"",""))</f>
        <v/>
      </c>
      <c r="N1319" s="24" t="str">
        <f aca="false">IF($K1319&lt;&gt;"",$K1319,$M1319)</f>
        <v/>
      </c>
      <c r="O1319" s="24" t="str">
        <f aca="false">IF($F1319="","",IFERROR(INDEX(Counterparties!$C:$C,MATCH($F1319&amp;"",Counterparties!$A:$A,0))&amp;"",""))</f>
        <v/>
      </c>
      <c r="P1319" s="24" t="str">
        <f aca="false">IF($O1319="","",IF($O1319="CY","CY",IF(ISNUMBER(MATCH($O1319,Lists!$A:$A,0)),"EU","3RD")))</f>
        <v/>
      </c>
      <c r="Q1319" s="24" t="str">
        <f aca="false">IF($F1319="","N",IFERROR(IF(INDEX(Counterparties!$E:$E,MATCH($F1319&amp;"",Counterparties!$A:$A,0))="Y","Y","N"),"N"))</f>
        <v>N</v>
      </c>
      <c r="R1319" s="25" t="n">
        <f aca="false">IF(OR($H1319="",$H1319="EUR"),1,IFERROR(INDEX(FX_Rates!$D:$D,MATCH($H1319,FX_Rates!$A:$A,0)),""))</f>
        <v>1</v>
      </c>
      <c r="S1319" s="26" t="str">
        <f aca="false">IF(AND($I1319="",$J1319=""),"",IF($J1319&lt;&gt;"",$J1319,IF(OR($R1319="",$R1319=0),"",ROUND($I1319/$R1319,2))))</f>
        <v/>
      </c>
      <c r="T1319" s="24" t="str">
        <f aca="false">IF($N1319="","",IFERROR(INDEX(VAT_Codes!$C:$C,MATCH($N1319,VAT_Codes!$A:$A,0)),"")&amp;"")</f>
        <v/>
      </c>
      <c r="U1319" s="26" t="n">
        <f aca="false">IF(OR($S1319="",$T1319="",$T1319="None"),0,IF($T1319="Output",-$S1319,$S1319))</f>
        <v>0</v>
      </c>
      <c r="V1319" s="27" t="n">
        <f aca="false">IF($N1319="",0,IFERROR(INDEX(VAT_Codes!$D:$D,MATCH($N1319,VAT_Codes!$A:$A,0)),0))</f>
        <v>0</v>
      </c>
      <c r="W1319" s="26" t="n">
        <f aca="false">IF($U1319=0,0,IF(IFERROR(INDEX(VAT_Codes!$F:$F,MATCH($N1319,VAT_Codes!$A:$A,0)),"N")="Y",$U1319,IF($L1319&lt;&gt;"",ROUND(ABS($L1319)/IF(OR($R1319="",$R1319=0),1,$R1319),2)*SIGN($U1319),ROUND($U1319*$V1319,2))))</f>
        <v>0</v>
      </c>
      <c r="X1319" s="24" t="str">
        <f aca="false">IF($N1319="","",IFERROR(INDEX(VAT_Codes!$H:$H,MATCH($N1319,VAT_Codes!$A:$A,0)),"")&amp;"")</f>
        <v/>
      </c>
      <c r="Y1319" s="24" t="str">
        <f aca="false">IF($A1319="","",(YEAR($A1319)-YEAR(Settings!$C$8))*12+MONTH($A1319)-MONTH(Settings!$C$8)+1)</f>
        <v/>
      </c>
      <c r="Z1319" s="24" t="str">
        <f aca="false">IF(AND($C1319="",$I1319="",$J1319=""),"",IF($N1319="","NO VAT CODE",IF($T1319="","UNKNOWN VAT CODE",IF($S1319="","MISSING FX RATE",IF(OR($A1319&lt;Settings!$C$8,$A1319&gt;Settings!$C$9),"OUTSIDE PERIOD",IF(AND(IFERROR(INDEX(VAT_Codes!$E:$E,MATCH($N1319,VAT_Codes!$A:$A,0)),"ANY")&lt;&gt;"ANY",$P1319=""),"MISSING COUNTERPARTY COUNTRY",IF(AND(IFERROR(INDEX(VAT_Codes!$E:$E,MATCH($N1319,VAT_Codes!$A:$A,0)),"ANY")&lt;&gt;"ANY",$P1319&lt;&gt;IFERROR(INDEX(VAT_Codes!$E:$E,MATCH($N1319,VAT_Codes!$A:$A,0)),"ANY")),"REGION MISMATCH","OK")))))))</f>
        <v/>
      </c>
    </row>
    <row r="1320" customFormat="false" ht="15" hidden="false" customHeight="false" outlineLevel="0" collapsed="false">
      <c r="M1320" s="24" t="str">
        <f aca="false">IF($C1320="","",IFERROR(INDEX(Account_Mapping!$C:$C,MATCH($C1320&amp;"",Account_Mapping!$A:$A,0))&amp;"",""))</f>
        <v/>
      </c>
      <c r="N1320" s="24" t="str">
        <f aca="false">IF($K1320&lt;&gt;"",$K1320,$M1320)</f>
        <v/>
      </c>
      <c r="O1320" s="24" t="str">
        <f aca="false">IF($F1320="","",IFERROR(INDEX(Counterparties!$C:$C,MATCH($F1320&amp;"",Counterparties!$A:$A,0))&amp;"",""))</f>
        <v/>
      </c>
      <c r="P1320" s="24" t="str">
        <f aca="false">IF($O1320="","",IF($O1320="CY","CY",IF(ISNUMBER(MATCH($O1320,Lists!$A:$A,0)),"EU","3RD")))</f>
        <v/>
      </c>
      <c r="Q1320" s="24" t="str">
        <f aca="false">IF($F1320="","N",IFERROR(IF(INDEX(Counterparties!$E:$E,MATCH($F1320&amp;"",Counterparties!$A:$A,0))="Y","Y","N"),"N"))</f>
        <v>N</v>
      </c>
      <c r="R1320" s="25" t="n">
        <f aca="false">IF(OR($H1320="",$H1320="EUR"),1,IFERROR(INDEX(FX_Rates!$D:$D,MATCH($H1320,FX_Rates!$A:$A,0)),""))</f>
        <v>1</v>
      </c>
      <c r="S1320" s="26" t="str">
        <f aca="false">IF(AND($I1320="",$J1320=""),"",IF($J1320&lt;&gt;"",$J1320,IF(OR($R1320="",$R1320=0),"",ROUND($I1320/$R1320,2))))</f>
        <v/>
      </c>
      <c r="T1320" s="24" t="str">
        <f aca="false">IF($N1320="","",IFERROR(INDEX(VAT_Codes!$C:$C,MATCH($N1320,VAT_Codes!$A:$A,0)),"")&amp;"")</f>
        <v/>
      </c>
      <c r="U1320" s="26" t="n">
        <f aca="false">IF(OR($S1320="",$T1320="",$T1320="None"),0,IF($T1320="Output",-$S1320,$S1320))</f>
        <v>0</v>
      </c>
      <c r="V1320" s="27" t="n">
        <f aca="false">IF($N1320="",0,IFERROR(INDEX(VAT_Codes!$D:$D,MATCH($N1320,VAT_Codes!$A:$A,0)),0))</f>
        <v>0</v>
      </c>
      <c r="W1320" s="26" t="n">
        <f aca="false">IF($U1320=0,0,IF(IFERROR(INDEX(VAT_Codes!$F:$F,MATCH($N1320,VAT_Codes!$A:$A,0)),"N")="Y",$U1320,IF($L1320&lt;&gt;"",ROUND(ABS($L1320)/IF(OR($R1320="",$R1320=0),1,$R1320),2)*SIGN($U1320),ROUND($U1320*$V1320,2))))</f>
        <v>0</v>
      </c>
      <c r="X1320" s="24" t="str">
        <f aca="false">IF($N1320="","",IFERROR(INDEX(VAT_Codes!$H:$H,MATCH($N1320,VAT_Codes!$A:$A,0)),"")&amp;"")</f>
        <v/>
      </c>
      <c r="Y1320" s="24" t="str">
        <f aca="false">IF($A1320="","",(YEAR($A1320)-YEAR(Settings!$C$8))*12+MONTH($A1320)-MONTH(Settings!$C$8)+1)</f>
        <v/>
      </c>
      <c r="Z1320" s="24" t="str">
        <f aca="false">IF(AND($C1320="",$I1320="",$J1320=""),"",IF($N1320="","NO VAT CODE",IF($T1320="","UNKNOWN VAT CODE",IF($S1320="","MISSING FX RATE",IF(OR($A1320&lt;Settings!$C$8,$A1320&gt;Settings!$C$9),"OUTSIDE PERIOD",IF(AND(IFERROR(INDEX(VAT_Codes!$E:$E,MATCH($N1320,VAT_Codes!$A:$A,0)),"ANY")&lt;&gt;"ANY",$P1320=""),"MISSING COUNTERPARTY COUNTRY",IF(AND(IFERROR(INDEX(VAT_Codes!$E:$E,MATCH($N1320,VAT_Codes!$A:$A,0)),"ANY")&lt;&gt;"ANY",$P1320&lt;&gt;IFERROR(INDEX(VAT_Codes!$E:$E,MATCH($N1320,VAT_Codes!$A:$A,0)),"ANY")),"REGION MISMATCH","OK")))))))</f>
        <v/>
      </c>
    </row>
    <row r="1321" customFormat="false" ht="15" hidden="false" customHeight="false" outlineLevel="0" collapsed="false">
      <c r="M1321" s="24" t="str">
        <f aca="false">IF($C1321="","",IFERROR(INDEX(Account_Mapping!$C:$C,MATCH($C1321&amp;"",Account_Mapping!$A:$A,0))&amp;"",""))</f>
        <v/>
      </c>
      <c r="N1321" s="24" t="str">
        <f aca="false">IF($K1321&lt;&gt;"",$K1321,$M1321)</f>
        <v/>
      </c>
      <c r="O1321" s="24" t="str">
        <f aca="false">IF($F1321="","",IFERROR(INDEX(Counterparties!$C:$C,MATCH($F1321&amp;"",Counterparties!$A:$A,0))&amp;"",""))</f>
        <v/>
      </c>
      <c r="P1321" s="24" t="str">
        <f aca="false">IF($O1321="","",IF($O1321="CY","CY",IF(ISNUMBER(MATCH($O1321,Lists!$A:$A,0)),"EU","3RD")))</f>
        <v/>
      </c>
      <c r="Q1321" s="24" t="str">
        <f aca="false">IF($F1321="","N",IFERROR(IF(INDEX(Counterparties!$E:$E,MATCH($F1321&amp;"",Counterparties!$A:$A,0))="Y","Y","N"),"N"))</f>
        <v>N</v>
      </c>
      <c r="R1321" s="25" t="n">
        <f aca="false">IF(OR($H1321="",$H1321="EUR"),1,IFERROR(INDEX(FX_Rates!$D:$D,MATCH($H1321,FX_Rates!$A:$A,0)),""))</f>
        <v>1</v>
      </c>
      <c r="S1321" s="26" t="str">
        <f aca="false">IF(AND($I1321="",$J1321=""),"",IF($J1321&lt;&gt;"",$J1321,IF(OR($R1321="",$R1321=0),"",ROUND($I1321/$R1321,2))))</f>
        <v/>
      </c>
      <c r="T1321" s="24" t="str">
        <f aca="false">IF($N1321="","",IFERROR(INDEX(VAT_Codes!$C:$C,MATCH($N1321,VAT_Codes!$A:$A,0)),"")&amp;"")</f>
        <v/>
      </c>
      <c r="U1321" s="26" t="n">
        <f aca="false">IF(OR($S1321="",$T1321="",$T1321="None"),0,IF($T1321="Output",-$S1321,$S1321))</f>
        <v>0</v>
      </c>
      <c r="V1321" s="27" t="n">
        <f aca="false">IF($N1321="",0,IFERROR(INDEX(VAT_Codes!$D:$D,MATCH($N1321,VAT_Codes!$A:$A,0)),0))</f>
        <v>0</v>
      </c>
      <c r="W1321" s="26" t="n">
        <f aca="false">IF($U1321=0,0,IF(IFERROR(INDEX(VAT_Codes!$F:$F,MATCH($N1321,VAT_Codes!$A:$A,0)),"N")="Y",$U1321,IF($L1321&lt;&gt;"",ROUND(ABS($L1321)/IF(OR($R1321="",$R1321=0),1,$R1321),2)*SIGN($U1321),ROUND($U1321*$V1321,2))))</f>
        <v>0</v>
      </c>
      <c r="X1321" s="24" t="str">
        <f aca="false">IF($N1321="","",IFERROR(INDEX(VAT_Codes!$H:$H,MATCH($N1321,VAT_Codes!$A:$A,0)),"")&amp;"")</f>
        <v/>
      </c>
      <c r="Y1321" s="24" t="str">
        <f aca="false">IF($A1321="","",(YEAR($A1321)-YEAR(Settings!$C$8))*12+MONTH($A1321)-MONTH(Settings!$C$8)+1)</f>
        <v/>
      </c>
      <c r="Z1321" s="24" t="str">
        <f aca="false">IF(AND($C1321="",$I1321="",$J1321=""),"",IF($N1321="","NO VAT CODE",IF($T1321="","UNKNOWN VAT CODE",IF($S1321="","MISSING FX RATE",IF(OR($A1321&lt;Settings!$C$8,$A1321&gt;Settings!$C$9),"OUTSIDE PERIOD",IF(AND(IFERROR(INDEX(VAT_Codes!$E:$E,MATCH($N1321,VAT_Codes!$A:$A,0)),"ANY")&lt;&gt;"ANY",$P1321=""),"MISSING COUNTERPARTY COUNTRY",IF(AND(IFERROR(INDEX(VAT_Codes!$E:$E,MATCH($N1321,VAT_Codes!$A:$A,0)),"ANY")&lt;&gt;"ANY",$P1321&lt;&gt;IFERROR(INDEX(VAT_Codes!$E:$E,MATCH($N1321,VAT_Codes!$A:$A,0)),"ANY")),"REGION MISMATCH","OK")))))))</f>
        <v/>
      </c>
    </row>
    <row r="1322" customFormat="false" ht="15" hidden="false" customHeight="false" outlineLevel="0" collapsed="false">
      <c r="M1322" s="24" t="str">
        <f aca="false">IF($C1322="","",IFERROR(INDEX(Account_Mapping!$C:$C,MATCH($C1322&amp;"",Account_Mapping!$A:$A,0))&amp;"",""))</f>
        <v/>
      </c>
      <c r="N1322" s="24" t="str">
        <f aca="false">IF($K1322&lt;&gt;"",$K1322,$M1322)</f>
        <v/>
      </c>
      <c r="O1322" s="24" t="str">
        <f aca="false">IF($F1322="","",IFERROR(INDEX(Counterparties!$C:$C,MATCH($F1322&amp;"",Counterparties!$A:$A,0))&amp;"",""))</f>
        <v/>
      </c>
      <c r="P1322" s="24" t="str">
        <f aca="false">IF($O1322="","",IF($O1322="CY","CY",IF(ISNUMBER(MATCH($O1322,Lists!$A:$A,0)),"EU","3RD")))</f>
        <v/>
      </c>
      <c r="Q1322" s="24" t="str">
        <f aca="false">IF($F1322="","N",IFERROR(IF(INDEX(Counterparties!$E:$E,MATCH($F1322&amp;"",Counterparties!$A:$A,0))="Y","Y","N"),"N"))</f>
        <v>N</v>
      </c>
      <c r="R1322" s="25" t="n">
        <f aca="false">IF(OR($H1322="",$H1322="EUR"),1,IFERROR(INDEX(FX_Rates!$D:$D,MATCH($H1322,FX_Rates!$A:$A,0)),""))</f>
        <v>1</v>
      </c>
      <c r="S1322" s="26" t="str">
        <f aca="false">IF(AND($I1322="",$J1322=""),"",IF($J1322&lt;&gt;"",$J1322,IF(OR($R1322="",$R1322=0),"",ROUND($I1322/$R1322,2))))</f>
        <v/>
      </c>
      <c r="T1322" s="24" t="str">
        <f aca="false">IF($N1322="","",IFERROR(INDEX(VAT_Codes!$C:$C,MATCH($N1322,VAT_Codes!$A:$A,0)),"")&amp;"")</f>
        <v/>
      </c>
      <c r="U1322" s="26" t="n">
        <f aca="false">IF(OR($S1322="",$T1322="",$T1322="None"),0,IF($T1322="Output",-$S1322,$S1322))</f>
        <v>0</v>
      </c>
      <c r="V1322" s="27" t="n">
        <f aca="false">IF($N1322="",0,IFERROR(INDEX(VAT_Codes!$D:$D,MATCH($N1322,VAT_Codes!$A:$A,0)),0))</f>
        <v>0</v>
      </c>
      <c r="W1322" s="26" t="n">
        <f aca="false">IF($U1322=0,0,IF(IFERROR(INDEX(VAT_Codes!$F:$F,MATCH($N1322,VAT_Codes!$A:$A,0)),"N")="Y",$U1322,IF($L1322&lt;&gt;"",ROUND(ABS($L1322)/IF(OR($R1322="",$R1322=0),1,$R1322),2)*SIGN($U1322),ROUND($U1322*$V1322,2))))</f>
        <v>0</v>
      </c>
      <c r="X1322" s="24" t="str">
        <f aca="false">IF($N1322="","",IFERROR(INDEX(VAT_Codes!$H:$H,MATCH($N1322,VAT_Codes!$A:$A,0)),"")&amp;"")</f>
        <v/>
      </c>
      <c r="Y1322" s="24" t="str">
        <f aca="false">IF($A1322="","",(YEAR($A1322)-YEAR(Settings!$C$8))*12+MONTH($A1322)-MONTH(Settings!$C$8)+1)</f>
        <v/>
      </c>
      <c r="Z1322" s="24" t="str">
        <f aca="false">IF(AND($C1322="",$I1322="",$J1322=""),"",IF($N1322="","NO VAT CODE",IF($T1322="","UNKNOWN VAT CODE",IF($S1322="","MISSING FX RATE",IF(OR($A1322&lt;Settings!$C$8,$A1322&gt;Settings!$C$9),"OUTSIDE PERIOD",IF(AND(IFERROR(INDEX(VAT_Codes!$E:$E,MATCH($N1322,VAT_Codes!$A:$A,0)),"ANY")&lt;&gt;"ANY",$P1322=""),"MISSING COUNTERPARTY COUNTRY",IF(AND(IFERROR(INDEX(VAT_Codes!$E:$E,MATCH($N1322,VAT_Codes!$A:$A,0)),"ANY")&lt;&gt;"ANY",$P1322&lt;&gt;IFERROR(INDEX(VAT_Codes!$E:$E,MATCH($N1322,VAT_Codes!$A:$A,0)),"ANY")),"REGION MISMATCH","OK")))))))</f>
        <v/>
      </c>
    </row>
    <row r="1323" customFormat="false" ht="15" hidden="false" customHeight="false" outlineLevel="0" collapsed="false">
      <c r="M1323" s="24" t="str">
        <f aca="false">IF($C1323="","",IFERROR(INDEX(Account_Mapping!$C:$C,MATCH($C1323&amp;"",Account_Mapping!$A:$A,0))&amp;"",""))</f>
        <v/>
      </c>
      <c r="N1323" s="24" t="str">
        <f aca="false">IF($K1323&lt;&gt;"",$K1323,$M1323)</f>
        <v/>
      </c>
      <c r="O1323" s="24" t="str">
        <f aca="false">IF($F1323="","",IFERROR(INDEX(Counterparties!$C:$C,MATCH($F1323&amp;"",Counterparties!$A:$A,0))&amp;"",""))</f>
        <v/>
      </c>
      <c r="P1323" s="24" t="str">
        <f aca="false">IF($O1323="","",IF($O1323="CY","CY",IF(ISNUMBER(MATCH($O1323,Lists!$A:$A,0)),"EU","3RD")))</f>
        <v/>
      </c>
      <c r="Q1323" s="24" t="str">
        <f aca="false">IF($F1323="","N",IFERROR(IF(INDEX(Counterparties!$E:$E,MATCH($F1323&amp;"",Counterparties!$A:$A,0))="Y","Y","N"),"N"))</f>
        <v>N</v>
      </c>
      <c r="R1323" s="25" t="n">
        <f aca="false">IF(OR($H1323="",$H1323="EUR"),1,IFERROR(INDEX(FX_Rates!$D:$D,MATCH($H1323,FX_Rates!$A:$A,0)),""))</f>
        <v>1</v>
      </c>
      <c r="S1323" s="26" t="str">
        <f aca="false">IF(AND($I1323="",$J1323=""),"",IF($J1323&lt;&gt;"",$J1323,IF(OR($R1323="",$R1323=0),"",ROUND($I1323/$R1323,2))))</f>
        <v/>
      </c>
      <c r="T1323" s="24" t="str">
        <f aca="false">IF($N1323="","",IFERROR(INDEX(VAT_Codes!$C:$C,MATCH($N1323,VAT_Codes!$A:$A,0)),"")&amp;"")</f>
        <v/>
      </c>
      <c r="U1323" s="26" t="n">
        <f aca="false">IF(OR($S1323="",$T1323="",$T1323="None"),0,IF($T1323="Output",-$S1323,$S1323))</f>
        <v>0</v>
      </c>
      <c r="V1323" s="27" t="n">
        <f aca="false">IF($N1323="",0,IFERROR(INDEX(VAT_Codes!$D:$D,MATCH($N1323,VAT_Codes!$A:$A,0)),0))</f>
        <v>0</v>
      </c>
      <c r="W1323" s="26" t="n">
        <f aca="false">IF($U1323=0,0,IF(IFERROR(INDEX(VAT_Codes!$F:$F,MATCH($N1323,VAT_Codes!$A:$A,0)),"N")="Y",$U1323,IF($L1323&lt;&gt;"",ROUND(ABS($L1323)/IF(OR($R1323="",$R1323=0),1,$R1323),2)*SIGN($U1323),ROUND($U1323*$V1323,2))))</f>
        <v>0</v>
      </c>
      <c r="X1323" s="24" t="str">
        <f aca="false">IF($N1323="","",IFERROR(INDEX(VAT_Codes!$H:$H,MATCH($N1323,VAT_Codes!$A:$A,0)),"")&amp;"")</f>
        <v/>
      </c>
      <c r="Y1323" s="24" t="str">
        <f aca="false">IF($A1323="","",(YEAR($A1323)-YEAR(Settings!$C$8))*12+MONTH($A1323)-MONTH(Settings!$C$8)+1)</f>
        <v/>
      </c>
      <c r="Z1323" s="24" t="str">
        <f aca="false">IF(AND($C1323="",$I1323="",$J1323=""),"",IF($N1323="","NO VAT CODE",IF($T1323="","UNKNOWN VAT CODE",IF($S1323="","MISSING FX RATE",IF(OR($A1323&lt;Settings!$C$8,$A1323&gt;Settings!$C$9),"OUTSIDE PERIOD",IF(AND(IFERROR(INDEX(VAT_Codes!$E:$E,MATCH($N1323,VAT_Codes!$A:$A,0)),"ANY")&lt;&gt;"ANY",$P1323=""),"MISSING COUNTERPARTY COUNTRY",IF(AND(IFERROR(INDEX(VAT_Codes!$E:$E,MATCH($N1323,VAT_Codes!$A:$A,0)),"ANY")&lt;&gt;"ANY",$P1323&lt;&gt;IFERROR(INDEX(VAT_Codes!$E:$E,MATCH($N1323,VAT_Codes!$A:$A,0)),"ANY")),"REGION MISMATCH","OK")))))))</f>
        <v/>
      </c>
    </row>
    <row r="1324" customFormat="false" ht="15" hidden="false" customHeight="false" outlineLevel="0" collapsed="false">
      <c r="M1324" s="24" t="str">
        <f aca="false">IF($C1324="","",IFERROR(INDEX(Account_Mapping!$C:$C,MATCH($C1324&amp;"",Account_Mapping!$A:$A,0))&amp;"",""))</f>
        <v/>
      </c>
      <c r="N1324" s="24" t="str">
        <f aca="false">IF($K1324&lt;&gt;"",$K1324,$M1324)</f>
        <v/>
      </c>
      <c r="O1324" s="24" t="str">
        <f aca="false">IF($F1324="","",IFERROR(INDEX(Counterparties!$C:$C,MATCH($F1324&amp;"",Counterparties!$A:$A,0))&amp;"",""))</f>
        <v/>
      </c>
      <c r="P1324" s="24" t="str">
        <f aca="false">IF($O1324="","",IF($O1324="CY","CY",IF(ISNUMBER(MATCH($O1324,Lists!$A:$A,0)),"EU","3RD")))</f>
        <v/>
      </c>
      <c r="Q1324" s="24" t="str">
        <f aca="false">IF($F1324="","N",IFERROR(IF(INDEX(Counterparties!$E:$E,MATCH($F1324&amp;"",Counterparties!$A:$A,0))="Y","Y","N"),"N"))</f>
        <v>N</v>
      </c>
      <c r="R1324" s="25" t="n">
        <f aca="false">IF(OR($H1324="",$H1324="EUR"),1,IFERROR(INDEX(FX_Rates!$D:$D,MATCH($H1324,FX_Rates!$A:$A,0)),""))</f>
        <v>1</v>
      </c>
      <c r="S1324" s="26" t="str">
        <f aca="false">IF(AND($I1324="",$J1324=""),"",IF($J1324&lt;&gt;"",$J1324,IF(OR($R1324="",$R1324=0),"",ROUND($I1324/$R1324,2))))</f>
        <v/>
      </c>
      <c r="T1324" s="24" t="str">
        <f aca="false">IF($N1324="","",IFERROR(INDEX(VAT_Codes!$C:$C,MATCH($N1324,VAT_Codes!$A:$A,0)),"")&amp;"")</f>
        <v/>
      </c>
      <c r="U1324" s="26" t="n">
        <f aca="false">IF(OR($S1324="",$T1324="",$T1324="None"),0,IF($T1324="Output",-$S1324,$S1324))</f>
        <v>0</v>
      </c>
      <c r="V1324" s="27" t="n">
        <f aca="false">IF($N1324="",0,IFERROR(INDEX(VAT_Codes!$D:$D,MATCH($N1324,VAT_Codes!$A:$A,0)),0))</f>
        <v>0</v>
      </c>
      <c r="W1324" s="26" t="n">
        <f aca="false">IF($U1324=0,0,IF(IFERROR(INDEX(VAT_Codes!$F:$F,MATCH($N1324,VAT_Codes!$A:$A,0)),"N")="Y",$U1324,IF($L1324&lt;&gt;"",ROUND(ABS($L1324)/IF(OR($R1324="",$R1324=0),1,$R1324),2)*SIGN($U1324),ROUND($U1324*$V1324,2))))</f>
        <v>0</v>
      </c>
      <c r="X1324" s="24" t="str">
        <f aca="false">IF($N1324="","",IFERROR(INDEX(VAT_Codes!$H:$H,MATCH($N1324,VAT_Codes!$A:$A,0)),"")&amp;"")</f>
        <v/>
      </c>
      <c r="Y1324" s="24" t="str">
        <f aca="false">IF($A1324="","",(YEAR($A1324)-YEAR(Settings!$C$8))*12+MONTH($A1324)-MONTH(Settings!$C$8)+1)</f>
        <v/>
      </c>
      <c r="Z1324" s="24" t="str">
        <f aca="false">IF(AND($C1324="",$I1324="",$J1324=""),"",IF($N1324="","NO VAT CODE",IF($T1324="","UNKNOWN VAT CODE",IF($S1324="","MISSING FX RATE",IF(OR($A1324&lt;Settings!$C$8,$A1324&gt;Settings!$C$9),"OUTSIDE PERIOD",IF(AND(IFERROR(INDEX(VAT_Codes!$E:$E,MATCH($N1324,VAT_Codes!$A:$A,0)),"ANY")&lt;&gt;"ANY",$P1324=""),"MISSING COUNTERPARTY COUNTRY",IF(AND(IFERROR(INDEX(VAT_Codes!$E:$E,MATCH($N1324,VAT_Codes!$A:$A,0)),"ANY")&lt;&gt;"ANY",$P1324&lt;&gt;IFERROR(INDEX(VAT_Codes!$E:$E,MATCH($N1324,VAT_Codes!$A:$A,0)),"ANY")),"REGION MISMATCH","OK")))))))</f>
        <v/>
      </c>
    </row>
    <row r="1325" customFormat="false" ht="15" hidden="false" customHeight="false" outlineLevel="0" collapsed="false">
      <c r="M1325" s="24" t="str">
        <f aca="false">IF($C1325="","",IFERROR(INDEX(Account_Mapping!$C:$C,MATCH($C1325&amp;"",Account_Mapping!$A:$A,0))&amp;"",""))</f>
        <v/>
      </c>
      <c r="N1325" s="24" t="str">
        <f aca="false">IF($K1325&lt;&gt;"",$K1325,$M1325)</f>
        <v/>
      </c>
      <c r="O1325" s="24" t="str">
        <f aca="false">IF($F1325="","",IFERROR(INDEX(Counterparties!$C:$C,MATCH($F1325&amp;"",Counterparties!$A:$A,0))&amp;"",""))</f>
        <v/>
      </c>
      <c r="P1325" s="24" t="str">
        <f aca="false">IF($O1325="","",IF($O1325="CY","CY",IF(ISNUMBER(MATCH($O1325,Lists!$A:$A,0)),"EU","3RD")))</f>
        <v/>
      </c>
      <c r="Q1325" s="24" t="str">
        <f aca="false">IF($F1325="","N",IFERROR(IF(INDEX(Counterparties!$E:$E,MATCH($F1325&amp;"",Counterparties!$A:$A,0))="Y","Y","N"),"N"))</f>
        <v>N</v>
      </c>
      <c r="R1325" s="25" t="n">
        <f aca="false">IF(OR($H1325="",$H1325="EUR"),1,IFERROR(INDEX(FX_Rates!$D:$D,MATCH($H1325,FX_Rates!$A:$A,0)),""))</f>
        <v>1</v>
      </c>
      <c r="S1325" s="26" t="str">
        <f aca="false">IF(AND($I1325="",$J1325=""),"",IF($J1325&lt;&gt;"",$J1325,IF(OR($R1325="",$R1325=0),"",ROUND($I1325/$R1325,2))))</f>
        <v/>
      </c>
      <c r="T1325" s="24" t="str">
        <f aca="false">IF($N1325="","",IFERROR(INDEX(VAT_Codes!$C:$C,MATCH($N1325,VAT_Codes!$A:$A,0)),"")&amp;"")</f>
        <v/>
      </c>
      <c r="U1325" s="26" t="n">
        <f aca="false">IF(OR($S1325="",$T1325="",$T1325="None"),0,IF($T1325="Output",-$S1325,$S1325))</f>
        <v>0</v>
      </c>
      <c r="V1325" s="27" t="n">
        <f aca="false">IF($N1325="",0,IFERROR(INDEX(VAT_Codes!$D:$D,MATCH($N1325,VAT_Codes!$A:$A,0)),0))</f>
        <v>0</v>
      </c>
      <c r="W1325" s="26" t="n">
        <f aca="false">IF($U1325=0,0,IF(IFERROR(INDEX(VAT_Codes!$F:$F,MATCH($N1325,VAT_Codes!$A:$A,0)),"N")="Y",$U1325,IF($L1325&lt;&gt;"",ROUND(ABS($L1325)/IF(OR($R1325="",$R1325=0),1,$R1325),2)*SIGN($U1325),ROUND($U1325*$V1325,2))))</f>
        <v>0</v>
      </c>
      <c r="X1325" s="24" t="str">
        <f aca="false">IF($N1325="","",IFERROR(INDEX(VAT_Codes!$H:$H,MATCH($N1325,VAT_Codes!$A:$A,0)),"")&amp;"")</f>
        <v/>
      </c>
      <c r="Y1325" s="24" t="str">
        <f aca="false">IF($A1325="","",(YEAR($A1325)-YEAR(Settings!$C$8))*12+MONTH($A1325)-MONTH(Settings!$C$8)+1)</f>
        <v/>
      </c>
      <c r="Z1325" s="24" t="str">
        <f aca="false">IF(AND($C1325="",$I1325="",$J1325=""),"",IF($N1325="","NO VAT CODE",IF($T1325="","UNKNOWN VAT CODE",IF($S1325="","MISSING FX RATE",IF(OR($A1325&lt;Settings!$C$8,$A1325&gt;Settings!$C$9),"OUTSIDE PERIOD",IF(AND(IFERROR(INDEX(VAT_Codes!$E:$E,MATCH($N1325,VAT_Codes!$A:$A,0)),"ANY")&lt;&gt;"ANY",$P1325=""),"MISSING COUNTERPARTY COUNTRY",IF(AND(IFERROR(INDEX(VAT_Codes!$E:$E,MATCH($N1325,VAT_Codes!$A:$A,0)),"ANY")&lt;&gt;"ANY",$P1325&lt;&gt;IFERROR(INDEX(VAT_Codes!$E:$E,MATCH($N1325,VAT_Codes!$A:$A,0)),"ANY")),"REGION MISMATCH","OK")))))))</f>
        <v/>
      </c>
    </row>
    <row r="1326" customFormat="false" ht="15" hidden="false" customHeight="false" outlineLevel="0" collapsed="false">
      <c r="M1326" s="24" t="str">
        <f aca="false">IF($C1326="","",IFERROR(INDEX(Account_Mapping!$C:$C,MATCH($C1326&amp;"",Account_Mapping!$A:$A,0))&amp;"",""))</f>
        <v/>
      </c>
      <c r="N1326" s="24" t="str">
        <f aca="false">IF($K1326&lt;&gt;"",$K1326,$M1326)</f>
        <v/>
      </c>
      <c r="O1326" s="24" t="str">
        <f aca="false">IF($F1326="","",IFERROR(INDEX(Counterparties!$C:$C,MATCH($F1326&amp;"",Counterparties!$A:$A,0))&amp;"",""))</f>
        <v/>
      </c>
      <c r="P1326" s="24" t="str">
        <f aca="false">IF($O1326="","",IF($O1326="CY","CY",IF(ISNUMBER(MATCH($O1326,Lists!$A:$A,0)),"EU","3RD")))</f>
        <v/>
      </c>
      <c r="Q1326" s="24" t="str">
        <f aca="false">IF($F1326="","N",IFERROR(IF(INDEX(Counterparties!$E:$E,MATCH($F1326&amp;"",Counterparties!$A:$A,0))="Y","Y","N"),"N"))</f>
        <v>N</v>
      </c>
      <c r="R1326" s="25" t="n">
        <f aca="false">IF(OR($H1326="",$H1326="EUR"),1,IFERROR(INDEX(FX_Rates!$D:$D,MATCH($H1326,FX_Rates!$A:$A,0)),""))</f>
        <v>1</v>
      </c>
      <c r="S1326" s="26" t="str">
        <f aca="false">IF(AND($I1326="",$J1326=""),"",IF($J1326&lt;&gt;"",$J1326,IF(OR($R1326="",$R1326=0),"",ROUND($I1326/$R1326,2))))</f>
        <v/>
      </c>
      <c r="T1326" s="24" t="str">
        <f aca="false">IF($N1326="","",IFERROR(INDEX(VAT_Codes!$C:$C,MATCH($N1326,VAT_Codes!$A:$A,0)),"")&amp;"")</f>
        <v/>
      </c>
      <c r="U1326" s="26" t="n">
        <f aca="false">IF(OR($S1326="",$T1326="",$T1326="None"),0,IF($T1326="Output",-$S1326,$S1326))</f>
        <v>0</v>
      </c>
      <c r="V1326" s="27" t="n">
        <f aca="false">IF($N1326="",0,IFERROR(INDEX(VAT_Codes!$D:$D,MATCH($N1326,VAT_Codes!$A:$A,0)),0))</f>
        <v>0</v>
      </c>
      <c r="W1326" s="26" t="n">
        <f aca="false">IF($U1326=0,0,IF(IFERROR(INDEX(VAT_Codes!$F:$F,MATCH($N1326,VAT_Codes!$A:$A,0)),"N")="Y",$U1326,IF($L1326&lt;&gt;"",ROUND(ABS($L1326)/IF(OR($R1326="",$R1326=0),1,$R1326),2)*SIGN($U1326),ROUND($U1326*$V1326,2))))</f>
        <v>0</v>
      </c>
      <c r="X1326" s="24" t="str">
        <f aca="false">IF($N1326="","",IFERROR(INDEX(VAT_Codes!$H:$H,MATCH($N1326,VAT_Codes!$A:$A,0)),"")&amp;"")</f>
        <v/>
      </c>
      <c r="Y1326" s="24" t="str">
        <f aca="false">IF($A1326="","",(YEAR($A1326)-YEAR(Settings!$C$8))*12+MONTH($A1326)-MONTH(Settings!$C$8)+1)</f>
        <v/>
      </c>
      <c r="Z1326" s="24" t="str">
        <f aca="false">IF(AND($C1326="",$I1326="",$J1326=""),"",IF($N1326="","NO VAT CODE",IF($T1326="","UNKNOWN VAT CODE",IF($S1326="","MISSING FX RATE",IF(OR($A1326&lt;Settings!$C$8,$A1326&gt;Settings!$C$9),"OUTSIDE PERIOD",IF(AND(IFERROR(INDEX(VAT_Codes!$E:$E,MATCH($N1326,VAT_Codes!$A:$A,0)),"ANY")&lt;&gt;"ANY",$P1326=""),"MISSING COUNTERPARTY COUNTRY",IF(AND(IFERROR(INDEX(VAT_Codes!$E:$E,MATCH($N1326,VAT_Codes!$A:$A,0)),"ANY")&lt;&gt;"ANY",$P1326&lt;&gt;IFERROR(INDEX(VAT_Codes!$E:$E,MATCH($N1326,VAT_Codes!$A:$A,0)),"ANY")),"REGION MISMATCH","OK")))))))</f>
        <v/>
      </c>
    </row>
    <row r="1327" customFormat="false" ht="15" hidden="false" customHeight="false" outlineLevel="0" collapsed="false">
      <c r="M1327" s="24" t="str">
        <f aca="false">IF($C1327="","",IFERROR(INDEX(Account_Mapping!$C:$C,MATCH($C1327&amp;"",Account_Mapping!$A:$A,0))&amp;"",""))</f>
        <v/>
      </c>
      <c r="N1327" s="24" t="str">
        <f aca="false">IF($K1327&lt;&gt;"",$K1327,$M1327)</f>
        <v/>
      </c>
      <c r="O1327" s="24" t="str">
        <f aca="false">IF($F1327="","",IFERROR(INDEX(Counterparties!$C:$C,MATCH($F1327&amp;"",Counterparties!$A:$A,0))&amp;"",""))</f>
        <v/>
      </c>
      <c r="P1327" s="24" t="str">
        <f aca="false">IF($O1327="","",IF($O1327="CY","CY",IF(ISNUMBER(MATCH($O1327,Lists!$A:$A,0)),"EU","3RD")))</f>
        <v/>
      </c>
      <c r="Q1327" s="24" t="str">
        <f aca="false">IF($F1327="","N",IFERROR(IF(INDEX(Counterparties!$E:$E,MATCH($F1327&amp;"",Counterparties!$A:$A,0))="Y","Y","N"),"N"))</f>
        <v>N</v>
      </c>
      <c r="R1327" s="25" t="n">
        <f aca="false">IF(OR($H1327="",$H1327="EUR"),1,IFERROR(INDEX(FX_Rates!$D:$D,MATCH($H1327,FX_Rates!$A:$A,0)),""))</f>
        <v>1</v>
      </c>
      <c r="S1327" s="26" t="str">
        <f aca="false">IF(AND($I1327="",$J1327=""),"",IF($J1327&lt;&gt;"",$J1327,IF(OR($R1327="",$R1327=0),"",ROUND($I1327/$R1327,2))))</f>
        <v/>
      </c>
      <c r="T1327" s="24" t="str">
        <f aca="false">IF($N1327="","",IFERROR(INDEX(VAT_Codes!$C:$C,MATCH($N1327,VAT_Codes!$A:$A,0)),"")&amp;"")</f>
        <v/>
      </c>
      <c r="U1327" s="26" t="n">
        <f aca="false">IF(OR($S1327="",$T1327="",$T1327="None"),0,IF($T1327="Output",-$S1327,$S1327))</f>
        <v>0</v>
      </c>
      <c r="V1327" s="27" t="n">
        <f aca="false">IF($N1327="",0,IFERROR(INDEX(VAT_Codes!$D:$D,MATCH($N1327,VAT_Codes!$A:$A,0)),0))</f>
        <v>0</v>
      </c>
      <c r="W1327" s="26" t="n">
        <f aca="false">IF($U1327=0,0,IF(IFERROR(INDEX(VAT_Codes!$F:$F,MATCH($N1327,VAT_Codes!$A:$A,0)),"N")="Y",$U1327,IF($L1327&lt;&gt;"",ROUND(ABS($L1327)/IF(OR($R1327="",$R1327=0),1,$R1327),2)*SIGN($U1327),ROUND($U1327*$V1327,2))))</f>
        <v>0</v>
      </c>
      <c r="X1327" s="24" t="str">
        <f aca="false">IF($N1327="","",IFERROR(INDEX(VAT_Codes!$H:$H,MATCH($N1327,VAT_Codes!$A:$A,0)),"")&amp;"")</f>
        <v/>
      </c>
      <c r="Y1327" s="24" t="str">
        <f aca="false">IF($A1327="","",(YEAR($A1327)-YEAR(Settings!$C$8))*12+MONTH($A1327)-MONTH(Settings!$C$8)+1)</f>
        <v/>
      </c>
      <c r="Z1327" s="24" t="str">
        <f aca="false">IF(AND($C1327="",$I1327="",$J1327=""),"",IF($N1327="","NO VAT CODE",IF($T1327="","UNKNOWN VAT CODE",IF($S1327="","MISSING FX RATE",IF(OR($A1327&lt;Settings!$C$8,$A1327&gt;Settings!$C$9),"OUTSIDE PERIOD",IF(AND(IFERROR(INDEX(VAT_Codes!$E:$E,MATCH($N1327,VAT_Codes!$A:$A,0)),"ANY")&lt;&gt;"ANY",$P1327=""),"MISSING COUNTERPARTY COUNTRY",IF(AND(IFERROR(INDEX(VAT_Codes!$E:$E,MATCH($N1327,VAT_Codes!$A:$A,0)),"ANY")&lt;&gt;"ANY",$P1327&lt;&gt;IFERROR(INDEX(VAT_Codes!$E:$E,MATCH($N1327,VAT_Codes!$A:$A,0)),"ANY")),"REGION MISMATCH","OK")))))))</f>
        <v/>
      </c>
    </row>
    <row r="1328" customFormat="false" ht="15" hidden="false" customHeight="false" outlineLevel="0" collapsed="false">
      <c r="M1328" s="24" t="str">
        <f aca="false">IF($C1328="","",IFERROR(INDEX(Account_Mapping!$C:$C,MATCH($C1328&amp;"",Account_Mapping!$A:$A,0))&amp;"",""))</f>
        <v/>
      </c>
      <c r="N1328" s="24" t="str">
        <f aca="false">IF($K1328&lt;&gt;"",$K1328,$M1328)</f>
        <v/>
      </c>
      <c r="O1328" s="24" t="str">
        <f aca="false">IF($F1328="","",IFERROR(INDEX(Counterparties!$C:$C,MATCH($F1328&amp;"",Counterparties!$A:$A,0))&amp;"",""))</f>
        <v/>
      </c>
      <c r="P1328" s="24" t="str">
        <f aca="false">IF($O1328="","",IF($O1328="CY","CY",IF(ISNUMBER(MATCH($O1328,Lists!$A:$A,0)),"EU","3RD")))</f>
        <v/>
      </c>
      <c r="Q1328" s="24" t="str">
        <f aca="false">IF($F1328="","N",IFERROR(IF(INDEX(Counterparties!$E:$E,MATCH($F1328&amp;"",Counterparties!$A:$A,0))="Y","Y","N"),"N"))</f>
        <v>N</v>
      </c>
      <c r="R1328" s="25" t="n">
        <f aca="false">IF(OR($H1328="",$H1328="EUR"),1,IFERROR(INDEX(FX_Rates!$D:$D,MATCH($H1328,FX_Rates!$A:$A,0)),""))</f>
        <v>1</v>
      </c>
      <c r="S1328" s="26" t="str">
        <f aca="false">IF(AND($I1328="",$J1328=""),"",IF($J1328&lt;&gt;"",$J1328,IF(OR($R1328="",$R1328=0),"",ROUND($I1328/$R1328,2))))</f>
        <v/>
      </c>
      <c r="T1328" s="24" t="str">
        <f aca="false">IF($N1328="","",IFERROR(INDEX(VAT_Codes!$C:$C,MATCH($N1328,VAT_Codes!$A:$A,0)),"")&amp;"")</f>
        <v/>
      </c>
      <c r="U1328" s="26" t="n">
        <f aca="false">IF(OR($S1328="",$T1328="",$T1328="None"),0,IF($T1328="Output",-$S1328,$S1328))</f>
        <v>0</v>
      </c>
      <c r="V1328" s="27" t="n">
        <f aca="false">IF($N1328="",0,IFERROR(INDEX(VAT_Codes!$D:$D,MATCH($N1328,VAT_Codes!$A:$A,0)),0))</f>
        <v>0</v>
      </c>
      <c r="W1328" s="26" t="n">
        <f aca="false">IF($U1328=0,0,IF(IFERROR(INDEX(VAT_Codes!$F:$F,MATCH($N1328,VAT_Codes!$A:$A,0)),"N")="Y",$U1328,IF($L1328&lt;&gt;"",ROUND(ABS($L1328)/IF(OR($R1328="",$R1328=0),1,$R1328),2)*SIGN($U1328),ROUND($U1328*$V1328,2))))</f>
        <v>0</v>
      </c>
      <c r="X1328" s="24" t="str">
        <f aca="false">IF($N1328="","",IFERROR(INDEX(VAT_Codes!$H:$H,MATCH($N1328,VAT_Codes!$A:$A,0)),"")&amp;"")</f>
        <v/>
      </c>
      <c r="Y1328" s="24" t="str">
        <f aca="false">IF($A1328="","",(YEAR($A1328)-YEAR(Settings!$C$8))*12+MONTH($A1328)-MONTH(Settings!$C$8)+1)</f>
        <v/>
      </c>
      <c r="Z1328" s="24" t="str">
        <f aca="false">IF(AND($C1328="",$I1328="",$J1328=""),"",IF($N1328="","NO VAT CODE",IF($T1328="","UNKNOWN VAT CODE",IF($S1328="","MISSING FX RATE",IF(OR($A1328&lt;Settings!$C$8,$A1328&gt;Settings!$C$9),"OUTSIDE PERIOD",IF(AND(IFERROR(INDEX(VAT_Codes!$E:$E,MATCH($N1328,VAT_Codes!$A:$A,0)),"ANY")&lt;&gt;"ANY",$P1328=""),"MISSING COUNTERPARTY COUNTRY",IF(AND(IFERROR(INDEX(VAT_Codes!$E:$E,MATCH($N1328,VAT_Codes!$A:$A,0)),"ANY")&lt;&gt;"ANY",$P1328&lt;&gt;IFERROR(INDEX(VAT_Codes!$E:$E,MATCH($N1328,VAT_Codes!$A:$A,0)),"ANY")),"REGION MISMATCH","OK")))))))</f>
        <v/>
      </c>
    </row>
    <row r="1329" customFormat="false" ht="15" hidden="false" customHeight="false" outlineLevel="0" collapsed="false">
      <c r="M1329" s="24" t="str">
        <f aca="false">IF($C1329="","",IFERROR(INDEX(Account_Mapping!$C:$C,MATCH($C1329&amp;"",Account_Mapping!$A:$A,0))&amp;"",""))</f>
        <v/>
      </c>
      <c r="N1329" s="24" t="str">
        <f aca="false">IF($K1329&lt;&gt;"",$K1329,$M1329)</f>
        <v/>
      </c>
      <c r="O1329" s="24" t="str">
        <f aca="false">IF($F1329="","",IFERROR(INDEX(Counterparties!$C:$C,MATCH($F1329&amp;"",Counterparties!$A:$A,0))&amp;"",""))</f>
        <v/>
      </c>
      <c r="P1329" s="24" t="str">
        <f aca="false">IF($O1329="","",IF($O1329="CY","CY",IF(ISNUMBER(MATCH($O1329,Lists!$A:$A,0)),"EU","3RD")))</f>
        <v/>
      </c>
      <c r="Q1329" s="24" t="str">
        <f aca="false">IF($F1329="","N",IFERROR(IF(INDEX(Counterparties!$E:$E,MATCH($F1329&amp;"",Counterparties!$A:$A,0))="Y","Y","N"),"N"))</f>
        <v>N</v>
      </c>
      <c r="R1329" s="25" t="n">
        <f aca="false">IF(OR($H1329="",$H1329="EUR"),1,IFERROR(INDEX(FX_Rates!$D:$D,MATCH($H1329,FX_Rates!$A:$A,0)),""))</f>
        <v>1</v>
      </c>
      <c r="S1329" s="26" t="str">
        <f aca="false">IF(AND($I1329="",$J1329=""),"",IF($J1329&lt;&gt;"",$J1329,IF(OR($R1329="",$R1329=0),"",ROUND($I1329/$R1329,2))))</f>
        <v/>
      </c>
      <c r="T1329" s="24" t="str">
        <f aca="false">IF($N1329="","",IFERROR(INDEX(VAT_Codes!$C:$C,MATCH($N1329,VAT_Codes!$A:$A,0)),"")&amp;"")</f>
        <v/>
      </c>
      <c r="U1329" s="26" t="n">
        <f aca="false">IF(OR($S1329="",$T1329="",$T1329="None"),0,IF($T1329="Output",-$S1329,$S1329))</f>
        <v>0</v>
      </c>
      <c r="V1329" s="27" t="n">
        <f aca="false">IF($N1329="",0,IFERROR(INDEX(VAT_Codes!$D:$D,MATCH($N1329,VAT_Codes!$A:$A,0)),0))</f>
        <v>0</v>
      </c>
      <c r="W1329" s="26" t="n">
        <f aca="false">IF($U1329=0,0,IF(IFERROR(INDEX(VAT_Codes!$F:$F,MATCH($N1329,VAT_Codes!$A:$A,0)),"N")="Y",$U1329,IF($L1329&lt;&gt;"",ROUND(ABS($L1329)/IF(OR($R1329="",$R1329=0),1,$R1329),2)*SIGN($U1329),ROUND($U1329*$V1329,2))))</f>
        <v>0</v>
      </c>
      <c r="X1329" s="24" t="str">
        <f aca="false">IF($N1329="","",IFERROR(INDEX(VAT_Codes!$H:$H,MATCH($N1329,VAT_Codes!$A:$A,0)),"")&amp;"")</f>
        <v/>
      </c>
      <c r="Y1329" s="24" t="str">
        <f aca="false">IF($A1329="","",(YEAR($A1329)-YEAR(Settings!$C$8))*12+MONTH($A1329)-MONTH(Settings!$C$8)+1)</f>
        <v/>
      </c>
      <c r="Z1329" s="24" t="str">
        <f aca="false">IF(AND($C1329="",$I1329="",$J1329=""),"",IF($N1329="","NO VAT CODE",IF($T1329="","UNKNOWN VAT CODE",IF($S1329="","MISSING FX RATE",IF(OR($A1329&lt;Settings!$C$8,$A1329&gt;Settings!$C$9),"OUTSIDE PERIOD",IF(AND(IFERROR(INDEX(VAT_Codes!$E:$E,MATCH($N1329,VAT_Codes!$A:$A,0)),"ANY")&lt;&gt;"ANY",$P1329=""),"MISSING COUNTERPARTY COUNTRY",IF(AND(IFERROR(INDEX(VAT_Codes!$E:$E,MATCH($N1329,VAT_Codes!$A:$A,0)),"ANY")&lt;&gt;"ANY",$P1329&lt;&gt;IFERROR(INDEX(VAT_Codes!$E:$E,MATCH($N1329,VAT_Codes!$A:$A,0)),"ANY")),"REGION MISMATCH","OK")))))))</f>
        <v/>
      </c>
    </row>
    <row r="1330" customFormat="false" ht="15" hidden="false" customHeight="false" outlineLevel="0" collapsed="false">
      <c r="M1330" s="24" t="str">
        <f aca="false">IF($C1330="","",IFERROR(INDEX(Account_Mapping!$C:$C,MATCH($C1330&amp;"",Account_Mapping!$A:$A,0))&amp;"",""))</f>
        <v/>
      </c>
      <c r="N1330" s="24" t="str">
        <f aca="false">IF($K1330&lt;&gt;"",$K1330,$M1330)</f>
        <v/>
      </c>
      <c r="O1330" s="24" t="str">
        <f aca="false">IF($F1330="","",IFERROR(INDEX(Counterparties!$C:$C,MATCH($F1330&amp;"",Counterparties!$A:$A,0))&amp;"",""))</f>
        <v/>
      </c>
      <c r="P1330" s="24" t="str">
        <f aca="false">IF($O1330="","",IF($O1330="CY","CY",IF(ISNUMBER(MATCH($O1330,Lists!$A:$A,0)),"EU","3RD")))</f>
        <v/>
      </c>
      <c r="Q1330" s="24" t="str">
        <f aca="false">IF($F1330="","N",IFERROR(IF(INDEX(Counterparties!$E:$E,MATCH($F1330&amp;"",Counterparties!$A:$A,0))="Y","Y","N"),"N"))</f>
        <v>N</v>
      </c>
      <c r="R1330" s="25" t="n">
        <f aca="false">IF(OR($H1330="",$H1330="EUR"),1,IFERROR(INDEX(FX_Rates!$D:$D,MATCH($H1330,FX_Rates!$A:$A,0)),""))</f>
        <v>1</v>
      </c>
      <c r="S1330" s="26" t="str">
        <f aca="false">IF(AND($I1330="",$J1330=""),"",IF($J1330&lt;&gt;"",$J1330,IF(OR($R1330="",$R1330=0),"",ROUND($I1330/$R1330,2))))</f>
        <v/>
      </c>
      <c r="T1330" s="24" t="str">
        <f aca="false">IF($N1330="","",IFERROR(INDEX(VAT_Codes!$C:$C,MATCH($N1330,VAT_Codes!$A:$A,0)),"")&amp;"")</f>
        <v/>
      </c>
      <c r="U1330" s="26" t="n">
        <f aca="false">IF(OR($S1330="",$T1330="",$T1330="None"),0,IF($T1330="Output",-$S1330,$S1330))</f>
        <v>0</v>
      </c>
      <c r="V1330" s="27" t="n">
        <f aca="false">IF($N1330="",0,IFERROR(INDEX(VAT_Codes!$D:$D,MATCH($N1330,VAT_Codes!$A:$A,0)),0))</f>
        <v>0</v>
      </c>
      <c r="W1330" s="26" t="n">
        <f aca="false">IF($U1330=0,0,IF(IFERROR(INDEX(VAT_Codes!$F:$F,MATCH($N1330,VAT_Codes!$A:$A,0)),"N")="Y",$U1330,IF($L1330&lt;&gt;"",ROUND(ABS($L1330)/IF(OR($R1330="",$R1330=0),1,$R1330),2)*SIGN($U1330),ROUND($U1330*$V1330,2))))</f>
        <v>0</v>
      </c>
      <c r="X1330" s="24" t="str">
        <f aca="false">IF($N1330="","",IFERROR(INDEX(VAT_Codes!$H:$H,MATCH($N1330,VAT_Codes!$A:$A,0)),"")&amp;"")</f>
        <v/>
      </c>
      <c r="Y1330" s="24" t="str">
        <f aca="false">IF($A1330="","",(YEAR($A1330)-YEAR(Settings!$C$8))*12+MONTH($A1330)-MONTH(Settings!$C$8)+1)</f>
        <v/>
      </c>
      <c r="Z1330" s="24" t="str">
        <f aca="false">IF(AND($C1330="",$I1330="",$J1330=""),"",IF($N1330="","NO VAT CODE",IF($T1330="","UNKNOWN VAT CODE",IF($S1330="","MISSING FX RATE",IF(OR($A1330&lt;Settings!$C$8,$A1330&gt;Settings!$C$9),"OUTSIDE PERIOD",IF(AND(IFERROR(INDEX(VAT_Codes!$E:$E,MATCH($N1330,VAT_Codes!$A:$A,0)),"ANY")&lt;&gt;"ANY",$P1330=""),"MISSING COUNTERPARTY COUNTRY",IF(AND(IFERROR(INDEX(VAT_Codes!$E:$E,MATCH($N1330,VAT_Codes!$A:$A,0)),"ANY")&lt;&gt;"ANY",$P1330&lt;&gt;IFERROR(INDEX(VAT_Codes!$E:$E,MATCH($N1330,VAT_Codes!$A:$A,0)),"ANY")),"REGION MISMATCH","OK")))))))</f>
        <v/>
      </c>
    </row>
    <row r="1331" customFormat="false" ht="15" hidden="false" customHeight="false" outlineLevel="0" collapsed="false">
      <c r="M1331" s="24" t="str">
        <f aca="false">IF($C1331="","",IFERROR(INDEX(Account_Mapping!$C:$C,MATCH($C1331&amp;"",Account_Mapping!$A:$A,0))&amp;"",""))</f>
        <v/>
      </c>
      <c r="N1331" s="24" t="str">
        <f aca="false">IF($K1331&lt;&gt;"",$K1331,$M1331)</f>
        <v/>
      </c>
      <c r="O1331" s="24" t="str">
        <f aca="false">IF($F1331="","",IFERROR(INDEX(Counterparties!$C:$C,MATCH($F1331&amp;"",Counterparties!$A:$A,0))&amp;"",""))</f>
        <v/>
      </c>
      <c r="P1331" s="24" t="str">
        <f aca="false">IF($O1331="","",IF($O1331="CY","CY",IF(ISNUMBER(MATCH($O1331,Lists!$A:$A,0)),"EU","3RD")))</f>
        <v/>
      </c>
      <c r="Q1331" s="24" t="str">
        <f aca="false">IF($F1331="","N",IFERROR(IF(INDEX(Counterparties!$E:$E,MATCH($F1331&amp;"",Counterparties!$A:$A,0))="Y","Y","N"),"N"))</f>
        <v>N</v>
      </c>
      <c r="R1331" s="25" t="n">
        <f aca="false">IF(OR($H1331="",$H1331="EUR"),1,IFERROR(INDEX(FX_Rates!$D:$D,MATCH($H1331,FX_Rates!$A:$A,0)),""))</f>
        <v>1</v>
      </c>
      <c r="S1331" s="26" t="str">
        <f aca="false">IF(AND($I1331="",$J1331=""),"",IF($J1331&lt;&gt;"",$J1331,IF(OR($R1331="",$R1331=0),"",ROUND($I1331/$R1331,2))))</f>
        <v/>
      </c>
      <c r="T1331" s="24" t="str">
        <f aca="false">IF($N1331="","",IFERROR(INDEX(VAT_Codes!$C:$C,MATCH($N1331,VAT_Codes!$A:$A,0)),"")&amp;"")</f>
        <v/>
      </c>
      <c r="U1331" s="26" t="n">
        <f aca="false">IF(OR($S1331="",$T1331="",$T1331="None"),0,IF($T1331="Output",-$S1331,$S1331))</f>
        <v>0</v>
      </c>
      <c r="V1331" s="27" t="n">
        <f aca="false">IF($N1331="",0,IFERROR(INDEX(VAT_Codes!$D:$D,MATCH($N1331,VAT_Codes!$A:$A,0)),0))</f>
        <v>0</v>
      </c>
      <c r="W1331" s="26" t="n">
        <f aca="false">IF($U1331=0,0,IF(IFERROR(INDEX(VAT_Codes!$F:$F,MATCH($N1331,VAT_Codes!$A:$A,0)),"N")="Y",$U1331,IF($L1331&lt;&gt;"",ROUND(ABS($L1331)/IF(OR($R1331="",$R1331=0),1,$R1331),2)*SIGN($U1331),ROUND($U1331*$V1331,2))))</f>
        <v>0</v>
      </c>
      <c r="X1331" s="24" t="str">
        <f aca="false">IF($N1331="","",IFERROR(INDEX(VAT_Codes!$H:$H,MATCH($N1331,VAT_Codes!$A:$A,0)),"")&amp;"")</f>
        <v/>
      </c>
      <c r="Y1331" s="24" t="str">
        <f aca="false">IF($A1331="","",(YEAR($A1331)-YEAR(Settings!$C$8))*12+MONTH($A1331)-MONTH(Settings!$C$8)+1)</f>
        <v/>
      </c>
      <c r="Z1331" s="24" t="str">
        <f aca="false">IF(AND($C1331="",$I1331="",$J1331=""),"",IF($N1331="","NO VAT CODE",IF($T1331="","UNKNOWN VAT CODE",IF($S1331="","MISSING FX RATE",IF(OR($A1331&lt;Settings!$C$8,$A1331&gt;Settings!$C$9),"OUTSIDE PERIOD",IF(AND(IFERROR(INDEX(VAT_Codes!$E:$E,MATCH($N1331,VAT_Codes!$A:$A,0)),"ANY")&lt;&gt;"ANY",$P1331=""),"MISSING COUNTERPARTY COUNTRY",IF(AND(IFERROR(INDEX(VAT_Codes!$E:$E,MATCH($N1331,VAT_Codes!$A:$A,0)),"ANY")&lt;&gt;"ANY",$P1331&lt;&gt;IFERROR(INDEX(VAT_Codes!$E:$E,MATCH($N1331,VAT_Codes!$A:$A,0)),"ANY")),"REGION MISMATCH","OK")))))))</f>
        <v/>
      </c>
    </row>
    <row r="1332" customFormat="false" ht="15" hidden="false" customHeight="false" outlineLevel="0" collapsed="false">
      <c r="M1332" s="24" t="str">
        <f aca="false">IF($C1332="","",IFERROR(INDEX(Account_Mapping!$C:$C,MATCH($C1332&amp;"",Account_Mapping!$A:$A,0))&amp;"",""))</f>
        <v/>
      </c>
      <c r="N1332" s="24" t="str">
        <f aca="false">IF($K1332&lt;&gt;"",$K1332,$M1332)</f>
        <v/>
      </c>
      <c r="O1332" s="24" t="str">
        <f aca="false">IF($F1332="","",IFERROR(INDEX(Counterparties!$C:$C,MATCH($F1332&amp;"",Counterparties!$A:$A,0))&amp;"",""))</f>
        <v/>
      </c>
      <c r="P1332" s="24" t="str">
        <f aca="false">IF($O1332="","",IF($O1332="CY","CY",IF(ISNUMBER(MATCH($O1332,Lists!$A:$A,0)),"EU","3RD")))</f>
        <v/>
      </c>
      <c r="Q1332" s="24" t="str">
        <f aca="false">IF($F1332="","N",IFERROR(IF(INDEX(Counterparties!$E:$E,MATCH($F1332&amp;"",Counterparties!$A:$A,0))="Y","Y","N"),"N"))</f>
        <v>N</v>
      </c>
      <c r="R1332" s="25" t="n">
        <f aca="false">IF(OR($H1332="",$H1332="EUR"),1,IFERROR(INDEX(FX_Rates!$D:$D,MATCH($H1332,FX_Rates!$A:$A,0)),""))</f>
        <v>1</v>
      </c>
      <c r="S1332" s="26" t="str">
        <f aca="false">IF(AND($I1332="",$J1332=""),"",IF($J1332&lt;&gt;"",$J1332,IF(OR($R1332="",$R1332=0),"",ROUND($I1332/$R1332,2))))</f>
        <v/>
      </c>
      <c r="T1332" s="24" t="str">
        <f aca="false">IF($N1332="","",IFERROR(INDEX(VAT_Codes!$C:$C,MATCH($N1332,VAT_Codes!$A:$A,0)),"")&amp;"")</f>
        <v/>
      </c>
      <c r="U1332" s="26" t="n">
        <f aca="false">IF(OR($S1332="",$T1332="",$T1332="None"),0,IF($T1332="Output",-$S1332,$S1332))</f>
        <v>0</v>
      </c>
      <c r="V1332" s="27" t="n">
        <f aca="false">IF($N1332="",0,IFERROR(INDEX(VAT_Codes!$D:$D,MATCH($N1332,VAT_Codes!$A:$A,0)),0))</f>
        <v>0</v>
      </c>
      <c r="W1332" s="26" t="n">
        <f aca="false">IF($U1332=0,0,IF(IFERROR(INDEX(VAT_Codes!$F:$F,MATCH($N1332,VAT_Codes!$A:$A,0)),"N")="Y",$U1332,IF($L1332&lt;&gt;"",ROUND(ABS($L1332)/IF(OR($R1332="",$R1332=0),1,$R1332),2)*SIGN($U1332),ROUND($U1332*$V1332,2))))</f>
        <v>0</v>
      </c>
      <c r="X1332" s="24" t="str">
        <f aca="false">IF($N1332="","",IFERROR(INDEX(VAT_Codes!$H:$H,MATCH($N1332,VAT_Codes!$A:$A,0)),"")&amp;"")</f>
        <v/>
      </c>
      <c r="Y1332" s="24" t="str">
        <f aca="false">IF($A1332="","",(YEAR($A1332)-YEAR(Settings!$C$8))*12+MONTH($A1332)-MONTH(Settings!$C$8)+1)</f>
        <v/>
      </c>
      <c r="Z1332" s="24" t="str">
        <f aca="false">IF(AND($C1332="",$I1332="",$J1332=""),"",IF($N1332="","NO VAT CODE",IF($T1332="","UNKNOWN VAT CODE",IF($S1332="","MISSING FX RATE",IF(OR($A1332&lt;Settings!$C$8,$A1332&gt;Settings!$C$9),"OUTSIDE PERIOD",IF(AND(IFERROR(INDEX(VAT_Codes!$E:$E,MATCH($N1332,VAT_Codes!$A:$A,0)),"ANY")&lt;&gt;"ANY",$P1332=""),"MISSING COUNTERPARTY COUNTRY",IF(AND(IFERROR(INDEX(VAT_Codes!$E:$E,MATCH($N1332,VAT_Codes!$A:$A,0)),"ANY")&lt;&gt;"ANY",$P1332&lt;&gt;IFERROR(INDEX(VAT_Codes!$E:$E,MATCH($N1332,VAT_Codes!$A:$A,0)),"ANY")),"REGION MISMATCH","OK")))))))</f>
        <v/>
      </c>
    </row>
    <row r="1333" customFormat="false" ht="15" hidden="false" customHeight="false" outlineLevel="0" collapsed="false">
      <c r="M1333" s="24" t="str">
        <f aca="false">IF($C1333="","",IFERROR(INDEX(Account_Mapping!$C:$C,MATCH($C1333&amp;"",Account_Mapping!$A:$A,0))&amp;"",""))</f>
        <v/>
      </c>
      <c r="N1333" s="24" t="str">
        <f aca="false">IF($K1333&lt;&gt;"",$K1333,$M1333)</f>
        <v/>
      </c>
      <c r="O1333" s="24" t="str">
        <f aca="false">IF($F1333="","",IFERROR(INDEX(Counterparties!$C:$C,MATCH($F1333&amp;"",Counterparties!$A:$A,0))&amp;"",""))</f>
        <v/>
      </c>
      <c r="P1333" s="24" t="str">
        <f aca="false">IF($O1333="","",IF($O1333="CY","CY",IF(ISNUMBER(MATCH($O1333,Lists!$A:$A,0)),"EU","3RD")))</f>
        <v/>
      </c>
      <c r="Q1333" s="24" t="str">
        <f aca="false">IF($F1333="","N",IFERROR(IF(INDEX(Counterparties!$E:$E,MATCH($F1333&amp;"",Counterparties!$A:$A,0))="Y","Y","N"),"N"))</f>
        <v>N</v>
      </c>
      <c r="R1333" s="25" t="n">
        <f aca="false">IF(OR($H1333="",$H1333="EUR"),1,IFERROR(INDEX(FX_Rates!$D:$D,MATCH($H1333,FX_Rates!$A:$A,0)),""))</f>
        <v>1</v>
      </c>
      <c r="S1333" s="26" t="str">
        <f aca="false">IF(AND($I1333="",$J1333=""),"",IF($J1333&lt;&gt;"",$J1333,IF(OR($R1333="",$R1333=0),"",ROUND($I1333/$R1333,2))))</f>
        <v/>
      </c>
      <c r="T1333" s="24" t="str">
        <f aca="false">IF($N1333="","",IFERROR(INDEX(VAT_Codes!$C:$C,MATCH($N1333,VAT_Codes!$A:$A,0)),"")&amp;"")</f>
        <v/>
      </c>
      <c r="U1333" s="26" t="n">
        <f aca="false">IF(OR($S1333="",$T1333="",$T1333="None"),0,IF($T1333="Output",-$S1333,$S1333))</f>
        <v>0</v>
      </c>
      <c r="V1333" s="27" t="n">
        <f aca="false">IF($N1333="",0,IFERROR(INDEX(VAT_Codes!$D:$D,MATCH($N1333,VAT_Codes!$A:$A,0)),0))</f>
        <v>0</v>
      </c>
      <c r="W1333" s="26" t="n">
        <f aca="false">IF($U1333=0,0,IF(IFERROR(INDEX(VAT_Codes!$F:$F,MATCH($N1333,VAT_Codes!$A:$A,0)),"N")="Y",$U1333,IF($L1333&lt;&gt;"",ROUND(ABS($L1333)/IF(OR($R1333="",$R1333=0),1,$R1333),2)*SIGN($U1333),ROUND($U1333*$V1333,2))))</f>
        <v>0</v>
      </c>
      <c r="X1333" s="24" t="str">
        <f aca="false">IF($N1333="","",IFERROR(INDEX(VAT_Codes!$H:$H,MATCH($N1333,VAT_Codes!$A:$A,0)),"")&amp;"")</f>
        <v/>
      </c>
      <c r="Y1333" s="24" t="str">
        <f aca="false">IF($A1333="","",(YEAR($A1333)-YEAR(Settings!$C$8))*12+MONTH($A1333)-MONTH(Settings!$C$8)+1)</f>
        <v/>
      </c>
      <c r="Z1333" s="24" t="str">
        <f aca="false">IF(AND($C1333="",$I1333="",$J1333=""),"",IF($N1333="","NO VAT CODE",IF($T1333="","UNKNOWN VAT CODE",IF($S1333="","MISSING FX RATE",IF(OR($A1333&lt;Settings!$C$8,$A1333&gt;Settings!$C$9),"OUTSIDE PERIOD",IF(AND(IFERROR(INDEX(VAT_Codes!$E:$E,MATCH($N1333,VAT_Codes!$A:$A,0)),"ANY")&lt;&gt;"ANY",$P1333=""),"MISSING COUNTERPARTY COUNTRY",IF(AND(IFERROR(INDEX(VAT_Codes!$E:$E,MATCH($N1333,VAT_Codes!$A:$A,0)),"ANY")&lt;&gt;"ANY",$P1333&lt;&gt;IFERROR(INDEX(VAT_Codes!$E:$E,MATCH($N1333,VAT_Codes!$A:$A,0)),"ANY")),"REGION MISMATCH","OK")))))))</f>
        <v/>
      </c>
    </row>
    <row r="1334" customFormat="false" ht="15" hidden="false" customHeight="false" outlineLevel="0" collapsed="false">
      <c r="M1334" s="24" t="str">
        <f aca="false">IF($C1334="","",IFERROR(INDEX(Account_Mapping!$C:$C,MATCH($C1334&amp;"",Account_Mapping!$A:$A,0))&amp;"",""))</f>
        <v/>
      </c>
      <c r="N1334" s="24" t="str">
        <f aca="false">IF($K1334&lt;&gt;"",$K1334,$M1334)</f>
        <v/>
      </c>
      <c r="O1334" s="24" t="str">
        <f aca="false">IF($F1334="","",IFERROR(INDEX(Counterparties!$C:$C,MATCH($F1334&amp;"",Counterparties!$A:$A,0))&amp;"",""))</f>
        <v/>
      </c>
      <c r="P1334" s="24" t="str">
        <f aca="false">IF($O1334="","",IF($O1334="CY","CY",IF(ISNUMBER(MATCH($O1334,Lists!$A:$A,0)),"EU","3RD")))</f>
        <v/>
      </c>
      <c r="Q1334" s="24" t="str">
        <f aca="false">IF($F1334="","N",IFERROR(IF(INDEX(Counterparties!$E:$E,MATCH($F1334&amp;"",Counterparties!$A:$A,0))="Y","Y","N"),"N"))</f>
        <v>N</v>
      </c>
      <c r="R1334" s="25" t="n">
        <f aca="false">IF(OR($H1334="",$H1334="EUR"),1,IFERROR(INDEX(FX_Rates!$D:$D,MATCH($H1334,FX_Rates!$A:$A,0)),""))</f>
        <v>1</v>
      </c>
      <c r="S1334" s="26" t="str">
        <f aca="false">IF(AND($I1334="",$J1334=""),"",IF($J1334&lt;&gt;"",$J1334,IF(OR($R1334="",$R1334=0),"",ROUND($I1334/$R1334,2))))</f>
        <v/>
      </c>
      <c r="T1334" s="24" t="str">
        <f aca="false">IF($N1334="","",IFERROR(INDEX(VAT_Codes!$C:$C,MATCH($N1334,VAT_Codes!$A:$A,0)),"")&amp;"")</f>
        <v/>
      </c>
      <c r="U1334" s="26" t="n">
        <f aca="false">IF(OR($S1334="",$T1334="",$T1334="None"),0,IF($T1334="Output",-$S1334,$S1334))</f>
        <v>0</v>
      </c>
      <c r="V1334" s="27" t="n">
        <f aca="false">IF($N1334="",0,IFERROR(INDEX(VAT_Codes!$D:$D,MATCH($N1334,VAT_Codes!$A:$A,0)),0))</f>
        <v>0</v>
      </c>
      <c r="W1334" s="26" t="n">
        <f aca="false">IF($U1334=0,0,IF(IFERROR(INDEX(VAT_Codes!$F:$F,MATCH($N1334,VAT_Codes!$A:$A,0)),"N")="Y",$U1334,IF($L1334&lt;&gt;"",ROUND(ABS($L1334)/IF(OR($R1334="",$R1334=0),1,$R1334),2)*SIGN($U1334),ROUND($U1334*$V1334,2))))</f>
        <v>0</v>
      </c>
      <c r="X1334" s="24" t="str">
        <f aca="false">IF($N1334="","",IFERROR(INDEX(VAT_Codes!$H:$H,MATCH($N1334,VAT_Codes!$A:$A,0)),"")&amp;"")</f>
        <v/>
      </c>
      <c r="Y1334" s="24" t="str">
        <f aca="false">IF($A1334="","",(YEAR($A1334)-YEAR(Settings!$C$8))*12+MONTH($A1334)-MONTH(Settings!$C$8)+1)</f>
        <v/>
      </c>
      <c r="Z1334" s="24" t="str">
        <f aca="false">IF(AND($C1334="",$I1334="",$J1334=""),"",IF($N1334="","NO VAT CODE",IF($T1334="","UNKNOWN VAT CODE",IF($S1334="","MISSING FX RATE",IF(OR($A1334&lt;Settings!$C$8,$A1334&gt;Settings!$C$9),"OUTSIDE PERIOD",IF(AND(IFERROR(INDEX(VAT_Codes!$E:$E,MATCH($N1334,VAT_Codes!$A:$A,0)),"ANY")&lt;&gt;"ANY",$P1334=""),"MISSING COUNTERPARTY COUNTRY",IF(AND(IFERROR(INDEX(VAT_Codes!$E:$E,MATCH($N1334,VAT_Codes!$A:$A,0)),"ANY")&lt;&gt;"ANY",$P1334&lt;&gt;IFERROR(INDEX(VAT_Codes!$E:$E,MATCH($N1334,VAT_Codes!$A:$A,0)),"ANY")),"REGION MISMATCH","OK")))))))</f>
        <v/>
      </c>
    </row>
    <row r="1335" customFormat="false" ht="15" hidden="false" customHeight="false" outlineLevel="0" collapsed="false">
      <c r="M1335" s="24" t="str">
        <f aca="false">IF($C1335="","",IFERROR(INDEX(Account_Mapping!$C:$C,MATCH($C1335&amp;"",Account_Mapping!$A:$A,0))&amp;"",""))</f>
        <v/>
      </c>
      <c r="N1335" s="24" t="str">
        <f aca="false">IF($K1335&lt;&gt;"",$K1335,$M1335)</f>
        <v/>
      </c>
      <c r="O1335" s="24" t="str">
        <f aca="false">IF($F1335="","",IFERROR(INDEX(Counterparties!$C:$C,MATCH($F1335&amp;"",Counterparties!$A:$A,0))&amp;"",""))</f>
        <v/>
      </c>
      <c r="P1335" s="24" t="str">
        <f aca="false">IF($O1335="","",IF($O1335="CY","CY",IF(ISNUMBER(MATCH($O1335,Lists!$A:$A,0)),"EU","3RD")))</f>
        <v/>
      </c>
      <c r="Q1335" s="24" t="str">
        <f aca="false">IF($F1335="","N",IFERROR(IF(INDEX(Counterparties!$E:$E,MATCH($F1335&amp;"",Counterparties!$A:$A,0))="Y","Y","N"),"N"))</f>
        <v>N</v>
      </c>
      <c r="R1335" s="25" t="n">
        <f aca="false">IF(OR($H1335="",$H1335="EUR"),1,IFERROR(INDEX(FX_Rates!$D:$D,MATCH($H1335,FX_Rates!$A:$A,0)),""))</f>
        <v>1</v>
      </c>
      <c r="S1335" s="26" t="str">
        <f aca="false">IF(AND($I1335="",$J1335=""),"",IF($J1335&lt;&gt;"",$J1335,IF(OR($R1335="",$R1335=0),"",ROUND($I1335/$R1335,2))))</f>
        <v/>
      </c>
      <c r="T1335" s="24" t="str">
        <f aca="false">IF($N1335="","",IFERROR(INDEX(VAT_Codes!$C:$C,MATCH($N1335,VAT_Codes!$A:$A,0)),"")&amp;"")</f>
        <v/>
      </c>
      <c r="U1335" s="26" t="n">
        <f aca="false">IF(OR($S1335="",$T1335="",$T1335="None"),0,IF($T1335="Output",-$S1335,$S1335))</f>
        <v>0</v>
      </c>
      <c r="V1335" s="27" t="n">
        <f aca="false">IF($N1335="",0,IFERROR(INDEX(VAT_Codes!$D:$D,MATCH($N1335,VAT_Codes!$A:$A,0)),0))</f>
        <v>0</v>
      </c>
      <c r="W1335" s="26" t="n">
        <f aca="false">IF($U1335=0,0,IF(IFERROR(INDEX(VAT_Codes!$F:$F,MATCH($N1335,VAT_Codes!$A:$A,0)),"N")="Y",$U1335,IF($L1335&lt;&gt;"",ROUND(ABS($L1335)/IF(OR($R1335="",$R1335=0),1,$R1335),2)*SIGN($U1335),ROUND($U1335*$V1335,2))))</f>
        <v>0</v>
      </c>
      <c r="X1335" s="24" t="str">
        <f aca="false">IF($N1335="","",IFERROR(INDEX(VAT_Codes!$H:$H,MATCH($N1335,VAT_Codes!$A:$A,0)),"")&amp;"")</f>
        <v/>
      </c>
      <c r="Y1335" s="24" t="str">
        <f aca="false">IF($A1335="","",(YEAR($A1335)-YEAR(Settings!$C$8))*12+MONTH($A1335)-MONTH(Settings!$C$8)+1)</f>
        <v/>
      </c>
      <c r="Z1335" s="24" t="str">
        <f aca="false">IF(AND($C1335="",$I1335="",$J1335=""),"",IF($N1335="","NO VAT CODE",IF($T1335="","UNKNOWN VAT CODE",IF($S1335="","MISSING FX RATE",IF(OR($A1335&lt;Settings!$C$8,$A1335&gt;Settings!$C$9),"OUTSIDE PERIOD",IF(AND(IFERROR(INDEX(VAT_Codes!$E:$E,MATCH($N1335,VAT_Codes!$A:$A,0)),"ANY")&lt;&gt;"ANY",$P1335=""),"MISSING COUNTERPARTY COUNTRY",IF(AND(IFERROR(INDEX(VAT_Codes!$E:$E,MATCH($N1335,VAT_Codes!$A:$A,0)),"ANY")&lt;&gt;"ANY",$P1335&lt;&gt;IFERROR(INDEX(VAT_Codes!$E:$E,MATCH($N1335,VAT_Codes!$A:$A,0)),"ANY")),"REGION MISMATCH","OK")))))))</f>
        <v/>
      </c>
    </row>
    <row r="1336" customFormat="false" ht="15" hidden="false" customHeight="false" outlineLevel="0" collapsed="false">
      <c r="M1336" s="24" t="str">
        <f aca="false">IF($C1336="","",IFERROR(INDEX(Account_Mapping!$C:$C,MATCH($C1336&amp;"",Account_Mapping!$A:$A,0))&amp;"",""))</f>
        <v/>
      </c>
      <c r="N1336" s="24" t="str">
        <f aca="false">IF($K1336&lt;&gt;"",$K1336,$M1336)</f>
        <v/>
      </c>
      <c r="O1336" s="24" t="str">
        <f aca="false">IF($F1336="","",IFERROR(INDEX(Counterparties!$C:$C,MATCH($F1336&amp;"",Counterparties!$A:$A,0))&amp;"",""))</f>
        <v/>
      </c>
      <c r="P1336" s="24" t="str">
        <f aca="false">IF($O1336="","",IF($O1336="CY","CY",IF(ISNUMBER(MATCH($O1336,Lists!$A:$A,0)),"EU","3RD")))</f>
        <v/>
      </c>
      <c r="Q1336" s="24" t="str">
        <f aca="false">IF($F1336="","N",IFERROR(IF(INDEX(Counterparties!$E:$E,MATCH($F1336&amp;"",Counterparties!$A:$A,0))="Y","Y","N"),"N"))</f>
        <v>N</v>
      </c>
      <c r="R1336" s="25" t="n">
        <f aca="false">IF(OR($H1336="",$H1336="EUR"),1,IFERROR(INDEX(FX_Rates!$D:$D,MATCH($H1336,FX_Rates!$A:$A,0)),""))</f>
        <v>1</v>
      </c>
      <c r="S1336" s="26" t="str">
        <f aca="false">IF(AND($I1336="",$J1336=""),"",IF($J1336&lt;&gt;"",$J1336,IF(OR($R1336="",$R1336=0),"",ROUND($I1336/$R1336,2))))</f>
        <v/>
      </c>
      <c r="T1336" s="24" t="str">
        <f aca="false">IF($N1336="","",IFERROR(INDEX(VAT_Codes!$C:$C,MATCH($N1336,VAT_Codes!$A:$A,0)),"")&amp;"")</f>
        <v/>
      </c>
      <c r="U1336" s="26" t="n">
        <f aca="false">IF(OR($S1336="",$T1336="",$T1336="None"),0,IF($T1336="Output",-$S1336,$S1336))</f>
        <v>0</v>
      </c>
      <c r="V1336" s="27" t="n">
        <f aca="false">IF($N1336="",0,IFERROR(INDEX(VAT_Codes!$D:$D,MATCH($N1336,VAT_Codes!$A:$A,0)),0))</f>
        <v>0</v>
      </c>
      <c r="W1336" s="26" t="n">
        <f aca="false">IF($U1336=0,0,IF(IFERROR(INDEX(VAT_Codes!$F:$F,MATCH($N1336,VAT_Codes!$A:$A,0)),"N")="Y",$U1336,IF($L1336&lt;&gt;"",ROUND(ABS($L1336)/IF(OR($R1336="",$R1336=0),1,$R1336),2)*SIGN($U1336),ROUND($U1336*$V1336,2))))</f>
        <v>0</v>
      </c>
      <c r="X1336" s="24" t="str">
        <f aca="false">IF($N1336="","",IFERROR(INDEX(VAT_Codes!$H:$H,MATCH($N1336,VAT_Codes!$A:$A,0)),"")&amp;"")</f>
        <v/>
      </c>
      <c r="Y1336" s="24" t="str">
        <f aca="false">IF($A1336="","",(YEAR($A1336)-YEAR(Settings!$C$8))*12+MONTH($A1336)-MONTH(Settings!$C$8)+1)</f>
        <v/>
      </c>
      <c r="Z1336" s="24" t="str">
        <f aca="false">IF(AND($C1336="",$I1336="",$J1336=""),"",IF($N1336="","NO VAT CODE",IF($T1336="","UNKNOWN VAT CODE",IF($S1336="","MISSING FX RATE",IF(OR($A1336&lt;Settings!$C$8,$A1336&gt;Settings!$C$9),"OUTSIDE PERIOD",IF(AND(IFERROR(INDEX(VAT_Codes!$E:$E,MATCH($N1336,VAT_Codes!$A:$A,0)),"ANY")&lt;&gt;"ANY",$P1336=""),"MISSING COUNTERPARTY COUNTRY",IF(AND(IFERROR(INDEX(VAT_Codes!$E:$E,MATCH($N1336,VAT_Codes!$A:$A,0)),"ANY")&lt;&gt;"ANY",$P1336&lt;&gt;IFERROR(INDEX(VAT_Codes!$E:$E,MATCH($N1336,VAT_Codes!$A:$A,0)),"ANY")),"REGION MISMATCH","OK")))))))</f>
        <v/>
      </c>
    </row>
    <row r="1337" customFormat="false" ht="15" hidden="false" customHeight="false" outlineLevel="0" collapsed="false">
      <c r="M1337" s="24" t="str">
        <f aca="false">IF($C1337="","",IFERROR(INDEX(Account_Mapping!$C:$C,MATCH($C1337&amp;"",Account_Mapping!$A:$A,0))&amp;"",""))</f>
        <v/>
      </c>
      <c r="N1337" s="24" t="str">
        <f aca="false">IF($K1337&lt;&gt;"",$K1337,$M1337)</f>
        <v/>
      </c>
      <c r="O1337" s="24" t="str">
        <f aca="false">IF($F1337="","",IFERROR(INDEX(Counterparties!$C:$C,MATCH($F1337&amp;"",Counterparties!$A:$A,0))&amp;"",""))</f>
        <v/>
      </c>
      <c r="P1337" s="24" t="str">
        <f aca="false">IF($O1337="","",IF($O1337="CY","CY",IF(ISNUMBER(MATCH($O1337,Lists!$A:$A,0)),"EU","3RD")))</f>
        <v/>
      </c>
      <c r="Q1337" s="24" t="str">
        <f aca="false">IF($F1337="","N",IFERROR(IF(INDEX(Counterparties!$E:$E,MATCH($F1337&amp;"",Counterparties!$A:$A,0))="Y","Y","N"),"N"))</f>
        <v>N</v>
      </c>
      <c r="R1337" s="25" t="n">
        <f aca="false">IF(OR($H1337="",$H1337="EUR"),1,IFERROR(INDEX(FX_Rates!$D:$D,MATCH($H1337,FX_Rates!$A:$A,0)),""))</f>
        <v>1</v>
      </c>
      <c r="S1337" s="26" t="str">
        <f aca="false">IF(AND($I1337="",$J1337=""),"",IF($J1337&lt;&gt;"",$J1337,IF(OR($R1337="",$R1337=0),"",ROUND($I1337/$R1337,2))))</f>
        <v/>
      </c>
      <c r="T1337" s="24" t="str">
        <f aca="false">IF($N1337="","",IFERROR(INDEX(VAT_Codes!$C:$C,MATCH($N1337,VAT_Codes!$A:$A,0)),"")&amp;"")</f>
        <v/>
      </c>
      <c r="U1337" s="26" t="n">
        <f aca="false">IF(OR($S1337="",$T1337="",$T1337="None"),0,IF($T1337="Output",-$S1337,$S1337))</f>
        <v>0</v>
      </c>
      <c r="V1337" s="27" t="n">
        <f aca="false">IF($N1337="",0,IFERROR(INDEX(VAT_Codes!$D:$D,MATCH($N1337,VAT_Codes!$A:$A,0)),0))</f>
        <v>0</v>
      </c>
      <c r="W1337" s="26" t="n">
        <f aca="false">IF($U1337=0,0,IF(IFERROR(INDEX(VAT_Codes!$F:$F,MATCH($N1337,VAT_Codes!$A:$A,0)),"N")="Y",$U1337,IF($L1337&lt;&gt;"",ROUND(ABS($L1337)/IF(OR($R1337="",$R1337=0),1,$R1337),2)*SIGN($U1337),ROUND($U1337*$V1337,2))))</f>
        <v>0</v>
      </c>
      <c r="X1337" s="24" t="str">
        <f aca="false">IF($N1337="","",IFERROR(INDEX(VAT_Codes!$H:$H,MATCH($N1337,VAT_Codes!$A:$A,0)),"")&amp;"")</f>
        <v/>
      </c>
      <c r="Y1337" s="24" t="str">
        <f aca="false">IF($A1337="","",(YEAR($A1337)-YEAR(Settings!$C$8))*12+MONTH($A1337)-MONTH(Settings!$C$8)+1)</f>
        <v/>
      </c>
      <c r="Z1337" s="24" t="str">
        <f aca="false">IF(AND($C1337="",$I1337="",$J1337=""),"",IF($N1337="","NO VAT CODE",IF($T1337="","UNKNOWN VAT CODE",IF($S1337="","MISSING FX RATE",IF(OR($A1337&lt;Settings!$C$8,$A1337&gt;Settings!$C$9),"OUTSIDE PERIOD",IF(AND(IFERROR(INDEX(VAT_Codes!$E:$E,MATCH($N1337,VAT_Codes!$A:$A,0)),"ANY")&lt;&gt;"ANY",$P1337=""),"MISSING COUNTERPARTY COUNTRY",IF(AND(IFERROR(INDEX(VAT_Codes!$E:$E,MATCH($N1337,VAT_Codes!$A:$A,0)),"ANY")&lt;&gt;"ANY",$P1337&lt;&gt;IFERROR(INDEX(VAT_Codes!$E:$E,MATCH($N1337,VAT_Codes!$A:$A,0)),"ANY")),"REGION MISMATCH","OK")))))))</f>
        <v/>
      </c>
    </row>
    <row r="1338" customFormat="false" ht="15" hidden="false" customHeight="false" outlineLevel="0" collapsed="false">
      <c r="M1338" s="24" t="str">
        <f aca="false">IF($C1338="","",IFERROR(INDEX(Account_Mapping!$C:$C,MATCH($C1338&amp;"",Account_Mapping!$A:$A,0))&amp;"",""))</f>
        <v/>
      </c>
      <c r="N1338" s="24" t="str">
        <f aca="false">IF($K1338&lt;&gt;"",$K1338,$M1338)</f>
        <v/>
      </c>
      <c r="O1338" s="24" t="str">
        <f aca="false">IF($F1338="","",IFERROR(INDEX(Counterparties!$C:$C,MATCH($F1338&amp;"",Counterparties!$A:$A,0))&amp;"",""))</f>
        <v/>
      </c>
      <c r="P1338" s="24" t="str">
        <f aca="false">IF($O1338="","",IF($O1338="CY","CY",IF(ISNUMBER(MATCH($O1338,Lists!$A:$A,0)),"EU","3RD")))</f>
        <v/>
      </c>
      <c r="Q1338" s="24" t="str">
        <f aca="false">IF($F1338="","N",IFERROR(IF(INDEX(Counterparties!$E:$E,MATCH($F1338&amp;"",Counterparties!$A:$A,0))="Y","Y","N"),"N"))</f>
        <v>N</v>
      </c>
      <c r="R1338" s="25" t="n">
        <f aca="false">IF(OR($H1338="",$H1338="EUR"),1,IFERROR(INDEX(FX_Rates!$D:$D,MATCH($H1338,FX_Rates!$A:$A,0)),""))</f>
        <v>1</v>
      </c>
      <c r="S1338" s="26" t="str">
        <f aca="false">IF(AND($I1338="",$J1338=""),"",IF($J1338&lt;&gt;"",$J1338,IF(OR($R1338="",$R1338=0),"",ROUND($I1338/$R1338,2))))</f>
        <v/>
      </c>
      <c r="T1338" s="24" t="str">
        <f aca="false">IF($N1338="","",IFERROR(INDEX(VAT_Codes!$C:$C,MATCH($N1338,VAT_Codes!$A:$A,0)),"")&amp;"")</f>
        <v/>
      </c>
      <c r="U1338" s="26" t="n">
        <f aca="false">IF(OR($S1338="",$T1338="",$T1338="None"),0,IF($T1338="Output",-$S1338,$S1338))</f>
        <v>0</v>
      </c>
      <c r="V1338" s="27" t="n">
        <f aca="false">IF($N1338="",0,IFERROR(INDEX(VAT_Codes!$D:$D,MATCH($N1338,VAT_Codes!$A:$A,0)),0))</f>
        <v>0</v>
      </c>
      <c r="W1338" s="26" t="n">
        <f aca="false">IF($U1338=0,0,IF(IFERROR(INDEX(VAT_Codes!$F:$F,MATCH($N1338,VAT_Codes!$A:$A,0)),"N")="Y",$U1338,IF($L1338&lt;&gt;"",ROUND(ABS($L1338)/IF(OR($R1338="",$R1338=0),1,$R1338),2)*SIGN($U1338),ROUND($U1338*$V1338,2))))</f>
        <v>0</v>
      </c>
      <c r="X1338" s="24" t="str">
        <f aca="false">IF($N1338="","",IFERROR(INDEX(VAT_Codes!$H:$H,MATCH($N1338,VAT_Codes!$A:$A,0)),"")&amp;"")</f>
        <v/>
      </c>
      <c r="Y1338" s="24" t="str">
        <f aca="false">IF($A1338="","",(YEAR($A1338)-YEAR(Settings!$C$8))*12+MONTH($A1338)-MONTH(Settings!$C$8)+1)</f>
        <v/>
      </c>
      <c r="Z1338" s="24" t="str">
        <f aca="false">IF(AND($C1338="",$I1338="",$J1338=""),"",IF($N1338="","NO VAT CODE",IF($T1338="","UNKNOWN VAT CODE",IF($S1338="","MISSING FX RATE",IF(OR($A1338&lt;Settings!$C$8,$A1338&gt;Settings!$C$9),"OUTSIDE PERIOD",IF(AND(IFERROR(INDEX(VAT_Codes!$E:$E,MATCH($N1338,VAT_Codes!$A:$A,0)),"ANY")&lt;&gt;"ANY",$P1338=""),"MISSING COUNTERPARTY COUNTRY",IF(AND(IFERROR(INDEX(VAT_Codes!$E:$E,MATCH($N1338,VAT_Codes!$A:$A,0)),"ANY")&lt;&gt;"ANY",$P1338&lt;&gt;IFERROR(INDEX(VAT_Codes!$E:$E,MATCH($N1338,VAT_Codes!$A:$A,0)),"ANY")),"REGION MISMATCH","OK")))))))</f>
        <v/>
      </c>
    </row>
    <row r="1339" customFormat="false" ht="15" hidden="false" customHeight="false" outlineLevel="0" collapsed="false">
      <c r="M1339" s="24" t="str">
        <f aca="false">IF($C1339="","",IFERROR(INDEX(Account_Mapping!$C:$C,MATCH($C1339&amp;"",Account_Mapping!$A:$A,0))&amp;"",""))</f>
        <v/>
      </c>
      <c r="N1339" s="24" t="str">
        <f aca="false">IF($K1339&lt;&gt;"",$K1339,$M1339)</f>
        <v/>
      </c>
      <c r="O1339" s="24" t="str">
        <f aca="false">IF($F1339="","",IFERROR(INDEX(Counterparties!$C:$C,MATCH($F1339&amp;"",Counterparties!$A:$A,0))&amp;"",""))</f>
        <v/>
      </c>
      <c r="P1339" s="24" t="str">
        <f aca="false">IF($O1339="","",IF($O1339="CY","CY",IF(ISNUMBER(MATCH($O1339,Lists!$A:$A,0)),"EU","3RD")))</f>
        <v/>
      </c>
      <c r="Q1339" s="24" t="str">
        <f aca="false">IF($F1339="","N",IFERROR(IF(INDEX(Counterparties!$E:$E,MATCH($F1339&amp;"",Counterparties!$A:$A,0))="Y","Y","N"),"N"))</f>
        <v>N</v>
      </c>
      <c r="R1339" s="25" t="n">
        <f aca="false">IF(OR($H1339="",$H1339="EUR"),1,IFERROR(INDEX(FX_Rates!$D:$D,MATCH($H1339,FX_Rates!$A:$A,0)),""))</f>
        <v>1</v>
      </c>
      <c r="S1339" s="26" t="str">
        <f aca="false">IF(AND($I1339="",$J1339=""),"",IF($J1339&lt;&gt;"",$J1339,IF(OR($R1339="",$R1339=0),"",ROUND($I1339/$R1339,2))))</f>
        <v/>
      </c>
      <c r="T1339" s="24" t="str">
        <f aca="false">IF($N1339="","",IFERROR(INDEX(VAT_Codes!$C:$C,MATCH($N1339,VAT_Codes!$A:$A,0)),"")&amp;"")</f>
        <v/>
      </c>
      <c r="U1339" s="26" t="n">
        <f aca="false">IF(OR($S1339="",$T1339="",$T1339="None"),0,IF($T1339="Output",-$S1339,$S1339))</f>
        <v>0</v>
      </c>
      <c r="V1339" s="27" t="n">
        <f aca="false">IF($N1339="",0,IFERROR(INDEX(VAT_Codes!$D:$D,MATCH($N1339,VAT_Codes!$A:$A,0)),0))</f>
        <v>0</v>
      </c>
      <c r="W1339" s="26" t="n">
        <f aca="false">IF($U1339=0,0,IF(IFERROR(INDEX(VAT_Codes!$F:$F,MATCH($N1339,VAT_Codes!$A:$A,0)),"N")="Y",$U1339,IF($L1339&lt;&gt;"",ROUND(ABS($L1339)/IF(OR($R1339="",$R1339=0),1,$R1339),2)*SIGN($U1339),ROUND($U1339*$V1339,2))))</f>
        <v>0</v>
      </c>
      <c r="X1339" s="24" t="str">
        <f aca="false">IF($N1339="","",IFERROR(INDEX(VAT_Codes!$H:$H,MATCH($N1339,VAT_Codes!$A:$A,0)),"")&amp;"")</f>
        <v/>
      </c>
      <c r="Y1339" s="24" t="str">
        <f aca="false">IF($A1339="","",(YEAR($A1339)-YEAR(Settings!$C$8))*12+MONTH($A1339)-MONTH(Settings!$C$8)+1)</f>
        <v/>
      </c>
      <c r="Z1339" s="24" t="str">
        <f aca="false">IF(AND($C1339="",$I1339="",$J1339=""),"",IF($N1339="","NO VAT CODE",IF($T1339="","UNKNOWN VAT CODE",IF($S1339="","MISSING FX RATE",IF(OR($A1339&lt;Settings!$C$8,$A1339&gt;Settings!$C$9),"OUTSIDE PERIOD",IF(AND(IFERROR(INDEX(VAT_Codes!$E:$E,MATCH($N1339,VAT_Codes!$A:$A,0)),"ANY")&lt;&gt;"ANY",$P1339=""),"MISSING COUNTERPARTY COUNTRY",IF(AND(IFERROR(INDEX(VAT_Codes!$E:$E,MATCH($N1339,VAT_Codes!$A:$A,0)),"ANY")&lt;&gt;"ANY",$P1339&lt;&gt;IFERROR(INDEX(VAT_Codes!$E:$E,MATCH($N1339,VAT_Codes!$A:$A,0)),"ANY")),"REGION MISMATCH","OK")))))))</f>
        <v/>
      </c>
    </row>
    <row r="1340" customFormat="false" ht="15" hidden="false" customHeight="false" outlineLevel="0" collapsed="false">
      <c r="M1340" s="24" t="str">
        <f aca="false">IF($C1340="","",IFERROR(INDEX(Account_Mapping!$C:$C,MATCH($C1340&amp;"",Account_Mapping!$A:$A,0))&amp;"",""))</f>
        <v/>
      </c>
      <c r="N1340" s="24" t="str">
        <f aca="false">IF($K1340&lt;&gt;"",$K1340,$M1340)</f>
        <v/>
      </c>
      <c r="O1340" s="24" t="str">
        <f aca="false">IF($F1340="","",IFERROR(INDEX(Counterparties!$C:$C,MATCH($F1340&amp;"",Counterparties!$A:$A,0))&amp;"",""))</f>
        <v/>
      </c>
      <c r="P1340" s="24" t="str">
        <f aca="false">IF($O1340="","",IF($O1340="CY","CY",IF(ISNUMBER(MATCH($O1340,Lists!$A:$A,0)),"EU","3RD")))</f>
        <v/>
      </c>
      <c r="Q1340" s="24" t="str">
        <f aca="false">IF($F1340="","N",IFERROR(IF(INDEX(Counterparties!$E:$E,MATCH($F1340&amp;"",Counterparties!$A:$A,0))="Y","Y","N"),"N"))</f>
        <v>N</v>
      </c>
      <c r="R1340" s="25" t="n">
        <f aca="false">IF(OR($H1340="",$H1340="EUR"),1,IFERROR(INDEX(FX_Rates!$D:$D,MATCH($H1340,FX_Rates!$A:$A,0)),""))</f>
        <v>1</v>
      </c>
      <c r="S1340" s="26" t="str">
        <f aca="false">IF(AND($I1340="",$J1340=""),"",IF($J1340&lt;&gt;"",$J1340,IF(OR($R1340="",$R1340=0),"",ROUND($I1340/$R1340,2))))</f>
        <v/>
      </c>
      <c r="T1340" s="24" t="str">
        <f aca="false">IF($N1340="","",IFERROR(INDEX(VAT_Codes!$C:$C,MATCH($N1340,VAT_Codes!$A:$A,0)),"")&amp;"")</f>
        <v/>
      </c>
      <c r="U1340" s="26" t="n">
        <f aca="false">IF(OR($S1340="",$T1340="",$T1340="None"),0,IF($T1340="Output",-$S1340,$S1340))</f>
        <v>0</v>
      </c>
      <c r="V1340" s="27" t="n">
        <f aca="false">IF($N1340="",0,IFERROR(INDEX(VAT_Codes!$D:$D,MATCH($N1340,VAT_Codes!$A:$A,0)),0))</f>
        <v>0</v>
      </c>
      <c r="W1340" s="26" t="n">
        <f aca="false">IF($U1340=0,0,IF(IFERROR(INDEX(VAT_Codes!$F:$F,MATCH($N1340,VAT_Codes!$A:$A,0)),"N")="Y",$U1340,IF($L1340&lt;&gt;"",ROUND(ABS($L1340)/IF(OR($R1340="",$R1340=0),1,$R1340),2)*SIGN($U1340),ROUND($U1340*$V1340,2))))</f>
        <v>0</v>
      </c>
      <c r="X1340" s="24" t="str">
        <f aca="false">IF($N1340="","",IFERROR(INDEX(VAT_Codes!$H:$H,MATCH($N1340,VAT_Codes!$A:$A,0)),"")&amp;"")</f>
        <v/>
      </c>
      <c r="Y1340" s="24" t="str">
        <f aca="false">IF($A1340="","",(YEAR($A1340)-YEAR(Settings!$C$8))*12+MONTH($A1340)-MONTH(Settings!$C$8)+1)</f>
        <v/>
      </c>
      <c r="Z1340" s="24" t="str">
        <f aca="false">IF(AND($C1340="",$I1340="",$J1340=""),"",IF($N1340="","NO VAT CODE",IF($T1340="","UNKNOWN VAT CODE",IF($S1340="","MISSING FX RATE",IF(OR($A1340&lt;Settings!$C$8,$A1340&gt;Settings!$C$9),"OUTSIDE PERIOD",IF(AND(IFERROR(INDEX(VAT_Codes!$E:$E,MATCH($N1340,VAT_Codes!$A:$A,0)),"ANY")&lt;&gt;"ANY",$P1340=""),"MISSING COUNTERPARTY COUNTRY",IF(AND(IFERROR(INDEX(VAT_Codes!$E:$E,MATCH($N1340,VAT_Codes!$A:$A,0)),"ANY")&lt;&gt;"ANY",$P1340&lt;&gt;IFERROR(INDEX(VAT_Codes!$E:$E,MATCH($N1340,VAT_Codes!$A:$A,0)),"ANY")),"REGION MISMATCH","OK")))))))</f>
        <v/>
      </c>
    </row>
    <row r="1341" customFormat="false" ht="15" hidden="false" customHeight="false" outlineLevel="0" collapsed="false">
      <c r="M1341" s="24" t="str">
        <f aca="false">IF($C1341="","",IFERROR(INDEX(Account_Mapping!$C:$C,MATCH($C1341&amp;"",Account_Mapping!$A:$A,0))&amp;"",""))</f>
        <v/>
      </c>
      <c r="N1341" s="24" t="str">
        <f aca="false">IF($K1341&lt;&gt;"",$K1341,$M1341)</f>
        <v/>
      </c>
      <c r="O1341" s="24" t="str">
        <f aca="false">IF($F1341="","",IFERROR(INDEX(Counterparties!$C:$C,MATCH($F1341&amp;"",Counterparties!$A:$A,0))&amp;"",""))</f>
        <v/>
      </c>
      <c r="P1341" s="24" t="str">
        <f aca="false">IF($O1341="","",IF($O1341="CY","CY",IF(ISNUMBER(MATCH($O1341,Lists!$A:$A,0)),"EU","3RD")))</f>
        <v/>
      </c>
      <c r="Q1341" s="24" t="str">
        <f aca="false">IF($F1341="","N",IFERROR(IF(INDEX(Counterparties!$E:$E,MATCH($F1341&amp;"",Counterparties!$A:$A,0))="Y","Y","N"),"N"))</f>
        <v>N</v>
      </c>
      <c r="R1341" s="25" t="n">
        <f aca="false">IF(OR($H1341="",$H1341="EUR"),1,IFERROR(INDEX(FX_Rates!$D:$D,MATCH($H1341,FX_Rates!$A:$A,0)),""))</f>
        <v>1</v>
      </c>
      <c r="S1341" s="26" t="str">
        <f aca="false">IF(AND($I1341="",$J1341=""),"",IF($J1341&lt;&gt;"",$J1341,IF(OR($R1341="",$R1341=0),"",ROUND($I1341/$R1341,2))))</f>
        <v/>
      </c>
      <c r="T1341" s="24" t="str">
        <f aca="false">IF($N1341="","",IFERROR(INDEX(VAT_Codes!$C:$C,MATCH($N1341,VAT_Codes!$A:$A,0)),"")&amp;"")</f>
        <v/>
      </c>
      <c r="U1341" s="26" t="n">
        <f aca="false">IF(OR($S1341="",$T1341="",$T1341="None"),0,IF($T1341="Output",-$S1341,$S1341))</f>
        <v>0</v>
      </c>
      <c r="V1341" s="27" t="n">
        <f aca="false">IF($N1341="",0,IFERROR(INDEX(VAT_Codes!$D:$D,MATCH($N1341,VAT_Codes!$A:$A,0)),0))</f>
        <v>0</v>
      </c>
      <c r="W1341" s="26" t="n">
        <f aca="false">IF($U1341=0,0,IF(IFERROR(INDEX(VAT_Codes!$F:$F,MATCH($N1341,VAT_Codes!$A:$A,0)),"N")="Y",$U1341,IF($L1341&lt;&gt;"",ROUND(ABS($L1341)/IF(OR($R1341="",$R1341=0),1,$R1341),2)*SIGN($U1341),ROUND($U1341*$V1341,2))))</f>
        <v>0</v>
      </c>
      <c r="X1341" s="24" t="str">
        <f aca="false">IF($N1341="","",IFERROR(INDEX(VAT_Codes!$H:$H,MATCH($N1341,VAT_Codes!$A:$A,0)),"")&amp;"")</f>
        <v/>
      </c>
      <c r="Y1341" s="24" t="str">
        <f aca="false">IF($A1341="","",(YEAR($A1341)-YEAR(Settings!$C$8))*12+MONTH($A1341)-MONTH(Settings!$C$8)+1)</f>
        <v/>
      </c>
      <c r="Z1341" s="24" t="str">
        <f aca="false">IF(AND($C1341="",$I1341="",$J1341=""),"",IF($N1341="","NO VAT CODE",IF($T1341="","UNKNOWN VAT CODE",IF($S1341="","MISSING FX RATE",IF(OR($A1341&lt;Settings!$C$8,$A1341&gt;Settings!$C$9),"OUTSIDE PERIOD",IF(AND(IFERROR(INDEX(VAT_Codes!$E:$E,MATCH($N1341,VAT_Codes!$A:$A,0)),"ANY")&lt;&gt;"ANY",$P1341=""),"MISSING COUNTERPARTY COUNTRY",IF(AND(IFERROR(INDEX(VAT_Codes!$E:$E,MATCH($N1341,VAT_Codes!$A:$A,0)),"ANY")&lt;&gt;"ANY",$P1341&lt;&gt;IFERROR(INDEX(VAT_Codes!$E:$E,MATCH($N1341,VAT_Codes!$A:$A,0)),"ANY")),"REGION MISMATCH","OK")))))))</f>
        <v/>
      </c>
    </row>
    <row r="1342" customFormat="false" ht="15" hidden="false" customHeight="false" outlineLevel="0" collapsed="false">
      <c r="M1342" s="24" t="str">
        <f aca="false">IF($C1342="","",IFERROR(INDEX(Account_Mapping!$C:$C,MATCH($C1342&amp;"",Account_Mapping!$A:$A,0))&amp;"",""))</f>
        <v/>
      </c>
      <c r="N1342" s="24" t="str">
        <f aca="false">IF($K1342&lt;&gt;"",$K1342,$M1342)</f>
        <v/>
      </c>
      <c r="O1342" s="24" t="str">
        <f aca="false">IF($F1342="","",IFERROR(INDEX(Counterparties!$C:$C,MATCH($F1342&amp;"",Counterparties!$A:$A,0))&amp;"",""))</f>
        <v/>
      </c>
      <c r="P1342" s="24" t="str">
        <f aca="false">IF($O1342="","",IF($O1342="CY","CY",IF(ISNUMBER(MATCH($O1342,Lists!$A:$A,0)),"EU","3RD")))</f>
        <v/>
      </c>
      <c r="Q1342" s="24" t="str">
        <f aca="false">IF($F1342="","N",IFERROR(IF(INDEX(Counterparties!$E:$E,MATCH($F1342&amp;"",Counterparties!$A:$A,0))="Y","Y","N"),"N"))</f>
        <v>N</v>
      </c>
      <c r="R1342" s="25" t="n">
        <f aca="false">IF(OR($H1342="",$H1342="EUR"),1,IFERROR(INDEX(FX_Rates!$D:$D,MATCH($H1342,FX_Rates!$A:$A,0)),""))</f>
        <v>1</v>
      </c>
      <c r="S1342" s="26" t="str">
        <f aca="false">IF(AND($I1342="",$J1342=""),"",IF($J1342&lt;&gt;"",$J1342,IF(OR($R1342="",$R1342=0),"",ROUND($I1342/$R1342,2))))</f>
        <v/>
      </c>
      <c r="T1342" s="24" t="str">
        <f aca="false">IF($N1342="","",IFERROR(INDEX(VAT_Codes!$C:$C,MATCH($N1342,VAT_Codes!$A:$A,0)),"")&amp;"")</f>
        <v/>
      </c>
      <c r="U1342" s="26" t="n">
        <f aca="false">IF(OR($S1342="",$T1342="",$T1342="None"),0,IF($T1342="Output",-$S1342,$S1342))</f>
        <v>0</v>
      </c>
      <c r="V1342" s="27" t="n">
        <f aca="false">IF($N1342="",0,IFERROR(INDEX(VAT_Codes!$D:$D,MATCH($N1342,VAT_Codes!$A:$A,0)),0))</f>
        <v>0</v>
      </c>
      <c r="W1342" s="26" t="n">
        <f aca="false">IF($U1342=0,0,IF(IFERROR(INDEX(VAT_Codes!$F:$F,MATCH($N1342,VAT_Codes!$A:$A,0)),"N")="Y",$U1342,IF($L1342&lt;&gt;"",ROUND(ABS($L1342)/IF(OR($R1342="",$R1342=0),1,$R1342),2)*SIGN($U1342),ROUND($U1342*$V1342,2))))</f>
        <v>0</v>
      </c>
      <c r="X1342" s="24" t="str">
        <f aca="false">IF($N1342="","",IFERROR(INDEX(VAT_Codes!$H:$H,MATCH($N1342,VAT_Codes!$A:$A,0)),"")&amp;"")</f>
        <v/>
      </c>
      <c r="Y1342" s="24" t="str">
        <f aca="false">IF($A1342="","",(YEAR($A1342)-YEAR(Settings!$C$8))*12+MONTH($A1342)-MONTH(Settings!$C$8)+1)</f>
        <v/>
      </c>
      <c r="Z1342" s="24" t="str">
        <f aca="false">IF(AND($C1342="",$I1342="",$J1342=""),"",IF($N1342="","NO VAT CODE",IF($T1342="","UNKNOWN VAT CODE",IF($S1342="","MISSING FX RATE",IF(OR($A1342&lt;Settings!$C$8,$A1342&gt;Settings!$C$9),"OUTSIDE PERIOD",IF(AND(IFERROR(INDEX(VAT_Codes!$E:$E,MATCH($N1342,VAT_Codes!$A:$A,0)),"ANY")&lt;&gt;"ANY",$P1342=""),"MISSING COUNTERPARTY COUNTRY",IF(AND(IFERROR(INDEX(VAT_Codes!$E:$E,MATCH($N1342,VAT_Codes!$A:$A,0)),"ANY")&lt;&gt;"ANY",$P1342&lt;&gt;IFERROR(INDEX(VAT_Codes!$E:$E,MATCH($N1342,VAT_Codes!$A:$A,0)),"ANY")),"REGION MISMATCH","OK")))))))</f>
        <v/>
      </c>
    </row>
    <row r="1343" customFormat="false" ht="15" hidden="false" customHeight="false" outlineLevel="0" collapsed="false">
      <c r="M1343" s="24" t="str">
        <f aca="false">IF($C1343="","",IFERROR(INDEX(Account_Mapping!$C:$C,MATCH($C1343&amp;"",Account_Mapping!$A:$A,0))&amp;"",""))</f>
        <v/>
      </c>
      <c r="N1343" s="24" t="str">
        <f aca="false">IF($K1343&lt;&gt;"",$K1343,$M1343)</f>
        <v/>
      </c>
      <c r="O1343" s="24" t="str">
        <f aca="false">IF($F1343="","",IFERROR(INDEX(Counterparties!$C:$C,MATCH($F1343&amp;"",Counterparties!$A:$A,0))&amp;"",""))</f>
        <v/>
      </c>
      <c r="P1343" s="24" t="str">
        <f aca="false">IF($O1343="","",IF($O1343="CY","CY",IF(ISNUMBER(MATCH($O1343,Lists!$A:$A,0)),"EU","3RD")))</f>
        <v/>
      </c>
      <c r="Q1343" s="24" t="str">
        <f aca="false">IF($F1343="","N",IFERROR(IF(INDEX(Counterparties!$E:$E,MATCH($F1343&amp;"",Counterparties!$A:$A,0))="Y","Y","N"),"N"))</f>
        <v>N</v>
      </c>
      <c r="R1343" s="25" t="n">
        <f aca="false">IF(OR($H1343="",$H1343="EUR"),1,IFERROR(INDEX(FX_Rates!$D:$D,MATCH($H1343,FX_Rates!$A:$A,0)),""))</f>
        <v>1</v>
      </c>
      <c r="S1343" s="26" t="str">
        <f aca="false">IF(AND($I1343="",$J1343=""),"",IF($J1343&lt;&gt;"",$J1343,IF(OR($R1343="",$R1343=0),"",ROUND($I1343/$R1343,2))))</f>
        <v/>
      </c>
      <c r="T1343" s="24" t="str">
        <f aca="false">IF($N1343="","",IFERROR(INDEX(VAT_Codes!$C:$C,MATCH($N1343,VAT_Codes!$A:$A,0)),"")&amp;"")</f>
        <v/>
      </c>
      <c r="U1343" s="26" t="n">
        <f aca="false">IF(OR($S1343="",$T1343="",$T1343="None"),0,IF($T1343="Output",-$S1343,$S1343))</f>
        <v>0</v>
      </c>
      <c r="V1343" s="27" t="n">
        <f aca="false">IF($N1343="",0,IFERROR(INDEX(VAT_Codes!$D:$D,MATCH($N1343,VAT_Codes!$A:$A,0)),0))</f>
        <v>0</v>
      </c>
      <c r="W1343" s="26" t="n">
        <f aca="false">IF($U1343=0,0,IF(IFERROR(INDEX(VAT_Codes!$F:$F,MATCH($N1343,VAT_Codes!$A:$A,0)),"N")="Y",$U1343,IF($L1343&lt;&gt;"",ROUND(ABS($L1343)/IF(OR($R1343="",$R1343=0),1,$R1343),2)*SIGN($U1343),ROUND($U1343*$V1343,2))))</f>
        <v>0</v>
      </c>
      <c r="X1343" s="24" t="str">
        <f aca="false">IF($N1343="","",IFERROR(INDEX(VAT_Codes!$H:$H,MATCH($N1343,VAT_Codes!$A:$A,0)),"")&amp;"")</f>
        <v/>
      </c>
      <c r="Y1343" s="24" t="str">
        <f aca="false">IF($A1343="","",(YEAR($A1343)-YEAR(Settings!$C$8))*12+MONTH($A1343)-MONTH(Settings!$C$8)+1)</f>
        <v/>
      </c>
      <c r="Z1343" s="24" t="str">
        <f aca="false">IF(AND($C1343="",$I1343="",$J1343=""),"",IF($N1343="","NO VAT CODE",IF($T1343="","UNKNOWN VAT CODE",IF($S1343="","MISSING FX RATE",IF(OR($A1343&lt;Settings!$C$8,$A1343&gt;Settings!$C$9),"OUTSIDE PERIOD",IF(AND(IFERROR(INDEX(VAT_Codes!$E:$E,MATCH($N1343,VAT_Codes!$A:$A,0)),"ANY")&lt;&gt;"ANY",$P1343=""),"MISSING COUNTERPARTY COUNTRY",IF(AND(IFERROR(INDEX(VAT_Codes!$E:$E,MATCH($N1343,VAT_Codes!$A:$A,0)),"ANY")&lt;&gt;"ANY",$P1343&lt;&gt;IFERROR(INDEX(VAT_Codes!$E:$E,MATCH($N1343,VAT_Codes!$A:$A,0)),"ANY")),"REGION MISMATCH","OK")))))))</f>
        <v/>
      </c>
    </row>
    <row r="1344" customFormat="false" ht="15" hidden="false" customHeight="false" outlineLevel="0" collapsed="false">
      <c r="M1344" s="24" t="str">
        <f aca="false">IF($C1344="","",IFERROR(INDEX(Account_Mapping!$C:$C,MATCH($C1344&amp;"",Account_Mapping!$A:$A,0))&amp;"",""))</f>
        <v/>
      </c>
      <c r="N1344" s="24" t="str">
        <f aca="false">IF($K1344&lt;&gt;"",$K1344,$M1344)</f>
        <v/>
      </c>
      <c r="O1344" s="24" t="str">
        <f aca="false">IF($F1344="","",IFERROR(INDEX(Counterparties!$C:$C,MATCH($F1344&amp;"",Counterparties!$A:$A,0))&amp;"",""))</f>
        <v/>
      </c>
      <c r="P1344" s="24" t="str">
        <f aca="false">IF($O1344="","",IF($O1344="CY","CY",IF(ISNUMBER(MATCH($O1344,Lists!$A:$A,0)),"EU","3RD")))</f>
        <v/>
      </c>
      <c r="Q1344" s="24" t="str">
        <f aca="false">IF($F1344="","N",IFERROR(IF(INDEX(Counterparties!$E:$E,MATCH($F1344&amp;"",Counterparties!$A:$A,0))="Y","Y","N"),"N"))</f>
        <v>N</v>
      </c>
      <c r="R1344" s="25" t="n">
        <f aca="false">IF(OR($H1344="",$H1344="EUR"),1,IFERROR(INDEX(FX_Rates!$D:$D,MATCH($H1344,FX_Rates!$A:$A,0)),""))</f>
        <v>1</v>
      </c>
      <c r="S1344" s="26" t="str">
        <f aca="false">IF(AND($I1344="",$J1344=""),"",IF($J1344&lt;&gt;"",$J1344,IF(OR($R1344="",$R1344=0),"",ROUND($I1344/$R1344,2))))</f>
        <v/>
      </c>
      <c r="T1344" s="24" t="str">
        <f aca="false">IF($N1344="","",IFERROR(INDEX(VAT_Codes!$C:$C,MATCH($N1344,VAT_Codes!$A:$A,0)),"")&amp;"")</f>
        <v/>
      </c>
      <c r="U1344" s="26" t="n">
        <f aca="false">IF(OR($S1344="",$T1344="",$T1344="None"),0,IF($T1344="Output",-$S1344,$S1344))</f>
        <v>0</v>
      </c>
      <c r="V1344" s="27" t="n">
        <f aca="false">IF($N1344="",0,IFERROR(INDEX(VAT_Codes!$D:$D,MATCH($N1344,VAT_Codes!$A:$A,0)),0))</f>
        <v>0</v>
      </c>
      <c r="W1344" s="26" t="n">
        <f aca="false">IF($U1344=0,0,IF(IFERROR(INDEX(VAT_Codes!$F:$F,MATCH($N1344,VAT_Codes!$A:$A,0)),"N")="Y",$U1344,IF($L1344&lt;&gt;"",ROUND(ABS($L1344)/IF(OR($R1344="",$R1344=0),1,$R1344),2)*SIGN($U1344),ROUND($U1344*$V1344,2))))</f>
        <v>0</v>
      </c>
      <c r="X1344" s="24" t="str">
        <f aca="false">IF($N1344="","",IFERROR(INDEX(VAT_Codes!$H:$H,MATCH($N1344,VAT_Codes!$A:$A,0)),"")&amp;"")</f>
        <v/>
      </c>
      <c r="Y1344" s="24" t="str">
        <f aca="false">IF($A1344="","",(YEAR($A1344)-YEAR(Settings!$C$8))*12+MONTH($A1344)-MONTH(Settings!$C$8)+1)</f>
        <v/>
      </c>
      <c r="Z1344" s="24" t="str">
        <f aca="false">IF(AND($C1344="",$I1344="",$J1344=""),"",IF($N1344="","NO VAT CODE",IF($T1344="","UNKNOWN VAT CODE",IF($S1344="","MISSING FX RATE",IF(OR($A1344&lt;Settings!$C$8,$A1344&gt;Settings!$C$9),"OUTSIDE PERIOD",IF(AND(IFERROR(INDEX(VAT_Codes!$E:$E,MATCH($N1344,VAT_Codes!$A:$A,0)),"ANY")&lt;&gt;"ANY",$P1344=""),"MISSING COUNTERPARTY COUNTRY",IF(AND(IFERROR(INDEX(VAT_Codes!$E:$E,MATCH($N1344,VAT_Codes!$A:$A,0)),"ANY")&lt;&gt;"ANY",$P1344&lt;&gt;IFERROR(INDEX(VAT_Codes!$E:$E,MATCH($N1344,VAT_Codes!$A:$A,0)),"ANY")),"REGION MISMATCH","OK")))))))</f>
        <v/>
      </c>
    </row>
    <row r="1345" customFormat="false" ht="15" hidden="false" customHeight="false" outlineLevel="0" collapsed="false">
      <c r="M1345" s="24" t="str">
        <f aca="false">IF($C1345="","",IFERROR(INDEX(Account_Mapping!$C:$C,MATCH($C1345&amp;"",Account_Mapping!$A:$A,0))&amp;"",""))</f>
        <v/>
      </c>
      <c r="N1345" s="24" t="str">
        <f aca="false">IF($K1345&lt;&gt;"",$K1345,$M1345)</f>
        <v/>
      </c>
      <c r="O1345" s="24" t="str">
        <f aca="false">IF($F1345="","",IFERROR(INDEX(Counterparties!$C:$C,MATCH($F1345&amp;"",Counterparties!$A:$A,0))&amp;"",""))</f>
        <v/>
      </c>
      <c r="P1345" s="24" t="str">
        <f aca="false">IF($O1345="","",IF($O1345="CY","CY",IF(ISNUMBER(MATCH($O1345,Lists!$A:$A,0)),"EU","3RD")))</f>
        <v/>
      </c>
      <c r="Q1345" s="24" t="str">
        <f aca="false">IF($F1345="","N",IFERROR(IF(INDEX(Counterparties!$E:$E,MATCH($F1345&amp;"",Counterparties!$A:$A,0))="Y","Y","N"),"N"))</f>
        <v>N</v>
      </c>
      <c r="R1345" s="25" t="n">
        <f aca="false">IF(OR($H1345="",$H1345="EUR"),1,IFERROR(INDEX(FX_Rates!$D:$D,MATCH($H1345,FX_Rates!$A:$A,0)),""))</f>
        <v>1</v>
      </c>
      <c r="S1345" s="26" t="str">
        <f aca="false">IF(AND($I1345="",$J1345=""),"",IF($J1345&lt;&gt;"",$J1345,IF(OR($R1345="",$R1345=0),"",ROUND($I1345/$R1345,2))))</f>
        <v/>
      </c>
      <c r="T1345" s="24" t="str">
        <f aca="false">IF($N1345="","",IFERROR(INDEX(VAT_Codes!$C:$C,MATCH($N1345,VAT_Codes!$A:$A,0)),"")&amp;"")</f>
        <v/>
      </c>
      <c r="U1345" s="26" t="n">
        <f aca="false">IF(OR($S1345="",$T1345="",$T1345="None"),0,IF($T1345="Output",-$S1345,$S1345))</f>
        <v>0</v>
      </c>
      <c r="V1345" s="27" t="n">
        <f aca="false">IF($N1345="",0,IFERROR(INDEX(VAT_Codes!$D:$D,MATCH($N1345,VAT_Codes!$A:$A,0)),0))</f>
        <v>0</v>
      </c>
      <c r="W1345" s="26" t="n">
        <f aca="false">IF($U1345=0,0,IF(IFERROR(INDEX(VAT_Codes!$F:$F,MATCH($N1345,VAT_Codes!$A:$A,0)),"N")="Y",$U1345,IF($L1345&lt;&gt;"",ROUND(ABS($L1345)/IF(OR($R1345="",$R1345=0),1,$R1345),2)*SIGN($U1345),ROUND($U1345*$V1345,2))))</f>
        <v>0</v>
      </c>
      <c r="X1345" s="24" t="str">
        <f aca="false">IF($N1345="","",IFERROR(INDEX(VAT_Codes!$H:$H,MATCH($N1345,VAT_Codes!$A:$A,0)),"")&amp;"")</f>
        <v/>
      </c>
      <c r="Y1345" s="24" t="str">
        <f aca="false">IF($A1345="","",(YEAR($A1345)-YEAR(Settings!$C$8))*12+MONTH($A1345)-MONTH(Settings!$C$8)+1)</f>
        <v/>
      </c>
      <c r="Z1345" s="24" t="str">
        <f aca="false">IF(AND($C1345="",$I1345="",$J1345=""),"",IF($N1345="","NO VAT CODE",IF($T1345="","UNKNOWN VAT CODE",IF($S1345="","MISSING FX RATE",IF(OR($A1345&lt;Settings!$C$8,$A1345&gt;Settings!$C$9),"OUTSIDE PERIOD",IF(AND(IFERROR(INDEX(VAT_Codes!$E:$E,MATCH($N1345,VAT_Codes!$A:$A,0)),"ANY")&lt;&gt;"ANY",$P1345=""),"MISSING COUNTERPARTY COUNTRY",IF(AND(IFERROR(INDEX(VAT_Codes!$E:$E,MATCH($N1345,VAT_Codes!$A:$A,0)),"ANY")&lt;&gt;"ANY",$P1345&lt;&gt;IFERROR(INDEX(VAT_Codes!$E:$E,MATCH($N1345,VAT_Codes!$A:$A,0)),"ANY")),"REGION MISMATCH","OK")))))))</f>
        <v/>
      </c>
    </row>
    <row r="1346" customFormat="false" ht="15" hidden="false" customHeight="false" outlineLevel="0" collapsed="false">
      <c r="M1346" s="24" t="str">
        <f aca="false">IF($C1346="","",IFERROR(INDEX(Account_Mapping!$C:$C,MATCH($C1346&amp;"",Account_Mapping!$A:$A,0))&amp;"",""))</f>
        <v/>
      </c>
      <c r="N1346" s="24" t="str">
        <f aca="false">IF($K1346&lt;&gt;"",$K1346,$M1346)</f>
        <v/>
      </c>
      <c r="O1346" s="24" t="str">
        <f aca="false">IF($F1346="","",IFERROR(INDEX(Counterparties!$C:$C,MATCH($F1346&amp;"",Counterparties!$A:$A,0))&amp;"",""))</f>
        <v/>
      </c>
      <c r="P1346" s="24" t="str">
        <f aca="false">IF($O1346="","",IF($O1346="CY","CY",IF(ISNUMBER(MATCH($O1346,Lists!$A:$A,0)),"EU","3RD")))</f>
        <v/>
      </c>
      <c r="Q1346" s="24" t="str">
        <f aca="false">IF($F1346="","N",IFERROR(IF(INDEX(Counterparties!$E:$E,MATCH($F1346&amp;"",Counterparties!$A:$A,0))="Y","Y","N"),"N"))</f>
        <v>N</v>
      </c>
      <c r="R1346" s="25" t="n">
        <f aca="false">IF(OR($H1346="",$H1346="EUR"),1,IFERROR(INDEX(FX_Rates!$D:$D,MATCH($H1346,FX_Rates!$A:$A,0)),""))</f>
        <v>1</v>
      </c>
      <c r="S1346" s="26" t="str">
        <f aca="false">IF(AND($I1346="",$J1346=""),"",IF($J1346&lt;&gt;"",$J1346,IF(OR($R1346="",$R1346=0),"",ROUND($I1346/$R1346,2))))</f>
        <v/>
      </c>
      <c r="T1346" s="24" t="str">
        <f aca="false">IF($N1346="","",IFERROR(INDEX(VAT_Codes!$C:$C,MATCH($N1346,VAT_Codes!$A:$A,0)),"")&amp;"")</f>
        <v/>
      </c>
      <c r="U1346" s="26" t="n">
        <f aca="false">IF(OR($S1346="",$T1346="",$T1346="None"),0,IF($T1346="Output",-$S1346,$S1346))</f>
        <v>0</v>
      </c>
      <c r="V1346" s="27" t="n">
        <f aca="false">IF($N1346="",0,IFERROR(INDEX(VAT_Codes!$D:$D,MATCH($N1346,VAT_Codes!$A:$A,0)),0))</f>
        <v>0</v>
      </c>
      <c r="W1346" s="26" t="n">
        <f aca="false">IF($U1346=0,0,IF(IFERROR(INDEX(VAT_Codes!$F:$F,MATCH($N1346,VAT_Codes!$A:$A,0)),"N")="Y",$U1346,IF($L1346&lt;&gt;"",ROUND(ABS($L1346)/IF(OR($R1346="",$R1346=0),1,$R1346),2)*SIGN($U1346),ROUND($U1346*$V1346,2))))</f>
        <v>0</v>
      </c>
      <c r="X1346" s="24" t="str">
        <f aca="false">IF($N1346="","",IFERROR(INDEX(VAT_Codes!$H:$H,MATCH($N1346,VAT_Codes!$A:$A,0)),"")&amp;"")</f>
        <v/>
      </c>
      <c r="Y1346" s="24" t="str">
        <f aca="false">IF($A1346="","",(YEAR($A1346)-YEAR(Settings!$C$8))*12+MONTH($A1346)-MONTH(Settings!$C$8)+1)</f>
        <v/>
      </c>
      <c r="Z1346" s="24" t="str">
        <f aca="false">IF(AND($C1346="",$I1346="",$J1346=""),"",IF($N1346="","NO VAT CODE",IF($T1346="","UNKNOWN VAT CODE",IF($S1346="","MISSING FX RATE",IF(OR($A1346&lt;Settings!$C$8,$A1346&gt;Settings!$C$9),"OUTSIDE PERIOD",IF(AND(IFERROR(INDEX(VAT_Codes!$E:$E,MATCH($N1346,VAT_Codes!$A:$A,0)),"ANY")&lt;&gt;"ANY",$P1346=""),"MISSING COUNTERPARTY COUNTRY",IF(AND(IFERROR(INDEX(VAT_Codes!$E:$E,MATCH($N1346,VAT_Codes!$A:$A,0)),"ANY")&lt;&gt;"ANY",$P1346&lt;&gt;IFERROR(INDEX(VAT_Codes!$E:$E,MATCH($N1346,VAT_Codes!$A:$A,0)),"ANY")),"REGION MISMATCH","OK")))))))</f>
        <v/>
      </c>
    </row>
    <row r="1347" customFormat="false" ht="15" hidden="false" customHeight="false" outlineLevel="0" collapsed="false">
      <c r="M1347" s="24" t="str">
        <f aca="false">IF($C1347="","",IFERROR(INDEX(Account_Mapping!$C:$C,MATCH($C1347&amp;"",Account_Mapping!$A:$A,0))&amp;"",""))</f>
        <v/>
      </c>
      <c r="N1347" s="24" t="str">
        <f aca="false">IF($K1347&lt;&gt;"",$K1347,$M1347)</f>
        <v/>
      </c>
      <c r="O1347" s="24" t="str">
        <f aca="false">IF($F1347="","",IFERROR(INDEX(Counterparties!$C:$C,MATCH($F1347&amp;"",Counterparties!$A:$A,0))&amp;"",""))</f>
        <v/>
      </c>
      <c r="P1347" s="24" t="str">
        <f aca="false">IF($O1347="","",IF($O1347="CY","CY",IF(ISNUMBER(MATCH($O1347,Lists!$A:$A,0)),"EU","3RD")))</f>
        <v/>
      </c>
      <c r="Q1347" s="24" t="str">
        <f aca="false">IF($F1347="","N",IFERROR(IF(INDEX(Counterparties!$E:$E,MATCH($F1347&amp;"",Counterparties!$A:$A,0))="Y","Y","N"),"N"))</f>
        <v>N</v>
      </c>
      <c r="R1347" s="25" t="n">
        <f aca="false">IF(OR($H1347="",$H1347="EUR"),1,IFERROR(INDEX(FX_Rates!$D:$D,MATCH($H1347,FX_Rates!$A:$A,0)),""))</f>
        <v>1</v>
      </c>
      <c r="S1347" s="26" t="str">
        <f aca="false">IF(AND($I1347="",$J1347=""),"",IF($J1347&lt;&gt;"",$J1347,IF(OR($R1347="",$R1347=0),"",ROUND($I1347/$R1347,2))))</f>
        <v/>
      </c>
      <c r="T1347" s="24" t="str">
        <f aca="false">IF($N1347="","",IFERROR(INDEX(VAT_Codes!$C:$C,MATCH($N1347,VAT_Codes!$A:$A,0)),"")&amp;"")</f>
        <v/>
      </c>
      <c r="U1347" s="26" t="n">
        <f aca="false">IF(OR($S1347="",$T1347="",$T1347="None"),0,IF($T1347="Output",-$S1347,$S1347))</f>
        <v>0</v>
      </c>
      <c r="V1347" s="27" t="n">
        <f aca="false">IF($N1347="",0,IFERROR(INDEX(VAT_Codes!$D:$D,MATCH($N1347,VAT_Codes!$A:$A,0)),0))</f>
        <v>0</v>
      </c>
      <c r="W1347" s="26" t="n">
        <f aca="false">IF($U1347=0,0,IF(IFERROR(INDEX(VAT_Codes!$F:$F,MATCH($N1347,VAT_Codes!$A:$A,0)),"N")="Y",$U1347,IF($L1347&lt;&gt;"",ROUND(ABS($L1347)/IF(OR($R1347="",$R1347=0),1,$R1347),2)*SIGN($U1347),ROUND($U1347*$V1347,2))))</f>
        <v>0</v>
      </c>
      <c r="X1347" s="24" t="str">
        <f aca="false">IF($N1347="","",IFERROR(INDEX(VAT_Codes!$H:$H,MATCH($N1347,VAT_Codes!$A:$A,0)),"")&amp;"")</f>
        <v/>
      </c>
      <c r="Y1347" s="24" t="str">
        <f aca="false">IF($A1347="","",(YEAR($A1347)-YEAR(Settings!$C$8))*12+MONTH($A1347)-MONTH(Settings!$C$8)+1)</f>
        <v/>
      </c>
      <c r="Z1347" s="24" t="str">
        <f aca="false">IF(AND($C1347="",$I1347="",$J1347=""),"",IF($N1347="","NO VAT CODE",IF($T1347="","UNKNOWN VAT CODE",IF($S1347="","MISSING FX RATE",IF(OR($A1347&lt;Settings!$C$8,$A1347&gt;Settings!$C$9),"OUTSIDE PERIOD",IF(AND(IFERROR(INDEX(VAT_Codes!$E:$E,MATCH($N1347,VAT_Codes!$A:$A,0)),"ANY")&lt;&gt;"ANY",$P1347=""),"MISSING COUNTERPARTY COUNTRY",IF(AND(IFERROR(INDEX(VAT_Codes!$E:$E,MATCH($N1347,VAT_Codes!$A:$A,0)),"ANY")&lt;&gt;"ANY",$P1347&lt;&gt;IFERROR(INDEX(VAT_Codes!$E:$E,MATCH($N1347,VAT_Codes!$A:$A,0)),"ANY")),"REGION MISMATCH","OK")))))))</f>
        <v/>
      </c>
    </row>
    <row r="1348" customFormat="false" ht="15" hidden="false" customHeight="false" outlineLevel="0" collapsed="false">
      <c r="M1348" s="24" t="str">
        <f aca="false">IF($C1348="","",IFERROR(INDEX(Account_Mapping!$C:$C,MATCH($C1348&amp;"",Account_Mapping!$A:$A,0))&amp;"",""))</f>
        <v/>
      </c>
      <c r="N1348" s="24" t="str">
        <f aca="false">IF($K1348&lt;&gt;"",$K1348,$M1348)</f>
        <v/>
      </c>
      <c r="O1348" s="24" t="str">
        <f aca="false">IF($F1348="","",IFERROR(INDEX(Counterparties!$C:$C,MATCH($F1348&amp;"",Counterparties!$A:$A,0))&amp;"",""))</f>
        <v/>
      </c>
      <c r="P1348" s="24" t="str">
        <f aca="false">IF($O1348="","",IF($O1348="CY","CY",IF(ISNUMBER(MATCH($O1348,Lists!$A:$A,0)),"EU","3RD")))</f>
        <v/>
      </c>
      <c r="Q1348" s="24" t="str">
        <f aca="false">IF($F1348="","N",IFERROR(IF(INDEX(Counterparties!$E:$E,MATCH($F1348&amp;"",Counterparties!$A:$A,0))="Y","Y","N"),"N"))</f>
        <v>N</v>
      </c>
      <c r="R1348" s="25" t="n">
        <f aca="false">IF(OR($H1348="",$H1348="EUR"),1,IFERROR(INDEX(FX_Rates!$D:$D,MATCH($H1348,FX_Rates!$A:$A,0)),""))</f>
        <v>1</v>
      </c>
      <c r="S1348" s="26" t="str">
        <f aca="false">IF(AND($I1348="",$J1348=""),"",IF($J1348&lt;&gt;"",$J1348,IF(OR($R1348="",$R1348=0),"",ROUND($I1348/$R1348,2))))</f>
        <v/>
      </c>
      <c r="T1348" s="24" t="str">
        <f aca="false">IF($N1348="","",IFERROR(INDEX(VAT_Codes!$C:$C,MATCH($N1348,VAT_Codes!$A:$A,0)),"")&amp;"")</f>
        <v/>
      </c>
      <c r="U1348" s="26" t="n">
        <f aca="false">IF(OR($S1348="",$T1348="",$T1348="None"),0,IF($T1348="Output",-$S1348,$S1348))</f>
        <v>0</v>
      </c>
      <c r="V1348" s="27" t="n">
        <f aca="false">IF($N1348="",0,IFERROR(INDEX(VAT_Codes!$D:$D,MATCH($N1348,VAT_Codes!$A:$A,0)),0))</f>
        <v>0</v>
      </c>
      <c r="W1348" s="26" t="n">
        <f aca="false">IF($U1348=0,0,IF(IFERROR(INDEX(VAT_Codes!$F:$F,MATCH($N1348,VAT_Codes!$A:$A,0)),"N")="Y",$U1348,IF($L1348&lt;&gt;"",ROUND(ABS($L1348)/IF(OR($R1348="",$R1348=0),1,$R1348),2)*SIGN($U1348),ROUND($U1348*$V1348,2))))</f>
        <v>0</v>
      </c>
      <c r="X1348" s="24" t="str">
        <f aca="false">IF($N1348="","",IFERROR(INDEX(VAT_Codes!$H:$H,MATCH($N1348,VAT_Codes!$A:$A,0)),"")&amp;"")</f>
        <v/>
      </c>
      <c r="Y1348" s="24" t="str">
        <f aca="false">IF($A1348="","",(YEAR($A1348)-YEAR(Settings!$C$8))*12+MONTH($A1348)-MONTH(Settings!$C$8)+1)</f>
        <v/>
      </c>
      <c r="Z1348" s="24" t="str">
        <f aca="false">IF(AND($C1348="",$I1348="",$J1348=""),"",IF($N1348="","NO VAT CODE",IF($T1348="","UNKNOWN VAT CODE",IF($S1348="","MISSING FX RATE",IF(OR($A1348&lt;Settings!$C$8,$A1348&gt;Settings!$C$9),"OUTSIDE PERIOD",IF(AND(IFERROR(INDEX(VAT_Codes!$E:$E,MATCH($N1348,VAT_Codes!$A:$A,0)),"ANY")&lt;&gt;"ANY",$P1348=""),"MISSING COUNTERPARTY COUNTRY",IF(AND(IFERROR(INDEX(VAT_Codes!$E:$E,MATCH($N1348,VAT_Codes!$A:$A,0)),"ANY")&lt;&gt;"ANY",$P1348&lt;&gt;IFERROR(INDEX(VAT_Codes!$E:$E,MATCH($N1348,VAT_Codes!$A:$A,0)),"ANY")),"REGION MISMATCH","OK")))))))</f>
        <v/>
      </c>
    </row>
    <row r="1349" customFormat="false" ht="15" hidden="false" customHeight="false" outlineLevel="0" collapsed="false">
      <c r="M1349" s="24" t="str">
        <f aca="false">IF($C1349="","",IFERROR(INDEX(Account_Mapping!$C:$C,MATCH($C1349&amp;"",Account_Mapping!$A:$A,0))&amp;"",""))</f>
        <v/>
      </c>
      <c r="N1349" s="24" t="str">
        <f aca="false">IF($K1349&lt;&gt;"",$K1349,$M1349)</f>
        <v/>
      </c>
      <c r="O1349" s="24" t="str">
        <f aca="false">IF($F1349="","",IFERROR(INDEX(Counterparties!$C:$C,MATCH($F1349&amp;"",Counterparties!$A:$A,0))&amp;"",""))</f>
        <v/>
      </c>
      <c r="P1349" s="24" t="str">
        <f aca="false">IF($O1349="","",IF($O1349="CY","CY",IF(ISNUMBER(MATCH($O1349,Lists!$A:$A,0)),"EU","3RD")))</f>
        <v/>
      </c>
      <c r="Q1349" s="24" t="str">
        <f aca="false">IF($F1349="","N",IFERROR(IF(INDEX(Counterparties!$E:$E,MATCH($F1349&amp;"",Counterparties!$A:$A,0))="Y","Y","N"),"N"))</f>
        <v>N</v>
      </c>
      <c r="R1349" s="25" t="n">
        <f aca="false">IF(OR($H1349="",$H1349="EUR"),1,IFERROR(INDEX(FX_Rates!$D:$D,MATCH($H1349,FX_Rates!$A:$A,0)),""))</f>
        <v>1</v>
      </c>
      <c r="S1349" s="26" t="str">
        <f aca="false">IF(AND($I1349="",$J1349=""),"",IF($J1349&lt;&gt;"",$J1349,IF(OR($R1349="",$R1349=0),"",ROUND($I1349/$R1349,2))))</f>
        <v/>
      </c>
      <c r="T1349" s="24" t="str">
        <f aca="false">IF($N1349="","",IFERROR(INDEX(VAT_Codes!$C:$C,MATCH($N1349,VAT_Codes!$A:$A,0)),"")&amp;"")</f>
        <v/>
      </c>
      <c r="U1349" s="26" t="n">
        <f aca="false">IF(OR($S1349="",$T1349="",$T1349="None"),0,IF($T1349="Output",-$S1349,$S1349))</f>
        <v>0</v>
      </c>
      <c r="V1349" s="27" t="n">
        <f aca="false">IF($N1349="",0,IFERROR(INDEX(VAT_Codes!$D:$D,MATCH($N1349,VAT_Codes!$A:$A,0)),0))</f>
        <v>0</v>
      </c>
      <c r="W1349" s="26" t="n">
        <f aca="false">IF($U1349=0,0,IF(IFERROR(INDEX(VAT_Codes!$F:$F,MATCH($N1349,VAT_Codes!$A:$A,0)),"N")="Y",$U1349,IF($L1349&lt;&gt;"",ROUND(ABS($L1349)/IF(OR($R1349="",$R1349=0),1,$R1349),2)*SIGN($U1349),ROUND($U1349*$V1349,2))))</f>
        <v>0</v>
      </c>
      <c r="X1349" s="24" t="str">
        <f aca="false">IF($N1349="","",IFERROR(INDEX(VAT_Codes!$H:$H,MATCH($N1349,VAT_Codes!$A:$A,0)),"")&amp;"")</f>
        <v/>
      </c>
      <c r="Y1349" s="24" t="str">
        <f aca="false">IF($A1349="","",(YEAR($A1349)-YEAR(Settings!$C$8))*12+MONTH($A1349)-MONTH(Settings!$C$8)+1)</f>
        <v/>
      </c>
      <c r="Z1349" s="24" t="str">
        <f aca="false">IF(AND($C1349="",$I1349="",$J1349=""),"",IF($N1349="","NO VAT CODE",IF($T1349="","UNKNOWN VAT CODE",IF($S1349="","MISSING FX RATE",IF(OR($A1349&lt;Settings!$C$8,$A1349&gt;Settings!$C$9),"OUTSIDE PERIOD",IF(AND(IFERROR(INDEX(VAT_Codes!$E:$E,MATCH($N1349,VAT_Codes!$A:$A,0)),"ANY")&lt;&gt;"ANY",$P1349=""),"MISSING COUNTERPARTY COUNTRY",IF(AND(IFERROR(INDEX(VAT_Codes!$E:$E,MATCH($N1349,VAT_Codes!$A:$A,0)),"ANY")&lt;&gt;"ANY",$P1349&lt;&gt;IFERROR(INDEX(VAT_Codes!$E:$E,MATCH($N1349,VAT_Codes!$A:$A,0)),"ANY")),"REGION MISMATCH","OK")))))))</f>
        <v/>
      </c>
    </row>
    <row r="1350" customFormat="false" ht="15" hidden="false" customHeight="false" outlineLevel="0" collapsed="false">
      <c r="M1350" s="24" t="str">
        <f aca="false">IF($C1350="","",IFERROR(INDEX(Account_Mapping!$C:$C,MATCH($C1350&amp;"",Account_Mapping!$A:$A,0))&amp;"",""))</f>
        <v/>
      </c>
      <c r="N1350" s="24" t="str">
        <f aca="false">IF($K1350&lt;&gt;"",$K1350,$M1350)</f>
        <v/>
      </c>
      <c r="O1350" s="24" t="str">
        <f aca="false">IF($F1350="","",IFERROR(INDEX(Counterparties!$C:$C,MATCH($F1350&amp;"",Counterparties!$A:$A,0))&amp;"",""))</f>
        <v/>
      </c>
      <c r="P1350" s="24" t="str">
        <f aca="false">IF($O1350="","",IF($O1350="CY","CY",IF(ISNUMBER(MATCH($O1350,Lists!$A:$A,0)),"EU","3RD")))</f>
        <v/>
      </c>
      <c r="Q1350" s="24" t="str">
        <f aca="false">IF($F1350="","N",IFERROR(IF(INDEX(Counterparties!$E:$E,MATCH($F1350&amp;"",Counterparties!$A:$A,0))="Y","Y","N"),"N"))</f>
        <v>N</v>
      </c>
      <c r="R1350" s="25" t="n">
        <f aca="false">IF(OR($H1350="",$H1350="EUR"),1,IFERROR(INDEX(FX_Rates!$D:$D,MATCH($H1350,FX_Rates!$A:$A,0)),""))</f>
        <v>1</v>
      </c>
      <c r="S1350" s="26" t="str">
        <f aca="false">IF(AND($I1350="",$J1350=""),"",IF($J1350&lt;&gt;"",$J1350,IF(OR($R1350="",$R1350=0),"",ROUND($I1350/$R1350,2))))</f>
        <v/>
      </c>
      <c r="T1350" s="24" t="str">
        <f aca="false">IF($N1350="","",IFERROR(INDEX(VAT_Codes!$C:$C,MATCH($N1350,VAT_Codes!$A:$A,0)),"")&amp;"")</f>
        <v/>
      </c>
      <c r="U1350" s="26" t="n">
        <f aca="false">IF(OR($S1350="",$T1350="",$T1350="None"),0,IF($T1350="Output",-$S1350,$S1350))</f>
        <v>0</v>
      </c>
      <c r="V1350" s="27" t="n">
        <f aca="false">IF($N1350="",0,IFERROR(INDEX(VAT_Codes!$D:$D,MATCH($N1350,VAT_Codes!$A:$A,0)),0))</f>
        <v>0</v>
      </c>
      <c r="W1350" s="26" t="n">
        <f aca="false">IF($U1350=0,0,IF(IFERROR(INDEX(VAT_Codes!$F:$F,MATCH($N1350,VAT_Codes!$A:$A,0)),"N")="Y",$U1350,IF($L1350&lt;&gt;"",ROUND(ABS($L1350)/IF(OR($R1350="",$R1350=0),1,$R1350),2)*SIGN($U1350),ROUND($U1350*$V1350,2))))</f>
        <v>0</v>
      </c>
      <c r="X1350" s="24" t="str">
        <f aca="false">IF($N1350="","",IFERROR(INDEX(VAT_Codes!$H:$H,MATCH($N1350,VAT_Codes!$A:$A,0)),"")&amp;"")</f>
        <v/>
      </c>
      <c r="Y1350" s="24" t="str">
        <f aca="false">IF($A1350="","",(YEAR($A1350)-YEAR(Settings!$C$8))*12+MONTH($A1350)-MONTH(Settings!$C$8)+1)</f>
        <v/>
      </c>
      <c r="Z1350" s="24" t="str">
        <f aca="false">IF(AND($C1350="",$I1350="",$J1350=""),"",IF($N1350="","NO VAT CODE",IF($T1350="","UNKNOWN VAT CODE",IF($S1350="","MISSING FX RATE",IF(OR($A1350&lt;Settings!$C$8,$A1350&gt;Settings!$C$9),"OUTSIDE PERIOD",IF(AND(IFERROR(INDEX(VAT_Codes!$E:$E,MATCH($N1350,VAT_Codes!$A:$A,0)),"ANY")&lt;&gt;"ANY",$P1350=""),"MISSING COUNTERPARTY COUNTRY",IF(AND(IFERROR(INDEX(VAT_Codes!$E:$E,MATCH($N1350,VAT_Codes!$A:$A,0)),"ANY")&lt;&gt;"ANY",$P1350&lt;&gt;IFERROR(INDEX(VAT_Codes!$E:$E,MATCH($N1350,VAT_Codes!$A:$A,0)),"ANY")),"REGION MISMATCH","OK")))))))</f>
        <v/>
      </c>
    </row>
    <row r="1351" customFormat="false" ht="15" hidden="false" customHeight="false" outlineLevel="0" collapsed="false">
      <c r="M1351" s="24" t="str">
        <f aca="false">IF($C1351="","",IFERROR(INDEX(Account_Mapping!$C:$C,MATCH($C1351&amp;"",Account_Mapping!$A:$A,0))&amp;"",""))</f>
        <v/>
      </c>
      <c r="N1351" s="24" t="str">
        <f aca="false">IF($K1351&lt;&gt;"",$K1351,$M1351)</f>
        <v/>
      </c>
      <c r="O1351" s="24" t="str">
        <f aca="false">IF($F1351="","",IFERROR(INDEX(Counterparties!$C:$C,MATCH($F1351&amp;"",Counterparties!$A:$A,0))&amp;"",""))</f>
        <v/>
      </c>
      <c r="P1351" s="24" t="str">
        <f aca="false">IF($O1351="","",IF($O1351="CY","CY",IF(ISNUMBER(MATCH($O1351,Lists!$A:$A,0)),"EU","3RD")))</f>
        <v/>
      </c>
      <c r="Q1351" s="24" t="str">
        <f aca="false">IF($F1351="","N",IFERROR(IF(INDEX(Counterparties!$E:$E,MATCH($F1351&amp;"",Counterparties!$A:$A,0))="Y","Y","N"),"N"))</f>
        <v>N</v>
      </c>
      <c r="R1351" s="25" t="n">
        <f aca="false">IF(OR($H1351="",$H1351="EUR"),1,IFERROR(INDEX(FX_Rates!$D:$D,MATCH($H1351,FX_Rates!$A:$A,0)),""))</f>
        <v>1</v>
      </c>
      <c r="S1351" s="26" t="str">
        <f aca="false">IF(AND($I1351="",$J1351=""),"",IF($J1351&lt;&gt;"",$J1351,IF(OR($R1351="",$R1351=0),"",ROUND($I1351/$R1351,2))))</f>
        <v/>
      </c>
      <c r="T1351" s="24" t="str">
        <f aca="false">IF($N1351="","",IFERROR(INDEX(VAT_Codes!$C:$C,MATCH($N1351,VAT_Codes!$A:$A,0)),"")&amp;"")</f>
        <v/>
      </c>
      <c r="U1351" s="26" t="n">
        <f aca="false">IF(OR($S1351="",$T1351="",$T1351="None"),0,IF($T1351="Output",-$S1351,$S1351))</f>
        <v>0</v>
      </c>
      <c r="V1351" s="27" t="n">
        <f aca="false">IF($N1351="",0,IFERROR(INDEX(VAT_Codes!$D:$D,MATCH($N1351,VAT_Codes!$A:$A,0)),0))</f>
        <v>0</v>
      </c>
      <c r="W1351" s="26" t="n">
        <f aca="false">IF($U1351=0,0,IF(IFERROR(INDEX(VAT_Codes!$F:$F,MATCH($N1351,VAT_Codes!$A:$A,0)),"N")="Y",$U1351,IF($L1351&lt;&gt;"",ROUND(ABS($L1351)/IF(OR($R1351="",$R1351=0),1,$R1351),2)*SIGN($U1351),ROUND($U1351*$V1351,2))))</f>
        <v>0</v>
      </c>
      <c r="X1351" s="24" t="str">
        <f aca="false">IF($N1351="","",IFERROR(INDEX(VAT_Codes!$H:$H,MATCH($N1351,VAT_Codes!$A:$A,0)),"")&amp;"")</f>
        <v/>
      </c>
      <c r="Y1351" s="24" t="str">
        <f aca="false">IF($A1351="","",(YEAR($A1351)-YEAR(Settings!$C$8))*12+MONTH($A1351)-MONTH(Settings!$C$8)+1)</f>
        <v/>
      </c>
      <c r="Z1351" s="24" t="str">
        <f aca="false">IF(AND($C1351="",$I1351="",$J1351=""),"",IF($N1351="","NO VAT CODE",IF($T1351="","UNKNOWN VAT CODE",IF($S1351="","MISSING FX RATE",IF(OR($A1351&lt;Settings!$C$8,$A1351&gt;Settings!$C$9),"OUTSIDE PERIOD",IF(AND(IFERROR(INDEX(VAT_Codes!$E:$E,MATCH($N1351,VAT_Codes!$A:$A,0)),"ANY")&lt;&gt;"ANY",$P1351=""),"MISSING COUNTERPARTY COUNTRY",IF(AND(IFERROR(INDEX(VAT_Codes!$E:$E,MATCH($N1351,VAT_Codes!$A:$A,0)),"ANY")&lt;&gt;"ANY",$P1351&lt;&gt;IFERROR(INDEX(VAT_Codes!$E:$E,MATCH($N1351,VAT_Codes!$A:$A,0)),"ANY")),"REGION MISMATCH","OK")))))))</f>
        <v/>
      </c>
    </row>
    <row r="1352" customFormat="false" ht="15" hidden="false" customHeight="false" outlineLevel="0" collapsed="false">
      <c r="M1352" s="24" t="str">
        <f aca="false">IF($C1352="","",IFERROR(INDEX(Account_Mapping!$C:$C,MATCH($C1352&amp;"",Account_Mapping!$A:$A,0))&amp;"",""))</f>
        <v/>
      </c>
      <c r="N1352" s="24" t="str">
        <f aca="false">IF($K1352&lt;&gt;"",$K1352,$M1352)</f>
        <v/>
      </c>
      <c r="O1352" s="24" t="str">
        <f aca="false">IF($F1352="","",IFERROR(INDEX(Counterparties!$C:$C,MATCH($F1352&amp;"",Counterparties!$A:$A,0))&amp;"",""))</f>
        <v/>
      </c>
      <c r="P1352" s="24" t="str">
        <f aca="false">IF($O1352="","",IF($O1352="CY","CY",IF(ISNUMBER(MATCH($O1352,Lists!$A:$A,0)),"EU","3RD")))</f>
        <v/>
      </c>
      <c r="Q1352" s="24" t="str">
        <f aca="false">IF($F1352="","N",IFERROR(IF(INDEX(Counterparties!$E:$E,MATCH($F1352&amp;"",Counterparties!$A:$A,0))="Y","Y","N"),"N"))</f>
        <v>N</v>
      </c>
      <c r="R1352" s="25" t="n">
        <f aca="false">IF(OR($H1352="",$H1352="EUR"),1,IFERROR(INDEX(FX_Rates!$D:$D,MATCH($H1352,FX_Rates!$A:$A,0)),""))</f>
        <v>1</v>
      </c>
      <c r="S1352" s="26" t="str">
        <f aca="false">IF(AND($I1352="",$J1352=""),"",IF($J1352&lt;&gt;"",$J1352,IF(OR($R1352="",$R1352=0),"",ROUND($I1352/$R1352,2))))</f>
        <v/>
      </c>
      <c r="T1352" s="24" t="str">
        <f aca="false">IF($N1352="","",IFERROR(INDEX(VAT_Codes!$C:$C,MATCH($N1352,VAT_Codes!$A:$A,0)),"")&amp;"")</f>
        <v/>
      </c>
      <c r="U1352" s="26" t="n">
        <f aca="false">IF(OR($S1352="",$T1352="",$T1352="None"),0,IF($T1352="Output",-$S1352,$S1352))</f>
        <v>0</v>
      </c>
      <c r="V1352" s="27" t="n">
        <f aca="false">IF($N1352="",0,IFERROR(INDEX(VAT_Codes!$D:$D,MATCH($N1352,VAT_Codes!$A:$A,0)),0))</f>
        <v>0</v>
      </c>
      <c r="W1352" s="26" t="n">
        <f aca="false">IF($U1352=0,0,IF(IFERROR(INDEX(VAT_Codes!$F:$F,MATCH($N1352,VAT_Codes!$A:$A,0)),"N")="Y",$U1352,IF($L1352&lt;&gt;"",ROUND(ABS($L1352)/IF(OR($R1352="",$R1352=0),1,$R1352),2)*SIGN($U1352),ROUND($U1352*$V1352,2))))</f>
        <v>0</v>
      </c>
      <c r="X1352" s="24" t="str">
        <f aca="false">IF($N1352="","",IFERROR(INDEX(VAT_Codes!$H:$H,MATCH($N1352,VAT_Codes!$A:$A,0)),"")&amp;"")</f>
        <v/>
      </c>
      <c r="Y1352" s="24" t="str">
        <f aca="false">IF($A1352="","",(YEAR($A1352)-YEAR(Settings!$C$8))*12+MONTH($A1352)-MONTH(Settings!$C$8)+1)</f>
        <v/>
      </c>
      <c r="Z1352" s="24" t="str">
        <f aca="false">IF(AND($C1352="",$I1352="",$J1352=""),"",IF($N1352="","NO VAT CODE",IF($T1352="","UNKNOWN VAT CODE",IF($S1352="","MISSING FX RATE",IF(OR($A1352&lt;Settings!$C$8,$A1352&gt;Settings!$C$9),"OUTSIDE PERIOD",IF(AND(IFERROR(INDEX(VAT_Codes!$E:$E,MATCH($N1352,VAT_Codes!$A:$A,0)),"ANY")&lt;&gt;"ANY",$P1352=""),"MISSING COUNTERPARTY COUNTRY",IF(AND(IFERROR(INDEX(VAT_Codes!$E:$E,MATCH($N1352,VAT_Codes!$A:$A,0)),"ANY")&lt;&gt;"ANY",$P1352&lt;&gt;IFERROR(INDEX(VAT_Codes!$E:$E,MATCH($N1352,VAT_Codes!$A:$A,0)),"ANY")),"REGION MISMATCH","OK")))))))</f>
        <v/>
      </c>
    </row>
    <row r="1353" customFormat="false" ht="15" hidden="false" customHeight="false" outlineLevel="0" collapsed="false">
      <c r="M1353" s="24" t="str">
        <f aca="false">IF($C1353="","",IFERROR(INDEX(Account_Mapping!$C:$C,MATCH($C1353&amp;"",Account_Mapping!$A:$A,0))&amp;"",""))</f>
        <v/>
      </c>
      <c r="N1353" s="24" t="str">
        <f aca="false">IF($K1353&lt;&gt;"",$K1353,$M1353)</f>
        <v/>
      </c>
      <c r="O1353" s="24" t="str">
        <f aca="false">IF($F1353="","",IFERROR(INDEX(Counterparties!$C:$C,MATCH($F1353&amp;"",Counterparties!$A:$A,0))&amp;"",""))</f>
        <v/>
      </c>
      <c r="P1353" s="24" t="str">
        <f aca="false">IF($O1353="","",IF($O1353="CY","CY",IF(ISNUMBER(MATCH($O1353,Lists!$A:$A,0)),"EU","3RD")))</f>
        <v/>
      </c>
      <c r="Q1353" s="24" t="str">
        <f aca="false">IF($F1353="","N",IFERROR(IF(INDEX(Counterparties!$E:$E,MATCH($F1353&amp;"",Counterparties!$A:$A,0))="Y","Y","N"),"N"))</f>
        <v>N</v>
      </c>
      <c r="R1353" s="25" t="n">
        <f aca="false">IF(OR($H1353="",$H1353="EUR"),1,IFERROR(INDEX(FX_Rates!$D:$D,MATCH($H1353,FX_Rates!$A:$A,0)),""))</f>
        <v>1</v>
      </c>
      <c r="S1353" s="26" t="str">
        <f aca="false">IF(AND($I1353="",$J1353=""),"",IF($J1353&lt;&gt;"",$J1353,IF(OR($R1353="",$R1353=0),"",ROUND($I1353/$R1353,2))))</f>
        <v/>
      </c>
      <c r="T1353" s="24" t="str">
        <f aca="false">IF($N1353="","",IFERROR(INDEX(VAT_Codes!$C:$C,MATCH($N1353,VAT_Codes!$A:$A,0)),"")&amp;"")</f>
        <v/>
      </c>
      <c r="U1353" s="26" t="n">
        <f aca="false">IF(OR($S1353="",$T1353="",$T1353="None"),0,IF($T1353="Output",-$S1353,$S1353))</f>
        <v>0</v>
      </c>
      <c r="V1353" s="27" t="n">
        <f aca="false">IF($N1353="",0,IFERROR(INDEX(VAT_Codes!$D:$D,MATCH($N1353,VAT_Codes!$A:$A,0)),0))</f>
        <v>0</v>
      </c>
      <c r="W1353" s="26" t="n">
        <f aca="false">IF($U1353=0,0,IF(IFERROR(INDEX(VAT_Codes!$F:$F,MATCH($N1353,VAT_Codes!$A:$A,0)),"N")="Y",$U1353,IF($L1353&lt;&gt;"",ROUND(ABS($L1353)/IF(OR($R1353="",$R1353=0),1,$R1353),2)*SIGN($U1353),ROUND($U1353*$V1353,2))))</f>
        <v>0</v>
      </c>
      <c r="X1353" s="24" t="str">
        <f aca="false">IF($N1353="","",IFERROR(INDEX(VAT_Codes!$H:$H,MATCH($N1353,VAT_Codes!$A:$A,0)),"")&amp;"")</f>
        <v/>
      </c>
      <c r="Y1353" s="24" t="str">
        <f aca="false">IF($A1353="","",(YEAR($A1353)-YEAR(Settings!$C$8))*12+MONTH($A1353)-MONTH(Settings!$C$8)+1)</f>
        <v/>
      </c>
      <c r="Z1353" s="24" t="str">
        <f aca="false">IF(AND($C1353="",$I1353="",$J1353=""),"",IF($N1353="","NO VAT CODE",IF($T1353="","UNKNOWN VAT CODE",IF($S1353="","MISSING FX RATE",IF(OR($A1353&lt;Settings!$C$8,$A1353&gt;Settings!$C$9),"OUTSIDE PERIOD",IF(AND(IFERROR(INDEX(VAT_Codes!$E:$E,MATCH($N1353,VAT_Codes!$A:$A,0)),"ANY")&lt;&gt;"ANY",$P1353=""),"MISSING COUNTERPARTY COUNTRY",IF(AND(IFERROR(INDEX(VAT_Codes!$E:$E,MATCH($N1353,VAT_Codes!$A:$A,0)),"ANY")&lt;&gt;"ANY",$P1353&lt;&gt;IFERROR(INDEX(VAT_Codes!$E:$E,MATCH($N1353,VAT_Codes!$A:$A,0)),"ANY")),"REGION MISMATCH","OK")))))))</f>
        <v/>
      </c>
    </row>
    <row r="1354" customFormat="false" ht="15" hidden="false" customHeight="false" outlineLevel="0" collapsed="false">
      <c r="M1354" s="24" t="str">
        <f aca="false">IF($C1354="","",IFERROR(INDEX(Account_Mapping!$C:$C,MATCH($C1354&amp;"",Account_Mapping!$A:$A,0))&amp;"",""))</f>
        <v/>
      </c>
      <c r="N1354" s="24" t="str">
        <f aca="false">IF($K1354&lt;&gt;"",$K1354,$M1354)</f>
        <v/>
      </c>
      <c r="O1354" s="24" t="str">
        <f aca="false">IF($F1354="","",IFERROR(INDEX(Counterparties!$C:$C,MATCH($F1354&amp;"",Counterparties!$A:$A,0))&amp;"",""))</f>
        <v/>
      </c>
      <c r="P1354" s="24" t="str">
        <f aca="false">IF($O1354="","",IF($O1354="CY","CY",IF(ISNUMBER(MATCH($O1354,Lists!$A:$A,0)),"EU","3RD")))</f>
        <v/>
      </c>
      <c r="Q1354" s="24" t="str">
        <f aca="false">IF($F1354="","N",IFERROR(IF(INDEX(Counterparties!$E:$E,MATCH($F1354&amp;"",Counterparties!$A:$A,0))="Y","Y","N"),"N"))</f>
        <v>N</v>
      </c>
      <c r="R1354" s="25" t="n">
        <f aca="false">IF(OR($H1354="",$H1354="EUR"),1,IFERROR(INDEX(FX_Rates!$D:$D,MATCH($H1354,FX_Rates!$A:$A,0)),""))</f>
        <v>1</v>
      </c>
      <c r="S1354" s="26" t="str">
        <f aca="false">IF(AND($I1354="",$J1354=""),"",IF($J1354&lt;&gt;"",$J1354,IF(OR($R1354="",$R1354=0),"",ROUND($I1354/$R1354,2))))</f>
        <v/>
      </c>
      <c r="T1354" s="24" t="str">
        <f aca="false">IF($N1354="","",IFERROR(INDEX(VAT_Codes!$C:$C,MATCH($N1354,VAT_Codes!$A:$A,0)),"")&amp;"")</f>
        <v/>
      </c>
      <c r="U1354" s="26" t="n">
        <f aca="false">IF(OR($S1354="",$T1354="",$T1354="None"),0,IF($T1354="Output",-$S1354,$S1354))</f>
        <v>0</v>
      </c>
      <c r="V1354" s="27" t="n">
        <f aca="false">IF($N1354="",0,IFERROR(INDEX(VAT_Codes!$D:$D,MATCH($N1354,VAT_Codes!$A:$A,0)),0))</f>
        <v>0</v>
      </c>
      <c r="W1354" s="26" t="n">
        <f aca="false">IF($U1354=0,0,IF(IFERROR(INDEX(VAT_Codes!$F:$F,MATCH($N1354,VAT_Codes!$A:$A,0)),"N")="Y",$U1354,IF($L1354&lt;&gt;"",ROUND(ABS($L1354)/IF(OR($R1354="",$R1354=0),1,$R1354),2)*SIGN($U1354),ROUND($U1354*$V1354,2))))</f>
        <v>0</v>
      </c>
      <c r="X1354" s="24" t="str">
        <f aca="false">IF($N1354="","",IFERROR(INDEX(VAT_Codes!$H:$H,MATCH($N1354,VAT_Codes!$A:$A,0)),"")&amp;"")</f>
        <v/>
      </c>
      <c r="Y1354" s="24" t="str">
        <f aca="false">IF($A1354="","",(YEAR($A1354)-YEAR(Settings!$C$8))*12+MONTH($A1354)-MONTH(Settings!$C$8)+1)</f>
        <v/>
      </c>
      <c r="Z1354" s="24" t="str">
        <f aca="false">IF(AND($C1354="",$I1354="",$J1354=""),"",IF($N1354="","NO VAT CODE",IF($T1354="","UNKNOWN VAT CODE",IF($S1354="","MISSING FX RATE",IF(OR($A1354&lt;Settings!$C$8,$A1354&gt;Settings!$C$9),"OUTSIDE PERIOD",IF(AND(IFERROR(INDEX(VAT_Codes!$E:$E,MATCH($N1354,VAT_Codes!$A:$A,0)),"ANY")&lt;&gt;"ANY",$P1354=""),"MISSING COUNTERPARTY COUNTRY",IF(AND(IFERROR(INDEX(VAT_Codes!$E:$E,MATCH($N1354,VAT_Codes!$A:$A,0)),"ANY")&lt;&gt;"ANY",$P1354&lt;&gt;IFERROR(INDEX(VAT_Codes!$E:$E,MATCH($N1354,VAT_Codes!$A:$A,0)),"ANY")),"REGION MISMATCH","OK")))))))</f>
        <v/>
      </c>
    </row>
    <row r="1355" customFormat="false" ht="15" hidden="false" customHeight="false" outlineLevel="0" collapsed="false">
      <c r="M1355" s="24" t="str">
        <f aca="false">IF($C1355="","",IFERROR(INDEX(Account_Mapping!$C:$C,MATCH($C1355&amp;"",Account_Mapping!$A:$A,0))&amp;"",""))</f>
        <v/>
      </c>
      <c r="N1355" s="24" t="str">
        <f aca="false">IF($K1355&lt;&gt;"",$K1355,$M1355)</f>
        <v/>
      </c>
      <c r="O1355" s="24" t="str">
        <f aca="false">IF($F1355="","",IFERROR(INDEX(Counterparties!$C:$C,MATCH($F1355&amp;"",Counterparties!$A:$A,0))&amp;"",""))</f>
        <v/>
      </c>
      <c r="P1355" s="24" t="str">
        <f aca="false">IF($O1355="","",IF($O1355="CY","CY",IF(ISNUMBER(MATCH($O1355,Lists!$A:$A,0)),"EU","3RD")))</f>
        <v/>
      </c>
      <c r="Q1355" s="24" t="str">
        <f aca="false">IF($F1355="","N",IFERROR(IF(INDEX(Counterparties!$E:$E,MATCH($F1355&amp;"",Counterparties!$A:$A,0))="Y","Y","N"),"N"))</f>
        <v>N</v>
      </c>
      <c r="R1355" s="25" t="n">
        <f aca="false">IF(OR($H1355="",$H1355="EUR"),1,IFERROR(INDEX(FX_Rates!$D:$D,MATCH($H1355,FX_Rates!$A:$A,0)),""))</f>
        <v>1</v>
      </c>
      <c r="S1355" s="26" t="str">
        <f aca="false">IF(AND($I1355="",$J1355=""),"",IF($J1355&lt;&gt;"",$J1355,IF(OR($R1355="",$R1355=0),"",ROUND($I1355/$R1355,2))))</f>
        <v/>
      </c>
      <c r="T1355" s="24" t="str">
        <f aca="false">IF($N1355="","",IFERROR(INDEX(VAT_Codes!$C:$C,MATCH($N1355,VAT_Codes!$A:$A,0)),"")&amp;"")</f>
        <v/>
      </c>
      <c r="U1355" s="26" t="n">
        <f aca="false">IF(OR($S1355="",$T1355="",$T1355="None"),0,IF($T1355="Output",-$S1355,$S1355))</f>
        <v>0</v>
      </c>
      <c r="V1355" s="27" t="n">
        <f aca="false">IF($N1355="",0,IFERROR(INDEX(VAT_Codes!$D:$D,MATCH($N1355,VAT_Codes!$A:$A,0)),0))</f>
        <v>0</v>
      </c>
      <c r="W1355" s="26" t="n">
        <f aca="false">IF($U1355=0,0,IF(IFERROR(INDEX(VAT_Codes!$F:$F,MATCH($N1355,VAT_Codes!$A:$A,0)),"N")="Y",$U1355,IF($L1355&lt;&gt;"",ROUND(ABS($L1355)/IF(OR($R1355="",$R1355=0),1,$R1355),2)*SIGN($U1355),ROUND($U1355*$V1355,2))))</f>
        <v>0</v>
      </c>
      <c r="X1355" s="24" t="str">
        <f aca="false">IF($N1355="","",IFERROR(INDEX(VAT_Codes!$H:$H,MATCH($N1355,VAT_Codes!$A:$A,0)),"")&amp;"")</f>
        <v/>
      </c>
      <c r="Y1355" s="24" t="str">
        <f aca="false">IF($A1355="","",(YEAR($A1355)-YEAR(Settings!$C$8))*12+MONTH($A1355)-MONTH(Settings!$C$8)+1)</f>
        <v/>
      </c>
      <c r="Z1355" s="24" t="str">
        <f aca="false">IF(AND($C1355="",$I1355="",$J1355=""),"",IF($N1355="","NO VAT CODE",IF($T1355="","UNKNOWN VAT CODE",IF($S1355="","MISSING FX RATE",IF(OR($A1355&lt;Settings!$C$8,$A1355&gt;Settings!$C$9),"OUTSIDE PERIOD",IF(AND(IFERROR(INDEX(VAT_Codes!$E:$E,MATCH($N1355,VAT_Codes!$A:$A,0)),"ANY")&lt;&gt;"ANY",$P1355=""),"MISSING COUNTERPARTY COUNTRY",IF(AND(IFERROR(INDEX(VAT_Codes!$E:$E,MATCH($N1355,VAT_Codes!$A:$A,0)),"ANY")&lt;&gt;"ANY",$P1355&lt;&gt;IFERROR(INDEX(VAT_Codes!$E:$E,MATCH($N1355,VAT_Codes!$A:$A,0)),"ANY")),"REGION MISMATCH","OK")))))))</f>
        <v/>
      </c>
    </row>
    <row r="1356" customFormat="false" ht="15" hidden="false" customHeight="false" outlineLevel="0" collapsed="false">
      <c r="M1356" s="24" t="str">
        <f aca="false">IF($C1356="","",IFERROR(INDEX(Account_Mapping!$C:$C,MATCH($C1356&amp;"",Account_Mapping!$A:$A,0))&amp;"",""))</f>
        <v/>
      </c>
      <c r="N1356" s="24" t="str">
        <f aca="false">IF($K1356&lt;&gt;"",$K1356,$M1356)</f>
        <v/>
      </c>
      <c r="O1356" s="24" t="str">
        <f aca="false">IF($F1356="","",IFERROR(INDEX(Counterparties!$C:$C,MATCH($F1356&amp;"",Counterparties!$A:$A,0))&amp;"",""))</f>
        <v/>
      </c>
      <c r="P1356" s="24" t="str">
        <f aca="false">IF($O1356="","",IF($O1356="CY","CY",IF(ISNUMBER(MATCH($O1356,Lists!$A:$A,0)),"EU","3RD")))</f>
        <v/>
      </c>
      <c r="Q1356" s="24" t="str">
        <f aca="false">IF($F1356="","N",IFERROR(IF(INDEX(Counterparties!$E:$E,MATCH($F1356&amp;"",Counterparties!$A:$A,0))="Y","Y","N"),"N"))</f>
        <v>N</v>
      </c>
      <c r="R1356" s="25" t="n">
        <f aca="false">IF(OR($H1356="",$H1356="EUR"),1,IFERROR(INDEX(FX_Rates!$D:$D,MATCH($H1356,FX_Rates!$A:$A,0)),""))</f>
        <v>1</v>
      </c>
      <c r="S1356" s="26" t="str">
        <f aca="false">IF(AND($I1356="",$J1356=""),"",IF($J1356&lt;&gt;"",$J1356,IF(OR($R1356="",$R1356=0),"",ROUND($I1356/$R1356,2))))</f>
        <v/>
      </c>
      <c r="T1356" s="24" t="str">
        <f aca="false">IF($N1356="","",IFERROR(INDEX(VAT_Codes!$C:$C,MATCH($N1356,VAT_Codes!$A:$A,0)),"")&amp;"")</f>
        <v/>
      </c>
      <c r="U1356" s="26" t="n">
        <f aca="false">IF(OR($S1356="",$T1356="",$T1356="None"),0,IF($T1356="Output",-$S1356,$S1356))</f>
        <v>0</v>
      </c>
      <c r="V1356" s="27" t="n">
        <f aca="false">IF($N1356="",0,IFERROR(INDEX(VAT_Codes!$D:$D,MATCH($N1356,VAT_Codes!$A:$A,0)),0))</f>
        <v>0</v>
      </c>
      <c r="W1356" s="26" t="n">
        <f aca="false">IF($U1356=0,0,IF(IFERROR(INDEX(VAT_Codes!$F:$F,MATCH($N1356,VAT_Codes!$A:$A,0)),"N")="Y",$U1356,IF($L1356&lt;&gt;"",ROUND(ABS($L1356)/IF(OR($R1356="",$R1356=0),1,$R1356),2)*SIGN($U1356),ROUND($U1356*$V1356,2))))</f>
        <v>0</v>
      </c>
      <c r="X1356" s="24" t="str">
        <f aca="false">IF($N1356="","",IFERROR(INDEX(VAT_Codes!$H:$H,MATCH($N1356,VAT_Codes!$A:$A,0)),"")&amp;"")</f>
        <v/>
      </c>
      <c r="Y1356" s="24" t="str">
        <f aca="false">IF($A1356="","",(YEAR($A1356)-YEAR(Settings!$C$8))*12+MONTH($A1356)-MONTH(Settings!$C$8)+1)</f>
        <v/>
      </c>
      <c r="Z1356" s="24" t="str">
        <f aca="false">IF(AND($C1356="",$I1356="",$J1356=""),"",IF($N1356="","NO VAT CODE",IF($T1356="","UNKNOWN VAT CODE",IF($S1356="","MISSING FX RATE",IF(OR($A1356&lt;Settings!$C$8,$A1356&gt;Settings!$C$9),"OUTSIDE PERIOD",IF(AND(IFERROR(INDEX(VAT_Codes!$E:$E,MATCH($N1356,VAT_Codes!$A:$A,0)),"ANY")&lt;&gt;"ANY",$P1356=""),"MISSING COUNTERPARTY COUNTRY",IF(AND(IFERROR(INDEX(VAT_Codes!$E:$E,MATCH($N1356,VAT_Codes!$A:$A,0)),"ANY")&lt;&gt;"ANY",$P1356&lt;&gt;IFERROR(INDEX(VAT_Codes!$E:$E,MATCH($N1356,VAT_Codes!$A:$A,0)),"ANY")),"REGION MISMATCH","OK")))))))</f>
        <v/>
      </c>
    </row>
    <row r="1357" customFormat="false" ht="15" hidden="false" customHeight="false" outlineLevel="0" collapsed="false">
      <c r="M1357" s="24" t="str">
        <f aca="false">IF($C1357="","",IFERROR(INDEX(Account_Mapping!$C:$C,MATCH($C1357&amp;"",Account_Mapping!$A:$A,0))&amp;"",""))</f>
        <v/>
      </c>
      <c r="N1357" s="24" t="str">
        <f aca="false">IF($K1357&lt;&gt;"",$K1357,$M1357)</f>
        <v/>
      </c>
      <c r="O1357" s="24" t="str">
        <f aca="false">IF($F1357="","",IFERROR(INDEX(Counterparties!$C:$C,MATCH($F1357&amp;"",Counterparties!$A:$A,0))&amp;"",""))</f>
        <v/>
      </c>
      <c r="P1357" s="24" t="str">
        <f aca="false">IF($O1357="","",IF($O1357="CY","CY",IF(ISNUMBER(MATCH($O1357,Lists!$A:$A,0)),"EU","3RD")))</f>
        <v/>
      </c>
      <c r="Q1357" s="24" t="str">
        <f aca="false">IF($F1357="","N",IFERROR(IF(INDEX(Counterparties!$E:$E,MATCH($F1357&amp;"",Counterparties!$A:$A,0))="Y","Y","N"),"N"))</f>
        <v>N</v>
      </c>
      <c r="R1357" s="25" t="n">
        <f aca="false">IF(OR($H1357="",$H1357="EUR"),1,IFERROR(INDEX(FX_Rates!$D:$D,MATCH($H1357,FX_Rates!$A:$A,0)),""))</f>
        <v>1</v>
      </c>
      <c r="S1357" s="26" t="str">
        <f aca="false">IF(AND($I1357="",$J1357=""),"",IF($J1357&lt;&gt;"",$J1357,IF(OR($R1357="",$R1357=0),"",ROUND($I1357/$R1357,2))))</f>
        <v/>
      </c>
      <c r="T1357" s="24" t="str">
        <f aca="false">IF($N1357="","",IFERROR(INDEX(VAT_Codes!$C:$C,MATCH($N1357,VAT_Codes!$A:$A,0)),"")&amp;"")</f>
        <v/>
      </c>
      <c r="U1357" s="26" t="n">
        <f aca="false">IF(OR($S1357="",$T1357="",$T1357="None"),0,IF($T1357="Output",-$S1357,$S1357))</f>
        <v>0</v>
      </c>
      <c r="V1357" s="27" t="n">
        <f aca="false">IF($N1357="",0,IFERROR(INDEX(VAT_Codes!$D:$D,MATCH($N1357,VAT_Codes!$A:$A,0)),0))</f>
        <v>0</v>
      </c>
      <c r="W1357" s="26" t="n">
        <f aca="false">IF($U1357=0,0,IF(IFERROR(INDEX(VAT_Codes!$F:$F,MATCH($N1357,VAT_Codes!$A:$A,0)),"N")="Y",$U1357,IF($L1357&lt;&gt;"",ROUND(ABS($L1357)/IF(OR($R1357="",$R1357=0),1,$R1357),2)*SIGN($U1357),ROUND($U1357*$V1357,2))))</f>
        <v>0</v>
      </c>
      <c r="X1357" s="24" t="str">
        <f aca="false">IF($N1357="","",IFERROR(INDEX(VAT_Codes!$H:$H,MATCH($N1357,VAT_Codes!$A:$A,0)),"")&amp;"")</f>
        <v/>
      </c>
      <c r="Y1357" s="24" t="str">
        <f aca="false">IF($A1357="","",(YEAR($A1357)-YEAR(Settings!$C$8))*12+MONTH($A1357)-MONTH(Settings!$C$8)+1)</f>
        <v/>
      </c>
      <c r="Z1357" s="24" t="str">
        <f aca="false">IF(AND($C1357="",$I1357="",$J1357=""),"",IF($N1357="","NO VAT CODE",IF($T1357="","UNKNOWN VAT CODE",IF($S1357="","MISSING FX RATE",IF(OR($A1357&lt;Settings!$C$8,$A1357&gt;Settings!$C$9),"OUTSIDE PERIOD",IF(AND(IFERROR(INDEX(VAT_Codes!$E:$E,MATCH($N1357,VAT_Codes!$A:$A,0)),"ANY")&lt;&gt;"ANY",$P1357=""),"MISSING COUNTERPARTY COUNTRY",IF(AND(IFERROR(INDEX(VAT_Codes!$E:$E,MATCH($N1357,VAT_Codes!$A:$A,0)),"ANY")&lt;&gt;"ANY",$P1357&lt;&gt;IFERROR(INDEX(VAT_Codes!$E:$E,MATCH($N1357,VAT_Codes!$A:$A,0)),"ANY")),"REGION MISMATCH","OK")))))))</f>
        <v/>
      </c>
    </row>
    <row r="1358" customFormat="false" ht="15" hidden="false" customHeight="false" outlineLevel="0" collapsed="false">
      <c r="M1358" s="24" t="str">
        <f aca="false">IF($C1358="","",IFERROR(INDEX(Account_Mapping!$C:$C,MATCH($C1358&amp;"",Account_Mapping!$A:$A,0))&amp;"",""))</f>
        <v/>
      </c>
      <c r="N1358" s="24" t="str">
        <f aca="false">IF($K1358&lt;&gt;"",$K1358,$M1358)</f>
        <v/>
      </c>
      <c r="O1358" s="24" t="str">
        <f aca="false">IF($F1358="","",IFERROR(INDEX(Counterparties!$C:$C,MATCH($F1358&amp;"",Counterparties!$A:$A,0))&amp;"",""))</f>
        <v/>
      </c>
      <c r="P1358" s="24" t="str">
        <f aca="false">IF($O1358="","",IF($O1358="CY","CY",IF(ISNUMBER(MATCH($O1358,Lists!$A:$A,0)),"EU","3RD")))</f>
        <v/>
      </c>
      <c r="Q1358" s="24" t="str">
        <f aca="false">IF($F1358="","N",IFERROR(IF(INDEX(Counterparties!$E:$E,MATCH($F1358&amp;"",Counterparties!$A:$A,0))="Y","Y","N"),"N"))</f>
        <v>N</v>
      </c>
      <c r="R1358" s="25" t="n">
        <f aca="false">IF(OR($H1358="",$H1358="EUR"),1,IFERROR(INDEX(FX_Rates!$D:$D,MATCH($H1358,FX_Rates!$A:$A,0)),""))</f>
        <v>1</v>
      </c>
      <c r="S1358" s="26" t="str">
        <f aca="false">IF(AND($I1358="",$J1358=""),"",IF($J1358&lt;&gt;"",$J1358,IF(OR($R1358="",$R1358=0),"",ROUND($I1358/$R1358,2))))</f>
        <v/>
      </c>
      <c r="T1358" s="24" t="str">
        <f aca="false">IF($N1358="","",IFERROR(INDEX(VAT_Codes!$C:$C,MATCH($N1358,VAT_Codes!$A:$A,0)),"")&amp;"")</f>
        <v/>
      </c>
      <c r="U1358" s="26" t="n">
        <f aca="false">IF(OR($S1358="",$T1358="",$T1358="None"),0,IF($T1358="Output",-$S1358,$S1358))</f>
        <v>0</v>
      </c>
      <c r="V1358" s="27" t="n">
        <f aca="false">IF($N1358="",0,IFERROR(INDEX(VAT_Codes!$D:$D,MATCH($N1358,VAT_Codes!$A:$A,0)),0))</f>
        <v>0</v>
      </c>
      <c r="W1358" s="26" t="n">
        <f aca="false">IF($U1358=0,0,IF(IFERROR(INDEX(VAT_Codes!$F:$F,MATCH($N1358,VAT_Codes!$A:$A,0)),"N")="Y",$U1358,IF($L1358&lt;&gt;"",ROUND(ABS($L1358)/IF(OR($R1358="",$R1358=0),1,$R1358),2)*SIGN($U1358),ROUND($U1358*$V1358,2))))</f>
        <v>0</v>
      </c>
      <c r="X1358" s="24" t="str">
        <f aca="false">IF($N1358="","",IFERROR(INDEX(VAT_Codes!$H:$H,MATCH($N1358,VAT_Codes!$A:$A,0)),"")&amp;"")</f>
        <v/>
      </c>
      <c r="Y1358" s="24" t="str">
        <f aca="false">IF($A1358="","",(YEAR($A1358)-YEAR(Settings!$C$8))*12+MONTH($A1358)-MONTH(Settings!$C$8)+1)</f>
        <v/>
      </c>
      <c r="Z1358" s="24" t="str">
        <f aca="false">IF(AND($C1358="",$I1358="",$J1358=""),"",IF($N1358="","NO VAT CODE",IF($T1358="","UNKNOWN VAT CODE",IF($S1358="","MISSING FX RATE",IF(OR($A1358&lt;Settings!$C$8,$A1358&gt;Settings!$C$9),"OUTSIDE PERIOD",IF(AND(IFERROR(INDEX(VAT_Codes!$E:$E,MATCH($N1358,VAT_Codes!$A:$A,0)),"ANY")&lt;&gt;"ANY",$P1358=""),"MISSING COUNTERPARTY COUNTRY",IF(AND(IFERROR(INDEX(VAT_Codes!$E:$E,MATCH($N1358,VAT_Codes!$A:$A,0)),"ANY")&lt;&gt;"ANY",$P1358&lt;&gt;IFERROR(INDEX(VAT_Codes!$E:$E,MATCH($N1358,VAT_Codes!$A:$A,0)),"ANY")),"REGION MISMATCH","OK")))))))</f>
        <v/>
      </c>
    </row>
    <row r="1359" customFormat="false" ht="15" hidden="false" customHeight="false" outlineLevel="0" collapsed="false">
      <c r="M1359" s="24" t="str">
        <f aca="false">IF($C1359="","",IFERROR(INDEX(Account_Mapping!$C:$C,MATCH($C1359&amp;"",Account_Mapping!$A:$A,0))&amp;"",""))</f>
        <v/>
      </c>
      <c r="N1359" s="24" t="str">
        <f aca="false">IF($K1359&lt;&gt;"",$K1359,$M1359)</f>
        <v/>
      </c>
      <c r="O1359" s="24" t="str">
        <f aca="false">IF($F1359="","",IFERROR(INDEX(Counterparties!$C:$C,MATCH($F1359&amp;"",Counterparties!$A:$A,0))&amp;"",""))</f>
        <v/>
      </c>
      <c r="P1359" s="24" t="str">
        <f aca="false">IF($O1359="","",IF($O1359="CY","CY",IF(ISNUMBER(MATCH($O1359,Lists!$A:$A,0)),"EU","3RD")))</f>
        <v/>
      </c>
      <c r="Q1359" s="24" t="str">
        <f aca="false">IF($F1359="","N",IFERROR(IF(INDEX(Counterparties!$E:$E,MATCH($F1359&amp;"",Counterparties!$A:$A,0))="Y","Y","N"),"N"))</f>
        <v>N</v>
      </c>
      <c r="R1359" s="25" t="n">
        <f aca="false">IF(OR($H1359="",$H1359="EUR"),1,IFERROR(INDEX(FX_Rates!$D:$D,MATCH($H1359,FX_Rates!$A:$A,0)),""))</f>
        <v>1</v>
      </c>
      <c r="S1359" s="26" t="str">
        <f aca="false">IF(AND($I1359="",$J1359=""),"",IF($J1359&lt;&gt;"",$J1359,IF(OR($R1359="",$R1359=0),"",ROUND($I1359/$R1359,2))))</f>
        <v/>
      </c>
      <c r="T1359" s="24" t="str">
        <f aca="false">IF($N1359="","",IFERROR(INDEX(VAT_Codes!$C:$C,MATCH($N1359,VAT_Codes!$A:$A,0)),"")&amp;"")</f>
        <v/>
      </c>
      <c r="U1359" s="26" t="n">
        <f aca="false">IF(OR($S1359="",$T1359="",$T1359="None"),0,IF($T1359="Output",-$S1359,$S1359))</f>
        <v>0</v>
      </c>
      <c r="V1359" s="27" t="n">
        <f aca="false">IF($N1359="",0,IFERROR(INDEX(VAT_Codes!$D:$D,MATCH($N1359,VAT_Codes!$A:$A,0)),0))</f>
        <v>0</v>
      </c>
      <c r="W1359" s="26" t="n">
        <f aca="false">IF($U1359=0,0,IF(IFERROR(INDEX(VAT_Codes!$F:$F,MATCH($N1359,VAT_Codes!$A:$A,0)),"N")="Y",$U1359,IF($L1359&lt;&gt;"",ROUND(ABS($L1359)/IF(OR($R1359="",$R1359=0),1,$R1359),2)*SIGN($U1359),ROUND($U1359*$V1359,2))))</f>
        <v>0</v>
      </c>
      <c r="X1359" s="24" t="str">
        <f aca="false">IF($N1359="","",IFERROR(INDEX(VAT_Codes!$H:$H,MATCH($N1359,VAT_Codes!$A:$A,0)),"")&amp;"")</f>
        <v/>
      </c>
      <c r="Y1359" s="24" t="str">
        <f aca="false">IF($A1359="","",(YEAR($A1359)-YEAR(Settings!$C$8))*12+MONTH($A1359)-MONTH(Settings!$C$8)+1)</f>
        <v/>
      </c>
      <c r="Z1359" s="24" t="str">
        <f aca="false">IF(AND($C1359="",$I1359="",$J1359=""),"",IF($N1359="","NO VAT CODE",IF($T1359="","UNKNOWN VAT CODE",IF($S1359="","MISSING FX RATE",IF(OR($A1359&lt;Settings!$C$8,$A1359&gt;Settings!$C$9),"OUTSIDE PERIOD",IF(AND(IFERROR(INDEX(VAT_Codes!$E:$E,MATCH($N1359,VAT_Codes!$A:$A,0)),"ANY")&lt;&gt;"ANY",$P1359=""),"MISSING COUNTERPARTY COUNTRY",IF(AND(IFERROR(INDEX(VAT_Codes!$E:$E,MATCH($N1359,VAT_Codes!$A:$A,0)),"ANY")&lt;&gt;"ANY",$P1359&lt;&gt;IFERROR(INDEX(VAT_Codes!$E:$E,MATCH($N1359,VAT_Codes!$A:$A,0)),"ANY")),"REGION MISMATCH","OK")))))))</f>
        <v/>
      </c>
    </row>
    <row r="1360" customFormat="false" ht="15" hidden="false" customHeight="false" outlineLevel="0" collapsed="false">
      <c r="M1360" s="24" t="str">
        <f aca="false">IF($C1360="","",IFERROR(INDEX(Account_Mapping!$C:$C,MATCH($C1360&amp;"",Account_Mapping!$A:$A,0))&amp;"",""))</f>
        <v/>
      </c>
      <c r="N1360" s="24" t="str">
        <f aca="false">IF($K1360&lt;&gt;"",$K1360,$M1360)</f>
        <v/>
      </c>
      <c r="O1360" s="24" t="str">
        <f aca="false">IF($F1360="","",IFERROR(INDEX(Counterparties!$C:$C,MATCH($F1360&amp;"",Counterparties!$A:$A,0))&amp;"",""))</f>
        <v/>
      </c>
      <c r="P1360" s="24" t="str">
        <f aca="false">IF($O1360="","",IF($O1360="CY","CY",IF(ISNUMBER(MATCH($O1360,Lists!$A:$A,0)),"EU","3RD")))</f>
        <v/>
      </c>
      <c r="Q1360" s="24" t="str">
        <f aca="false">IF($F1360="","N",IFERROR(IF(INDEX(Counterparties!$E:$E,MATCH($F1360&amp;"",Counterparties!$A:$A,0))="Y","Y","N"),"N"))</f>
        <v>N</v>
      </c>
      <c r="R1360" s="25" t="n">
        <f aca="false">IF(OR($H1360="",$H1360="EUR"),1,IFERROR(INDEX(FX_Rates!$D:$D,MATCH($H1360,FX_Rates!$A:$A,0)),""))</f>
        <v>1</v>
      </c>
      <c r="S1360" s="26" t="str">
        <f aca="false">IF(AND($I1360="",$J1360=""),"",IF($J1360&lt;&gt;"",$J1360,IF(OR($R1360="",$R1360=0),"",ROUND($I1360/$R1360,2))))</f>
        <v/>
      </c>
      <c r="T1360" s="24" t="str">
        <f aca="false">IF($N1360="","",IFERROR(INDEX(VAT_Codes!$C:$C,MATCH($N1360,VAT_Codes!$A:$A,0)),"")&amp;"")</f>
        <v/>
      </c>
      <c r="U1360" s="26" t="n">
        <f aca="false">IF(OR($S1360="",$T1360="",$T1360="None"),0,IF($T1360="Output",-$S1360,$S1360))</f>
        <v>0</v>
      </c>
      <c r="V1360" s="27" t="n">
        <f aca="false">IF($N1360="",0,IFERROR(INDEX(VAT_Codes!$D:$D,MATCH($N1360,VAT_Codes!$A:$A,0)),0))</f>
        <v>0</v>
      </c>
      <c r="W1360" s="26" t="n">
        <f aca="false">IF($U1360=0,0,IF(IFERROR(INDEX(VAT_Codes!$F:$F,MATCH($N1360,VAT_Codes!$A:$A,0)),"N")="Y",$U1360,IF($L1360&lt;&gt;"",ROUND(ABS($L1360)/IF(OR($R1360="",$R1360=0),1,$R1360),2)*SIGN($U1360),ROUND($U1360*$V1360,2))))</f>
        <v>0</v>
      </c>
      <c r="X1360" s="24" t="str">
        <f aca="false">IF($N1360="","",IFERROR(INDEX(VAT_Codes!$H:$H,MATCH($N1360,VAT_Codes!$A:$A,0)),"")&amp;"")</f>
        <v/>
      </c>
      <c r="Y1360" s="24" t="str">
        <f aca="false">IF($A1360="","",(YEAR($A1360)-YEAR(Settings!$C$8))*12+MONTH($A1360)-MONTH(Settings!$C$8)+1)</f>
        <v/>
      </c>
      <c r="Z1360" s="24" t="str">
        <f aca="false">IF(AND($C1360="",$I1360="",$J1360=""),"",IF($N1360="","NO VAT CODE",IF($T1360="","UNKNOWN VAT CODE",IF($S1360="","MISSING FX RATE",IF(OR($A1360&lt;Settings!$C$8,$A1360&gt;Settings!$C$9),"OUTSIDE PERIOD",IF(AND(IFERROR(INDEX(VAT_Codes!$E:$E,MATCH($N1360,VAT_Codes!$A:$A,0)),"ANY")&lt;&gt;"ANY",$P1360=""),"MISSING COUNTERPARTY COUNTRY",IF(AND(IFERROR(INDEX(VAT_Codes!$E:$E,MATCH($N1360,VAT_Codes!$A:$A,0)),"ANY")&lt;&gt;"ANY",$P1360&lt;&gt;IFERROR(INDEX(VAT_Codes!$E:$E,MATCH($N1360,VAT_Codes!$A:$A,0)),"ANY")),"REGION MISMATCH","OK")))))))</f>
        <v/>
      </c>
    </row>
    <row r="1361" customFormat="false" ht="15" hidden="false" customHeight="false" outlineLevel="0" collapsed="false">
      <c r="M1361" s="24" t="str">
        <f aca="false">IF($C1361="","",IFERROR(INDEX(Account_Mapping!$C:$C,MATCH($C1361&amp;"",Account_Mapping!$A:$A,0))&amp;"",""))</f>
        <v/>
      </c>
      <c r="N1361" s="24" t="str">
        <f aca="false">IF($K1361&lt;&gt;"",$K1361,$M1361)</f>
        <v/>
      </c>
      <c r="O1361" s="24" t="str">
        <f aca="false">IF($F1361="","",IFERROR(INDEX(Counterparties!$C:$C,MATCH($F1361&amp;"",Counterparties!$A:$A,0))&amp;"",""))</f>
        <v/>
      </c>
      <c r="P1361" s="24" t="str">
        <f aca="false">IF($O1361="","",IF($O1361="CY","CY",IF(ISNUMBER(MATCH($O1361,Lists!$A:$A,0)),"EU","3RD")))</f>
        <v/>
      </c>
      <c r="Q1361" s="24" t="str">
        <f aca="false">IF($F1361="","N",IFERROR(IF(INDEX(Counterparties!$E:$E,MATCH($F1361&amp;"",Counterparties!$A:$A,0))="Y","Y","N"),"N"))</f>
        <v>N</v>
      </c>
      <c r="R1361" s="25" t="n">
        <f aca="false">IF(OR($H1361="",$H1361="EUR"),1,IFERROR(INDEX(FX_Rates!$D:$D,MATCH($H1361,FX_Rates!$A:$A,0)),""))</f>
        <v>1</v>
      </c>
      <c r="S1361" s="26" t="str">
        <f aca="false">IF(AND($I1361="",$J1361=""),"",IF($J1361&lt;&gt;"",$J1361,IF(OR($R1361="",$R1361=0),"",ROUND($I1361/$R1361,2))))</f>
        <v/>
      </c>
      <c r="T1361" s="24" t="str">
        <f aca="false">IF($N1361="","",IFERROR(INDEX(VAT_Codes!$C:$C,MATCH($N1361,VAT_Codes!$A:$A,0)),"")&amp;"")</f>
        <v/>
      </c>
      <c r="U1361" s="26" t="n">
        <f aca="false">IF(OR($S1361="",$T1361="",$T1361="None"),0,IF($T1361="Output",-$S1361,$S1361))</f>
        <v>0</v>
      </c>
      <c r="V1361" s="27" t="n">
        <f aca="false">IF($N1361="",0,IFERROR(INDEX(VAT_Codes!$D:$D,MATCH($N1361,VAT_Codes!$A:$A,0)),0))</f>
        <v>0</v>
      </c>
      <c r="W1361" s="26" t="n">
        <f aca="false">IF($U1361=0,0,IF(IFERROR(INDEX(VAT_Codes!$F:$F,MATCH($N1361,VAT_Codes!$A:$A,0)),"N")="Y",$U1361,IF($L1361&lt;&gt;"",ROUND(ABS($L1361)/IF(OR($R1361="",$R1361=0),1,$R1361),2)*SIGN($U1361),ROUND($U1361*$V1361,2))))</f>
        <v>0</v>
      </c>
      <c r="X1361" s="24" t="str">
        <f aca="false">IF($N1361="","",IFERROR(INDEX(VAT_Codes!$H:$H,MATCH($N1361,VAT_Codes!$A:$A,0)),"")&amp;"")</f>
        <v/>
      </c>
      <c r="Y1361" s="24" t="str">
        <f aca="false">IF($A1361="","",(YEAR($A1361)-YEAR(Settings!$C$8))*12+MONTH($A1361)-MONTH(Settings!$C$8)+1)</f>
        <v/>
      </c>
      <c r="Z1361" s="24" t="str">
        <f aca="false">IF(AND($C1361="",$I1361="",$J1361=""),"",IF($N1361="","NO VAT CODE",IF($T1361="","UNKNOWN VAT CODE",IF($S1361="","MISSING FX RATE",IF(OR($A1361&lt;Settings!$C$8,$A1361&gt;Settings!$C$9),"OUTSIDE PERIOD",IF(AND(IFERROR(INDEX(VAT_Codes!$E:$E,MATCH($N1361,VAT_Codes!$A:$A,0)),"ANY")&lt;&gt;"ANY",$P1361=""),"MISSING COUNTERPARTY COUNTRY",IF(AND(IFERROR(INDEX(VAT_Codes!$E:$E,MATCH($N1361,VAT_Codes!$A:$A,0)),"ANY")&lt;&gt;"ANY",$P1361&lt;&gt;IFERROR(INDEX(VAT_Codes!$E:$E,MATCH($N1361,VAT_Codes!$A:$A,0)),"ANY")),"REGION MISMATCH","OK")))))))</f>
        <v/>
      </c>
    </row>
    <row r="1362" customFormat="false" ht="15" hidden="false" customHeight="false" outlineLevel="0" collapsed="false">
      <c r="M1362" s="24" t="str">
        <f aca="false">IF($C1362="","",IFERROR(INDEX(Account_Mapping!$C:$C,MATCH($C1362&amp;"",Account_Mapping!$A:$A,0))&amp;"",""))</f>
        <v/>
      </c>
      <c r="N1362" s="24" t="str">
        <f aca="false">IF($K1362&lt;&gt;"",$K1362,$M1362)</f>
        <v/>
      </c>
      <c r="O1362" s="24" t="str">
        <f aca="false">IF($F1362="","",IFERROR(INDEX(Counterparties!$C:$C,MATCH($F1362&amp;"",Counterparties!$A:$A,0))&amp;"",""))</f>
        <v/>
      </c>
      <c r="P1362" s="24" t="str">
        <f aca="false">IF($O1362="","",IF($O1362="CY","CY",IF(ISNUMBER(MATCH($O1362,Lists!$A:$A,0)),"EU","3RD")))</f>
        <v/>
      </c>
      <c r="Q1362" s="24" t="str">
        <f aca="false">IF($F1362="","N",IFERROR(IF(INDEX(Counterparties!$E:$E,MATCH($F1362&amp;"",Counterparties!$A:$A,0))="Y","Y","N"),"N"))</f>
        <v>N</v>
      </c>
      <c r="R1362" s="25" t="n">
        <f aca="false">IF(OR($H1362="",$H1362="EUR"),1,IFERROR(INDEX(FX_Rates!$D:$D,MATCH($H1362,FX_Rates!$A:$A,0)),""))</f>
        <v>1</v>
      </c>
      <c r="S1362" s="26" t="str">
        <f aca="false">IF(AND($I1362="",$J1362=""),"",IF($J1362&lt;&gt;"",$J1362,IF(OR($R1362="",$R1362=0),"",ROUND($I1362/$R1362,2))))</f>
        <v/>
      </c>
      <c r="T1362" s="24" t="str">
        <f aca="false">IF($N1362="","",IFERROR(INDEX(VAT_Codes!$C:$C,MATCH($N1362,VAT_Codes!$A:$A,0)),"")&amp;"")</f>
        <v/>
      </c>
      <c r="U1362" s="26" t="n">
        <f aca="false">IF(OR($S1362="",$T1362="",$T1362="None"),0,IF($T1362="Output",-$S1362,$S1362))</f>
        <v>0</v>
      </c>
      <c r="V1362" s="27" t="n">
        <f aca="false">IF($N1362="",0,IFERROR(INDEX(VAT_Codes!$D:$D,MATCH($N1362,VAT_Codes!$A:$A,0)),0))</f>
        <v>0</v>
      </c>
      <c r="W1362" s="26" t="n">
        <f aca="false">IF($U1362=0,0,IF(IFERROR(INDEX(VAT_Codes!$F:$F,MATCH($N1362,VAT_Codes!$A:$A,0)),"N")="Y",$U1362,IF($L1362&lt;&gt;"",ROUND(ABS($L1362)/IF(OR($R1362="",$R1362=0),1,$R1362),2)*SIGN($U1362),ROUND($U1362*$V1362,2))))</f>
        <v>0</v>
      </c>
      <c r="X1362" s="24" t="str">
        <f aca="false">IF($N1362="","",IFERROR(INDEX(VAT_Codes!$H:$H,MATCH($N1362,VAT_Codes!$A:$A,0)),"")&amp;"")</f>
        <v/>
      </c>
      <c r="Y1362" s="24" t="str">
        <f aca="false">IF($A1362="","",(YEAR($A1362)-YEAR(Settings!$C$8))*12+MONTH($A1362)-MONTH(Settings!$C$8)+1)</f>
        <v/>
      </c>
      <c r="Z1362" s="24" t="str">
        <f aca="false">IF(AND($C1362="",$I1362="",$J1362=""),"",IF($N1362="","NO VAT CODE",IF($T1362="","UNKNOWN VAT CODE",IF($S1362="","MISSING FX RATE",IF(OR($A1362&lt;Settings!$C$8,$A1362&gt;Settings!$C$9),"OUTSIDE PERIOD",IF(AND(IFERROR(INDEX(VAT_Codes!$E:$E,MATCH($N1362,VAT_Codes!$A:$A,0)),"ANY")&lt;&gt;"ANY",$P1362=""),"MISSING COUNTERPARTY COUNTRY",IF(AND(IFERROR(INDEX(VAT_Codes!$E:$E,MATCH($N1362,VAT_Codes!$A:$A,0)),"ANY")&lt;&gt;"ANY",$P1362&lt;&gt;IFERROR(INDEX(VAT_Codes!$E:$E,MATCH($N1362,VAT_Codes!$A:$A,0)),"ANY")),"REGION MISMATCH","OK")))))))</f>
        <v/>
      </c>
    </row>
    <row r="1363" customFormat="false" ht="15" hidden="false" customHeight="false" outlineLevel="0" collapsed="false">
      <c r="M1363" s="24" t="str">
        <f aca="false">IF($C1363="","",IFERROR(INDEX(Account_Mapping!$C:$C,MATCH($C1363&amp;"",Account_Mapping!$A:$A,0))&amp;"",""))</f>
        <v/>
      </c>
      <c r="N1363" s="24" t="str">
        <f aca="false">IF($K1363&lt;&gt;"",$K1363,$M1363)</f>
        <v/>
      </c>
      <c r="O1363" s="24" t="str">
        <f aca="false">IF($F1363="","",IFERROR(INDEX(Counterparties!$C:$C,MATCH($F1363&amp;"",Counterparties!$A:$A,0))&amp;"",""))</f>
        <v/>
      </c>
      <c r="P1363" s="24" t="str">
        <f aca="false">IF($O1363="","",IF($O1363="CY","CY",IF(ISNUMBER(MATCH($O1363,Lists!$A:$A,0)),"EU","3RD")))</f>
        <v/>
      </c>
      <c r="Q1363" s="24" t="str">
        <f aca="false">IF($F1363="","N",IFERROR(IF(INDEX(Counterparties!$E:$E,MATCH($F1363&amp;"",Counterparties!$A:$A,0))="Y","Y","N"),"N"))</f>
        <v>N</v>
      </c>
      <c r="R1363" s="25" t="n">
        <f aca="false">IF(OR($H1363="",$H1363="EUR"),1,IFERROR(INDEX(FX_Rates!$D:$D,MATCH($H1363,FX_Rates!$A:$A,0)),""))</f>
        <v>1</v>
      </c>
      <c r="S1363" s="26" t="str">
        <f aca="false">IF(AND($I1363="",$J1363=""),"",IF($J1363&lt;&gt;"",$J1363,IF(OR($R1363="",$R1363=0),"",ROUND($I1363/$R1363,2))))</f>
        <v/>
      </c>
      <c r="T1363" s="24" t="str">
        <f aca="false">IF($N1363="","",IFERROR(INDEX(VAT_Codes!$C:$C,MATCH($N1363,VAT_Codes!$A:$A,0)),"")&amp;"")</f>
        <v/>
      </c>
      <c r="U1363" s="26" t="n">
        <f aca="false">IF(OR($S1363="",$T1363="",$T1363="None"),0,IF($T1363="Output",-$S1363,$S1363))</f>
        <v>0</v>
      </c>
      <c r="V1363" s="27" t="n">
        <f aca="false">IF($N1363="",0,IFERROR(INDEX(VAT_Codes!$D:$D,MATCH($N1363,VAT_Codes!$A:$A,0)),0))</f>
        <v>0</v>
      </c>
      <c r="W1363" s="26" t="n">
        <f aca="false">IF($U1363=0,0,IF(IFERROR(INDEX(VAT_Codes!$F:$F,MATCH($N1363,VAT_Codes!$A:$A,0)),"N")="Y",$U1363,IF($L1363&lt;&gt;"",ROUND(ABS($L1363)/IF(OR($R1363="",$R1363=0),1,$R1363),2)*SIGN($U1363),ROUND($U1363*$V1363,2))))</f>
        <v>0</v>
      </c>
      <c r="X1363" s="24" t="str">
        <f aca="false">IF($N1363="","",IFERROR(INDEX(VAT_Codes!$H:$H,MATCH($N1363,VAT_Codes!$A:$A,0)),"")&amp;"")</f>
        <v/>
      </c>
      <c r="Y1363" s="24" t="str">
        <f aca="false">IF($A1363="","",(YEAR($A1363)-YEAR(Settings!$C$8))*12+MONTH($A1363)-MONTH(Settings!$C$8)+1)</f>
        <v/>
      </c>
      <c r="Z1363" s="24" t="str">
        <f aca="false">IF(AND($C1363="",$I1363="",$J1363=""),"",IF($N1363="","NO VAT CODE",IF($T1363="","UNKNOWN VAT CODE",IF($S1363="","MISSING FX RATE",IF(OR($A1363&lt;Settings!$C$8,$A1363&gt;Settings!$C$9),"OUTSIDE PERIOD",IF(AND(IFERROR(INDEX(VAT_Codes!$E:$E,MATCH($N1363,VAT_Codes!$A:$A,0)),"ANY")&lt;&gt;"ANY",$P1363=""),"MISSING COUNTERPARTY COUNTRY",IF(AND(IFERROR(INDEX(VAT_Codes!$E:$E,MATCH($N1363,VAT_Codes!$A:$A,0)),"ANY")&lt;&gt;"ANY",$P1363&lt;&gt;IFERROR(INDEX(VAT_Codes!$E:$E,MATCH($N1363,VAT_Codes!$A:$A,0)),"ANY")),"REGION MISMATCH","OK")))))))</f>
        <v/>
      </c>
    </row>
    <row r="1364" customFormat="false" ht="15" hidden="false" customHeight="false" outlineLevel="0" collapsed="false">
      <c r="M1364" s="24" t="str">
        <f aca="false">IF($C1364="","",IFERROR(INDEX(Account_Mapping!$C:$C,MATCH($C1364&amp;"",Account_Mapping!$A:$A,0))&amp;"",""))</f>
        <v/>
      </c>
      <c r="N1364" s="24" t="str">
        <f aca="false">IF($K1364&lt;&gt;"",$K1364,$M1364)</f>
        <v/>
      </c>
      <c r="O1364" s="24" t="str">
        <f aca="false">IF($F1364="","",IFERROR(INDEX(Counterparties!$C:$C,MATCH($F1364&amp;"",Counterparties!$A:$A,0))&amp;"",""))</f>
        <v/>
      </c>
      <c r="P1364" s="24" t="str">
        <f aca="false">IF($O1364="","",IF($O1364="CY","CY",IF(ISNUMBER(MATCH($O1364,Lists!$A:$A,0)),"EU","3RD")))</f>
        <v/>
      </c>
      <c r="Q1364" s="24" t="str">
        <f aca="false">IF($F1364="","N",IFERROR(IF(INDEX(Counterparties!$E:$E,MATCH($F1364&amp;"",Counterparties!$A:$A,0))="Y","Y","N"),"N"))</f>
        <v>N</v>
      </c>
      <c r="R1364" s="25" t="n">
        <f aca="false">IF(OR($H1364="",$H1364="EUR"),1,IFERROR(INDEX(FX_Rates!$D:$D,MATCH($H1364,FX_Rates!$A:$A,0)),""))</f>
        <v>1</v>
      </c>
      <c r="S1364" s="26" t="str">
        <f aca="false">IF(AND($I1364="",$J1364=""),"",IF($J1364&lt;&gt;"",$J1364,IF(OR($R1364="",$R1364=0),"",ROUND($I1364/$R1364,2))))</f>
        <v/>
      </c>
      <c r="T1364" s="24" t="str">
        <f aca="false">IF($N1364="","",IFERROR(INDEX(VAT_Codes!$C:$C,MATCH($N1364,VAT_Codes!$A:$A,0)),"")&amp;"")</f>
        <v/>
      </c>
      <c r="U1364" s="26" t="n">
        <f aca="false">IF(OR($S1364="",$T1364="",$T1364="None"),0,IF($T1364="Output",-$S1364,$S1364))</f>
        <v>0</v>
      </c>
      <c r="V1364" s="27" t="n">
        <f aca="false">IF($N1364="",0,IFERROR(INDEX(VAT_Codes!$D:$D,MATCH($N1364,VAT_Codes!$A:$A,0)),0))</f>
        <v>0</v>
      </c>
      <c r="W1364" s="26" t="n">
        <f aca="false">IF($U1364=0,0,IF(IFERROR(INDEX(VAT_Codes!$F:$F,MATCH($N1364,VAT_Codes!$A:$A,0)),"N")="Y",$U1364,IF($L1364&lt;&gt;"",ROUND(ABS($L1364)/IF(OR($R1364="",$R1364=0),1,$R1364),2)*SIGN($U1364),ROUND($U1364*$V1364,2))))</f>
        <v>0</v>
      </c>
      <c r="X1364" s="24" t="str">
        <f aca="false">IF($N1364="","",IFERROR(INDEX(VAT_Codes!$H:$H,MATCH($N1364,VAT_Codes!$A:$A,0)),"")&amp;"")</f>
        <v/>
      </c>
      <c r="Y1364" s="24" t="str">
        <f aca="false">IF($A1364="","",(YEAR($A1364)-YEAR(Settings!$C$8))*12+MONTH($A1364)-MONTH(Settings!$C$8)+1)</f>
        <v/>
      </c>
      <c r="Z1364" s="24" t="str">
        <f aca="false">IF(AND($C1364="",$I1364="",$J1364=""),"",IF($N1364="","NO VAT CODE",IF($T1364="","UNKNOWN VAT CODE",IF($S1364="","MISSING FX RATE",IF(OR($A1364&lt;Settings!$C$8,$A1364&gt;Settings!$C$9),"OUTSIDE PERIOD",IF(AND(IFERROR(INDEX(VAT_Codes!$E:$E,MATCH($N1364,VAT_Codes!$A:$A,0)),"ANY")&lt;&gt;"ANY",$P1364=""),"MISSING COUNTERPARTY COUNTRY",IF(AND(IFERROR(INDEX(VAT_Codes!$E:$E,MATCH($N1364,VAT_Codes!$A:$A,0)),"ANY")&lt;&gt;"ANY",$P1364&lt;&gt;IFERROR(INDEX(VAT_Codes!$E:$E,MATCH($N1364,VAT_Codes!$A:$A,0)),"ANY")),"REGION MISMATCH","OK")))))))</f>
        <v/>
      </c>
    </row>
    <row r="1365" customFormat="false" ht="15" hidden="false" customHeight="false" outlineLevel="0" collapsed="false">
      <c r="M1365" s="24" t="str">
        <f aca="false">IF($C1365="","",IFERROR(INDEX(Account_Mapping!$C:$C,MATCH($C1365&amp;"",Account_Mapping!$A:$A,0))&amp;"",""))</f>
        <v/>
      </c>
      <c r="N1365" s="24" t="str">
        <f aca="false">IF($K1365&lt;&gt;"",$K1365,$M1365)</f>
        <v/>
      </c>
      <c r="O1365" s="24" t="str">
        <f aca="false">IF($F1365="","",IFERROR(INDEX(Counterparties!$C:$C,MATCH($F1365&amp;"",Counterparties!$A:$A,0))&amp;"",""))</f>
        <v/>
      </c>
      <c r="P1365" s="24" t="str">
        <f aca="false">IF($O1365="","",IF($O1365="CY","CY",IF(ISNUMBER(MATCH($O1365,Lists!$A:$A,0)),"EU","3RD")))</f>
        <v/>
      </c>
      <c r="Q1365" s="24" t="str">
        <f aca="false">IF($F1365="","N",IFERROR(IF(INDEX(Counterparties!$E:$E,MATCH($F1365&amp;"",Counterparties!$A:$A,0))="Y","Y","N"),"N"))</f>
        <v>N</v>
      </c>
      <c r="R1365" s="25" t="n">
        <f aca="false">IF(OR($H1365="",$H1365="EUR"),1,IFERROR(INDEX(FX_Rates!$D:$D,MATCH($H1365,FX_Rates!$A:$A,0)),""))</f>
        <v>1</v>
      </c>
      <c r="S1365" s="26" t="str">
        <f aca="false">IF(AND($I1365="",$J1365=""),"",IF($J1365&lt;&gt;"",$J1365,IF(OR($R1365="",$R1365=0),"",ROUND($I1365/$R1365,2))))</f>
        <v/>
      </c>
      <c r="T1365" s="24" t="str">
        <f aca="false">IF($N1365="","",IFERROR(INDEX(VAT_Codes!$C:$C,MATCH($N1365,VAT_Codes!$A:$A,0)),"")&amp;"")</f>
        <v/>
      </c>
      <c r="U1365" s="26" t="n">
        <f aca="false">IF(OR($S1365="",$T1365="",$T1365="None"),0,IF($T1365="Output",-$S1365,$S1365))</f>
        <v>0</v>
      </c>
      <c r="V1365" s="27" t="n">
        <f aca="false">IF($N1365="",0,IFERROR(INDEX(VAT_Codes!$D:$D,MATCH($N1365,VAT_Codes!$A:$A,0)),0))</f>
        <v>0</v>
      </c>
      <c r="W1365" s="26" t="n">
        <f aca="false">IF($U1365=0,0,IF(IFERROR(INDEX(VAT_Codes!$F:$F,MATCH($N1365,VAT_Codes!$A:$A,0)),"N")="Y",$U1365,IF($L1365&lt;&gt;"",ROUND(ABS($L1365)/IF(OR($R1365="",$R1365=0),1,$R1365),2)*SIGN($U1365),ROUND($U1365*$V1365,2))))</f>
        <v>0</v>
      </c>
      <c r="X1365" s="24" t="str">
        <f aca="false">IF($N1365="","",IFERROR(INDEX(VAT_Codes!$H:$H,MATCH($N1365,VAT_Codes!$A:$A,0)),"")&amp;"")</f>
        <v/>
      </c>
      <c r="Y1365" s="24" t="str">
        <f aca="false">IF($A1365="","",(YEAR($A1365)-YEAR(Settings!$C$8))*12+MONTH($A1365)-MONTH(Settings!$C$8)+1)</f>
        <v/>
      </c>
      <c r="Z1365" s="24" t="str">
        <f aca="false">IF(AND($C1365="",$I1365="",$J1365=""),"",IF($N1365="","NO VAT CODE",IF($T1365="","UNKNOWN VAT CODE",IF($S1365="","MISSING FX RATE",IF(OR($A1365&lt;Settings!$C$8,$A1365&gt;Settings!$C$9),"OUTSIDE PERIOD",IF(AND(IFERROR(INDEX(VAT_Codes!$E:$E,MATCH($N1365,VAT_Codes!$A:$A,0)),"ANY")&lt;&gt;"ANY",$P1365=""),"MISSING COUNTERPARTY COUNTRY",IF(AND(IFERROR(INDEX(VAT_Codes!$E:$E,MATCH($N1365,VAT_Codes!$A:$A,0)),"ANY")&lt;&gt;"ANY",$P1365&lt;&gt;IFERROR(INDEX(VAT_Codes!$E:$E,MATCH($N1365,VAT_Codes!$A:$A,0)),"ANY")),"REGION MISMATCH","OK")))))))</f>
        <v/>
      </c>
    </row>
    <row r="1366" customFormat="false" ht="15" hidden="false" customHeight="false" outlineLevel="0" collapsed="false">
      <c r="M1366" s="24" t="str">
        <f aca="false">IF($C1366="","",IFERROR(INDEX(Account_Mapping!$C:$C,MATCH($C1366&amp;"",Account_Mapping!$A:$A,0))&amp;"",""))</f>
        <v/>
      </c>
      <c r="N1366" s="24" t="str">
        <f aca="false">IF($K1366&lt;&gt;"",$K1366,$M1366)</f>
        <v/>
      </c>
      <c r="O1366" s="24" t="str">
        <f aca="false">IF($F1366="","",IFERROR(INDEX(Counterparties!$C:$C,MATCH($F1366&amp;"",Counterparties!$A:$A,0))&amp;"",""))</f>
        <v/>
      </c>
      <c r="P1366" s="24" t="str">
        <f aca="false">IF($O1366="","",IF($O1366="CY","CY",IF(ISNUMBER(MATCH($O1366,Lists!$A:$A,0)),"EU","3RD")))</f>
        <v/>
      </c>
      <c r="Q1366" s="24" t="str">
        <f aca="false">IF($F1366="","N",IFERROR(IF(INDEX(Counterparties!$E:$E,MATCH($F1366&amp;"",Counterparties!$A:$A,0))="Y","Y","N"),"N"))</f>
        <v>N</v>
      </c>
      <c r="R1366" s="25" t="n">
        <f aca="false">IF(OR($H1366="",$H1366="EUR"),1,IFERROR(INDEX(FX_Rates!$D:$D,MATCH($H1366,FX_Rates!$A:$A,0)),""))</f>
        <v>1</v>
      </c>
      <c r="S1366" s="26" t="str">
        <f aca="false">IF(AND($I1366="",$J1366=""),"",IF($J1366&lt;&gt;"",$J1366,IF(OR($R1366="",$R1366=0),"",ROUND($I1366/$R1366,2))))</f>
        <v/>
      </c>
      <c r="T1366" s="24" t="str">
        <f aca="false">IF($N1366="","",IFERROR(INDEX(VAT_Codes!$C:$C,MATCH($N1366,VAT_Codes!$A:$A,0)),"")&amp;"")</f>
        <v/>
      </c>
      <c r="U1366" s="26" t="n">
        <f aca="false">IF(OR($S1366="",$T1366="",$T1366="None"),0,IF($T1366="Output",-$S1366,$S1366))</f>
        <v>0</v>
      </c>
      <c r="V1366" s="27" t="n">
        <f aca="false">IF($N1366="",0,IFERROR(INDEX(VAT_Codes!$D:$D,MATCH($N1366,VAT_Codes!$A:$A,0)),0))</f>
        <v>0</v>
      </c>
      <c r="W1366" s="26" t="n">
        <f aca="false">IF($U1366=0,0,IF(IFERROR(INDEX(VAT_Codes!$F:$F,MATCH($N1366,VAT_Codes!$A:$A,0)),"N")="Y",$U1366,IF($L1366&lt;&gt;"",ROUND(ABS($L1366)/IF(OR($R1366="",$R1366=0),1,$R1366),2)*SIGN($U1366),ROUND($U1366*$V1366,2))))</f>
        <v>0</v>
      </c>
      <c r="X1366" s="24" t="str">
        <f aca="false">IF($N1366="","",IFERROR(INDEX(VAT_Codes!$H:$H,MATCH($N1366,VAT_Codes!$A:$A,0)),"")&amp;"")</f>
        <v/>
      </c>
      <c r="Y1366" s="24" t="str">
        <f aca="false">IF($A1366="","",(YEAR($A1366)-YEAR(Settings!$C$8))*12+MONTH($A1366)-MONTH(Settings!$C$8)+1)</f>
        <v/>
      </c>
      <c r="Z1366" s="24" t="str">
        <f aca="false">IF(AND($C1366="",$I1366="",$J1366=""),"",IF($N1366="","NO VAT CODE",IF($T1366="","UNKNOWN VAT CODE",IF($S1366="","MISSING FX RATE",IF(OR($A1366&lt;Settings!$C$8,$A1366&gt;Settings!$C$9),"OUTSIDE PERIOD",IF(AND(IFERROR(INDEX(VAT_Codes!$E:$E,MATCH($N1366,VAT_Codes!$A:$A,0)),"ANY")&lt;&gt;"ANY",$P1366=""),"MISSING COUNTERPARTY COUNTRY",IF(AND(IFERROR(INDEX(VAT_Codes!$E:$E,MATCH($N1366,VAT_Codes!$A:$A,0)),"ANY")&lt;&gt;"ANY",$P1366&lt;&gt;IFERROR(INDEX(VAT_Codes!$E:$E,MATCH($N1366,VAT_Codes!$A:$A,0)),"ANY")),"REGION MISMATCH","OK")))))))</f>
        <v/>
      </c>
    </row>
    <row r="1367" customFormat="false" ht="15" hidden="false" customHeight="false" outlineLevel="0" collapsed="false">
      <c r="M1367" s="24" t="str">
        <f aca="false">IF($C1367="","",IFERROR(INDEX(Account_Mapping!$C:$C,MATCH($C1367&amp;"",Account_Mapping!$A:$A,0))&amp;"",""))</f>
        <v/>
      </c>
      <c r="N1367" s="24" t="str">
        <f aca="false">IF($K1367&lt;&gt;"",$K1367,$M1367)</f>
        <v/>
      </c>
      <c r="O1367" s="24" t="str">
        <f aca="false">IF($F1367="","",IFERROR(INDEX(Counterparties!$C:$C,MATCH($F1367&amp;"",Counterparties!$A:$A,0))&amp;"",""))</f>
        <v/>
      </c>
      <c r="P1367" s="24" t="str">
        <f aca="false">IF($O1367="","",IF($O1367="CY","CY",IF(ISNUMBER(MATCH($O1367,Lists!$A:$A,0)),"EU","3RD")))</f>
        <v/>
      </c>
      <c r="Q1367" s="24" t="str">
        <f aca="false">IF($F1367="","N",IFERROR(IF(INDEX(Counterparties!$E:$E,MATCH($F1367&amp;"",Counterparties!$A:$A,0))="Y","Y","N"),"N"))</f>
        <v>N</v>
      </c>
      <c r="R1367" s="25" t="n">
        <f aca="false">IF(OR($H1367="",$H1367="EUR"),1,IFERROR(INDEX(FX_Rates!$D:$D,MATCH($H1367,FX_Rates!$A:$A,0)),""))</f>
        <v>1</v>
      </c>
      <c r="S1367" s="26" t="str">
        <f aca="false">IF(AND($I1367="",$J1367=""),"",IF($J1367&lt;&gt;"",$J1367,IF(OR($R1367="",$R1367=0),"",ROUND($I1367/$R1367,2))))</f>
        <v/>
      </c>
      <c r="T1367" s="24" t="str">
        <f aca="false">IF($N1367="","",IFERROR(INDEX(VAT_Codes!$C:$C,MATCH($N1367,VAT_Codes!$A:$A,0)),"")&amp;"")</f>
        <v/>
      </c>
      <c r="U1367" s="26" t="n">
        <f aca="false">IF(OR($S1367="",$T1367="",$T1367="None"),0,IF($T1367="Output",-$S1367,$S1367))</f>
        <v>0</v>
      </c>
      <c r="V1367" s="27" t="n">
        <f aca="false">IF($N1367="",0,IFERROR(INDEX(VAT_Codes!$D:$D,MATCH($N1367,VAT_Codes!$A:$A,0)),0))</f>
        <v>0</v>
      </c>
      <c r="W1367" s="26" t="n">
        <f aca="false">IF($U1367=0,0,IF(IFERROR(INDEX(VAT_Codes!$F:$F,MATCH($N1367,VAT_Codes!$A:$A,0)),"N")="Y",$U1367,IF($L1367&lt;&gt;"",ROUND(ABS($L1367)/IF(OR($R1367="",$R1367=0),1,$R1367),2)*SIGN($U1367),ROUND($U1367*$V1367,2))))</f>
        <v>0</v>
      </c>
      <c r="X1367" s="24" t="str">
        <f aca="false">IF($N1367="","",IFERROR(INDEX(VAT_Codes!$H:$H,MATCH($N1367,VAT_Codes!$A:$A,0)),"")&amp;"")</f>
        <v/>
      </c>
      <c r="Y1367" s="24" t="str">
        <f aca="false">IF($A1367="","",(YEAR($A1367)-YEAR(Settings!$C$8))*12+MONTH($A1367)-MONTH(Settings!$C$8)+1)</f>
        <v/>
      </c>
      <c r="Z1367" s="24" t="str">
        <f aca="false">IF(AND($C1367="",$I1367="",$J1367=""),"",IF($N1367="","NO VAT CODE",IF($T1367="","UNKNOWN VAT CODE",IF($S1367="","MISSING FX RATE",IF(OR($A1367&lt;Settings!$C$8,$A1367&gt;Settings!$C$9),"OUTSIDE PERIOD",IF(AND(IFERROR(INDEX(VAT_Codes!$E:$E,MATCH($N1367,VAT_Codes!$A:$A,0)),"ANY")&lt;&gt;"ANY",$P1367=""),"MISSING COUNTERPARTY COUNTRY",IF(AND(IFERROR(INDEX(VAT_Codes!$E:$E,MATCH($N1367,VAT_Codes!$A:$A,0)),"ANY")&lt;&gt;"ANY",$P1367&lt;&gt;IFERROR(INDEX(VAT_Codes!$E:$E,MATCH($N1367,VAT_Codes!$A:$A,0)),"ANY")),"REGION MISMATCH","OK")))))))</f>
        <v/>
      </c>
    </row>
    <row r="1368" customFormat="false" ht="15" hidden="false" customHeight="false" outlineLevel="0" collapsed="false">
      <c r="M1368" s="24" t="str">
        <f aca="false">IF($C1368="","",IFERROR(INDEX(Account_Mapping!$C:$C,MATCH($C1368&amp;"",Account_Mapping!$A:$A,0))&amp;"",""))</f>
        <v/>
      </c>
      <c r="N1368" s="24" t="str">
        <f aca="false">IF($K1368&lt;&gt;"",$K1368,$M1368)</f>
        <v/>
      </c>
      <c r="O1368" s="24" t="str">
        <f aca="false">IF($F1368="","",IFERROR(INDEX(Counterparties!$C:$C,MATCH($F1368&amp;"",Counterparties!$A:$A,0))&amp;"",""))</f>
        <v/>
      </c>
      <c r="P1368" s="24" t="str">
        <f aca="false">IF($O1368="","",IF($O1368="CY","CY",IF(ISNUMBER(MATCH($O1368,Lists!$A:$A,0)),"EU","3RD")))</f>
        <v/>
      </c>
      <c r="Q1368" s="24" t="str">
        <f aca="false">IF($F1368="","N",IFERROR(IF(INDEX(Counterparties!$E:$E,MATCH($F1368&amp;"",Counterparties!$A:$A,0))="Y","Y","N"),"N"))</f>
        <v>N</v>
      </c>
      <c r="R1368" s="25" t="n">
        <f aca="false">IF(OR($H1368="",$H1368="EUR"),1,IFERROR(INDEX(FX_Rates!$D:$D,MATCH($H1368,FX_Rates!$A:$A,0)),""))</f>
        <v>1</v>
      </c>
      <c r="S1368" s="26" t="str">
        <f aca="false">IF(AND($I1368="",$J1368=""),"",IF($J1368&lt;&gt;"",$J1368,IF(OR($R1368="",$R1368=0),"",ROUND($I1368/$R1368,2))))</f>
        <v/>
      </c>
      <c r="T1368" s="24" t="str">
        <f aca="false">IF($N1368="","",IFERROR(INDEX(VAT_Codes!$C:$C,MATCH($N1368,VAT_Codes!$A:$A,0)),"")&amp;"")</f>
        <v/>
      </c>
      <c r="U1368" s="26" t="n">
        <f aca="false">IF(OR($S1368="",$T1368="",$T1368="None"),0,IF($T1368="Output",-$S1368,$S1368))</f>
        <v>0</v>
      </c>
      <c r="V1368" s="27" t="n">
        <f aca="false">IF($N1368="",0,IFERROR(INDEX(VAT_Codes!$D:$D,MATCH($N1368,VAT_Codes!$A:$A,0)),0))</f>
        <v>0</v>
      </c>
      <c r="W1368" s="26" t="n">
        <f aca="false">IF($U1368=0,0,IF(IFERROR(INDEX(VAT_Codes!$F:$F,MATCH($N1368,VAT_Codes!$A:$A,0)),"N")="Y",$U1368,IF($L1368&lt;&gt;"",ROUND(ABS($L1368)/IF(OR($R1368="",$R1368=0),1,$R1368),2)*SIGN($U1368),ROUND($U1368*$V1368,2))))</f>
        <v>0</v>
      </c>
      <c r="X1368" s="24" t="str">
        <f aca="false">IF($N1368="","",IFERROR(INDEX(VAT_Codes!$H:$H,MATCH($N1368,VAT_Codes!$A:$A,0)),"")&amp;"")</f>
        <v/>
      </c>
      <c r="Y1368" s="24" t="str">
        <f aca="false">IF($A1368="","",(YEAR($A1368)-YEAR(Settings!$C$8))*12+MONTH($A1368)-MONTH(Settings!$C$8)+1)</f>
        <v/>
      </c>
      <c r="Z1368" s="24" t="str">
        <f aca="false">IF(AND($C1368="",$I1368="",$J1368=""),"",IF($N1368="","NO VAT CODE",IF($T1368="","UNKNOWN VAT CODE",IF($S1368="","MISSING FX RATE",IF(OR($A1368&lt;Settings!$C$8,$A1368&gt;Settings!$C$9),"OUTSIDE PERIOD",IF(AND(IFERROR(INDEX(VAT_Codes!$E:$E,MATCH($N1368,VAT_Codes!$A:$A,0)),"ANY")&lt;&gt;"ANY",$P1368=""),"MISSING COUNTERPARTY COUNTRY",IF(AND(IFERROR(INDEX(VAT_Codes!$E:$E,MATCH($N1368,VAT_Codes!$A:$A,0)),"ANY")&lt;&gt;"ANY",$P1368&lt;&gt;IFERROR(INDEX(VAT_Codes!$E:$E,MATCH($N1368,VAT_Codes!$A:$A,0)),"ANY")),"REGION MISMATCH","OK")))))))</f>
        <v/>
      </c>
    </row>
    <row r="1369" customFormat="false" ht="15" hidden="false" customHeight="false" outlineLevel="0" collapsed="false">
      <c r="M1369" s="24" t="str">
        <f aca="false">IF($C1369="","",IFERROR(INDEX(Account_Mapping!$C:$C,MATCH($C1369&amp;"",Account_Mapping!$A:$A,0))&amp;"",""))</f>
        <v/>
      </c>
      <c r="N1369" s="24" t="str">
        <f aca="false">IF($K1369&lt;&gt;"",$K1369,$M1369)</f>
        <v/>
      </c>
      <c r="O1369" s="24" t="str">
        <f aca="false">IF($F1369="","",IFERROR(INDEX(Counterparties!$C:$C,MATCH($F1369&amp;"",Counterparties!$A:$A,0))&amp;"",""))</f>
        <v/>
      </c>
      <c r="P1369" s="24" t="str">
        <f aca="false">IF($O1369="","",IF($O1369="CY","CY",IF(ISNUMBER(MATCH($O1369,Lists!$A:$A,0)),"EU","3RD")))</f>
        <v/>
      </c>
      <c r="Q1369" s="24" t="str">
        <f aca="false">IF($F1369="","N",IFERROR(IF(INDEX(Counterparties!$E:$E,MATCH($F1369&amp;"",Counterparties!$A:$A,0))="Y","Y","N"),"N"))</f>
        <v>N</v>
      </c>
      <c r="R1369" s="25" t="n">
        <f aca="false">IF(OR($H1369="",$H1369="EUR"),1,IFERROR(INDEX(FX_Rates!$D:$D,MATCH($H1369,FX_Rates!$A:$A,0)),""))</f>
        <v>1</v>
      </c>
      <c r="S1369" s="26" t="str">
        <f aca="false">IF(AND($I1369="",$J1369=""),"",IF($J1369&lt;&gt;"",$J1369,IF(OR($R1369="",$R1369=0),"",ROUND($I1369/$R1369,2))))</f>
        <v/>
      </c>
      <c r="T1369" s="24" t="str">
        <f aca="false">IF($N1369="","",IFERROR(INDEX(VAT_Codes!$C:$C,MATCH($N1369,VAT_Codes!$A:$A,0)),"")&amp;"")</f>
        <v/>
      </c>
      <c r="U1369" s="26" t="n">
        <f aca="false">IF(OR($S1369="",$T1369="",$T1369="None"),0,IF($T1369="Output",-$S1369,$S1369))</f>
        <v>0</v>
      </c>
      <c r="V1369" s="27" t="n">
        <f aca="false">IF($N1369="",0,IFERROR(INDEX(VAT_Codes!$D:$D,MATCH($N1369,VAT_Codes!$A:$A,0)),0))</f>
        <v>0</v>
      </c>
      <c r="W1369" s="26" t="n">
        <f aca="false">IF($U1369=0,0,IF(IFERROR(INDEX(VAT_Codes!$F:$F,MATCH($N1369,VAT_Codes!$A:$A,0)),"N")="Y",$U1369,IF($L1369&lt;&gt;"",ROUND(ABS($L1369)/IF(OR($R1369="",$R1369=0),1,$R1369),2)*SIGN($U1369),ROUND($U1369*$V1369,2))))</f>
        <v>0</v>
      </c>
      <c r="X1369" s="24" t="str">
        <f aca="false">IF($N1369="","",IFERROR(INDEX(VAT_Codes!$H:$H,MATCH($N1369,VAT_Codes!$A:$A,0)),"")&amp;"")</f>
        <v/>
      </c>
      <c r="Y1369" s="24" t="str">
        <f aca="false">IF($A1369="","",(YEAR($A1369)-YEAR(Settings!$C$8))*12+MONTH($A1369)-MONTH(Settings!$C$8)+1)</f>
        <v/>
      </c>
      <c r="Z1369" s="24" t="str">
        <f aca="false">IF(AND($C1369="",$I1369="",$J1369=""),"",IF($N1369="","NO VAT CODE",IF($T1369="","UNKNOWN VAT CODE",IF($S1369="","MISSING FX RATE",IF(OR($A1369&lt;Settings!$C$8,$A1369&gt;Settings!$C$9),"OUTSIDE PERIOD",IF(AND(IFERROR(INDEX(VAT_Codes!$E:$E,MATCH($N1369,VAT_Codes!$A:$A,0)),"ANY")&lt;&gt;"ANY",$P1369=""),"MISSING COUNTERPARTY COUNTRY",IF(AND(IFERROR(INDEX(VAT_Codes!$E:$E,MATCH($N1369,VAT_Codes!$A:$A,0)),"ANY")&lt;&gt;"ANY",$P1369&lt;&gt;IFERROR(INDEX(VAT_Codes!$E:$E,MATCH($N1369,VAT_Codes!$A:$A,0)),"ANY")),"REGION MISMATCH","OK")))))))</f>
        <v/>
      </c>
    </row>
    <row r="1370" customFormat="false" ht="15" hidden="false" customHeight="false" outlineLevel="0" collapsed="false">
      <c r="M1370" s="24" t="str">
        <f aca="false">IF($C1370="","",IFERROR(INDEX(Account_Mapping!$C:$C,MATCH($C1370&amp;"",Account_Mapping!$A:$A,0))&amp;"",""))</f>
        <v/>
      </c>
      <c r="N1370" s="24" t="str">
        <f aca="false">IF($K1370&lt;&gt;"",$K1370,$M1370)</f>
        <v/>
      </c>
      <c r="O1370" s="24" t="str">
        <f aca="false">IF($F1370="","",IFERROR(INDEX(Counterparties!$C:$C,MATCH($F1370&amp;"",Counterparties!$A:$A,0))&amp;"",""))</f>
        <v/>
      </c>
      <c r="P1370" s="24" t="str">
        <f aca="false">IF($O1370="","",IF($O1370="CY","CY",IF(ISNUMBER(MATCH($O1370,Lists!$A:$A,0)),"EU","3RD")))</f>
        <v/>
      </c>
      <c r="Q1370" s="24" t="str">
        <f aca="false">IF($F1370="","N",IFERROR(IF(INDEX(Counterparties!$E:$E,MATCH($F1370&amp;"",Counterparties!$A:$A,0))="Y","Y","N"),"N"))</f>
        <v>N</v>
      </c>
      <c r="R1370" s="25" t="n">
        <f aca="false">IF(OR($H1370="",$H1370="EUR"),1,IFERROR(INDEX(FX_Rates!$D:$D,MATCH($H1370,FX_Rates!$A:$A,0)),""))</f>
        <v>1</v>
      </c>
      <c r="S1370" s="26" t="str">
        <f aca="false">IF(AND($I1370="",$J1370=""),"",IF($J1370&lt;&gt;"",$J1370,IF(OR($R1370="",$R1370=0),"",ROUND($I1370/$R1370,2))))</f>
        <v/>
      </c>
      <c r="T1370" s="24" t="str">
        <f aca="false">IF($N1370="","",IFERROR(INDEX(VAT_Codes!$C:$C,MATCH($N1370,VAT_Codes!$A:$A,0)),"")&amp;"")</f>
        <v/>
      </c>
      <c r="U1370" s="26" t="n">
        <f aca="false">IF(OR($S1370="",$T1370="",$T1370="None"),0,IF($T1370="Output",-$S1370,$S1370))</f>
        <v>0</v>
      </c>
      <c r="V1370" s="27" t="n">
        <f aca="false">IF($N1370="",0,IFERROR(INDEX(VAT_Codes!$D:$D,MATCH($N1370,VAT_Codes!$A:$A,0)),0))</f>
        <v>0</v>
      </c>
      <c r="W1370" s="26" t="n">
        <f aca="false">IF($U1370=0,0,IF(IFERROR(INDEX(VAT_Codes!$F:$F,MATCH($N1370,VAT_Codes!$A:$A,0)),"N")="Y",$U1370,IF($L1370&lt;&gt;"",ROUND(ABS($L1370)/IF(OR($R1370="",$R1370=0),1,$R1370),2)*SIGN($U1370),ROUND($U1370*$V1370,2))))</f>
        <v>0</v>
      </c>
      <c r="X1370" s="24" t="str">
        <f aca="false">IF($N1370="","",IFERROR(INDEX(VAT_Codes!$H:$H,MATCH($N1370,VAT_Codes!$A:$A,0)),"")&amp;"")</f>
        <v/>
      </c>
      <c r="Y1370" s="24" t="str">
        <f aca="false">IF($A1370="","",(YEAR($A1370)-YEAR(Settings!$C$8))*12+MONTH($A1370)-MONTH(Settings!$C$8)+1)</f>
        <v/>
      </c>
      <c r="Z1370" s="24" t="str">
        <f aca="false">IF(AND($C1370="",$I1370="",$J1370=""),"",IF($N1370="","NO VAT CODE",IF($T1370="","UNKNOWN VAT CODE",IF($S1370="","MISSING FX RATE",IF(OR($A1370&lt;Settings!$C$8,$A1370&gt;Settings!$C$9),"OUTSIDE PERIOD",IF(AND(IFERROR(INDEX(VAT_Codes!$E:$E,MATCH($N1370,VAT_Codes!$A:$A,0)),"ANY")&lt;&gt;"ANY",$P1370=""),"MISSING COUNTERPARTY COUNTRY",IF(AND(IFERROR(INDEX(VAT_Codes!$E:$E,MATCH($N1370,VAT_Codes!$A:$A,0)),"ANY")&lt;&gt;"ANY",$P1370&lt;&gt;IFERROR(INDEX(VAT_Codes!$E:$E,MATCH($N1370,VAT_Codes!$A:$A,0)),"ANY")),"REGION MISMATCH","OK")))))))</f>
        <v/>
      </c>
    </row>
    <row r="1371" customFormat="false" ht="15" hidden="false" customHeight="false" outlineLevel="0" collapsed="false">
      <c r="M1371" s="24" t="str">
        <f aca="false">IF($C1371="","",IFERROR(INDEX(Account_Mapping!$C:$C,MATCH($C1371&amp;"",Account_Mapping!$A:$A,0))&amp;"",""))</f>
        <v/>
      </c>
      <c r="N1371" s="24" t="str">
        <f aca="false">IF($K1371&lt;&gt;"",$K1371,$M1371)</f>
        <v/>
      </c>
      <c r="O1371" s="24" t="str">
        <f aca="false">IF($F1371="","",IFERROR(INDEX(Counterparties!$C:$C,MATCH($F1371&amp;"",Counterparties!$A:$A,0))&amp;"",""))</f>
        <v/>
      </c>
      <c r="P1371" s="24" t="str">
        <f aca="false">IF($O1371="","",IF($O1371="CY","CY",IF(ISNUMBER(MATCH($O1371,Lists!$A:$A,0)),"EU","3RD")))</f>
        <v/>
      </c>
      <c r="Q1371" s="24" t="str">
        <f aca="false">IF($F1371="","N",IFERROR(IF(INDEX(Counterparties!$E:$E,MATCH($F1371&amp;"",Counterparties!$A:$A,0))="Y","Y","N"),"N"))</f>
        <v>N</v>
      </c>
      <c r="R1371" s="25" t="n">
        <f aca="false">IF(OR($H1371="",$H1371="EUR"),1,IFERROR(INDEX(FX_Rates!$D:$D,MATCH($H1371,FX_Rates!$A:$A,0)),""))</f>
        <v>1</v>
      </c>
      <c r="S1371" s="26" t="str">
        <f aca="false">IF(AND($I1371="",$J1371=""),"",IF($J1371&lt;&gt;"",$J1371,IF(OR($R1371="",$R1371=0),"",ROUND($I1371/$R1371,2))))</f>
        <v/>
      </c>
      <c r="T1371" s="24" t="str">
        <f aca="false">IF($N1371="","",IFERROR(INDEX(VAT_Codes!$C:$C,MATCH($N1371,VAT_Codes!$A:$A,0)),"")&amp;"")</f>
        <v/>
      </c>
      <c r="U1371" s="26" t="n">
        <f aca="false">IF(OR($S1371="",$T1371="",$T1371="None"),0,IF($T1371="Output",-$S1371,$S1371))</f>
        <v>0</v>
      </c>
      <c r="V1371" s="27" t="n">
        <f aca="false">IF($N1371="",0,IFERROR(INDEX(VAT_Codes!$D:$D,MATCH($N1371,VAT_Codes!$A:$A,0)),0))</f>
        <v>0</v>
      </c>
      <c r="W1371" s="26" t="n">
        <f aca="false">IF($U1371=0,0,IF(IFERROR(INDEX(VAT_Codes!$F:$F,MATCH($N1371,VAT_Codes!$A:$A,0)),"N")="Y",$U1371,IF($L1371&lt;&gt;"",ROUND(ABS($L1371)/IF(OR($R1371="",$R1371=0),1,$R1371),2)*SIGN($U1371),ROUND($U1371*$V1371,2))))</f>
        <v>0</v>
      </c>
      <c r="X1371" s="24" t="str">
        <f aca="false">IF($N1371="","",IFERROR(INDEX(VAT_Codes!$H:$H,MATCH($N1371,VAT_Codes!$A:$A,0)),"")&amp;"")</f>
        <v/>
      </c>
      <c r="Y1371" s="24" t="str">
        <f aca="false">IF($A1371="","",(YEAR($A1371)-YEAR(Settings!$C$8))*12+MONTH($A1371)-MONTH(Settings!$C$8)+1)</f>
        <v/>
      </c>
      <c r="Z1371" s="24" t="str">
        <f aca="false">IF(AND($C1371="",$I1371="",$J1371=""),"",IF($N1371="","NO VAT CODE",IF($T1371="","UNKNOWN VAT CODE",IF($S1371="","MISSING FX RATE",IF(OR($A1371&lt;Settings!$C$8,$A1371&gt;Settings!$C$9),"OUTSIDE PERIOD",IF(AND(IFERROR(INDEX(VAT_Codes!$E:$E,MATCH($N1371,VAT_Codes!$A:$A,0)),"ANY")&lt;&gt;"ANY",$P1371=""),"MISSING COUNTERPARTY COUNTRY",IF(AND(IFERROR(INDEX(VAT_Codes!$E:$E,MATCH($N1371,VAT_Codes!$A:$A,0)),"ANY")&lt;&gt;"ANY",$P1371&lt;&gt;IFERROR(INDEX(VAT_Codes!$E:$E,MATCH($N1371,VAT_Codes!$A:$A,0)),"ANY")),"REGION MISMATCH","OK")))))))</f>
        <v/>
      </c>
    </row>
    <row r="1372" customFormat="false" ht="15" hidden="false" customHeight="false" outlineLevel="0" collapsed="false">
      <c r="M1372" s="24" t="str">
        <f aca="false">IF($C1372="","",IFERROR(INDEX(Account_Mapping!$C:$C,MATCH($C1372&amp;"",Account_Mapping!$A:$A,0))&amp;"",""))</f>
        <v/>
      </c>
      <c r="N1372" s="24" t="str">
        <f aca="false">IF($K1372&lt;&gt;"",$K1372,$M1372)</f>
        <v/>
      </c>
      <c r="O1372" s="24" t="str">
        <f aca="false">IF($F1372="","",IFERROR(INDEX(Counterparties!$C:$C,MATCH($F1372&amp;"",Counterparties!$A:$A,0))&amp;"",""))</f>
        <v/>
      </c>
      <c r="P1372" s="24" t="str">
        <f aca="false">IF($O1372="","",IF($O1372="CY","CY",IF(ISNUMBER(MATCH($O1372,Lists!$A:$A,0)),"EU","3RD")))</f>
        <v/>
      </c>
      <c r="Q1372" s="24" t="str">
        <f aca="false">IF($F1372="","N",IFERROR(IF(INDEX(Counterparties!$E:$E,MATCH($F1372&amp;"",Counterparties!$A:$A,0))="Y","Y","N"),"N"))</f>
        <v>N</v>
      </c>
      <c r="R1372" s="25" t="n">
        <f aca="false">IF(OR($H1372="",$H1372="EUR"),1,IFERROR(INDEX(FX_Rates!$D:$D,MATCH($H1372,FX_Rates!$A:$A,0)),""))</f>
        <v>1</v>
      </c>
      <c r="S1372" s="26" t="str">
        <f aca="false">IF(AND($I1372="",$J1372=""),"",IF($J1372&lt;&gt;"",$J1372,IF(OR($R1372="",$R1372=0),"",ROUND($I1372/$R1372,2))))</f>
        <v/>
      </c>
      <c r="T1372" s="24" t="str">
        <f aca="false">IF($N1372="","",IFERROR(INDEX(VAT_Codes!$C:$C,MATCH($N1372,VAT_Codes!$A:$A,0)),"")&amp;"")</f>
        <v/>
      </c>
      <c r="U1372" s="26" t="n">
        <f aca="false">IF(OR($S1372="",$T1372="",$T1372="None"),0,IF($T1372="Output",-$S1372,$S1372))</f>
        <v>0</v>
      </c>
      <c r="V1372" s="27" t="n">
        <f aca="false">IF($N1372="",0,IFERROR(INDEX(VAT_Codes!$D:$D,MATCH($N1372,VAT_Codes!$A:$A,0)),0))</f>
        <v>0</v>
      </c>
      <c r="W1372" s="26" t="n">
        <f aca="false">IF($U1372=0,0,IF(IFERROR(INDEX(VAT_Codes!$F:$F,MATCH($N1372,VAT_Codes!$A:$A,0)),"N")="Y",$U1372,IF($L1372&lt;&gt;"",ROUND(ABS($L1372)/IF(OR($R1372="",$R1372=0),1,$R1372),2)*SIGN($U1372),ROUND($U1372*$V1372,2))))</f>
        <v>0</v>
      </c>
      <c r="X1372" s="24" t="str">
        <f aca="false">IF($N1372="","",IFERROR(INDEX(VAT_Codes!$H:$H,MATCH($N1372,VAT_Codes!$A:$A,0)),"")&amp;"")</f>
        <v/>
      </c>
      <c r="Y1372" s="24" t="str">
        <f aca="false">IF($A1372="","",(YEAR($A1372)-YEAR(Settings!$C$8))*12+MONTH($A1372)-MONTH(Settings!$C$8)+1)</f>
        <v/>
      </c>
      <c r="Z1372" s="24" t="str">
        <f aca="false">IF(AND($C1372="",$I1372="",$J1372=""),"",IF($N1372="","NO VAT CODE",IF($T1372="","UNKNOWN VAT CODE",IF($S1372="","MISSING FX RATE",IF(OR($A1372&lt;Settings!$C$8,$A1372&gt;Settings!$C$9),"OUTSIDE PERIOD",IF(AND(IFERROR(INDEX(VAT_Codes!$E:$E,MATCH($N1372,VAT_Codes!$A:$A,0)),"ANY")&lt;&gt;"ANY",$P1372=""),"MISSING COUNTERPARTY COUNTRY",IF(AND(IFERROR(INDEX(VAT_Codes!$E:$E,MATCH($N1372,VAT_Codes!$A:$A,0)),"ANY")&lt;&gt;"ANY",$P1372&lt;&gt;IFERROR(INDEX(VAT_Codes!$E:$E,MATCH($N1372,VAT_Codes!$A:$A,0)),"ANY")),"REGION MISMATCH","OK")))))))</f>
        <v/>
      </c>
    </row>
    <row r="1373" customFormat="false" ht="15" hidden="false" customHeight="false" outlineLevel="0" collapsed="false">
      <c r="M1373" s="24" t="str">
        <f aca="false">IF($C1373="","",IFERROR(INDEX(Account_Mapping!$C:$C,MATCH($C1373&amp;"",Account_Mapping!$A:$A,0))&amp;"",""))</f>
        <v/>
      </c>
      <c r="N1373" s="24" t="str">
        <f aca="false">IF($K1373&lt;&gt;"",$K1373,$M1373)</f>
        <v/>
      </c>
      <c r="O1373" s="24" t="str">
        <f aca="false">IF($F1373="","",IFERROR(INDEX(Counterparties!$C:$C,MATCH($F1373&amp;"",Counterparties!$A:$A,0))&amp;"",""))</f>
        <v/>
      </c>
      <c r="P1373" s="24" t="str">
        <f aca="false">IF($O1373="","",IF($O1373="CY","CY",IF(ISNUMBER(MATCH($O1373,Lists!$A:$A,0)),"EU","3RD")))</f>
        <v/>
      </c>
      <c r="Q1373" s="24" t="str">
        <f aca="false">IF($F1373="","N",IFERROR(IF(INDEX(Counterparties!$E:$E,MATCH($F1373&amp;"",Counterparties!$A:$A,0))="Y","Y","N"),"N"))</f>
        <v>N</v>
      </c>
      <c r="R1373" s="25" t="n">
        <f aca="false">IF(OR($H1373="",$H1373="EUR"),1,IFERROR(INDEX(FX_Rates!$D:$D,MATCH($H1373,FX_Rates!$A:$A,0)),""))</f>
        <v>1</v>
      </c>
      <c r="S1373" s="26" t="str">
        <f aca="false">IF(AND($I1373="",$J1373=""),"",IF($J1373&lt;&gt;"",$J1373,IF(OR($R1373="",$R1373=0),"",ROUND($I1373/$R1373,2))))</f>
        <v/>
      </c>
      <c r="T1373" s="24" t="str">
        <f aca="false">IF($N1373="","",IFERROR(INDEX(VAT_Codes!$C:$C,MATCH($N1373,VAT_Codes!$A:$A,0)),"")&amp;"")</f>
        <v/>
      </c>
      <c r="U1373" s="26" t="n">
        <f aca="false">IF(OR($S1373="",$T1373="",$T1373="None"),0,IF($T1373="Output",-$S1373,$S1373))</f>
        <v>0</v>
      </c>
      <c r="V1373" s="27" t="n">
        <f aca="false">IF($N1373="",0,IFERROR(INDEX(VAT_Codes!$D:$D,MATCH($N1373,VAT_Codes!$A:$A,0)),0))</f>
        <v>0</v>
      </c>
      <c r="W1373" s="26" t="n">
        <f aca="false">IF($U1373=0,0,IF(IFERROR(INDEX(VAT_Codes!$F:$F,MATCH($N1373,VAT_Codes!$A:$A,0)),"N")="Y",$U1373,IF($L1373&lt;&gt;"",ROUND(ABS($L1373)/IF(OR($R1373="",$R1373=0),1,$R1373),2)*SIGN($U1373),ROUND($U1373*$V1373,2))))</f>
        <v>0</v>
      </c>
      <c r="X1373" s="24" t="str">
        <f aca="false">IF($N1373="","",IFERROR(INDEX(VAT_Codes!$H:$H,MATCH($N1373,VAT_Codes!$A:$A,0)),"")&amp;"")</f>
        <v/>
      </c>
      <c r="Y1373" s="24" t="str">
        <f aca="false">IF($A1373="","",(YEAR($A1373)-YEAR(Settings!$C$8))*12+MONTH($A1373)-MONTH(Settings!$C$8)+1)</f>
        <v/>
      </c>
      <c r="Z1373" s="24" t="str">
        <f aca="false">IF(AND($C1373="",$I1373="",$J1373=""),"",IF($N1373="","NO VAT CODE",IF($T1373="","UNKNOWN VAT CODE",IF($S1373="","MISSING FX RATE",IF(OR($A1373&lt;Settings!$C$8,$A1373&gt;Settings!$C$9),"OUTSIDE PERIOD",IF(AND(IFERROR(INDEX(VAT_Codes!$E:$E,MATCH($N1373,VAT_Codes!$A:$A,0)),"ANY")&lt;&gt;"ANY",$P1373=""),"MISSING COUNTERPARTY COUNTRY",IF(AND(IFERROR(INDEX(VAT_Codes!$E:$E,MATCH($N1373,VAT_Codes!$A:$A,0)),"ANY")&lt;&gt;"ANY",$P1373&lt;&gt;IFERROR(INDEX(VAT_Codes!$E:$E,MATCH($N1373,VAT_Codes!$A:$A,0)),"ANY")),"REGION MISMATCH","OK")))))))</f>
        <v/>
      </c>
    </row>
    <row r="1374" customFormat="false" ht="15" hidden="false" customHeight="false" outlineLevel="0" collapsed="false">
      <c r="M1374" s="24" t="str">
        <f aca="false">IF($C1374="","",IFERROR(INDEX(Account_Mapping!$C:$C,MATCH($C1374&amp;"",Account_Mapping!$A:$A,0))&amp;"",""))</f>
        <v/>
      </c>
      <c r="N1374" s="24" t="str">
        <f aca="false">IF($K1374&lt;&gt;"",$K1374,$M1374)</f>
        <v/>
      </c>
      <c r="O1374" s="24" t="str">
        <f aca="false">IF($F1374="","",IFERROR(INDEX(Counterparties!$C:$C,MATCH($F1374&amp;"",Counterparties!$A:$A,0))&amp;"",""))</f>
        <v/>
      </c>
      <c r="P1374" s="24" t="str">
        <f aca="false">IF($O1374="","",IF($O1374="CY","CY",IF(ISNUMBER(MATCH($O1374,Lists!$A:$A,0)),"EU","3RD")))</f>
        <v/>
      </c>
      <c r="Q1374" s="24" t="str">
        <f aca="false">IF($F1374="","N",IFERROR(IF(INDEX(Counterparties!$E:$E,MATCH($F1374&amp;"",Counterparties!$A:$A,0))="Y","Y","N"),"N"))</f>
        <v>N</v>
      </c>
      <c r="R1374" s="25" t="n">
        <f aca="false">IF(OR($H1374="",$H1374="EUR"),1,IFERROR(INDEX(FX_Rates!$D:$D,MATCH($H1374,FX_Rates!$A:$A,0)),""))</f>
        <v>1</v>
      </c>
      <c r="S1374" s="26" t="str">
        <f aca="false">IF(AND($I1374="",$J1374=""),"",IF($J1374&lt;&gt;"",$J1374,IF(OR($R1374="",$R1374=0),"",ROUND($I1374/$R1374,2))))</f>
        <v/>
      </c>
      <c r="T1374" s="24" t="str">
        <f aca="false">IF($N1374="","",IFERROR(INDEX(VAT_Codes!$C:$C,MATCH($N1374,VAT_Codes!$A:$A,0)),"")&amp;"")</f>
        <v/>
      </c>
      <c r="U1374" s="26" t="n">
        <f aca="false">IF(OR($S1374="",$T1374="",$T1374="None"),0,IF($T1374="Output",-$S1374,$S1374))</f>
        <v>0</v>
      </c>
      <c r="V1374" s="27" t="n">
        <f aca="false">IF($N1374="",0,IFERROR(INDEX(VAT_Codes!$D:$D,MATCH($N1374,VAT_Codes!$A:$A,0)),0))</f>
        <v>0</v>
      </c>
      <c r="W1374" s="26" t="n">
        <f aca="false">IF($U1374=0,0,IF(IFERROR(INDEX(VAT_Codes!$F:$F,MATCH($N1374,VAT_Codes!$A:$A,0)),"N")="Y",$U1374,IF($L1374&lt;&gt;"",ROUND(ABS($L1374)/IF(OR($R1374="",$R1374=0),1,$R1374),2)*SIGN($U1374),ROUND($U1374*$V1374,2))))</f>
        <v>0</v>
      </c>
      <c r="X1374" s="24" t="str">
        <f aca="false">IF($N1374="","",IFERROR(INDEX(VAT_Codes!$H:$H,MATCH($N1374,VAT_Codes!$A:$A,0)),"")&amp;"")</f>
        <v/>
      </c>
      <c r="Y1374" s="24" t="str">
        <f aca="false">IF($A1374="","",(YEAR($A1374)-YEAR(Settings!$C$8))*12+MONTH($A1374)-MONTH(Settings!$C$8)+1)</f>
        <v/>
      </c>
      <c r="Z1374" s="24" t="str">
        <f aca="false">IF(AND($C1374="",$I1374="",$J1374=""),"",IF($N1374="","NO VAT CODE",IF($T1374="","UNKNOWN VAT CODE",IF($S1374="","MISSING FX RATE",IF(OR($A1374&lt;Settings!$C$8,$A1374&gt;Settings!$C$9),"OUTSIDE PERIOD",IF(AND(IFERROR(INDEX(VAT_Codes!$E:$E,MATCH($N1374,VAT_Codes!$A:$A,0)),"ANY")&lt;&gt;"ANY",$P1374=""),"MISSING COUNTERPARTY COUNTRY",IF(AND(IFERROR(INDEX(VAT_Codes!$E:$E,MATCH($N1374,VAT_Codes!$A:$A,0)),"ANY")&lt;&gt;"ANY",$P1374&lt;&gt;IFERROR(INDEX(VAT_Codes!$E:$E,MATCH($N1374,VAT_Codes!$A:$A,0)),"ANY")),"REGION MISMATCH","OK")))))))</f>
        <v/>
      </c>
    </row>
    <row r="1375" customFormat="false" ht="15" hidden="false" customHeight="false" outlineLevel="0" collapsed="false">
      <c r="M1375" s="24" t="str">
        <f aca="false">IF($C1375="","",IFERROR(INDEX(Account_Mapping!$C:$C,MATCH($C1375&amp;"",Account_Mapping!$A:$A,0))&amp;"",""))</f>
        <v/>
      </c>
      <c r="N1375" s="24" t="str">
        <f aca="false">IF($K1375&lt;&gt;"",$K1375,$M1375)</f>
        <v/>
      </c>
      <c r="O1375" s="24" t="str">
        <f aca="false">IF($F1375="","",IFERROR(INDEX(Counterparties!$C:$C,MATCH($F1375&amp;"",Counterparties!$A:$A,0))&amp;"",""))</f>
        <v/>
      </c>
      <c r="P1375" s="24" t="str">
        <f aca="false">IF($O1375="","",IF($O1375="CY","CY",IF(ISNUMBER(MATCH($O1375,Lists!$A:$A,0)),"EU","3RD")))</f>
        <v/>
      </c>
      <c r="Q1375" s="24" t="str">
        <f aca="false">IF($F1375="","N",IFERROR(IF(INDEX(Counterparties!$E:$E,MATCH($F1375&amp;"",Counterparties!$A:$A,0))="Y","Y","N"),"N"))</f>
        <v>N</v>
      </c>
      <c r="R1375" s="25" t="n">
        <f aca="false">IF(OR($H1375="",$H1375="EUR"),1,IFERROR(INDEX(FX_Rates!$D:$D,MATCH($H1375,FX_Rates!$A:$A,0)),""))</f>
        <v>1</v>
      </c>
      <c r="S1375" s="26" t="str">
        <f aca="false">IF(AND($I1375="",$J1375=""),"",IF($J1375&lt;&gt;"",$J1375,IF(OR($R1375="",$R1375=0),"",ROUND($I1375/$R1375,2))))</f>
        <v/>
      </c>
      <c r="T1375" s="24" t="str">
        <f aca="false">IF($N1375="","",IFERROR(INDEX(VAT_Codes!$C:$C,MATCH($N1375,VAT_Codes!$A:$A,0)),"")&amp;"")</f>
        <v/>
      </c>
      <c r="U1375" s="26" t="n">
        <f aca="false">IF(OR($S1375="",$T1375="",$T1375="None"),0,IF($T1375="Output",-$S1375,$S1375))</f>
        <v>0</v>
      </c>
      <c r="V1375" s="27" t="n">
        <f aca="false">IF($N1375="",0,IFERROR(INDEX(VAT_Codes!$D:$D,MATCH($N1375,VAT_Codes!$A:$A,0)),0))</f>
        <v>0</v>
      </c>
      <c r="W1375" s="26" t="n">
        <f aca="false">IF($U1375=0,0,IF(IFERROR(INDEX(VAT_Codes!$F:$F,MATCH($N1375,VAT_Codes!$A:$A,0)),"N")="Y",$U1375,IF($L1375&lt;&gt;"",ROUND(ABS($L1375)/IF(OR($R1375="",$R1375=0),1,$R1375),2)*SIGN($U1375),ROUND($U1375*$V1375,2))))</f>
        <v>0</v>
      </c>
      <c r="X1375" s="24" t="str">
        <f aca="false">IF($N1375="","",IFERROR(INDEX(VAT_Codes!$H:$H,MATCH($N1375,VAT_Codes!$A:$A,0)),"")&amp;"")</f>
        <v/>
      </c>
      <c r="Y1375" s="24" t="str">
        <f aca="false">IF($A1375="","",(YEAR($A1375)-YEAR(Settings!$C$8))*12+MONTH($A1375)-MONTH(Settings!$C$8)+1)</f>
        <v/>
      </c>
      <c r="Z1375" s="24" t="str">
        <f aca="false">IF(AND($C1375="",$I1375="",$J1375=""),"",IF($N1375="","NO VAT CODE",IF($T1375="","UNKNOWN VAT CODE",IF($S1375="","MISSING FX RATE",IF(OR($A1375&lt;Settings!$C$8,$A1375&gt;Settings!$C$9),"OUTSIDE PERIOD",IF(AND(IFERROR(INDEX(VAT_Codes!$E:$E,MATCH($N1375,VAT_Codes!$A:$A,0)),"ANY")&lt;&gt;"ANY",$P1375=""),"MISSING COUNTERPARTY COUNTRY",IF(AND(IFERROR(INDEX(VAT_Codes!$E:$E,MATCH($N1375,VAT_Codes!$A:$A,0)),"ANY")&lt;&gt;"ANY",$P1375&lt;&gt;IFERROR(INDEX(VAT_Codes!$E:$E,MATCH($N1375,VAT_Codes!$A:$A,0)),"ANY")),"REGION MISMATCH","OK")))))))</f>
        <v/>
      </c>
    </row>
    <row r="1376" customFormat="false" ht="15" hidden="false" customHeight="false" outlineLevel="0" collapsed="false">
      <c r="M1376" s="24" t="str">
        <f aca="false">IF($C1376="","",IFERROR(INDEX(Account_Mapping!$C:$C,MATCH($C1376&amp;"",Account_Mapping!$A:$A,0))&amp;"",""))</f>
        <v/>
      </c>
      <c r="N1376" s="24" t="str">
        <f aca="false">IF($K1376&lt;&gt;"",$K1376,$M1376)</f>
        <v/>
      </c>
      <c r="O1376" s="24" t="str">
        <f aca="false">IF($F1376="","",IFERROR(INDEX(Counterparties!$C:$C,MATCH($F1376&amp;"",Counterparties!$A:$A,0))&amp;"",""))</f>
        <v/>
      </c>
      <c r="P1376" s="24" t="str">
        <f aca="false">IF($O1376="","",IF($O1376="CY","CY",IF(ISNUMBER(MATCH($O1376,Lists!$A:$A,0)),"EU","3RD")))</f>
        <v/>
      </c>
      <c r="Q1376" s="24" t="str">
        <f aca="false">IF($F1376="","N",IFERROR(IF(INDEX(Counterparties!$E:$E,MATCH($F1376&amp;"",Counterparties!$A:$A,0))="Y","Y","N"),"N"))</f>
        <v>N</v>
      </c>
      <c r="R1376" s="25" t="n">
        <f aca="false">IF(OR($H1376="",$H1376="EUR"),1,IFERROR(INDEX(FX_Rates!$D:$D,MATCH($H1376,FX_Rates!$A:$A,0)),""))</f>
        <v>1</v>
      </c>
      <c r="S1376" s="26" t="str">
        <f aca="false">IF(AND($I1376="",$J1376=""),"",IF($J1376&lt;&gt;"",$J1376,IF(OR($R1376="",$R1376=0),"",ROUND($I1376/$R1376,2))))</f>
        <v/>
      </c>
      <c r="T1376" s="24" t="str">
        <f aca="false">IF($N1376="","",IFERROR(INDEX(VAT_Codes!$C:$C,MATCH($N1376,VAT_Codes!$A:$A,0)),"")&amp;"")</f>
        <v/>
      </c>
      <c r="U1376" s="26" t="n">
        <f aca="false">IF(OR($S1376="",$T1376="",$T1376="None"),0,IF($T1376="Output",-$S1376,$S1376))</f>
        <v>0</v>
      </c>
      <c r="V1376" s="27" t="n">
        <f aca="false">IF($N1376="",0,IFERROR(INDEX(VAT_Codes!$D:$D,MATCH($N1376,VAT_Codes!$A:$A,0)),0))</f>
        <v>0</v>
      </c>
      <c r="W1376" s="26" t="n">
        <f aca="false">IF($U1376=0,0,IF(IFERROR(INDEX(VAT_Codes!$F:$F,MATCH($N1376,VAT_Codes!$A:$A,0)),"N")="Y",$U1376,IF($L1376&lt;&gt;"",ROUND(ABS($L1376)/IF(OR($R1376="",$R1376=0),1,$R1376),2)*SIGN($U1376),ROUND($U1376*$V1376,2))))</f>
        <v>0</v>
      </c>
      <c r="X1376" s="24" t="str">
        <f aca="false">IF($N1376="","",IFERROR(INDEX(VAT_Codes!$H:$H,MATCH($N1376,VAT_Codes!$A:$A,0)),"")&amp;"")</f>
        <v/>
      </c>
      <c r="Y1376" s="24" t="str">
        <f aca="false">IF($A1376="","",(YEAR($A1376)-YEAR(Settings!$C$8))*12+MONTH($A1376)-MONTH(Settings!$C$8)+1)</f>
        <v/>
      </c>
      <c r="Z1376" s="24" t="str">
        <f aca="false">IF(AND($C1376="",$I1376="",$J1376=""),"",IF($N1376="","NO VAT CODE",IF($T1376="","UNKNOWN VAT CODE",IF($S1376="","MISSING FX RATE",IF(OR($A1376&lt;Settings!$C$8,$A1376&gt;Settings!$C$9),"OUTSIDE PERIOD",IF(AND(IFERROR(INDEX(VAT_Codes!$E:$E,MATCH($N1376,VAT_Codes!$A:$A,0)),"ANY")&lt;&gt;"ANY",$P1376=""),"MISSING COUNTERPARTY COUNTRY",IF(AND(IFERROR(INDEX(VAT_Codes!$E:$E,MATCH($N1376,VAT_Codes!$A:$A,0)),"ANY")&lt;&gt;"ANY",$P1376&lt;&gt;IFERROR(INDEX(VAT_Codes!$E:$E,MATCH($N1376,VAT_Codes!$A:$A,0)),"ANY")),"REGION MISMATCH","OK")))))))</f>
        <v/>
      </c>
    </row>
    <row r="1377" customFormat="false" ht="15" hidden="false" customHeight="false" outlineLevel="0" collapsed="false">
      <c r="M1377" s="24" t="str">
        <f aca="false">IF($C1377="","",IFERROR(INDEX(Account_Mapping!$C:$C,MATCH($C1377&amp;"",Account_Mapping!$A:$A,0))&amp;"",""))</f>
        <v/>
      </c>
      <c r="N1377" s="24" t="str">
        <f aca="false">IF($K1377&lt;&gt;"",$K1377,$M1377)</f>
        <v/>
      </c>
      <c r="O1377" s="24" t="str">
        <f aca="false">IF($F1377="","",IFERROR(INDEX(Counterparties!$C:$C,MATCH($F1377&amp;"",Counterparties!$A:$A,0))&amp;"",""))</f>
        <v/>
      </c>
      <c r="P1377" s="24" t="str">
        <f aca="false">IF($O1377="","",IF($O1377="CY","CY",IF(ISNUMBER(MATCH($O1377,Lists!$A:$A,0)),"EU","3RD")))</f>
        <v/>
      </c>
      <c r="Q1377" s="24" t="str">
        <f aca="false">IF($F1377="","N",IFERROR(IF(INDEX(Counterparties!$E:$E,MATCH($F1377&amp;"",Counterparties!$A:$A,0))="Y","Y","N"),"N"))</f>
        <v>N</v>
      </c>
      <c r="R1377" s="25" t="n">
        <f aca="false">IF(OR($H1377="",$H1377="EUR"),1,IFERROR(INDEX(FX_Rates!$D:$D,MATCH($H1377,FX_Rates!$A:$A,0)),""))</f>
        <v>1</v>
      </c>
      <c r="S1377" s="26" t="str">
        <f aca="false">IF(AND($I1377="",$J1377=""),"",IF($J1377&lt;&gt;"",$J1377,IF(OR($R1377="",$R1377=0),"",ROUND($I1377/$R1377,2))))</f>
        <v/>
      </c>
      <c r="T1377" s="24" t="str">
        <f aca="false">IF($N1377="","",IFERROR(INDEX(VAT_Codes!$C:$C,MATCH($N1377,VAT_Codes!$A:$A,0)),"")&amp;"")</f>
        <v/>
      </c>
      <c r="U1377" s="26" t="n">
        <f aca="false">IF(OR($S1377="",$T1377="",$T1377="None"),0,IF($T1377="Output",-$S1377,$S1377))</f>
        <v>0</v>
      </c>
      <c r="V1377" s="27" t="n">
        <f aca="false">IF($N1377="",0,IFERROR(INDEX(VAT_Codes!$D:$D,MATCH($N1377,VAT_Codes!$A:$A,0)),0))</f>
        <v>0</v>
      </c>
      <c r="W1377" s="26" t="n">
        <f aca="false">IF($U1377=0,0,IF(IFERROR(INDEX(VAT_Codes!$F:$F,MATCH($N1377,VAT_Codes!$A:$A,0)),"N")="Y",$U1377,IF($L1377&lt;&gt;"",ROUND(ABS($L1377)/IF(OR($R1377="",$R1377=0),1,$R1377),2)*SIGN($U1377),ROUND($U1377*$V1377,2))))</f>
        <v>0</v>
      </c>
      <c r="X1377" s="24" t="str">
        <f aca="false">IF($N1377="","",IFERROR(INDEX(VAT_Codes!$H:$H,MATCH($N1377,VAT_Codes!$A:$A,0)),"")&amp;"")</f>
        <v/>
      </c>
      <c r="Y1377" s="24" t="str">
        <f aca="false">IF($A1377="","",(YEAR($A1377)-YEAR(Settings!$C$8))*12+MONTH($A1377)-MONTH(Settings!$C$8)+1)</f>
        <v/>
      </c>
      <c r="Z1377" s="24" t="str">
        <f aca="false">IF(AND($C1377="",$I1377="",$J1377=""),"",IF($N1377="","NO VAT CODE",IF($T1377="","UNKNOWN VAT CODE",IF($S1377="","MISSING FX RATE",IF(OR($A1377&lt;Settings!$C$8,$A1377&gt;Settings!$C$9),"OUTSIDE PERIOD",IF(AND(IFERROR(INDEX(VAT_Codes!$E:$E,MATCH($N1377,VAT_Codes!$A:$A,0)),"ANY")&lt;&gt;"ANY",$P1377=""),"MISSING COUNTERPARTY COUNTRY",IF(AND(IFERROR(INDEX(VAT_Codes!$E:$E,MATCH($N1377,VAT_Codes!$A:$A,0)),"ANY")&lt;&gt;"ANY",$P1377&lt;&gt;IFERROR(INDEX(VAT_Codes!$E:$E,MATCH($N1377,VAT_Codes!$A:$A,0)),"ANY")),"REGION MISMATCH","OK")))))))</f>
        <v/>
      </c>
    </row>
    <row r="1378" customFormat="false" ht="15" hidden="false" customHeight="false" outlineLevel="0" collapsed="false">
      <c r="M1378" s="24" t="str">
        <f aca="false">IF($C1378="","",IFERROR(INDEX(Account_Mapping!$C:$C,MATCH($C1378&amp;"",Account_Mapping!$A:$A,0))&amp;"",""))</f>
        <v/>
      </c>
      <c r="N1378" s="24" t="str">
        <f aca="false">IF($K1378&lt;&gt;"",$K1378,$M1378)</f>
        <v/>
      </c>
      <c r="O1378" s="24" t="str">
        <f aca="false">IF($F1378="","",IFERROR(INDEX(Counterparties!$C:$C,MATCH($F1378&amp;"",Counterparties!$A:$A,0))&amp;"",""))</f>
        <v/>
      </c>
      <c r="P1378" s="24" t="str">
        <f aca="false">IF($O1378="","",IF($O1378="CY","CY",IF(ISNUMBER(MATCH($O1378,Lists!$A:$A,0)),"EU","3RD")))</f>
        <v/>
      </c>
      <c r="Q1378" s="24" t="str">
        <f aca="false">IF($F1378="","N",IFERROR(IF(INDEX(Counterparties!$E:$E,MATCH($F1378&amp;"",Counterparties!$A:$A,0))="Y","Y","N"),"N"))</f>
        <v>N</v>
      </c>
      <c r="R1378" s="25" t="n">
        <f aca="false">IF(OR($H1378="",$H1378="EUR"),1,IFERROR(INDEX(FX_Rates!$D:$D,MATCH($H1378,FX_Rates!$A:$A,0)),""))</f>
        <v>1</v>
      </c>
      <c r="S1378" s="26" t="str">
        <f aca="false">IF(AND($I1378="",$J1378=""),"",IF($J1378&lt;&gt;"",$J1378,IF(OR($R1378="",$R1378=0),"",ROUND($I1378/$R1378,2))))</f>
        <v/>
      </c>
      <c r="T1378" s="24" t="str">
        <f aca="false">IF($N1378="","",IFERROR(INDEX(VAT_Codes!$C:$C,MATCH($N1378,VAT_Codes!$A:$A,0)),"")&amp;"")</f>
        <v/>
      </c>
      <c r="U1378" s="26" t="n">
        <f aca="false">IF(OR($S1378="",$T1378="",$T1378="None"),0,IF($T1378="Output",-$S1378,$S1378))</f>
        <v>0</v>
      </c>
      <c r="V1378" s="27" t="n">
        <f aca="false">IF($N1378="",0,IFERROR(INDEX(VAT_Codes!$D:$D,MATCH($N1378,VAT_Codes!$A:$A,0)),0))</f>
        <v>0</v>
      </c>
      <c r="W1378" s="26" t="n">
        <f aca="false">IF($U1378=0,0,IF(IFERROR(INDEX(VAT_Codes!$F:$F,MATCH($N1378,VAT_Codes!$A:$A,0)),"N")="Y",$U1378,IF($L1378&lt;&gt;"",ROUND(ABS($L1378)/IF(OR($R1378="",$R1378=0),1,$R1378),2)*SIGN($U1378),ROUND($U1378*$V1378,2))))</f>
        <v>0</v>
      </c>
      <c r="X1378" s="24" t="str">
        <f aca="false">IF($N1378="","",IFERROR(INDEX(VAT_Codes!$H:$H,MATCH($N1378,VAT_Codes!$A:$A,0)),"")&amp;"")</f>
        <v/>
      </c>
      <c r="Y1378" s="24" t="str">
        <f aca="false">IF($A1378="","",(YEAR($A1378)-YEAR(Settings!$C$8))*12+MONTH($A1378)-MONTH(Settings!$C$8)+1)</f>
        <v/>
      </c>
      <c r="Z1378" s="24" t="str">
        <f aca="false">IF(AND($C1378="",$I1378="",$J1378=""),"",IF($N1378="","NO VAT CODE",IF($T1378="","UNKNOWN VAT CODE",IF($S1378="","MISSING FX RATE",IF(OR($A1378&lt;Settings!$C$8,$A1378&gt;Settings!$C$9),"OUTSIDE PERIOD",IF(AND(IFERROR(INDEX(VAT_Codes!$E:$E,MATCH($N1378,VAT_Codes!$A:$A,0)),"ANY")&lt;&gt;"ANY",$P1378=""),"MISSING COUNTERPARTY COUNTRY",IF(AND(IFERROR(INDEX(VAT_Codes!$E:$E,MATCH($N1378,VAT_Codes!$A:$A,0)),"ANY")&lt;&gt;"ANY",$P1378&lt;&gt;IFERROR(INDEX(VAT_Codes!$E:$E,MATCH($N1378,VAT_Codes!$A:$A,0)),"ANY")),"REGION MISMATCH","OK")))))))</f>
        <v/>
      </c>
    </row>
    <row r="1379" customFormat="false" ht="15" hidden="false" customHeight="false" outlineLevel="0" collapsed="false">
      <c r="M1379" s="24" t="str">
        <f aca="false">IF($C1379="","",IFERROR(INDEX(Account_Mapping!$C:$C,MATCH($C1379&amp;"",Account_Mapping!$A:$A,0))&amp;"",""))</f>
        <v/>
      </c>
      <c r="N1379" s="24" t="str">
        <f aca="false">IF($K1379&lt;&gt;"",$K1379,$M1379)</f>
        <v/>
      </c>
      <c r="O1379" s="24" t="str">
        <f aca="false">IF($F1379="","",IFERROR(INDEX(Counterparties!$C:$C,MATCH($F1379&amp;"",Counterparties!$A:$A,0))&amp;"",""))</f>
        <v/>
      </c>
      <c r="P1379" s="24" t="str">
        <f aca="false">IF($O1379="","",IF($O1379="CY","CY",IF(ISNUMBER(MATCH($O1379,Lists!$A:$A,0)),"EU","3RD")))</f>
        <v/>
      </c>
      <c r="Q1379" s="24" t="str">
        <f aca="false">IF($F1379="","N",IFERROR(IF(INDEX(Counterparties!$E:$E,MATCH($F1379&amp;"",Counterparties!$A:$A,0))="Y","Y","N"),"N"))</f>
        <v>N</v>
      </c>
      <c r="R1379" s="25" t="n">
        <f aca="false">IF(OR($H1379="",$H1379="EUR"),1,IFERROR(INDEX(FX_Rates!$D:$D,MATCH($H1379,FX_Rates!$A:$A,0)),""))</f>
        <v>1</v>
      </c>
      <c r="S1379" s="26" t="str">
        <f aca="false">IF(AND($I1379="",$J1379=""),"",IF($J1379&lt;&gt;"",$J1379,IF(OR($R1379="",$R1379=0),"",ROUND($I1379/$R1379,2))))</f>
        <v/>
      </c>
      <c r="T1379" s="24" t="str">
        <f aca="false">IF($N1379="","",IFERROR(INDEX(VAT_Codes!$C:$C,MATCH($N1379,VAT_Codes!$A:$A,0)),"")&amp;"")</f>
        <v/>
      </c>
      <c r="U1379" s="26" t="n">
        <f aca="false">IF(OR($S1379="",$T1379="",$T1379="None"),0,IF($T1379="Output",-$S1379,$S1379))</f>
        <v>0</v>
      </c>
      <c r="V1379" s="27" t="n">
        <f aca="false">IF($N1379="",0,IFERROR(INDEX(VAT_Codes!$D:$D,MATCH($N1379,VAT_Codes!$A:$A,0)),0))</f>
        <v>0</v>
      </c>
      <c r="W1379" s="26" t="n">
        <f aca="false">IF($U1379=0,0,IF(IFERROR(INDEX(VAT_Codes!$F:$F,MATCH($N1379,VAT_Codes!$A:$A,0)),"N")="Y",$U1379,IF($L1379&lt;&gt;"",ROUND(ABS($L1379)/IF(OR($R1379="",$R1379=0),1,$R1379),2)*SIGN($U1379),ROUND($U1379*$V1379,2))))</f>
        <v>0</v>
      </c>
      <c r="X1379" s="24" t="str">
        <f aca="false">IF($N1379="","",IFERROR(INDEX(VAT_Codes!$H:$H,MATCH($N1379,VAT_Codes!$A:$A,0)),"")&amp;"")</f>
        <v/>
      </c>
      <c r="Y1379" s="24" t="str">
        <f aca="false">IF($A1379="","",(YEAR($A1379)-YEAR(Settings!$C$8))*12+MONTH($A1379)-MONTH(Settings!$C$8)+1)</f>
        <v/>
      </c>
      <c r="Z1379" s="24" t="str">
        <f aca="false">IF(AND($C1379="",$I1379="",$J1379=""),"",IF($N1379="","NO VAT CODE",IF($T1379="","UNKNOWN VAT CODE",IF($S1379="","MISSING FX RATE",IF(OR($A1379&lt;Settings!$C$8,$A1379&gt;Settings!$C$9),"OUTSIDE PERIOD",IF(AND(IFERROR(INDEX(VAT_Codes!$E:$E,MATCH($N1379,VAT_Codes!$A:$A,0)),"ANY")&lt;&gt;"ANY",$P1379=""),"MISSING COUNTERPARTY COUNTRY",IF(AND(IFERROR(INDEX(VAT_Codes!$E:$E,MATCH($N1379,VAT_Codes!$A:$A,0)),"ANY")&lt;&gt;"ANY",$P1379&lt;&gt;IFERROR(INDEX(VAT_Codes!$E:$E,MATCH($N1379,VAT_Codes!$A:$A,0)),"ANY")),"REGION MISMATCH","OK")))))))</f>
        <v/>
      </c>
    </row>
    <row r="1380" customFormat="false" ht="15" hidden="false" customHeight="false" outlineLevel="0" collapsed="false">
      <c r="M1380" s="24" t="str">
        <f aca="false">IF($C1380="","",IFERROR(INDEX(Account_Mapping!$C:$C,MATCH($C1380&amp;"",Account_Mapping!$A:$A,0))&amp;"",""))</f>
        <v/>
      </c>
      <c r="N1380" s="24" t="str">
        <f aca="false">IF($K1380&lt;&gt;"",$K1380,$M1380)</f>
        <v/>
      </c>
      <c r="O1380" s="24" t="str">
        <f aca="false">IF($F1380="","",IFERROR(INDEX(Counterparties!$C:$C,MATCH($F1380&amp;"",Counterparties!$A:$A,0))&amp;"",""))</f>
        <v/>
      </c>
      <c r="P1380" s="24" t="str">
        <f aca="false">IF($O1380="","",IF($O1380="CY","CY",IF(ISNUMBER(MATCH($O1380,Lists!$A:$A,0)),"EU","3RD")))</f>
        <v/>
      </c>
      <c r="Q1380" s="24" t="str">
        <f aca="false">IF($F1380="","N",IFERROR(IF(INDEX(Counterparties!$E:$E,MATCH($F1380&amp;"",Counterparties!$A:$A,0))="Y","Y","N"),"N"))</f>
        <v>N</v>
      </c>
      <c r="R1380" s="25" t="n">
        <f aca="false">IF(OR($H1380="",$H1380="EUR"),1,IFERROR(INDEX(FX_Rates!$D:$D,MATCH($H1380,FX_Rates!$A:$A,0)),""))</f>
        <v>1</v>
      </c>
      <c r="S1380" s="26" t="str">
        <f aca="false">IF(AND($I1380="",$J1380=""),"",IF($J1380&lt;&gt;"",$J1380,IF(OR($R1380="",$R1380=0),"",ROUND($I1380/$R1380,2))))</f>
        <v/>
      </c>
      <c r="T1380" s="24" t="str">
        <f aca="false">IF($N1380="","",IFERROR(INDEX(VAT_Codes!$C:$C,MATCH($N1380,VAT_Codes!$A:$A,0)),"")&amp;"")</f>
        <v/>
      </c>
      <c r="U1380" s="26" t="n">
        <f aca="false">IF(OR($S1380="",$T1380="",$T1380="None"),0,IF($T1380="Output",-$S1380,$S1380))</f>
        <v>0</v>
      </c>
      <c r="V1380" s="27" t="n">
        <f aca="false">IF($N1380="",0,IFERROR(INDEX(VAT_Codes!$D:$D,MATCH($N1380,VAT_Codes!$A:$A,0)),0))</f>
        <v>0</v>
      </c>
      <c r="W1380" s="26" t="n">
        <f aca="false">IF($U1380=0,0,IF(IFERROR(INDEX(VAT_Codes!$F:$F,MATCH($N1380,VAT_Codes!$A:$A,0)),"N")="Y",$U1380,IF($L1380&lt;&gt;"",ROUND(ABS($L1380)/IF(OR($R1380="",$R1380=0),1,$R1380),2)*SIGN($U1380),ROUND($U1380*$V1380,2))))</f>
        <v>0</v>
      </c>
      <c r="X1380" s="24" t="str">
        <f aca="false">IF($N1380="","",IFERROR(INDEX(VAT_Codes!$H:$H,MATCH($N1380,VAT_Codes!$A:$A,0)),"")&amp;"")</f>
        <v/>
      </c>
      <c r="Y1380" s="24" t="str">
        <f aca="false">IF($A1380="","",(YEAR($A1380)-YEAR(Settings!$C$8))*12+MONTH($A1380)-MONTH(Settings!$C$8)+1)</f>
        <v/>
      </c>
      <c r="Z1380" s="24" t="str">
        <f aca="false">IF(AND($C1380="",$I1380="",$J1380=""),"",IF($N1380="","NO VAT CODE",IF($T1380="","UNKNOWN VAT CODE",IF($S1380="","MISSING FX RATE",IF(OR($A1380&lt;Settings!$C$8,$A1380&gt;Settings!$C$9),"OUTSIDE PERIOD",IF(AND(IFERROR(INDEX(VAT_Codes!$E:$E,MATCH($N1380,VAT_Codes!$A:$A,0)),"ANY")&lt;&gt;"ANY",$P1380=""),"MISSING COUNTERPARTY COUNTRY",IF(AND(IFERROR(INDEX(VAT_Codes!$E:$E,MATCH($N1380,VAT_Codes!$A:$A,0)),"ANY")&lt;&gt;"ANY",$P1380&lt;&gt;IFERROR(INDEX(VAT_Codes!$E:$E,MATCH($N1380,VAT_Codes!$A:$A,0)),"ANY")),"REGION MISMATCH","OK")))))))</f>
        <v/>
      </c>
    </row>
    <row r="1381" customFormat="false" ht="15" hidden="false" customHeight="false" outlineLevel="0" collapsed="false">
      <c r="M1381" s="24" t="str">
        <f aca="false">IF($C1381="","",IFERROR(INDEX(Account_Mapping!$C:$C,MATCH($C1381&amp;"",Account_Mapping!$A:$A,0))&amp;"",""))</f>
        <v/>
      </c>
      <c r="N1381" s="24" t="str">
        <f aca="false">IF($K1381&lt;&gt;"",$K1381,$M1381)</f>
        <v/>
      </c>
      <c r="O1381" s="24" t="str">
        <f aca="false">IF($F1381="","",IFERROR(INDEX(Counterparties!$C:$C,MATCH($F1381&amp;"",Counterparties!$A:$A,0))&amp;"",""))</f>
        <v/>
      </c>
      <c r="P1381" s="24" t="str">
        <f aca="false">IF($O1381="","",IF($O1381="CY","CY",IF(ISNUMBER(MATCH($O1381,Lists!$A:$A,0)),"EU","3RD")))</f>
        <v/>
      </c>
      <c r="Q1381" s="24" t="str">
        <f aca="false">IF($F1381="","N",IFERROR(IF(INDEX(Counterparties!$E:$E,MATCH($F1381&amp;"",Counterparties!$A:$A,0))="Y","Y","N"),"N"))</f>
        <v>N</v>
      </c>
      <c r="R1381" s="25" t="n">
        <f aca="false">IF(OR($H1381="",$H1381="EUR"),1,IFERROR(INDEX(FX_Rates!$D:$D,MATCH($H1381,FX_Rates!$A:$A,0)),""))</f>
        <v>1</v>
      </c>
      <c r="S1381" s="26" t="str">
        <f aca="false">IF(AND($I1381="",$J1381=""),"",IF($J1381&lt;&gt;"",$J1381,IF(OR($R1381="",$R1381=0),"",ROUND($I1381/$R1381,2))))</f>
        <v/>
      </c>
      <c r="T1381" s="24" t="str">
        <f aca="false">IF($N1381="","",IFERROR(INDEX(VAT_Codes!$C:$C,MATCH($N1381,VAT_Codes!$A:$A,0)),"")&amp;"")</f>
        <v/>
      </c>
      <c r="U1381" s="26" t="n">
        <f aca="false">IF(OR($S1381="",$T1381="",$T1381="None"),0,IF($T1381="Output",-$S1381,$S1381))</f>
        <v>0</v>
      </c>
      <c r="V1381" s="27" t="n">
        <f aca="false">IF($N1381="",0,IFERROR(INDEX(VAT_Codes!$D:$D,MATCH($N1381,VAT_Codes!$A:$A,0)),0))</f>
        <v>0</v>
      </c>
      <c r="W1381" s="26" t="n">
        <f aca="false">IF($U1381=0,0,IF(IFERROR(INDEX(VAT_Codes!$F:$F,MATCH($N1381,VAT_Codes!$A:$A,0)),"N")="Y",$U1381,IF($L1381&lt;&gt;"",ROUND(ABS($L1381)/IF(OR($R1381="",$R1381=0),1,$R1381),2)*SIGN($U1381),ROUND($U1381*$V1381,2))))</f>
        <v>0</v>
      </c>
      <c r="X1381" s="24" t="str">
        <f aca="false">IF($N1381="","",IFERROR(INDEX(VAT_Codes!$H:$H,MATCH($N1381,VAT_Codes!$A:$A,0)),"")&amp;"")</f>
        <v/>
      </c>
      <c r="Y1381" s="24" t="str">
        <f aca="false">IF($A1381="","",(YEAR($A1381)-YEAR(Settings!$C$8))*12+MONTH($A1381)-MONTH(Settings!$C$8)+1)</f>
        <v/>
      </c>
      <c r="Z1381" s="24" t="str">
        <f aca="false">IF(AND($C1381="",$I1381="",$J1381=""),"",IF($N1381="","NO VAT CODE",IF($T1381="","UNKNOWN VAT CODE",IF($S1381="","MISSING FX RATE",IF(OR($A1381&lt;Settings!$C$8,$A1381&gt;Settings!$C$9),"OUTSIDE PERIOD",IF(AND(IFERROR(INDEX(VAT_Codes!$E:$E,MATCH($N1381,VAT_Codes!$A:$A,0)),"ANY")&lt;&gt;"ANY",$P1381=""),"MISSING COUNTERPARTY COUNTRY",IF(AND(IFERROR(INDEX(VAT_Codes!$E:$E,MATCH($N1381,VAT_Codes!$A:$A,0)),"ANY")&lt;&gt;"ANY",$P1381&lt;&gt;IFERROR(INDEX(VAT_Codes!$E:$E,MATCH($N1381,VAT_Codes!$A:$A,0)),"ANY")),"REGION MISMATCH","OK")))))))</f>
        <v/>
      </c>
    </row>
    <row r="1382" customFormat="false" ht="15" hidden="false" customHeight="false" outlineLevel="0" collapsed="false">
      <c r="M1382" s="24" t="str">
        <f aca="false">IF($C1382="","",IFERROR(INDEX(Account_Mapping!$C:$C,MATCH($C1382&amp;"",Account_Mapping!$A:$A,0))&amp;"",""))</f>
        <v/>
      </c>
      <c r="N1382" s="24" t="str">
        <f aca="false">IF($K1382&lt;&gt;"",$K1382,$M1382)</f>
        <v/>
      </c>
      <c r="O1382" s="24" t="str">
        <f aca="false">IF($F1382="","",IFERROR(INDEX(Counterparties!$C:$C,MATCH($F1382&amp;"",Counterparties!$A:$A,0))&amp;"",""))</f>
        <v/>
      </c>
      <c r="P1382" s="24" t="str">
        <f aca="false">IF($O1382="","",IF($O1382="CY","CY",IF(ISNUMBER(MATCH($O1382,Lists!$A:$A,0)),"EU","3RD")))</f>
        <v/>
      </c>
      <c r="Q1382" s="24" t="str">
        <f aca="false">IF($F1382="","N",IFERROR(IF(INDEX(Counterparties!$E:$E,MATCH($F1382&amp;"",Counterparties!$A:$A,0))="Y","Y","N"),"N"))</f>
        <v>N</v>
      </c>
      <c r="R1382" s="25" t="n">
        <f aca="false">IF(OR($H1382="",$H1382="EUR"),1,IFERROR(INDEX(FX_Rates!$D:$D,MATCH($H1382,FX_Rates!$A:$A,0)),""))</f>
        <v>1</v>
      </c>
      <c r="S1382" s="26" t="str">
        <f aca="false">IF(AND($I1382="",$J1382=""),"",IF($J1382&lt;&gt;"",$J1382,IF(OR($R1382="",$R1382=0),"",ROUND($I1382/$R1382,2))))</f>
        <v/>
      </c>
      <c r="T1382" s="24" t="str">
        <f aca="false">IF($N1382="","",IFERROR(INDEX(VAT_Codes!$C:$C,MATCH($N1382,VAT_Codes!$A:$A,0)),"")&amp;"")</f>
        <v/>
      </c>
      <c r="U1382" s="26" t="n">
        <f aca="false">IF(OR($S1382="",$T1382="",$T1382="None"),0,IF($T1382="Output",-$S1382,$S1382))</f>
        <v>0</v>
      </c>
      <c r="V1382" s="27" t="n">
        <f aca="false">IF($N1382="",0,IFERROR(INDEX(VAT_Codes!$D:$D,MATCH($N1382,VAT_Codes!$A:$A,0)),0))</f>
        <v>0</v>
      </c>
      <c r="W1382" s="26" t="n">
        <f aca="false">IF($U1382=0,0,IF(IFERROR(INDEX(VAT_Codes!$F:$F,MATCH($N1382,VAT_Codes!$A:$A,0)),"N")="Y",$U1382,IF($L1382&lt;&gt;"",ROUND(ABS($L1382)/IF(OR($R1382="",$R1382=0),1,$R1382),2)*SIGN($U1382),ROUND($U1382*$V1382,2))))</f>
        <v>0</v>
      </c>
      <c r="X1382" s="24" t="str">
        <f aca="false">IF($N1382="","",IFERROR(INDEX(VAT_Codes!$H:$H,MATCH($N1382,VAT_Codes!$A:$A,0)),"")&amp;"")</f>
        <v/>
      </c>
      <c r="Y1382" s="24" t="str">
        <f aca="false">IF($A1382="","",(YEAR($A1382)-YEAR(Settings!$C$8))*12+MONTH($A1382)-MONTH(Settings!$C$8)+1)</f>
        <v/>
      </c>
      <c r="Z1382" s="24" t="str">
        <f aca="false">IF(AND($C1382="",$I1382="",$J1382=""),"",IF($N1382="","NO VAT CODE",IF($T1382="","UNKNOWN VAT CODE",IF($S1382="","MISSING FX RATE",IF(OR($A1382&lt;Settings!$C$8,$A1382&gt;Settings!$C$9),"OUTSIDE PERIOD",IF(AND(IFERROR(INDEX(VAT_Codes!$E:$E,MATCH($N1382,VAT_Codes!$A:$A,0)),"ANY")&lt;&gt;"ANY",$P1382=""),"MISSING COUNTERPARTY COUNTRY",IF(AND(IFERROR(INDEX(VAT_Codes!$E:$E,MATCH($N1382,VAT_Codes!$A:$A,0)),"ANY")&lt;&gt;"ANY",$P1382&lt;&gt;IFERROR(INDEX(VAT_Codes!$E:$E,MATCH($N1382,VAT_Codes!$A:$A,0)),"ANY")),"REGION MISMATCH","OK")))))))</f>
        <v/>
      </c>
    </row>
    <row r="1383" customFormat="false" ht="15" hidden="false" customHeight="false" outlineLevel="0" collapsed="false">
      <c r="M1383" s="24" t="str">
        <f aca="false">IF($C1383="","",IFERROR(INDEX(Account_Mapping!$C:$C,MATCH($C1383&amp;"",Account_Mapping!$A:$A,0))&amp;"",""))</f>
        <v/>
      </c>
      <c r="N1383" s="24" t="str">
        <f aca="false">IF($K1383&lt;&gt;"",$K1383,$M1383)</f>
        <v/>
      </c>
      <c r="O1383" s="24" t="str">
        <f aca="false">IF($F1383="","",IFERROR(INDEX(Counterparties!$C:$C,MATCH($F1383&amp;"",Counterparties!$A:$A,0))&amp;"",""))</f>
        <v/>
      </c>
      <c r="P1383" s="24" t="str">
        <f aca="false">IF($O1383="","",IF($O1383="CY","CY",IF(ISNUMBER(MATCH($O1383,Lists!$A:$A,0)),"EU","3RD")))</f>
        <v/>
      </c>
      <c r="Q1383" s="24" t="str">
        <f aca="false">IF($F1383="","N",IFERROR(IF(INDEX(Counterparties!$E:$E,MATCH($F1383&amp;"",Counterparties!$A:$A,0))="Y","Y","N"),"N"))</f>
        <v>N</v>
      </c>
      <c r="R1383" s="25" t="n">
        <f aca="false">IF(OR($H1383="",$H1383="EUR"),1,IFERROR(INDEX(FX_Rates!$D:$D,MATCH($H1383,FX_Rates!$A:$A,0)),""))</f>
        <v>1</v>
      </c>
      <c r="S1383" s="26" t="str">
        <f aca="false">IF(AND($I1383="",$J1383=""),"",IF($J1383&lt;&gt;"",$J1383,IF(OR($R1383="",$R1383=0),"",ROUND($I1383/$R1383,2))))</f>
        <v/>
      </c>
      <c r="T1383" s="24" t="str">
        <f aca="false">IF($N1383="","",IFERROR(INDEX(VAT_Codes!$C:$C,MATCH($N1383,VAT_Codes!$A:$A,0)),"")&amp;"")</f>
        <v/>
      </c>
      <c r="U1383" s="26" t="n">
        <f aca="false">IF(OR($S1383="",$T1383="",$T1383="None"),0,IF($T1383="Output",-$S1383,$S1383))</f>
        <v>0</v>
      </c>
      <c r="V1383" s="27" t="n">
        <f aca="false">IF($N1383="",0,IFERROR(INDEX(VAT_Codes!$D:$D,MATCH($N1383,VAT_Codes!$A:$A,0)),0))</f>
        <v>0</v>
      </c>
      <c r="W1383" s="26" t="n">
        <f aca="false">IF($U1383=0,0,IF(IFERROR(INDEX(VAT_Codes!$F:$F,MATCH($N1383,VAT_Codes!$A:$A,0)),"N")="Y",$U1383,IF($L1383&lt;&gt;"",ROUND(ABS($L1383)/IF(OR($R1383="",$R1383=0),1,$R1383),2)*SIGN($U1383),ROUND($U1383*$V1383,2))))</f>
        <v>0</v>
      </c>
      <c r="X1383" s="24" t="str">
        <f aca="false">IF($N1383="","",IFERROR(INDEX(VAT_Codes!$H:$H,MATCH($N1383,VAT_Codes!$A:$A,0)),"")&amp;"")</f>
        <v/>
      </c>
      <c r="Y1383" s="24" t="str">
        <f aca="false">IF($A1383="","",(YEAR($A1383)-YEAR(Settings!$C$8))*12+MONTH($A1383)-MONTH(Settings!$C$8)+1)</f>
        <v/>
      </c>
      <c r="Z1383" s="24" t="str">
        <f aca="false">IF(AND($C1383="",$I1383="",$J1383=""),"",IF($N1383="","NO VAT CODE",IF($T1383="","UNKNOWN VAT CODE",IF($S1383="","MISSING FX RATE",IF(OR($A1383&lt;Settings!$C$8,$A1383&gt;Settings!$C$9),"OUTSIDE PERIOD",IF(AND(IFERROR(INDEX(VAT_Codes!$E:$E,MATCH($N1383,VAT_Codes!$A:$A,0)),"ANY")&lt;&gt;"ANY",$P1383=""),"MISSING COUNTERPARTY COUNTRY",IF(AND(IFERROR(INDEX(VAT_Codes!$E:$E,MATCH($N1383,VAT_Codes!$A:$A,0)),"ANY")&lt;&gt;"ANY",$P1383&lt;&gt;IFERROR(INDEX(VAT_Codes!$E:$E,MATCH($N1383,VAT_Codes!$A:$A,0)),"ANY")),"REGION MISMATCH","OK")))))))</f>
        <v/>
      </c>
    </row>
    <row r="1384" customFormat="false" ht="15" hidden="false" customHeight="false" outlineLevel="0" collapsed="false">
      <c r="M1384" s="24" t="str">
        <f aca="false">IF($C1384="","",IFERROR(INDEX(Account_Mapping!$C:$C,MATCH($C1384&amp;"",Account_Mapping!$A:$A,0))&amp;"",""))</f>
        <v/>
      </c>
      <c r="N1384" s="24" t="str">
        <f aca="false">IF($K1384&lt;&gt;"",$K1384,$M1384)</f>
        <v/>
      </c>
      <c r="O1384" s="24" t="str">
        <f aca="false">IF($F1384="","",IFERROR(INDEX(Counterparties!$C:$C,MATCH($F1384&amp;"",Counterparties!$A:$A,0))&amp;"",""))</f>
        <v/>
      </c>
      <c r="P1384" s="24" t="str">
        <f aca="false">IF($O1384="","",IF($O1384="CY","CY",IF(ISNUMBER(MATCH($O1384,Lists!$A:$A,0)),"EU","3RD")))</f>
        <v/>
      </c>
      <c r="Q1384" s="24" t="str">
        <f aca="false">IF($F1384="","N",IFERROR(IF(INDEX(Counterparties!$E:$E,MATCH($F1384&amp;"",Counterparties!$A:$A,0))="Y","Y","N"),"N"))</f>
        <v>N</v>
      </c>
      <c r="R1384" s="25" t="n">
        <f aca="false">IF(OR($H1384="",$H1384="EUR"),1,IFERROR(INDEX(FX_Rates!$D:$D,MATCH($H1384,FX_Rates!$A:$A,0)),""))</f>
        <v>1</v>
      </c>
      <c r="S1384" s="26" t="str">
        <f aca="false">IF(AND($I1384="",$J1384=""),"",IF($J1384&lt;&gt;"",$J1384,IF(OR($R1384="",$R1384=0),"",ROUND($I1384/$R1384,2))))</f>
        <v/>
      </c>
      <c r="T1384" s="24" t="str">
        <f aca="false">IF($N1384="","",IFERROR(INDEX(VAT_Codes!$C:$C,MATCH($N1384,VAT_Codes!$A:$A,0)),"")&amp;"")</f>
        <v/>
      </c>
      <c r="U1384" s="26" t="n">
        <f aca="false">IF(OR($S1384="",$T1384="",$T1384="None"),0,IF($T1384="Output",-$S1384,$S1384))</f>
        <v>0</v>
      </c>
      <c r="V1384" s="27" t="n">
        <f aca="false">IF($N1384="",0,IFERROR(INDEX(VAT_Codes!$D:$D,MATCH($N1384,VAT_Codes!$A:$A,0)),0))</f>
        <v>0</v>
      </c>
      <c r="W1384" s="26" t="n">
        <f aca="false">IF($U1384=0,0,IF(IFERROR(INDEX(VAT_Codes!$F:$F,MATCH($N1384,VAT_Codes!$A:$A,0)),"N")="Y",$U1384,IF($L1384&lt;&gt;"",ROUND(ABS($L1384)/IF(OR($R1384="",$R1384=0),1,$R1384),2)*SIGN($U1384),ROUND($U1384*$V1384,2))))</f>
        <v>0</v>
      </c>
      <c r="X1384" s="24" t="str">
        <f aca="false">IF($N1384="","",IFERROR(INDEX(VAT_Codes!$H:$H,MATCH($N1384,VAT_Codes!$A:$A,0)),"")&amp;"")</f>
        <v/>
      </c>
      <c r="Y1384" s="24" t="str">
        <f aca="false">IF($A1384="","",(YEAR($A1384)-YEAR(Settings!$C$8))*12+MONTH($A1384)-MONTH(Settings!$C$8)+1)</f>
        <v/>
      </c>
      <c r="Z1384" s="24" t="str">
        <f aca="false">IF(AND($C1384="",$I1384="",$J1384=""),"",IF($N1384="","NO VAT CODE",IF($T1384="","UNKNOWN VAT CODE",IF($S1384="","MISSING FX RATE",IF(OR($A1384&lt;Settings!$C$8,$A1384&gt;Settings!$C$9),"OUTSIDE PERIOD",IF(AND(IFERROR(INDEX(VAT_Codes!$E:$E,MATCH($N1384,VAT_Codes!$A:$A,0)),"ANY")&lt;&gt;"ANY",$P1384=""),"MISSING COUNTERPARTY COUNTRY",IF(AND(IFERROR(INDEX(VAT_Codes!$E:$E,MATCH($N1384,VAT_Codes!$A:$A,0)),"ANY")&lt;&gt;"ANY",$P1384&lt;&gt;IFERROR(INDEX(VAT_Codes!$E:$E,MATCH($N1384,VAT_Codes!$A:$A,0)),"ANY")),"REGION MISMATCH","OK")))))))</f>
        <v/>
      </c>
    </row>
    <row r="1385" customFormat="false" ht="15" hidden="false" customHeight="false" outlineLevel="0" collapsed="false">
      <c r="M1385" s="24" t="str">
        <f aca="false">IF($C1385="","",IFERROR(INDEX(Account_Mapping!$C:$C,MATCH($C1385&amp;"",Account_Mapping!$A:$A,0))&amp;"",""))</f>
        <v/>
      </c>
      <c r="N1385" s="24" t="str">
        <f aca="false">IF($K1385&lt;&gt;"",$K1385,$M1385)</f>
        <v/>
      </c>
      <c r="O1385" s="24" t="str">
        <f aca="false">IF($F1385="","",IFERROR(INDEX(Counterparties!$C:$C,MATCH($F1385&amp;"",Counterparties!$A:$A,0))&amp;"",""))</f>
        <v/>
      </c>
      <c r="P1385" s="24" t="str">
        <f aca="false">IF($O1385="","",IF($O1385="CY","CY",IF(ISNUMBER(MATCH($O1385,Lists!$A:$A,0)),"EU","3RD")))</f>
        <v/>
      </c>
      <c r="Q1385" s="24" t="str">
        <f aca="false">IF($F1385="","N",IFERROR(IF(INDEX(Counterparties!$E:$E,MATCH($F1385&amp;"",Counterparties!$A:$A,0))="Y","Y","N"),"N"))</f>
        <v>N</v>
      </c>
      <c r="R1385" s="25" t="n">
        <f aca="false">IF(OR($H1385="",$H1385="EUR"),1,IFERROR(INDEX(FX_Rates!$D:$D,MATCH($H1385,FX_Rates!$A:$A,0)),""))</f>
        <v>1</v>
      </c>
      <c r="S1385" s="26" t="str">
        <f aca="false">IF(AND($I1385="",$J1385=""),"",IF($J1385&lt;&gt;"",$J1385,IF(OR($R1385="",$R1385=0),"",ROUND($I1385/$R1385,2))))</f>
        <v/>
      </c>
      <c r="T1385" s="24" t="str">
        <f aca="false">IF($N1385="","",IFERROR(INDEX(VAT_Codes!$C:$C,MATCH($N1385,VAT_Codes!$A:$A,0)),"")&amp;"")</f>
        <v/>
      </c>
      <c r="U1385" s="26" t="n">
        <f aca="false">IF(OR($S1385="",$T1385="",$T1385="None"),0,IF($T1385="Output",-$S1385,$S1385))</f>
        <v>0</v>
      </c>
      <c r="V1385" s="27" t="n">
        <f aca="false">IF($N1385="",0,IFERROR(INDEX(VAT_Codes!$D:$D,MATCH($N1385,VAT_Codes!$A:$A,0)),0))</f>
        <v>0</v>
      </c>
      <c r="W1385" s="26" t="n">
        <f aca="false">IF($U1385=0,0,IF(IFERROR(INDEX(VAT_Codes!$F:$F,MATCH($N1385,VAT_Codes!$A:$A,0)),"N")="Y",$U1385,IF($L1385&lt;&gt;"",ROUND(ABS($L1385)/IF(OR($R1385="",$R1385=0),1,$R1385),2)*SIGN($U1385),ROUND($U1385*$V1385,2))))</f>
        <v>0</v>
      </c>
      <c r="X1385" s="24" t="str">
        <f aca="false">IF($N1385="","",IFERROR(INDEX(VAT_Codes!$H:$H,MATCH($N1385,VAT_Codes!$A:$A,0)),"")&amp;"")</f>
        <v/>
      </c>
      <c r="Y1385" s="24" t="str">
        <f aca="false">IF($A1385="","",(YEAR($A1385)-YEAR(Settings!$C$8))*12+MONTH($A1385)-MONTH(Settings!$C$8)+1)</f>
        <v/>
      </c>
      <c r="Z1385" s="24" t="str">
        <f aca="false">IF(AND($C1385="",$I1385="",$J1385=""),"",IF($N1385="","NO VAT CODE",IF($T1385="","UNKNOWN VAT CODE",IF($S1385="","MISSING FX RATE",IF(OR($A1385&lt;Settings!$C$8,$A1385&gt;Settings!$C$9),"OUTSIDE PERIOD",IF(AND(IFERROR(INDEX(VAT_Codes!$E:$E,MATCH($N1385,VAT_Codes!$A:$A,0)),"ANY")&lt;&gt;"ANY",$P1385=""),"MISSING COUNTERPARTY COUNTRY",IF(AND(IFERROR(INDEX(VAT_Codes!$E:$E,MATCH($N1385,VAT_Codes!$A:$A,0)),"ANY")&lt;&gt;"ANY",$P1385&lt;&gt;IFERROR(INDEX(VAT_Codes!$E:$E,MATCH($N1385,VAT_Codes!$A:$A,0)),"ANY")),"REGION MISMATCH","OK")))))))</f>
        <v/>
      </c>
    </row>
    <row r="1386" customFormat="false" ht="15" hidden="false" customHeight="false" outlineLevel="0" collapsed="false">
      <c r="M1386" s="24" t="str">
        <f aca="false">IF($C1386="","",IFERROR(INDEX(Account_Mapping!$C:$C,MATCH($C1386&amp;"",Account_Mapping!$A:$A,0))&amp;"",""))</f>
        <v/>
      </c>
      <c r="N1386" s="24" t="str">
        <f aca="false">IF($K1386&lt;&gt;"",$K1386,$M1386)</f>
        <v/>
      </c>
      <c r="O1386" s="24" t="str">
        <f aca="false">IF($F1386="","",IFERROR(INDEX(Counterparties!$C:$C,MATCH($F1386&amp;"",Counterparties!$A:$A,0))&amp;"",""))</f>
        <v/>
      </c>
      <c r="P1386" s="24" t="str">
        <f aca="false">IF($O1386="","",IF($O1386="CY","CY",IF(ISNUMBER(MATCH($O1386,Lists!$A:$A,0)),"EU","3RD")))</f>
        <v/>
      </c>
      <c r="Q1386" s="24" t="str">
        <f aca="false">IF($F1386="","N",IFERROR(IF(INDEX(Counterparties!$E:$E,MATCH($F1386&amp;"",Counterparties!$A:$A,0))="Y","Y","N"),"N"))</f>
        <v>N</v>
      </c>
      <c r="R1386" s="25" t="n">
        <f aca="false">IF(OR($H1386="",$H1386="EUR"),1,IFERROR(INDEX(FX_Rates!$D:$D,MATCH($H1386,FX_Rates!$A:$A,0)),""))</f>
        <v>1</v>
      </c>
      <c r="S1386" s="26" t="str">
        <f aca="false">IF(AND($I1386="",$J1386=""),"",IF($J1386&lt;&gt;"",$J1386,IF(OR($R1386="",$R1386=0),"",ROUND($I1386/$R1386,2))))</f>
        <v/>
      </c>
      <c r="T1386" s="24" t="str">
        <f aca="false">IF($N1386="","",IFERROR(INDEX(VAT_Codes!$C:$C,MATCH($N1386,VAT_Codes!$A:$A,0)),"")&amp;"")</f>
        <v/>
      </c>
      <c r="U1386" s="26" t="n">
        <f aca="false">IF(OR($S1386="",$T1386="",$T1386="None"),0,IF($T1386="Output",-$S1386,$S1386))</f>
        <v>0</v>
      </c>
      <c r="V1386" s="27" t="n">
        <f aca="false">IF($N1386="",0,IFERROR(INDEX(VAT_Codes!$D:$D,MATCH($N1386,VAT_Codes!$A:$A,0)),0))</f>
        <v>0</v>
      </c>
      <c r="W1386" s="26" t="n">
        <f aca="false">IF($U1386=0,0,IF(IFERROR(INDEX(VAT_Codes!$F:$F,MATCH($N1386,VAT_Codes!$A:$A,0)),"N")="Y",$U1386,IF($L1386&lt;&gt;"",ROUND(ABS($L1386)/IF(OR($R1386="",$R1386=0),1,$R1386),2)*SIGN($U1386),ROUND($U1386*$V1386,2))))</f>
        <v>0</v>
      </c>
      <c r="X1386" s="24" t="str">
        <f aca="false">IF($N1386="","",IFERROR(INDEX(VAT_Codes!$H:$H,MATCH($N1386,VAT_Codes!$A:$A,0)),"")&amp;"")</f>
        <v/>
      </c>
      <c r="Y1386" s="24" t="str">
        <f aca="false">IF($A1386="","",(YEAR($A1386)-YEAR(Settings!$C$8))*12+MONTH($A1386)-MONTH(Settings!$C$8)+1)</f>
        <v/>
      </c>
      <c r="Z1386" s="24" t="str">
        <f aca="false">IF(AND($C1386="",$I1386="",$J1386=""),"",IF($N1386="","NO VAT CODE",IF($T1386="","UNKNOWN VAT CODE",IF($S1386="","MISSING FX RATE",IF(OR($A1386&lt;Settings!$C$8,$A1386&gt;Settings!$C$9),"OUTSIDE PERIOD",IF(AND(IFERROR(INDEX(VAT_Codes!$E:$E,MATCH($N1386,VAT_Codes!$A:$A,0)),"ANY")&lt;&gt;"ANY",$P1386=""),"MISSING COUNTERPARTY COUNTRY",IF(AND(IFERROR(INDEX(VAT_Codes!$E:$E,MATCH($N1386,VAT_Codes!$A:$A,0)),"ANY")&lt;&gt;"ANY",$P1386&lt;&gt;IFERROR(INDEX(VAT_Codes!$E:$E,MATCH($N1386,VAT_Codes!$A:$A,0)),"ANY")),"REGION MISMATCH","OK")))))))</f>
        <v/>
      </c>
    </row>
    <row r="1387" customFormat="false" ht="15" hidden="false" customHeight="false" outlineLevel="0" collapsed="false">
      <c r="M1387" s="24" t="str">
        <f aca="false">IF($C1387="","",IFERROR(INDEX(Account_Mapping!$C:$C,MATCH($C1387&amp;"",Account_Mapping!$A:$A,0))&amp;"",""))</f>
        <v/>
      </c>
      <c r="N1387" s="24" t="str">
        <f aca="false">IF($K1387&lt;&gt;"",$K1387,$M1387)</f>
        <v/>
      </c>
      <c r="O1387" s="24" t="str">
        <f aca="false">IF($F1387="","",IFERROR(INDEX(Counterparties!$C:$C,MATCH($F1387&amp;"",Counterparties!$A:$A,0))&amp;"",""))</f>
        <v/>
      </c>
      <c r="P1387" s="24" t="str">
        <f aca="false">IF($O1387="","",IF($O1387="CY","CY",IF(ISNUMBER(MATCH($O1387,Lists!$A:$A,0)),"EU","3RD")))</f>
        <v/>
      </c>
      <c r="Q1387" s="24" t="str">
        <f aca="false">IF($F1387="","N",IFERROR(IF(INDEX(Counterparties!$E:$E,MATCH($F1387&amp;"",Counterparties!$A:$A,0))="Y","Y","N"),"N"))</f>
        <v>N</v>
      </c>
      <c r="R1387" s="25" t="n">
        <f aca="false">IF(OR($H1387="",$H1387="EUR"),1,IFERROR(INDEX(FX_Rates!$D:$D,MATCH($H1387,FX_Rates!$A:$A,0)),""))</f>
        <v>1</v>
      </c>
      <c r="S1387" s="26" t="str">
        <f aca="false">IF(AND($I1387="",$J1387=""),"",IF($J1387&lt;&gt;"",$J1387,IF(OR($R1387="",$R1387=0),"",ROUND($I1387/$R1387,2))))</f>
        <v/>
      </c>
      <c r="T1387" s="24" t="str">
        <f aca="false">IF($N1387="","",IFERROR(INDEX(VAT_Codes!$C:$C,MATCH($N1387,VAT_Codes!$A:$A,0)),"")&amp;"")</f>
        <v/>
      </c>
      <c r="U1387" s="26" t="n">
        <f aca="false">IF(OR($S1387="",$T1387="",$T1387="None"),0,IF($T1387="Output",-$S1387,$S1387))</f>
        <v>0</v>
      </c>
      <c r="V1387" s="27" t="n">
        <f aca="false">IF($N1387="",0,IFERROR(INDEX(VAT_Codes!$D:$D,MATCH($N1387,VAT_Codes!$A:$A,0)),0))</f>
        <v>0</v>
      </c>
      <c r="W1387" s="26" t="n">
        <f aca="false">IF($U1387=0,0,IF(IFERROR(INDEX(VAT_Codes!$F:$F,MATCH($N1387,VAT_Codes!$A:$A,0)),"N")="Y",$U1387,IF($L1387&lt;&gt;"",ROUND(ABS($L1387)/IF(OR($R1387="",$R1387=0),1,$R1387),2)*SIGN($U1387),ROUND($U1387*$V1387,2))))</f>
        <v>0</v>
      </c>
      <c r="X1387" s="24" t="str">
        <f aca="false">IF($N1387="","",IFERROR(INDEX(VAT_Codes!$H:$H,MATCH($N1387,VAT_Codes!$A:$A,0)),"")&amp;"")</f>
        <v/>
      </c>
      <c r="Y1387" s="24" t="str">
        <f aca="false">IF($A1387="","",(YEAR($A1387)-YEAR(Settings!$C$8))*12+MONTH($A1387)-MONTH(Settings!$C$8)+1)</f>
        <v/>
      </c>
      <c r="Z1387" s="24" t="str">
        <f aca="false">IF(AND($C1387="",$I1387="",$J1387=""),"",IF($N1387="","NO VAT CODE",IF($T1387="","UNKNOWN VAT CODE",IF($S1387="","MISSING FX RATE",IF(OR($A1387&lt;Settings!$C$8,$A1387&gt;Settings!$C$9),"OUTSIDE PERIOD",IF(AND(IFERROR(INDEX(VAT_Codes!$E:$E,MATCH($N1387,VAT_Codes!$A:$A,0)),"ANY")&lt;&gt;"ANY",$P1387=""),"MISSING COUNTERPARTY COUNTRY",IF(AND(IFERROR(INDEX(VAT_Codes!$E:$E,MATCH($N1387,VAT_Codes!$A:$A,0)),"ANY")&lt;&gt;"ANY",$P1387&lt;&gt;IFERROR(INDEX(VAT_Codes!$E:$E,MATCH($N1387,VAT_Codes!$A:$A,0)),"ANY")),"REGION MISMATCH","OK")))))))</f>
        <v/>
      </c>
    </row>
    <row r="1388" customFormat="false" ht="15" hidden="false" customHeight="false" outlineLevel="0" collapsed="false">
      <c r="M1388" s="24" t="str">
        <f aca="false">IF($C1388="","",IFERROR(INDEX(Account_Mapping!$C:$C,MATCH($C1388&amp;"",Account_Mapping!$A:$A,0))&amp;"",""))</f>
        <v/>
      </c>
      <c r="N1388" s="24" t="str">
        <f aca="false">IF($K1388&lt;&gt;"",$K1388,$M1388)</f>
        <v/>
      </c>
      <c r="O1388" s="24" t="str">
        <f aca="false">IF($F1388="","",IFERROR(INDEX(Counterparties!$C:$C,MATCH($F1388&amp;"",Counterparties!$A:$A,0))&amp;"",""))</f>
        <v/>
      </c>
      <c r="P1388" s="24" t="str">
        <f aca="false">IF($O1388="","",IF($O1388="CY","CY",IF(ISNUMBER(MATCH($O1388,Lists!$A:$A,0)),"EU","3RD")))</f>
        <v/>
      </c>
      <c r="Q1388" s="24" t="str">
        <f aca="false">IF($F1388="","N",IFERROR(IF(INDEX(Counterparties!$E:$E,MATCH($F1388&amp;"",Counterparties!$A:$A,0))="Y","Y","N"),"N"))</f>
        <v>N</v>
      </c>
      <c r="R1388" s="25" t="n">
        <f aca="false">IF(OR($H1388="",$H1388="EUR"),1,IFERROR(INDEX(FX_Rates!$D:$D,MATCH($H1388,FX_Rates!$A:$A,0)),""))</f>
        <v>1</v>
      </c>
      <c r="S1388" s="26" t="str">
        <f aca="false">IF(AND($I1388="",$J1388=""),"",IF($J1388&lt;&gt;"",$J1388,IF(OR($R1388="",$R1388=0),"",ROUND($I1388/$R1388,2))))</f>
        <v/>
      </c>
      <c r="T1388" s="24" t="str">
        <f aca="false">IF($N1388="","",IFERROR(INDEX(VAT_Codes!$C:$C,MATCH($N1388,VAT_Codes!$A:$A,0)),"")&amp;"")</f>
        <v/>
      </c>
      <c r="U1388" s="26" t="n">
        <f aca="false">IF(OR($S1388="",$T1388="",$T1388="None"),0,IF($T1388="Output",-$S1388,$S1388))</f>
        <v>0</v>
      </c>
      <c r="V1388" s="27" t="n">
        <f aca="false">IF($N1388="",0,IFERROR(INDEX(VAT_Codes!$D:$D,MATCH($N1388,VAT_Codes!$A:$A,0)),0))</f>
        <v>0</v>
      </c>
      <c r="W1388" s="26" t="n">
        <f aca="false">IF($U1388=0,0,IF(IFERROR(INDEX(VAT_Codes!$F:$F,MATCH($N1388,VAT_Codes!$A:$A,0)),"N")="Y",$U1388,IF($L1388&lt;&gt;"",ROUND(ABS($L1388)/IF(OR($R1388="",$R1388=0),1,$R1388),2)*SIGN($U1388),ROUND($U1388*$V1388,2))))</f>
        <v>0</v>
      </c>
      <c r="X1388" s="24" t="str">
        <f aca="false">IF($N1388="","",IFERROR(INDEX(VAT_Codes!$H:$H,MATCH($N1388,VAT_Codes!$A:$A,0)),"")&amp;"")</f>
        <v/>
      </c>
      <c r="Y1388" s="24" t="str">
        <f aca="false">IF($A1388="","",(YEAR($A1388)-YEAR(Settings!$C$8))*12+MONTH($A1388)-MONTH(Settings!$C$8)+1)</f>
        <v/>
      </c>
      <c r="Z1388" s="24" t="str">
        <f aca="false">IF(AND($C1388="",$I1388="",$J1388=""),"",IF($N1388="","NO VAT CODE",IF($T1388="","UNKNOWN VAT CODE",IF($S1388="","MISSING FX RATE",IF(OR($A1388&lt;Settings!$C$8,$A1388&gt;Settings!$C$9),"OUTSIDE PERIOD",IF(AND(IFERROR(INDEX(VAT_Codes!$E:$E,MATCH($N1388,VAT_Codes!$A:$A,0)),"ANY")&lt;&gt;"ANY",$P1388=""),"MISSING COUNTERPARTY COUNTRY",IF(AND(IFERROR(INDEX(VAT_Codes!$E:$E,MATCH($N1388,VAT_Codes!$A:$A,0)),"ANY")&lt;&gt;"ANY",$P1388&lt;&gt;IFERROR(INDEX(VAT_Codes!$E:$E,MATCH($N1388,VAT_Codes!$A:$A,0)),"ANY")),"REGION MISMATCH","OK")))))))</f>
        <v/>
      </c>
    </row>
    <row r="1389" customFormat="false" ht="15" hidden="false" customHeight="false" outlineLevel="0" collapsed="false">
      <c r="M1389" s="24" t="str">
        <f aca="false">IF($C1389="","",IFERROR(INDEX(Account_Mapping!$C:$C,MATCH($C1389&amp;"",Account_Mapping!$A:$A,0))&amp;"",""))</f>
        <v/>
      </c>
      <c r="N1389" s="24" t="str">
        <f aca="false">IF($K1389&lt;&gt;"",$K1389,$M1389)</f>
        <v/>
      </c>
      <c r="O1389" s="24" t="str">
        <f aca="false">IF($F1389="","",IFERROR(INDEX(Counterparties!$C:$C,MATCH($F1389&amp;"",Counterparties!$A:$A,0))&amp;"",""))</f>
        <v/>
      </c>
      <c r="P1389" s="24" t="str">
        <f aca="false">IF($O1389="","",IF($O1389="CY","CY",IF(ISNUMBER(MATCH($O1389,Lists!$A:$A,0)),"EU","3RD")))</f>
        <v/>
      </c>
      <c r="Q1389" s="24" t="str">
        <f aca="false">IF($F1389="","N",IFERROR(IF(INDEX(Counterparties!$E:$E,MATCH($F1389&amp;"",Counterparties!$A:$A,0))="Y","Y","N"),"N"))</f>
        <v>N</v>
      </c>
      <c r="R1389" s="25" t="n">
        <f aca="false">IF(OR($H1389="",$H1389="EUR"),1,IFERROR(INDEX(FX_Rates!$D:$D,MATCH($H1389,FX_Rates!$A:$A,0)),""))</f>
        <v>1</v>
      </c>
      <c r="S1389" s="26" t="str">
        <f aca="false">IF(AND($I1389="",$J1389=""),"",IF($J1389&lt;&gt;"",$J1389,IF(OR($R1389="",$R1389=0),"",ROUND($I1389/$R1389,2))))</f>
        <v/>
      </c>
      <c r="T1389" s="24" t="str">
        <f aca="false">IF($N1389="","",IFERROR(INDEX(VAT_Codes!$C:$C,MATCH($N1389,VAT_Codes!$A:$A,0)),"")&amp;"")</f>
        <v/>
      </c>
      <c r="U1389" s="26" t="n">
        <f aca="false">IF(OR($S1389="",$T1389="",$T1389="None"),0,IF($T1389="Output",-$S1389,$S1389))</f>
        <v>0</v>
      </c>
      <c r="V1389" s="27" t="n">
        <f aca="false">IF($N1389="",0,IFERROR(INDEX(VAT_Codes!$D:$D,MATCH($N1389,VAT_Codes!$A:$A,0)),0))</f>
        <v>0</v>
      </c>
      <c r="W1389" s="26" t="n">
        <f aca="false">IF($U1389=0,0,IF(IFERROR(INDEX(VAT_Codes!$F:$F,MATCH($N1389,VAT_Codes!$A:$A,0)),"N")="Y",$U1389,IF($L1389&lt;&gt;"",ROUND(ABS($L1389)/IF(OR($R1389="",$R1389=0),1,$R1389),2)*SIGN($U1389),ROUND($U1389*$V1389,2))))</f>
        <v>0</v>
      </c>
      <c r="X1389" s="24" t="str">
        <f aca="false">IF($N1389="","",IFERROR(INDEX(VAT_Codes!$H:$H,MATCH($N1389,VAT_Codes!$A:$A,0)),"")&amp;"")</f>
        <v/>
      </c>
      <c r="Y1389" s="24" t="str">
        <f aca="false">IF($A1389="","",(YEAR($A1389)-YEAR(Settings!$C$8))*12+MONTH($A1389)-MONTH(Settings!$C$8)+1)</f>
        <v/>
      </c>
      <c r="Z1389" s="24" t="str">
        <f aca="false">IF(AND($C1389="",$I1389="",$J1389=""),"",IF($N1389="","NO VAT CODE",IF($T1389="","UNKNOWN VAT CODE",IF($S1389="","MISSING FX RATE",IF(OR($A1389&lt;Settings!$C$8,$A1389&gt;Settings!$C$9),"OUTSIDE PERIOD",IF(AND(IFERROR(INDEX(VAT_Codes!$E:$E,MATCH($N1389,VAT_Codes!$A:$A,0)),"ANY")&lt;&gt;"ANY",$P1389=""),"MISSING COUNTERPARTY COUNTRY",IF(AND(IFERROR(INDEX(VAT_Codes!$E:$E,MATCH($N1389,VAT_Codes!$A:$A,0)),"ANY")&lt;&gt;"ANY",$P1389&lt;&gt;IFERROR(INDEX(VAT_Codes!$E:$E,MATCH($N1389,VAT_Codes!$A:$A,0)),"ANY")),"REGION MISMATCH","OK")))))))</f>
        <v/>
      </c>
    </row>
    <row r="1390" customFormat="false" ht="15" hidden="false" customHeight="false" outlineLevel="0" collapsed="false">
      <c r="M1390" s="24" t="str">
        <f aca="false">IF($C1390="","",IFERROR(INDEX(Account_Mapping!$C:$C,MATCH($C1390&amp;"",Account_Mapping!$A:$A,0))&amp;"",""))</f>
        <v/>
      </c>
      <c r="N1390" s="24" t="str">
        <f aca="false">IF($K1390&lt;&gt;"",$K1390,$M1390)</f>
        <v/>
      </c>
      <c r="O1390" s="24" t="str">
        <f aca="false">IF($F1390="","",IFERROR(INDEX(Counterparties!$C:$C,MATCH($F1390&amp;"",Counterparties!$A:$A,0))&amp;"",""))</f>
        <v/>
      </c>
      <c r="P1390" s="24" t="str">
        <f aca="false">IF($O1390="","",IF($O1390="CY","CY",IF(ISNUMBER(MATCH($O1390,Lists!$A:$A,0)),"EU","3RD")))</f>
        <v/>
      </c>
      <c r="Q1390" s="24" t="str">
        <f aca="false">IF($F1390="","N",IFERROR(IF(INDEX(Counterparties!$E:$E,MATCH($F1390&amp;"",Counterparties!$A:$A,0))="Y","Y","N"),"N"))</f>
        <v>N</v>
      </c>
      <c r="R1390" s="25" t="n">
        <f aca="false">IF(OR($H1390="",$H1390="EUR"),1,IFERROR(INDEX(FX_Rates!$D:$D,MATCH($H1390,FX_Rates!$A:$A,0)),""))</f>
        <v>1</v>
      </c>
      <c r="S1390" s="26" t="str">
        <f aca="false">IF(AND($I1390="",$J1390=""),"",IF($J1390&lt;&gt;"",$J1390,IF(OR($R1390="",$R1390=0),"",ROUND($I1390/$R1390,2))))</f>
        <v/>
      </c>
      <c r="T1390" s="24" t="str">
        <f aca="false">IF($N1390="","",IFERROR(INDEX(VAT_Codes!$C:$C,MATCH($N1390,VAT_Codes!$A:$A,0)),"")&amp;"")</f>
        <v/>
      </c>
      <c r="U1390" s="26" t="n">
        <f aca="false">IF(OR($S1390="",$T1390="",$T1390="None"),0,IF($T1390="Output",-$S1390,$S1390))</f>
        <v>0</v>
      </c>
      <c r="V1390" s="27" t="n">
        <f aca="false">IF($N1390="",0,IFERROR(INDEX(VAT_Codes!$D:$D,MATCH($N1390,VAT_Codes!$A:$A,0)),0))</f>
        <v>0</v>
      </c>
      <c r="W1390" s="26" t="n">
        <f aca="false">IF($U1390=0,0,IF(IFERROR(INDEX(VAT_Codes!$F:$F,MATCH($N1390,VAT_Codes!$A:$A,0)),"N")="Y",$U1390,IF($L1390&lt;&gt;"",ROUND(ABS($L1390)/IF(OR($R1390="",$R1390=0),1,$R1390),2)*SIGN($U1390),ROUND($U1390*$V1390,2))))</f>
        <v>0</v>
      </c>
      <c r="X1390" s="24" t="str">
        <f aca="false">IF($N1390="","",IFERROR(INDEX(VAT_Codes!$H:$H,MATCH($N1390,VAT_Codes!$A:$A,0)),"")&amp;"")</f>
        <v/>
      </c>
      <c r="Y1390" s="24" t="str">
        <f aca="false">IF($A1390="","",(YEAR($A1390)-YEAR(Settings!$C$8))*12+MONTH($A1390)-MONTH(Settings!$C$8)+1)</f>
        <v/>
      </c>
      <c r="Z1390" s="24" t="str">
        <f aca="false">IF(AND($C1390="",$I1390="",$J1390=""),"",IF($N1390="","NO VAT CODE",IF($T1390="","UNKNOWN VAT CODE",IF($S1390="","MISSING FX RATE",IF(OR($A1390&lt;Settings!$C$8,$A1390&gt;Settings!$C$9),"OUTSIDE PERIOD",IF(AND(IFERROR(INDEX(VAT_Codes!$E:$E,MATCH($N1390,VAT_Codes!$A:$A,0)),"ANY")&lt;&gt;"ANY",$P1390=""),"MISSING COUNTERPARTY COUNTRY",IF(AND(IFERROR(INDEX(VAT_Codes!$E:$E,MATCH($N1390,VAT_Codes!$A:$A,0)),"ANY")&lt;&gt;"ANY",$P1390&lt;&gt;IFERROR(INDEX(VAT_Codes!$E:$E,MATCH($N1390,VAT_Codes!$A:$A,0)),"ANY")),"REGION MISMATCH","OK")))))))</f>
        <v/>
      </c>
    </row>
    <row r="1391" customFormat="false" ht="15" hidden="false" customHeight="false" outlineLevel="0" collapsed="false">
      <c r="M1391" s="24" t="str">
        <f aca="false">IF($C1391="","",IFERROR(INDEX(Account_Mapping!$C:$C,MATCH($C1391&amp;"",Account_Mapping!$A:$A,0))&amp;"",""))</f>
        <v/>
      </c>
      <c r="N1391" s="24" t="str">
        <f aca="false">IF($K1391&lt;&gt;"",$K1391,$M1391)</f>
        <v/>
      </c>
      <c r="O1391" s="24" t="str">
        <f aca="false">IF($F1391="","",IFERROR(INDEX(Counterparties!$C:$C,MATCH($F1391&amp;"",Counterparties!$A:$A,0))&amp;"",""))</f>
        <v/>
      </c>
      <c r="P1391" s="24" t="str">
        <f aca="false">IF($O1391="","",IF($O1391="CY","CY",IF(ISNUMBER(MATCH($O1391,Lists!$A:$A,0)),"EU","3RD")))</f>
        <v/>
      </c>
      <c r="Q1391" s="24" t="str">
        <f aca="false">IF($F1391="","N",IFERROR(IF(INDEX(Counterparties!$E:$E,MATCH($F1391&amp;"",Counterparties!$A:$A,0))="Y","Y","N"),"N"))</f>
        <v>N</v>
      </c>
      <c r="R1391" s="25" t="n">
        <f aca="false">IF(OR($H1391="",$H1391="EUR"),1,IFERROR(INDEX(FX_Rates!$D:$D,MATCH($H1391,FX_Rates!$A:$A,0)),""))</f>
        <v>1</v>
      </c>
      <c r="S1391" s="26" t="str">
        <f aca="false">IF(AND($I1391="",$J1391=""),"",IF($J1391&lt;&gt;"",$J1391,IF(OR($R1391="",$R1391=0),"",ROUND($I1391/$R1391,2))))</f>
        <v/>
      </c>
      <c r="T1391" s="24" t="str">
        <f aca="false">IF($N1391="","",IFERROR(INDEX(VAT_Codes!$C:$C,MATCH($N1391,VAT_Codes!$A:$A,0)),"")&amp;"")</f>
        <v/>
      </c>
      <c r="U1391" s="26" t="n">
        <f aca="false">IF(OR($S1391="",$T1391="",$T1391="None"),0,IF($T1391="Output",-$S1391,$S1391))</f>
        <v>0</v>
      </c>
      <c r="V1391" s="27" t="n">
        <f aca="false">IF($N1391="",0,IFERROR(INDEX(VAT_Codes!$D:$D,MATCH($N1391,VAT_Codes!$A:$A,0)),0))</f>
        <v>0</v>
      </c>
      <c r="W1391" s="26" t="n">
        <f aca="false">IF($U1391=0,0,IF(IFERROR(INDEX(VAT_Codes!$F:$F,MATCH($N1391,VAT_Codes!$A:$A,0)),"N")="Y",$U1391,IF($L1391&lt;&gt;"",ROUND(ABS($L1391)/IF(OR($R1391="",$R1391=0),1,$R1391),2)*SIGN($U1391),ROUND($U1391*$V1391,2))))</f>
        <v>0</v>
      </c>
      <c r="X1391" s="24" t="str">
        <f aca="false">IF($N1391="","",IFERROR(INDEX(VAT_Codes!$H:$H,MATCH($N1391,VAT_Codes!$A:$A,0)),"")&amp;"")</f>
        <v/>
      </c>
      <c r="Y1391" s="24" t="str">
        <f aca="false">IF($A1391="","",(YEAR($A1391)-YEAR(Settings!$C$8))*12+MONTH($A1391)-MONTH(Settings!$C$8)+1)</f>
        <v/>
      </c>
      <c r="Z1391" s="24" t="str">
        <f aca="false">IF(AND($C1391="",$I1391="",$J1391=""),"",IF($N1391="","NO VAT CODE",IF($T1391="","UNKNOWN VAT CODE",IF($S1391="","MISSING FX RATE",IF(OR($A1391&lt;Settings!$C$8,$A1391&gt;Settings!$C$9),"OUTSIDE PERIOD",IF(AND(IFERROR(INDEX(VAT_Codes!$E:$E,MATCH($N1391,VAT_Codes!$A:$A,0)),"ANY")&lt;&gt;"ANY",$P1391=""),"MISSING COUNTERPARTY COUNTRY",IF(AND(IFERROR(INDEX(VAT_Codes!$E:$E,MATCH($N1391,VAT_Codes!$A:$A,0)),"ANY")&lt;&gt;"ANY",$P1391&lt;&gt;IFERROR(INDEX(VAT_Codes!$E:$E,MATCH($N1391,VAT_Codes!$A:$A,0)),"ANY")),"REGION MISMATCH","OK")))))))</f>
        <v/>
      </c>
    </row>
    <row r="1392" customFormat="false" ht="15" hidden="false" customHeight="false" outlineLevel="0" collapsed="false">
      <c r="M1392" s="24" t="str">
        <f aca="false">IF($C1392="","",IFERROR(INDEX(Account_Mapping!$C:$C,MATCH($C1392&amp;"",Account_Mapping!$A:$A,0))&amp;"",""))</f>
        <v/>
      </c>
      <c r="N1392" s="24" t="str">
        <f aca="false">IF($K1392&lt;&gt;"",$K1392,$M1392)</f>
        <v/>
      </c>
      <c r="O1392" s="24" t="str">
        <f aca="false">IF($F1392="","",IFERROR(INDEX(Counterparties!$C:$C,MATCH($F1392&amp;"",Counterparties!$A:$A,0))&amp;"",""))</f>
        <v/>
      </c>
      <c r="P1392" s="24" t="str">
        <f aca="false">IF($O1392="","",IF($O1392="CY","CY",IF(ISNUMBER(MATCH($O1392,Lists!$A:$A,0)),"EU","3RD")))</f>
        <v/>
      </c>
      <c r="Q1392" s="24" t="str">
        <f aca="false">IF($F1392="","N",IFERROR(IF(INDEX(Counterparties!$E:$E,MATCH($F1392&amp;"",Counterparties!$A:$A,0))="Y","Y","N"),"N"))</f>
        <v>N</v>
      </c>
      <c r="R1392" s="25" t="n">
        <f aca="false">IF(OR($H1392="",$H1392="EUR"),1,IFERROR(INDEX(FX_Rates!$D:$D,MATCH($H1392,FX_Rates!$A:$A,0)),""))</f>
        <v>1</v>
      </c>
      <c r="S1392" s="26" t="str">
        <f aca="false">IF(AND($I1392="",$J1392=""),"",IF($J1392&lt;&gt;"",$J1392,IF(OR($R1392="",$R1392=0),"",ROUND($I1392/$R1392,2))))</f>
        <v/>
      </c>
      <c r="T1392" s="24" t="str">
        <f aca="false">IF($N1392="","",IFERROR(INDEX(VAT_Codes!$C:$C,MATCH($N1392,VAT_Codes!$A:$A,0)),"")&amp;"")</f>
        <v/>
      </c>
      <c r="U1392" s="26" t="n">
        <f aca="false">IF(OR($S1392="",$T1392="",$T1392="None"),0,IF($T1392="Output",-$S1392,$S1392))</f>
        <v>0</v>
      </c>
      <c r="V1392" s="27" t="n">
        <f aca="false">IF($N1392="",0,IFERROR(INDEX(VAT_Codes!$D:$D,MATCH($N1392,VAT_Codes!$A:$A,0)),0))</f>
        <v>0</v>
      </c>
      <c r="W1392" s="26" t="n">
        <f aca="false">IF($U1392=0,0,IF(IFERROR(INDEX(VAT_Codes!$F:$F,MATCH($N1392,VAT_Codes!$A:$A,0)),"N")="Y",$U1392,IF($L1392&lt;&gt;"",ROUND(ABS($L1392)/IF(OR($R1392="",$R1392=0),1,$R1392),2)*SIGN($U1392),ROUND($U1392*$V1392,2))))</f>
        <v>0</v>
      </c>
      <c r="X1392" s="24" t="str">
        <f aca="false">IF($N1392="","",IFERROR(INDEX(VAT_Codes!$H:$H,MATCH($N1392,VAT_Codes!$A:$A,0)),"")&amp;"")</f>
        <v/>
      </c>
      <c r="Y1392" s="24" t="str">
        <f aca="false">IF($A1392="","",(YEAR($A1392)-YEAR(Settings!$C$8))*12+MONTH($A1392)-MONTH(Settings!$C$8)+1)</f>
        <v/>
      </c>
      <c r="Z1392" s="24" t="str">
        <f aca="false">IF(AND($C1392="",$I1392="",$J1392=""),"",IF($N1392="","NO VAT CODE",IF($T1392="","UNKNOWN VAT CODE",IF($S1392="","MISSING FX RATE",IF(OR($A1392&lt;Settings!$C$8,$A1392&gt;Settings!$C$9),"OUTSIDE PERIOD",IF(AND(IFERROR(INDEX(VAT_Codes!$E:$E,MATCH($N1392,VAT_Codes!$A:$A,0)),"ANY")&lt;&gt;"ANY",$P1392=""),"MISSING COUNTERPARTY COUNTRY",IF(AND(IFERROR(INDEX(VAT_Codes!$E:$E,MATCH($N1392,VAT_Codes!$A:$A,0)),"ANY")&lt;&gt;"ANY",$P1392&lt;&gt;IFERROR(INDEX(VAT_Codes!$E:$E,MATCH($N1392,VAT_Codes!$A:$A,0)),"ANY")),"REGION MISMATCH","OK")))))))</f>
        <v/>
      </c>
    </row>
    <row r="1393" customFormat="false" ht="15" hidden="false" customHeight="false" outlineLevel="0" collapsed="false">
      <c r="M1393" s="24" t="str">
        <f aca="false">IF($C1393="","",IFERROR(INDEX(Account_Mapping!$C:$C,MATCH($C1393&amp;"",Account_Mapping!$A:$A,0))&amp;"",""))</f>
        <v/>
      </c>
      <c r="N1393" s="24" t="str">
        <f aca="false">IF($K1393&lt;&gt;"",$K1393,$M1393)</f>
        <v/>
      </c>
      <c r="O1393" s="24" t="str">
        <f aca="false">IF($F1393="","",IFERROR(INDEX(Counterparties!$C:$C,MATCH($F1393&amp;"",Counterparties!$A:$A,0))&amp;"",""))</f>
        <v/>
      </c>
      <c r="P1393" s="24" t="str">
        <f aca="false">IF($O1393="","",IF($O1393="CY","CY",IF(ISNUMBER(MATCH($O1393,Lists!$A:$A,0)),"EU","3RD")))</f>
        <v/>
      </c>
      <c r="Q1393" s="24" t="str">
        <f aca="false">IF($F1393="","N",IFERROR(IF(INDEX(Counterparties!$E:$E,MATCH($F1393&amp;"",Counterparties!$A:$A,0))="Y","Y","N"),"N"))</f>
        <v>N</v>
      </c>
      <c r="R1393" s="25" t="n">
        <f aca="false">IF(OR($H1393="",$H1393="EUR"),1,IFERROR(INDEX(FX_Rates!$D:$D,MATCH($H1393,FX_Rates!$A:$A,0)),""))</f>
        <v>1</v>
      </c>
      <c r="S1393" s="26" t="str">
        <f aca="false">IF(AND($I1393="",$J1393=""),"",IF($J1393&lt;&gt;"",$J1393,IF(OR($R1393="",$R1393=0),"",ROUND($I1393/$R1393,2))))</f>
        <v/>
      </c>
      <c r="T1393" s="24" t="str">
        <f aca="false">IF($N1393="","",IFERROR(INDEX(VAT_Codes!$C:$C,MATCH($N1393,VAT_Codes!$A:$A,0)),"")&amp;"")</f>
        <v/>
      </c>
      <c r="U1393" s="26" t="n">
        <f aca="false">IF(OR($S1393="",$T1393="",$T1393="None"),0,IF($T1393="Output",-$S1393,$S1393))</f>
        <v>0</v>
      </c>
      <c r="V1393" s="27" t="n">
        <f aca="false">IF($N1393="",0,IFERROR(INDEX(VAT_Codes!$D:$D,MATCH($N1393,VAT_Codes!$A:$A,0)),0))</f>
        <v>0</v>
      </c>
      <c r="W1393" s="26" t="n">
        <f aca="false">IF($U1393=0,0,IF(IFERROR(INDEX(VAT_Codes!$F:$F,MATCH($N1393,VAT_Codes!$A:$A,0)),"N")="Y",$U1393,IF($L1393&lt;&gt;"",ROUND(ABS($L1393)/IF(OR($R1393="",$R1393=0),1,$R1393),2)*SIGN($U1393),ROUND($U1393*$V1393,2))))</f>
        <v>0</v>
      </c>
      <c r="X1393" s="24" t="str">
        <f aca="false">IF($N1393="","",IFERROR(INDEX(VAT_Codes!$H:$H,MATCH($N1393,VAT_Codes!$A:$A,0)),"")&amp;"")</f>
        <v/>
      </c>
      <c r="Y1393" s="24" t="str">
        <f aca="false">IF($A1393="","",(YEAR($A1393)-YEAR(Settings!$C$8))*12+MONTH($A1393)-MONTH(Settings!$C$8)+1)</f>
        <v/>
      </c>
      <c r="Z1393" s="24" t="str">
        <f aca="false">IF(AND($C1393="",$I1393="",$J1393=""),"",IF($N1393="","NO VAT CODE",IF($T1393="","UNKNOWN VAT CODE",IF($S1393="","MISSING FX RATE",IF(OR($A1393&lt;Settings!$C$8,$A1393&gt;Settings!$C$9),"OUTSIDE PERIOD",IF(AND(IFERROR(INDEX(VAT_Codes!$E:$E,MATCH($N1393,VAT_Codes!$A:$A,0)),"ANY")&lt;&gt;"ANY",$P1393=""),"MISSING COUNTERPARTY COUNTRY",IF(AND(IFERROR(INDEX(VAT_Codes!$E:$E,MATCH($N1393,VAT_Codes!$A:$A,0)),"ANY")&lt;&gt;"ANY",$P1393&lt;&gt;IFERROR(INDEX(VAT_Codes!$E:$E,MATCH($N1393,VAT_Codes!$A:$A,0)),"ANY")),"REGION MISMATCH","OK")))))))</f>
        <v/>
      </c>
    </row>
    <row r="1394" customFormat="false" ht="15" hidden="false" customHeight="false" outlineLevel="0" collapsed="false">
      <c r="M1394" s="24" t="str">
        <f aca="false">IF($C1394="","",IFERROR(INDEX(Account_Mapping!$C:$C,MATCH($C1394&amp;"",Account_Mapping!$A:$A,0))&amp;"",""))</f>
        <v/>
      </c>
      <c r="N1394" s="24" t="str">
        <f aca="false">IF($K1394&lt;&gt;"",$K1394,$M1394)</f>
        <v/>
      </c>
      <c r="O1394" s="24" t="str">
        <f aca="false">IF($F1394="","",IFERROR(INDEX(Counterparties!$C:$C,MATCH($F1394&amp;"",Counterparties!$A:$A,0))&amp;"",""))</f>
        <v/>
      </c>
      <c r="P1394" s="24" t="str">
        <f aca="false">IF($O1394="","",IF($O1394="CY","CY",IF(ISNUMBER(MATCH($O1394,Lists!$A:$A,0)),"EU","3RD")))</f>
        <v/>
      </c>
      <c r="Q1394" s="24" t="str">
        <f aca="false">IF($F1394="","N",IFERROR(IF(INDEX(Counterparties!$E:$E,MATCH($F1394&amp;"",Counterparties!$A:$A,0))="Y","Y","N"),"N"))</f>
        <v>N</v>
      </c>
      <c r="R1394" s="25" t="n">
        <f aca="false">IF(OR($H1394="",$H1394="EUR"),1,IFERROR(INDEX(FX_Rates!$D:$D,MATCH($H1394,FX_Rates!$A:$A,0)),""))</f>
        <v>1</v>
      </c>
      <c r="S1394" s="26" t="str">
        <f aca="false">IF(AND($I1394="",$J1394=""),"",IF($J1394&lt;&gt;"",$J1394,IF(OR($R1394="",$R1394=0),"",ROUND($I1394/$R1394,2))))</f>
        <v/>
      </c>
      <c r="T1394" s="24" t="str">
        <f aca="false">IF($N1394="","",IFERROR(INDEX(VAT_Codes!$C:$C,MATCH($N1394,VAT_Codes!$A:$A,0)),"")&amp;"")</f>
        <v/>
      </c>
      <c r="U1394" s="26" t="n">
        <f aca="false">IF(OR($S1394="",$T1394="",$T1394="None"),0,IF($T1394="Output",-$S1394,$S1394))</f>
        <v>0</v>
      </c>
      <c r="V1394" s="27" t="n">
        <f aca="false">IF($N1394="",0,IFERROR(INDEX(VAT_Codes!$D:$D,MATCH($N1394,VAT_Codes!$A:$A,0)),0))</f>
        <v>0</v>
      </c>
      <c r="W1394" s="26" t="n">
        <f aca="false">IF($U1394=0,0,IF(IFERROR(INDEX(VAT_Codes!$F:$F,MATCH($N1394,VAT_Codes!$A:$A,0)),"N")="Y",$U1394,IF($L1394&lt;&gt;"",ROUND(ABS($L1394)/IF(OR($R1394="",$R1394=0),1,$R1394),2)*SIGN($U1394),ROUND($U1394*$V1394,2))))</f>
        <v>0</v>
      </c>
      <c r="X1394" s="24" t="str">
        <f aca="false">IF($N1394="","",IFERROR(INDEX(VAT_Codes!$H:$H,MATCH($N1394,VAT_Codes!$A:$A,0)),"")&amp;"")</f>
        <v/>
      </c>
      <c r="Y1394" s="24" t="str">
        <f aca="false">IF($A1394="","",(YEAR($A1394)-YEAR(Settings!$C$8))*12+MONTH($A1394)-MONTH(Settings!$C$8)+1)</f>
        <v/>
      </c>
      <c r="Z1394" s="24" t="str">
        <f aca="false">IF(AND($C1394="",$I1394="",$J1394=""),"",IF($N1394="","NO VAT CODE",IF($T1394="","UNKNOWN VAT CODE",IF($S1394="","MISSING FX RATE",IF(OR($A1394&lt;Settings!$C$8,$A1394&gt;Settings!$C$9),"OUTSIDE PERIOD",IF(AND(IFERROR(INDEX(VAT_Codes!$E:$E,MATCH($N1394,VAT_Codes!$A:$A,0)),"ANY")&lt;&gt;"ANY",$P1394=""),"MISSING COUNTERPARTY COUNTRY",IF(AND(IFERROR(INDEX(VAT_Codes!$E:$E,MATCH($N1394,VAT_Codes!$A:$A,0)),"ANY")&lt;&gt;"ANY",$P1394&lt;&gt;IFERROR(INDEX(VAT_Codes!$E:$E,MATCH($N1394,VAT_Codes!$A:$A,0)),"ANY")),"REGION MISMATCH","OK")))))))</f>
        <v/>
      </c>
    </row>
    <row r="1395" customFormat="false" ht="15" hidden="false" customHeight="false" outlineLevel="0" collapsed="false">
      <c r="M1395" s="24" t="str">
        <f aca="false">IF($C1395="","",IFERROR(INDEX(Account_Mapping!$C:$C,MATCH($C1395&amp;"",Account_Mapping!$A:$A,0))&amp;"",""))</f>
        <v/>
      </c>
      <c r="N1395" s="24" t="str">
        <f aca="false">IF($K1395&lt;&gt;"",$K1395,$M1395)</f>
        <v/>
      </c>
      <c r="O1395" s="24" t="str">
        <f aca="false">IF($F1395="","",IFERROR(INDEX(Counterparties!$C:$C,MATCH($F1395&amp;"",Counterparties!$A:$A,0))&amp;"",""))</f>
        <v/>
      </c>
      <c r="P1395" s="24" t="str">
        <f aca="false">IF($O1395="","",IF($O1395="CY","CY",IF(ISNUMBER(MATCH($O1395,Lists!$A:$A,0)),"EU","3RD")))</f>
        <v/>
      </c>
      <c r="Q1395" s="24" t="str">
        <f aca="false">IF($F1395="","N",IFERROR(IF(INDEX(Counterparties!$E:$E,MATCH($F1395&amp;"",Counterparties!$A:$A,0))="Y","Y","N"),"N"))</f>
        <v>N</v>
      </c>
      <c r="R1395" s="25" t="n">
        <f aca="false">IF(OR($H1395="",$H1395="EUR"),1,IFERROR(INDEX(FX_Rates!$D:$D,MATCH($H1395,FX_Rates!$A:$A,0)),""))</f>
        <v>1</v>
      </c>
      <c r="S1395" s="26" t="str">
        <f aca="false">IF(AND($I1395="",$J1395=""),"",IF($J1395&lt;&gt;"",$J1395,IF(OR($R1395="",$R1395=0),"",ROUND($I1395/$R1395,2))))</f>
        <v/>
      </c>
      <c r="T1395" s="24" t="str">
        <f aca="false">IF($N1395="","",IFERROR(INDEX(VAT_Codes!$C:$C,MATCH($N1395,VAT_Codes!$A:$A,0)),"")&amp;"")</f>
        <v/>
      </c>
      <c r="U1395" s="26" t="n">
        <f aca="false">IF(OR($S1395="",$T1395="",$T1395="None"),0,IF($T1395="Output",-$S1395,$S1395))</f>
        <v>0</v>
      </c>
      <c r="V1395" s="27" t="n">
        <f aca="false">IF($N1395="",0,IFERROR(INDEX(VAT_Codes!$D:$D,MATCH($N1395,VAT_Codes!$A:$A,0)),0))</f>
        <v>0</v>
      </c>
      <c r="W1395" s="26" t="n">
        <f aca="false">IF($U1395=0,0,IF(IFERROR(INDEX(VAT_Codes!$F:$F,MATCH($N1395,VAT_Codes!$A:$A,0)),"N")="Y",$U1395,IF($L1395&lt;&gt;"",ROUND(ABS($L1395)/IF(OR($R1395="",$R1395=0),1,$R1395),2)*SIGN($U1395),ROUND($U1395*$V1395,2))))</f>
        <v>0</v>
      </c>
      <c r="X1395" s="24" t="str">
        <f aca="false">IF($N1395="","",IFERROR(INDEX(VAT_Codes!$H:$H,MATCH($N1395,VAT_Codes!$A:$A,0)),"")&amp;"")</f>
        <v/>
      </c>
      <c r="Y1395" s="24" t="str">
        <f aca="false">IF($A1395="","",(YEAR($A1395)-YEAR(Settings!$C$8))*12+MONTH($A1395)-MONTH(Settings!$C$8)+1)</f>
        <v/>
      </c>
      <c r="Z1395" s="24" t="str">
        <f aca="false">IF(AND($C1395="",$I1395="",$J1395=""),"",IF($N1395="","NO VAT CODE",IF($T1395="","UNKNOWN VAT CODE",IF($S1395="","MISSING FX RATE",IF(OR($A1395&lt;Settings!$C$8,$A1395&gt;Settings!$C$9),"OUTSIDE PERIOD",IF(AND(IFERROR(INDEX(VAT_Codes!$E:$E,MATCH($N1395,VAT_Codes!$A:$A,0)),"ANY")&lt;&gt;"ANY",$P1395=""),"MISSING COUNTERPARTY COUNTRY",IF(AND(IFERROR(INDEX(VAT_Codes!$E:$E,MATCH($N1395,VAT_Codes!$A:$A,0)),"ANY")&lt;&gt;"ANY",$P1395&lt;&gt;IFERROR(INDEX(VAT_Codes!$E:$E,MATCH($N1395,VAT_Codes!$A:$A,0)),"ANY")),"REGION MISMATCH","OK")))))))</f>
        <v/>
      </c>
    </row>
    <row r="1396" customFormat="false" ht="15" hidden="false" customHeight="false" outlineLevel="0" collapsed="false">
      <c r="M1396" s="24" t="str">
        <f aca="false">IF($C1396="","",IFERROR(INDEX(Account_Mapping!$C:$C,MATCH($C1396&amp;"",Account_Mapping!$A:$A,0))&amp;"",""))</f>
        <v/>
      </c>
      <c r="N1396" s="24" t="str">
        <f aca="false">IF($K1396&lt;&gt;"",$K1396,$M1396)</f>
        <v/>
      </c>
      <c r="O1396" s="24" t="str">
        <f aca="false">IF($F1396="","",IFERROR(INDEX(Counterparties!$C:$C,MATCH($F1396&amp;"",Counterparties!$A:$A,0))&amp;"",""))</f>
        <v/>
      </c>
      <c r="P1396" s="24" t="str">
        <f aca="false">IF($O1396="","",IF($O1396="CY","CY",IF(ISNUMBER(MATCH($O1396,Lists!$A:$A,0)),"EU","3RD")))</f>
        <v/>
      </c>
      <c r="Q1396" s="24" t="str">
        <f aca="false">IF($F1396="","N",IFERROR(IF(INDEX(Counterparties!$E:$E,MATCH($F1396&amp;"",Counterparties!$A:$A,0))="Y","Y","N"),"N"))</f>
        <v>N</v>
      </c>
      <c r="R1396" s="25" t="n">
        <f aca="false">IF(OR($H1396="",$H1396="EUR"),1,IFERROR(INDEX(FX_Rates!$D:$D,MATCH($H1396,FX_Rates!$A:$A,0)),""))</f>
        <v>1</v>
      </c>
      <c r="S1396" s="26" t="str">
        <f aca="false">IF(AND($I1396="",$J1396=""),"",IF($J1396&lt;&gt;"",$J1396,IF(OR($R1396="",$R1396=0),"",ROUND($I1396/$R1396,2))))</f>
        <v/>
      </c>
      <c r="T1396" s="24" t="str">
        <f aca="false">IF($N1396="","",IFERROR(INDEX(VAT_Codes!$C:$C,MATCH($N1396,VAT_Codes!$A:$A,0)),"")&amp;"")</f>
        <v/>
      </c>
      <c r="U1396" s="26" t="n">
        <f aca="false">IF(OR($S1396="",$T1396="",$T1396="None"),0,IF($T1396="Output",-$S1396,$S1396))</f>
        <v>0</v>
      </c>
      <c r="V1396" s="27" t="n">
        <f aca="false">IF($N1396="",0,IFERROR(INDEX(VAT_Codes!$D:$D,MATCH($N1396,VAT_Codes!$A:$A,0)),0))</f>
        <v>0</v>
      </c>
      <c r="W1396" s="26" t="n">
        <f aca="false">IF($U1396=0,0,IF(IFERROR(INDEX(VAT_Codes!$F:$F,MATCH($N1396,VAT_Codes!$A:$A,0)),"N")="Y",$U1396,IF($L1396&lt;&gt;"",ROUND(ABS($L1396)/IF(OR($R1396="",$R1396=0),1,$R1396),2)*SIGN($U1396),ROUND($U1396*$V1396,2))))</f>
        <v>0</v>
      </c>
      <c r="X1396" s="24" t="str">
        <f aca="false">IF($N1396="","",IFERROR(INDEX(VAT_Codes!$H:$H,MATCH($N1396,VAT_Codes!$A:$A,0)),"")&amp;"")</f>
        <v/>
      </c>
      <c r="Y1396" s="24" t="str">
        <f aca="false">IF($A1396="","",(YEAR($A1396)-YEAR(Settings!$C$8))*12+MONTH($A1396)-MONTH(Settings!$C$8)+1)</f>
        <v/>
      </c>
      <c r="Z1396" s="24" t="str">
        <f aca="false">IF(AND($C1396="",$I1396="",$J1396=""),"",IF($N1396="","NO VAT CODE",IF($T1396="","UNKNOWN VAT CODE",IF($S1396="","MISSING FX RATE",IF(OR($A1396&lt;Settings!$C$8,$A1396&gt;Settings!$C$9),"OUTSIDE PERIOD",IF(AND(IFERROR(INDEX(VAT_Codes!$E:$E,MATCH($N1396,VAT_Codes!$A:$A,0)),"ANY")&lt;&gt;"ANY",$P1396=""),"MISSING COUNTERPARTY COUNTRY",IF(AND(IFERROR(INDEX(VAT_Codes!$E:$E,MATCH($N1396,VAT_Codes!$A:$A,0)),"ANY")&lt;&gt;"ANY",$P1396&lt;&gt;IFERROR(INDEX(VAT_Codes!$E:$E,MATCH($N1396,VAT_Codes!$A:$A,0)),"ANY")),"REGION MISMATCH","OK")))))))</f>
        <v/>
      </c>
    </row>
    <row r="1397" customFormat="false" ht="15" hidden="false" customHeight="false" outlineLevel="0" collapsed="false">
      <c r="M1397" s="24" t="str">
        <f aca="false">IF($C1397="","",IFERROR(INDEX(Account_Mapping!$C:$C,MATCH($C1397&amp;"",Account_Mapping!$A:$A,0))&amp;"",""))</f>
        <v/>
      </c>
      <c r="N1397" s="24" t="str">
        <f aca="false">IF($K1397&lt;&gt;"",$K1397,$M1397)</f>
        <v/>
      </c>
      <c r="O1397" s="24" t="str">
        <f aca="false">IF($F1397="","",IFERROR(INDEX(Counterparties!$C:$C,MATCH($F1397&amp;"",Counterparties!$A:$A,0))&amp;"",""))</f>
        <v/>
      </c>
      <c r="P1397" s="24" t="str">
        <f aca="false">IF($O1397="","",IF($O1397="CY","CY",IF(ISNUMBER(MATCH($O1397,Lists!$A:$A,0)),"EU","3RD")))</f>
        <v/>
      </c>
      <c r="Q1397" s="24" t="str">
        <f aca="false">IF($F1397="","N",IFERROR(IF(INDEX(Counterparties!$E:$E,MATCH($F1397&amp;"",Counterparties!$A:$A,0))="Y","Y","N"),"N"))</f>
        <v>N</v>
      </c>
      <c r="R1397" s="25" t="n">
        <f aca="false">IF(OR($H1397="",$H1397="EUR"),1,IFERROR(INDEX(FX_Rates!$D:$D,MATCH($H1397,FX_Rates!$A:$A,0)),""))</f>
        <v>1</v>
      </c>
      <c r="S1397" s="26" t="str">
        <f aca="false">IF(AND($I1397="",$J1397=""),"",IF($J1397&lt;&gt;"",$J1397,IF(OR($R1397="",$R1397=0),"",ROUND($I1397/$R1397,2))))</f>
        <v/>
      </c>
      <c r="T1397" s="24" t="str">
        <f aca="false">IF($N1397="","",IFERROR(INDEX(VAT_Codes!$C:$C,MATCH($N1397,VAT_Codes!$A:$A,0)),"")&amp;"")</f>
        <v/>
      </c>
      <c r="U1397" s="26" t="n">
        <f aca="false">IF(OR($S1397="",$T1397="",$T1397="None"),0,IF($T1397="Output",-$S1397,$S1397))</f>
        <v>0</v>
      </c>
      <c r="V1397" s="27" t="n">
        <f aca="false">IF($N1397="",0,IFERROR(INDEX(VAT_Codes!$D:$D,MATCH($N1397,VAT_Codes!$A:$A,0)),0))</f>
        <v>0</v>
      </c>
      <c r="W1397" s="26" t="n">
        <f aca="false">IF($U1397=0,0,IF(IFERROR(INDEX(VAT_Codes!$F:$F,MATCH($N1397,VAT_Codes!$A:$A,0)),"N")="Y",$U1397,IF($L1397&lt;&gt;"",ROUND(ABS($L1397)/IF(OR($R1397="",$R1397=0),1,$R1397),2)*SIGN($U1397),ROUND($U1397*$V1397,2))))</f>
        <v>0</v>
      </c>
      <c r="X1397" s="24" t="str">
        <f aca="false">IF($N1397="","",IFERROR(INDEX(VAT_Codes!$H:$H,MATCH($N1397,VAT_Codes!$A:$A,0)),"")&amp;"")</f>
        <v/>
      </c>
      <c r="Y1397" s="24" t="str">
        <f aca="false">IF($A1397="","",(YEAR($A1397)-YEAR(Settings!$C$8))*12+MONTH($A1397)-MONTH(Settings!$C$8)+1)</f>
        <v/>
      </c>
      <c r="Z1397" s="24" t="str">
        <f aca="false">IF(AND($C1397="",$I1397="",$J1397=""),"",IF($N1397="","NO VAT CODE",IF($T1397="","UNKNOWN VAT CODE",IF($S1397="","MISSING FX RATE",IF(OR($A1397&lt;Settings!$C$8,$A1397&gt;Settings!$C$9),"OUTSIDE PERIOD",IF(AND(IFERROR(INDEX(VAT_Codes!$E:$E,MATCH($N1397,VAT_Codes!$A:$A,0)),"ANY")&lt;&gt;"ANY",$P1397=""),"MISSING COUNTERPARTY COUNTRY",IF(AND(IFERROR(INDEX(VAT_Codes!$E:$E,MATCH($N1397,VAT_Codes!$A:$A,0)),"ANY")&lt;&gt;"ANY",$P1397&lt;&gt;IFERROR(INDEX(VAT_Codes!$E:$E,MATCH($N1397,VAT_Codes!$A:$A,0)),"ANY")),"REGION MISMATCH","OK")))))))</f>
        <v/>
      </c>
    </row>
    <row r="1398" customFormat="false" ht="15" hidden="false" customHeight="false" outlineLevel="0" collapsed="false">
      <c r="M1398" s="24" t="str">
        <f aca="false">IF($C1398="","",IFERROR(INDEX(Account_Mapping!$C:$C,MATCH($C1398&amp;"",Account_Mapping!$A:$A,0))&amp;"",""))</f>
        <v/>
      </c>
      <c r="N1398" s="24" t="str">
        <f aca="false">IF($K1398&lt;&gt;"",$K1398,$M1398)</f>
        <v/>
      </c>
      <c r="O1398" s="24" t="str">
        <f aca="false">IF($F1398="","",IFERROR(INDEX(Counterparties!$C:$C,MATCH($F1398&amp;"",Counterparties!$A:$A,0))&amp;"",""))</f>
        <v/>
      </c>
      <c r="P1398" s="24" t="str">
        <f aca="false">IF($O1398="","",IF($O1398="CY","CY",IF(ISNUMBER(MATCH($O1398,Lists!$A:$A,0)),"EU","3RD")))</f>
        <v/>
      </c>
      <c r="Q1398" s="24" t="str">
        <f aca="false">IF($F1398="","N",IFERROR(IF(INDEX(Counterparties!$E:$E,MATCH($F1398&amp;"",Counterparties!$A:$A,0))="Y","Y","N"),"N"))</f>
        <v>N</v>
      </c>
      <c r="R1398" s="25" t="n">
        <f aca="false">IF(OR($H1398="",$H1398="EUR"),1,IFERROR(INDEX(FX_Rates!$D:$D,MATCH($H1398,FX_Rates!$A:$A,0)),""))</f>
        <v>1</v>
      </c>
      <c r="S1398" s="26" t="str">
        <f aca="false">IF(AND($I1398="",$J1398=""),"",IF($J1398&lt;&gt;"",$J1398,IF(OR($R1398="",$R1398=0),"",ROUND($I1398/$R1398,2))))</f>
        <v/>
      </c>
      <c r="T1398" s="24" t="str">
        <f aca="false">IF($N1398="","",IFERROR(INDEX(VAT_Codes!$C:$C,MATCH($N1398,VAT_Codes!$A:$A,0)),"")&amp;"")</f>
        <v/>
      </c>
      <c r="U1398" s="26" t="n">
        <f aca="false">IF(OR($S1398="",$T1398="",$T1398="None"),0,IF($T1398="Output",-$S1398,$S1398))</f>
        <v>0</v>
      </c>
      <c r="V1398" s="27" t="n">
        <f aca="false">IF($N1398="",0,IFERROR(INDEX(VAT_Codes!$D:$D,MATCH($N1398,VAT_Codes!$A:$A,0)),0))</f>
        <v>0</v>
      </c>
      <c r="W1398" s="26" t="n">
        <f aca="false">IF($U1398=0,0,IF(IFERROR(INDEX(VAT_Codes!$F:$F,MATCH($N1398,VAT_Codes!$A:$A,0)),"N")="Y",$U1398,IF($L1398&lt;&gt;"",ROUND(ABS($L1398)/IF(OR($R1398="",$R1398=0),1,$R1398),2)*SIGN($U1398),ROUND($U1398*$V1398,2))))</f>
        <v>0</v>
      </c>
      <c r="X1398" s="24" t="str">
        <f aca="false">IF($N1398="","",IFERROR(INDEX(VAT_Codes!$H:$H,MATCH($N1398,VAT_Codes!$A:$A,0)),"")&amp;"")</f>
        <v/>
      </c>
      <c r="Y1398" s="24" t="str">
        <f aca="false">IF($A1398="","",(YEAR($A1398)-YEAR(Settings!$C$8))*12+MONTH($A1398)-MONTH(Settings!$C$8)+1)</f>
        <v/>
      </c>
      <c r="Z1398" s="24" t="str">
        <f aca="false">IF(AND($C1398="",$I1398="",$J1398=""),"",IF($N1398="","NO VAT CODE",IF($T1398="","UNKNOWN VAT CODE",IF($S1398="","MISSING FX RATE",IF(OR($A1398&lt;Settings!$C$8,$A1398&gt;Settings!$C$9),"OUTSIDE PERIOD",IF(AND(IFERROR(INDEX(VAT_Codes!$E:$E,MATCH($N1398,VAT_Codes!$A:$A,0)),"ANY")&lt;&gt;"ANY",$P1398=""),"MISSING COUNTERPARTY COUNTRY",IF(AND(IFERROR(INDEX(VAT_Codes!$E:$E,MATCH($N1398,VAT_Codes!$A:$A,0)),"ANY")&lt;&gt;"ANY",$P1398&lt;&gt;IFERROR(INDEX(VAT_Codes!$E:$E,MATCH($N1398,VAT_Codes!$A:$A,0)),"ANY")),"REGION MISMATCH","OK")))))))</f>
        <v/>
      </c>
    </row>
    <row r="1399" customFormat="false" ht="15" hidden="false" customHeight="false" outlineLevel="0" collapsed="false">
      <c r="M1399" s="24" t="str">
        <f aca="false">IF($C1399="","",IFERROR(INDEX(Account_Mapping!$C:$C,MATCH($C1399&amp;"",Account_Mapping!$A:$A,0))&amp;"",""))</f>
        <v/>
      </c>
      <c r="N1399" s="24" t="str">
        <f aca="false">IF($K1399&lt;&gt;"",$K1399,$M1399)</f>
        <v/>
      </c>
      <c r="O1399" s="24" t="str">
        <f aca="false">IF($F1399="","",IFERROR(INDEX(Counterparties!$C:$C,MATCH($F1399&amp;"",Counterparties!$A:$A,0))&amp;"",""))</f>
        <v/>
      </c>
      <c r="P1399" s="24" t="str">
        <f aca="false">IF($O1399="","",IF($O1399="CY","CY",IF(ISNUMBER(MATCH($O1399,Lists!$A:$A,0)),"EU","3RD")))</f>
        <v/>
      </c>
      <c r="Q1399" s="24" t="str">
        <f aca="false">IF($F1399="","N",IFERROR(IF(INDEX(Counterparties!$E:$E,MATCH($F1399&amp;"",Counterparties!$A:$A,0))="Y","Y","N"),"N"))</f>
        <v>N</v>
      </c>
      <c r="R1399" s="25" t="n">
        <f aca="false">IF(OR($H1399="",$H1399="EUR"),1,IFERROR(INDEX(FX_Rates!$D:$D,MATCH($H1399,FX_Rates!$A:$A,0)),""))</f>
        <v>1</v>
      </c>
      <c r="S1399" s="26" t="str">
        <f aca="false">IF(AND($I1399="",$J1399=""),"",IF($J1399&lt;&gt;"",$J1399,IF(OR($R1399="",$R1399=0),"",ROUND($I1399/$R1399,2))))</f>
        <v/>
      </c>
      <c r="T1399" s="24" t="str">
        <f aca="false">IF($N1399="","",IFERROR(INDEX(VAT_Codes!$C:$C,MATCH($N1399,VAT_Codes!$A:$A,0)),"")&amp;"")</f>
        <v/>
      </c>
      <c r="U1399" s="26" t="n">
        <f aca="false">IF(OR($S1399="",$T1399="",$T1399="None"),0,IF($T1399="Output",-$S1399,$S1399))</f>
        <v>0</v>
      </c>
      <c r="V1399" s="27" t="n">
        <f aca="false">IF($N1399="",0,IFERROR(INDEX(VAT_Codes!$D:$D,MATCH($N1399,VAT_Codes!$A:$A,0)),0))</f>
        <v>0</v>
      </c>
      <c r="W1399" s="26" t="n">
        <f aca="false">IF($U1399=0,0,IF(IFERROR(INDEX(VAT_Codes!$F:$F,MATCH($N1399,VAT_Codes!$A:$A,0)),"N")="Y",$U1399,IF($L1399&lt;&gt;"",ROUND(ABS($L1399)/IF(OR($R1399="",$R1399=0),1,$R1399),2)*SIGN($U1399),ROUND($U1399*$V1399,2))))</f>
        <v>0</v>
      </c>
      <c r="X1399" s="24" t="str">
        <f aca="false">IF($N1399="","",IFERROR(INDEX(VAT_Codes!$H:$H,MATCH($N1399,VAT_Codes!$A:$A,0)),"")&amp;"")</f>
        <v/>
      </c>
      <c r="Y1399" s="24" t="str">
        <f aca="false">IF($A1399="","",(YEAR($A1399)-YEAR(Settings!$C$8))*12+MONTH($A1399)-MONTH(Settings!$C$8)+1)</f>
        <v/>
      </c>
      <c r="Z1399" s="24" t="str">
        <f aca="false">IF(AND($C1399="",$I1399="",$J1399=""),"",IF($N1399="","NO VAT CODE",IF($T1399="","UNKNOWN VAT CODE",IF($S1399="","MISSING FX RATE",IF(OR($A1399&lt;Settings!$C$8,$A1399&gt;Settings!$C$9),"OUTSIDE PERIOD",IF(AND(IFERROR(INDEX(VAT_Codes!$E:$E,MATCH($N1399,VAT_Codes!$A:$A,0)),"ANY")&lt;&gt;"ANY",$P1399=""),"MISSING COUNTERPARTY COUNTRY",IF(AND(IFERROR(INDEX(VAT_Codes!$E:$E,MATCH($N1399,VAT_Codes!$A:$A,0)),"ANY")&lt;&gt;"ANY",$P1399&lt;&gt;IFERROR(INDEX(VAT_Codes!$E:$E,MATCH($N1399,VAT_Codes!$A:$A,0)),"ANY")),"REGION MISMATCH","OK")))))))</f>
        <v/>
      </c>
    </row>
    <row r="1400" customFormat="false" ht="15" hidden="false" customHeight="false" outlineLevel="0" collapsed="false">
      <c r="M1400" s="24" t="str">
        <f aca="false">IF($C1400="","",IFERROR(INDEX(Account_Mapping!$C:$C,MATCH($C1400&amp;"",Account_Mapping!$A:$A,0))&amp;"",""))</f>
        <v/>
      </c>
      <c r="N1400" s="24" t="str">
        <f aca="false">IF($K1400&lt;&gt;"",$K1400,$M1400)</f>
        <v/>
      </c>
      <c r="O1400" s="24" t="str">
        <f aca="false">IF($F1400="","",IFERROR(INDEX(Counterparties!$C:$C,MATCH($F1400&amp;"",Counterparties!$A:$A,0))&amp;"",""))</f>
        <v/>
      </c>
      <c r="P1400" s="24" t="str">
        <f aca="false">IF($O1400="","",IF($O1400="CY","CY",IF(ISNUMBER(MATCH($O1400,Lists!$A:$A,0)),"EU","3RD")))</f>
        <v/>
      </c>
      <c r="Q1400" s="24" t="str">
        <f aca="false">IF($F1400="","N",IFERROR(IF(INDEX(Counterparties!$E:$E,MATCH($F1400&amp;"",Counterparties!$A:$A,0))="Y","Y","N"),"N"))</f>
        <v>N</v>
      </c>
      <c r="R1400" s="25" t="n">
        <f aca="false">IF(OR($H1400="",$H1400="EUR"),1,IFERROR(INDEX(FX_Rates!$D:$D,MATCH($H1400,FX_Rates!$A:$A,0)),""))</f>
        <v>1</v>
      </c>
      <c r="S1400" s="26" t="str">
        <f aca="false">IF(AND($I1400="",$J1400=""),"",IF($J1400&lt;&gt;"",$J1400,IF(OR($R1400="",$R1400=0),"",ROUND($I1400/$R1400,2))))</f>
        <v/>
      </c>
      <c r="T1400" s="24" t="str">
        <f aca="false">IF($N1400="","",IFERROR(INDEX(VAT_Codes!$C:$C,MATCH($N1400,VAT_Codes!$A:$A,0)),"")&amp;"")</f>
        <v/>
      </c>
      <c r="U1400" s="26" t="n">
        <f aca="false">IF(OR($S1400="",$T1400="",$T1400="None"),0,IF($T1400="Output",-$S1400,$S1400))</f>
        <v>0</v>
      </c>
      <c r="V1400" s="27" t="n">
        <f aca="false">IF($N1400="",0,IFERROR(INDEX(VAT_Codes!$D:$D,MATCH($N1400,VAT_Codes!$A:$A,0)),0))</f>
        <v>0</v>
      </c>
      <c r="W1400" s="26" t="n">
        <f aca="false">IF($U1400=0,0,IF(IFERROR(INDEX(VAT_Codes!$F:$F,MATCH($N1400,VAT_Codes!$A:$A,0)),"N")="Y",$U1400,IF($L1400&lt;&gt;"",ROUND(ABS($L1400)/IF(OR($R1400="",$R1400=0),1,$R1400),2)*SIGN($U1400),ROUND($U1400*$V1400,2))))</f>
        <v>0</v>
      </c>
      <c r="X1400" s="24" t="str">
        <f aca="false">IF($N1400="","",IFERROR(INDEX(VAT_Codes!$H:$H,MATCH($N1400,VAT_Codes!$A:$A,0)),"")&amp;"")</f>
        <v/>
      </c>
      <c r="Y1400" s="24" t="str">
        <f aca="false">IF($A1400="","",(YEAR($A1400)-YEAR(Settings!$C$8))*12+MONTH($A1400)-MONTH(Settings!$C$8)+1)</f>
        <v/>
      </c>
      <c r="Z1400" s="24" t="str">
        <f aca="false">IF(AND($C1400="",$I1400="",$J1400=""),"",IF($N1400="","NO VAT CODE",IF($T1400="","UNKNOWN VAT CODE",IF($S1400="","MISSING FX RATE",IF(OR($A1400&lt;Settings!$C$8,$A1400&gt;Settings!$C$9),"OUTSIDE PERIOD",IF(AND(IFERROR(INDEX(VAT_Codes!$E:$E,MATCH($N1400,VAT_Codes!$A:$A,0)),"ANY")&lt;&gt;"ANY",$P1400=""),"MISSING COUNTERPARTY COUNTRY",IF(AND(IFERROR(INDEX(VAT_Codes!$E:$E,MATCH($N1400,VAT_Codes!$A:$A,0)),"ANY")&lt;&gt;"ANY",$P1400&lt;&gt;IFERROR(INDEX(VAT_Codes!$E:$E,MATCH($N1400,VAT_Codes!$A:$A,0)),"ANY")),"REGION MISMATCH","OK")))))))</f>
        <v/>
      </c>
    </row>
    <row r="1401" customFormat="false" ht="15" hidden="false" customHeight="false" outlineLevel="0" collapsed="false">
      <c r="M1401" s="24" t="str">
        <f aca="false">IF($C1401="","",IFERROR(INDEX(Account_Mapping!$C:$C,MATCH($C1401&amp;"",Account_Mapping!$A:$A,0))&amp;"",""))</f>
        <v/>
      </c>
      <c r="N1401" s="24" t="str">
        <f aca="false">IF($K1401&lt;&gt;"",$K1401,$M1401)</f>
        <v/>
      </c>
      <c r="O1401" s="24" t="str">
        <f aca="false">IF($F1401="","",IFERROR(INDEX(Counterparties!$C:$C,MATCH($F1401&amp;"",Counterparties!$A:$A,0))&amp;"",""))</f>
        <v/>
      </c>
      <c r="P1401" s="24" t="str">
        <f aca="false">IF($O1401="","",IF($O1401="CY","CY",IF(ISNUMBER(MATCH($O1401,Lists!$A:$A,0)),"EU","3RD")))</f>
        <v/>
      </c>
      <c r="Q1401" s="24" t="str">
        <f aca="false">IF($F1401="","N",IFERROR(IF(INDEX(Counterparties!$E:$E,MATCH($F1401&amp;"",Counterparties!$A:$A,0))="Y","Y","N"),"N"))</f>
        <v>N</v>
      </c>
      <c r="R1401" s="25" t="n">
        <f aca="false">IF(OR($H1401="",$H1401="EUR"),1,IFERROR(INDEX(FX_Rates!$D:$D,MATCH($H1401,FX_Rates!$A:$A,0)),""))</f>
        <v>1</v>
      </c>
      <c r="S1401" s="26" t="str">
        <f aca="false">IF(AND($I1401="",$J1401=""),"",IF($J1401&lt;&gt;"",$J1401,IF(OR($R1401="",$R1401=0),"",ROUND($I1401/$R1401,2))))</f>
        <v/>
      </c>
      <c r="T1401" s="24" t="str">
        <f aca="false">IF($N1401="","",IFERROR(INDEX(VAT_Codes!$C:$C,MATCH($N1401,VAT_Codes!$A:$A,0)),"")&amp;"")</f>
        <v/>
      </c>
      <c r="U1401" s="26" t="n">
        <f aca="false">IF(OR($S1401="",$T1401="",$T1401="None"),0,IF($T1401="Output",-$S1401,$S1401))</f>
        <v>0</v>
      </c>
      <c r="V1401" s="27" t="n">
        <f aca="false">IF($N1401="",0,IFERROR(INDEX(VAT_Codes!$D:$D,MATCH($N1401,VAT_Codes!$A:$A,0)),0))</f>
        <v>0</v>
      </c>
      <c r="W1401" s="26" t="n">
        <f aca="false">IF($U1401=0,0,IF(IFERROR(INDEX(VAT_Codes!$F:$F,MATCH($N1401,VAT_Codes!$A:$A,0)),"N")="Y",$U1401,IF($L1401&lt;&gt;"",ROUND(ABS($L1401)/IF(OR($R1401="",$R1401=0),1,$R1401),2)*SIGN($U1401),ROUND($U1401*$V1401,2))))</f>
        <v>0</v>
      </c>
      <c r="X1401" s="24" t="str">
        <f aca="false">IF($N1401="","",IFERROR(INDEX(VAT_Codes!$H:$H,MATCH($N1401,VAT_Codes!$A:$A,0)),"")&amp;"")</f>
        <v/>
      </c>
      <c r="Y1401" s="24" t="str">
        <f aca="false">IF($A1401="","",(YEAR($A1401)-YEAR(Settings!$C$8))*12+MONTH($A1401)-MONTH(Settings!$C$8)+1)</f>
        <v/>
      </c>
      <c r="Z1401" s="24" t="str">
        <f aca="false">IF(AND($C1401="",$I1401="",$J1401=""),"",IF($N1401="","NO VAT CODE",IF($T1401="","UNKNOWN VAT CODE",IF($S1401="","MISSING FX RATE",IF(OR($A1401&lt;Settings!$C$8,$A1401&gt;Settings!$C$9),"OUTSIDE PERIOD",IF(AND(IFERROR(INDEX(VAT_Codes!$E:$E,MATCH($N1401,VAT_Codes!$A:$A,0)),"ANY")&lt;&gt;"ANY",$P1401=""),"MISSING COUNTERPARTY COUNTRY",IF(AND(IFERROR(INDEX(VAT_Codes!$E:$E,MATCH($N1401,VAT_Codes!$A:$A,0)),"ANY")&lt;&gt;"ANY",$P1401&lt;&gt;IFERROR(INDEX(VAT_Codes!$E:$E,MATCH($N1401,VAT_Codes!$A:$A,0)),"ANY")),"REGION MISMATCH","OK")))))))</f>
        <v/>
      </c>
    </row>
    <row r="1402" customFormat="false" ht="15" hidden="false" customHeight="false" outlineLevel="0" collapsed="false">
      <c r="M1402" s="24" t="str">
        <f aca="false">IF($C1402="","",IFERROR(INDEX(Account_Mapping!$C:$C,MATCH($C1402&amp;"",Account_Mapping!$A:$A,0))&amp;"",""))</f>
        <v/>
      </c>
      <c r="N1402" s="24" t="str">
        <f aca="false">IF($K1402&lt;&gt;"",$K1402,$M1402)</f>
        <v/>
      </c>
      <c r="O1402" s="24" t="str">
        <f aca="false">IF($F1402="","",IFERROR(INDEX(Counterparties!$C:$C,MATCH($F1402&amp;"",Counterparties!$A:$A,0))&amp;"",""))</f>
        <v/>
      </c>
      <c r="P1402" s="24" t="str">
        <f aca="false">IF($O1402="","",IF($O1402="CY","CY",IF(ISNUMBER(MATCH($O1402,Lists!$A:$A,0)),"EU","3RD")))</f>
        <v/>
      </c>
      <c r="Q1402" s="24" t="str">
        <f aca="false">IF($F1402="","N",IFERROR(IF(INDEX(Counterparties!$E:$E,MATCH($F1402&amp;"",Counterparties!$A:$A,0))="Y","Y","N"),"N"))</f>
        <v>N</v>
      </c>
      <c r="R1402" s="25" t="n">
        <f aca="false">IF(OR($H1402="",$H1402="EUR"),1,IFERROR(INDEX(FX_Rates!$D:$D,MATCH($H1402,FX_Rates!$A:$A,0)),""))</f>
        <v>1</v>
      </c>
      <c r="S1402" s="26" t="str">
        <f aca="false">IF(AND($I1402="",$J1402=""),"",IF($J1402&lt;&gt;"",$J1402,IF(OR($R1402="",$R1402=0),"",ROUND($I1402/$R1402,2))))</f>
        <v/>
      </c>
      <c r="T1402" s="24" t="str">
        <f aca="false">IF($N1402="","",IFERROR(INDEX(VAT_Codes!$C:$C,MATCH($N1402,VAT_Codes!$A:$A,0)),"")&amp;"")</f>
        <v/>
      </c>
      <c r="U1402" s="26" t="n">
        <f aca="false">IF(OR($S1402="",$T1402="",$T1402="None"),0,IF($T1402="Output",-$S1402,$S1402))</f>
        <v>0</v>
      </c>
      <c r="V1402" s="27" t="n">
        <f aca="false">IF($N1402="",0,IFERROR(INDEX(VAT_Codes!$D:$D,MATCH($N1402,VAT_Codes!$A:$A,0)),0))</f>
        <v>0</v>
      </c>
      <c r="W1402" s="26" t="n">
        <f aca="false">IF($U1402=0,0,IF(IFERROR(INDEX(VAT_Codes!$F:$F,MATCH($N1402,VAT_Codes!$A:$A,0)),"N")="Y",$U1402,IF($L1402&lt;&gt;"",ROUND(ABS($L1402)/IF(OR($R1402="",$R1402=0),1,$R1402),2)*SIGN($U1402),ROUND($U1402*$V1402,2))))</f>
        <v>0</v>
      </c>
      <c r="X1402" s="24" t="str">
        <f aca="false">IF($N1402="","",IFERROR(INDEX(VAT_Codes!$H:$H,MATCH($N1402,VAT_Codes!$A:$A,0)),"")&amp;"")</f>
        <v/>
      </c>
      <c r="Y1402" s="24" t="str">
        <f aca="false">IF($A1402="","",(YEAR($A1402)-YEAR(Settings!$C$8))*12+MONTH($A1402)-MONTH(Settings!$C$8)+1)</f>
        <v/>
      </c>
      <c r="Z1402" s="24" t="str">
        <f aca="false">IF(AND($C1402="",$I1402="",$J1402=""),"",IF($N1402="","NO VAT CODE",IF($T1402="","UNKNOWN VAT CODE",IF($S1402="","MISSING FX RATE",IF(OR($A1402&lt;Settings!$C$8,$A1402&gt;Settings!$C$9),"OUTSIDE PERIOD",IF(AND(IFERROR(INDEX(VAT_Codes!$E:$E,MATCH($N1402,VAT_Codes!$A:$A,0)),"ANY")&lt;&gt;"ANY",$P1402=""),"MISSING COUNTERPARTY COUNTRY",IF(AND(IFERROR(INDEX(VAT_Codes!$E:$E,MATCH($N1402,VAT_Codes!$A:$A,0)),"ANY")&lt;&gt;"ANY",$P1402&lt;&gt;IFERROR(INDEX(VAT_Codes!$E:$E,MATCH($N1402,VAT_Codes!$A:$A,0)),"ANY")),"REGION MISMATCH","OK")))))))</f>
        <v/>
      </c>
    </row>
    <row r="1403" customFormat="false" ht="15" hidden="false" customHeight="false" outlineLevel="0" collapsed="false">
      <c r="M1403" s="24" t="str">
        <f aca="false">IF($C1403="","",IFERROR(INDEX(Account_Mapping!$C:$C,MATCH($C1403&amp;"",Account_Mapping!$A:$A,0))&amp;"",""))</f>
        <v/>
      </c>
      <c r="N1403" s="24" t="str">
        <f aca="false">IF($K1403&lt;&gt;"",$K1403,$M1403)</f>
        <v/>
      </c>
      <c r="O1403" s="24" t="str">
        <f aca="false">IF($F1403="","",IFERROR(INDEX(Counterparties!$C:$C,MATCH($F1403&amp;"",Counterparties!$A:$A,0))&amp;"",""))</f>
        <v/>
      </c>
      <c r="P1403" s="24" t="str">
        <f aca="false">IF($O1403="","",IF($O1403="CY","CY",IF(ISNUMBER(MATCH($O1403,Lists!$A:$A,0)),"EU","3RD")))</f>
        <v/>
      </c>
      <c r="Q1403" s="24" t="str">
        <f aca="false">IF($F1403="","N",IFERROR(IF(INDEX(Counterparties!$E:$E,MATCH($F1403&amp;"",Counterparties!$A:$A,0))="Y","Y","N"),"N"))</f>
        <v>N</v>
      </c>
      <c r="R1403" s="25" t="n">
        <f aca="false">IF(OR($H1403="",$H1403="EUR"),1,IFERROR(INDEX(FX_Rates!$D:$D,MATCH($H1403,FX_Rates!$A:$A,0)),""))</f>
        <v>1</v>
      </c>
      <c r="S1403" s="26" t="str">
        <f aca="false">IF(AND($I1403="",$J1403=""),"",IF($J1403&lt;&gt;"",$J1403,IF(OR($R1403="",$R1403=0),"",ROUND($I1403/$R1403,2))))</f>
        <v/>
      </c>
      <c r="T1403" s="24" t="str">
        <f aca="false">IF($N1403="","",IFERROR(INDEX(VAT_Codes!$C:$C,MATCH($N1403,VAT_Codes!$A:$A,0)),"")&amp;"")</f>
        <v/>
      </c>
      <c r="U1403" s="26" t="n">
        <f aca="false">IF(OR($S1403="",$T1403="",$T1403="None"),0,IF($T1403="Output",-$S1403,$S1403))</f>
        <v>0</v>
      </c>
      <c r="V1403" s="27" t="n">
        <f aca="false">IF($N1403="",0,IFERROR(INDEX(VAT_Codes!$D:$D,MATCH($N1403,VAT_Codes!$A:$A,0)),0))</f>
        <v>0</v>
      </c>
      <c r="W1403" s="26" t="n">
        <f aca="false">IF($U1403=0,0,IF(IFERROR(INDEX(VAT_Codes!$F:$F,MATCH($N1403,VAT_Codes!$A:$A,0)),"N")="Y",$U1403,IF($L1403&lt;&gt;"",ROUND(ABS($L1403)/IF(OR($R1403="",$R1403=0),1,$R1403),2)*SIGN($U1403),ROUND($U1403*$V1403,2))))</f>
        <v>0</v>
      </c>
      <c r="X1403" s="24" t="str">
        <f aca="false">IF($N1403="","",IFERROR(INDEX(VAT_Codes!$H:$H,MATCH($N1403,VAT_Codes!$A:$A,0)),"")&amp;"")</f>
        <v/>
      </c>
      <c r="Y1403" s="24" t="str">
        <f aca="false">IF($A1403="","",(YEAR($A1403)-YEAR(Settings!$C$8))*12+MONTH($A1403)-MONTH(Settings!$C$8)+1)</f>
        <v/>
      </c>
      <c r="Z1403" s="24" t="str">
        <f aca="false">IF(AND($C1403="",$I1403="",$J1403=""),"",IF($N1403="","NO VAT CODE",IF($T1403="","UNKNOWN VAT CODE",IF($S1403="","MISSING FX RATE",IF(OR($A1403&lt;Settings!$C$8,$A1403&gt;Settings!$C$9),"OUTSIDE PERIOD",IF(AND(IFERROR(INDEX(VAT_Codes!$E:$E,MATCH($N1403,VAT_Codes!$A:$A,0)),"ANY")&lt;&gt;"ANY",$P1403=""),"MISSING COUNTERPARTY COUNTRY",IF(AND(IFERROR(INDEX(VAT_Codes!$E:$E,MATCH($N1403,VAT_Codes!$A:$A,0)),"ANY")&lt;&gt;"ANY",$P1403&lt;&gt;IFERROR(INDEX(VAT_Codes!$E:$E,MATCH($N1403,VAT_Codes!$A:$A,0)),"ANY")),"REGION MISMATCH","OK")))))))</f>
        <v/>
      </c>
    </row>
    <row r="1404" customFormat="false" ht="15" hidden="false" customHeight="false" outlineLevel="0" collapsed="false">
      <c r="M1404" s="24" t="str">
        <f aca="false">IF($C1404="","",IFERROR(INDEX(Account_Mapping!$C:$C,MATCH($C1404&amp;"",Account_Mapping!$A:$A,0))&amp;"",""))</f>
        <v/>
      </c>
      <c r="N1404" s="24" t="str">
        <f aca="false">IF($K1404&lt;&gt;"",$K1404,$M1404)</f>
        <v/>
      </c>
      <c r="O1404" s="24" t="str">
        <f aca="false">IF($F1404="","",IFERROR(INDEX(Counterparties!$C:$C,MATCH($F1404&amp;"",Counterparties!$A:$A,0))&amp;"",""))</f>
        <v/>
      </c>
      <c r="P1404" s="24" t="str">
        <f aca="false">IF($O1404="","",IF($O1404="CY","CY",IF(ISNUMBER(MATCH($O1404,Lists!$A:$A,0)),"EU","3RD")))</f>
        <v/>
      </c>
      <c r="Q1404" s="24" t="str">
        <f aca="false">IF($F1404="","N",IFERROR(IF(INDEX(Counterparties!$E:$E,MATCH($F1404&amp;"",Counterparties!$A:$A,0))="Y","Y","N"),"N"))</f>
        <v>N</v>
      </c>
      <c r="R1404" s="25" t="n">
        <f aca="false">IF(OR($H1404="",$H1404="EUR"),1,IFERROR(INDEX(FX_Rates!$D:$D,MATCH($H1404,FX_Rates!$A:$A,0)),""))</f>
        <v>1</v>
      </c>
      <c r="S1404" s="26" t="str">
        <f aca="false">IF(AND($I1404="",$J1404=""),"",IF($J1404&lt;&gt;"",$J1404,IF(OR($R1404="",$R1404=0),"",ROUND($I1404/$R1404,2))))</f>
        <v/>
      </c>
      <c r="T1404" s="24" t="str">
        <f aca="false">IF($N1404="","",IFERROR(INDEX(VAT_Codes!$C:$C,MATCH($N1404,VAT_Codes!$A:$A,0)),"")&amp;"")</f>
        <v/>
      </c>
      <c r="U1404" s="26" t="n">
        <f aca="false">IF(OR($S1404="",$T1404="",$T1404="None"),0,IF($T1404="Output",-$S1404,$S1404))</f>
        <v>0</v>
      </c>
      <c r="V1404" s="27" t="n">
        <f aca="false">IF($N1404="",0,IFERROR(INDEX(VAT_Codes!$D:$D,MATCH($N1404,VAT_Codes!$A:$A,0)),0))</f>
        <v>0</v>
      </c>
      <c r="W1404" s="26" t="n">
        <f aca="false">IF($U1404=0,0,IF(IFERROR(INDEX(VAT_Codes!$F:$F,MATCH($N1404,VAT_Codes!$A:$A,0)),"N")="Y",$U1404,IF($L1404&lt;&gt;"",ROUND(ABS($L1404)/IF(OR($R1404="",$R1404=0),1,$R1404),2)*SIGN($U1404),ROUND($U1404*$V1404,2))))</f>
        <v>0</v>
      </c>
      <c r="X1404" s="24" t="str">
        <f aca="false">IF($N1404="","",IFERROR(INDEX(VAT_Codes!$H:$H,MATCH($N1404,VAT_Codes!$A:$A,0)),"")&amp;"")</f>
        <v/>
      </c>
      <c r="Y1404" s="24" t="str">
        <f aca="false">IF($A1404="","",(YEAR($A1404)-YEAR(Settings!$C$8))*12+MONTH($A1404)-MONTH(Settings!$C$8)+1)</f>
        <v/>
      </c>
      <c r="Z1404" s="24" t="str">
        <f aca="false">IF(AND($C1404="",$I1404="",$J1404=""),"",IF($N1404="","NO VAT CODE",IF($T1404="","UNKNOWN VAT CODE",IF($S1404="","MISSING FX RATE",IF(OR($A1404&lt;Settings!$C$8,$A1404&gt;Settings!$C$9),"OUTSIDE PERIOD",IF(AND(IFERROR(INDEX(VAT_Codes!$E:$E,MATCH($N1404,VAT_Codes!$A:$A,0)),"ANY")&lt;&gt;"ANY",$P1404=""),"MISSING COUNTERPARTY COUNTRY",IF(AND(IFERROR(INDEX(VAT_Codes!$E:$E,MATCH($N1404,VAT_Codes!$A:$A,0)),"ANY")&lt;&gt;"ANY",$P1404&lt;&gt;IFERROR(INDEX(VAT_Codes!$E:$E,MATCH($N1404,VAT_Codes!$A:$A,0)),"ANY")),"REGION MISMATCH","OK")))))))</f>
        <v/>
      </c>
    </row>
    <row r="1405" customFormat="false" ht="15" hidden="false" customHeight="false" outlineLevel="0" collapsed="false">
      <c r="M1405" s="24" t="str">
        <f aca="false">IF($C1405="","",IFERROR(INDEX(Account_Mapping!$C:$C,MATCH($C1405&amp;"",Account_Mapping!$A:$A,0))&amp;"",""))</f>
        <v/>
      </c>
      <c r="N1405" s="24" t="str">
        <f aca="false">IF($K1405&lt;&gt;"",$K1405,$M1405)</f>
        <v/>
      </c>
      <c r="O1405" s="24" t="str">
        <f aca="false">IF($F1405="","",IFERROR(INDEX(Counterparties!$C:$C,MATCH($F1405&amp;"",Counterparties!$A:$A,0))&amp;"",""))</f>
        <v/>
      </c>
      <c r="P1405" s="24" t="str">
        <f aca="false">IF($O1405="","",IF($O1405="CY","CY",IF(ISNUMBER(MATCH($O1405,Lists!$A:$A,0)),"EU","3RD")))</f>
        <v/>
      </c>
      <c r="Q1405" s="24" t="str">
        <f aca="false">IF($F1405="","N",IFERROR(IF(INDEX(Counterparties!$E:$E,MATCH($F1405&amp;"",Counterparties!$A:$A,0))="Y","Y","N"),"N"))</f>
        <v>N</v>
      </c>
      <c r="R1405" s="25" t="n">
        <f aca="false">IF(OR($H1405="",$H1405="EUR"),1,IFERROR(INDEX(FX_Rates!$D:$D,MATCH($H1405,FX_Rates!$A:$A,0)),""))</f>
        <v>1</v>
      </c>
      <c r="S1405" s="26" t="str">
        <f aca="false">IF(AND($I1405="",$J1405=""),"",IF($J1405&lt;&gt;"",$J1405,IF(OR($R1405="",$R1405=0),"",ROUND($I1405/$R1405,2))))</f>
        <v/>
      </c>
      <c r="T1405" s="24" t="str">
        <f aca="false">IF($N1405="","",IFERROR(INDEX(VAT_Codes!$C:$C,MATCH($N1405,VAT_Codes!$A:$A,0)),"")&amp;"")</f>
        <v/>
      </c>
      <c r="U1405" s="26" t="n">
        <f aca="false">IF(OR($S1405="",$T1405="",$T1405="None"),0,IF($T1405="Output",-$S1405,$S1405))</f>
        <v>0</v>
      </c>
      <c r="V1405" s="27" t="n">
        <f aca="false">IF($N1405="",0,IFERROR(INDEX(VAT_Codes!$D:$D,MATCH($N1405,VAT_Codes!$A:$A,0)),0))</f>
        <v>0</v>
      </c>
      <c r="W1405" s="26" t="n">
        <f aca="false">IF($U1405=0,0,IF(IFERROR(INDEX(VAT_Codes!$F:$F,MATCH($N1405,VAT_Codes!$A:$A,0)),"N")="Y",$U1405,IF($L1405&lt;&gt;"",ROUND(ABS($L1405)/IF(OR($R1405="",$R1405=0),1,$R1405),2)*SIGN($U1405),ROUND($U1405*$V1405,2))))</f>
        <v>0</v>
      </c>
      <c r="X1405" s="24" t="str">
        <f aca="false">IF($N1405="","",IFERROR(INDEX(VAT_Codes!$H:$H,MATCH($N1405,VAT_Codes!$A:$A,0)),"")&amp;"")</f>
        <v/>
      </c>
      <c r="Y1405" s="24" t="str">
        <f aca="false">IF($A1405="","",(YEAR($A1405)-YEAR(Settings!$C$8))*12+MONTH($A1405)-MONTH(Settings!$C$8)+1)</f>
        <v/>
      </c>
      <c r="Z1405" s="24" t="str">
        <f aca="false">IF(AND($C1405="",$I1405="",$J1405=""),"",IF($N1405="","NO VAT CODE",IF($T1405="","UNKNOWN VAT CODE",IF($S1405="","MISSING FX RATE",IF(OR($A1405&lt;Settings!$C$8,$A1405&gt;Settings!$C$9),"OUTSIDE PERIOD",IF(AND(IFERROR(INDEX(VAT_Codes!$E:$E,MATCH($N1405,VAT_Codes!$A:$A,0)),"ANY")&lt;&gt;"ANY",$P1405=""),"MISSING COUNTERPARTY COUNTRY",IF(AND(IFERROR(INDEX(VAT_Codes!$E:$E,MATCH($N1405,VAT_Codes!$A:$A,0)),"ANY")&lt;&gt;"ANY",$P1405&lt;&gt;IFERROR(INDEX(VAT_Codes!$E:$E,MATCH($N1405,VAT_Codes!$A:$A,0)),"ANY")),"REGION MISMATCH","OK")))))))</f>
        <v/>
      </c>
    </row>
    <row r="1406" customFormat="false" ht="15" hidden="false" customHeight="false" outlineLevel="0" collapsed="false">
      <c r="M1406" s="24" t="str">
        <f aca="false">IF($C1406="","",IFERROR(INDEX(Account_Mapping!$C:$C,MATCH($C1406&amp;"",Account_Mapping!$A:$A,0))&amp;"",""))</f>
        <v/>
      </c>
      <c r="N1406" s="24" t="str">
        <f aca="false">IF($K1406&lt;&gt;"",$K1406,$M1406)</f>
        <v/>
      </c>
      <c r="O1406" s="24" t="str">
        <f aca="false">IF($F1406="","",IFERROR(INDEX(Counterparties!$C:$C,MATCH($F1406&amp;"",Counterparties!$A:$A,0))&amp;"",""))</f>
        <v/>
      </c>
      <c r="P1406" s="24" t="str">
        <f aca="false">IF($O1406="","",IF($O1406="CY","CY",IF(ISNUMBER(MATCH($O1406,Lists!$A:$A,0)),"EU","3RD")))</f>
        <v/>
      </c>
      <c r="Q1406" s="24" t="str">
        <f aca="false">IF($F1406="","N",IFERROR(IF(INDEX(Counterparties!$E:$E,MATCH($F1406&amp;"",Counterparties!$A:$A,0))="Y","Y","N"),"N"))</f>
        <v>N</v>
      </c>
      <c r="R1406" s="25" t="n">
        <f aca="false">IF(OR($H1406="",$H1406="EUR"),1,IFERROR(INDEX(FX_Rates!$D:$D,MATCH($H1406,FX_Rates!$A:$A,0)),""))</f>
        <v>1</v>
      </c>
      <c r="S1406" s="26" t="str">
        <f aca="false">IF(AND($I1406="",$J1406=""),"",IF($J1406&lt;&gt;"",$J1406,IF(OR($R1406="",$R1406=0),"",ROUND($I1406/$R1406,2))))</f>
        <v/>
      </c>
      <c r="T1406" s="24" t="str">
        <f aca="false">IF($N1406="","",IFERROR(INDEX(VAT_Codes!$C:$C,MATCH($N1406,VAT_Codes!$A:$A,0)),"")&amp;"")</f>
        <v/>
      </c>
      <c r="U1406" s="26" t="n">
        <f aca="false">IF(OR($S1406="",$T1406="",$T1406="None"),0,IF($T1406="Output",-$S1406,$S1406))</f>
        <v>0</v>
      </c>
      <c r="V1406" s="27" t="n">
        <f aca="false">IF($N1406="",0,IFERROR(INDEX(VAT_Codes!$D:$D,MATCH($N1406,VAT_Codes!$A:$A,0)),0))</f>
        <v>0</v>
      </c>
      <c r="W1406" s="26" t="n">
        <f aca="false">IF($U1406=0,0,IF(IFERROR(INDEX(VAT_Codes!$F:$F,MATCH($N1406,VAT_Codes!$A:$A,0)),"N")="Y",$U1406,IF($L1406&lt;&gt;"",ROUND(ABS($L1406)/IF(OR($R1406="",$R1406=0),1,$R1406),2)*SIGN($U1406),ROUND($U1406*$V1406,2))))</f>
        <v>0</v>
      </c>
      <c r="X1406" s="24" t="str">
        <f aca="false">IF($N1406="","",IFERROR(INDEX(VAT_Codes!$H:$H,MATCH($N1406,VAT_Codes!$A:$A,0)),"")&amp;"")</f>
        <v/>
      </c>
      <c r="Y1406" s="24" t="str">
        <f aca="false">IF($A1406="","",(YEAR($A1406)-YEAR(Settings!$C$8))*12+MONTH($A1406)-MONTH(Settings!$C$8)+1)</f>
        <v/>
      </c>
      <c r="Z1406" s="24" t="str">
        <f aca="false">IF(AND($C1406="",$I1406="",$J1406=""),"",IF($N1406="","NO VAT CODE",IF($T1406="","UNKNOWN VAT CODE",IF($S1406="","MISSING FX RATE",IF(OR($A1406&lt;Settings!$C$8,$A1406&gt;Settings!$C$9),"OUTSIDE PERIOD",IF(AND(IFERROR(INDEX(VAT_Codes!$E:$E,MATCH($N1406,VAT_Codes!$A:$A,0)),"ANY")&lt;&gt;"ANY",$P1406=""),"MISSING COUNTERPARTY COUNTRY",IF(AND(IFERROR(INDEX(VAT_Codes!$E:$E,MATCH($N1406,VAT_Codes!$A:$A,0)),"ANY")&lt;&gt;"ANY",$P1406&lt;&gt;IFERROR(INDEX(VAT_Codes!$E:$E,MATCH($N1406,VAT_Codes!$A:$A,0)),"ANY")),"REGION MISMATCH","OK")))))))</f>
        <v/>
      </c>
    </row>
    <row r="1407" customFormat="false" ht="15" hidden="false" customHeight="false" outlineLevel="0" collapsed="false">
      <c r="M1407" s="24" t="str">
        <f aca="false">IF($C1407="","",IFERROR(INDEX(Account_Mapping!$C:$C,MATCH($C1407&amp;"",Account_Mapping!$A:$A,0))&amp;"",""))</f>
        <v/>
      </c>
      <c r="N1407" s="24" t="str">
        <f aca="false">IF($K1407&lt;&gt;"",$K1407,$M1407)</f>
        <v/>
      </c>
      <c r="O1407" s="24" t="str">
        <f aca="false">IF($F1407="","",IFERROR(INDEX(Counterparties!$C:$C,MATCH($F1407&amp;"",Counterparties!$A:$A,0))&amp;"",""))</f>
        <v/>
      </c>
      <c r="P1407" s="24" t="str">
        <f aca="false">IF($O1407="","",IF($O1407="CY","CY",IF(ISNUMBER(MATCH($O1407,Lists!$A:$A,0)),"EU","3RD")))</f>
        <v/>
      </c>
      <c r="Q1407" s="24" t="str">
        <f aca="false">IF($F1407="","N",IFERROR(IF(INDEX(Counterparties!$E:$E,MATCH($F1407&amp;"",Counterparties!$A:$A,0))="Y","Y","N"),"N"))</f>
        <v>N</v>
      </c>
      <c r="R1407" s="25" t="n">
        <f aca="false">IF(OR($H1407="",$H1407="EUR"),1,IFERROR(INDEX(FX_Rates!$D:$D,MATCH($H1407,FX_Rates!$A:$A,0)),""))</f>
        <v>1</v>
      </c>
      <c r="S1407" s="26" t="str">
        <f aca="false">IF(AND($I1407="",$J1407=""),"",IF($J1407&lt;&gt;"",$J1407,IF(OR($R1407="",$R1407=0),"",ROUND($I1407/$R1407,2))))</f>
        <v/>
      </c>
      <c r="T1407" s="24" t="str">
        <f aca="false">IF($N1407="","",IFERROR(INDEX(VAT_Codes!$C:$C,MATCH($N1407,VAT_Codes!$A:$A,0)),"")&amp;"")</f>
        <v/>
      </c>
      <c r="U1407" s="26" t="n">
        <f aca="false">IF(OR($S1407="",$T1407="",$T1407="None"),0,IF($T1407="Output",-$S1407,$S1407))</f>
        <v>0</v>
      </c>
      <c r="V1407" s="27" t="n">
        <f aca="false">IF($N1407="",0,IFERROR(INDEX(VAT_Codes!$D:$D,MATCH($N1407,VAT_Codes!$A:$A,0)),0))</f>
        <v>0</v>
      </c>
      <c r="W1407" s="26" t="n">
        <f aca="false">IF($U1407=0,0,IF(IFERROR(INDEX(VAT_Codes!$F:$F,MATCH($N1407,VAT_Codes!$A:$A,0)),"N")="Y",$U1407,IF($L1407&lt;&gt;"",ROUND(ABS($L1407)/IF(OR($R1407="",$R1407=0),1,$R1407),2)*SIGN($U1407),ROUND($U1407*$V1407,2))))</f>
        <v>0</v>
      </c>
      <c r="X1407" s="24" t="str">
        <f aca="false">IF($N1407="","",IFERROR(INDEX(VAT_Codes!$H:$H,MATCH($N1407,VAT_Codes!$A:$A,0)),"")&amp;"")</f>
        <v/>
      </c>
      <c r="Y1407" s="24" t="str">
        <f aca="false">IF($A1407="","",(YEAR($A1407)-YEAR(Settings!$C$8))*12+MONTH($A1407)-MONTH(Settings!$C$8)+1)</f>
        <v/>
      </c>
      <c r="Z1407" s="24" t="str">
        <f aca="false">IF(AND($C1407="",$I1407="",$J1407=""),"",IF($N1407="","NO VAT CODE",IF($T1407="","UNKNOWN VAT CODE",IF($S1407="","MISSING FX RATE",IF(OR($A1407&lt;Settings!$C$8,$A1407&gt;Settings!$C$9),"OUTSIDE PERIOD",IF(AND(IFERROR(INDEX(VAT_Codes!$E:$E,MATCH($N1407,VAT_Codes!$A:$A,0)),"ANY")&lt;&gt;"ANY",$P1407=""),"MISSING COUNTERPARTY COUNTRY",IF(AND(IFERROR(INDEX(VAT_Codes!$E:$E,MATCH($N1407,VAT_Codes!$A:$A,0)),"ANY")&lt;&gt;"ANY",$P1407&lt;&gt;IFERROR(INDEX(VAT_Codes!$E:$E,MATCH($N1407,VAT_Codes!$A:$A,0)),"ANY")),"REGION MISMATCH","OK")))))))</f>
        <v/>
      </c>
    </row>
    <row r="1408" customFormat="false" ht="15" hidden="false" customHeight="false" outlineLevel="0" collapsed="false">
      <c r="M1408" s="24" t="str">
        <f aca="false">IF($C1408="","",IFERROR(INDEX(Account_Mapping!$C:$C,MATCH($C1408&amp;"",Account_Mapping!$A:$A,0))&amp;"",""))</f>
        <v/>
      </c>
      <c r="N1408" s="24" t="str">
        <f aca="false">IF($K1408&lt;&gt;"",$K1408,$M1408)</f>
        <v/>
      </c>
      <c r="O1408" s="24" t="str">
        <f aca="false">IF($F1408="","",IFERROR(INDEX(Counterparties!$C:$C,MATCH($F1408&amp;"",Counterparties!$A:$A,0))&amp;"",""))</f>
        <v/>
      </c>
      <c r="P1408" s="24" t="str">
        <f aca="false">IF($O1408="","",IF($O1408="CY","CY",IF(ISNUMBER(MATCH($O1408,Lists!$A:$A,0)),"EU","3RD")))</f>
        <v/>
      </c>
      <c r="Q1408" s="24" t="str">
        <f aca="false">IF($F1408="","N",IFERROR(IF(INDEX(Counterparties!$E:$E,MATCH($F1408&amp;"",Counterparties!$A:$A,0))="Y","Y","N"),"N"))</f>
        <v>N</v>
      </c>
      <c r="R1408" s="25" t="n">
        <f aca="false">IF(OR($H1408="",$H1408="EUR"),1,IFERROR(INDEX(FX_Rates!$D:$D,MATCH($H1408,FX_Rates!$A:$A,0)),""))</f>
        <v>1</v>
      </c>
      <c r="S1408" s="26" t="str">
        <f aca="false">IF(AND($I1408="",$J1408=""),"",IF($J1408&lt;&gt;"",$J1408,IF(OR($R1408="",$R1408=0),"",ROUND($I1408/$R1408,2))))</f>
        <v/>
      </c>
      <c r="T1408" s="24" t="str">
        <f aca="false">IF($N1408="","",IFERROR(INDEX(VAT_Codes!$C:$C,MATCH($N1408,VAT_Codes!$A:$A,0)),"")&amp;"")</f>
        <v/>
      </c>
      <c r="U1408" s="26" t="n">
        <f aca="false">IF(OR($S1408="",$T1408="",$T1408="None"),0,IF($T1408="Output",-$S1408,$S1408))</f>
        <v>0</v>
      </c>
      <c r="V1408" s="27" t="n">
        <f aca="false">IF($N1408="",0,IFERROR(INDEX(VAT_Codes!$D:$D,MATCH($N1408,VAT_Codes!$A:$A,0)),0))</f>
        <v>0</v>
      </c>
      <c r="W1408" s="26" t="n">
        <f aca="false">IF($U1408=0,0,IF(IFERROR(INDEX(VAT_Codes!$F:$F,MATCH($N1408,VAT_Codes!$A:$A,0)),"N")="Y",$U1408,IF($L1408&lt;&gt;"",ROUND(ABS($L1408)/IF(OR($R1408="",$R1408=0),1,$R1408),2)*SIGN($U1408),ROUND($U1408*$V1408,2))))</f>
        <v>0</v>
      </c>
      <c r="X1408" s="24" t="str">
        <f aca="false">IF($N1408="","",IFERROR(INDEX(VAT_Codes!$H:$H,MATCH($N1408,VAT_Codes!$A:$A,0)),"")&amp;"")</f>
        <v/>
      </c>
      <c r="Y1408" s="24" t="str">
        <f aca="false">IF($A1408="","",(YEAR($A1408)-YEAR(Settings!$C$8))*12+MONTH($A1408)-MONTH(Settings!$C$8)+1)</f>
        <v/>
      </c>
      <c r="Z1408" s="24" t="str">
        <f aca="false">IF(AND($C1408="",$I1408="",$J1408=""),"",IF($N1408="","NO VAT CODE",IF($T1408="","UNKNOWN VAT CODE",IF($S1408="","MISSING FX RATE",IF(OR($A1408&lt;Settings!$C$8,$A1408&gt;Settings!$C$9),"OUTSIDE PERIOD",IF(AND(IFERROR(INDEX(VAT_Codes!$E:$E,MATCH($N1408,VAT_Codes!$A:$A,0)),"ANY")&lt;&gt;"ANY",$P1408=""),"MISSING COUNTERPARTY COUNTRY",IF(AND(IFERROR(INDEX(VAT_Codes!$E:$E,MATCH($N1408,VAT_Codes!$A:$A,0)),"ANY")&lt;&gt;"ANY",$P1408&lt;&gt;IFERROR(INDEX(VAT_Codes!$E:$E,MATCH($N1408,VAT_Codes!$A:$A,0)),"ANY")),"REGION MISMATCH","OK")))))))</f>
        <v/>
      </c>
    </row>
    <row r="1409" customFormat="false" ht="15" hidden="false" customHeight="false" outlineLevel="0" collapsed="false">
      <c r="M1409" s="24" t="str">
        <f aca="false">IF($C1409="","",IFERROR(INDEX(Account_Mapping!$C:$C,MATCH($C1409&amp;"",Account_Mapping!$A:$A,0))&amp;"",""))</f>
        <v/>
      </c>
      <c r="N1409" s="24" t="str">
        <f aca="false">IF($K1409&lt;&gt;"",$K1409,$M1409)</f>
        <v/>
      </c>
      <c r="O1409" s="24" t="str">
        <f aca="false">IF($F1409="","",IFERROR(INDEX(Counterparties!$C:$C,MATCH($F1409&amp;"",Counterparties!$A:$A,0))&amp;"",""))</f>
        <v/>
      </c>
      <c r="P1409" s="24" t="str">
        <f aca="false">IF($O1409="","",IF($O1409="CY","CY",IF(ISNUMBER(MATCH($O1409,Lists!$A:$A,0)),"EU","3RD")))</f>
        <v/>
      </c>
      <c r="Q1409" s="24" t="str">
        <f aca="false">IF($F1409="","N",IFERROR(IF(INDEX(Counterparties!$E:$E,MATCH($F1409&amp;"",Counterparties!$A:$A,0))="Y","Y","N"),"N"))</f>
        <v>N</v>
      </c>
      <c r="R1409" s="25" t="n">
        <f aca="false">IF(OR($H1409="",$H1409="EUR"),1,IFERROR(INDEX(FX_Rates!$D:$D,MATCH($H1409,FX_Rates!$A:$A,0)),""))</f>
        <v>1</v>
      </c>
      <c r="S1409" s="26" t="str">
        <f aca="false">IF(AND($I1409="",$J1409=""),"",IF($J1409&lt;&gt;"",$J1409,IF(OR($R1409="",$R1409=0),"",ROUND($I1409/$R1409,2))))</f>
        <v/>
      </c>
      <c r="T1409" s="24" t="str">
        <f aca="false">IF($N1409="","",IFERROR(INDEX(VAT_Codes!$C:$C,MATCH($N1409,VAT_Codes!$A:$A,0)),"")&amp;"")</f>
        <v/>
      </c>
      <c r="U1409" s="26" t="n">
        <f aca="false">IF(OR($S1409="",$T1409="",$T1409="None"),0,IF($T1409="Output",-$S1409,$S1409))</f>
        <v>0</v>
      </c>
      <c r="V1409" s="27" t="n">
        <f aca="false">IF($N1409="",0,IFERROR(INDEX(VAT_Codes!$D:$D,MATCH($N1409,VAT_Codes!$A:$A,0)),0))</f>
        <v>0</v>
      </c>
      <c r="W1409" s="26" t="n">
        <f aca="false">IF($U1409=0,0,IF(IFERROR(INDEX(VAT_Codes!$F:$F,MATCH($N1409,VAT_Codes!$A:$A,0)),"N")="Y",$U1409,IF($L1409&lt;&gt;"",ROUND(ABS($L1409)/IF(OR($R1409="",$R1409=0),1,$R1409),2)*SIGN($U1409),ROUND($U1409*$V1409,2))))</f>
        <v>0</v>
      </c>
      <c r="X1409" s="24" t="str">
        <f aca="false">IF($N1409="","",IFERROR(INDEX(VAT_Codes!$H:$H,MATCH($N1409,VAT_Codes!$A:$A,0)),"")&amp;"")</f>
        <v/>
      </c>
      <c r="Y1409" s="24" t="str">
        <f aca="false">IF($A1409="","",(YEAR($A1409)-YEAR(Settings!$C$8))*12+MONTH($A1409)-MONTH(Settings!$C$8)+1)</f>
        <v/>
      </c>
      <c r="Z1409" s="24" t="str">
        <f aca="false">IF(AND($C1409="",$I1409="",$J1409=""),"",IF($N1409="","NO VAT CODE",IF($T1409="","UNKNOWN VAT CODE",IF($S1409="","MISSING FX RATE",IF(OR($A1409&lt;Settings!$C$8,$A1409&gt;Settings!$C$9),"OUTSIDE PERIOD",IF(AND(IFERROR(INDEX(VAT_Codes!$E:$E,MATCH($N1409,VAT_Codes!$A:$A,0)),"ANY")&lt;&gt;"ANY",$P1409=""),"MISSING COUNTERPARTY COUNTRY",IF(AND(IFERROR(INDEX(VAT_Codes!$E:$E,MATCH($N1409,VAT_Codes!$A:$A,0)),"ANY")&lt;&gt;"ANY",$P1409&lt;&gt;IFERROR(INDEX(VAT_Codes!$E:$E,MATCH($N1409,VAT_Codes!$A:$A,0)),"ANY")),"REGION MISMATCH","OK")))))))</f>
        <v/>
      </c>
    </row>
    <row r="1410" customFormat="false" ht="15" hidden="false" customHeight="false" outlineLevel="0" collapsed="false">
      <c r="M1410" s="24" t="str">
        <f aca="false">IF($C1410="","",IFERROR(INDEX(Account_Mapping!$C:$C,MATCH($C1410&amp;"",Account_Mapping!$A:$A,0))&amp;"",""))</f>
        <v/>
      </c>
      <c r="N1410" s="24" t="str">
        <f aca="false">IF($K1410&lt;&gt;"",$K1410,$M1410)</f>
        <v/>
      </c>
      <c r="O1410" s="24" t="str">
        <f aca="false">IF($F1410="","",IFERROR(INDEX(Counterparties!$C:$C,MATCH($F1410&amp;"",Counterparties!$A:$A,0))&amp;"",""))</f>
        <v/>
      </c>
      <c r="P1410" s="24" t="str">
        <f aca="false">IF($O1410="","",IF($O1410="CY","CY",IF(ISNUMBER(MATCH($O1410,Lists!$A:$A,0)),"EU","3RD")))</f>
        <v/>
      </c>
      <c r="Q1410" s="24" t="str">
        <f aca="false">IF($F1410="","N",IFERROR(IF(INDEX(Counterparties!$E:$E,MATCH($F1410&amp;"",Counterparties!$A:$A,0))="Y","Y","N"),"N"))</f>
        <v>N</v>
      </c>
      <c r="R1410" s="25" t="n">
        <f aca="false">IF(OR($H1410="",$H1410="EUR"),1,IFERROR(INDEX(FX_Rates!$D:$D,MATCH($H1410,FX_Rates!$A:$A,0)),""))</f>
        <v>1</v>
      </c>
      <c r="S1410" s="26" t="str">
        <f aca="false">IF(AND($I1410="",$J1410=""),"",IF($J1410&lt;&gt;"",$J1410,IF(OR($R1410="",$R1410=0),"",ROUND($I1410/$R1410,2))))</f>
        <v/>
      </c>
      <c r="T1410" s="24" t="str">
        <f aca="false">IF($N1410="","",IFERROR(INDEX(VAT_Codes!$C:$C,MATCH($N1410,VAT_Codes!$A:$A,0)),"")&amp;"")</f>
        <v/>
      </c>
      <c r="U1410" s="26" t="n">
        <f aca="false">IF(OR($S1410="",$T1410="",$T1410="None"),0,IF($T1410="Output",-$S1410,$S1410))</f>
        <v>0</v>
      </c>
      <c r="V1410" s="27" t="n">
        <f aca="false">IF($N1410="",0,IFERROR(INDEX(VAT_Codes!$D:$D,MATCH($N1410,VAT_Codes!$A:$A,0)),0))</f>
        <v>0</v>
      </c>
      <c r="W1410" s="26" t="n">
        <f aca="false">IF($U1410=0,0,IF(IFERROR(INDEX(VAT_Codes!$F:$F,MATCH($N1410,VAT_Codes!$A:$A,0)),"N")="Y",$U1410,IF($L1410&lt;&gt;"",ROUND(ABS($L1410)/IF(OR($R1410="",$R1410=0),1,$R1410),2)*SIGN($U1410),ROUND($U1410*$V1410,2))))</f>
        <v>0</v>
      </c>
      <c r="X1410" s="24" t="str">
        <f aca="false">IF($N1410="","",IFERROR(INDEX(VAT_Codes!$H:$H,MATCH($N1410,VAT_Codes!$A:$A,0)),"")&amp;"")</f>
        <v/>
      </c>
      <c r="Y1410" s="24" t="str">
        <f aca="false">IF($A1410="","",(YEAR($A1410)-YEAR(Settings!$C$8))*12+MONTH($A1410)-MONTH(Settings!$C$8)+1)</f>
        <v/>
      </c>
      <c r="Z1410" s="24" t="str">
        <f aca="false">IF(AND($C1410="",$I1410="",$J1410=""),"",IF($N1410="","NO VAT CODE",IF($T1410="","UNKNOWN VAT CODE",IF($S1410="","MISSING FX RATE",IF(OR($A1410&lt;Settings!$C$8,$A1410&gt;Settings!$C$9),"OUTSIDE PERIOD",IF(AND(IFERROR(INDEX(VAT_Codes!$E:$E,MATCH($N1410,VAT_Codes!$A:$A,0)),"ANY")&lt;&gt;"ANY",$P1410=""),"MISSING COUNTERPARTY COUNTRY",IF(AND(IFERROR(INDEX(VAT_Codes!$E:$E,MATCH($N1410,VAT_Codes!$A:$A,0)),"ANY")&lt;&gt;"ANY",$P1410&lt;&gt;IFERROR(INDEX(VAT_Codes!$E:$E,MATCH($N1410,VAT_Codes!$A:$A,0)),"ANY")),"REGION MISMATCH","OK")))))))</f>
        <v/>
      </c>
    </row>
    <row r="1411" customFormat="false" ht="15" hidden="false" customHeight="false" outlineLevel="0" collapsed="false">
      <c r="M1411" s="24" t="str">
        <f aca="false">IF($C1411="","",IFERROR(INDEX(Account_Mapping!$C:$C,MATCH($C1411&amp;"",Account_Mapping!$A:$A,0))&amp;"",""))</f>
        <v/>
      </c>
      <c r="N1411" s="24" t="str">
        <f aca="false">IF($K1411&lt;&gt;"",$K1411,$M1411)</f>
        <v/>
      </c>
      <c r="O1411" s="24" t="str">
        <f aca="false">IF($F1411="","",IFERROR(INDEX(Counterparties!$C:$C,MATCH($F1411&amp;"",Counterparties!$A:$A,0))&amp;"",""))</f>
        <v/>
      </c>
      <c r="P1411" s="24" t="str">
        <f aca="false">IF($O1411="","",IF($O1411="CY","CY",IF(ISNUMBER(MATCH($O1411,Lists!$A:$A,0)),"EU","3RD")))</f>
        <v/>
      </c>
      <c r="Q1411" s="24" t="str">
        <f aca="false">IF($F1411="","N",IFERROR(IF(INDEX(Counterparties!$E:$E,MATCH($F1411&amp;"",Counterparties!$A:$A,0))="Y","Y","N"),"N"))</f>
        <v>N</v>
      </c>
      <c r="R1411" s="25" t="n">
        <f aca="false">IF(OR($H1411="",$H1411="EUR"),1,IFERROR(INDEX(FX_Rates!$D:$D,MATCH($H1411,FX_Rates!$A:$A,0)),""))</f>
        <v>1</v>
      </c>
      <c r="S1411" s="26" t="str">
        <f aca="false">IF(AND($I1411="",$J1411=""),"",IF($J1411&lt;&gt;"",$J1411,IF(OR($R1411="",$R1411=0),"",ROUND($I1411/$R1411,2))))</f>
        <v/>
      </c>
      <c r="T1411" s="24" t="str">
        <f aca="false">IF($N1411="","",IFERROR(INDEX(VAT_Codes!$C:$C,MATCH($N1411,VAT_Codes!$A:$A,0)),"")&amp;"")</f>
        <v/>
      </c>
      <c r="U1411" s="26" t="n">
        <f aca="false">IF(OR($S1411="",$T1411="",$T1411="None"),0,IF($T1411="Output",-$S1411,$S1411))</f>
        <v>0</v>
      </c>
      <c r="V1411" s="27" t="n">
        <f aca="false">IF($N1411="",0,IFERROR(INDEX(VAT_Codes!$D:$D,MATCH($N1411,VAT_Codes!$A:$A,0)),0))</f>
        <v>0</v>
      </c>
      <c r="W1411" s="26" t="n">
        <f aca="false">IF($U1411=0,0,IF(IFERROR(INDEX(VAT_Codes!$F:$F,MATCH($N1411,VAT_Codes!$A:$A,0)),"N")="Y",$U1411,IF($L1411&lt;&gt;"",ROUND(ABS($L1411)/IF(OR($R1411="",$R1411=0),1,$R1411),2)*SIGN($U1411),ROUND($U1411*$V1411,2))))</f>
        <v>0</v>
      </c>
      <c r="X1411" s="24" t="str">
        <f aca="false">IF($N1411="","",IFERROR(INDEX(VAT_Codes!$H:$H,MATCH($N1411,VAT_Codes!$A:$A,0)),"")&amp;"")</f>
        <v/>
      </c>
      <c r="Y1411" s="24" t="str">
        <f aca="false">IF($A1411="","",(YEAR($A1411)-YEAR(Settings!$C$8))*12+MONTH($A1411)-MONTH(Settings!$C$8)+1)</f>
        <v/>
      </c>
      <c r="Z1411" s="24" t="str">
        <f aca="false">IF(AND($C1411="",$I1411="",$J1411=""),"",IF($N1411="","NO VAT CODE",IF($T1411="","UNKNOWN VAT CODE",IF($S1411="","MISSING FX RATE",IF(OR($A1411&lt;Settings!$C$8,$A1411&gt;Settings!$C$9),"OUTSIDE PERIOD",IF(AND(IFERROR(INDEX(VAT_Codes!$E:$E,MATCH($N1411,VAT_Codes!$A:$A,0)),"ANY")&lt;&gt;"ANY",$P1411=""),"MISSING COUNTERPARTY COUNTRY",IF(AND(IFERROR(INDEX(VAT_Codes!$E:$E,MATCH($N1411,VAT_Codes!$A:$A,0)),"ANY")&lt;&gt;"ANY",$P1411&lt;&gt;IFERROR(INDEX(VAT_Codes!$E:$E,MATCH($N1411,VAT_Codes!$A:$A,0)),"ANY")),"REGION MISMATCH","OK")))))))</f>
        <v/>
      </c>
    </row>
    <row r="1412" customFormat="false" ht="15" hidden="false" customHeight="false" outlineLevel="0" collapsed="false">
      <c r="M1412" s="24" t="str">
        <f aca="false">IF($C1412="","",IFERROR(INDEX(Account_Mapping!$C:$C,MATCH($C1412&amp;"",Account_Mapping!$A:$A,0))&amp;"",""))</f>
        <v/>
      </c>
      <c r="N1412" s="24" t="str">
        <f aca="false">IF($K1412&lt;&gt;"",$K1412,$M1412)</f>
        <v/>
      </c>
      <c r="O1412" s="24" t="str">
        <f aca="false">IF($F1412="","",IFERROR(INDEX(Counterparties!$C:$C,MATCH($F1412&amp;"",Counterparties!$A:$A,0))&amp;"",""))</f>
        <v/>
      </c>
      <c r="P1412" s="24" t="str">
        <f aca="false">IF($O1412="","",IF($O1412="CY","CY",IF(ISNUMBER(MATCH($O1412,Lists!$A:$A,0)),"EU","3RD")))</f>
        <v/>
      </c>
      <c r="Q1412" s="24" t="str">
        <f aca="false">IF($F1412="","N",IFERROR(IF(INDEX(Counterparties!$E:$E,MATCH($F1412&amp;"",Counterparties!$A:$A,0))="Y","Y","N"),"N"))</f>
        <v>N</v>
      </c>
      <c r="R1412" s="25" t="n">
        <f aca="false">IF(OR($H1412="",$H1412="EUR"),1,IFERROR(INDEX(FX_Rates!$D:$D,MATCH($H1412,FX_Rates!$A:$A,0)),""))</f>
        <v>1</v>
      </c>
      <c r="S1412" s="26" t="str">
        <f aca="false">IF(AND($I1412="",$J1412=""),"",IF($J1412&lt;&gt;"",$J1412,IF(OR($R1412="",$R1412=0),"",ROUND($I1412/$R1412,2))))</f>
        <v/>
      </c>
      <c r="T1412" s="24" t="str">
        <f aca="false">IF($N1412="","",IFERROR(INDEX(VAT_Codes!$C:$C,MATCH($N1412,VAT_Codes!$A:$A,0)),"")&amp;"")</f>
        <v/>
      </c>
      <c r="U1412" s="26" t="n">
        <f aca="false">IF(OR($S1412="",$T1412="",$T1412="None"),0,IF($T1412="Output",-$S1412,$S1412))</f>
        <v>0</v>
      </c>
      <c r="V1412" s="27" t="n">
        <f aca="false">IF($N1412="",0,IFERROR(INDEX(VAT_Codes!$D:$D,MATCH($N1412,VAT_Codes!$A:$A,0)),0))</f>
        <v>0</v>
      </c>
      <c r="W1412" s="26" t="n">
        <f aca="false">IF($U1412=0,0,IF(IFERROR(INDEX(VAT_Codes!$F:$F,MATCH($N1412,VAT_Codes!$A:$A,0)),"N")="Y",$U1412,IF($L1412&lt;&gt;"",ROUND(ABS($L1412)/IF(OR($R1412="",$R1412=0),1,$R1412),2)*SIGN($U1412),ROUND($U1412*$V1412,2))))</f>
        <v>0</v>
      </c>
      <c r="X1412" s="24" t="str">
        <f aca="false">IF($N1412="","",IFERROR(INDEX(VAT_Codes!$H:$H,MATCH($N1412,VAT_Codes!$A:$A,0)),"")&amp;"")</f>
        <v/>
      </c>
      <c r="Y1412" s="24" t="str">
        <f aca="false">IF($A1412="","",(YEAR($A1412)-YEAR(Settings!$C$8))*12+MONTH($A1412)-MONTH(Settings!$C$8)+1)</f>
        <v/>
      </c>
      <c r="Z1412" s="24" t="str">
        <f aca="false">IF(AND($C1412="",$I1412="",$J1412=""),"",IF($N1412="","NO VAT CODE",IF($T1412="","UNKNOWN VAT CODE",IF($S1412="","MISSING FX RATE",IF(OR($A1412&lt;Settings!$C$8,$A1412&gt;Settings!$C$9),"OUTSIDE PERIOD",IF(AND(IFERROR(INDEX(VAT_Codes!$E:$E,MATCH($N1412,VAT_Codes!$A:$A,0)),"ANY")&lt;&gt;"ANY",$P1412=""),"MISSING COUNTERPARTY COUNTRY",IF(AND(IFERROR(INDEX(VAT_Codes!$E:$E,MATCH($N1412,VAT_Codes!$A:$A,0)),"ANY")&lt;&gt;"ANY",$P1412&lt;&gt;IFERROR(INDEX(VAT_Codes!$E:$E,MATCH($N1412,VAT_Codes!$A:$A,0)),"ANY")),"REGION MISMATCH","OK")))))))</f>
        <v/>
      </c>
    </row>
    <row r="1413" customFormat="false" ht="15" hidden="false" customHeight="false" outlineLevel="0" collapsed="false">
      <c r="M1413" s="24" t="str">
        <f aca="false">IF($C1413="","",IFERROR(INDEX(Account_Mapping!$C:$C,MATCH($C1413&amp;"",Account_Mapping!$A:$A,0))&amp;"",""))</f>
        <v/>
      </c>
      <c r="N1413" s="24" t="str">
        <f aca="false">IF($K1413&lt;&gt;"",$K1413,$M1413)</f>
        <v/>
      </c>
      <c r="O1413" s="24" t="str">
        <f aca="false">IF($F1413="","",IFERROR(INDEX(Counterparties!$C:$C,MATCH($F1413&amp;"",Counterparties!$A:$A,0))&amp;"",""))</f>
        <v/>
      </c>
      <c r="P1413" s="24" t="str">
        <f aca="false">IF($O1413="","",IF($O1413="CY","CY",IF(ISNUMBER(MATCH($O1413,Lists!$A:$A,0)),"EU","3RD")))</f>
        <v/>
      </c>
      <c r="Q1413" s="24" t="str">
        <f aca="false">IF($F1413="","N",IFERROR(IF(INDEX(Counterparties!$E:$E,MATCH($F1413&amp;"",Counterparties!$A:$A,0))="Y","Y","N"),"N"))</f>
        <v>N</v>
      </c>
      <c r="R1413" s="25" t="n">
        <f aca="false">IF(OR($H1413="",$H1413="EUR"),1,IFERROR(INDEX(FX_Rates!$D:$D,MATCH($H1413,FX_Rates!$A:$A,0)),""))</f>
        <v>1</v>
      </c>
      <c r="S1413" s="26" t="str">
        <f aca="false">IF(AND($I1413="",$J1413=""),"",IF($J1413&lt;&gt;"",$J1413,IF(OR($R1413="",$R1413=0),"",ROUND($I1413/$R1413,2))))</f>
        <v/>
      </c>
      <c r="T1413" s="24" t="str">
        <f aca="false">IF($N1413="","",IFERROR(INDEX(VAT_Codes!$C:$C,MATCH($N1413,VAT_Codes!$A:$A,0)),"")&amp;"")</f>
        <v/>
      </c>
      <c r="U1413" s="26" t="n">
        <f aca="false">IF(OR($S1413="",$T1413="",$T1413="None"),0,IF($T1413="Output",-$S1413,$S1413))</f>
        <v>0</v>
      </c>
      <c r="V1413" s="27" t="n">
        <f aca="false">IF($N1413="",0,IFERROR(INDEX(VAT_Codes!$D:$D,MATCH($N1413,VAT_Codes!$A:$A,0)),0))</f>
        <v>0</v>
      </c>
      <c r="W1413" s="26" t="n">
        <f aca="false">IF($U1413=0,0,IF(IFERROR(INDEX(VAT_Codes!$F:$F,MATCH($N1413,VAT_Codes!$A:$A,0)),"N")="Y",$U1413,IF($L1413&lt;&gt;"",ROUND(ABS($L1413)/IF(OR($R1413="",$R1413=0),1,$R1413),2)*SIGN($U1413),ROUND($U1413*$V1413,2))))</f>
        <v>0</v>
      </c>
      <c r="X1413" s="24" t="str">
        <f aca="false">IF($N1413="","",IFERROR(INDEX(VAT_Codes!$H:$H,MATCH($N1413,VAT_Codes!$A:$A,0)),"")&amp;"")</f>
        <v/>
      </c>
      <c r="Y1413" s="24" t="str">
        <f aca="false">IF($A1413="","",(YEAR($A1413)-YEAR(Settings!$C$8))*12+MONTH($A1413)-MONTH(Settings!$C$8)+1)</f>
        <v/>
      </c>
      <c r="Z1413" s="24" t="str">
        <f aca="false">IF(AND($C1413="",$I1413="",$J1413=""),"",IF($N1413="","NO VAT CODE",IF($T1413="","UNKNOWN VAT CODE",IF($S1413="","MISSING FX RATE",IF(OR($A1413&lt;Settings!$C$8,$A1413&gt;Settings!$C$9),"OUTSIDE PERIOD",IF(AND(IFERROR(INDEX(VAT_Codes!$E:$E,MATCH($N1413,VAT_Codes!$A:$A,0)),"ANY")&lt;&gt;"ANY",$P1413=""),"MISSING COUNTERPARTY COUNTRY",IF(AND(IFERROR(INDEX(VAT_Codes!$E:$E,MATCH($N1413,VAT_Codes!$A:$A,0)),"ANY")&lt;&gt;"ANY",$P1413&lt;&gt;IFERROR(INDEX(VAT_Codes!$E:$E,MATCH($N1413,VAT_Codes!$A:$A,0)),"ANY")),"REGION MISMATCH","OK")))))))</f>
        <v/>
      </c>
    </row>
    <row r="1414" customFormat="false" ht="15" hidden="false" customHeight="false" outlineLevel="0" collapsed="false">
      <c r="M1414" s="24" t="str">
        <f aca="false">IF($C1414="","",IFERROR(INDEX(Account_Mapping!$C:$C,MATCH($C1414&amp;"",Account_Mapping!$A:$A,0))&amp;"",""))</f>
        <v/>
      </c>
      <c r="N1414" s="24" t="str">
        <f aca="false">IF($K1414&lt;&gt;"",$K1414,$M1414)</f>
        <v/>
      </c>
      <c r="O1414" s="24" t="str">
        <f aca="false">IF($F1414="","",IFERROR(INDEX(Counterparties!$C:$C,MATCH($F1414&amp;"",Counterparties!$A:$A,0))&amp;"",""))</f>
        <v/>
      </c>
      <c r="P1414" s="24" t="str">
        <f aca="false">IF($O1414="","",IF($O1414="CY","CY",IF(ISNUMBER(MATCH($O1414,Lists!$A:$A,0)),"EU","3RD")))</f>
        <v/>
      </c>
      <c r="Q1414" s="24" t="str">
        <f aca="false">IF($F1414="","N",IFERROR(IF(INDEX(Counterparties!$E:$E,MATCH($F1414&amp;"",Counterparties!$A:$A,0))="Y","Y","N"),"N"))</f>
        <v>N</v>
      </c>
      <c r="R1414" s="25" t="n">
        <f aca="false">IF(OR($H1414="",$H1414="EUR"),1,IFERROR(INDEX(FX_Rates!$D:$D,MATCH($H1414,FX_Rates!$A:$A,0)),""))</f>
        <v>1</v>
      </c>
      <c r="S1414" s="26" t="str">
        <f aca="false">IF(AND($I1414="",$J1414=""),"",IF($J1414&lt;&gt;"",$J1414,IF(OR($R1414="",$R1414=0),"",ROUND($I1414/$R1414,2))))</f>
        <v/>
      </c>
      <c r="T1414" s="24" t="str">
        <f aca="false">IF($N1414="","",IFERROR(INDEX(VAT_Codes!$C:$C,MATCH($N1414,VAT_Codes!$A:$A,0)),"")&amp;"")</f>
        <v/>
      </c>
      <c r="U1414" s="26" t="n">
        <f aca="false">IF(OR($S1414="",$T1414="",$T1414="None"),0,IF($T1414="Output",-$S1414,$S1414))</f>
        <v>0</v>
      </c>
      <c r="V1414" s="27" t="n">
        <f aca="false">IF($N1414="",0,IFERROR(INDEX(VAT_Codes!$D:$D,MATCH($N1414,VAT_Codes!$A:$A,0)),0))</f>
        <v>0</v>
      </c>
      <c r="W1414" s="26" t="n">
        <f aca="false">IF($U1414=0,0,IF(IFERROR(INDEX(VAT_Codes!$F:$F,MATCH($N1414,VAT_Codes!$A:$A,0)),"N")="Y",$U1414,IF($L1414&lt;&gt;"",ROUND(ABS($L1414)/IF(OR($R1414="",$R1414=0),1,$R1414),2)*SIGN($U1414),ROUND($U1414*$V1414,2))))</f>
        <v>0</v>
      </c>
      <c r="X1414" s="24" t="str">
        <f aca="false">IF($N1414="","",IFERROR(INDEX(VAT_Codes!$H:$H,MATCH($N1414,VAT_Codes!$A:$A,0)),"")&amp;"")</f>
        <v/>
      </c>
      <c r="Y1414" s="24" t="str">
        <f aca="false">IF($A1414="","",(YEAR($A1414)-YEAR(Settings!$C$8))*12+MONTH($A1414)-MONTH(Settings!$C$8)+1)</f>
        <v/>
      </c>
      <c r="Z1414" s="24" t="str">
        <f aca="false">IF(AND($C1414="",$I1414="",$J1414=""),"",IF($N1414="","NO VAT CODE",IF($T1414="","UNKNOWN VAT CODE",IF($S1414="","MISSING FX RATE",IF(OR($A1414&lt;Settings!$C$8,$A1414&gt;Settings!$C$9),"OUTSIDE PERIOD",IF(AND(IFERROR(INDEX(VAT_Codes!$E:$E,MATCH($N1414,VAT_Codes!$A:$A,0)),"ANY")&lt;&gt;"ANY",$P1414=""),"MISSING COUNTERPARTY COUNTRY",IF(AND(IFERROR(INDEX(VAT_Codes!$E:$E,MATCH($N1414,VAT_Codes!$A:$A,0)),"ANY")&lt;&gt;"ANY",$P1414&lt;&gt;IFERROR(INDEX(VAT_Codes!$E:$E,MATCH($N1414,VAT_Codes!$A:$A,0)),"ANY")),"REGION MISMATCH","OK")))))))</f>
        <v/>
      </c>
    </row>
    <row r="1415" customFormat="false" ht="15" hidden="false" customHeight="false" outlineLevel="0" collapsed="false">
      <c r="M1415" s="24" t="str">
        <f aca="false">IF($C1415="","",IFERROR(INDEX(Account_Mapping!$C:$C,MATCH($C1415&amp;"",Account_Mapping!$A:$A,0))&amp;"",""))</f>
        <v/>
      </c>
      <c r="N1415" s="24" t="str">
        <f aca="false">IF($K1415&lt;&gt;"",$K1415,$M1415)</f>
        <v/>
      </c>
      <c r="O1415" s="24" t="str">
        <f aca="false">IF($F1415="","",IFERROR(INDEX(Counterparties!$C:$C,MATCH($F1415&amp;"",Counterparties!$A:$A,0))&amp;"",""))</f>
        <v/>
      </c>
      <c r="P1415" s="24" t="str">
        <f aca="false">IF($O1415="","",IF($O1415="CY","CY",IF(ISNUMBER(MATCH($O1415,Lists!$A:$A,0)),"EU","3RD")))</f>
        <v/>
      </c>
      <c r="Q1415" s="24" t="str">
        <f aca="false">IF($F1415="","N",IFERROR(IF(INDEX(Counterparties!$E:$E,MATCH($F1415&amp;"",Counterparties!$A:$A,0))="Y","Y","N"),"N"))</f>
        <v>N</v>
      </c>
      <c r="R1415" s="25" t="n">
        <f aca="false">IF(OR($H1415="",$H1415="EUR"),1,IFERROR(INDEX(FX_Rates!$D:$D,MATCH($H1415,FX_Rates!$A:$A,0)),""))</f>
        <v>1</v>
      </c>
      <c r="S1415" s="26" t="str">
        <f aca="false">IF(AND($I1415="",$J1415=""),"",IF($J1415&lt;&gt;"",$J1415,IF(OR($R1415="",$R1415=0),"",ROUND($I1415/$R1415,2))))</f>
        <v/>
      </c>
      <c r="T1415" s="24" t="str">
        <f aca="false">IF($N1415="","",IFERROR(INDEX(VAT_Codes!$C:$C,MATCH($N1415,VAT_Codes!$A:$A,0)),"")&amp;"")</f>
        <v/>
      </c>
      <c r="U1415" s="26" t="n">
        <f aca="false">IF(OR($S1415="",$T1415="",$T1415="None"),0,IF($T1415="Output",-$S1415,$S1415))</f>
        <v>0</v>
      </c>
      <c r="V1415" s="27" t="n">
        <f aca="false">IF($N1415="",0,IFERROR(INDEX(VAT_Codes!$D:$D,MATCH($N1415,VAT_Codes!$A:$A,0)),0))</f>
        <v>0</v>
      </c>
      <c r="W1415" s="26" t="n">
        <f aca="false">IF($U1415=0,0,IF(IFERROR(INDEX(VAT_Codes!$F:$F,MATCH($N1415,VAT_Codes!$A:$A,0)),"N")="Y",$U1415,IF($L1415&lt;&gt;"",ROUND(ABS($L1415)/IF(OR($R1415="",$R1415=0),1,$R1415),2)*SIGN($U1415),ROUND($U1415*$V1415,2))))</f>
        <v>0</v>
      </c>
      <c r="X1415" s="24" t="str">
        <f aca="false">IF($N1415="","",IFERROR(INDEX(VAT_Codes!$H:$H,MATCH($N1415,VAT_Codes!$A:$A,0)),"")&amp;"")</f>
        <v/>
      </c>
      <c r="Y1415" s="24" t="str">
        <f aca="false">IF($A1415="","",(YEAR($A1415)-YEAR(Settings!$C$8))*12+MONTH($A1415)-MONTH(Settings!$C$8)+1)</f>
        <v/>
      </c>
      <c r="Z1415" s="24" t="str">
        <f aca="false">IF(AND($C1415="",$I1415="",$J1415=""),"",IF($N1415="","NO VAT CODE",IF($T1415="","UNKNOWN VAT CODE",IF($S1415="","MISSING FX RATE",IF(OR($A1415&lt;Settings!$C$8,$A1415&gt;Settings!$C$9),"OUTSIDE PERIOD",IF(AND(IFERROR(INDEX(VAT_Codes!$E:$E,MATCH($N1415,VAT_Codes!$A:$A,0)),"ANY")&lt;&gt;"ANY",$P1415=""),"MISSING COUNTERPARTY COUNTRY",IF(AND(IFERROR(INDEX(VAT_Codes!$E:$E,MATCH($N1415,VAT_Codes!$A:$A,0)),"ANY")&lt;&gt;"ANY",$P1415&lt;&gt;IFERROR(INDEX(VAT_Codes!$E:$E,MATCH($N1415,VAT_Codes!$A:$A,0)),"ANY")),"REGION MISMATCH","OK")))))))</f>
        <v/>
      </c>
    </row>
    <row r="1416" customFormat="false" ht="15" hidden="false" customHeight="false" outlineLevel="0" collapsed="false">
      <c r="M1416" s="24" t="str">
        <f aca="false">IF($C1416="","",IFERROR(INDEX(Account_Mapping!$C:$C,MATCH($C1416&amp;"",Account_Mapping!$A:$A,0))&amp;"",""))</f>
        <v/>
      </c>
      <c r="N1416" s="24" t="str">
        <f aca="false">IF($K1416&lt;&gt;"",$K1416,$M1416)</f>
        <v/>
      </c>
      <c r="O1416" s="24" t="str">
        <f aca="false">IF($F1416="","",IFERROR(INDEX(Counterparties!$C:$C,MATCH($F1416&amp;"",Counterparties!$A:$A,0))&amp;"",""))</f>
        <v/>
      </c>
      <c r="P1416" s="24" t="str">
        <f aca="false">IF($O1416="","",IF($O1416="CY","CY",IF(ISNUMBER(MATCH($O1416,Lists!$A:$A,0)),"EU","3RD")))</f>
        <v/>
      </c>
      <c r="Q1416" s="24" t="str">
        <f aca="false">IF($F1416="","N",IFERROR(IF(INDEX(Counterparties!$E:$E,MATCH($F1416&amp;"",Counterparties!$A:$A,0))="Y","Y","N"),"N"))</f>
        <v>N</v>
      </c>
      <c r="R1416" s="25" t="n">
        <f aca="false">IF(OR($H1416="",$H1416="EUR"),1,IFERROR(INDEX(FX_Rates!$D:$D,MATCH($H1416,FX_Rates!$A:$A,0)),""))</f>
        <v>1</v>
      </c>
      <c r="S1416" s="26" t="str">
        <f aca="false">IF(AND($I1416="",$J1416=""),"",IF($J1416&lt;&gt;"",$J1416,IF(OR($R1416="",$R1416=0),"",ROUND($I1416/$R1416,2))))</f>
        <v/>
      </c>
      <c r="T1416" s="24" t="str">
        <f aca="false">IF($N1416="","",IFERROR(INDEX(VAT_Codes!$C:$C,MATCH($N1416,VAT_Codes!$A:$A,0)),"")&amp;"")</f>
        <v/>
      </c>
      <c r="U1416" s="26" t="n">
        <f aca="false">IF(OR($S1416="",$T1416="",$T1416="None"),0,IF($T1416="Output",-$S1416,$S1416))</f>
        <v>0</v>
      </c>
      <c r="V1416" s="27" t="n">
        <f aca="false">IF($N1416="",0,IFERROR(INDEX(VAT_Codes!$D:$D,MATCH($N1416,VAT_Codes!$A:$A,0)),0))</f>
        <v>0</v>
      </c>
      <c r="W1416" s="26" t="n">
        <f aca="false">IF($U1416=0,0,IF(IFERROR(INDEX(VAT_Codes!$F:$F,MATCH($N1416,VAT_Codes!$A:$A,0)),"N")="Y",$U1416,IF($L1416&lt;&gt;"",ROUND(ABS($L1416)/IF(OR($R1416="",$R1416=0),1,$R1416),2)*SIGN($U1416),ROUND($U1416*$V1416,2))))</f>
        <v>0</v>
      </c>
      <c r="X1416" s="24" t="str">
        <f aca="false">IF($N1416="","",IFERROR(INDEX(VAT_Codes!$H:$H,MATCH($N1416,VAT_Codes!$A:$A,0)),"")&amp;"")</f>
        <v/>
      </c>
      <c r="Y1416" s="24" t="str">
        <f aca="false">IF($A1416="","",(YEAR($A1416)-YEAR(Settings!$C$8))*12+MONTH($A1416)-MONTH(Settings!$C$8)+1)</f>
        <v/>
      </c>
      <c r="Z1416" s="24" t="str">
        <f aca="false">IF(AND($C1416="",$I1416="",$J1416=""),"",IF($N1416="","NO VAT CODE",IF($T1416="","UNKNOWN VAT CODE",IF($S1416="","MISSING FX RATE",IF(OR($A1416&lt;Settings!$C$8,$A1416&gt;Settings!$C$9),"OUTSIDE PERIOD",IF(AND(IFERROR(INDEX(VAT_Codes!$E:$E,MATCH($N1416,VAT_Codes!$A:$A,0)),"ANY")&lt;&gt;"ANY",$P1416=""),"MISSING COUNTERPARTY COUNTRY",IF(AND(IFERROR(INDEX(VAT_Codes!$E:$E,MATCH($N1416,VAT_Codes!$A:$A,0)),"ANY")&lt;&gt;"ANY",$P1416&lt;&gt;IFERROR(INDEX(VAT_Codes!$E:$E,MATCH($N1416,VAT_Codes!$A:$A,0)),"ANY")),"REGION MISMATCH","OK")))))))</f>
        <v/>
      </c>
    </row>
    <row r="1417" customFormat="false" ht="15" hidden="false" customHeight="false" outlineLevel="0" collapsed="false">
      <c r="M1417" s="24" t="str">
        <f aca="false">IF($C1417="","",IFERROR(INDEX(Account_Mapping!$C:$C,MATCH($C1417&amp;"",Account_Mapping!$A:$A,0))&amp;"",""))</f>
        <v/>
      </c>
      <c r="N1417" s="24" t="str">
        <f aca="false">IF($K1417&lt;&gt;"",$K1417,$M1417)</f>
        <v/>
      </c>
      <c r="O1417" s="24" t="str">
        <f aca="false">IF($F1417="","",IFERROR(INDEX(Counterparties!$C:$C,MATCH($F1417&amp;"",Counterparties!$A:$A,0))&amp;"",""))</f>
        <v/>
      </c>
      <c r="P1417" s="24" t="str">
        <f aca="false">IF($O1417="","",IF($O1417="CY","CY",IF(ISNUMBER(MATCH($O1417,Lists!$A:$A,0)),"EU","3RD")))</f>
        <v/>
      </c>
      <c r="Q1417" s="24" t="str">
        <f aca="false">IF($F1417="","N",IFERROR(IF(INDEX(Counterparties!$E:$E,MATCH($F1417&amp;"",Counterparties!$A:$A,0))="Y","Y","N"),"N"))</f>
        <v>N</v>
      </c>
      <c r="R1417" s="25" t="n">
        <f aca="false">IF(OR($H1417="",$H1417="EUR"),1,IFERROR(INDEX(FX_Rates!$D:$D,MATCH($H1417,FX_Rates!$A:$A,0)),""))</f>
        <v>1</v>
      </c>
      <c r="S1417" s="26" t="str">
        <f aca="false">IF(AND($I1417="",$J1417=""),"",IF($J1417&lt;&gt;"",$J1417,IF(OR($R1417="",$R1417=0),"",ROUND($I1417/$R1417,2))))</f>
        <v/>
      </c>
      <c r="T1417" s="24" t="str">
        <f aca="false">IF($N1417="","",IFERROR(INDEX(VAT_Codes!$C:$C,MATCH($N1417,VAT_Codes!$A:$A,0)),"")&amp;"")</f>
        <v/>
      </c>
      <c r="U1417" s="26" t="n">
        <f aca="false">IF(OR($S1417="",$T1417="",$T1417="None"),0,IF($T1417="Output",-$S1417,$S1417))</f>
        <v>0</v>
      </c>
      <c r="V1417" s="27" t="n">
        <f aca="false">IF($N1417="",0,IFERROR(INDEX(VAT_Codes!$D:$D,MATCH($N1417,VAT_Codes!$A:$A,0)),0))</f>
        <v>0</v>
      </c>
      <c r="W1417" s="26" t="n">
        <f aca="false">IF($U1417=0,0,IF(IFERROR(INDEX(VAT_Codes!$F:$F,MATCH($N1417,VAT_Codes!$A:$A,0)),"N")="Y",$U1417,IF($L1417&lt;&gt;"",ROUND(ABS($L1417)/IF(OR($R1417="",$R1417=0),1,$R1417),2)*SIGN($U1417),ROUND($U1417*$V1417,2))))</f>
        <v>0</v>
      </c>
      <c r="X1417" s="24" t="str">
        <f aca="false">IF($N1417="","",IFERROR(INDEX(VAT_Codes!$H:$H,MATCH($N1417,VAT_Codes!$A:$A,0)),"")&amp;"")</f>
        <v/>
      </c>
      <c r="Y1417" s="24" t="str">
        <f aca="false">IF($A1417="","",(YEAR($A1417)-YEAR(Settings!$C$8))*12+MONTH($A1417)-MONTH(Settings!$C$8)+1)</f>
        <v/>
      </c>
      <c r="Z1417" s="24" t="str">
        <f aca="false">IF(AND($C1417="",$I1417="",$J1417=""),"",IF($N1417="","NO VAT CODE",IF($T1417="","UNKNOWN VAT CODE",IF($S1417="","MISSING FX RATE",IF(OR($A1417&lt;Settings!$C$8,$A1417&gt;Settings!$C$9),"OUTSIDE PERIOD",IF(AND(IFERROR(INDEX(VAT_Codes!$E:$E,MATCH($N1417,VAT_Codes!$A:$A,0)),"ANY")&lt;&gt;"ANY",$P1417=""),"MISSING COUNTERPARTY COUNTRY",IF(AND(IFERROR(INDEX(VAT_Codes!$E:$E,MATCH($N1417,VAT_Codes!$A:$A,0)),"ANY")&lt;&gt;"ANY",$P1417&lt;&gt;IFERROR(INDEX(VAT_Codes!$E:$E,MATCH($N1417,VAT_Codes!$A:$A,0)),"ANY")),"REGION MISMATCH","OK")))))))</f>
        <v/>
      </c>
    </row>
    <row r="1418" customFormat="false" ht="15" hidden="false" customHeight="false" outlineLevel="0" collapsed="false">
      <c r="M1418" s="24" t="str">
        <f aca="false">IF($C1418="","",IFERROR(INDEX(Account_Mapping!$C:$C,MATCH($C1418&amp;"",Account_Mapping!$A:$A,0))&amp;"",""))</f>
        <v/>
      </c>
      <c r="N1418" s="24" t="str">
        <f aca="false">IF($K1418&lt;&gt;"",$K1418,$M1418)</f>
        <v/>
      </c>
      <c r="O1418" s="24" t="str">
        <f aca="false">IF($F1418="","",IFERROR(INDEX(Counterparties!$C:$C,MATCH($F1418&amp;"",Counterparties!$A:$A,0))&amp;"",""))</f>
        <v/>
      </c>
      <c r="P1418" s="24" t="str">
        <f aca="false">IF($O1418="","",IF($O1418="CY","CY",IF(ISNUMBER(MATCH($O1418,Lists!$A:$A,0)),"EU","3RD")))</f>
        <v/>
      </c>
      <c r="Q1418" s="24" t="str">
        <f aca="false">IF($F1418="","N",IFERROR(IF(INDEX(Counterparties!$E:$E,MATCH($F1418&amp;"",Counterparties!$A:$A,0))="Y","Y","N"),"N"))</f>
        <v>N</v>
      </c>
      <c r="R1418" s="25" t="n">
        <f aca="false">IF(OR($H1418="",$H1418="EUR"),1,IFERROR(INDEX(FX_Rates!$D:$D,MATCH($H1418,FX_Rates!$A:$A,0)),""))</f>
        <v>1</v>
      </c>
      <c r="S1418" s="26" t="str">
        <f aca="false">IF(AND($I1418="",$J1418=""),"",IF($J1418&lt;&gt;"",$J1418,IF(OR($R1418="",$R1418=0),"",ROUND($I1418/$R1418,2))))</f>
        <v/>
      </c>
      <c r="T1418" s="24" t="str">
        <f aca="false">IF($N1418="","",IFERROR(INDEX(VAT_Codes!$C:$C,MATCH($N1418,VAT_Codes!$A:$A,0)),"")&amp;"")</f>
        <v/>
      </c>
      <c r="U1418" s="26" t="n">
        <f aca="false">IF(OR($S1418="",$T1418="",$T1418="None"),0,IF($T1418="Output",-$S1418,$S1418))</f>
        <v>0</v>
      </c>
      <c r="V1418" s="27" t="n">
        <f aca="false">IF($N1418="",0,IFERROR(INDEX(VAT_Codes!$D:$D,MATCH($N1418,VAT_Codes!$A:$A,0)),0))</f>
        <v>0</v>
      </c>
      <c r="W1418" s="26" t="n">
        <f aca="false">IF($U1418=0,0,IF(IFERROR(INDEX(VAT_Codes!$F:$F,MATCH($N1418,VAT_Codes!$A:$A,0)),"N")="Y",$U1418,IF($L1418&lt;&gt;"",ROUND(ABS($L1418)/IF(OR($R1418="",$R1418=0),1,$R1418),2)*SIGN($U1418),ROUND($U1418*$V1418,2))))</f>
        <v>0</v>
      </c>
      <c r="X1418" s="24" t="str">
        <f aca="false">IF($N1418="","",IFERROR(INDEX(VAT_Codes!$H:$H,MATCH($N1418,VAT_Codes!$A:$A,0)),"")&amp;"")</f>
        <v/>
      </c>
      <c r="Y1418" s="24" t="str">
        <f aca="false">IF($A1418="","",(YEAR($A1418)-YEAR(Settings!$C$8))*12+MONTH($A1418)-MONTH(Settings!$C$8)+1)</f>
        <v/>
      </c>
      <c r="Z1418" s="24" t="str">
        <f aca="false">IF(AND($C1418="",$I1418="",$J1418=""),"",IF($N1418="","NO VAT CODE",IF($T1418="","UNKNOWN VAT CODE",IF($S1418="","MISSING FX RATE",IF(OR($A1418&lt;Settings!$C$8,$A1418&gt;Settings!$C$9),"OUTSIDE PERIOD",IF(AND(IFERROR(INDEX(VAT_Codes!$E:$E,MATCH($N1418,VAT_Codes!$A:$A,0)),"ANY")&lt;&gt;"ANY",$P1418=""),"MISSING COUNTERPARTY COUNTRY",IF(AND(IFERROR(INDEX(VAT_Codes!$E:$E,MATCH($N1418,VAT_Codes!$A:$A,0)),"ANY")&lt;&gt;"ANY",$P1418&lt;&gt;IFERROR(INDEX(VAT_Codes!$E:$E,MATCH($N1418,VAT_Codes!$A:$A,0)),"ANY")),"REGION MISMATCH","OK")))))))</f>
        <v/>
      </c>
    </row>
    <row r="1419" customFormat="false" ht="15" hidden="false" customHeight="false" outlineLevel="0" collapsed="false">
      <c r="M1419" s="24" t="str">
        <f aca="false">IF($C1419="","",IFERROR(INDEX(Account_Mapping!$C:$C,MATCH($C1419&amp;"",Account_Mapping!$A:$A,0))&amp;"",""))</f>
        <v/>
      </c>
      <c r="N1419" s="24" t="str">
        <f aca="false">IF($K1419&lt;&gt;"",$K1419,$M1419)</f>
        <v/>
      </c>
      <c r="O1419" s="24" t="str">
        <f aca="false">IF($F1419="","",IFERROR(INDEX(Counterparties!$C:$C,MATCH($F1419&amp;"",Counterparties!$A:$A,0))&amp;"",""))</f>
        <v/>
      </c>
      <c r="P1419" s="24" t="str">
        <f aca="false">IF($O1419="","",IF($O1419="CY","CY",IF(ISNUMBER(MATCH($O1419,Lists!$A:$A,0)),"EU","3RD")))</f>
        <v/>
      </c>
      <c r="Q1419" s="24" t="str">
        <f aca="false">IF($F1419="","N",IFERROR(IF(INDEX(Counterparties!$E:$E,MATCH($F1419&amp;"",Counterparties!$A:$A,0))="Y","Y","N"),"N"))</f>
        <v>N</v>
      </c>
      <c r="R1419" s="25" t="n">
        <f aca="false">IF(OR($H1419="",$H1419="EUR"),1,IFERROR(INDEX(FX_Rates!$D:$D,MATCH($H1419,FX_Rates!$A:$A,0)),""))</f>
        <v>1</v>
      </c>
      <c r="S1419" s="26" t="str">
        <f aca="false">IF(AND($I1419="",$J1419=""),"",IF($J1419&lt;&gt;"",$J1419,IF(OR($R1419="",$R1419=0),"",ROUND($I1419/$R1419,2))))</f>
        <v/>
      </c>
      <c r="T1419" s="24" t="str">
        <f aca="false">IF($N1419="","",IFERROR(INDEX(VAT_Codes!$C:$C,MATCH($N1419,VAT_Codes!$A:$A,0)),"")&amp;"")</f>
        <v/>
      </c>
      <c r="U1419" s="26" t="n">
        <f aca="false">IF(OR($S1419="",$T1419="",$T1419="None"),0,IF($T1419="Output",-$S1419,$S1419))</f>
        <v>0</v>
      </c>
      <c r="V1419" s="27" t="n">
        <f aca="false">IF($N1419="",0,IFERROR(INDEX(VAT_Codes!$D:$D,MATCH($N1419,VAT_Codes!$A:$A,0)),0))</f>
        <v>0</v>
      </c>
      <c r="W1419" s="26" t="n">
        <f aca="false">IF($U1419=0,0,IF(IFERROR(INDEX(VAT_Codes!$F:$F,MATCH($N1419,VAT_Codes!$A:$A,0)),"N")="Y",$U1419,IF($L1419&lt;&gt;"",ROUND(ABS($L1419)/IF(OR($R1419="",$R1419=0),1,$R1419),2)*SIGN($U1419),ROUND($U1419*$V1419,2))))</f>
        <v>0</v>
      </c>
      <c r="X1419" s="24" t="str">
        <f aca="false">IF($N1419="","",IFERROR(INDEX(VAT_Codes!$H:$H,MATCH($N1419,VAT_Codes!$A:$A,0)),"")&amp;"")</f>
        <v/>
      </c>
      <c r="Y1419" s="24" t="str">
        <f aca="false">IF($A1419="","",(YEAR($A1419)-YEAR(Settings!$C$8))*12+MONTH($A1419)-MONTH(Settings!$C$8)+1)</f>
        <v/>
      </c>
      <c r="Z1419" s="24" t="str">
        <f aca="false">IF(AND($C1419="",$I1419="",$J1419=""),"",IF($N1419="","NO VAT CODE",IF($T1419="","UNKNOWN VAT CODE",IF($S1419="","MISSING FX RATE",IF(OR($A1419&lt;Settings!$C$8,$A1419&gt;Settings!$C$9),"OUTSIDE PERIOD",IF(AND(IFERROR(INDEX(VAT_Codes!$E:$E,MATCH($N1419,VAT_Codes!$A:$A,0)),"ANY")&lt;&gt;"ANY",$P1419=""),"MISSING COUNTERPARTY COUNTRY",IF(AND(IFERROR(INDEX(VAT_Codes!$E:$E,MATCH($N1419,VAT_Codes!$A:$A,0)),"ANY")&lt;&gt;"ANY",$P1419&lt;&gt;IFERROR(INDEX(VAT_Codes!$E:$E,MATCH($N1419,VAT_Codes!$A:$A,0)),"ANY")),"REGION MISMATCH","OK")))))))</f>
        <v/>
      </c>
    </row>
    <row r="1420" customFormat="false" ht="15" hidden="false" customHeight="false" outlineLevel="0" collapsed="false">
      <c r="M1420" s="24" t="str">
        <f aca="false">IF($C1420="","",IFERROR(INDEX(Account_Mapping!$C:$C,MATCH($C1420&amp;"",Account_Mapping!$A:$A,0))&amp;"",""))</f>
        <v/>
      </c>
      <c r="N1420" s="24" t="str">
        <f aca="false">IF($K1420&lt;&gt;"",$K1420,$M1420)</f>
        <v/>
      </c>
      <c r="O1420" s="24" t="str">
        <f aca="false">IF($F1420="","",IFERROR(INDEX(Counterparties!$C:$C,MATCH($F1420&amp;"",Counterparties!$A:$A,0))&amp;"",""))</f>
        <v/>
      </c>
      <c r="P1420" s="24" t="str">
        <f aca="false">IF($O1420="","",IF($O1420="CY","CY",IF(ISNUMBER(MATCH($O1420,Lists!$A:$A,0)),"EU","3RD")))</f>
        <v/>
      </c>
      <c r="Q1420" s="24" t="str">
        <f aca="false">IF($F1420="","N",IFERROR(IF(INDEX(Counterparties!$E:$E,MATCH($F1420&amp;"",Counterparties!$A:$A,0))="Y","Y","N"),"N"))</f>
        <v>N</v>
      </c>
      <c r="R1420" s="25" t="n">
        <f aca="false">IF(OR($H1420="",$H1420="EUR"),1,IFERROR(INDEX(FX_Rates!$D:$D,MATCH($H1420,FX_Rates!$A:$A,0)),""))</f>
        <v>1</v>
      </c>
      <c r="S1420" s="26" t="str">
        <f aca="false">IF(AND($I1420="",$J1420=""),"",IF($J1420&lt;&gt;"",$J1420,IF(OR($R1420="",$R1420=0),"",ROUND($I1420/$R1420,2))))</f>
        <v/>
      </c>
      <c r="T1420" s="24" t="str">
        <f aca="false">IF($N1420="","",IFERROR(INDEX(VAT_Codes!$C:$C,MATCH($N1420,VAT_Codes!$A:$A,0)),"")&amp;"")</f>
        <v/>
      </c>
      <c r="U1420" s="26" t="n">
        <f aca="false">IF(OR($S1420="",$T1420="",$T1420="None"),0,IF($T1420="Output",-$S1420,$S1420))</f>
        <v>0</v>
      </c>
      <c r="V1420" s="27" t="n">
        <f aca="false">IF($N1420="",0,IFERROR(INDEX(VAT_Codes!$D:$D,MATCH($N1420,VAT_Codes!$A:$A,0)),0))</f>
        <v>0</v>
      </c>
      <c r="W1420" s="26" t="n">
        <f aca="false">IF($U1420=0,0,IF(IFERROR(INDEX(VAT_Codes!$F:$F,MATCH($N1420,VAT_Codes!$A:$A,0)),"N")="Y",$U1420,IF($L1420&lt;&gt;"",ROUND(ABS($L1420)/IF(OR($R1420="",$R1420=0),1,$R1420),2)*SIGN($U1420),ROUND($U1420*$V1420,2))))</f>
        <v>0</v>
      </c>
      <c r="X1420" s="24" t="str">
        <f aca="false">IF($N1420="","",IFERROR(INDEX(VAT_Codes!$H:$H,MATCH($N1420,VAT_Codes!$A:$A,0)),"")&amp;"")</f>
        <v/>
      </c>
      <c r="Y1420" s="24" t="str">
        <f aca="false">IF($A1420="","",(YEAR($A1420)-YEAR(Settings!$C$8))*12+MONTH($A1420)-MONTH(Settings!$C$8)+1)</f>
        <v/>
      </c>
      <c r="Z1420" s="24" t="str">
        <f aca="false">IF(AND($C1420="",$I1420="",$J1420=""),"",IF($N1420="","NO VAT CODE",IF($T1420="","UNKNOWN VAT CODE",IF($S1420="","MISSING FX RATE",IF(OR($A1420&lt;Settings!$C$8,$A1420&gt;Settings!$C$9),"OUTSIDE PERIOD",IF(AND(IFERROR(INDEX(VAT_Codes!$E:$E,MATCH($N1420,VAT_Codes!$A:$A,0)),"ANY")&lt;&gt;"ANY",$P1420=""),"MISSING COUNTERPARTY COUNTRY",IF(AND(IFERROR(INDEX(VAT_Codes!$E:$E,MATCH($N1420,VAT_Codes!$A:$A,0)),"ANY")&lt;&gt;"ANY",$P1420&lt;&gt;IFERROR(INDEX(VAT_Codes!$E:$E,MATCH($N1420,VAT_Codes!$A:$A,0)),"ANY")),"REGION MISMATCH","OK")))))))</f>
        <v/>
      </c>
    </row>
    <row r="1421" customFormat="false" ht="15" hidden="false" customHeight="false" outlineLevel="0" collapsed="false">
      <c r="M1421" s="24" t="str">
        <f aca="false">IF($C1421="","",IFERROR(INDEX(Account_Mapping!$C:$C,MATCH($C1421&amp;"",Account_Mapping!$A:$A,0))&amp;"",""))</f>
        <v/>
      </c>
      <c r="N1421" s="24" t="str">
        <f aca="false">IF($K1421&lt;&gt;"",$K1421,$M1421)</f>
        <v/>
      </c>
      <c r="O1421" s="24" t="str">
        <f aca="false">IF($F1421="","",IFERROR(INDEX(Counterparties!$C:$C,MATCH($F1421&amp;"",Counterparties!$A:$A,0))&amp;"",""))</f>
        <v/>
      </c>
      <c r="P1421" s="24" t="str">
        <f aca="false">IF($O1421="","",IF($O1421="CY","CY",IF(ISNUMBER(MATCH($O1421,Lists!$A:$A,0)),"EU","3RD")))</f>
        <v/>
      </c>
      <c r="Q1421" s="24" t="str">
        <f aca="false">IF($F1421="","N",IFERROR(IF(INDEX(Counterparties!$E:$E,MATCH($F1421&amp;"",Counterparties!$A:$A,0))="Y","Y","N"),"N"))</f>
        <v>N</v>
      </c>
      <c r="R1421" s="25" t="n">
        <f aca="false">IF(OR($H1421="",$H1421="EUR"),1,IFERROR(INDEX(FX_Rates!$D:$D,MATCH($H1421,FX_Rates!$A:$A,0)),""))</f>
        <v>1</v>
      </c>
      <c r="S1421" s="26" t="str">
        <f aca="false">IF(AND($I1421="",$J1421=""),"",IF($J1421&lt;&gt;"",$J1421,IF(OR($R1421="",$R1421=0),"",ROUND($I1421/$R1421,2))))</f>
        <v/>
      </c>
      <c r="T1421" s="24" t="str">
        <f aca="false">IF($N1421="","",IFERROR(INDEX(VAT_Codes!$C:$C,MATCH($N1421,VAT_Codes!$A:$A,0)),"")&amp;"")</f>
        <v/>
      </c>
      <c r="U1421" s="26" t="n">
        <f aca="false">IF(OR($S1421="",$T1421="",$T1421="None"),0,IF($T1421="Output",-$S1421,$S1421))</f>
        <v>0</v>
      </c>
      <c r="V1421" s="27" t="n">
        <f aca="false">IF($N1421="",0,IFERROR(INDEX(VAT_Codes!$D:$D,MATCH($N1421,VAT_Codes!$A:$A,0)),0))</f>
        <v>0</v>
      </c>
      <c r="W1421" s="26" t="n">
        <f aca="false">IF($U1421=0,0,IF(IFERROR(INDEX(VAT_Codes!$F:$F,MATCH($N1421,VAT_Codes!$A:$A,0)),"N")="Y",$U1421,IF($L1421&lt;&gt;"",ROUND(ABS($L1421)/IF(OR($R1421="",$R1421=0),1,$R1421),2)*SIGN($U1421),ROUND($U1421*$V1421,2))))</f>
        <v>0</v>
      </c>
      <c r="X1421" s="24" t="str">
        <f aca="false">IF($N1421="","",IFERROR(INDEX(VAT_Codes!$H:$H,MATCH($N1421,VAT_Codes!$A:$A,0)),"")&amp;"")</f>
        <v/>
      </c>
      <c r="Y1421" s="24" t="str">
        <f aca="false">IF($A1421="","",(YEAR($A1421)-YEAR(Settings!$C$8))*12+MONTH($A1421)-MONTH(Settings!$C$8)+1)</f>
        <v/>
      </c>
      <c r="Z1421" s="24" t="str">
        <f aca="false">IF(AND($C1421="",$I1421="",$J1421=""),"",IF($N1421="","NO VAT CODE",IF($T1421="","UNKNOWN VAT CODE",IF($S1421="","MISSING FX RATE",IF(OR($A1421&lt;Settings!$C$8,$A1421&gt;Settings!$C$9),"OUTSIDE PERIOD",IF(AND(IFERROR(INDEX(VAT_Codes!$E:$E,MATCH($N1421,VAT_Codes!$A:$A,0)),"ANY")&lt;&gt;"ANY",$P1421=""),"MISSING COUNTERPARTY COUNTRY",IF(AND(IFERROR(INDEX(VAT_Codes!$E:$E,MATCH($N1421,VAT_Codes!$A:$A,0)),"ANY")&lt;&gt;"ANY",$P1421&lt;&gt;IFERROR(INDEX(VAT_Codes!$E:$E,MATCH($N1421,VAT_Codes!$A:$A,0)),"ANY")),"REGION MISMATCH","OK")))))))</f>
        <v/>
      </c>
    </row>
    <row r="1422" customFormat="false" ht="15" hidden="false" customHeight="false" outlineLevel="0" collapsed="false">
      <c r="M1422" s="24" t="str">
        <f aca="false">IF($C1422="","",IFERROR(INDEX(Account_Mapping!$C:$C,MATCH($C1422&amp;"",Account_Mapping!$A:$A,0))&amp;"",""))</f>
        <v/>
      </c>
      <c r="N1422" s="24" t="str">
        <f aca="false">IF($K1422&lt;&gt;"",$K1422,$M1422)</f>
        <v/>
      </c>
      <c r="O1422" s="24" t="str">
        <f aca="false">IF($F1422="","",IFERROR(INDEX(Counterparties!$C:$C,MATCH($F1422&amp;"",Counterparties!$A:$A,0))&amp;"",""))</f>
        <v/>
      </c>
      <c r="P1422" s="24" t="str">
        <f aca="false">IF($O1422="","",IF($O1422="CY","CY",IF(ISNUMBER(MATCH($O1422,Lists!$A:$A,0)),"EU","3RD")))</f>
        <v/>
      </c>
      <c r="Q1422" s="24" t="str">
        <f aca="false">IF($F1422="","N",IFERROR(IF(INDEX(Counterparties!$E:$E,MATCH($F1422&amp;"",Counterparties!$A:$A,0))="Y","Y","N"),"N"))</f>
        <v>N</v>
      </c>
      <c r="R1422" s="25" t="n">
        <f aca="false">IF(OR($H1422="",$H1422="EUR"),1,IFERROR(INDEX(FX_Rates!$D:$D,MATCH($H1422,FX_Rates!$A:$A,0)),""))</f>
        <v>1</v>
      </c>
      <c r="S1422" s="26" t="str">
        <f aca="false">IF(AND($I1422="",$J1422=""),"",IF($J1422&lt;&gt;"",$J1422,IF(OR($R1422="",$R1422=0),"",ROUND($I1422/$R1422,2))))</f>
        <v/>
      </c>
      <c r="T1422" s="24" t="str">
        <f aca="false">IF($N1422="","",IFERROR(INDEX(VAT_Codes!$C:$C,MATCH($N1422,VAT_Codes!$A:$A,0)),"")&amp;"")</f>
        <v/>
      </c>
      <c r="U1422" s="26" t="n">
        <f aca="false">IF(OR($S1422="",$T1422="",$T1422="None"),0,IF($T1422="Output",-$S1422,$S1422))</f>
        <v>0</v>
      </c>
      <c r="V1422" s="27" t="n">
        <f aca="false">IF($N1422="",0,IFERROR(INDEX(VAT_Codes!$D:$D,MATCH($N1422,VAT_Codes!$A:$A,0)),0))</f>
        <v>0</v>
      </c>
      <c r="W1422" s="26" t="n">
        <f aca="false">IF($U1422=0,0,IF(IFERROR(INDEX(VAT_Codes!$F:$F,MATCH($N1422,VAT_Codes!$A:$A,0)),"N")="Y",$U1422,IF($L1422&lt;&gt;"",ROUND(ABS($L1422)/IF(OR($R1422="",$R1422=0),1,$R1422),2)*SIGN($U1422),ROUND($U1422*$V1422,2))))</f>
        <v>0</v>
      </c>
      <c r="X1422" s="24" t="str">
        <f aca="false">IF($N1422="","",IFERROR(INDEX(VAT_Codes!$H:$H,MATCH($N1422,VAT_Codes!$A:$A,0)),"")&amp;"")</f>
        <v/>
      </c>
      <c r="Y1422" s="24" t="str">
        <f aca="false">IF($A1422="","",(YEAR($A1422)-YEAR(Settings!$C$8))*12+MONTH($A1422)-MONTH(Settings!$C$8)+1)</f>
        <v/>
      </c>
      <c r="Z1422" s="24" t="str">
        <f aca="false">IF(AND($C1422="",$I1422="",$J1422=""),"",IF($N1422="","NO VAT CODE",IF($T1422="","UNKNOWN VAT CODE",IF($S1422="","MISSING FX RATE",IF(OR($A1422&lt;Settings!$C$8,$A1422&gt;Settings!$C$9),"OUTSIDE PERIOD",IF(AND(IFERROR(INDEX(VAT_Codes!$E:$E,MATCH($N1422,VAT_Codes!$A:$A,0)),"ANY")&lt;&gt;"ANY",$P1422=""),"MISSING COUNTERPARTY COUNTRY",IF(AND(IFERROR(INDEX(VAT_Codes!$E:$E,MATCH($N1422,VAT_Codes!$A:$A,0)),"ANY")&lt;&gt;"ANY",$P1422&lt;&gt;IFERROR(INDEX(VAT_Codes!$E:$E,MATCH($N1422,VAT_Codes!$A:$A,0)),"ANY")),"REGION MISMATCH","OK")))))))</f>
        <v/>
      </c>
    </row>
    <row r="1423" customFormat="false" ht="15" hidden="false" customHeight="false" outlineLevel="0" collapsed="false">
      <c r="M1423" s="24" t="str">
        <f aca="false">IF($C1423="","",IFERROR(INDEX(Account_Mapping!$C:$C,MATCH($C1423&amp;"",Account_Mapping!$A:$A,0))&amp;"",""))</f>
        <v/>
      </c>
      <c r="N1423" s="24" t="str">
        <f aca="false">IF($K1423&lt;&gt;"",$K1423,$M1423)</f>
        <v/>
      </c>
      <c r="O1423" s="24" t="str">
        <f aca="false">IF($F1423="","",IFERROR(INDEX(Counterparties!$C:$C,MATCH($F1423&amp;"",Counterparties!$A:$A,0))&amp;"",""))</f>
        <v/>
      </c>
      <c r="P1423" s="24" t="str">
        <f aca="false">IF($O1423="","",IF($O1423="CY","CY",IF(ISNUMBER(MATCH($O1423,Lists!$A:$A,0)),"EU","3RD")))</f>
        <v/>
      </c>
      <c r="Q1423" s="24" t="str">
        <f aca="false">IF($F1423="","N",IFERROR(IF(INDEX(Counterparties!$E:$E,MATCH($F1423&amp;"",Counterparties!$A:$A,0))="Y","Y","N"),"N"))</f>
        <v>N</v>
      </c>
      <c r="R1423" s="25" t="n">
        <f aca="false">IF(OR($H1423="",$H1423="EUR"),1,IFERROR(INDEX(FX_Rates!$D:$D,MATCH($H1423,FX_Rates!$A:$A,0)),""))</f>
        <v>1</v>
      </c>
      <c r="S1423" s="26" t="str">
        <f aca="false">IF(AND($I1423="",$J1423=""),"",IF($J1423&lt;&gt;"",$J1423,IF(OR($R1423="",$R1423=0),"",ROUND($I1423/$R1423,2))))</f>
        <v/>
      </c>
      <c r="T1423" s="24" t="str">
        <f aca="false">IF($N1423="","",IFERROR(INDEX(VAT_Codes!$C:$C,MATCH($N1423,VAT_Codes!$A:$A,0)),"")&amp;"")</f>
        <v/>
      </c>
      <c r="U1423" s="26" t="n">
        <f aca="false">IF(OR($S1423="",$T1423="",$T1423="None"),0,IF($T1423="Output",-$S1423,$S1423))</f>
        <v>0</v>
      </c>
      <c r="V1423" s="27" t="n">
        <f aca="false">IF($N1423="",0,IFERROR(INDEX(VAT_Codes!$D:$D,MATCH($N1423,VAT_Codes!$A:$A,0)),0))</f>
        <v>0</v>
      </c>
      <c r="W1423" s="26" t="n">
        <f aca="false">IF($U1423=0,0,IF(IFERROR(INDEX(VAT_Codes!$F:$F,MATCH($N1423,VAT_Codes!$A:$A,0)),"N")="Y",$U1423,IF($L1423&lt;&gt;"",ROUND(ABS($L1423)/IF(OR($R1423="",$R1423=0),1,$R1423),2)*SIGN($U1423),ROUND($U1423*$V1423,2))))</f>
        <v>0</v>
      </c>
      <c r="X1423" s="24" t="str">
        <f aca="false">IF($N1423="","",IFERROR(INDEX(VAT_Codes!$H:$H,MATCH($N1423,VAT_Codes!$A:$A,0)),"")&amp;"")</f>
        <v/>
      </c>
      <c r="Y1423" s="24" t="str">
        <f aca="false">IF($A1423="","",(YEAR($A1423)-YEAR(Settings!$C$8))*12+MONTH($A1423)-MONTH(Settings!$C$8)+1)</f>
        <v/>
      </c>
      <c r="Z1423" s="24" t="str">
        <f aca="false">IF(AND($C1423="",$I1423="",$J1423=""),"",IF($N1423="","NO VAT CODE",IF($T1423="","UNKNOWN VAT CODE",IF($S1423="","MISSING FX RATE",IF(OR($A1423&lt;Settings!$C$8,$A1423&gt;Settings!$C$9),"OUTSIDE PERIOD",IF(AND(IFERROR(INDEX(VAT_Codes!$E:$E,MATCH($N1423,VAT_Codes!$A:$A,0)),"ANY")&lt;&gt;"ANY",$P1423=""),"MISSING COUNTERPARTY COUNTRY",IF(AND(IFERROR(INDEX(VAT_Codes!$E:$E,MATCH($N1423,VAT_Codes!$A:$A,0)),"ANY")&lt;&gt;"ANY",$P1423&lt;&gt;IFERROR(INDEX(VAT_Codes!$E:$E,MATCH($N1423,VAT_Codes!$A:$A,0)),"ANY")),"REGION MISMATCH","OK")))))))</f>
        <v/>
      </c>
    </row>
    <row r="1424" customFormat="false" ht="15" hidden="false" customHeight="false" outlineLevel="0" collapsed="false">
      <c r="M1424" s="24" t="str">
        <f aca="false">IF($C1424="","",IFERROR(INDEX(Account_Mapping!$C:$C,MATCH($C1424&amp;"",Account_Mapping!$A:$A,0))&amp;"",""))</f>
        <v/>
      </c>
      <c r="N1424" s="24" t="str">
        <f aca="false">IF($K1424&lt;&gt;"",$K1424,$M1424)</f>
        <v/>
      </c>
      <c r="O1424" s="24" t="str">
        <f aca="false">IF($F1424="","",IFERROR(INDEX(Counterparties!$C:$C,MATCH($F1424&amp;"",Counterparties!$A:$A,0))&amp;"",""))</f>
        <v/>
      </c>
      <c r="P1424" s="24" t="str">
        <f aca="false">IF($O1424="","",IF($O1424="CY","CY",IF(ISNUMBER(MATCH($O1424,Lists!$A:$A,0)),"EU","3RD")))</f>
        <v/>
      </c>
      <c r="Q1424" s="24" t="str">
        <f aca="false">IF($F1424="","N",IFERROR(IF(INDEX(Counterparties!$E:$E,MATCH($F1424&amp;"",Counterparties!$A:$A,0))="Y","Y","N"),"N"))</f>
        <v>N</v>
      </c>
      <c r="R1424" s="25" t="n">
        <f aca="false">IF(OR($H1424="",$H1424="EUR"),1,IFERROR(INDEX(FX_Rates!$D:$D,MATCH($H1424,FX_Rates!$A:$A,0)),""))</f>
        <v>1</v>
      </c>
      <c r="S1424" s="26" t="str">
        <f aca="false">IF(AND($I1424="",$J1424=""),"",IF($J1424&lt;&gt;"",$J1424,IF(OR($R1424="",$R1424=0),"",ROUND($I1424/$R1424,2))))</f>
        <v/>
      </c>
      <c r="T1424" s="24" t="str">
        <f aca="false">IF($N1424="","",IFERROR(INDEX(VAT_Codes!$C:$C,MATCH($N1424,VAT_Codes!$A:$A,0)),"")&amp;"")</f>
        <v/>
      </c>
      <c r="U1424" s="26" t="n">
        <f aca="false">IF(OR($S1424="",$T1424="",$T1424="None"),0,IF($T1424="Output",-$S1424,$S1424))</f>
        <v>0</v>
      </c>
      <c r="V1424" s="27" t="n">
        <f aca="false">IF($N1424="",0,IFERROR(INDEX(VAT_Codes!$D:$D,MATCH($N1424,VAT_Codes!$A:$A,0)),0))</f>
        <v>0</v>
      </c>
      <c r="W1424" s="26" t="n">
        <f aca="false">IF($U1424=0,0,IF(IFERROR(INDEX(VAT_Codes!$F:$F,MATCH($N1424,VAT_Codes!$A:$A,0)),"N")="Y",$U1424,IF($L1424&lt;&gt;"",ROUND(ABS($L1424)/IF(OR($R1424="",$R1424=0),1,$R1424),2)*SIGN($U1424),ROUND($U1424*$V1424,2))))</f>
        <v>0</v>
      </c>
      <c r="X1424" s="24" t="str">
        <f aca="false">IF($N1424="","",IFERROR(INDEX(VAT_Codes!$H:$H,MATCH($N1424,VAT_Codes!$A:$A,0)),"")&amp;"")</f>
        <v/>
      </c>
      <c r="Y1424" s="24" t="str">
        <f aca="false">IF($A1424="","",(YEAR($A1424)-YEAR(Settings!$C$8))*12+MONTH($A1424)-MONTH(Settings!$C$8)+1)</f>
        <v/>
      </c>
      <c r="Z1424" s="24" t="str">
        <f aca="false">IF(AND($C1424="",$I1424="",$J1424=""),"",IF($N1424="","NO VAT CODE",IF($T1424="","UNKNOWN VAT CODE",IF($S1424="","MISSING FX RATE",IF(OR($A1424&lt;Settings!$C$8,$A1424&gt;Settings!$C$9),"OUTSIDE PERIOD",IF(AND(IFERROR(INDEX(VAT_Codes!$E:$E,MATCH($N1424,VAT_Codes!$A:$A,0)),"ANY")&lt;&gt;"ANY",$P1424=""),"MISSING COUNTERPARTY COUNTRY",IF(AND(IFERROR(INDEX(VAT_Codes!$E:$E,MATCH($N1424,VAT_Codes!$A:$A,0)),"ANY")&lt;&gt;"ANY",$P1424&lt;&gt;IFERROR(INDEX(VAT_Codes!$E:$E,MATCH($N1424,VAT_Codes!$A:$A,0)),"ANY")),"REGION MISMATCH","OK")))))))</f>
        <v/>
      </c>
    </row>
    <row r="1425" customFormat="false" ht="15" hidden="false" customHeight="false" outlineLevel="0" collapsed="false">
      <c r="M1425" s="24" t="str">
        <f aca="false">IF($C1425="","",IFERROR(INDEX(Account_Mapping!$C:$C,MATCH($C1425&amp;"",Account_Mapping!$A:$A,0))&amp;"",""))</f>
        <v/>
      </c>
      <c r="N1425" s="24" t="str">
        <f aca="false">IF($K1425&lt;&gt;"",$K1425,$M1425)</f>
        <v/>
      </c>
      <c r="O1425" s="24" t="str">
        <f aca="false">IF($F1425="","",IFERROR(INDEX(Counterparties!$C:$C,MATCH($F1425&amp;"",Counterparties!$A:$A,0))&amp;"",""))</f>
        <v/>
      </c>
      <c r="P1425" s="24" t="str">
        <f aca="false">IF($O1425="","",IF($O1425="CY","CY",IF(ISNUMBER(MATCH($O1425,Lists!$A:$A,0)),"EU","3RD")))</f>
        <v/>
      </c>
      <c r="Q1425" s="24" t="str">
        <f aca="false">IF($F1425="","N",IFERROR(IF(INDEX(Counterparties!$E:$E,MATCH($F1425&amp;"",Counterparties!$A:$A,0))="Y","Y","N"),"N"))</f>
        <v>N</v>
      </c>
      <c r="R1425" s="25" t="n">
        <f aca="false">IF(OR($H1425="",$H1425="EUR"),1,IFERROR(INDEX(FX_Rates!$D:$D,MATCH($H1425,FX_Rates!$A:$A,0)),""))</f>
        <v>1</v>
      </c>
      <c r="S1425" s="26" t="str">
        <f aca="false">IF(AND($I1425="",$J1425=""),"",IF($J1425&lt;&gt;"",$J1425,IF(OR($R1425="",$R1425=0),"",ROUND($I1425/$R1425,2))))</f>
        <v/>
      </c>
      <c r="T1425" s="24" t="str">
        <f aca="false">IF($N1425="","",IFERROR(INDEX(VAT_Codes!$C:$C,MATCH($N1425,VAT_Codes!$A:$A,0)),"")&amp;"")</f>
        <v/>
      </c>
      <c r="U1425" s="26" t="n">
        <f aca="false">IF(OR($S1425="",$T1425="",$T1425="None"),0,IF($T1425="Output",-$S1425,$S1425))</f>
        <v>0</v>
      </c>
      <c r="V1425" s="27" t="n">
        <f aca="false">IF($N1425="",0,IFERROR(INDEX(VAT_Codes!$D:$D,MATCH($N1425,VAT_Codes!$A:$A,0)),0))</f>
        <v>0</v>
      </c>
      <c r="W1425" s="26" t="n">
        <f aca="false">IF($U1425=0,0,IF(IFERROR(INDEX(VAT_Codes!$F:$F,MATCH($N1425,VAT_Codes!$A:$A,0)),"N")="Y",$U1425,IF($L1425&lt;&gt;"",ROUND(ABS($L1425)/IF(OR($R1425="",$R1425=0),1,$R1425),2)*SIGN($U1425),ROUND($U1425*$V1425,2))))</f>
        <v>0</v>
      </c>
      <c r="X1425" s="24" t="str">
        <f aca="false">IF($N1425="","",IFERROR(INDEX(VAT_Codes!$H:$H,MATCH($N1425,VAT_Codes!$A:$A,0)),"")&amp;"")</f>
        <v/>
      </c>
      <c r="Y1425" s="24" t="str">
        <f aca="false">IF($A1425="","",(YEAR($A1425)-YEAR(Settings!$C$8))*12+MONTH($A1425)-MONTH(Settings!$C$8)+1)</f>
        <v/>
      </c>
      <c r="Z1425" s="24" t="str">
        <f aca="false">IF(AND($C1425="",$I1425="",$J1425=""),"",IF($N1425="","NO VAT CODE",IF($T1425="","UNKNOWN VAT CODE",IF($S1425="","MISSING FX RATE",IF(OR($A1425&lt;Settings!$C$8,$A1425&gt;Settings!$C$9),"OUTSIDE PERIOD",IF(AND(IFERROR(INDEX(VAT_Codes!$E:$E,MATCH($N1425,VAT_Codes!$A:$A,0)),"ANY")&lt;&gt;"ANY",$P1425=""),"MISSING COUNTERPARTY COUNTRY",IF(AND(IFERROR(INDEX(VAT_Codes!$E:$E,MATCH($N1425,VAT_Codes!$A:$A,0)),"ANY")&lt;&gt;"ANY",$P1425&lt;&gt;IFERROR(INDEX(VAT_Codes!$E:$E,MATCH($N1425,VAT_Codes!$A:$A,0)),"ANY")),"REGION MISMATCH","OK")))))))</f>
        <v/>
      </c>
    </row>
    <row r="1426" customFormat="false" ht="15" hidden="false" customHeight="false" outlineLevel="0" collapsed="false">
      <c r="M1426" s="24" t="str">
        <f aca="false">IF($C1426="","",IFERROR(INDEX(Account_Mapping!$C:$C,MATCH($C1426&amp;"",Account_Mapping!$A:$A,0))&amp;"",""))</f>
        <v/>
      </c>
      <c r="N1426" s="24" t="str">
        <f aca="false">IF($K1426&lt;&gt;"",$K1426,$M1426)</f>
        <v/>
      </c>
      <c r="O1426" s="24" t="str">
        <f aca="false">IF($F1426="","",IFERROR(INDEX(Counterparties!$C:$C,MATCH($F1426&amp;"",Counterparties!$A:$A,0))&amp;"",""))</f>
        <v/>
      </c>
      <c r="P1426" s="24" t="str">
        <f aca="false">IF($O1426="","",IF($O1426="CY","CY",IF(ISNUMBER(MATCH($O1426,Lists!$A:$A,0)),"EU","3RD")))</f>
        <v/>
      </c>
      <c r="Q1426" s="24" t="str">
        <f aca="false">IF($F1426="","N",IFERROR(IF(INDEX(Counterparties!$E:$E,MATCH($F1426&amp;"",Counterparties!$A:$A,0))="Y","Y","N"),"N"))</f>
        <v>N</v>
      </c>
      <c r="R1426" s="25" t="n">
        <f aca="false">IF(OR($H1426="",$H1426="EUR"),1,IFERROR(INDEX(FX_Rates!$D:$D,MATCH($H1426,FX_Rates!$A:$A,0)),""))</f>
        <v>1</v>
      </c>
      <c r="S1426" s="26" t="str">
        <f aca="false">IF(AND($I1426="",$J1426=""),"",IF($J1426&lt;&gt;"",$J1426,IF(OR($R1426="",$R1426=0),"",ROUND($I1426/$R1426,2))))</f>
        <v/>
      </c>
      <c r="T1426" s="24" t="str">
        <f aca="false">IF($N1426="","",IFERROR(INDEX(VAT_Codes!$C:$C,MATCH($N1426,VAT_Codes!$A:$A,0)),"")&amp;"")</f>
        <v/>
      </c>
      <c r="U1426" s="26" t="n">
        <f aca="false">IF(OR($S1426="",$T1426="",$T1426="None"),0,IF($T1426="Output",-$S1426,$S1426))</f>
        <v>0</v>
      </c>
      <c r="V1426" s="27" t="n">
        <f aca="false">IF($N1426="",0,IFERROR(INDEX(VAT_Codes!$D:$D,MATCH($N1426,VAT_Codes!$A:$A,0)),0))</f>
        <v>0</v>
      </c>
      <c r="W1426" s="26" t="n">
        <f aca="false">IF($U1426=0,0,IF(IFERROR(INDEX(VAT_Codes!$F:$F,MATCH($N1426,VAT_Codes!$A:$A,0)),"N")="Y",$U1426,IF($L1426&lt;&gt;"",ROUND(ABS($L1426)/IF(OR($R1426="",$R1426=0),1,$R1426),2)*SIGN($U1426),ROUND($U1426*$V1426,2))))</f>
        <v>0</v>
      </c>
      <c r="X1426" s="24" t="str">
        <f aca="false">IF($N1426="","",IFERROR(INDEX(VAT_Codes!$H:$H,MATCH($N1426,VAT_Codes!$A:$A,0)),"")&amp;"")</f>
        <v/>
      </c>
      <c r="Y1426" s="24" t="str">
        <f aca="false">IF($A1426="","",(YEAR($A1426)-YEAR(Settings!$C$8))*12+MONTH($A1426)-MONTH(Settings!$C$8)+1)</f>
        <v/>
      </c>
      <c r="Z1426" s="24" t="str">
        <f aca="false">IF(AND($C1426="",$I1426="",$J1426=""),"",IF($N1426="","NO VAT CODE",IF($T1426="","UNKNOWN VAT CODE",IF($S1426="","MISSING FX RATE",IF(OR($A1426&lt;Settings!$C$8,$A1426&gt;Settings!$C$9),"OUTSIDE PERIOD",IF(AND(IFERROR(INDEX(VAT_Codes!$E:$E,MATCH($N1426,VAT_Codes!$A:$A,0)),"ANY")&lt;&gt;"ANY",$P1426=""),"MISSING COUNTERPARTY COUNTRY",IF(AND(IFERROR(INDEX(VAT_Codes!$E:$E,MATCH($N1426,VAT_Codes!$A:$A,0)),"ANY")&lt;&gt;"ANY",$P1426&lt;&gt;IFERROR(INDEX(VAT_Codes!$E:$E,MATCH($N1426,VAT_Codes!$A:$A,0)),"ANY")),"REGION MISMATCH","OK")))))))</f>
        <v/>
      </c>
    </row>
    <row r="1427" customFormat="false" ht="15" hidden="false" customHeight="false" outlineLevel="0" collapsed="false">
      <c r="M1427" s="24" t="str">
        <f aca="false">IF($C1427="","",IFERROR(INDEX(Account_Mapping!$C:$C,MATCH($C1427&amp;"",Account_Mapping!$A:$A,0))&amp;"",""))</f>
        <v/>
      </c>
      <c r="N1427" s="24" t="str">
        <f aca="false">IF($K1427&lt;&gt;"",$K1427,$M1427)</f>
        <v/>
      </c>
      <c r="O1427" s="24" t="str">
        <f aca="false">IF($F1427="","",IFERROR(INDEX(Counterparties!$C:$C,MATCH($F1427&amp;"",Counterparties!$A:$A,0))&amp;"",""))</f>
        <v/>
      </c>
      <c r="P1427" s="24" t="str">
        <f aca="false">IF($O1427="","",IF($O1427="CY","CY",IF(ISNUMBER(MATCH($O1427,Lists!$A:$A,0)),"EU","3RD")))</f>
        <v/>
      </c>
      <c r="Q1427" s="24" t="str">
        <f aca="false">IF($F1427="","N",IFERROR(IF(INDEX(Counterparties!$E:$E,MATCH($F1427&amp;"",Counterparties!$A:$A,0))="Y","Y","N"),"N"))</f>
        <v>N</v>
      </c>
      <c r="R1427" s="25" t="n">
        <f aca="false">IF(OR($H1427="",$H1427="EUR"),1,IFERROR(INDEX(FX_Rates!$D:$D,MATCH($H1427,FX_Rates!$A:$A,0)),""))</f>
        <v>1</v>
      </c>
      <c r="S1427" s="26" t="str">
        <f aca="false">IF(AND($I1427="",$J1427=""),"",IF($J1427&lt;&gt;"",$J1427,IF(OR($R1427="",$R1427=0),"",ROUND($I1427/$R1427,2))))</f>
        <v/>
      </c>
      <c r="T1427" s="24" t="str">
        <f aca="false">IF($N1427="","",IFERROR(INDEX(VAT_Codes!$C:$C,MATCH($N1427,VAT_Codes!$A:$A,0)),"")&amp;"")</f>
        <v/>
      </c>
      <c r="U1427" s="26" t="n">
        <f aca="false">IF(OR($S1427="",$T1427="",$T1427="None"),0,IF($T1427="Output",-$S1427,$S1427))</f>
        <v>0</v>
      </c>
      <c r="V1427" s="27" t="n">
        <f aca="false">IF($N1427="",0,IFERROR(INDEX(VAT_Codes!$D:$D,MATCH($N1427,VAT_Codes!$A:$A,0)),0))</f>
        <v>0</v>
      </c>
      <c r="W1427" s="26" t="n">
        <f aca="false">IF($U1427=0,0,IF(IFERROR(INDEX(VAT_Codes!$F:$F,MATCH($N1427,VAT_Codes!$A:$A,0)),"N")="Y",$U1427,IF($L1427&lt;&gt;"",ROUND(ABS($L1427)/IF(OR($R1427="",$R1427=0),1,$R1427),2)*SIGN($U1427),ROUND($U1427*$V1427,2))))</f>
        <v>0</v>
      </c>
      <c r="X1427" s="24" t="str">
        <f aca="false">IF($N1427="","",IFERROR(INDEX(VAT_Codes!$H:$H,MATCH($N1427,VAT_Codes!$A:$A,0)),"")&amp;"")</f>
        <v/>
      </c>
      <c r="Y1427" s="24" t="str">
        <f aca="false">IF($A1427="","",(YEAR($A1427)-YEAR(Settings!$C$8))*12+MONTH($A1427)-MONTH(Settings!$C$8)+1)</f>
        <v/>
      </c>
      <c r="Z1427" s="24" t="str">
        <f aca="false">IF(AND($C1427="",$I1427="",$J1427=""),"",IF($N1427="","NO VAT CODE",IF($T1427="","UNKNOWN VAT CODE",IF($S1427="","MISSING FX RATE",IF(OR($A1427&lt;Settings!$C$8,$A1427&gt;Settings!$C$9),"OUTSIDE PERIOD",IF(AND(IFERROR(INDEX(VAT_Codes!$E:$E,MATCH($N1427,VAT_Codes!$A:$A,0)),"ANY")&lt;&gt;"ANY",$P1427=""),"MISSING COUNTERPARTY COUNTRY",IF(AND(IFERROR(INDEX(VAT_Codes!$E:$E,MATCH($N1427,VAT_Codes!$A:$A,0)),"ANY")&lt;&gt;"ANY",$P1427&lt;&gt;IFERROR(INDEX(VAT_Codes!$E:$E,MATCH($N1427,VAT_Codes!$A:$A,0)),"ANY")),"REGION MISMATCH","OK")))))))</f>
        <v/>
      </c>
    </row>
    <row r="1428" customFormat="false" ht="15" hidden="false" customHeight="false" outlineLevel="0" collapsed="false">
      <c r="M1428" s="24" t="str">
        <f aca="false">IF($C1428="","",IFERROR(INDEX(Account_Mapping!$C:$C,MATCH($C1428&amp;"",Account_Mapping!$A:$A,0))&amp;"",""))</f>
        <v/>
      </c>
      <c r="N1428" s="24" t="str">
        <f aca="false">IF($K1428&lt;&gt;"",$K1428,$M1428)</f>
        <v/>
      </c>
      <c r="O1428" s="24" t="str">
        <f aca="false">IF($F1428="","",IFERROR(INDEX(Counterparties!$C:$C,MATCH($F1428&amp;"",Counterparties!$A:$A,0))&amp;"",""))</f>
        <v/>
      </c>
      <c r="P1428" s="24" t="str">
        <f aca="false">IF($O1428="","",IF($O1428="CY","CY",IF(ISNUMBER(MATCH($O1428,Lists!$A:$A,0)),"EU","3RD")))</f>
        <v/>
      </c>
      <c r="Q1428" s="24" t="str">
        <f aca="false">IF($F1428="","N",IFERROR(IF(INDEX(Counterparties!$E:$E,MATCH($F1428&amp;"",Counterparties!$A:$A,0))="Y","Y","N"),"N"))</f>
        <v>N</v>
      </c>
      <c r="R1428" s="25" t="n">
        <f aca="false">IF(OR($H1428="",$H1428="EUR"),1,IFERROR(INDEX(FX_Rates!$D:$D,MATCH($H1428,FX_Rates!$A:$A,0)),""))</f>
        <v>1</v>
      </c>
      <c r="S1428" s="26" t="str">
        <f aca="false">IF(AND($I1428="",$J1428=""),"",IF($J1428&lt;&gt;"",$J1428,IF(OR($R1428="",$R1428=0),"",ROUND($I1428/$R1428,2))))</f>
        <v/>
      </c>
      <c r="T1428" s="24" t="str">
        <f aca="false">IF($N1428="","",IFERROR(INDEX(VAT_Codes!$C:$C,MATCH($N1428,VAT_Codes!$A:$A,0)),"")&amp;"")</f>
        <v/>
      </c>
      <c r="U1428" s="26" t="n">
        <f aca="false">IF(OR($S1428="",$T1428="",$T1428="None"),0,IF($T1428="Output",-$S1428,$S1428))</f>
        <v>0</v>
      </c>
      <c r="V1428" s="27" t="n">
        <f aca="false">IF($N1428="",0,IFERROR(INDEX(VAT_Codes!$D:$D,MATCH($N1428,VAT_Codes!$A:$A,0)),0))</f>
        <v>0</v>
      </c>
      <c r="W1428" s="26" t="n">
        <f aca="false">IF($U1428=0,0,IF(IFERROR(INDEX(VAT_Codes!$F:$F,MATCH($N1428,VAT_Codes!$A:$A,0)),"N")="Y",$U1428,IF($L1428&lt;&gt;"",ROUND(ABS($L1428)/IF(OR($R1428="",$R1428=0),1,$R1428),2)*SIGN($U1428),ROUND($U1428*$V1428,2))))</f>
        <v>0</v>
      </c>
      <c r="X1428" s="24" t="str">
        <f aca="false">IF($N1428="","",IFERROR(INDEX(VAT_Codes!$H:$H,MATCH($N1428,VAT_Codes!$A:$A,0)),"")&amp;"")</f>
        <v/>
      </c>
      <c r="Y1428" s="24" t="str">
        <f aca="false">IF($A1428="","",(YEAR($A1428)-YEAR(Settings!$C$8))*12+MONTH($A1428)-MONTH(Settings!$C$8)+1)</f>
        <v/>
      </c>
      <c r="Z1428" s="24" t="str">
        <f aca="false">IF(AND($C1428="",$I1428="",$J1428=""),"",IF($N1428="","NO VAT CODE",IF($T1428="","UNKNOWN VAT CODE",IF($S1428="","MISSING FX RATE",IF(OR($A1428&lt;Settings!$C$8,$A1428&gt;Settings!$C$9),"OUTSIDE PERIOD",IF(AND(IFERROR(INDEX(VAT_Codes!$E:$E,MATCH($N1428,VAT_Codes!$A:$A,0)),"ANY")&lt;&gt;"ANY",$P1428=""),"MISSING COUNTERPARTY COUNTRY",IF(AND(IFERROR(INDEX(VAT_Codes!$E:$E,MATCH($N1428,VAT_Codes!$A:$A,0)),"ANY")&lt;&gt;"ANY",$P1428&lt;&gt;IFERROR(INDEX(VAT_Codes!$E:$E,MATCH($N1428,VAT_Codes!$A:$A,0)),"ANY")),"REGION MISMATCH","OK")))))))</f>
        <v/>
      </c>
    </row>
    <row r="1429" customFormat="false" ht="15" hidden="false" customHeight="false" outlineLevel="0" collapsed="false">
      <c r="M1429" s="24" t="str">
        <f aca="false">IF($C1429="","",IFERROR(INDEX(Account_Mapping!$C:$C,MATCH($C1429&amp;"",Account_Mapping!$A:$A,0))&amp;"",""))</f>
        <v/>
      </c>
      <c r="N1429" s="24" t="str">
        <f aca="false">IF($K1429&lt;&gt;"",$K1429,$M1429)</f>
        <v/>
      </c>
      <c r="O1429" s="24" t="str">
        <f aca="false">IF($F1429="","",IFERROR(INDEX(Counterparties!$C:$C,MATCH($F1429&amp;"",Counterparties!$A:$A,0))&amp;"",""))</f>
        <v/>
      </c>
      <c r="P1429" s="24" t="str">
        <f aca="false">IF($O1429="","",IF($O1429="CY","CY",IF(ISNUMBER(MATCH($O1429,Lists!$A:$A,0)),"EU","3RD")))</f>
        <v/>
      </c>
      <c r="Q1429" s="24" t="str">
        <f aca="false">IF($F1429="","N",IFERROR(IF(INDEX(Counterparties!$E:$E,MATCH($F1429&amp;"",Counterparties!$A:$A,0))="Y","Y","N"),"N"))</f>
        <v>N</v>
      </c>
      <c r="R1429" s="25" t="n">
        <f aca="false">IF(OR($H1429="",$H1429="EUR"),1,IFERROR(INDEX(FX_Rates!$D:$D,MATCH($H1429,FX_Rates!$A:$A,0)),""))</f>
        <v>1</v>
      </c>
      <c r="S1429" s="26" t="str">
        <f aca="false">IF(AND($I1429="",$J1429=""),"",IF($J1429&lt;&gt;"",$J1429,IF(OR($R1429="",$R1429=0),"",ROUND($I1429/$R1429,2))))</f>
        <v/>
      </c>
      <c r="T1429" s="24" t="str">
        <f aca="false">IF($N1429="","",IFERROR(INDEX(VAT_Codes!$C:$C,MATCH($N1429,VAT_Codes!$A:$A,0)),"")&amp;"")</f>
        <v/>
      </c>
      <c r="U1429" s="26" t="n">
        <f aca="false">IF(OR($S1429="",$T1429="",$T1429="None"),0,IF($T1429="Output",-$S1429,$S1429))</f>
        <v>0</v>
      </c>
      <c r="V1429" s="27" t="n">
        <f aca="false">IF($N1429="",0,IFERROR(INDEX(VAT_Codes!$D:$D,MATCH($N1429,VAT_Codes!$A:$A,0)),0))</f>
        <v>0</v>
      </c>
      <c r="W1429" s="26" t="n">
        <f aca="false">IF($U1429=0,0,IF(IFERROR(INDEX(VAT_Codes!$F:$F,MATCH($N1429,VAT_Codes!$A:$A,0)),"N")="Y",$U1429,IF($L1429&lt;&gt;"",ROUND(ABS($L1429)/IF(OR($R1429="",$R1429=0),1,$R1429),2)*SIGN($U1429),ROUND($U1429*$V1429,2))))</f>
        <v>0</v>
      </c>
      <c r="X1429" s="24" t="str">
        <f aca="false">IF($N1429="","",IFERROR(INDEX(VAT_Codes!$H:$H,MATCH($N1429,VAT_Codes!$A:$A,0)),"")&amp;"")</f>
        <v/>
      </c>
      <c r="Y1429" s="24" t="str">
        <f aca="false">IF($A1429="","",(YEAR($A1429)-YEAR(Settings!$C$8))*12+MONTH($A1429)-MONTH(Settings!$C$8)+1)</f>
        <v/>
      </c>
      <c r="Z1429" s="24" t="str">
        <f aca="false">IF(AND($C1429="",$I1429="",$J1429=""),"",IF($N1429="","NO VAT CODE",IF($T1429="","UNKNOWN VAT CODE",IF($S1429="","MISSING FX RATE",IF(OR($A1429&lt;Settings!$C$8,$A1429&gt;Settings!$C$9),"OUTSIDE PERIOD",IF(AND(IFERROR(INDEX(VAT_Codes!$E:$E,MATCH($N1429,VAT_Codes!$A:$A,0)),"ANY")&lt;&gt;"ANY",$P1429=""),"MISSING COUNTERPARTY COUNTRY",IF(AND(IFERROR(INDEX(VAT_Codes!$E:$E,MATCH($N1429,VAT_Codes!$A:$A,0)),"ANY")&lt;&gt;"ANY",$P1429&lt;&gt;IFERROR(INDEX(VAT_Codes!$E:$E,MATCH($N1429,VAT_Codes!$A:$A,0)),"ANY")),"REGION MISMATCH","OK")))))))</f>
        <v/>
      </c>
    </row>
    <row r="1430" customFormat="false" ht="15" hidden="false" customHeight="false" outlineLevel="0" collapsed="false">
      <c r="M1430" s="24" t="str">
        <f aca="false">IF($C1430="","",IFERROR(INDEX(Account_Mapping!$C:$C,MATCH($C1430&amp;"",Account_Mapping!$A:$A,0))&amp;"",""))</f>
        <v/>
      </c>
      <c r="N1430" s="24" t="str">
        <f aca="false">IF($K1430&lt;&gt;"",$K1430,$M1430)</f>
        <v/>
      </c>
      <c r="O1430" s="24" t="str">
        <f aca="false">IF($F1430="","",IFERROR(INDEX(Counterparties!$C:$C,MATCH($F1430&amp;"",Counterparties!$A:$A,0))&amp;"",""))</f>
        <v/>
      </c>
      <c r="P1430" s="24" t="str">
        <f aca="false">IF($O1430="","",IF($O1430="CY","CY",IF(ISNUMBER(MATCH($O1430,Lists!$A:$A,0)),"EU","3RD")))</f>
        <v/>
      </c>
      <c r="Q1430" s="24" t="str">
        <f aca="false">IF($F1430="","N",IFERROR(IF(INDEX(Counterparties!$E:$E,MATCH($F1430&amp;"",Counterparties!$A:$A,0))="Y","Y","N"),"N"))</f>
        <v>N</v>
      </c>
      <c r="R1430" s="25" t="n">
        <f aca="false">IF(OR($H1430="",$H1430="EUR"),1,IFERROR(INDEX(FX_Rates!$D:$D,MATCH($H1430,FX_Rates!$A:$A,0)),""))</f>
        <v>1</v>
      </c>
      <c r="S1430" s="26" t="str">
        <f aca="false">IF(AND($I1430="",$J1430=""),"",IF($J1430&lt;&gt;"",$J1430,IF(OR($R1430="",$R1430=0),"",ROUND($I1430/$R1430,2))))</f>
        <v/>
      </c>
      <c r="T1430" s="24" t="str">
        <f aca="false">IF($N1430="","",IFERROR(INDEX(VAT_Codes!$C:$C,MATCH($N1430,VAT_Codes!$A:$A,0)),"")&amp;"")</f>
        <v/>
      </c>
      <c r="U1430" s="26" t="n">
        <f aca="false">IF(OR($S1430="",$T1430="",$T1430="None"),0,IF($T1430="Output",-$S1430,$S1430))</f>
        <v>0</v>
      </c>
      <c r="V1430" s="27" t="n">
        <f aca="false">IF($N1430="",0,IFERROR(INDEX(VAT_Codes!$D:$D,MATCH($N1430,VAT_Codes!$A:$A,0)),0))</f>
        <v>0</v>
      </c>
      <c r="W1430" s="26" t="n">
        <f aca="false">IF($U1430=0,0,IF(IFERROR(INDEX(VAT_Codes!$F:$F,MATCH($N1430,VAT_Codes!$A:$A,0)),"N")="Y",$U1430,IF($L1430&lt;&gt;"",ROUND(ABS($L1430)/IF(OR($R1430="",$R1430=0),1,$R1430),2)*SIGN($U1430),ROUND($U1430*$V1430,2))))</f>
        <v>0</v>
      </c>
      <c r="X1430" s="24" t="str">
        <f aca="false">IF($N1430="","",IFERROR(INDEX(VAT_Codes!$H:$H,MATCH($N1430,VAT_Codes!$A:$A,0)),"")&amp;"")</f>
        <v/>
      </c>
      <c r="Y1430" s="24" t="str">
        <f aca="false">IF($A1430="","",(YEAR($A1430)-YEAR(Settings!$C$8))*12+MONTH($A1430)-MONTH(Settings!$C$8)+1)</f>
        <v/>
      </c>
      <c r="Z1430" s="24" t="str">
        <f aca="false">IF(AND($C1430="",$I1430="",$J1430=""),"",IF($N1430="","NO VAT CODE",IF($T1430="","UNKNOWN VAT CODE",IF($S1430="","MISSING FX RATE",IF(OR($A1430&lt;Settings!$C$8,$A1430&gt;Settings!$C$9),"OUTSIDE PERIOD",IF(AND(IFERROR(INDEX(VAT_Codes!$E:$E,MATCH($N1430,VAT_Codes!$A:$A,0)),"ANY")&lt;&gt;"ANY",$P1430=""),"MISSING COUNTERPARTY COUNTRY",IF(AND(IFERROR(INDEX(VAT_Codes!$E:$E,MATCH($N1430,VAT_Codes!$A:$A,0)),"ANY")&lt;&gt;"ANY",$P1430&lt;&gt;IFERROR(INDEX(VAT_Codes!$E:$E,MATCH($N1430,VAT_Codes!$A:$A,0)),"ANY")),"REGION MISMATCH","OK")))))))</f>
        <v/>
      </c>
    </row>
    <row r="1431" customFormat="false" ht="15" hidden="false" customHeight="false" outlineLevel="0" collapsed="false">
      <c r="M1431" s="24" t="str">
        <f aca="false">IF($C1431="","",IFERROR(INDEX(Account_Mapping!$C:$C,MATCH($C1431&amp;"",Account_Mapping!$A:$A,0))&amp;"",""))</f>
        <v/>
      </c>
      <c r="N1431" s="24" t="str">
        <f aca="false">IF($K1431&lt;&gt;"",$K1431,$M1431)</f>
        <v/>
      </c>
      <c r="O1431" s="24" t="str">
        <f aca="false">IF($F1431="","",IFERROR(INDEX(Counterparties!$C:$C,MATCH($F1431&amp;"",Counterparties!$A:$A,0))&amp;"",""))</f>
        <v/>
      </c>
      <c r="P1431" s="24" t="str">
        <f aca="false">IF($O1431="","",IF($O1431="CY","CY",IF(ISNUMBER(MATCH($O1431,Lists!$A:$A,0)),"EU","3RD")))</f>
        <v/>
      </c>
      <c r="Q1431" s="24" t="str">
        <f aca="false">IF($F1431="","N",IFERROR(IF(INDEX(Counterparties!$E:$E,MATCH($F1431&amp;"",Counterparties!$A:$A,0))="Y","Y","N"),"N"))</f>
        <v>N</v>
      </c>
      <c r="R1431" s="25" t="n">
        <f aca="false">IF(OR($H1431="",$H1431="EUR"),1,IFERROR(INDEX(FX_Rates!$D:$D,MATCH($H1431,FX_Rates!$A:$A,0)),""))</f>
        <v>1</v>
      </c>
      <c r="S1431" s="26" t="str">
        <f aca="false">IF(AND($I1431="",$J1431=""),"",IF($J1431&lt;&gt;"",$J1431,IF(OR($R1431="",$R1431=0),"",ROUND($I1431/$R1431,2))))</f>
        <v/>
      </c>
      <c r="T1431" s="24" t="str">
        <f aca="false">IF($N1431="","",IFERROR(INDEX(VAT_Codes!$C:$C,MATCH($N1431,VAT_Codes!$A:$A,0)),"")&amp;"")</f>
        <v/>
      </c>
      <c r="U1431" s="26" t="n">
        <f aca="false">IF(OR($S1431="",$T1431="",$T1431="None"),0,IF($T1431="Output",-$S1431,$S1431))</f>
        <v>0</v>
      </c>
      <c r="V1431" s="27" t="n">
        <f aca="false">IF($N1431="",0,IFERROR(INDEX(VAT_Codes!$D:$D,MATCH($N1431,VAT_Codes!$A:$A,0)),0))</f>
        <v>0</v>
      </c>
      <c r="W1431" s="26" t="n">
        <f aca="false">IF($U1431=0,0,IF(IFERROR(INDEX(VAT_Codes!$F:$F,MATCH($N1431,VAT_Codes!$A:$A,0)),"N")="Y",$U1431,IF($L1431&lt;&gt;"",ROUND(ABS($L1431)/IF(OR($R1431="",$R1431=0),1,$R1431),2)*SIGN($U1431),ROUND($U1431*$V1431,2))))</f>
        <v>0</v>
      </c>
      <c r="X1431" s="24" t="str">
        <f aca="false">IF($N1431="","",IFERROR(INDEX(VAT_Codes!$H:$H,MATCH($N1431,VAT_Codes!$A:$A,0)),"")&amp;"")</f>
        <v/>
      </c>
      <c r="Y1431" s="24" t="str">
        <f aca="false">IF($A1431="","",(YEAR($A1431)-YEAR(Settings!$C$8))*12+MONTH($A1431)-MONTH(Settings!$C$8)+1)</f>
        <v/>
      </c>
      <c r="Z1431" s="24" t="str">
        <f aca="false">IF(AND($C1431="",$I1431="",$J1431=""),"",IF($N1431="","NO VAT CODE",IF($T1431="","UNKNOWN VAT CODE",IF($S1431="","MISSING FX RATE",IF(OR($A1431&lt;Settings!$C$8,$A1431&gt;Settings!$C$9),"OUTSIDE PERIOD",IF(AND(IFERROR(INDEX(VAT_Codes!$E:$E,MATCH($N1431,VAT_Codes!$A:$A,0)),"ANY")&lt;&gt;"ANY",$P1431=""),"MISSING COUNTERPARTY COUNTRY",IF(AND(IFERROR(INDEX(VAT_Codes!$E:$E,MATCH($N1431,VAT_Codes!$A:$A,0)),"ANY")&lt;&gt;"ANY",$P1431&lt;&gt;IFERROR(INDEX(VAT_Codes!$E:$E,MATCH($N1431,VAT_Codes!$A:$A,0)),"ANY")),"REGION MISMATCH","OK")))))))</f>
        <v/>
      </c>
    </row>
    <row r="1432" customFormat="false" ht="15" hidden="false" customHeight="false" outlineLevel="0" collapsed="false">
      <c r="M1432" s="24" t="str">
        <f aca="false">IF($C1432="","",IFERROR(INDEX(Account_Mapping!$C:$C,MATCH($C1432&amp;"",Account_Mapping!$A:$A,0))&amp;"",""))</f>
        <v/>
      </c>
      <c r="N1432" s="24" t="str">
        <f aca="false">IF($K1432&lt;&gt;"",$K1432,$M1432)</f>
        <v/>
      </c>
      <c r="O1432" s="24" t="str">
        <f aca="false">IF($F1432="","",IFERROR(INDEX(Counterparties!$C:$C,MATCH($F1432&amp;"",Counterparties!$A:$A,0))&amp;"",""))</f>
        <v/>
      </c>
      <c r="P1432" s="24" t="str">
        <f aca="false">IF($O1432="","",IF($O1432="CY","CY",IF(ISNUMBER(MATCH($O1432,Lists!$A:$A,0)),"EU","3RD")))</f>
        <v/>
      </c>
      <c r="Q1432" s="24" t="str">
        <f aca="false">IF($F1432="","N",IFERROR(IF(INDEX(Counterparties!$E:$E,MATCH($F1432&amp;"",Counterparties!$A:$A,0))="Y","Y","N"),"N"))</f>
        <v>N</v>
      </c>
      <c r="R1432" s="25" t="n">
        <f aca="false">IF(OR($H1432="",$H1432="EUR"),1,IFERROR(INDEX(FX_Rates!$D:$D,MATCH($H1432,FX_Rates!$A:$A,0)),""))</f>
        <v>1</v>
      </c>
      <c r="S1432" s="26" t="str">
        <f aca="false">IF(AND($I1432="",$J1432=""),"",IF($J1432&lt;&gt;"",$J1432,IF(OR($R1432="",$R1432=0),"",ROUND($I1432/$R1432,2))))</f>
        <v/>
      </c>
      <c r="T1432" s="24" t="str">
        <f aca="false">IF($N1432="","",IFERROR(INDEX(VAT_Codes!$C:$C,MATCH($N1432,VAT_Codes!$A:$A,0)),"")&amp;"")</f>
        <v/>
      </c>
      <c r="U1432" s="26" t="n">
        <f aca="false">IF(OR($S1432="",$T1432="",$T1432="None"),0,IF($T1432="Output",-$S1432,$S1432))</f>
        <v>0</v>
      </c>
      <c r="V1432" s="27" t="n">
        <f aca="false">IF($N1432="",0,IFERROR(INDEX(VAT_Codes!$D:$D,MATCH($N1432,VAT_Codes!$A:$A,0)),0))</f>
        <v>0</v>
      </c>
      <c r="W1432" s="26" t="n">
        <f aca="false">IF($U1432=0,0,IF(IFERROR(INDEX(VAT_Codes!$F:$F,MATCH($N1432,VAT_Codes!$A:$A,0)),"N")="Y",$U1432,IF($L1432&lt;&gt;"",ROUND(ABS($L1432)/IF(OR($R1432="",$R1432=0),1,$R1432),2)*SIGN($U1432),ROUND($U1432*$V1432,2))))</f>
        <v>0</v>
      </c>
      <c r="X1432" s="24" t="str">
        <f aca="false">IF($N1432="","",IFERROR(INDEX(VAT_Codes!$H:$H,MATCH($N1432,VAT_Codes!$A:$A,0)),"")&amp;"")</f>
        <v/>
      </c>
      <c r="Y1432" s="24" t="str">
        <f aca="false">IF($A1432="","",(YEAR($A1432)-YEAR(Settings!$C$8))*12+MONTH($A1432)-MONTH(Settings!$C$8)+1)</f>
        <v/>
      </c>
      <c r="Z1432" s="24" t="str">
        <f aca="false">IF(AND($C1432="",$I1432="",$J1432=""),"",IF($N1432="","NO VAT CODE",IF($T1432="","UNKNOWN VAT CODE",IF($S1432="","MISSING FX RATE",IF(OR($A1432&lt;Settings!$C$8,$A1432&gt;Settings!$C$9),"OUTSIDE PERIOD",IF(AND(IFERROR(INDEX(VAT_Codes!$E:$E,MATCH($N1432,VAT_Codes!$A:$A,0)),"ANY")&lt;&gt;"ANY",$P1432=""),"MISSING COUNTERPARTY COUNTRY",IF(AND(IFERROR(INDEX(VAT_Codes!$E:$E,MATCH($N1432,VAT_Codes!$A:$A,0)),"ANY")&lt;&gt;"ANY",$P1432&lt;&gt;IFERROR(INDEX(VAT_Codes!$E:$E,MATCH($N1432,VAT_Codes!$A:$A,0)),"ANY")),"REGION MISMATCH","OK")))))))</f>
        <v/>
      </c>
    </row>
    <row r="1433" customFormat="false" ht="15" hidden="false" customHeight="false" outlineLevel="0" collapsed="false">
      <c r="M1433" s="24" t="str">
        <f aca="false">IF($C1433="","",IFERROR(INDEX(Account_Mapping!$C:$C,MATCH($C1433&amp;"",Account_Mapping!$A:$A,0))&amp;"",""))</f>
        <v/>
      </c>
      <c r="N1433" s="24" t="str">
        <f aca="false">IF($K1433&lt;&gt;"",$K1433,$M1433)</f>
        <v/>
      </c>
      <c r="O1433" s="24" t="str">
        <f aca="false">IF($F1433="","",IFERROR(INDEX(Counterparties!$C:$C,MATCH($F1433&amp;"",Counterparties!$A:$A,0))&amp;"",""))</f>
        <v/>
      </c>
      <c r="P1433" s="24" t="str">
        <f aca="false">IF($O1433="","",IF($O1433="CY","CY",IF(ISNUMBER(MATCH($O1433,Lists!$A:$A,0)),"EU","3RD")))</f>
        <v/>
      </c>
      <c r="Q1433" s="24" t="str">
        <f aca="false">IF($F1433="","N",IFERROR(IF(INDEX(Counterparties!$E:$E,MATCH($F1433&amp;"",Counterparties!$A:$A,0))="Y","Y","N"),"N"))</f>
        <v>N</v>
      </c>
      <c r="R1433" s="25" t="n">
        <f aca="false">IF(OR($H1433="",$H1433="EUR"),1,IFERROR(INDEX(FX_Rates!$D:$D,MATCH($H1433,FX_Rates!$A:$A,0)),""))</f>
        <v>1</v>
      </c>
      <c r="S1433" s="26" t="str">
        <f aca="false">IF(AND($I1433="",$J1433=""),"",IF($J1433&lt;&gt;"",$J1433,IF(OR($R1433="",$R1433=0),"",ROUND($I1433/$R1433,2))))</f>
        <v/>
      </c>
      <c r="T1433" s="24" t="str">
        <f aca="false">IF($N1433="","",IFERROR(INDEX(VAT_Codes!$C:$C,MATCH($N1433,VAT_Codes!$A:$A,0)),"")&amp;"")</f>
        <v/>
      </c>
      <c r="U1433" s="26" t="n">
        <f aca="false">IF(OR($S1433="",$T1433="",$T1433="None"),0,IF($T1433="Output",-$S1433,$S1433))</f>
        <v>0</v>
      </c>
      <c r="V1433" s="27" t="n">
        <f aca="false">IF($N1433="",0,IFERROR(INDEX(VAT_Codes!$D:$D,MATCH($N1433,VAT_Codes!$A:$A,0)),0))</f>
        <v>0</v>
      </c>
      <c r="W1433" s="26" t="n">
        <f aca="false">IF($U1433=0,0,IF(IFERROR(INDEX(VAT_Codes!$F:$F,MATCH($N1433,VAT_Codes!$A:$A,0)),"N")="Y",$U1433,IF($L1433&lt;&gt;"",ROUND(ABS($L1433)/IF(OR($R1433="",$R1433=0),1,$R1433),2)*SIGN($U1433),ROUND($U1433*$V1433,2))))</f>
        <v>0</v>
      </c>
      <c r="X1433" s="24" t="str">
        <f aca="false">IF($N1433="","",IFERROR(INDEX(VAT_Codes!$H:$H,MATCH($N1433,VAT_Codes!$A:$A,0)),"")&amp;"")</f>
        <v/>
      </c>
      <c r="Y1433" s="24" t="str">
        <f aca="false">IF($A1433="","",(YEAR($A1433)-YEAR(Settings!$C$8))*12+MONTH($A1433)-MONTH(Settings!$C$8)+1)</f>
        <v/>
      </c>
      <c r="Z1433" s="24" t="str">
        <f aca="false">IF(AND($C1433="",$I1433="",$J1433=""),"",IF($N1433="","NO VAT CODE",IF($T1433="","UNKNOWN VAT CODE",IF($S1433="","MISSING FX RATE",IF(OR($A1433&lt;Settings!$C$8,$A1433&gt;Settings!$C$9),"OUTSIDE PERIOD",IF(AND(IFERROR(INDEX(VAT_Codes!$E:$E,MATCH($N1433,VAT_Codes!$A:$A,0)),"ANY")&lt;&gt;"ANY",$P1433=""),"MISSING COUNTERPARTY COUNTRY",IF(AND(IFERROR(INDEX(VAT_Codes!$E:$E,MATCH($N1433,VAT_Codes!$A:$A,0)),"ANY")&lt;&gt;"ANY",$P1433&lt;&gt;IFERROR(INDEX(VAT_Codes!$E:$E,MATCH($N1433,VAT_Codes!$A:$A,0)),"ANY")),"REGION MISMATCH","OK")))))))</f>
        <v/>
      </c>
    </row>
    <row r="1434" customFormat="false" ht="15" hidden="false" customHeight="false" outlineLevel="0" collapsed="false">
      <c r="M1434" s="24" t="str">
        <f aca="false">IF($C1434="","",IFERROR(INDEX(Account_Mapping!$C:$C,MATCH($C1434&amp;"",Account_Mapping!$A:$A,0))&amp;"",""))</f>
        <v/>
      </c>
      <c r="N1434" s="24" t="str">
        <f aca="false">IF($K1434&lt;&gt;"",$K1434,$M1434)</f>
        <v/>
      </c>
      <c r="O1434" s="24" t="str">
        <f aca="false">IF($F1434="","",IFERROR(INDEX(Counterparties!$C:$C,MATCH($F1434&amp;"",Counterparties!$A:$A,0))&amp;"",""))</f>
        <v/>
      </c>
      <c r="P1434" s="24" t="str">
        <f aca="false">IF($O1434="","",IF($O1434="CY","CY",IF(ISNUMBER(MATCH($O1434,Lists!$A:$A,0)),"EU","3RD")))</f>
        <v/>
      </c>
      <c r="Q1434" s="24" t="str">
        <f aca="false">IF($F1434="","N",IFERROR(IF(INDEX(Counterparties!$E:$E,MATCH($F1434&amp;"",Counterparties!$A:$A,0))="Y","Y","N"),"N"))</f>
        <v>N</v>
      </c>
      <c r="R1434" s="25" t="n">
        <f aca="false">IF(OR($H1434="",$H1434="EUR"),1,IFERROR(INDEX(FX_Rates!$D:$D,MATCH($H1434,FX_Rates!$A:$A,0)),""))</f>
        <v>1</v>
      </c>
      <c r="S1434" s="26" t="str">
        <f aca="false">IF(AND($I1434="",$J1434=""),"",IF($J1434&lt;&gt;"",$J1434,IF(OR($R1434="",$R1434=0),"",ROUND($I1434/$R1434,2))))</f>
        <v/>
      </c>
      <c r="T1434" s="24" t="str">
        <f aca="false">IF($N1434="","",IFERROR(INDEX(VAT_Codes!$C:$C,MATCH($N1434,VAT_Codes!$A:$A,0)),"")&amp;"")</f>
        <v/>
      </c>
      <c r="U1434" s="26" t="n">
        <f aca="false">IF(OR($S1434="",$T1434="",$T1434="None"),0,IF($T1434="Output",-$S1434,$S1434))</f>
        <v>0</v>
      </c>
      <c r="V1434" s="27" t="n">
        <f aca="false">IF($N1434="",0,IFERROR(INDEX(VAT_Codes!$D:$D,MATCH($N1434,VAT_Codes!$A:$A,0)),0))</f>
        <v>0</v>
      </c>
      <c r="W1434" s="26" t="n">
        <f aca="false">IF($U1434=0,0,IF(IFERROR(INDEX(VAT_Codes!$F:$F,MATCH($N1434,VAT_Codes!$A:$A,0)),"N")="Y",$U1434,IF($L1434&lt;&gt;"",ROUND(ABS($L1434)/IF(OR($R1434="",$R1434=0),1,$R1434),2)*SIGN($U1434),ROUND($U1434*$V1434,2))))</f>
        <v>0</v>
      </c>
      <c r="X1434" s="24" t="str">
        <f aca="false">IF($N1434="","",IFERROR(INDEX(VAT_Codes!$H:$H,MATCH($N1434,VAT_Codes!$A:$A,0)),"")&amp;"")</f>
        <v/>
      </c>
      <c r="Y1434" s="24" t="str">
        <f aca="false">IF($A1434="","",(YEAR($A1434)-YEAR(Settings!$C$8))*12+MONTH($A1434)-MONTH(Settings!$C$8)+1)</f>
        <v/>
      </c>
      <c r="Z1434" s="24" t="str">
        <f aca="false">IF(AND($C1434="",$I1434="",$J1434=""),"",IF($N1434="","NO VAT CODE",IF($T1434="","UNKNOWN VAT CODE",IF($S1434="","MISSING FX RATE",IF(OR($A1434&lt;Settings!$C$8,$A1434&gt;Settings!$C$9),"OUTSIDE PERIOD",IF(AND(IFERROR(INDEX(VAT_Codes!$E:$E,MATCH($N1434,VAT_Codes!$A:$A,0)),"ANY")&lt;&gt;"ANY",$P1434=""),"MISSING COUNTERPARTY COUNTRY",IF(AND(IFERROR(INDEX(VAT_Codes!$E:$E,MATCH($N1434,VAT_Codes!$A:$A,0)),"ANY")&lt;&gt;"ANY",$P1434&lt;&gt;IFERROR(INDEX(VAT_Codes!$E:$E,MATCH($N1434,VAT_Codes!$A:$A,0)),"ANY")),"REGION MISMATCH","OK")))))))</f>
        <v/>
      </c>
    </row>
    <row r="1435" customFormat="false" ht="15" hidden="false" customHeight="false" outlineLevel="0" collapsed="false">
      <c r="M1435" s="24" t="str">
        <f aca="false">IF($C1435="","",IFERROR(INDEX(Account_Mapping!$C:$C,MATCH($C1435&amp;"",Account_Mapping!$A:$A,0))&amp;"",""))</f>
        <v/>
      </c>
      <c r="N1435" s="24" t="str">
        <f aca="false">IF($K1435&lt;&gt;"",$K1435,$M1435)</f>
        <v/>
      </c>
      <c r="O1435" s="24" t="str">
        <f aca="false">IF($F1435="","",IFERROR(INDEX(Counterparties!$C:$C,MATCH($F1435&amp;"",Counterparties!$A:$A,0))&amp;"",""))</f>
        <v/>
      </c>
      <c r="P1435" s="24" t="str">
        <f aca="false">IF($O1435="","",IF($O1435="CY","CY",IF(ISNUMBER(MATCH($O1435,Lists!$A:$A,0)),"EU","3RD")))</f>
        <v/>
      </c>
      <c r="Q1435" s="24" t="str">
        <f aca="false">IF($F1435="","N",IFERROR(IF(INDEX(Counterparties!$E:$E,MATCH($F1435&amp;"",Counterparties!$A:$A,0))="Y","Y","N"),"N"))</f>
        <v>N</v>
      </c>
      <c r="R1435" s="25" t="n">
        <f aca="false">IF(OR($H1435="",$H1435="EUR"),1,IFERROR(INDEX(FX_Rates!$D:$D,MATCH($H1435,FX_Rates!$A:$A,0)),""))</f>
        <v>1</v>
      </c>
      <c r="S1435" s="26" t="str">
        <f aca="false">IF(AND($I1435="",$J1435=""),"",IF($J1435&lt;&gt;"",$J1435,IF(OR($R1435="",$R1435=0),"",ROUND($I1435/$R1435,2))))</f>
        <v/>
      </c>
      <c r="T1435" s="24" t="str">
        <f aca="false">IF($N1435="","",IFERROR(INDEX(VAT_Codes!$C:$C,MATCH($N1435,VAT_Codes!$A:$A,0)),"")&amp;"")</f>
        <v/>
      </c>
      <c r="U1435" s="26" t="n">
        <f aca="false">IF(OR($S1435="",$T1435="",$T1435="None"),0,IF($T1435="Output",-$S1435,$S1435))</f>
        <v>0</v>
      </c>
      <c r="V1435" s="27" t="n">
        <f aca="false">IF($N1435="",0,IFERROR(INDEX(VAT_Codes!$D:$D,MATCH($N1435,VAT_Codes!$A:$A,0)),0))</f>
        <v>0</v>
      </c>
      <c r="W1435" s="26" t="n">
        <f aca="false">IF($U1435=0,0,IF(IFERROR(INDEX(VAT_Codes!$F:$F,MATCH($N1435,VAT_Codes!$A:$A,0)),"N")="Y",$U1435,IF($L1435&lt;&gt;"",ROUND(ABS($L1435)/IF(OR($R1435="",$R1435=0),1,$R1435),2)*SIGN($U1435),ROUND($U1435*$V1435,2))))</f>
        <v>0</v>
      </c>
      <c r="X1435" s="24" t="str">
        <f aca="false">IF($N1435="","",IFERROR(INDEX(VAT_Codes!$H:$H,MATCH($N1435,VAT_Codes!$A:$A,0)),"")&amp;"")</f>
        <v/>
      </c>
      <c r="Y1435" s="24" t="str">
        <f aca="false">IF($A1435="","",(YEAR($A1435)-YEAR(Settings!$C$8))*12+MONTH($A1435)-MONTH(Settings!$C$8)+1)</f>
        <v/>
      </c>
      <c r="Z1435" s="24" t="str">
        <f aca="false">IF(AND($C1435="",$I1435="",$J1435=""),"",IF($N1435="","NO VAT CODE",IF($T1435="","UNKNOWN VAT CODE",IF($S1435="","MISSING FX RATE",IF(OR($A1435&lt;Settings!$C$8,$A1435&gt;Settings!$C$9),"OUTSIDE PERIOD",IF(AND(IFERROR(INDEX(VAT_Codes!$E:$E,MATCH($N1435,VAT_Codes!$A:$A,0)),"ANY")&lt;&gt;"ANY",$P1435=""),"MISSING COUNTERPARTY COUNTRY",IF(AND(IFERROR(INDEX(VAT_Codes!$E:$E,MATCH($N1435,VAT_Codes!$A:$A,0)),"ANY")&lt;&gt;"ANY",$P1435&lt;&gt;IFERROR(INDEX(VAT_Codes!$E:$E,MATCH($N1435,VAT_Codes!$A:$A,0)),"ANY")),"REGION MISMATCH","OK")))))))</f>
        <v/>
      </c>
    </row>
    <row r="1436" customFormat="false" ht="15" hidden="false" customHeight="false" outlineLevel="0" collapsed="false">
      <c r="M1436" s="24" t="str">
        <f aca="false">IF($C1436="","",IFERROR(INDEX(Account_Mapping!$C:$C,MATCH($C1436&amp;"",Account_Mapping!$A:$A,0))&amp;"",""))</f>
        <v/>
      </c>
      <c r="N1436" s="24" t="str">
        <f aca="false">IF($K1436&lt;&gt;"",$K1436,$M1436)</f>
        <v/>
      </c>
      <c r="O1436" s="24" t="str">
        <f aca="false">IF($F1436="","",IFERROR(INDEX(Counterparties!$C:$C,MATCH($F1436&amp;"",Counterparties!$A:$A,0))&amp;"",""))</f>
        <v/>
      </c>
      <c r="P1436" s="24" t="str">
        <f aca="false">IF($O1436="","",IF($O1436="CY","CY",IF(ISNUMBER(MATCH($O1436,Lists!$A:$A,0)),"EU","3RD")))</f>
        <v/>
      </c>
      <c r="Q1436" s="24" t="str">
        <f aca="false">IF($F1436="","N",IFERROR(IF(INDEX(Counterparties!$E:$E,MATCH($F1436&amp;"",Counterparties!$A:$A,0))="Y","Y","N"),"N"))</f>
        <v>N</v>
      </c>
      <c r="R1436" s="25" t="n">
        <f aca="false">IF(OR($H1436="",$H1436="EUR"),1,IFERROR(INDEX(FX_Rates!$D:$D,MATCH($H1436,FX_Rates!$A:$A,0)),""))</f>
        <v>1</v>
      </c>
      <c r="S1436" s="26" t="str">
        <f aca="false">IF(AND($I1436="",$J1436=""),"",IF($J1436&lt;&gt;"",$J1436,IF(OR($R1436="",$R1436=0),"",ROUND($I1436/$R1436,2))))</f>
        <v/>
      </c>
      <c r="T1436" s="24" t="str">
        <f aca="false">IF($N1436="","",IFERROR(INDEX(VAT_Codes!$C:$C,MATCH($N1436,VAT_Codes!$A:$A,0)),"")&amp;"")</f>
        <v/>
      </c>
      <c r="U1436" s="26" t="n">
        <f aca="false">IF(OR($S1436="",$T1436="",$T1436="None"),0,IF($T1436="Output",-$S1436,$S1436))</f>
        <v>0</v>
      </c>
      <c r="V1436" s="27" t="n">
        <f aca="false">IF($N1436="",0,IFERROR(INDEX(VAT_Codes!$D:$D,MATCH($N1436,VAT_Codes!$A:$A,0)),0))</f>
        <v>0</v>
      </c>
      <c r="W1436" s="26" t="n">
        <f aca="false">IF($U1436=0,0,IF(IFERROR(INDEX(VAT_Codes!$F:$F,MATCH($N1436,VAT_Codes!$A:$A,0)),"N")="Y",$U1436,IF($L1436&lt;&gt;"",ROUND(ABS($L1436)/IF(OR($R1436="",$R1436=0),1,$R1436),2)*SIGN($U1436),ROUND($U1436*$V1436,2))))</f>
        <v>0</v>
      </c>
      <c r="X1436" s="24" t="str">
        <f aca="false">IF($N1436="","",IFERROR(INDEX(VAT_Codes!$H:$H,MATCH($N1436,VAT_Codes!$A:$A,0)),"")&amp;"")</f>
        <v/>
      </c>
      <c r="Y1436" s="24" t="str">
        <f aca="false">IF($A1436="","",(YEAR($A1436)-YEAR(Settings!$C$8))*12+MONTH($A1436)-MONTH(Settings!$C$8)+1)</f>
        <v/>
      </c>
      <c r="Z1436" s="24" t="str">
        <f aca="false">IF(AND($C1436="",$I1436="",$J1436=""),"",IF($N1436="","NO VAT CODE",IF($T1436="","UNKNOWN VAT CODE",IF($S1436="","MISSING FX RATE",IF(OR($A1436&lt;Settings!$C$8,$A1436&gt;Settings!$C$9),"OUTSIDE PERIOD",IF(AND(IFERROR(INDEX(VAT_Codes!$E:$E,MATCH($N1436,VAT_Codes!$A:$A,0)),"ANY")&lt;&gt;"ANY",$P1436=""),"MISSING COUNTERPARTY COUNTRY",IF(AND(IFERROR(INDEX(VAT_Codes!$E:$E,MATCH($N1436,VAT_Codes!$A:$A,0)),"ANY")&lt;&gt;"ANY",$P1436&lt;&gt;IFERROR(INDEX(VAT_Codes!$E:$E,MATCH($N1436,VAT_Codes!$A:$A,0)),"ANY")),"REGION MISMATCH","OK")))))))</f>
        <v/>
      </c>
    </row>
    <row r="1437" customFormat="false" ht="15" hidden="false" customHeight="false" outlineLevel="0" collapsed="false">
      <c r="M1437" s="24" t="str">
        <f aca="false">IF($C1437="","",IFERROR(INDEX(Account_Mapping!$C:$C,MATCH($C1437&amp;"",Account_Mapping!$A:$A,0))&amp;"",""))</f>
        <v/>
      </c>
      <c r="N1437" s="24" t="str">
        <f aca="false">IF($K1437&lt;&gt;"",$K1437,$M1437)</f>
        <v/>
      </c>
      <c r="O1437" s="24" t="str">
        <f aca="false">IF($F1437="","",IFERROR(INDEX(Counterparties!$C:$C,MATCH($F1437&amp;"",Counterparties!$A:$A,0))&amp;"",""))</f>
        <v/>
      </c>
      <c r="P1437" s="24" t="str">
        <f aca="false">IF($O1437="","",IF($O1437="CY","CY",IF(ISNUMBER(MATCH($O1437,Lists!$A:$A,0)),"EU","3RD")))</f>
        <v/>
      </c>
      <c r="Q1437" s="24" t="str">
        <f aca="false">IF($F1437="","N",IFERROR(IF(INDEX(Counterparties!$E:$E,MATCH($F1437&amp;"",Counterparties!$A:$A,0))="Y","Y","N"),"N"))</f>
        <v>N</v>
      </c>
      <c r="R1437" s="25" t="n">
        <f aca="false">IF(OR($H1437="",$H1437="EUR"),1,IFERROR(INDEX(FX_Rates!$D:$D,MATCH($H1437,FX_Rates!$A:$A,0)),""))</f>
        <v>1</v>
      </c>
      <c r="S1437" s="26" t="str">
        <f aca="false">IF(AND($I1437="",$J1437=""),"",IF($J1437&lt;&gt;"",$J1437,IF(OR($R1437="",$R1437=0),"",ROUND($I1437/$R1437,2))))</f>
        <v/>
      </c>
      <c r="T1437" s="24" t="str">
        <f aca="false">IF($N1437="","",IFERROR(INDEX(VAT_Codes!$C:$C,MATCH($N1437,VAT_Codes!$A:$A,0)),"")&amp;"")</f>
        <v/>
      </c>
      <c r="U1437" s="26" t="n">
        <f aca="false">IF(OR($S1437="",$T1437="",$T1437="None"),0,IF($T1437="Output",-$S1437,$S1437))</f>
        <v>0</v>
      </c>
      <c r="V1437" s="27" t="n">
        <f aca="false">IF($N1437="",0,IFERROR(INDEX(VAT_Codes!$D:$D,MATCH($N1437,VAT_Codes!$A:$A,0)),0))</f>
        <v>0</v>
      </c>
      <c r="W1437" s="26" t="n">
        <f aca="false">IF($U1437=0,0,IF(IFERROR(INDEX(VAT_Codes!$F:$F,MATCH($N1437,VAT_Codes!$A:$A,0)),"N")="Y",$U1437,IF($L1437&lt;&gt;"",ROUND(ABS($L1437)/IF(OR($R1437="",$R1437=0),1,$R1437),2)*SIGN($U1437),ROUND($U1437*$V1437,2))))</f>
        <v>0</v>
      </c>
      <c r="X1437" s="24" t="str">
        <f aca="false">IF($N1437="","",IFERROR(INDEX(VAT_Codes!$H:$H,MATCH($N1437,VAT_Codes!$A:$A,0)),"")&amp;"")</f>
        <v/>
      </c>
      <c r="Y1437" s="24" t="str">
        <f aca="false">IF($A1437="","",(YEAR($A1437)-YEAR(Settings!$C$8))*12+MONTH($A1437)-MONTH(Settings!$C$8)+1)</f>
        <v/>
      </c>
      <c r="Z1437" s="24" t="str">
        <f aca="false">IF(AND($C1437="",$I1437="",$J1437=""),"",IF($N1437="","NO VAT CODE",IF($T1437="","UNKNOWN VAT CODE",IF($S1437="","MISSING FX RATE",IF(OR($A1437&lt;Settings!$C$8,$A1437&gt;Settings!$C$9),"OUTSIDE PERIOD",IF(AND(IFERROR(INDEX(VAT_Codes!$E:$E,MATCH($N1437,VAT_Codes!$A:$A,0)),"ANY")&lt;&gt;"ANY",$P1437=""),"MISSING COUNTERPARTY COUNTRY",IF(AND(IFERROR(INDEX(VAT_Codes!$E:$E,MATCH($N1437,VAT_Codes!$A:$A,0)),"ANY")&lt;&gt;"ANY",$P1437&lt;&gt;IFERROR(INDEX(VAT_Codes!$E:$E,MATCH($N1437,VAT_Codes!$A:$A,0)),"ANY")),"REGION MISMATCH","OK")))))))</f>
        <v/>
      </c>
    </row>
    <row r="1438" customFormat="false" ht="15" hidden="false" customHeight="false" outlineLevel="0" collapsed="false">
      <c r="M1438" s="24" t="str">
        <f aca="false">IF($C1438="","",IFERROR(INDEX(Account_Mapping!$C:$C,MATCH($C1438&amp;"",Account_Mapping!$A:$A,0))&amp;"",""))</f>
        <v/>
      </c>
      <c r="N1438" s="24" t="str">
        <f aca="false">IF($K1438&lt;&gt;"",$K1438,$M1438)</f>
        <v/>
      </c>
      <c r="O1438" s="24" t="str">
        <f aca="false">IF($F1438="","",IFERROR(INDEX(Counterparties!$C:$C,MATCH($F1438&amp;"",Counterparties!$A:$A,0))&amp;"",""))</f>
        <v/>
      </c>
      <c r="P1438" s="24" t="str">
        <f aca="false">IF($O1438="","",IF($O1438="CY","CY",IF(ISNUMBER(MATCH($O1438,Lists!$A:$A,0)),"EU","3RD")))</f>
        <v/>
      </c>
      <c r="Q1438" s="24" t="str">
        <f aca="false">IF($F1438="","N",IFERROR(IF(INDEX(Counterparties!$E:$E,MATCH($F1438&amp;"",Counterparties!$A:$A,0))="Y","Y","N"),"N"))</f>
        <v>N</v>
      </c>
      <c r="R1438" s="25" t="n">
        <f aca="false">IF(OR($H1438="",$H1438="EUR"),1,IFERROR(INDEX(FX_Rates!$D:$D,MATCH($H1438,FX_Rates!$A:$A,0)),""))</f>
        <v>1</v>
      </c>
      <c r="S1438" s="26" t="str">
        <f aca="false">IF(AND($I1438="",$J1438=""),"",IF($J1438&lt;&gt;"",$J1438,IF(OR($R1438="",$R1438=0),"",ROUND($I1438/$R1438,2))))</f>
        <v/>
      </c>
      <c r="T1438" s="24" t="str">
        <f aca="false">IF($N1438="","",IFERROR(INDEX(VAT_Codes!$C:$C,MATCH($N1438,VAT_Codes!$A:$A,0)),"")&amp;"")</f>
        <v/>
      </c>
      <c r="U1438" s="26" t="n">
        <f aca="false">IF(OR($S1438="",$T1438="",$T1438="None"),0,IF($T1438="Output",-$S1438,$S1438))</f>
        <v>0</v>
      </c>
      <c r="V1438" s="27" t="n">
        <f aca="false">IF($N1438="",0,IFERROR(INDEX(VAT_Codes!$D:$D,MATCH($N1438,VAT_Codes!$A:$A,0)),0))</f>
        <v>0</v>
      </c>
      <c r="W1438" s="26" t="n">
        <f aca="false">IF($U1438=0,0,IF(IFERROR(INDEX(VAT_Codes!$F:$F,MATCH($N1438,VAT_Codes!$A:$A,0)),"N")="Y",$U1438,IF($L1438&lt;&gt;"",ROUND(ABS($L1438)/IF(OR($R1438="",$R1438=0),1,$R1438),2)*SIGN($U1438),ROUND($U1438*$V1438,2))))</f>
        <v>0</v>
      </c>
      <c r="X1438" s="24" t="str">
        <f aca="false">IF($N1438="","",IFERROR(INDEX(VAT_Codes!$H:$H,MATCH($N1438,VAT_Codes!$A:$A,0)),"")&amp;"")</f>
        <v/>
      </c>
      <c r="Y1438" s="24" t="str">
        <f aca="false">IF($A1438="","",(YEAR($A1438)-YEAR(Settings!$C$8))*12+MONTH($A1438)-MONTH(Settings!$C$8)+1)</f>
        <v/>
      </c>
      <c r="Z1438" s="24" t="str">
        <f aca="false">IF(AND($C1438="",$I1438="",$J1438=""),"",IF($N1438="","NO VAT CODE",IF($T1438="","UNKNOWN VAT CODE",IF($S1438="","MISSING FX RATE",IF(OR($A1438&lt;Settings!$C$8,$A1438&gt;Settings!$C$9),"OUTSIDE PERIOD",IF(AND(IFERROR(INDEX(VAT_Codes!$E:$E,MATCH($N1438,VAT_Codes!$A:$A,0)),"ANY")&lt;&gt;"ANY",$P1438=""),"MISSING COUNTERPARTY COUNTRY",IF(AND(IFERROR(INDEX(VAT_Codes!$E:$E,MATCH($N1438,VAT_Codes!$A:$A,0)),"ANY")&lt;&gt;"ANY",$P1438&lt;&gt;IFERROR(INDEX(VAT_Codes!$E:$E,MATCH($N1438,VAT_Codes!$A:$A,0)),"ANY")),"REGION MISMATCH","OK")))))))</f>
        <v/>
      </c>
    </row>
    <row r="1439" customFormat="false" ht="15" hidden="false" customHeight="false" outlineLevel="0" collapsed="false">
      <c r="M1439" s="24" t="str">
        <f aca="false">IF($C1439="","",IFERROR(INDEX(Account_Mapping!$C:$C,MATCH($C1439&amp;"",Account_Mapping!$A:$A,0))&amp;"",""))</f>
        <v/>
      </c>
      <c r="N1439" s="24" t="str">
        <f aca="false">IF($K1439&lt;&gt;"",$K1439,$M1439)</f>
        <v/>
      </c>
      <c r="O1439" s="24" t="str">
        <f aca="false">IF($F1439="","",IFERROR(INDEX(Counterparties!$C:$C,MATCH($F1439&amp;"",Counterparties!$A:$A,0))&amp;"",""))</f>
        <v/>
      </c>
      <c r="P1439" s="24" t="str">
        <f aca="false">IF($O1439="","",IF($O1439="CY","CY",IF(ISNUMBER(MATCH($O1439,Lists!$A:$A,0)),"EU","3RD")))</f>
        <v/>
      </c>
      <c r="Q1439" s="24" t="str">
        <f aca="false">IF($F1439="","N",IFERROR(IF(INDEX(Counterparties!$E:$E,MATCH($F1439&amp;"",Counterparties!$A:$A,0))="Y","Y","N"),"N"))</f>
        <v>N</v>
      </c>
      <c r="R1439" s="25" t="n">
        <f aca="false">IF(OR($H1439="",$H1439="EUR"),1,IFERROR(INDEX(FX_Rates!$D:$D,MATCH($H1439,FX_Rates!$A:$A,0)),""))</f>
        <v>1</v>
      </c>
      <c r="S1439" s="26" t="str">
        <f aca="false">IF(AND($I1439="",$J1439=""),"",IF($J1439&lt;&gt;"",$J1439,IF(OR($R1439="",$R1439=0),"",ROUND($I1439/$R1439,2))))</f>
        <v/>
      </c>
      <c r="T1439" s="24" t="str">
        <f aca="false">IF($N1439="","",IFERROR(INDEX(VAT_Codes!$C:$C,MATCH($N1439,VAT_Codes!$A:$A,0)),"")&amp;"")</f>
        <v/>
      </c>
      <c r="U1439" s="26" t="n">
        <f aca="false">IF(OR($S1439="",$T1439="",$T1439="None"),0,IF($T1439="Output",-$S1439,$S1439))</f>
        <v>0</v>
      </c>
      <c r="V1439" s="27" t="n">
        <f aca="false">IF($N1439="",0,IFERROR(INDEX(VAT_Codes!$D:$D,MATCH($N1439,VAT_Codes!$A:$A,0)),0))</f>
        <v>0</v>
      </c>
      <c r="W1439" s="26" t="n">
        <f aca="false">IF($U1439=0,0,IF(IFERROR(INDEX(VAT_Codes!$F:$F,MATCH($N1439,VAT_Codes!$A:$A,0)),"N")="Y",$U1439,IF($L1439&lt;&gt;"",ROUND(ABS($L1439)/IF(OR($R1439="",$R1439=0),1,$R1439),2)*SIGN($U1439),ROUND($U1439*$V1439,2))))</f>
        <v>0</v>
      </c>
      <c r="X1439" s="24" t="str">
        <f aca="false">IF($N1439="","",IFERROR(INDEX(VAT_Codes!$H:$H,MATCH($N1439,VAT_Codes!$A:$A,0)),"")&amp;"")</f>
        <v/>
      </c>
      <c r="Y1439" s="24" t="str">
        <f aca="false">IF($A1439="","",(YEAR($A1439)-YEAR(Settings!$C$8))*12+MONTH($A1439)-MONTH(Settings!$C$8)+1)</f>
        <v/>
      </c>
      <c r="Z1439" s="24" t="str">
        <f aca="false">IF(AND($C1439="",$I1439="",$J1439=""),"",IF($N1439="","NO VAT CODE",IF($T1439="","UNKNOWN VAT CODE",IF($S1439="","MISSING FX RATE",IF(OR($A1439&lt;Settings!$C$8,$A1439&gt;Settings!$C$9),"OUTSIDE PERIOD",IF(AND(IFERROR(INDEX(VAT_Codes!$E:$E,MATCH($N1439,VAT_Codes!$A:$A,0)),"ANY")&lt;&gt;"ANY",$P1439=""),"MISSING COUNTERPARTY COUNTRY",IF(AND(IFERROR(INDEX(VAT_Codes!$E:$E,MATCH($N1439,VAT_Codes!$A:$A,0)),"ANY")&lt;&gt;"ANY",$P1439&lt;&gt;IFERROR(INDEX(VAT_Codes!$E:$E,MATCH($N1439,VAT_Codes!$A:$A,0)),"ANY")),"REGION MISMATCH","OK")))))))</f>
        <v/>
      </c>
    </row>
    <row r="1440" customFormat="false" ht="15" hidden="false" customHeight="false" outlineLevel="0" collapsed="false">
      <c r="M1440" s="24" t="str">
        <f aca="false">IF($C1440="","",IFERROR(INDEX(Account_Mapping!$C:$C,MATCH($C1440&amp;"",Account_Mapping!$A:$A,0))&amp;"",""))</f>
        <v/>
      </c>
      <c r="N1440" s="24" t="str">
        <f aca="false">IF($K1440&lt;&gt;"",$K1440,$M1440)</f>
        <v/>
      </c>
      <c r="O1440" s="24" t="str">
        <f aca="false">IF($F1440="","",IFERROR(INDEX(Counterparties!$C:$C,MATCH($F1440&amp;"",Counterparties!$A:$A,0))&amp;"",""))</f>
        <v/>
      </c>
      <c r="P1440" s="24" t="str">
        <f aca="false">IF($O1440="","",IF($O1440="CY","CY",IF(ISNUMBER(MATCH($O1440,Lists!$A:$A,0)),"EU","3RD")))</f>
        <v/>
      </c>
      <c r="Q1440" s="24" t="str">
        <f aca="false">IF($F1440="","N",IFERROR(IF(INDEX(Counterparties!$E:$E,MATCH($F1440&amp;"",Counterparties!$A:$A,0))="Y","Y","N"),"N"))</f>
        <v>N</v>
      </c>
      <c r="R1440" s="25" t="n">
        <f aca="false">IF(OR($H1440="",$H1440="EUR"),1,IFERROR(INDEX(FX_Rates!$D:$D,MATCH($H1440,FX_Rates!$A:$A,0)),""))</f>
        <v>1</v>
      </c>
      <c r="S1440" s="26" t="str">
        <f aca="false">IF(AND($I1440="",$J1440=""),"",IF($J1440&lt;&gt;"",$J1440,IF(OR($R1440="",$R1440=0),"",ROUND($I1440/$R1440,2))))</f>
        <v/>
      </c>
      <c r="T1440" s="24" t="str">
        <f aca="false">IF($N1440="","",IFERROR(INDEX(VAT_Codes!$C:$C,MATCH($N1440,VAT_Codes!$A:$A,0)),"")&amp;"")</f>
        <v/>
      </c>
      <c r="U1440" s="26" t="n">
        <f aca="false">IF(OR($S1440="",$T1440="",$T1440="None"),0,IF($T1440="Output",-$S1440,$S1440))</f>
        <v>0</v>
      </c>
      <c r="V1440" s="27" t="n">
        <f aca="false">IF($N1440="",0,IFERROR(INDEX(VAT_Codes!$D:$D,MATCH($N1440,VAT_Codes!$A:$A,0)),0))</f>
        <v>0</v>
      </c>
      <c r="W1440" s="26" t="n">
        <f aca="false">IF($U1440=0,0,IF(IFERROR(INDEX(VAT_Codes!$F:$F,MATCH($N1440,VAT_Codes!$A:$A,0)),"N")="Y",$U1440,IF($L1440&lt;&gt;"",ROUND(ABS($L1440)/IF(OR($R1440="",$R1440=0),1,$R1440),2)*SIGN($U1440),ROUND($U1440*$V1440,2))))</f>
        <v>0</v>
      </c>
      <c r="X1440" s="24" t="str">
        <f aca="false">IF($N1440="","",IFERROR(INDEX(VAT_Codes!$H:$H,MATCH($N1440,VAT_Codes!$A:$A,0)),"")&amp;"")</f>
        <v/>
      </c>
      <c r="Y1440" s="24" t="str">
        <f aca="false">IF($A1440="","",(YEAR($A1440)-YEAR(Settings!$C$8))*12+MONTH($A1440)-MONTH(Settings!$C$8)+1)</f>
        <v/>
      </c>
      <c r="Z1440" s="24" t="str">
        <f aca="false">IF(AND($C1440="",$I1440="",$J1440=""),"",IF($N1440="","NO VAT CODE",IF($T1440="","UNKNOWN VAT CODE",IF($S1440="","MISSING FX RATE",IF(OR($A1440&lt;Settings!$C$8,$A1440&gt;Settings!$C$9),"OUTSIDE PERIOD",IF(AND(IFERROR(INDEX(VAT_Codes!$E:$E,MATCH($N1440,VAT_Codes!$A:$A,0)),"ANY")&lt;&gt;"ANY",$P1440=""),"MISSING COUNTERPARTY COUNTRY",IF(AND(IFERROR(INDEX(VAT_Codes!$E:$E,MATCH($N1440,VAT_Codes!$A:$A,0)),"ANY")&lt;&gt;"ANY",$P1440&lt;&gt;IFERROR(INDEX(VAT_Codes!$E:$E,MATCH($N1440,VAT_Codes!$A:$A,0)),"ANY")),"REGION MISMATCH","OK")))))))</f>
        <v/>
      </c>
    </row>
    <row r="1441" customFormat="false" ht="15" hidden="false" customHeight="false" outlineLevel="0" collapsed="false">
      <c r="M1441" s="24" t="str">
        <f aca="false">IF($C1441="","",IFERROR(INDEX(Account_Mapping!$C:$C,MATCH($C1441&amp;"",Account_Mapping!$A:$A,0))&amp;"",""))</f>
        <v/>
      </c>
      <c r="N1441" s="24" t="str">
        <f aca="false">IF($K1441&lt;&gt;"",$K1441,$M1441)</f>
        <v/>
      </c>
      <c r="O1441" s="24" t="str">
        <f aca="false">IF($F1441="","",IFERROR(INDEX(Counterparties!$C:$C,MATCH($F1441&amp;"",Counterparties!$A:$A,0))&amp;"",""))</f>
        <v/>
      </c>
      <c r="P1441" s="24" t="str">
        <f aca="false">IF($O1441="","",IF($O1441="CY","CY",IF(ISNUMBER(MATCH($O1441,Lists!$A:$A,0)),"EU","3RD")))</f>
        <v/>
      </c>
      <c r="Q1441" s="24" t="str">
        <f aca="false">IF($F1441="","N",IFERROR(IF(INDEX(Counterparties!$E:$E,MATCH($F1441&amp;"",Counterparties!$A:$A,0))="Y","Y","N"),"N"))</f>
        <v>N</v>
      </c>
      <c r="R1441" s="25" t="n">
        <f aca="false">IF(OR($H1441="",$H1441="EUR"),1,IFERROR(INDEX(FX_Rates!$D:$D,MATCH($H1441,FX_Rates!$A:$A,0)),""))</f>
        <v>1</v>
      </c>
      <c r="S1441" s="26" t="str">
        <f aca="false">IF(AND($I1441="",$J1441=""),"",IF($J1441&lt;&gt;"",$J1441,IF(OR($R1441="",$R1441=0),"",ROUND($I1441/$R1441,2))))</f>
        <v/>
      </c>
      <c r="T1441" s="24" t="str">
        <f aca="false">IF($N1441="","",IFERROR(INDEX(VAT_Codes!$C:$C,MATCH($N1441,VAT_Codes!$A:$A,0)),"")&amp;"")</f>
        <v/>
      </c>
      <c r="U1441" s="26" t="n">
        <f aca="false">IF(OR($S1441="",$T1441="",$T1441="None"),0,IF($T1441="Output",-$S1441,$S1441))</f>
        <v>0</v>
      </c>
      <c r="V1441" s="27" t="n">
        <f aca="false">IF($N1441="",0,IFERROR(INDEX(VAT_Codes!$D:$D,MATCH($N1441,VAT_Codes!$A:$A,0)),0))</f>
        <v>0</v>
      </c>
      <c r="W1441" s="26" t="n">
        <f aca="false">IF($U1441=0,0,IF(IFERROR(INDEX(VAT_Codes!$F:$F,MATCH($N1441,VAT_Codes!$A:$A,0)),"N")="Y",$U1441,IF($L1441&lt;&gt;"",ROUND(ABS($L1441)/IF(OR($R1441="",$R1441=0),1,$R1441),2)*SIGN($U1441),ROUND($U1441*$V1441,2))))</f>
        <v>0</v>
      </c>
      <c r="X1441" s="24" t="str">
        <f aca="false">IF($N1441="","",IFERROR(INDEX(VAT_Codes!$H:$H,MATCH($N1441,VAT_Codes!$A:$A,0)),"")&amp;"")</f>
        <v/>
      </c>
      <c r="Y1441" s="24" t="str">
        <f aca="false">IF($A1441="","",(YEAR($A1441)-YEAR(Settings!$C$8))*12+MONTH($A1441)-MONTH(Settings!$C$8)+1)</f>
        <v/>
      </c>
      <c r="Z1441" s="24" t="str">
        <f aca="false">IF(AND($C1441="",$I1441="",$J1441=""),"",IF($N1441="","NO VAT CODE",IF($T1441="","UNKNOWN VAT CODE",IF($S1441="","MISSING FX RATE",IF(OR($A1441&lt;Settings!$C$8,$A1441&gt;Settings!$C$9),"OUTSIDE PERIOD",IF(AND(IFERROR(INDEX(VAT_Codes!$E:$E,MATCH($N1441,VAT_Codes!$A:$A,0)),"ANY")&lt;&gt;"ANY",$P1441=""),"MISSING COUNTERPARTY COUNTRY",IF(AND(IFERROR(INDEX(VAT_Codes!$E:$E,MATCH($N1441,VAT_Codes!$A:$A,0)),"ANY")&lt;&gt;"ANY",$P1441&lt;&gt;IFERROR(INDEX(VAT_Codes!$E:$E,MATCH($N1441,VAT_Codes!$A:$A,0)),"ANY")),"REGION MISMATCH","OK")))))))</f>
        <v/>
      </c>
    </row>
    <row r="1442" customFormat="false" ht="15" hidden="false" customHeight="false" outlineLevel="0" collapsed="false">
      <c r="M1442" s="24" t="str">
        <f aca="false">IF($C1442="","",IFERROR(INDEX(Account_Mapping!$C:$C,MATCH($C1442&amp;"",Account_Mapping!$A:$A,0))&amp;"",""))</f>
        <v/>
      </c>
      <c r="N1442" s="24" t="str">
        <f aca="false">IF($K1442&lt;&gt;"",$K1442,$M1442)</f>
        <v/>
      </c>
      <c r="O1442" s="24" t="str">
        <f aca="false">IF($F1442="","",IFERROR(INDEX(Counterparties!$C:$C,MATCH($F1442&amp;"",Counterparties!$A:$A,0))&amp;"",""))</f>
        <v/>
      </c>
      <c r="P1442" s="24" t="str">
        <f aca="false">IF($O1442="","",IF($O1442="CY","CY",IF(ISNUMBER(MATCH($O1442,Lists!$A:$A,0)),"EU","3RD")))</f>
        <v/>
      </c>
      <c r="Q1442" s="24" t="str">
        <f aca="false">IF($F1442="","N",IFERROR(IF(INDEX(Counterparties!$E:$E,MATCH($F1442&amp;"",Counterparties!$A:$A,0))="Y","Y","N"),"N"))</f>
        <v>N</v>
      </c>
      <c r="R1442" s="25" t="n">
        <f aca="false">IF(OR($H1442="",$H1442="EUR"),1,IFERROR(INDEX(FX_Rates!$D:$D,MATCH($H1442,FX_Rates!$A:$A,0)),""))</f>
        <v>1</v>
      </c>
      <c r="S1442" s="26" t="str">
        <f aca="false">IF(AND($I1442="",$J1442=""),"",IF($J1442&lt;&gt;"",$J1442,IF(OR($R1442="",$R1442=0),"",ROUND($I1442/$R1442,2))))</f>
        <v/>
      </c>
      <c r="T1442" s="24" t="str">
        <f aca="false">IF($N1442="","",IFERROR(INDEX(VAT_Codes!$C:$C,MATCH($N1442,VAT_Codes!$A:$A,0)),"")&amp;"")</f>
        <v/>
      </c>
      <c r="U1442" s="26" t="n">
        <f aca="false">IF(OR($S1442="",$T1442="",$T1442="None"),0,IF($T1442="Output",-$S1442,$S1442))</f>
        <v>0</v>
      </c>
      <c r="V1442" s="27" t="n">
        <f aca="false">IF($N1442="",0,IFERROR(INDEX(VAT_Codes!$D:$D,MATCH($N1442,VAT_Codes!$A:$A,0)),0))</f>
        <v>0</v>
      </c>
      <c r="W1442" s="26" t="n">
        <f aca="false">IF($U1442=0,0,IF(IFERROR(INDEX(VAT_Codes!$F:$F,MATCH($N1442,VAT_Codes!$A:$A,0)),"N")="Y",$U1442,IF($L1442&lt;&gt;"",ROUND(ABS($L1442)/IF(OR($R1442="",$R1442=0),1,$R1442),2)*SIGN($U1442),ROUND($U1442*$V1442,2))))</f>
        <v>0</v>
      </c>
      <c r="X1442" s="24" t="str">
        <f aca="false">IF($N1442="","",IFERROR(INDEX(VAT_Codes!$H:$H,MATCH($N1442,VAT_Codes!$A:$A,0)),"")&amp;"")</f>
        <v/>
      </c>
      <c r="Y1442" s="24" t="str">
        <f aca="false">IF($A1442="","",(YEAR($A1442)-YEAR(Settings!$C$8))*12+MONTH($A1442)-MONTH(Settings!$C$8)+1)</f>
        <v/>
      </c>
      <c r="Z1442" s="24" t="str">
        <f aca="false">IF(AND($C1442="",$I1442="",$J1442=""),"",IF($N1442="","NO VAT CODE",IF($T1442="","UNKNOWN VAT CODE",IF($S1442="","MISSING FX RATE",IF(OR($A1442&lt;Settings!$C$8,$A1442&gt;Settings!$C$9),"OUTSIDE PERIOD",IF(AND(IFERROR(INDEX(VAT_Codes!$E:$E,MATCH($N1442,VAT_Codes!$A:$A,0)),"ANY")&lt;&gt;"ANY",$P1442=""),"MISSING COUNTERPARTY COUNTRY",IF(AND(IFERROR(INDEX(VAT_Codes!$E:$E,MATCH($N1442,VAT_Codes!$A:$A,0)),"ANY")&lt;&gt;"ANY",$P1442&lt;&gt;IFERROR(INDEX(VAT_Codes!$E:$E,MATCH($N1442,VAT_Codes!$A:$A,0)),"ANY")),"REGION MISMATCH","OK")))))))</f>
        <v/>
      </c>
    </row>
    <row r="1443" customFormat="false" ht="15" hidden="false" customHeight="false" outlineLevel="0" collapsed="false">
      <c r="M1443" s="24" t="str">
        <f aca="false">IF($C1443="","",IFERROR(INDEX(Account_Mapping!$C:$C,MATCH($C1443&amp;"",Account_Mapping!$A:$A,0))&amp;"",""))</f>
        <v/>
      </c>
      <c r="N1443" s="24" t="str">
        <f aca="false">IF($K1443&lt;&gt;"",$K1443,$M1443)</f>
        <v/>
      </c>
      <c r="O1443" s="24" t="str">
        <f aca="false">IF($F1443="","",IFERROR(INDEX(Counterparties!$C:$C,MATCH($F1443&amp;"",Counterparties!$A:$A,0))&amp;"",""))</f>
        <v/>
      </c>
      <c r="P1443" s="24" t="str">
        <f aca="false">IF($O1443="","",IF($O1443="CY","CY",IF(ISNUMBER(MATCH($O1443,Lists!$A:$A,0)),"EU","3RD")))</f>
        <v/>
      </c>
      <c r="Q1443" s="24" t="str">
        <f aca="false">IF($F1443="","N",IFERROR(IF(INDEX(Counterparties!$E:$E,MATCH($F1443&amp;"",Counterparties!$A:$A,0))="Y","Y","N"),"N"))</f>
        <v>N</v>
      </c>
      <c r="R1443" s="25" t="n">
        <f aca="false">IF(OR($H1443="",$H1443="EUR"),1,IFERROR(INDEX(FX_Rates!$D:$D,MATCH($H1443,FX_Rates!$A:$A,0)),""))</f>
        <v>1</v>
      </c>
      <c r="S1443" s="26" t="str">
        <f aca="false">IF(AND($I1443="",$J1443=""),"",IF($J1443&lt;&gt;"",$J1443,IF(OR($R1443="",$R1443=0),"",ROUND($I1443/$R1443,2))))</f>
        <v/>
      </c>
      <c r="T1443" s="24" t="str">
        <f aca="false">IF($N1443="","",IFERROR(INDEX(VAT_Codes!$C:$C,MATCH($N1443,VAT_Codes!$A:$A,0)),"")&amp;"")</f>
        <v/>
      </c>
      <c r="U1443" s="26" t="n">
        <f aca="false">IF(OR($S1443="",$T1443="",$T1443="None"),0,IF($T1443="Output",-$S1443,$S1443))</f>
        <v>0</v>
      </c>
      <c r="V1443" s="27" t="n">
        <f aca="false">IF($N1443="",0,IFERROR(INDEX(VAT_Codes!$D:$D,MATCH($N1443,VAT_Codes!$A:$A,0)),0))</f>
        <v>0</v>
      </c>
      <c r="W1443" s="26" t="n">
        <f aca="false">IF($U1443=0,0,IF(IFERROR(INDEX(VAT_Codes!$F:$F,MATCH($N1443,VAT_Codes!$A:$A,0)),"N")="Y",$U1443,IF($L1443&lt;&gt;"",ROUND(ABS($L1443)/IF(OR($R1443="",$R1443=0),1,$R1443),2)*SIGN($U1443),ROUND($U1443*$V1443,2))))</f>
        <v>0</v>
      </c>
      <c r="X1443" s="24" t="str">
        <f aca="false">IF($N1443="","",IFERROR(INDEX(VAT_Codes!$H:$H,MATCH($N1443,VAT_Codes!$A:$A,0)),"")&amp;"")</f>
        <v/>
      </c>
      <c r="Y1443" s="24" t="str">
        <f aca="false">IF($A1443="","",(YEAR($A1443)-YEAR(Settings!$C$8))*12+MONTH($A1443)-MONTH(Settings!$C$8)+1)</f>
        <v/>
      </c>
      <c r="Z1443" s="24" t="str">
        <f aca="false">IF(AND($C1443="",$I1443="",$J1443=""),"",IF($N1443="","NO VAT CODE",IF($T1443="","UNKNOWN VAT CODE",IF($S1443="","MISSING FX RATE",IF(OR($A1443&lt;Settings!$C$8,$A1443&gt;Settings!$C$9),"OUTSIDE PERIOD",IF(AND(IFERROR(INDEX(VAT_Codes!$E:$E,MATCH($N1443,VAT_Codes!$A:$A,0)),"ANY")&lt;&gt;"ANY",$P1443=""),"MISSING COUNTERPARTY COUNTRY",IF(AND(IFERROR(INDEX(VAT_Codes!$E:$E,MATCH($N1443,VAT_Codes!$A:$A,0)),"ANY")&lt;&gt;"ANY",$P1443&lt;&gt;IFERROR(INDEX(VAT_Codes!$E:$E,MATCH($N1443,VAT_Codes!$A:$A,0)),"ANY")),"REGION MISMATCH","OK")))))))</f>
        <v/>
      </c>
    </row>
    <row r="1444" customFormat="false" ht="15" hidden="false" customHeight="false" outlineLevel="0" collapsed="false">
      <c r="M1444" s="24" t="str">
        <f aca="false">IF($C1444="","",IFERROR(INDEX(Account_Mapping!$C:$C,MATCH($C1444&amp;"",Account_Mapping!$A:$A,0))&amp;"",""))</f>
        <v/>
      </c>
      <c r="N1444" s="24" t="str">
        <f aca="false">IF($K1444&lt;&gt;"",$K1444,$M1444)</f>
        <v/>
      </c>
      <c r="O1444" s="24" t="str">
        <f aca="false">IF($F1444="","",IFERROR(INDEX(Counterparties!$C:$C,MATCH($F1444&amp;"",Counterparties!$A:$A,0))&amp;"",""))</f>
        <v/>
      </c>
      <c r="P1444" s="24" t="str">
        <f aca="false">IF($O1444="","",IF($O1444="CY","CY",IF(ISNUMBER(MATCH($O1444,Lists!$A:$A,0)),"EU","3RD")))</f>
        <v/>
      </c>
      <c r="Q1444" s="24" t="str">
        <f aca="false">IF($F1444="","N",IFERROR(IF(INDEX(Counterparties!$E:$E,MATCH($F1444&amp;"",Counterparties!$A:$A,0))="Y","Y","N"),"N"))</f>
        <v>N</v>
      </c>
      <c r="R1444" s="25" t="n">
        <f aca="false">IF(OR($H1444="",$H1444="EUR"),1,IFERROR(INDEX(FX_Rates!$D:$D,MATCH($H1444,FX_Rates!$A:$A,0)),""))</f>
        <v>1</v>
      </c>
      <c r="S1444" s="26" t="str">
        <f aca="false">IF(AND($I1444="",$J1444=""),"",IF($J1444&lt;&gt;"",$J1444,IF(OR($R1444="",$R1444=0),"",ROUND($I1444/$R1444,2))))</f>
        <v/>
      </c>
      <c r="T1444" s="24" t="str">
        <f aca="false">IF($N1444="","",IFERROR(INDEX(VAT_Codes!$C:$C,MATCH($N1444,VAT_Codes!$A:$A,0)),"")&amp;"")</f>
        <v/>
      </c>
      <c r="U1444" s="26" t="n">
        <f aca="false">IF(OR($S1444="",$T1444="",$T1444="None"),0,IF($T1444="Output",-$S1444,$S1444))</f>
        <v>0</v>
      </c>
      <c r="V1444" s="27" t="n">
        <f aca="false">IF($N1444="",0,IFERROR(INDEX(VAT_Codes!$D:$D,MATCH($N1444,VAT_Codes!$A:$A,0)),0))</f>
        <v>0</v>
      </c>
      <c r="W1444" s="26" t="n">
        <f aca="false">IF($U1444=0,0,IF(IFERROR(INDEX(VAT_Codes!$F:$F,MATCH($N1444,VAT_Codes!$A:$A,0)),"N")="Y",$U1444,IF($L1444&lt;&gt;"",ROUND(ABS($L1444)/IF(OR($R1444="",$R1444=0),1,$R1444),2)*SIGN($U1444),ROUND($U1444*$V1444,2))))</f>
        <v>0</v>
      </c>
      <c r="X1444" s="24" t="str">
        <f aca="false">IF($N1444="","",IFERROR(INDEX(VAT_Codes!$H:$H,MATCH($N1444,VAT_Codes!$A:$A,0)),"")&amp;"")</f>
        <v/>
      </c>
      <c r="Y1444" s="24" t="str">
        <f aca="false">IF($A1444="","",(YEAR($A1444)-YEAR(Settings!$C$8))*12+MONTH($A1444)-MONTH(Settings!$C$8)+1)</f>
        <v/>
      </c>
      <c r="Z1444" s="24" t="str">
        <f aca="false">IF(AND($C1444="",$I1444="",$J1444=""),"",IF($N1444="","NO VAT CODE",IF($T1444="","UNKNOWN VAT CODE",IF($S1444="","MISSING FX RATE",IF(OR($A1444&lt;Settings!$C$8,$A1444&gt;Settings!$C$9),"OUTSIDE PERIOD",IF(AND(IFERROR(INDEX(VAT_Codes!$E:$E,MATCH($N1444,VAT_Codes!$A:$A,0)),"ANY")&lt;&gt;"ANY",$P1444=""),"MISSING COUNTERPARTY COUNTRY",IF(AND(IFERROR(INDEX(VAT_Codes!$E:$E,MATCH($N1444,VAT_Codes!$A:$A,0)),"ANY")&lt;&gt;"ANY",$P1444&lt;&gt;IFERROR(INDEX(VAT_Codes!$E:$E,MATCH($N1444,VAT_Codes!$A:$A,0)),"ANY")),"REGION MISMATCH","OK")))))))</f>
        <v/>
      </c>
    </row>
    <row r="1445" customFormat="false" ht="15" hidden="false" customHeight="false" outlineLevel="0" collapsed="false">
      <c r="M1445" s="24" t="str">
        <f aca="false">IF($C1445="","",IFERROR(INDEX(Account_Mapping!$C:$C,MATCH($C1445&amp;"",Account_Mapping!$A:$A,0))&amp;"",""))</f>
        <v/>
      </c>
      <c r="N1445" s="24" t="str">
        <f aca="false">IF($K1445&lt;&gt;"",$K1445,$M1445)</f>
        <v/>
      </c>
      <c r="O1445" s="24" t="str">
        <f aca="false">IF($F1445="","",IFERROR(INDEX(Counterparties!$C:$C,MATCH($F1445&amp;"",Counterparties!$A:$A,0))&amp;"",""))</f>
        <v/>
      </c>
      <c r="P1445" s="24" t="str">
        <f aca="false">IF($O1445="","",IF($O1445="CY","CY",IF(ISNUMBER(MATCH($O1445,Lists!$A:$A,0)),"EU","3RD")))</f>
        <v/>
      </c>
      <c r="Q1445" s="24" t="str">
        <f aca="false">IF($F1445="","N",IFERROR(IF(INDEX(Counterparties!$E:$E,MATCH($F1445&amp;"",Counterparties!$A:$A,0))="Y","Y","N"),"N"))</f>
        <v>N</v>
      </c>
      <c r="R1445" s="25" t="n">
        <f aca="false">IF(OR($H1445="",$H1445="EUR"),1,IFERROR(INDEX(FX_Rates!$D:$D,MATCH($H1445,FX_Rates!$A:$A,0)),""))</f>
        <v>1</v>
      </c>
      <c r="S1445" s="26" t="str">
        <f aca="false">IF(AND($I1445="",$J1445=""),"",IF($J1445&lt;&gt;"",$J1445,IF(OR($R1445="",$R1445=0),"",ROUND($I1445/$R1445,2))))</f>
        <v/>
      </c>
      <c r="T1445" s="24" t="str">
        <f aca="false">IF($N1445="","",IFERROR(INDEX(VAT_Codes!$C:$C,MATCH($N1445,VAT_Codes!$A:$A,0)),"")&amp;"")</f>
        <v/>
      </c>
      <c r="U1445" s="26" t="n">
        <f aca="false">IF(OR($S1445="",$T1445="",$T1445="None"),0,IF($T1445="Output",-$S1445,$S1445))</f>
        <v>0</v>
      </c>
      <c r="V1445" s="27" t="n">
        <f aca="false">IF($N1445="",0,IFERROR(INDEX(VAT_Codes!$D:$D,MATCH($N1445,VAT_Codes!$A:$A,0)),0))</f>
        <v>0</v>
      </c>
      <c r="W1445" s="26" t="n">
        <f aca="false">IF($U1445=0,0,IF(IFERROR(INDEX(VAT_Codes!$F:$F,MATCH($N1445,VAT_Codes!$A:$A,0)),"N")="Y",$U1445,IF($L1445&lt;&gt;"",ROUND(ABS($L1445)/IF(OR($R1445="",$R1445=0),1,$R1445),2)*SIGN($U1445),ROUND($U1445*$V1445,2))))</f>
        <v>0</v>
      </c>
      <c r="X1445" s="24" t="str">
        <f aca="false">IF($N1445="","",IFERROR(INDEX(VAT_Codes!$H:$H,MATCH($N1445,VAT_Codes!$A:$A,0)),"")&amp;"")</f>
        <v/>
      </c>
      <c r="Y1445" s="24" t="str">
        <f aca="false">IF($A1445="","",(YEAR($A1445)-YEAR(Settings!$C$8))*12+MONTH($A1445)-MONTH(Settings!$C$8)+1)</f>
        <v/>
      </c>
      <c r="Z1445" s="24" t="str">
        <f aca="false">IF(AND($C1445="",$I1445="",$J1445=""),"",IF($N1445="","NO VAT CODE",IF($T1445="","UNKNOWN VAT CODE",IF($S1445="","MISSING FX RATE",IF(OR($A1445&lt;Settings!$C$8,$A1445&gt;Settings!$C$9),"OUTSIDE PERIOD",IF(AND(IFERROR(INDEX(VAT_Codes!$E:$E,MATCH($N1445,VAT_Codes!$A:$A,0)),"ANY")&lt;&gt;"ANY",$P1445=""),"MISSING COUNTERPARTY COUNTRY",IF(AND(IFERROR(INDEX(VAT_Codes!$E:$E,MATCH($N1445,VAT_Codes!$A:$A,0)),"ANY")&lt;&gt;"ANY",$P1445&lt;&gt;IFERROR(INDEX(VAT_Codes!$E:$E,MATCH($N1445,VAT_Codes!$A:$A,0)),"ANY")),"REGION MISMATCH","OK")))))))</f>
        <v/>
      </c>
    </row>
    <row r="1446" customFormat="false" ht="15" hidden="false" customHeight="false" outlineLevel="0" collapsed="false">
      <c r="M1446" s="24" t="str">
        <f aca="false">IF($C1446="","",IFERROR(INDEX(Account_Mapping!$C:$C,MATCH($C1446&amp;"",Account_Mapping!$A:$A,0))&amp;"",""))</f>
        <v/>
      </c>
      <c r="N1446" s="24" t="str">
        <f aca="false">IF($K1446&lt;&gt;"",$K1446,$M1446)</f>
        <v/>
      </c>
      <c r="O1446" s="24" t="str">
        <f aca="false">IF($F1446="","",IFERROR(INDEX(Counterparties!$C:$C,MATCH($F1446&amp;"",Counterparties!$A:$A,0))&amp;"",""))</f>
        <v/>
      </c>
      <c r="P1446" s="24" t="str">
        <f aca="false">IF($O1446="","",IF($O1446="CY","CY",IF(ISNUMBER(MATCH($O1446,Lists!$A:$A,0)),"EU","3RD")))</f>
        <v/>
      </c>
      <c r="Q1446" s="24" t="str">
        <f aca="false">IF($F1446="","N",IFERROR(IF(INDEX(Counterparties!$E:$E,MATCH($F1446&amp;"",Counterparties!$A:$A,0))="Y","Y","N"),"N"))</f>
        <v>N</v>
      </c>
      <c r="R1446" s="25" t="n">
        <f aca="false">IF(OR($H1446="",$H1446="EUR"),1,IFERROR(INDEX(FX_Rates!$D:$D,MATCH($H1446,FX_Rates!$A:$A,0)),""))</f>
        <v>1</v>
      </c>
      <c r="S1446" s="26" t="str">
        <f aca="false">IF(AND($I1446="",$J1446=""),"",IF($J1446&lt;&gt;"",$J1446,IF(OR($R1446="",$R1446=0),"",ROUND($I1446/$R1446,2))))</f>
        <v/>
      </c>
      <c r="T1446" s="24" t="str">
        <f aca="false">IF($N1446="","",IFERROR(INDEX(VAT_Codes!$C:$C,MATCH($N1446,VAT_Codes!$A:$A,0)),"")&amp;"")</f>
        <v/>
      </c>
      <c r="U1446" s="26" t="n">
        <f aca="false">IF(OR($S1446="",$T1446="",$T1446="None"),0,IF($T1446="Output",-$S1446,$S1446))</f>
        <v>0</v>
      </c>
      <c r="V1446" s="27" t="n">
        <f aca="false">IF($N1446="",0,IFERROR(INDEX(VAT_Codes!$D:$D,MATCH($N1446,VAT_Codes!$A:$A,0)),0))</f>
        <v>0</v>
      </c>
      <c r="W1446" s="26" t="n">
        <f aca="false">IF($U1446=0,0,IF(IFERROR(INDEX(VAT_Codes!$F:$F,MATCH($N1446,VAT_Codes!$A:$A,0)),"N")="Y",$U1446,IF($L1446&lt;&gt;"",ROUND(ABS($L1446)/IF(OR($R1446="",$R1446=0),1,$R1446),2)*SIGN($U1446),ROUND($U1446*$V1446,2))))</f>
        <v>0</v>
      </c>
      <c r="X1446" s="24" t="str">
        <f aca="false">IF($N1446="","",IFERROR(INDEX(VAT_Codes!$H:$H,MATCH($N1446,VAT_Codes!$A:$A,0)),"")&amp;"")</f>
        <v/>
      </c>
      <c r="Y1446" s="24" t="str">
        <f aca="false">IF($A1446="","",(YEAR($A1446)-YEAR(Settings!$C$8))*12+MONTH($A1446)-MONTH(Settings!$C$8)+1)</f>
        <v/>
      </c>
      <c r="Z1446" s="24" t="str">
        <f aca="false">IF(AND($C1446="",$I1446="",$J1446=""),"",IF($N1446="","NO VAT CODE",IF($T1446="","UNKNOWN VAT CODE",IF($S1446="","MISSING FX RATE",IF(OR($A1446&lt;Settings!$C$8,$A1446&gt;Settings!$C$9),"OUTSIDE PERIOD",IF(AND(IFERROR(INDEX(VAT_Codes!$E:$E,MATCH($N1446,VAT_Codes!$A:$A,0)),"ANY")&lt;&gt;"ANY",$P1446=""),"MISSING COUNTERPARTY COUNTRY",IF(AND(IFERROR(INDEX(VAT_Codes!$E:$E,MATCH($N1446,VAT_Codes!$A:$A,0)),"ANY")&lt;&gt;"ANY",$P1446&lt;&gt;IFERROR(INDEX(VAT_Codes!$E:$E,MATCH($N1446,VAT_Codes!$A:$A,0)),"ANY")),"REGION MISMATCH","OK")))))))</f>
        <v/>
      </c>
    </row>
    <row r="1447" customFormat="false" ht="15" hidden="false" customHeight="false" outlineLevel="0" collapsed="false">
      <c r="M1447" s="24" t="str">
        <f aca="false">IF($C1447="","",IFERROR(INDEX(Account_Mapping!$C:$C,MATCH($C1447&amp;"",Account_Mapping!$A:$A,0))&amp;"",""))</f>
        <v/>
      </c>
      <c r="N1447" s="24" t="str">
        <f aca="false">IF($K1447&lt;&gt;"",$K1447,$M1447)</f>
        <v/>
      </c>
      <c r="O1447" s="24" t="str">
        <f aca="false">IF($F1447="","",IFERROR(INDEX(Counterparties!$C:$C,MATCH($F1447&amp;"",Counterparties!$A:$A,0))&amp;"",""))</f>
        <v/>
      </c>
      <c r="P1447" s="24" t="str">
        <f aca="false">IF($O1447="","",IF($O1447="CY","CY",IF(ISNUMBER(MATCH($O1447,Lists!$A:$A,0)),"EU","3RD")))</f>
        <v/>
      </c>
      <c r="Q1447" s="24" t="str">
        <f aca="false">IF($F1447="","N",IFERROR(IF(INDEX(Counterparties!$E:$E,MATCH($F1447&amp;"",Counterparties!$A:$A,0))="Y","Y","N"),"N"))</f>
        <v>N</v>
      </c>
      <c r="R1447" s="25" t="n">
        <f aca="false">IF(OR($H1447="",$H1447="EUR"),1,IFERROR(INDEX(FX_Rates!$D:$D,MATCH($H1447,FX_Rates!$A:$A,0)),""))</f>
        <v>1</v>
      </c>
      <c r="S1447" s="26" t="str">
        <f aca="false">IF(AND($I1447="",$J1447=""),"",IF($J1447&lt;&gt;"",$J1447,IF(OR($R1447="",$R1447=0),"",ROUND($I1447/$R1447,2))))</f>
        <v/>
      </c>
      <c r="T1447" s="24" t="str">
        <f aca="false">IF($N1447="","",IFERROR(INDEX(VAT_Codes!$C:$C,MATCH($N1447,VAT_Codes!$A:$A,0)),"")&amp;"")</f>
        <v/>
      </c>
      <c r="U1447" s="26" t="n">
        <f aca="false">IF(OR($S1447="",$T1447="",$T1447="None"),0,IF($T1447="Output",-$S1447,$S1447))</f>
        <v>0</v>
      </c>
      <c r="V1447" s="27" t="n">
        <f aca="false">IF($N1447="",0,IFERROR(INDEX(VAT_Codes!$D:$D,MATCH($N1447,VAT_Codes!$A:$A,0)),0))</f>
        <v>0</v>
      </c>
      <c r="W1447" s="26" t="n">
        <f aca="false">IF($U1447=0,0,IF(IFERROR(INDEX(VAT_Codes!$F:$F,MATCH($N1447,VAT_Codes!$A:$A,0)),"N")="Y",$U1447,IF($L1447&lt;&gt;"",ROUND(ABS($L1447)/IF(OR($R1447="",$R1447=0),1,$R1447),2)*SIGN($U1447),ROUND($U1447*$V1447,2))))</f>
        <v>0</v>
      </c>
      <c r="X1447" s="24" t="str">
        <f aca="false">IF($N1447="","",IFERROR(INDEX(VAT_Codes!$H:$H,MATCH($N1447,VAT_Codes!$A:$A,0)),"")&amp;"")</f>
        <v/>
      </c>
      <c r="Y1447" s="24" t="str">
        <f aca="false">IF($A1447="","",(YEAR($A1447)-YEAR(Settings!$C$8))*12+MONTH($A1447)-MONTH(Settings!$C$8)+1)</f>
        <v/>
      </c>
      <c r="Z1447" s="24" t="str">
        <f aca="false">IF(AND($C1447="",$I1447="",$J1447=""),"",IF($N1447="","NO VAT CODE",IF($T1447="","UNKNOWN VAT CODE",IF($S1447="","MISSING FX RATE",IF(OR($A1447&lt;Settings!$C$8,$A1447&gt;Settings!$C$9),"OUTSIDE PERIOD",IF(AND(IFERROR(INDEX(VAT_Codes!$E:$E,MATCH($N1447,VAT_Codes!$A:$A,0)),"ANY")&lt;&gt;"ANY",$P1447=""),"MISSING COUNTERPARTY COUNTRY",IF(AND(IFERROR(INDEX(VAT_Codes!$E:$E,MATCH($N1447,VAT_Codes!$A:$A,0)),"ANY")&lt;&gt;"ANY",$P1447&lt;&gt;IFERROR(INDEX(VAT_Codes!$E:$E,MATCH($N1447,VAT_Codes!$A:$A,0)),"ANY")),"REGION MISMATCH","OK")))))))</f>
        <v/>
      </c>
    </row>
    <row r="1448" customFormat="false" ht="15" hidden="false" customHeight="false" outlineLevel="0" collapsed="false">
      <c r="M1448" s="24" t="str">
        <f aca="false">IF($C1448="","",IFERROR(INDEX(Account_Mapping!$C:$C,MATCH($C1448&amp;"",Account_Mapping!$A:$A,0))&amp;"",""))</f>
        <v/>
      </c>
      <c r="N1448" s="24" t="str">
        <f aca="false">IF($K1448&lt;&gt;"",$K1448,$M1448)</f>
        <v/>
      </c>
      <c r="O1448" s="24" t="str">
        <f aca="false">IF($F1448="","",IFERROR(INDEX(Counterparties!$C:$C,MATCH($F1448&amp;"",Counterparties!$A:$A,0))&amp;"",""))</f>
        <v/>
      </c>
      <c r="P1448" s="24" t="str">
        <f aca="false">IF($O1448="","",IF($O1448="CY","CY",IF(ISNUMBER(MATCH($O1448,Lists!$A:$A,0)),"EU","3RD")))</f>
        <v/>
      </c>
      <c r="Q1448" s="24" t="str">
        <f aca="false">IF($F1448="","N",IFERROR(IF(INDEX(Counterparties!$E:$E,MATCH($F1448&amp;"",Counterparties!$A:$A,0))="Y","Y","N"),"N"))</f>
        <v>N</v>
      </c>
      <c r="R1448" s="25" t="n">
        <f aca="false">IF(OR($H1448="",$H1448="EUR"),1,IFERROR(INDEX(FX_Rates!$D:$D,MATCH($H1448,FX_Rates!$A:$A,0)),""))</f>
        <v>1</v>
      </c>
      <c r="S1448" s="26" t="str">
        <f aca="false">IF(AND($I1448="",$J1448=""),"",IF($J1448&lt;&gt;"",$J1448,IF(OR($R1448="",$R1448=0),"",ROUND($I1448/$R1448,2))))</f>
        <v/>
      </c>
      <c r="T1448" s="24" t="str">
        <f aca="false">IF($N1448="","",IFERROR(INDEX(VAT_Codes!$C:$C,MATCH($N1448,VAT_Codes!$A:$A,0)),"")&amp;"")</f>
        <v/>
      </c>
      <c r="U1448" s="26" t="n">
        <f aca="false">IF(OR($S1448="",$T1448="",$T1448="None"),0,IF($T1448="Output",-$S1448,$S1448))</f>
        <v>0</v>
      </c>
      <c r="V1448" s="27" t="n">
        <f aca="false">IF($N1448="",0,IFERROR(INDEX(VAT_Codes!$D:$D,MATCH($N1448,VAT_Codes!$A:$A,0)),0))</f>
        <v>0</v>
      </c>
      <c r="W1448" s="26" t="n">
        <f aca="false">IF($U1448=0,0,IF(IFERROR(INDEX(VAT_Codes!$F:$F,MATCH($N1448,VAT_Codes!$A:$A,0)),"N")="Y",$U1448,IF($L1448&lt;&gt;"",ROUND(ABS($L1448)/IF(OR($R1448="",$R1448=0),1,$R1448),2)*SIGN($U1448),ROUND($U1448*$V1448,2))))</f>
        <v>0</v>
      </c>
      <c r="X1448" s="24" t="str">
        <f aca="false">IF($N1448="","",IFERROR(INDEX(VAT_Codes!$H:$H,MATCH($N1448,VAT_Codes!$A:$A,0)),"")&amp;"")</f>
        <v/>
      </c>
      <c r="Y1448" s="24" t="str">
        <f aca="false">IF($A1448="","",(YEAR($A1448)-YEAR(Settings!$C$8))*12+MONTH($A1448)-MONTH(Settings!$C$8)+1)</f>
        <v/>
      </c>
      <c r="Z1448" s="24" t="str">
        <f aca="false">IF(AND($C1448="",$I1448="",$J1448=""),"",IF($N1448="","NO VAT CODE",IF($T1448="","UNKNOWN VAT CODE",IF($S1448="","MISSING FX RATE",IF(OR($A1448&lt;Settings!$C$8,$A1448&gt;Settings!$C$9),"OUTSIDE PERIOD",IF(AND(IFERROR(INDEX(VAT_Codes!$E:$E,MATCH($N1448,VAT_Codes!$A:$A,0)),"ANY")&lt;&gt;"ANY",$P1448=""),"MISSING COUNTERPARTY COUNTRY",IF(AND(IFERROR(INDEX(VAT_Codes!$E:$E,MATCH($N1448,VAT_Codes!$A:$A,0)),"ANY")&lt;&gt;"ANY",$P1448&lt;&gt;IFERROR(INDEX(VAT_Codes!$E:$E,MATCH($N1448,VAT_Codes!$A:$A,0)),"ANY")),"REGION MISMATCH","OK")))))))</f>
        <v/>
      </c>
    </row>
    <row r="1449" customFormat="false" ht="15" hidden="false" customHeight="false" outlineLevel="0" collapsed="false">
      <c r="M1449" s="24" t="str">
        <f aca="false">IF($C1449="","",IFERROR(INDEX(Account_Mapping!$C:$C,MATCH($C1449&amp;"",Account_Mapping!$A:$A,0))&amp;"",""))</f>
        <v/>
      </c>
      <c r="N1449" s="24" t="str">
        <f aca="false">IF($K1449&lt;&gt;"",$K1449,$M1449)</f>
        <v/>
      </c>
      <c r="O1449" s="24" t="str">
        <f aca="false">IF($F1449="","",IFERROR(INDEX(Counterparties!$C:$C,MATCH($F1449&amp;"",Counterparties!$A:$A,0))&amp;"",""))</f>
        <v/>
      </c>
      <c r="P1449" s="24" t="str">
        <f aca="false">IF($O1449="","",IF($O1449="CY","CY",IF(ISNUMBER(MATCH($O1449,Lists!$A:$A,0)),"EU","3RD")))</f>
        <v/>
      </c>
      <c r="Q1449" s="24" t="str">
        <f aca="false">IF($F1449="","N",IFERROR(IF(INDEX(Counterparties!$E:$E,MATCH($F1449&amp;"",Counterparties!$A:$A,0))="Y","Y","N"),"N"))</f>
        <v>N</v>
      </c>
      <c r="R1449" s="25" t="n">
        <f aca="false">IF(OR($H1449="",$H1449="EUR"),1,IFERROR(INDEX(FX_Rates!$D:$D,MATCH($H1449,FX_Rates!$A:$A,0)),""))</f>
        <v>1</v>
      </c>
      <c r="S1449" s="26" t="str">
        <f aca="false">IF(AND($I1449="",$J1449=""),"",IF($J1449&lt;&gt;"",$J1449,IF(OR($R1449="",$R1449=0),"",ROUND($I1449/$R1449,2))))</f>
        <v/>
      </c>
      <c r="T1449" s="24" t="str">
        <f aca="false">IF($N1449="","",IFERROR(INDEX(VAT_Codes!$C:$C,MATCH($N1449,VAT_Codes!$A:$A,0)),"")&amp;"")</f>
        <v/>
      </c>
      <c r="U1449" s="26" t="n">
        <f aca="false">IF(OR($S1449="",$T1449="",$T1449="None"),0,IF($T1449="Output",-$S1449,$S1449))</f>
        <v>0</v>
      </c>
      <c r="V1449" s="27" t="n">
        <f aca="false">IF($N1449="",0,IFERROR(INDEX(VAT_Codes!$D:$D,MATCH($N1449,VAT_Codes!$A:$A,0)),0))</f>
        <v>0</v>
      </c>
      <c r="W1449" s="26" t="n">
        <f aca="false">IF($U1449=0,0,IF(IFERROR(INDEX(VAT_Codes!$F:$F,MATCH($N1449,VAT_Codes!$A:$A,0)),"N")="Y",$U1449,IF($L1449&lt;&gt;"",ROUND(ABS($L1449)/IF(OR($R1449="",$R1449=0),1,$R1449),2)*SIGN($U1449),ROUND($U1449*$V1449,2))))</f>
        <v>0</v>
      </c>
      <c r="X1449" s="24" t="str">
        <f aca="false">IF($N1449="","",IFERROR(INDEX(VAT_Codes!$H:$H,MATCH($N1449,VAT_Codes!$A:$A,0)),"")&amp;"")</f>
        <v/>
      </c>
      <c r="Y1449" s="24" t="str">
        <f aca="false">IF($A1449="","",(YEAR($A1449)-YEAR(Settings!$C$8))*12+MONTH($A1449)-MONTH(Settings!$C$8)+1)</f>
        <v/>
      </c>
      <c r="Z1449" s="24" t="str">
        <f aca="false">IF(AND($C1449="",$I1449="",$J1449=""),"",IF($N1449="","NO VAT CODE",IF($T1449="","UNKNOWN VAT CODE",IF($S1449="","MISSING FX RATE",IF(OR($A1449&lt;Settings!$C$8,$A1449&gt;Settings!$C$9),"OUTSIDE PERIOD",IF(AND(IFERROR(INDEX(VAT_Codes!$E:$E,MATCH($N1449,VAT_Codes!$A:$A,0)),"ANY")&lt;&gt;"ANY",$P1449=""),"MISSING COUNTERPARTY COUNTRY",IF(AND(IFERROR(INDEX(VAT_Codes!$E:$E,MATCH($N1449,VAT_Codes!$A:$A,0)),"ANY")&lt;&gt;"ANY",$P1449&lt;&gt;IFERROR(INDEX(VAT_Codes!$E:$E,MATCH($N1449,VAT_Codes!$A:$A,0)),"ANY")),"REGION MISMATCH","OK")))))))</f>
        <v/>
      </c>
    </row>
    <row r="1450" customFormat="false" ht="15" hidden="false" customHeight="false" outlineLevel="0" collapsed="false">
      <c r="M1450" s="24" t="str">
        <f aca="false">IF($C1450="","",IFERROR(INDEX(Account_Mapping!$C:$C,MATCH($C1450&amp;"",Account_Mapping!$A:$A,0))&amp;"",""))</f>
        <v/>
      </c>
      <c r="N1450" s="24" t="str">
        <f aca="false">IF($K1450&lt;&gt;"",$K1450,$M1450)</f>
        <v/>
      </c>
      <c r="O1450" s="24" t="str">
        <f aca="false">IF($F1450="","",IFERROR(INDEX(Counterparties!$C:$C,MATCH($F1450&amp;"",Counterparties!$A:$A,0))&amp;"",""))</f>
        <v/>
      </c>
      <c r="P1450" s="24" t="str">
        <f aca="false">IF($O1450="","",IF($O1450="CY","CY",IF(ISNUMBER(MATCH($O1450,Lists!$A:$A,0)),"EU","3RD")))</f>
        <v/>
      </c>
      <c r="Q1450" s="24" t="str">
        <f aca="false">IF($F1450="","N",IFERROR(IF(INDEX(Counterparties!$E:$E,MATCH($F1450&amp;"",Counterparties!$A:$A,0))="Y","Y","N"),"N"))</f>
        <v>N</v>
      </c>
      <c r="R1450" s="25" t="n">
        <f aca="false">IF(OR($H1450="",$H1450="EUR"),1,IFERROR(INDEX(FX_Rates!$D:$D,MATCH($H1450,FX_Rates!$A:$A,0)),""))</f>
        <v>1</v>
      </c>
      <c r="S1450" s="26" t="str">
        <f aca="false">IF(AND($I1450="",$J1450=""),"",IF($J1450&lt;&gt;"",$J1450,IF(OR($R1450="",$R1450=0),"",ROUND($I1450/$R1450,2))))</f>
        <v/>
      </c>
      <c r="T1450" s="24" t="str">
        <f aca="false">IF($N1450="","",IFERROR(INDEX(VAT_Codes!$C:$C,MATCH($N1450,VAT_Codes!$A:$A,0)),"")&amp;"")</f>
        <v/>
      </c>
      <c r="U1450" s="26" t="n">
        <f aca="false">IF(OR($S1450="",$T1450="",$T1450="None"),0,IF($T1450="Output",-$S1450,$S1450))</f>
        <v>0</v>
      </c>
      <c r="V1450" s="27" t="n">
        <f aca="false">IF($N1450="",0,IFERROR(INDEX(VAT_Codes!$D:$D,MATCH($N1450,VAT_Codes!$A:$A,0)),0))</f>
        <v>0</v>
      </c>
      <c r="W1450" s="26" t="n">
        <f aca="false">IF($U1450=0,0,IF(IFERROR(INDEX(VAT_Codes!$F:$F,MATCH($N1450,VAT_Codes!$A:$A,0)),"N")="Y",$U1450,IF($L1450&lt;&gt;"",ROUND(ABS($L1450)/IF(OR($R1450="",$R1450=0),1,$R1450),2)*SIGN($U1450),ROUND($U1450*$V1450,2))))</f>
        <v>0</v>
      </c>
      <c r="X1450" s="24" t="str">
        <f aca="false">IF($N1450="","",IFERROR(INDEX(VAT_Codes!$H:$H,MATCH($N1450,VAT_Codes!$A:$A,0)),"")&amp;"")</f>
        <v/>
      </c>
      <c r="Y1450" s="24" t="str">
        <f aca="false">IF($A1450="","",(YEAR($A1450)-YEAR(Settings!$C$8))*12+MONTH($A1450)-MONTH(Settings!$C$8)+1)</f>
        <v/>
      </c>
      <c r="Z1450" s="24" t="str">
        <f aca="false">IF(AND($C1450="",$I1450="",$J1450=""),"",IF($N1450="","NO VAT CODE",IF($T1450="","UNKNOWN VAT CODE",IF($S1450="","MISSING FX RATE",IF(OR($A1450&lt;Settings!$C$8,$A1450&gt;Settings!$C$9),"OUTSIDE PERIOD",IF(AND(IFERROR(INDEX(VAT_Codes!$E:$E,MATCH($N1450,VAT_Codes!$A:$A,0)),"ANY")&lt;&gt;"ANY",$P1450=""),"MISSING COUNTERPARTY COUNTRY",IF(AND(IFERROR(INDEX(VAT_Codes!$E:$E,MATCH($N1450,VAT_Codes!$A:$A,0)),"ANY")&lt;&gt;"ANY",$P1450&lt;&gt;IFERROR(INDEX(VAT_Codes!$E:$E,MATCH($N1450,VAT_Codes!$A:$A,0)),"ANY")),"REGION MISMATCH","OK")))))))</f>
        <v/>
      </c>
    </row>
    <row r="1451" customFormat="false" ht="15" hidden="false" customHeight="false" outlineLevel="0" collapsed="false">
      <c r="M1451" s="24" t="str">
        <f aca="false">IF($C1451="","",IFERROR(INDEX(Account_Mapping!$C:$C,MATCH($C1451&amp;"",Account_Mapping!$A:$A,0))&amp;"",""))</f>
        <v/>
      </c>
      <c r="N1451" s="24" t="str">
        <f aca="false">IF($K1451&lt;&gt;"",$K1451,$M1451)</f>
        <v/>
      </c>
      <c r="O1451" s="24" t="str">
        <f aca="false">IF($F1451="","",IFERROR(INDEX(Counterparties!$C:$C,MATCH($F1451&amp;"",Counterparties!$A:$A,0))&amp;"",""))</f>
        <v/>
      </c>
      <c r="P1451" s="24" t="str">
        <f aca="false">IF($O1451="","",IF($O1451="CY","CY",IF(ISNUMBER(MATCH($O1451,Lists!$A:$A,0)),"EU","3RD")))</f>
        <v/>
      </c>
      <c r="Q1451" s="24" t="str">
        <f aca="false">IF($F1451="","N",IFERROR(IF(INDEX(Counterparties!$E:$E,MATCH($F1451&amp;"",Counterparties!$A:$A,0))="Y","Y","N"),"N"))</f>
        <v>N</v>
      </c>
      <c r="R1451" s="25" t="n">
        <f aca="false">IF(OR($H1451="",$H1451="EUR"),1,IFERROR(INDEX(FX_Rates!$D:$D,MATCH($H1451,FX_Rates!$A:$A,0)),""))</f>
        <v>1</v>
      </c>
      <c r="S1451" s="26" t="str">
        <f aca="false">IF(AND($I1451="",$J1451=""),"",IF($J1451&lt;&gt;"",$J1451,IF(OR($R1451="",$R1451=0),"",ROUND($I1451/$R1451,2))))</f>
        <v/>
      </c>
      <c r="T1451" s="24" t="str">
        <f aca="false">IF($N1451="","",IFERROR(INDEX(VAT_Codes!$C:$C,MATCH($N1451,VAT_Codes!$A:$A,0)),"")&amp;"")</f>
        <v/>
      </c>
      <c r="U1451" s="26" t="n">
        <f aca="false">IF(OR($S1451="",$T1451="",$T1451="None"),0,IF($T1451="Output",-$S1451,$S1451))</f>
        <v>0</v>
      </c>
      <c r="V1451" s="27" t="n">
        <f aca="false">IF($N1451="",0,IFERROR(INDEX(VAT_Codes!$D:$D,MATCH($N1451,VAT_Codes!$A:$A,0)),0))</f>
        <v>0</v>
      </c>
      <c r="W1451" s="26" t="n">
        <f aca="false">IF($U1451=0,0,IF(IFERROR(INDEX(VAT_Codes!$F:$F,MATCH($N1451,VAT_Codes!$A:$A,0)),"N")="Y",$U1451,IF($L1451&lt;&gt;"",ROUND(ABS($L1451)/IF(OR($R1451="",$R1451=0),1,$R1451),2)*SIGN($U1451),ROUND($U1451*$V1451,2))))</f>
        <v>0</v>
      </c>
      <c r="X1451" s="24" t="str">
        <f aca="false">IF($N1451="","",IFERROR(INDEX(VAT_Codes!$H:$H,MATCH($N1451,VAT_Codes!$A:$A,0)),"")&amp;"")</f>
        <v/>
      </c>
      <c r="Y1451" s="24" t="str">
        <f aca="false">IF($A1451="","",(YEAR($A1451)-YEAR(Settings!$C$8))*12+MONTH($A1451)-MONTH(Settings!$C$8)+1)</f>
        <v/>
      </c>
      <c r="Z1451" s="24" t="str">
        <f aca="false">IF(AND($C1451="",$I1451="",$J1451=""),"",IF($N1451="","NO VAT CODE",IF($T1451="","UNKNOWN VAT CODE",IF($S1451="","MISSING FX RATE",IF(OR($A1451&lt;Settings!$C$8,$A1451&gt;Settings!$C$9),"OUTSIDE PERIOD",IF(AND(IFERROR(INDEX(VAT_Codes!$E:$E,MATCH($N1451,VAT_Codes!$A:$A,0)),"ANY")&lt;&gt;"ANY",$P1451=""),"MISSING COUNTERPARTY COUNTRY",IF(AND(IFERROR(INDEX(VAT_Codes!$E:$E,MATCH($N1451,VAT_Codes!$A:$A,0)),"ANY")&lt;&gt;"ANY",$P1451&lt;&gt;IFERROR(INDEX(VAT_Codes!$E:$E,MATCH($N1451,VAT_Codes!$A:$A,0)),"ANY")),"REGION MISMATCH","OK")))))))</f>
        <v/>
      </c>
    </row>
    <row r="1452" customFormat="false" ht="15" hidden="false" customHeight="false" outlineLevel="0" collapsed="false">
      <c r="M1452" s="24" t="str">
        <f aca="false">IF($C1452="","",IFERROR(INDEX(Account_Mapping!$C:$C,MATCH($C1452&amp;"",Account_Mapping!$A:$A,0))&amp;"",""))</f>
        <v/>
      </c>
      <c r="N1452" s="24" t="str">
        <f aca="false">IF($K1452&lt;&gt;"",$K1452,$M1452)</f>
        <v/>
      </c>
      <c r="O1452" s="24" t="str">
        <f aca="false">IF($F1452="","",IFERROR(INDEX(Counterparties!$C:$C,MATCH($F1452&amp;"",Counterparties!$A:$A,0))&amp;"",""))</f>
        <v/>
      </c>
      <c r="P1452" s="24" t="str">
        <f aca="false">IF($O1452="","",IF($O1452="CY","CY",IF(ISNUMBER(MATCH($O1452,Lists!$A:$A,0)),"EU","3RD")))</f>
        <v/>
      </c>
      <c r="Q1452" s="24" t="str">
        <f aca="false">IF($F1452="","N",IFERROR(IF(INDEX(Counterparties!$E:$E,MATCH($F1452&amp;"",Counterparties!$A:$A,0))="Y","Y","N"),"N"))</f>
        <v>N</v>
      </c>
      <c r="R1452" s="25" t="n">
        <f aca="false">IF(OR($H1452="",$H1452="EUR"),1,IFERROR(INDEX(FX_Rates!$D:$D,MATCH($H1452,FX_Rates!$A:$A,0)),""))</f>
        <v>1</v>
      </c>
      <c r="S1452" s="26" t="str">
        <f aca="false">IF(AND($I1452="",$J1452=""),"",IF($J1452&lt;&gt;"",$J1452,IF(OR($R1452="",$R1452=0),"",ROUND($I1452/$R1452,2))))</f>
        <v/>
      </c>
      <c r="T1452" s="24" t="str">
        <f aca="false">IF($N1452="","",IFERROR(INDEX(VAT_Codes!$C:$C,MATCH($N1452,VAT_Codes!$A:$A,0)),"")&amp;"")</f>
        <v/>
      </c>
      <c r="U1452" s="26" t="n">
        <f aca="false">IF(OR($S1452="",$T1452="",$T1452="None"),0,IF($T1452="Output",-$S1452,$S1452))</f>
        <v>0</v>
      </c>
      <c r="V1452" s="27" t="n">
        <f aca="false">IF($N1452="",0,IFERROR(INDEX(VAT_Codes!$D:$D,MATCH($N1452,VAT_Codes!$A:$A,0)),0))</f>
        <v>0</v>
      </c>
      <c r="W1452" s="26" t="n">
        <f aca="false">IF($U1452=0,0,IF(IFERROR(INDEX(VAT_Codes!$F:$F,MATCH($N1452,VAT_Codes!$A:$A,0)),"N")="Y",$U1452,IF($L1452&lt;&gt;"",ROUND(ABS($L1452)/IF(OR($R1452="",$R1452=0),1,$R1452),2)*SIGN($U1452),ROUND($U1452*$V1452,2))))</f>
        <v>0</v>
      </c>
      <c r="X1452" s="24" t="str">
        <f aca="false">IF($N1452="","",IFERROR(INDEX(VAT_Codes!$H:$H,MATCH($N1452,VAT_Codes!$A:$A,0)),"")&amp;"")</f>
        <v/>
      </c>
      <c r="Y1452" s="24" t="str">
        <f aca="false">IF($A1452="","",(YEAR($A1452)-YEAR(Settings!$C$8))*12+MONTH($A1452)-MONTH(Settings!$C$8)+1)</f>
        <v/>
      </c>
      <c r="Z1452" s="24" t="str">
        <f aca="false">IF(AND($C1452="",$I1452="",$J1452=""),"",IF($N1452="","NO VAT CODE",IF($T1452="","UNKNOWN VAT CODE",IF($S1452="","MISSING FX RATE",IF(OR($A1452&lt;Settings!$C$8,$A1452&gt;Settings!$C$9),"OUTSIDE PERIOD",IF(AND(IFERROR(INDEX(VAT_Codes!$E:$E,MATCH($N1452,VAT_Codes!$A:$A,0)),"ANY")&lt;&gt;"ANY",$P1452=""),"MISSING COUNTERPARTY COUNTRY",IF(AND(IFERROR(INDEX(VAT_Codes!$E:$E,MATCH($N1452,VAT_Codes!$A:$A,0)),"ANY")&lt;&gt;"ANY",$P1452&lt;&gt;IFERROR(INDEX(VAT_Codes!$E:$E,MATCH($N1452,VAT_Codes!$A:$A,0)),"ANY")),"REGION MISMATCH","OK")))))))</f>
        <v/>
      </c>
    </row>
    <row r="1453" customFormat="false" ht="15" hidden="false" customHeight="false" outlineLevel="0" collapsed="false">
      <c r="M1453" s="24" t="str">
        <f aca="false">IF($C1453="","",IFERROR(INDEX(Account_Mapping!$C:$C,MATCH($C1453&amp;"",Account_Mapping!$A:$A,0))&amp;"",""))</f>
        <v/>
      </c>
      <c r="N1453" s="24" t="str">
        <f aca="false">IF($K1453&lt;&gt;"",$K1453,$M1453)</f>
        <v/>
      </c>
      <c r="O1453" s="24" t="str">
        <f aca="false">IF($F1453="","",IFERROR(INDEX(Counterparties!$C:$C,MATCH($F1453&amp;"",Counterparties!$A:$A,0))&amp;"",""))</f>
        <v/>
      </c>
      <c r="P1453" s="24" t="str">
        <f aca="false">IF($O1453="","",IF($O1453="CY","CY",IF(ISNUMBER(MATCH($O1453,Lists!$A:$A,0)),"EU","3RD")))</f>
        <v/>
      </c>
      <c r="Q1453" s="24" t="str">
        <f aca="false">IF($F1453="","N",IFERROR(IF(INDEX(Counterparties!$E:$E,MATCH($F1453&amp;"",Counterparties!$A:$A,0))="Y","Y","N"),"N"))</f>
        <v>N</v>
      </c>
      <c r="R1453" s="25" t="n">
        <f aca="false">IF(OR($H1453="",$H1453="EUR"),1,IFERROR(INDEX(FX_Rates!$D:$D,MATCH($H1453,FX_Rates!$A:$A,0)),""))</f>
        <v>1</v>
      </c>
      <c r="S1453" s="26" t="str">
        <f aca="false">IF(AND($I1453="",$J1453=""),"",IF($J1453&lt;&gt;"",$J1453,IF(OR($R1453="",$R1453=0),"",ROUND($I1453/$R1453,2))))</f>
        <v/>
      </c>
      <c r="T1453" s="24" t="str">
        <f aca="false">IF($N1453="","",IFERROR(INDEX(VAT_Codes!$C:$C,MATCH($N1453,VAT_Codes!$A:$A,0)),"")&amp;"")</f>
        <v/>
      </c>
      <c r="U1453" s="26" t="n">
        <f aca="false">IF(OR($S1453="",$T1453="",$T1453="None"),0,IF($T1453="Output",-$S1453,$S1453))</f>
        <v>0</v>
      </c>
      <c r="V1453" s="27" t="n">
        <f aca="false">IF($N1453="",0,IFERROR(INDEX(VAT_Codes!$D:$D,MATCH($N1453,VAT_Codes!$A:$A,0)),0))</f>
        <v>0</v>
      </c>
      <c r="W1453" s="26" t="n">
        <f aca="false">IF($U1453=0,0,IF(IFERROR(INDEX(VAT_Codes!$F:$F,MATCH($N1453,VAT_Codes!$A:$A,0)),"N")="Y",$U1453,IF($L1453&lt;&gt;"",ROUND(ABS($L1453)/IF(OR($R1453="",$R1453=0),1,$R1453),2)*SIGN($U1453),ROUND($U1453*$V1453,2))))</f>
        <v>0</v>
      </c>
      <c r="X1453" s="24" t="str">
        <f aca="false">IF($N1453="","",IFERROR(INDEX(VAT_Codes!$H:$H,MATCH($N1453,VAT_Codes!$A:$A,0)),"")&amp;"")</f>
        <v/>
      </c>
      <c r="Y1453" s="24" t="str">
        <f aca="false">IF($A1453="","",(YEAR($A1453)-YEAR(Settings!$C$8))*12+MONTH($A1453)-MONTH(Settings!$C$8)+1)</f>
        <v/>
      </c>
      <c r="Z1453" s="24" t="str">
        <f aca="false">IF(AND($C1453="",$I1453="",$J1453=""),"",IF($N1453="","NO VAT CODE",IF($T1453="","UNKNOWN VAT CODE",IF($S1453="","MISSING FX RATE",IF(OR($A1453&lt;Settings!$C$8,$A1453&gt;Settings!$C$9),"OUTSIDE PERIOD",IF(AND(IFERROR(INDEX(VAT_Codes!$E:$E,MATCH($N1453,VAT_Codes!$A:$A,0)),"ANY")&lt;&gt;"ANY",$P1453=""),"MISSING COUNTERPARTY COUNTRY",IF(AND(IFERROR(INDEX(VAT_Codes!$E:$E,MATCH($N1453,VAT_Codes!$A:$A,0)),"ANY")&lt;&gt;"ANY",$P1453&lt;&gt;IFERROR(INDEX(VAT_Codes!$E:$E,MATCH($N1453,VAT_Codes!$A:$A,0)),"ANY")),"REGION MISMATCH","OK")))))))</f>
        <v/>
      </c>
    </row>
    <row r="1454" customFormat="false" ht="15" hidden="false" customHeight="false" outlineLevel="0" collapsed="false">
      <c r="M1454" s="24" t="str">
        <f aca="false">IF($C1454="","",IFERROR(INDEX(Account_Mapping!$C:$C,MATCH($C1454&amp;"",Account_Mapping!$A:$A,0))&amp;"",""))</f>
        <v/>
      </c>
      <c r="N1454" s="24" t="str">
        <f aca="false">IF($K1454&lt;&gt;"",$K1454,$M1454)</f>
        <v/>
      </c>
      <c r="O1454" s="24" t="str">
        <f aca="false">IF($F1454="","",IFERROR(INDEX(Counterparties!$C:$C,MATCH($F1454&amp;"",Counterparties!$A:$A,0))&amp;"",""))</f>
        <v/>
      </c>
      <c r="P1454" s="24" t="str">
        <f aca="false">IF($O1454="","",IF($O1454="CY","CY",IF(ISNUMBER(MATCH($O1454,Lists!$A:$A,0)),"EU","3RD")))</f>
        <v/>
      </c>
      <c r="Q1454" s="24" t="str">
        <f aca="false">IF($F1454="","N",IFERROR(IF(INDEX(Counterparties!$E:$E,MATCH($F1454&amp;"",Counterparties!$A:$A,0))="Y","Y","N"),"N"))</f>
        <v>N</v>
      </c>
      <c r="R1454" s="25" t="n">
        <f aca="false">IF(OR($H1454="",$H1454="EUR"),1,IFERROR(INDEX(FX_Rates!$D:$D,MATCH($H1454,FX_Rates!$A:$A,0)),""))</f>
        <v>1</v>
      </c>
      <c r="S1454" s="26" t="str">
        <f aca="false">IF(AND($I1454="",$J1454=""),"",IF($J1454&lt;&gt;"",$J1454,IF(OR($R1454="",$R1454=0),"",ROUND($I1454/$R1454,2))))</f>
        <v/>
      </c>
      <c r="T1454" s="24" t="str">
        <f aca="false">IF($N1454="","",IFERROR(INDEX(VAT_Codes!$C:$C,MATCH($N1454,VAT_Codes!$A:$A,0)),"")&amp;"")</f>
        <v/>
      </c>
      <c r="U1454" s="26" t="n">
        <f aca="false">IF(OR($S1454="",$T1454="",$T1454="None"),0,IF($T1454="Output",-$S1454,$S1454))</f>
        <v>0</v>
      </c>
      <c r="V1454" s="27" t="n">
        <f aca="false">IF($N1454="",0,IFERROR(INDEX(VAT_Codes!$D:$D,MATCH($N1454,VAT_Codes!$A:$A,0)),0))</f>
        <v>0</v>
      </c>
      <c r="W1454" s="26" t="n">
        <f aca="false">IF($U1454=0,0,IF(IFERROR(INDEX(VAT_Codes!$F:$F,MATCH($N1454,VAT_Codes!$A:$A,0)),"N")="Y",$U1454,IF($L1454&lt;&gt;"",ROUND(ABS($L1454)/IF(OR($R1454="",$R1454=0),1,$R1454),2)*SIGN($U1454),ROUND($U1454*$V1454,2))))</f>
        <v>0</v>
      </c>
      <c r="X1454" s="24" t="str">
        <f aca="false">IF($N1454="","",IFERROR(INDEX(VAT_Codes!$H:$H,MATCH($N1454,VAT_Codes!$A:$A,0)),"")&amp;"")</f>
        <v/>
      </c>
      <c r="Y1454" s="24" t="str">
        <f aca="false">IF($A1454="","",(YEAR($A1454)-YEAR(Settings!$C$8))*12+MONTH($A1454)-MONTH(Settings!$C$8)+1)</f>
        <v/>
      </c>
      <c r="Z1454" s="24" t="str">
        <f aca="false">IF(AND($C1454="",$I1454="",$J1454=""),"",IF($N1454="","NO VAT CODE",IF($T1454="","UNKNOWN VAT CODE",IF($S1454="","MISSING FX RATE",IF(OR($A1454&lt;Settings!$C$8,$A1454&gt;Settings!$C$9),"OUTSIDE PERIOD",IF(AND(IFERROR(INDEX(VAT_Codes!$E:$E,MATCH($N1454,VAT_Codes!$A:$A,0)),"ANY")&lt;&gt;"ANY",$P1454=""),"MISSING COUNTERPARTY COUNTRY",IF(AND(IFERROR(INDEX(VAT_Codes!$E:$E,MATCH($N1454,VAT_Codes!$A:$A,0)),"ANY")&lt;&gt;"ANY",$P1454&lt;&gt;IFERROR(INDEX(VAT_Codes!$E:$E,MATCH($N1454,VAT_Codes!$A:$A,0)),"ANY")),"REGION MISMATCH","OK")))))))</f>
        <v/>
      </c>
    </row>
    <row r="1455" customFormat="false" ht="15" hidden="false" customHeight="false" outlineLevel="0" collapsed="false">
      <c r="M1455" s="24" t="str">
        <f aca="false">IF($C1455="","",IFERROR(INDEX(Account_Mapping!$C:$C,MATCH($C1455&amp;"",Account_Mapping!$A:$A,0))&amp;"",""))</f>
        <v/>
      </c>
      <c r="N1455" s="24" t="str">
        <f aca="false">IF($K1455&lt;&gt;"",$K1455,$M1455)</f>
        <v/>
      </c>
      <c r="O1455" s="24" t="str">
        <f aca="false">IF($F1455="","",IFERROR(INDEX(Counterparties!$C:$C,MATCH($F1455&amp;"",Counterparties!$A:$A,0))&amp;"",""))</f>
        <v/>
      </c>
      <c r="P1455" s="24" t="str">
        <f aca="false">IF($O1455="","",IF($O1455="CY","CY",IF(ISNUMBER(MATCH($O1455,Lists!$A:$A,0)),"EU","3RD")))</f>
        <v/>
      </c>
      <c r="Q1455" s="24" t="str">
        <f aca="false">IF($F1455="","N",IFERROR(IF(INDEX(Counterparties!$E:$E,MATCH($F1455&amp;"",Counterparties!$A:$A,0))="Y","Y","N"),"N"))</f>
        <v>N</v>
      </c>
      <c r="R1455" s="25" t="n">
        <f aca="false">IF(OR($H1455="",$H1455="EUR"),1,IFERROR(INDEX(FX_Rates!$D:$D,MATCH($H1455,FX_Rates!$A:$A,0)),""))</f>
        <v>1</v>
      </c>
      <c r="S1455" s="26" t="str">
        <f aca="false">IF(AND($I1455="",$J1455=""),"",IF($J1455&lt;&gt;"",$J1455,IF(OR($R1455="",$R1455=0),"",ROUND($I1455/$R1455,2))))</f>
        <v/>
      </c>
      <c r="T1455" s="24" t="str">
        <f aca="false">IF($N1455="","",IFERROR(INDEX(VAT_Codes!$C:$C,MATCH($N1455,VAT_Codes!$A:$A,0)),"")&amp;"")</f>
        <v/>
      </c>
      <c r="U1455" s="26" t="n">
        <f aca="false">IF(OR($S1455="",$T1455="",$T1455="None"),0,IF($T1455="Output",-$S1455,$S1455))</f>
        <v>0</v>
      </c>
      <c r="V1455" s="27" t="n">
        <f aca="false">IF($N1455="",0,IFERROR(INDEX(VAT_Codes!$D:$D,MATCH($N1455,VAT_Codes!$A:$A,0)),0))</f>
        <v>0</v>
      </c>
      <c r="W1455" s="26" t="n">
        <f aca="false">IF($U1455=0,0,IF(IFERROR(INDEX(VAT_Codes!$F:$F,MATCH($N1455,VAT_Codes!$A:$A,0)),"N")="Y",$U1455,IF($L1455&lt;&gt;"",ROUND(ABS($L1455)/IF(OR($R1455="",$R1455=0),1,$R1455),2)*SIGN($U1455),ROUND($U1455*$V1455,2))))</f>
        <v>0</v>
      </c>
      <c r="X1455" s="24" t="str">
        <f aca="false">IF($N1455="","",IFERROR(INDEX(VAT_Codes!$H:$H,MATCH($N1455,VAT_Codes!$A:$A,0)),"")&amp;"")</f>
        <v/>
      </c>
      <c r="Y1455" s="24" t="str">
        <f aca="false">IF($A1455="","",(YEAR($A1455)-YEAR(Settings!$C$8))*12+MONTH($A1455)-MONTH(Settings!$C$8)+1)</f>
        <v/>
      </c>
      <c r="Z1455" s="24" t="str">
        <f aca="false">IF(AND($C1455="",$I1455="",$J1455=""),"",IF($N1455="","NO VAT CODE",IF($T1455="","UNKNOWN VAT CODE",IF($S1455="","MISSING FX RATE",IF(OR($A1455&lt;Settings!$C$8,$A1455&gt;Settings!$C$9),"OUTSIDE PERIOD",IF(AND(IFERROR(INDEX(VAT_Codes!$E:$E,MATCH($N1455,VAT_Codes!$A:$A,0)),"ANY")&lt;&gt;"ANY",$P1455=""),"MISSING COUNTERPARTY COUNTRY",IF(AND(IFERROR(INDEX(VAT_Codes!$E:$E,MATCH($N1455,VAT_Codes!$A:$A,0)),"ANY")&lt;&gt;"ANY",$P1455&lt;&gt;IFERROR(INDEX(VAT_Codes!$E:$E,MATCH($N1455,VAT_Codes!$A:$A,0)),"ANY")),"REGION MISMATCH","OK")))))))</f>
        <v/>
      </c>
    </row>
    <row r="1456" customFormat="false" ht="15" hidden="false" customHeight="false" outlineLevel="0" collapsed="false">
      <c r="M1456" s="24" t="str">
        <f aca="false">IF($C1456="","",IFERROR(INDEX(Account_Mapping!$C:$C,MATCH($C1456&amp;"",Account_Mapping!$A:$A,0))&amp;"",""))</f>
        <v/>
      </c>
      <c r="N1456" s="24" t="str">
        <f aca="false">IF($K1456&lt;&gt;"",$K1456,$M1456)</f>
        <v/>
      </c>
      <c r="O1456" s="24" t="str">
        <f aca="false">IF($F1456="","",IFERROR(INDEX(Counterparties!$C:$C,MATCH($F1456&amp;"",Counterparties!$A:$A,0))&amp;"",""))</f>
        <v/>
      </c>
      <c r="P1456" s="24" t="str">
        <f aca="false">IF($O1456="","",IF($O1456="CY","CY",IF(ISNUMBER(MATCH($O1456,Lists!$A:$A,0)),"EU","3RD")))</f>
        <v/>
      </c>
      <c r="Q1456" s="24" t="str">
        <f aca="false">IF($F1456="","N",IFERROR(IF(INDEX(Counterparties!$E:$E,MATCH($F1456&amp;"",Counterparties!$A:$A,0))="Y","Y","N"),"N"))</f>
        <v>N</v>
      </c>
      <c r="R1456" s="25" t="n">
        <f aca="false">IF(OR($H1456="",$H1456="EUR"),1,IFERROR(INDEX(FX_Rates!$D:$D,MATCH($H1456,FX_Rates!$A:$A,0)),""))</f>
        <v>1</v>
      </c>
      <c r="S1456" s="26" t="str">
        <f aca="false">IF(AND($I1456="",$J1456=""),"",IF($J1456&lt;&gt;"",$J1456,IF(OR($R1456="",$R1456=0),"",ROUND($I1456/$R1456,2))))</f>
        <v/>
      </c>
      <c r="T1456" s="24" t="str">
        <f aca="false">IF($N1456="","",IFERROR(INDEX(VAT_Codes!$C:$C,MATCH($N1456,VAT_Codes!$A:$A,0)),"")&amp;"")</f>
        <v/>
      </c>
      <c r="U1456" s="26" t="n">
        <f aca="false">IF(OR($S1456="",$T1456="",$T1456="None"),0,IF($T1456="Output",-$S1456,$S1456))</f>
        <v>0</v>
      </c>
      <c r="V1456" s="27" t="n">
        <f aca="false">IF($N1456="",0,IFERROR(INDEX(VAT_Codes!$D:$D,MATCH($N1456,VAT_Codes!$A:$A,0)),0))</f>
        <v>0</v>
      </c>
      <c r="W1456" s="26" t="n">
        <f aca="false">IF($U1456=0,0,IF(IFERROR(INDEX(VAT_Codes!$F:$F,MATCH($N1456,VAT_Codes!$A:$A,0)),"N")="Y",$U1456,IF($L1456&lt;&gt;"",ROUND(ABS($L1456)/IF(OR($R1456="",$R1456=0),1,$R1456),2)*SIGN($U1456),ROUND($U1456*$V1456,2))))</f>
        <v>0</v>
      </c>
      <c r="X1456" s="24" t="str">
        <f aca="false">IF($N1456="","",IFERROR(INDEX(VAT_Codes!$H:$H,MATCH($N1456,VAT_Codes!$A:$A,0)),"")&amp;"")</f>
        <v/>
      </c>
      <c r="Y1456" s="24" t="str">
        <f aca="false">IF($A1456="","",(YEAR($A1456)-YEAR(Settings!$C$8))*12+MONTH($A1456)-MONTH(Settings!$C$8)+1)</f>
        <v/>
      </c>
      <c r="Z1456" s="24" t="str">
        <f aca="false">IF(AND($C1456="",$I1456="",$J1456=""),"",IF($N1456="","NO VAT CODE",IF($T1456="","UNKNOWN VAT CODE",IF($S1456="","MISSING FX RATE",IF(OR($A1456&lt;Settings!$C$8,$A1456&gt;Settings!$C$9),"OUTSIDE PERIOD",IF(AND(IFERROR(INDEX(VAT_Codes!$E:$E,MATCH($N1456,VAT_Codes!$A:$A,0)),"ANY")&lt;&gt;"ANY",$P1456=""),"MISSING COUNTERPARTY COUNTRY",IF(AND(IFERROR(INDEX(VAT_Codes!$E:$E,MATCH($N1456,VAT_Codes!$A:$A,0)),"ANY")&lt;&gt;"ANY",$P1456&lt;&gt;IFERROR(INDEX(VAT_Codes!$E:$E,MATCH($N1456,VAT_Codes!$A:$A,0)),"ANY")),"REGION MISMATCH","OK")))))))</f>
        <v/>
      </c>
    </row>
    <row r="1457" customFormat="false" ht="15" hidden="false" customHeight="false" outlineLevel="0" collapsed="false">
      <c r="M1457" s="24" t="str">
        <f aca="false">IF($C1457="","",IFERROR(INDEX(Account_Mapping!$C:$C,MATCH($C1457&amp;"",Account_Mapping!$A:$A,0))&amp;"",""))</f>
        <v/>
      </c>
      <c r="N1457" s="24" t="str">
        <f aca="false">IF($K1457&lt;&gt;"",$K1457,$M1457)</f>
        <v/>
      </c>
      <c r="O1457" s="24" t="str">
        <f aca="false">IF($F1457="","",IFERROR(INDEX(Counterparties!$C:$C,MATCH($F1457&amp;"",Counterparties!$A:$A,0))&amp;"",""))</f>
        <v/>
      </c>
      <c r="P1457" s="24" t="str">
        <f aca="false">IF($O1457="","",IF($O1457="CY","CY",IF(ISNUMBER(MATCH($O1457,Lists!$A:$A,0)),"EU","3RD")))</f>
        <v/>
      </c>
      <c r="Q1457" s="24" t="str">
        <f aca="false">IF($F1457="","N",IFERROR(IF(INDEX(Counterparties!$E:$E,MATCH($F1457&amp;"",Counterparties!$A:$A,0))="Y","Y","N"),"N"))</f>
        <v>N</v>
      </c>
      <c r="R1457" s="25" t="n">
        <f aca="false">IF(OR($H1457="",$H1457="EUR"),1,IFERROR(INDEX(FX_Rates!$D:$D,MATCH($H1457,FX_Rates!$A:$A,0)),""))</f>
        <v>1</v>
      </c>
      <c r="S1457" s="26" t="str">
        <f aca="false">IF(AND($I1457="",$J1457=""),"",IF($J1457&lt;&gt;"",$J1457,IF(OR($R1457="",$R1457=0),"",ROUND($I1457/$R1457,2))))</f>
        <v/>
      </c>
      <c r="T1457" s="24" t="str">
        <f aca="false">IF($N1457="","",IFERROR(INDEX(VAT_Codes!$C:$C,MATCH($N1457,VAT_Codes!$A:$A,0)),"")&amp;"")</f>
        <v/>
      </c>
      <c r="U1457" s="26" t="n">
        <f aca="false">IF(OR($S1457="",$T1457="",$T1457="None"),0,IF($T1457="Output",-$S1457,$S1457))</f>
        <v>0</v>
      </c>
      <c r="V1457" s="27" t="n">
        <f aca="false">IF($N1457="",0,IFERROR(INDEX(VAT_Codes!$D:$D,MATCH($N1457,VAT_Codes!$A:$A,0)),0))</f>
        <v>0</v>
      </c>
      <c r="W1457" s="26" t="n">
        <f aca="false">IF($U1457=0,0,IF(IFERROR(INDEX(VAT_Codes!$F:$F,MATCH($N1457,VAT_Codes!$A:$A,0)),"N")="Y",$U1457,IF($L1457&lt;&gt;"",ROUND(ABS($L1457)/IF(OR($R1457="",$R1457=0),1,$R1457),2)*SIGN($U1457),ROUND($U1457*$V1457,2))))</f>
        <v>0</v>
      </c>
      <c r="X1457" s="24" t="str">
        <f aca="false">IF($N1457="","",IFERROR(INDEX(VAT_Codes!$H:$H,MATCH($N1457,VAT_Codes!$A:$A,0)),"")&amp;"")</f>
        <v/>
      </c>
      <c r="Y1457" s="24" t="str">
        <f aca="false">IF($A1457="","",(YEAR($A1457)-YEAR(Settings!$C$8))*12+MONTH($A1457)-MONTH(Settings!$C$8)+1)</f>
        <v/>
      </c>
      <c r="Z1457" s="24" t="str">
        <f aca="false">IF(AND($C1457="",$I1457="",$J1457=""),"",IF($N1457="","NO VAT CODE",IF($T1457="","UNKNOWN VAT CODE",IF($S1457="","MISSING FX RATE",IF(OR($A1457&lt;Settings!$C$8,$A1457&gt;Settings!$C$9),"OUTSIDE PERIOD",IF(AND(IFERROR(INDEX(VAT_Codes!$E:$E,MATCH($N1457,VAT_Codes!$A:$A,0)),"ANY")&lt;&gt;"ANY",$P1457=""),"MISSING COUNTERPARTY COUNTRY",IF(AND(IFERROR(INDEX(VAT_Codes!$E:$E,MATCH($N1457,VAT_Codes!$A:$A,0)),"ANY")&lt;&gt;"ANY",$P1457&lt;&gt;IFERROR(INDEX(VAT_Codes!$E:$E,MATCH($N1457,VAT_Codes!$A:$A,0)),"ANY")),"REGION MISMATCH","OK")))))))</f>
        <v/>
      </c>
    </row>
    <row r="1458" customFormat="false" ht="15" hidden="false" customHeight="false" outlineLevel="0" collapsed="false">
      <c r="M1458" s="24" t="str">
        <f aca="false">IF($C1458="","",IFERROR(INDEX(Account_Mapping!$C:$C,MATCH($C1458&amp;"",Account_Mapping!$A:$A,0))&amp;"",""))</f>
        <v/>
      </c>
      <c r="N1458" s="24" t="str">
        <f aca="false">IF($K1458&lt;&gt;"",$K1458,$M1458)</f>
        <v/>
      </c>
      <c r="O1458" s="24" t="str">
        <f aca="false">IF($F1458="","",IFERROR(INDEX(Counterparties!$C:$C,MATCH($F1458&amp;"",Counterparties!$A:$A,0))&amp;"",""))</f>
        <v/>
      </c>
      <c r="P1458" s="24" t="str">
        <f aca="false">IF($O1458="","",IF($O1458="CY","CY",IF(ISNUMBER(MATCH($O1458,Lists!$A:$A,0)),"EU","3RD")))</f>
        <v/>
      </c>
      <c r="Q1458" s="24" t="str">
        <f aca="false">IF($F1458="","N",IFERROR(IF(INDEX(Counterparties!$E:$E,MATCH($F1458&amp;"",Counterparties!$A:$A,0))="Y","Y","N"),"N"))</f>
        <v>N</v>
      </c>
      <c r="R1458" s="25" t="n">
        <f aca="false">IF(OR($H1458="",$H1458="EUR"),1,IFERROR(INDEX(FX_Rates!$D:$D,MATCH($H1458,FX_Rates!$A:$A,0)),""))</f>
        <v>1</v>
      </c>
      <c r="S1458" s="26" t="str">
        <f aca="false">IF(AND($I1458="",$J1458=""),"",IF($J1458&lt;&gt;"",$J1458,IF(OR($R1458="",$R1458=0),"",ROUND($I1458/$R1458,2))))</f>
        <v/>
      </c>
      <c r="T1458" s="24" t="str">
        <f aca="false">IF($N1458="","",IFERROR(INDEX(VAT_Codes!$C:$C,MATCH($N1458,VAT_Codes!$A:$A,0)),"")&amp;"")</f>
        <v/>
      </c>
      <c r="U1458" s="26" t="n">
        <f aca="false">IF(OR($S1458="",$T1458="",$T1458="None"),0,IF($T1458="Output",-$S1458,$S1458))</f>
        <v>0</v>
      </c>
      <c r="V1458" s="27" t="n">
        <f aca="false">IF($N1458="",0,IFERROR(INDEX(VAT_Codes!$D:$D,MATCH($N1458,VAT_Codes!$A:$A,0)),0))</f>
        <v>0</v>
      </c>
      <c r="W1458" s="26" t="n">
        <f aca="false">IF($U1458=0,0,IF(IFERROR(INDEX(VAT_Codes!$F:$F,MATCH($N1458,VAT_Codes!$A:$A,0)),"N")="Y",$U1458,IF($L1458&lt;&gt;"",ROUND(ABS($L1458)/IF(OR($R1458="",$R1458=0),1,$R1458),2)*SIGN($U1458),ROUND($U1458*$V1458,2))))</f>
        <v>0</v>
      </c>
      <c r="X1458" s="24" t="str">
        <f aca="false">IF($N1458="","",IFERROR(INDEX(VAT_Codes!$H:$H,MATCH($N1458,VAT_Codes!$A:$A,0)),"")&amp;"")</f>
        <v/>
      </c>
      <c r="Y1458" s="24" t="str">
        <f aca="false">IF($A1458="","",(YEAR($A1458)-YEAR(Settings!$C$8))*12+MONTH($A1458)-MONTH(Settings!$C$8)+1)</f>
        <v/>
      </c>
      <c r="Z1458" s="24" t="str">
        <f aca="false">IF(AND($C1458="",$I1458="",$J1458=""),"",IF($N1458="","NO VAT CODE",IF($T1458="","UNKNOWN VAT CODE",IF($S1458="","MISSING FX RATE",IF(OR($A1458&lt;Settings!$C$8,$A1458&gt;Settings!$C$9),"OUTSIDE PERIOD",IF(AND(IFERROR(INDEX(VAT_Codes!$E:$E,MATCH($N1458,VAT_Codes!$A:$A,0)),"ANY")&lt;&gt;"ANY",$P1458=""),"MISSING COUNTERPARTY COUNTRY",IF(AND(IFERROR(INDEX(VAT_Codes!$E:$E,MATCH($N1458,VAT_Codes!$A:$A,0)),"ANY")&lt;&gt;"ANY",$P1458&lt;&gt;IFERROR(INDEX(VAT_Codes!$E:$E,MATCH($N1458,VAT_Codes!$A:$A,0)),"ANY")),"REGION MISMATCH","OK")))))))</f>
        <v/>
      </c>
    </row>
    <row r="1459" customFormat="false" ht="15" hidden="false" customHeight="false" outlineLevel="0" collapsed="false">
      <c r="M1459" s="24" t="str">
        <f aca="false">IF($C1459="","",IFERROR(INDEX(Account_Mapping!$C:$C,MATCH($C1459&amp;"",Account_Mapping!$A:$A,0))&amp;"",""))</f>
        <v/>
      </c>
      <c r="N1459" s="24" t="str">
        <f aca="false">IF($K1459&lt;&gt;"",$K1459,$M1459)</f>
        <v/>
      </c>
      <c r="O1459" s="24" t="str">
        <f aca="false">IF($F1459="","",IFERROR(INDEX(Counterparties!$C:$C,MATCH($F1459&amp;"",Counterparties!$A:$A,0))&amp;"",""))</f>
        <v/>
      </c>
      <c r="P1459" s="24" t="str">
        <f aca="false">IF($O1459="","",IF($O1459="CY","CY",IF(ISNUMBER(MATCH($O1459,Lists!$A:$A,0)),"EU","3RD")))</f>
        <v/>
      </c>
      <c r="Q1459" s="24" t="str">
        <f aca="false">IF($F1459="","N",IFERROR(IF(INDEX(Counterparties!$E:$E,MATCH($F1459&amp;"",Counterparties!$A:$A,0))="Y","Y","N"),"N"))</f>
        <v>N</v>
      </c>
      <c r="R1459" s="25" t="n">
        <f aca="false">IF(OR($H1459="",$H1459="EUR"),1,IFERROR(INDEX(FX_Rates!$D:$D,MATCH($H1459,FX_Rates!$A:$A,0)),""))</f>
        <v>1</v>
      </c>
      <c r="S1459" s="26" t="str">
        <f aca="false">IF(AND($I1459="",$J1459=""),"",IF($J1459&lt;&gt;"",$J1459,IF(OR($R1459="",$R1459=0),"",ROUND($I1459/$R1459,2))))</f>
        <v/>
      </c>
      <c r="T1459" s="24" t="str">
        <f aca="false">IF($N1459="","",IFERROR(INDEX(VAT_Codes!$C:$C,MATCH($N1459,VAT_Codes!$A:$A,0)),"")&amp;"")</f>
        <v/>
      </c>
      <c r="U1459" s="26" t="n">
        <f aca="false">IF(OR($S1459="",$T1459="",$T1459="None"),0,IF($T1459="Output",-$S1459,$S1459))</f>
        <v>0</v>
      </c>
      <c r="V1459" s="27" t="n">
        <f aca="false">IF($N1459="",0,IFERROR(INDEX(VAT_Codes!$D:$D,MATCH($N1459,VAT_Codes!$A:$A,0)),0))</f>
        <v>0</v>
      </c>
      <c r="W1459" s="26" t="n">
        <f aca="false">IF($U1459=0,0,IF(IFERROR(INDEX(VAT_Codes!$F:$F,MATCH($N1459,VAT_Codes!$A:$A,0)),"N")="Y",$U1459,IF($L1459&lt;&gt;"",ROUND(ABS($L1459)/IF(OR($R1459="",$R1459=0),1,$R1459),2)*SIGN($U1459),ROUND($U1459*$V1459,2))))</f>
        <v>0</v>
      </c>
      <c r="X1459" s="24" t="str">
        <f aca="false">IF($N1459="","",IFERROR(INDEX(VAT_Codes!$H:$H,MATCH($N1459,VAT_Codes!$A:$A,0)),"")&amp;"")</f>
        <v/>
      </c>
      <c r="Y1459" s="24" t="str">
        <f aca="false">IF($A1459="","",(YEAR($A1459)-YEAR(Settings!$C$8))*12+MONTH($A1459)-MONTH(Settings!$C$8)+1)</f>
        <v/>
      </c>
      <c r="Z1459" s="24" t="str">
        <f aca="false">IF(AND($C1459="",$I1459="",$J1459=""),"",IF($N1459="","NO VAT CODE",IF($T1459="","UNKNOWN VAT CODE",IF($S1459="","MISSING FX RATE",IF(OR($A1459&lt;Settings!$C$8,$A1459&gt;Settings!$C$9),"OUTSIDE PERIOD",IF(AND(IFERROR(INDEX(VAT_Codes!$E:$E,MATCH($N1459,VAT_Codes!$A:$A,0)),"ANY")&lt;&gt;"ANY",$P1459=""),"MISSING COUNTERPARTY COUNTRY",IF(AND(IFERROR(INDEX(VAT_Codes!$E:$E,MATCH($N1459,VAT_Codes!$A:$A,0)),"ANY")&lt;&gt;"ANY",$P1459&lt;&gt;IFERROR(INDEX(VAT_Codes!$E:$E,MATCH($N1459,VAT_Codes!$A:$A,0)),"ANY")),"REGION MISMATCH","OK")))))))</f>
        <v/>
      </c>
    </row>
    <row r="1460" customFormat="false" ht="15" hidden="false" customHeight="false" outlineLevel="0" collapsed="false">
      <c r="M1460" s="24" t="str">
        <f aca="false">IF($C1460="","",IFERROR(INDEX(Account_Mapping!$C:$C,MATCH($C1460&amp;"",Account_Mapping!$A:$A,0))&amp;"",""))</f>
        <v/>
      </c>
      <c r="N1460" s="24" t="str">
        <f aca="false">IF($K1460&lt;&gt;"",$K1460,$M1460)</f>
        <v/>
      </c>
      <c r="O1460" s="24" t="str">
        <f aca="false">IF($F1460="","",IFERROR(INDEX(Counterparties!$C:$C,MATCH($F1460&amp;"",Counterparties!$A:$A,0))&amp;"",""))</f>
        <v/>
      </c>
      <c r="P1460" s="24" t="str">
        <f aca="false">IF($O1460="","",IF($O1460="CY","CY",IF(ISNUMBER(MATCH($O1460,Lists!$A:$A,0)),"EU","3RD")))</f>
        <v/>
      </c>
      <c r="Q1460" s="24" t="str">
        <f aca="false">IF($F1460="","N",IFERROR(IF(INDEX(Counterparties!$E:$E,MATCH($F1460&amp;"",Counterparties!$A:$A,0))="Y","Y","N"),"N"))</f>
        <v>N</v>
      </c>
      <c r="R1460" s="25" t="n">
        <f aca="false">IF(OR($H1460="",$H1460="EUR"),1,IFERROR(INDEX(FX_Rates!$D:$D,MATCH($H1460,FX_Rates!$A:$A,0)),""))</f>
        <v>1</v>
      </c>
      <c r="S1460" s="26" t="str">
        <f aca="false">IF(AND($I1460="",$J1460=""),"",IF($J1460&lt;&gt;"",$J1460,IF(OR($R1460="",$R1460=0),"",ROUND($I1460/$R1460,2))))</f>
        <v/>
      </c>
      <c r="T1460" s="24" t="str">
        <f aca="false">IF($N1460="","",IFERROR(INDEX(VAT_Codes!$C:$C,MATCH($N1460,VAT_Codes!$A:$A,0)),"")&amp;"")</f>
        <v/>
      </c>
      <c r="U1460" s="26" t="n">
        <f aca="false">IF(OR($S1460="",$T1460="",$T1460="None"),0,IF($T1460="Output",-$S1460,$S1460))</f>
        <v>0</v>
      </c>
      <c r="V1460" s="27" t="n">
        <f aca="false">IF($N1460="",0,IFERROR(INDEX(VAT_Codes!$D:$D,MATCH($N1460,VAT_Codes!$A:$A,0)),0))</f>
        <v>0</v>
      </c>
      <c r="W1460" s="26" t="n">
        <f aca="false">IF($U1460=0,0,IF(IFERROR(INDEX(VAT_Codes!$F:$F,MATCH($N1460,VAT_Codes!$A:$A,0)),"N")="Y",$U1460,IF($L1460&lt;&gt;"",ROUND(ABS($L1460)/IF(OR($R1460="",$R1460=0),1,$R1460),2)*SIGN($U1460),ROUND($U1460*$V1460,2))))</f>
        <v>0</v>
      </c>
      <c r="X1460" s="24" t="str">
        <f aca="false">IF($N1460="","",IFERROR(INDEX(VAT_Codes!$H:$H,MATCH($N1460,VAT_Codes!$A:$A,0)),"")&amp;"")</f>
        <v/>
      </c>
      <c r="Y1460" s="24" t="str">
        <f aca="false">IF($A1460="","",(YEAR($A1460)-YEAR(Settings!$C$8))*12+MONTH($A1460)-MONTH(Settings!$C$8)+1)</f>
        <v/>
      </c>
      <c r="Z1460" s="24" t="str">
        <f aca="false">IF(AND($C1460="",$I1460="",$J1460=""),"",IF($N1460="","NO VAT CODE",IF($T1460="","UNKNOWN VAT CODE",IF($S1460="","MISSING FX RATE",IF(OR($A1460&lt;Settings!$C$8,$A1460&gt;Settings!$C$9),"OUTSIDE PERIOD",IF(AND(IFERROR(INDEX(VAT_Codes!$E:$E,MATCH($N1460,VAT_Codes!$A:$A,0)),"ANY")&lt;&gt;"ANY",$P1460=""),"MISSING COUNTERPARTY COUNTRY",IF(AND(IFERROR(INDEX(VAT_Codes!$E:$E,MATCH($N1460,VAT_Codes!$A:$A,0)),"ANY")&lt;&gt;"ANY",$P1460&lt;&gt;IFERROR(INDEX(VAT_Codes!$E:$E,MATCH($N1460,VAT_Codes!$A:$A,0)),"ANY")),"REGION MISMATCH","OK")))))))</f>
        <v/>
      </c>
    </row>
    <row r="1461" customFormat="false" ht="15" hidden="false" customHeight="false" outlineLevel="0" collapsed="false">
      <c r="M1461" s="24" t="str">
        <f aca="false">IF($C1461="","",IFERROR(INDEX(Account_Mapping!$C:$C,MATCH($C1461&amp;"",Account_Mapping!$A:$A,0))&amp;"",""))</f>
        <v/>
      </c>
      <c r="N1461" s="24" t="str">
        <f aca="false">IF($K1461&lt;&gt;"",$K1461,$M1461)</f>
        <v/>
      </c>
      <c r="O1461" s="24" t="str">
        <f aca="false">IF($F1461="","",IFERROR(INDEX(Counterparties!$C:$C,MATCH($F1461&amp;"",Counterparties!$A:$A,0))&amp;"",""))</f>
        <v/>
      </c>
      <c r="P1461" s="24" t="str">
        <f aca="false">IF($O1461="","",IF($O1461="CY","CY",IF(ISNUMBER(MATCH($O1461,Lists!$A:$A,0)),"EU","3RD")))</f>
        <v/>
      </c>
      <c r="Q1461" s="24" t="str">
        <f aca="false">IF($F1461="","N",IFERROR(IF(INDEX(Counterparties!$E:$E,MATCH($F1461&amp;"",Counterparties!$A:$A,0))="Y","Y","N"),"N"))</f>
        <v>N</v>
      </c>
      <c r="R1461" s="25" t="n">
        <f aca="false">IF(OR($H1461="",$H1461="EUR"),1,IFERROR(INDEX(FX_Rates!$D:$D,MATCH($H1461,FX_Rates!$A:$A,0)),""))</f>
        <v>1</v>
      </c>
      <c r="S1461" s="26" t="str">
        <f aca="false">IF(AND($I1461="",$J1461=""),"",IF($J1461&lt;&gt;"",$J1461,IF(OR($R1461="",$R1461=0),"",ROUND($I1461/$R1461,2))))</f>
        <v/>
      </c>
      <c r="T1461" s="24" t="str">
        <f aca="false">IF($N1461="","",IFERROR(INDEX(VAT_Codes!$C:$C,MATCH($N1461,VAT_Codes!$A:$A,0)),"")&amp;"")</f>
        <v/>
      </c>
      <c r="U1461" s="26" t="n">
        <f aca="false">IF(OR($S1461="",$T1461="",$T1461="None"),0,IF($T1461="Output",-$S1461,$S1461))</f>
        <v>0</v>
      </c>
      <c r="V1461" s="27" t="n">
        <f aca="false">IF($N1461="",0,IFERROR(INDEX(VAT_Codes!$D:$D,MATCH($N1461,VAT_Codes!$A:$A,0)),0))</f>
        <v>0</v>
      </c>
      <c r="W1461" s="26" t="n">
        <f aca="false">IF($U1461=0,0,IF(IFERROR(INDEX(VAT_Codes!$F:$F,MATCH($N1461,VAT_Codes!$A:$A,0)),"N")="Y",$U1461,IF($L1461&lt;&gt;"",ROUND(ABS($L1461)/IF(OR($R1461="",$R1461=0),1,$R1461),2)*SIGN($U1461),ROUND($U1461*$V1461,2))))</f>
        <v>0</v>
      </c>
      <c r="X1461" s="24" t="str">
        <f aca="false">IF($N1461="","",IFERROR(INDEX(VAT_Codes!$H:$H,MATCH($N1461,VAT_Codes!$A:$A,0)),"")&amp;"")</f>
        <v/>
      </c>
      <c r="Y1461" s="24" t="str">
        <f aca="false">IF($A1461="","",(YEAR($A1461)-YEAR(Settings!$C$8))*12+MONTH($A1461)-MONTH(Settings!$C$8)+1)</f>
        <v/>
      </c>
      <c r="Z1461" s="24" t="str">
        <f aca="false">IF(AND($C1461="",$I1461="",$J1461=""),"",IF($N1461="","NO VAT CODE",IF($T1461="","UNKNOWN VAT CODE",IF($S1461="","MISSING FX RATE",IF(OR($A1461&lt;Settings!$C$8,$A1461&gt;Settings!$C$9),"OUTSIDE PERIOD",IF(AND(IFERROR(INDEX(VAT_Codes!$E:$E,MATCH($N1461,VAT_Codes!$A:$A,0)),"ANY")&lt;&gt;"ANY",$P1461=""),"MISSING COUNTERPARTY COUNTRY",IF(AND(IFERROR(INDEX(VAT_Codes!$E:$E,MATCH($N1461,VAT_Codes!$A:$A,0)),"ANY")&lt;&gt;"ANY",$P1461&lt;&gt;IFERROR(INDEX(VAT_Codes!$E:$E,MATCH($N1461,VAT_Codes!$A:$A,0)),"ANY")),"REGION MISMATCH","OK")))))))</f>
        <v/>
      </c>
    </row>
    <row r="1462" customFormat="false" ht="15" hidden="false" customHeight="false" outlineLevel="0" collapsed="false">
      <c r="M1462" s="24" t="str">
        <f aca="false">IF($C1462="","",IFERROR(INDEX(Account_Mapping!$C:$C,MATCH($C1462&amp;"",Account_Mapping!$A:$A,0))&amp;"",""))</f>
        <v/>
      </c>
      <c r="N1462" s="24" t="str">
        <f aca="false">IF($K1462&lt;&gt;"",$K1462,$M1462)</f>
        <v/>
      </c>
      <c r="O1462" s="24" t="str">
        <f aca="false">IF($F1462="","",IFERROR(INDEX(Counterparties!$C:$C,MATCH($F1462&amp;"",Counterparties!$A:$A,0))&amp;"",""))</f>
        <v/>
      </c>
      <c r="P1462" s="24" t="str">
        <f aca="false">IF($O1462="","",IF($O1462="CY","CY",IF(ISNUMBER(MATCH($O1462,Lists!$A:$A,0)),"EU","3RD")))</f>
        <v/>
      </c>
      <c r="Q1462" s="24" t="str">
        <f aca="false">IF($F1462="","N",IFERROR(IF(INDEX(Counterparties!$E:$E,MATCH($F1462&amp;"",Counterparties!$A:$A,0))="Y","Y","N"),"N"))</f>
        <v>N</v>
      </c>
      <c r="R1462" s="25" t="n">
        <f aca="false">IF(OR($H1462="",$H1462="EUR"),1,IFERROR(INDEX(FX_Rates!$D:$D,MATCH($H1462,FX_Rates!$A:$A,0)),""))</f>
        <v>1</v>
      </c>
      <c r="S1462" s="26" t="str">
        <f aca="false">IF(AND($I1462="",$J1462=""),"",IF($J1462&lt;&gt;"",$J1462,IF(OR($R1462="",$R1462=0),"",ROUND($I1462/$R1462,2))))</f>
        <v/>
      </c>
      <c r="T1462" s="24" t="str">
        <f aca="false">IF($N1462="","",IFERROR(INDEX(VAT_Codes!$C:$C,MATCH($N1462,VAT_Codes!$A:$A,0)),"")&amp;"")</f>
        <v/>
      </c>
      <c r="U1462" s="26" t="n">
        <f aca="false">IF(OR($S1462="",$T1462="",$T1462="None"),0,IF($T1462="Output",-$S1462,$S1462))</f>
        <v>0</v>
      </c>
      <c r="V1462" s="27" t="n">
        <f aca="false">IF($N1462="",0,IFERROR(INDEX(VAT_Codes!$D:$D,MATCH($N1462,VAT_Codes!$A:$A,0)),0))</f>
        <v>0</v>
      </c>
      <c r="W1462" s="26" t="n">
        <f aca="false">IF($U1462=0,0,IF(IFERROR(INDEX(VAT_Codes!$F:$F,MATCH($N1462,VAT_Codes!$A:$A,0)),"N")="Y",$U1462,IF($L1462&lt;&gt;"",ROUND(ABS($L1462)/IF(OR($R1462="",$R1462=0),1,$R1462),2)*SIGN($U1462),ROUND($U1462*$V1462,2))))</f>
        <v>0</v>
      </c>
      <c r="X1462" s="24" t="str">
        <f aca="false">IF($N1462="","",IFERROR(INDEX(VAT_Codes!$H:$H,MATCH($N1462,VAT_Codes!$A:$A,0)),"")&amp;"")</f>
        <v/>
      </c>
      <c r="Y1462" s="24" t="str">
        <f aca="false">IF($A1462="","",(YEAR($A1462)-YEAR(Settings!$C$8))*12+MONTH($A1462)-MONTH(Settings!$C$8)+1)</f>
        <v/>
      </c>
      <c r="Z1462" s="24" t="str">
        <f aca="false">IF(AND($C1462="",$I1462="",$J1462=""),"",IF($N1462="","NO VAT CODE",IF($T1462="","UNKNOWN VAT CODE",IF($S1462="","MISSING FX RATE",IF(OR($A1462&lt;Settings!$C$8,$A1462&gt;Settings!$C$9),"OUTSIDE PERIOD",IF(AND(IFERROR(INDEX(VAT_Codes!$E:$E,MATCH($N1462,VAT_Codes!$A:$A,0)),"ANY")&lt;&gt;"ANY",$P1462=""),"MISSING COUNTERPARTY COUNTRY",IF(AND(IFERROR(INDEX(VAT_Codes!$E:$E,MATCH($N1462,VAT_Codes!$A:$A,0)),"ANY")&lt;&gt;"ANY",$P1462&lt;&gt;IFERROR(INDEX(VAT_Codes!$E:$E,MATCH($N1462,VAT_Codes!$A:$A,0)),"ANY")),"REGION MISMATCH","OK")))))))</f>
        <v/>
      </c>
    </row>
    <row r="1463" customFormat="false" ht="15" hidden="false" customHeight="false" outlineLevel="0" collapsed="false">
      <c r="M1463" s="24" t="str">
        <f aca="false">IF($C1463="","",IFERROR(INDEX(Account_Mapping!$C:$C,MATCH($C1463&amp;"",Account_Mapping!$A:$A,0))&amp;"",""))</f>
        <v/>
      </c>
      <c r="N1463" s="24" t="str">
        <f aca="false">IF($K1463&lt;&gt;"",$K1463,$M1463)</f>
        <v/>
      </c>
      <c r="O1463" s="24" t="str">
        <f aca="false">IF($F1463="","",IFERROR(INDEX(Counterparties!$C:$C,MATCH($F1463&amp;"",Counterparties!$A:$A,0))&amp;"",""))</f>
        <v/>
      </c>
      <c r="P1463" s="24" t="str">
        <f aca="false">IF($O1463="","",IF($O1463="CY","CY",IF(ISNUMBER(MATCH($O1463,Lists!$A:$A,0)),"EU","3RD")))</f>
        <v/>
      </c>
      <c r="Q1463" s="24" t="str">
        <f aca="false">IF($F1463="","N",IFERROR(IF(INDEX(Counterparties!$E:$E,MATCH($F1463&amp;"",Counterparties!$A:$A,0))="Y","Y","N"),"N"))</f>
        <v>N</v>
      </c>
      <c r="R1463" s="25" t="n">
        <f aca="false">IF(OR($H1463="",$H1463="EUR"),1,IFERROR(INDEX(FX_Rates!$D:$D,MATCH($H1463,FX_Rates!$A:$A,0)),""))</f>
        <v>1</v>
      </c>
      <c r="S1463" s="26" t="str">
        <f aca="false">IF(AND($I1463="",$J1463=""),"",IF($J1463&lt;&gt;"",$J1463,IF(OR($R1463="",$R1463=0),"",ROUND($I1463/$R1463,2))))</f>
        <v/>
      </c>
      <c r="T1463" s="24" t="str">
        <f aca="false">IF($N1463="","",IFERROR(INDEX(VAT_Codes!$C:$C,MATCH($N1463,VAT_Codes!$A:$A,0)),"")&amp;"")</f>
        <v/>
      </c>
      <c r="U1463" s="26" t="n">
        <f aca="false">IF(OR($S1463="",$T1463="",$T1463="None"),0,IF($T1463="Output",-$S1463,$S1463))</f>
        <v>0</v>
      </c>
      <c r="V1463" s="27" t="n">
        <f aca="false">IF($N1463="",0,IFERROR(INDEX(VAT_Codes!$D:$D,MATCH($N1463,VAT_Codes!$A:$A,0)),0))</f>
        <v>0</v>
      </c>
      <c r="W1463" s="26" t="n">
        <f aca="false">IF($U1463=0,0,IF(IFERROR(INDEX(VAT_Codes!$F:$F,MATCH($N1463,VAT_Codes!$A:$A,0)),"N")="Y",$U1463,IF($L1463&lt;&gt;"",ROUND(ABS($L1463)/IF(OR($R1463="",$R1463=0),1,$R1463),2)*SIGN($U1463),ROUND($U1463*$V1463,2))))</f>
        <v>0</v>
      </c>
      <c r="X1463" s="24" t="str">
        <f aca="false">IF($N1463="","",IFERROR(INDEX(VAT_Codes!$H:$H,MATCH($N1463,VAT_Codes!$A:$A,0)),"")&amp;"")</f>
        <v/>
      </c>
      <c r="Y1463" s="24" t="str">
        <f aca="false">IF($A1463="","",(YEAR($A1463)-YEAR(Settings!$C$8))*12+MONTH($A1463)-MONTH(Settings!$C$8)+1)</f>
        <v/>
      </c>
      <c r="Z1463" s="24" t="str">
        <f aca="false">IF(AND($C1463="",$I1463="",$J1463=""),"",IF($N1463="","NO VAT CODE",IF($T1463="","UNKNOWN VAT CODE",IF($S1463="","MISSING FX RATE",IF(OR($A1463&lt;Settings!$C$8,$A1463&gt;Settings!$C$9),"OUTSIDE PERIOD",IF(AND(IFERROR(INDEX(VAT_Codes!$E:$E,MATCH($N1463,VAT_Codes!$A:$A,0)),"ANY")&lt;&gt;"ANY",$P1463=""),"MISSING COUNTERPARTY COUNTRY",IF(AND(IFERROR(INDEX(VAT_Codes!$E:$E,MATCH($N1463,VAT_Codes!$A:$A,0)),"ANY")&lt;&gt;"ANY",$P1463&lt;&gt;IFERROR(INDEX(VAT_Codes!$E:$E,MATCH($N1463,VAT_Codes!$A:$A,0)),"ANY")),"REGION MISMATCH","OK")))))))</f>
        <v/>
      </c>
    </row>
    <row r="1464" customFormat="false" ht="15" hidden="false" customHeight="false" outlineLevel="0" collapsed="false">
      <c r="M1464" s="24" t="str">
        <f aca="false">IF($C1464="","",IFERROR(INDEX(Account_Mapping!$C:$C,MATCH($C1464&amp;"",Account_Mapping!$A:$A,0))&amp;"",""))</f>
        <v/>
      </c>
      <c r="N1464" s="24" t="str">
        <f aca="false">IF($K1464&lt;&gt;"",$K1464,$M1464)</f>
        <v/>
      </c>
      <c r="O1464" s="24" t="str">
        <f aca="false">IF($F1464="","",IFERROR(INDEX(Counterparties!$C:$C,MATCH($F1464&amp;"",Counterparties!$A:$A,0))&amp;"",""))</f>
        <v/>
      </c>
      <c r="P1464" s="24" t="str">
        <f aca="false">IF($O1464="","",IF($O1464="CY","CY",IF(ISNUMBER(MATCH($O1464,Lists!$A:$A,0)),"EU","3RD")))</f>
        <v/>
      </c>
      <c r="Q1464" s="24" t="str">
        <f aca="false">IF($F1464="","N",IFERROR(IF(INDEX(Counterparties!$E:$E,MATCH($F1464&amp;"",Counterparties!$A:$A,0))="Y","Y","N"),"N"))</f>
        <v>N</v>
      </c>
      <c r="R1464" s="25" t="n">
        <f aca="false">IF(OR($H1464="",$H1464="EUR"),1,IFERROR(INDEX(FX_Rates!$D:$D,MATCH($H1464,FX_Rates!$A:$A,0)),""))</f>
        <v>1</v>
      </c>
      <c r="S1464" s="26" t="str">
        <f aca="false">IF(AND($I1464="",$J1464=""),"",IF($J1464&lt;&gt;"",$J1464,IF(OR($R1464="",$R1464=0),"",ROUND($I1464/$R1464,2))))</f>
        <v/>
      </c>
      <c r="T1464" s="24" t="str">
        <f aca="false">IF($N1464="","",IFERROR(INDEX(VAT_Codes!$C:$C,MATCH($N1464,VAT_Codes!$A:$A,0)),"")&amp;"")</f>
        <v/>
      </c>
      <c r="U1464" s="26" t="n">
        <f aca="false">IF(OR($S1464="",$T1464="",$T1464="None"),0,IF($T1464="Output",-$S1464,$S1464))</f>
        <v>0</v>
      </c>
      <c r="V1464" s="27" t="n">
        <f aca="false">IF($N1464="",0,IFERROR(INDEX(VAT_Codes!$D:$D,MATCH($N1464,VAT_Codes!$A:$A,0)),0))</f>
        <v>0</v>
      </c>
      <c r="W1464" s="26" t="n">
        <f aca="false">IF($U1464=0,0,IF(IFERROR(INDEX(VAT_Codes!$F:$F,MATCH($N1464,VAT_Codes!$A:$A,0)),"N")="Y",$U1464,IF($L1464&lt;&gt;"",ROUND(ABS($L1464)/IF(OR($R1464="",$R1464=0),1,$R1464),2)*SIGN($U1464),ROUND($U1464*$V1464,2))))</f>
        <v>0</v>
      </c>
      <c r="X1464" s="24" t="str">
        <f aca="false">IF($N1464="","",IFERROR(INDEX(VAT_Codes!$H:$H,MATCH($N1464,VAT_Codes!$A:$A,0)),"")&amp;"")</f>
        <v/>
      </c>
      <c r="Y1464" s="24" t="str">
        <f aca="false">IF($A1464="","",(YEAR($A1464)-YEAR(Settings!$C$8))*12+MONTH($A1464)-MONTH(Settings!$C$8)+1)</f>
        <v/>
      </c>
      <c r="Z1464" s="24" t="str">
        <f aca="false">IF(AND($C1464="",$I1464="",$J1464=""),"",IF($N1464="","NO VAT CODE",IF($T1464="","UNKNOWN VAT CODE",IF($S1464="","MISSING FX RATE",IF(OR($A1464&lt;Settings!$C$8,$A1464&gt;Settings!$C$9),"OUTSIDE PERIOD",IF(AND(IFERROR(INDEX(VAT_Codes!$E:$E,MATCH($N1464,VAT_Codes!$A:$A,0)),"ANY")&lt;&gt;"ANY",$P1464=""),"MISSING COUNTERPARTY COUNTRY",IF(AND(IFERROR(INDEX(VAT_Codes!$E:$E,MATCH($N1464,VAT_Codes!$A:$A,0)),"ANY")&lt;&gt;"ANY",$P1464&lt;&gt;IFERROR(INDEX(VAT_Codes!$E:$E,MATCH($N1464,VAT_Codes!$A:$A,0)),"ANY")),"REGION MISMATCH","OK")))))))</f>
        <v/>
      </c>
    </row>
    <row r="1465" customFormat="false" ht="15" hidden="false" customHeight="false" outlineLevel="0" collapsed="false">
      <c r="M1465" s="24" t="str">
        <f aca="false">IF($C1465="","",IFERROR(INDEX(Account_Mapping!$C:$C,MATCH($C1465&amp;"",Account_Mapping!$A:$A,0))&amp;"",""))</f>
        <v/>
      </c>
      <c r="N1465" s="24" t="str">
        <f aca="false">IF($K1465&lt;&gt;"",$K1465,$M1465)</f>
        <v/>
      </c>
      <c r="O1465" s="24" t="str">
        <f aca="false">IF($F1465="","",IFERROR(INDEX(Counterparties!$C:$C,MATCH($F1465&amp;"",Counterparties!$A:$A,0))&amp;"",""))</f>
        <v/>
      </c>
      <c r="P1465" s="24" t="str">
        <f aca="false">IF($O1465="","",IF($O1465="CY","CY",IF(ISNUMBER(MATCH($O1465,Lists!$A:$A,0)),"EU","3RD")))</f>
        <v/>
      </c>
      <c r="Q1465" s="24" t="str">
        <f aca="false">IF($F1465="","N",IFERROR(IF(INDEX(Counterparties!$E:$E,MATCH($F1465&amp;"",Counterparties!$A:$A,0))="Y","Y","N"),"N"))</f>
        <v>N</v>
      </c>
      <c r="R1465" s="25" t="n">
        <f aca="false">IF(OR($H1465="",$H1465="EUR"),1,IFERROR(INDEX(FX_Rates!$D:$D,MATCH($H1465,FX_Rates!$A:$A,0)),""))</f>
        <v>1</v>
      </c>
      <c r="S1465" s="26" t="str">
        <f aca="false">IF(AND($I1465="",$J1465=""),"",IF($J1465&lt;&gt;"",$J1465,IF(OR($R1465="",$R1465=0),"",ROUND($I1465/$R1465,2))))</f>
        <v/>
      </c>
      <c r="T1465" s="24" t="str">
        <f aca="false">IF($N1465="","",IFERROR(INDEX(VAT_Codes!$C:$C,MATCH($N1465,VAT_Codes!$A:$A,0)),"")&amp;"")</f>
        <v/>
      </c>
      <c r="U1465" s="26" t="n">
        <f aca="false">IF(OR($S1465="",$T1465="",$T1465="None"),0,IF($T1465="Output",-$S1465,$S1465))</f>
        <v>0</v>
      </c>
      <c r="V1465" s="27" t="n">
        <f aca="false">IF($N1465="",0,IFERROR(INDEX(VAT_Codes!$D:$D,MATCH($N1465,VAT_Codes!$A:$A,0)),0))</f>
        <v>0</v>
      </c>
      <c r="W1465" s="26" t="n">
        <f aca="false">IF($U1465=0,0,IF(IFERROR(INDEX(VAT_Codes!$F:$F,MATCH($N1465,VAT_Codes!$A:$A,0)),"N")="Y",$U1465,IF($L1465&lt;&gt;"",ROUND(ABS($L1465)/IF(OR($R1465="",$R1465=0),1,$R1465),2)*SIGN($U1465),ROUND($U1465*$V1465,2))))</f>
        <v>0</v>
      </c>
      <c r="X1465" s="24" t="str">
        <f aca="false">IF($N1465="","",IFERROR(INDEX(VAT_Codes!$H:$H,MATCH($N1465,VAT_Codes!$A:$A,0)),"")&amp;"")</f>
        <v/>
      </c>
      <c r="Y1465" s="24" t="str">
        <f aca="false">IF($A1465="","",(YEAR($A1465)-YEAR(Settings!$C$8))*12+MONTH($A1465)-MONTH(Settings!$C$8)+1)</f>
        <v/>
      </c>
      <c r="Z1465" s="24" t="str">
        <f aca="false">IF(AND($C1465="",$I1465="",$J1465=""),"",IF($N1465="","NO VAT CODE",IF($T1465="","UNKNOWN VAT CODE",IF($S1465="","MISSING FX RATE",IF(OR($A1465&lt;Settings!$C$8,$A1465&gt;Settings!$C$9),"OUTSIDE PERIOD",IF(AND(IFERROR(INDEX(VAT_Codes!$E:$E,MATCH($N1465,VAT_Codes!$A:$A,0)),"ANY")&lt;&gt;"ANY",$P1465=""),"MISSING COUNTERPARTY COUNTRY",IF(AND(IFERROR(INDEX(VAT_Codes!$E:$E,MATCH($N1465,VAT_Codes!$A:$A,0)),"ANY")&lt;&gt;"ANY",$P1465&lt;&gt;IFERROR(INDEX(VAT_Codes!$E:$E,MATCH($N1465,VAT_Codes!$A:$A,0)),"ANY")),"REGION MISMATCH","OK")))))))</f>
        <v/>
      </c>
    </row>
    <row r="1466" customFormat="false" ht="15" hidden="false" customHeight="false" outlineLevel="0" collapsed="false">
      <c r="M1466" s="24" t="str">
        <f aca="false">IF($C1466="","",IFERROR(INDEX(Account_Mapping!$C:$C,MATCH($C1466&amp;"",Account_Mapping!$A:$A,0))&amp;"",""))</f>
        <v/>
      </c>
      <c r="N1466" s="24" t="str">
        <f aca="false">IF($K1466&lt;&gt;"",$K1466,$M1466)</f>
        <v/>
      </c>
      <c r="O1466" s="24" t="str">
        <f aca="false">IF($F1466="","",IFERROR(INDEX(Counterparties!$C:$C,MATCH($F1466&amp;"",Counterparties!$A:$A,0))&amp;"",""))</f>
        <v/>
      </c>
      <c r="P1466" s="24" t="str">
        <f aca="false">IF($O1466="","",IF($O1466="CY","CY",IF(ISNUMBER(MATCH($O1466,Lists!$A:$A,0)),"EU","3RD")))</f>
        <v/>
      </c>
      <c r="Q1466" s="24" t="str">
        <f aca="false">IF($F1466="","N",IFERROR(IF(INDEX(Counterparties!$E:$E,MATCH($F1466&amp;"",Counterparties!$A:$A,0))="Y","Y","N"),"N"))</f>
        <v>N</v>
      </c>
      <c r="R1466" s="25" t="n">
        <f aca="false">IF(OR($H1466="",$H1466="EUR"),1,IFERROR(INDEX(FX_Rates!$D:$D,MATCH($H1466,FX_Rates!$A:$A,0)),""))</f>
        <v>1</v>
      </c>
      <c r="S1466" s="26" t="str">
        <f aca="false">IF(AND($I1466="",$J1466=""),"",IF($J1466&lt;&gt;"",$J1466,IF(OR($R1466="",$R1466=0),"",ROUND($I1466/$R1466,2))))</f>
        <v/>
      </c>
      <c r="T1466" s="24" t="str">
        <f aca="false">IF($N1466="","",IFERROR(INDEX(VAT_Codes!$C:$C,MATCH($N1466,VAT_Codes!$A:$A,0)),"")&amp;"")</f>
        <v/>
      </c>
      <c r="U1466" s="26" t="n">
        <f aca="false">IF(OR($S1466="",$T1466="",$T1466="None"),0,IF($T1466="Output",-$S1466,$S1466))</f>
        <v>0</v>
      </c>
      <c r="V1466" s="27" t="n">
        <f aca="false">IF($N1466="",0,IFERROR(INDEX(VAT_Codes!$D:$D,MATCH($N1466,VAT_Codes!$A:$A,0)),0))</f>
        <v>0</v>
      </c>
      <c r="W1466" s="26" t="n">
        <f aca="false">IF($U1466=0,0,IF(IFERROR(INDEX(VAT_Codes!$F:$F,MATCH($N1466,VAT_Codes!$A:$A,0)),"N")="Y",$U1466,IF($L1466&lt;&gt;"",ROUND(ABS($L1466)/IF(OR($R1466="",$R1466=0),1,$R1466),2)*SIGN($U1466),ROUND($U1466*$V1466,2))))</f>
        <v>0</v>
      </c>
      <c r="X1466" s="24" t="str">
        <f aca="false">IF($N1466="","",IFERROR(INDEX(VAT_Codes!$H:$H,MATCH($N1466,VAT_Codes!$A:$A,0)),"")&amp;"")</f>
        <v/>
      </c>
      <c r="Y1466" s="24" t="str">
        <f aca="false">IF($A1466="","",(YEAR($A1466)-YEAR(Settings!$C$8))*12+MONTH($A1466)-MONTH(Settings!$C$8)+1)</f>
        <v/>
      </c>
      <c r="Z1466" s="24" t="str">
        <f aca="false">IF(AND($C1466="",$I1466="",$J1466=""),"",IF($N1466="","NO VAT CODE",IF($T1466="","UNKNOWN VAT CODE",IF($S1466="","MISSING FX RATE",IF(OR($A1466&lt;Settings!$C$8,$A1466&gt;Settings!$C$9),"OUTSIDE PERIOD",IF(AND(IFERROR(INDEX(VAT_Codes!$E:$E,MATCH($N1466,VAT_Codes!$A:$A,0)),"ANY")&lt;&gt;"ANY",$P1466=""),"MISSING COUNTERPARTY COUNTRY",IF(AND(IFERROR(INDEX(VAT_Codes!$E:$E,MATCH($N1466,VAT_Codes!$A:$A,0)),"ANY")&lt;&gt;"ANY",$P1466&lt;&gt;IFERROR(INDEX(VAT_Codes!$E:$E,MATCH($N1466,VAT_Codes!$A:$A,0)),"ANY")),"REGION MISMATCH","OK")))))))</f>
        <v/>
      </c>
    </row>
    <row r="1467" customFormat="false" ht="15" hidden="false" customHeight="false" outlineLevel="0" collapsed="false">
      <c r="M1467" s="24" t="str">
        <f aca="false">IF($C1467="","",IFERROR(INDEX(Account_Mapping!$C:$C,MATCH($C1467&amp;"",Account_Mapping!$A:$A,0))&amp;"",""))</f>
        <v/>
      </c>
      <c r="N1467" s="24" t="str">
        <f aca="false">IF($K1467&lt;&gt;"",$K1467,$M1467)</f>
        <v/>
      </c>
      <c r="O1467" s="24" t="str">
        <f aca="false">IF($F1467="","",IFERROR(INDEX(Counterparties!$C:$C,MATCH($F1467&amp;"",Counterparties!$A:$A,0))&amp;"",""))</f>
        <v/>
      </c>
      <c r="P1467" s="24" t="str">
        <f aca="false">IF($O1467="","",IF($O1467="CY","CY",IF(ISNUMBER(MATCH($O1467,Lists!$A:$A,0)),"EU","3RD")))</f>
        <v/>
      </c>
      <c r="Q1467" s="24" t="str">
        <f aca="false">IF($F1467="","N",IFERROR(IF(INDEX(Counterparties!$E:$E,MATCH($F1467&amp;"",Counterparties!$A:$A,0))="Y","Y","N"),"N"))</f>
        <v>N</v>
      </c>
      <c r="R1467" s="25" t="n">
        <f aca="false">IF(OR($H1467="",$H1467="EUR"),1,IFERROR(INDEX(FX_Rates!$D:$D,MATCH($H1467,FX_Rates!$A:$A,0)),""))</f>
        <v>1</v>
      </c>
      <c r="S1467" s="26" t="str">
        <f aca="false">IF(AND($I1467="",$J1467=""),"",IF($J1467&lt;&gt;"",$J1467,IF(OR($R1467="",$R1467=0),"",ROUND($I1467/$R1467,2))))</f>
        <v/>
      </c>
      <c r="T1467" s="24" t="str">
        <f aca="false">IF($N1467="","",IFERROR(INDEX(VAT_Codes!$C:$C,MATCH($N1467,VAT_Codes!$A:$A,0)),"")&amp;"")</f>
        <v/>
      </c>
      <c r="U1467" s="26" t="n">
        <f aca="false">IF(OR($S1467="",$T1467="",$T1467="None"),0,IF($T1467="Output",-$S1467,$S1467))</f>
        <v>0</v>
      </c>
      <c r="V1467" s="27" t="n">
        <f aca="false">IF($N1467="",0,IFERROR(INDEX(VAT_Codes!$D:$D,MATCH($N1467,VAT_Codes!$A:$A,0)),0))</f>
        <v>0</v>
      </c>
      <c r="W1467" s="26" t="n">
        <f aca="false">IF($U1467=0,0,IF(IFERROR(INDEX(VAT_Codes!$F:$F,MATCH($N1467,VAT_Codes!$A:$A,0)),"N")="Y",$U1467,IF($L1467&lt;&gt;"",ROUND(ABS($L1467)/IF(OR($R1467="",$R1467=0),1,$R1467),2)*SIGN($U1467),ROUND($U1467*$V1467,2))))</f>
        <v>0</v>
      </c>
      <c r="X1467" s="24" t="str">
        <f aca="false">IF($N1467="","",IFERROR(INDEX(VAT_Codes!$H:$H,MATCH($N1467,VAT_Codes!$A:$A,0)),"")&amp;"")</f>
        <v/>
      </c>
      <c r="Y1467" s="24" t="str">
        <f aca="false">IF($A1467="","",(YEAR($A1467)-YEAR(Settings!$C$8))*12+MONTH($A1467)-MONTH(Settings!$C$8)+1)</f>
        <v/>
      </c>
      <c r="Z1467" s="24" t="str">
        <f aca="false">IF(AND($C1467="",$I1467="",$J1467=""),"",IF($N1467="","NO VAT CODE",IF($T1467="","UNKNOWN VAT CODE",IF($S1467="","MISSING FX RATE",IF(OR($A1467&lt;Settings!$C$8,$A1467&gt;Settings!$C$9),"OUTSIDE PERIOD",IF(AND(IFERROR(INDEX(VAT_Codes!$E:$E,MATCH($N1467,VAT_Codes!$A:$A,0)),"ANY")&lt;&gt;"ANY",$P1467=""),"MISSING COUNTERPARTY COUNTRY",IF(AND(IFERROR(INDEX(VAT_Codes!$E:$E,MATCH($N1467,VAT_Codes!$A:$A,0)),"ANY")&lt;&gt;"ANY",$P1467&lt;&gt;IFERROR(INDEX(VAT_Codes!$E:$E,MATCH($N1467,VAT_Codes!$A:$A,0)),"ANY")),"REGION MISMATCH","OK")))))))</f>
        <v/>
      </c>
    </row>
    <row r="1468" customFormat="false" ht="15" hidden="false" customHeight="false" outlineLevel="0" collapsed="false">
      <c r="M1468" s="24" t="str">
        <f aca="false">IF($C1468="","",IFERROR(INDEX(Account_Mapping!$C:$C,MATCH($C1468&amp;"",Account_Mapping!$A:$A,0))&amp;"",""))</f>
        <v/>
      </c>
      <c r="N1468" s="24" t="str">
        <f aca="false">IF($K1468&lt;&gt;"",$K1468,$M1468)</f>
        <v/>
      </c>
      <c r="O1468" s="24" t="str">
        <f aca="false">IF($F1468="","",IFERROR(INDEX(Counterparties!$C:$C,MATCH($F1468&amp;"",Counterparties!$A:$A,0))&amp;"",""))</f>
        <v/>
      </c>
      <c r="P1468" s="24" t="str">
        <f aca="false">IF($O1468="","",IF($O1468="CY","CY",IF(ISNUMBER(MATCH($O1468,Lists!$A:$A,0)),"EU","3RD")))</f>
        <v/>
      </c>
      <c r="Q1468" s="24" t="str">
        <f aca="false">IF($F1468="","N",IFERROR(IF(INDEX(Counterparties!$E:$E,MATCH($F1468&amp;"",Counterparties!$A:$A,0))="Y","Y","N"),"N"))</f>
        <v>N</v>
      </c>
      <c r="R1468" s="25" t="n">
        <f aca="false">IF(OR($H1468="",$H1468="EUR"),1,IFERROR(INDEX(FX_Rates!$D:$D,MATCH($H1468,FX_Rates!$A:$A,0)),""))</f>
        <v>1</v>
      </c>
      <c r="S1468" s="26" t="str">
        <f aca="false">IF(AND($I1468="",$J1468=""),"",IF($J1468&lt;&gt;"",$J1468,IF(OR($R1468="",$R1468=0),"",ROUND($I1468/$R1468,2))))</f>
        <v/>
      </c>
      <c r="T1468" s="24" t="str">
        <f aca="false">IF($N1468="","",IFERROR(INDEX(VAT_Codes!$C:$C,MATCH($N1468,VAT_Codes!$A:$A,0)),"")&amp;"")</f>
        <v/>
      </c>
      <c r="U1468" s="26" t="n">
        <f aca="false">IF(OR($S1468="",$T1468="",$T1468="None"),0,IF($T1468="Output",-$S1468,$S1468))</f>
        <v>0</v>
      </c>
      <c r="V1468" s="27" t="n">
        <f aca="false">IF($N1468="",0,IFERROR(INDEX(VAT_Codes!$D:$D,MATCH($N1468,VAT_Codes!$A:$A,0)),0))</f>
        <v>0</v>
      </c>
      <c r="W1468" s="26" t="n">
        <f aca="false">IF($U1468=0,0,IF(IFERROR(INDEX(VAT_Codes!$F:$F,MATCH($N1468,VAT_Codes!$A:$A,0)),"N")="Y",$U1468,IF($L1468&lt;&gt;"",ROUND(ABS($L1468)/IF(OR($R1468="",$R1468=0),1,$R1468),2)*SIGN($U1468),ROUND($U1468*$V1468,2))))</f>
        <v>0</v>
      </c>
      <c r="X1468" s="24" t="str">
        <f aca="false">IF($N1468="","",IFERROR(INDEX(VAT_Codes!$H:$H,MATCH($N1468,VAT_Codes!$A:$A,0)),"")&amp;"")</f>
        <v/>
      </c>
      <c r="Y1468" s="24" t="str">
        <f aca="false">IF($A1468="","",(YEAR($A1468)-YEAR(Settings!$C$8))*12+MONTH($A1468)-MONTH(Settings!$C$8)+1)</f>
        <v/>
      </c>
      <c r="Z1468" s="24" t="str">
        <f aca="false">IF(AND($C1468="",$I1468="",$J1468=""),"",IF($N1468="","NO VAT CODE",IF($T1468="","UNKNOWN VAT CODE",IF($S1468="","MISSING FX RATE",IF(OR($A1468&lt;Settings!$C$8,$A1468&gt;Settings!$C$9),"OUTSIDE PERIOD",IF(AND(IFERROR(INDEX(VAT_Codes!$E:$E,MATCH($N1468,VAT_Codes!$A:$A,0)),"ANY")&lt;&gt;"ANY",$P1468=""),"MISSING COUNTERPARTY COUNTRY",IF(AND(IFERROR(INDEX(VAT_Codes!$E:$E,MATCH($N1468,VAT_Codes!$A:$A,0)),"ANY")&lt;&gt;"ANY",$P1468&lt;&gt;IFERROR(INDEX(VAT_Codes!$E:$E,MATCH($N1468,VAT_Codes!$A:$A,0)),"ANY")),"REGION MISMATCH","OK")))))))</f>
        <v/>
      </c>
    </row>
    <row r="1469" customFormat="false" ht="15" hidden="false" customHeight="false" outlineLevel="0" collapsed="false">
      <c r="M1469" s="24" t="str">
        <f aca="false">IF($C1469="","",IFERROR(INDEX(Account_Mapping!$C:$C,MATCH($C1469&amp;"",Account_Mapping!$A:$A,0))&amp;"",""))</f>
        <v/>
      </c>
      <c r="N1469" s="24" t="str">
        <f aca="false">IF($K1469&lt;&gt;"",$K1469,$M1469)</f>
        <v/>
      </c>
      <c r="O1469" s="24" t="str">
        <f aca="false">IF($F1469="","",IFERROR(INDEX(Counterparties!$C:$C,MATCH($F1469&amp;"",Counterparties!$A:$A,0))&amp;"",""))</f>
        <v/>
      </c>
      <c r="P1469" s="24" t="str">
        <f aca="false">IF($O1469="","",IF($O1469="CY","CY",IF(ISNUMBER(MATCH($O1469,Lists!$A:$A,0)),"EU","3RD")))</f>
        <v/>
      </c>
      <c r="Q1469" s="24" t="str">
        <f aca="false">IF($F1469="","N",IFERROR(IF(INDEX(Counterparties!$E:$E,MATCH($F1469&amp;"",Counterparties!$A:$A,0))="Y","Y","N"),"N"))</f>
        <v>N</v>
      </c>
      <c r="R1469" s="25" t="n">
        <f aca="false">IF(OR($H1469="",$H1469="EUR"),1,IFERROR(INDEX(FX_Rates!$D:$D,MATCH($H1469,FX_Rates!$A:$A,0)),""))</f>
        <v>1</v>
      </c>
      <c r="S1469" s="26" t="str">
        <f aca="false">IF(AND($I1469="",$J1469=""),"",IF($J1469&lt;&gt;"",$J1469,IF(OR($R1469="",$R1469=0),"",ROUND($I1469/$R1469,2))))</f>
        <v/>
      </c>
      <c r="T1469" s="24" t="str">
        <f aca="false">IF($N1469="","",IFERROR(INDEX(VAT_Codes!$C:$C,MATCH($N1469,VAT_Codes!$A:$A,0)),"")&amp;"")</f>
        <v/>
      </c>
      <c r="U1469" s="26" t="n">
        <f aca="false">IF(OR($S1469="",$T1469="",$T1469="None"),0,IF($T1469="Output",-$S1469,$S1469))</f>
        <v>0</v>
      </c>
      <c r="V1469" s="27" t="n">
        <f aca="false">IF($N1469="",0,IFERROR(INDEX(VAT_Codes!$D:$D,MATCH($N1469,VAT_Codes!$A:$A,0)),0))</f>
        <v>0</v>
      </c>
      <c r="W1469" s="26" t="n">
        <f aca="false">IF($U1469=0,0,IF(IFERROR(INDEX(VAT_Codes!$F:$F,MATCH($N1469,VAT_Codes!$A:$A,0)),"N")="Y",$U1469,IF($L1469&lt;&gt;"",ROUND(ABS($L1469)/IF(OR($R1469="",$R1469=0),1,$R1469),2)*SIGN($U1469),ROUND($U1469*$V1469,2))))</f>
        <v>0</v>
      </c>
      <c r="X1469" s="24" t="str">
        <f aca="false">IF($N1469="","",IFERROR(INDEX(VAT_Codes!$H:$H,MATCH($N1469,VAT_Codes!$A:$A,0)),"")&amp;"")</f>
        <v/>
      </c>
      <c r="Y1469" s="24" t="str">
        <f aca="false">IF($A1469="","",(YEAR($A1469)-YEAR(Settings!$C$8))*12+MONTH($A1469)-MONTH(Settings!$C$8)+1)</f>
        <v/>
      </c>
      <c r="Z1469" s="24" t="str">
        <f aca="false">IF(AND($C1469="",$I1469="",$J1469=""),"",IF($N1469="","NO VAT CODE",IF($T1469="","UNKNOWN VAT CODE",IF($S1469="","MISSING FX RATE",IF(OR($A1469&lt;Settings!$C$8,$A1469&gt;Settings!$C$9),"OUTSIDE PERIOD",IF(AND(IFERROR(INDEX(VAT_Codes!$E:$E,MATCH($N1469,VAT_Codes!$A:$A,0)),"ANY")&lt;&gt;"ANY",$P1469=""),"MISSING COUNTERPARTY COUNTRY",IF(AND(IFERROR(INDEX(VAT_Codes!$E:$E,MATCH($N1469,VAT_Codes!$A:$A,0)),"ANY")&lt;&gt;"ANY",$P1469&lt;&gt;IFERROR(INDEX(VAT_Codes!$E:$E,MATCH($N1469,VAT_Codes!$A:$A,0)),"ANY")),"REGION MISMATCH","OK")))))))</f>
        <v/>
      </c>
    </row>
    <row r="1470" customFormat="false" ht="15" hidden="false" customHeight="false" outlineLevel="0" collapsed="false">
      <c r="M1470" s="24" t="str">
        <f aca="false">IF($C1470="","",IFERROR(INDEX(Account_Mapping!$C:$C,MATCH($C1470&amp;"",Account_Mapping!$A:$A,0))&amp;"",""))</f>
        <v/>
      </c>
      <c r="N1470" s="24" t="str">
        <f aca="false">IF($K1470&lt;&gt;"",$K1470,$M1470)</f>
        <v/>
      </c>
      <c r="O1470" s="24" t="str">
        <f aca="false">IF($F1470="","",IFERROR(INDEX(Counterparties!$C:$C,MATCH($F1470&amp;"",Counterparties!$A:$A,0))&amp;"",""))</f>
        <v/>
      </c>
      <c r="P1470" s="24" t="str">
        <f aca="false">IF($O1470="","",IF($O1470="CY","CY",IF(ISNUMBER(MATCH($O1470,Lists!$A:$A,0)),"EU","3RD")))</f>
        <v/>
      </c>
      <c r="Q1470" s="24" t="str">
        <f aca="false">IF($F1470="","N",IFERROR(IF(INDEX(Counterparties!$E:$E,MATCH($F1470&amp;"",Counterparties!$A:$A,0))="Y","Y","N"),"N"))</f>
        <v>N</v>
      </c>
      <c r="R1470" s="25" t="n">
        <f aca="false">IF(OR($H1470="",$H1470="EUR"),1,IFERROR(INDEX(FX_Rates!$D:$D,MATCH($H1470,FX_Rates!$A:$A,0)),""))</f>
        <v>1</v>
      </c>
      <c r="S1470" s="26" t="str">
        <f aca="false">IF(AND($I1470="",$J1470=""),"",IF($J1470&lt;&gt;"",$J1470,IF(OR($R1470="",$R1470=0),"",ROUND($I1470/$R1470,2))))</f>
        <v/>
      </c>
      <c r="T1470" s="24" t="str">
        <f aca="false">IF($N1470="","",IFERROR(INDEX(VAT_Codes!$C:$C,MATCH($N1470,VAT_Codes!$A:$A,0)),"")&amp;"")</f>
        <v/>
      </c>
      <c r="U1470" s="26" t="n">
        <f aca="false">IF(OR($S1470="",$T1470="",$T1470="None"),0,IF($T1470="Output",-$S1470,$S1470))</f>
        <v>0</v>
      </c>
      <c r="V1470" s="27" t="n">
        <f aca="false">IF($N1470="",0,IFERROR(INDEX(VAT_Codes!$D:$D,MATCH($N1470,VAT_Codes!$A:$A,0)),0))</f>
        <v>0</v>
      </c>
      <c r="W1470" s="26" t="n">
        <f aca="false">IF($U1470=0,0,IF(IFERROR(INDEX(VAT_Codes!$F:$F,MATCH($N1470,VAT_Codes!$A:$A,0)),"N")="Y",$U1470,IF($L1470&lt;&gt;"",ROUND(ABS($L1470)/IF(OR($R1470="",$R1470=0),1,$R1470),2)*SIGN($U1470),ROUND($U1470*$V1470,2))))</f>
        <v>0</v>
      </c>
      <c r="X1470" s="24" t="str">
        <f aca="false">IF($N1470="","",IFERROR(INDEX(VAT_Codes!$H:$H,MATCH($N1470,VAT_Codes!$A:$A,0)),"")&amp;"")</f>
        <v/>
      </c>
      <c r="Y1470" s="24" t="str">
        <f aca="false">IF($A1470="","",(YEAR($A1470)-YEAR(Settings!$C$8))*12+MONTH($A1470)-MONTH(Settings!$C$8)+1)</f>
        <v/>
      </c>
      <c r="Z1470" s="24" t="str">
        <f aca="false">IF(AND($C1470="",$I1470="",$J1470=""),"",IF($N1470="","NO VAT CODE",IF($T1470="","UNKNOWN VAT CODE",IF($S1470="","MISSING FX RATE",IF(OR($A1470&lt;Settings!$C$8,$A1470&gt;Settings!$C$9),"OUTSIDE PERIOD",IF(AND(IFERROR(INDEX(VAT_Codes!$E:$E,MATCH($N1470,VAT_Codes!$A:$A,0)),"ANY")&lt;&gt;"ANY",$P1470=""),"MISSING COUNTERPARTY COUNTRY",IF(AND(IFERROR(INDEX(VAT_Codes!$E:$E,MATCH($N1470,VAT_Codes!$A:$A,0)),"ANY")&lt;&gt;"ANY",$P1470&lt;&gt;IFERROR(INDEX(VAT_Codes!$E:$E,MATCH($N1470,VAT_Codes!$A:$A,0)),"ANY")),"REGION MISMATCH","OK")))))))</f>
        <v/>
      </c>
    </row>
    <row r="1471" customFormat="false" ht="15" hidden="false" customHeight="false" outlineLevel="0" collapsed="false">
      <c r="M1471" s="24" t="str">
        <f aca="false">IF($C1471="","",IFERROR(INDEX(Account_Mapping!$C:$C,MATCH($C1471&amp;"",Account_Mapping!$A:$A,0))&amp;"",""))</f>
        <v/>
      </c>
      <c r="N1471" s="24" t="str">
        <f aca="false">IF($K1471&lt;&gt;"",$K1471,$M1471)</f>
        <v/>
      </c>
      <c r="O1471" s="24" t="str">
        <f aca="false">IF($F1471="","",IFERROR(INDEX(Counterparties!$C:$C,MATCH($F1471&amp;"",Counterparties!$A:$A,0))&amp;"",""))</f>
        <v/>
      </c>
      <c r="P1471" s="24" t="str">
        <f aca="false">IF($O1471="","",IF($O1471="CY","CY",IF(ISNUMBER(MATCH($O1471,Lists!$A:$A,0)),"EU","3RD")))</f>
        <v/>
      </c>
      <c r="Q1471" s="24" t="str">
        <f aca="false">IF($F1471="","N",IFERROR(IF(INDEX(Counterparties!$E:$E,MATCH($F1471&amp;"",Counterparties!$A:$A,0))="Y","Y","N"),"N"))</f>
        <v>N</v>
      </c>
      <c r="R1471" s="25" t="n">
        <f aca="false">IF(OR($H1471="",$H1471="EUR"),1,IFERROR(INDEX(FX_Rates!$D:$D,MATCH($H1471,FX_Rates!$A:$A,0)),""))</f>
        <v>1</v>
      </c>
      <c r="S1471" s="26" t="str">
        <f aca="false">IF(AND($I1471="",$J1471=""),"",IF($J1471&lt;&gt;"",$J1471,IF(OR($R1471="",$R1471=0),"",ROUND($I1471/$R1471,2))))</f>
        <v/>
      </c>
      <c r="T1471" s="24" t="str">
        <f aca="false">IF($N1471="","",IFERROR(INDEX(VAT_Codes!$C:$C,MATCH($N1471,VAT_Codes!$A:$A,0)),"")&amp;"")</f>
        <v/>
      </c>
      <c r="U1471" s="26" t="n">
        <f aca="false">IF(OR($S1471="",$T1471="",$T1471="None"),0,IF($T1471="Output",-$S1471,$S1471))</f>
        <v>0</v>
      </c>
      <c r="V1471" s="27" t="n">
        <f aca="false">IF($N1471="",0,IFERROR(INDEX(VAT_Codes!$D:$D,MATCH($N1471,VAT_Codes!$A:$A,0)),0))</f>
        <v>0</v>
      </c>
      <c r="W1471" s="26" t="n">
        <f aca="false">IF($U1471=0,0,IF(IFERROR(INDEX(VAT_Codes!$F:$F,MATCH($N1471,VAT_Codes!$A:$A,0)),"N")="Y",$U1471,IF($L1471&lt;&gt;"",ROUND(ABS($L1471)/IF(OR($R1471="",$R1471=0),1,$R1471),2)*SIGN($U1471),ROUND($U1471*$V1471,2))))</f>
        <v>0</v>
      </c>
      <c r="X1471" s="24" t="str">
        <f aca="false">IF($N1471="","",IFERROR(INDEX(VAT_Codes!$H:$H,MATCH($N1471,VAT_Codes!$A:$A,0)),"")&amp;"")</f>
        <v/>
      </c>
      <c r="Y1471" s="24" t="str">
        <f aca="false">IF($A1471="","",(YEAR($A1471)-YEAR(Settings!$C$8))*12+MONTH($A1471)-MONTH(Settings!$C$8)+1)</f>
        <v/>
      </c>
      <c r="Z1471" s="24" t="str">
        <f aca="false">IF(AND($C1471="",$I1471="",$J1471=""),"",IF($N1471="","NO VAT CODE",IF($T1471="","UNKNOWN VAT CODE",IF($S1471="","MISSING FX RATE",IF(OR($A1471&lt;Settings!$C$8,$A1471&gt;Settings!$C$9),"OUTSIDE PERIOD",IF(AND(IFERROR(INDEX(VAT_Codes!$E:$E,MATCH($N1471,VAT_Codes!$A:$A,0)),"ANY")&lt;&gt;"ANY",$P1471=""),"MISSING COUNTERPARTY COUNTRY",IF(AND(IFERROR(INDEX(VAT_Codes!$E:$E,MATCH($N1471,VAT_Codes!$A:$A,0)),"ANY")&lt;&gt;"ANY",$P1471&lt;&gt;IFERROR(INDEX(VAT_Codes!$E:$E,MATCH($N1471,VAT_Codes!$A:$A,0)),"ANY")),"REGION MISMATCH","OK")))))))</f>
        <v/>
      </c>
    </row>
    <row r="1472" customFormat="false" ht="15" hidden="false" customHeight="false" outlineLevel="0" collapsed="false">
      <c r="M1472" s="24" t="str">
        <f aca="false">IF($C1472="","",IFERROR(INDEX(Account_Mapping!$C:$C,MATCH($C1472&amp;"",Account_Mapping!$A:$A,0))&amp;"",""))</f>
        <v/>
      </c>
      <c r="N1472" s="24" t="str">
        <f aca="false">IF($K1472&lt;&gt;"",$K1472,$M1472)</f>
        <v/>
      </c>
      <c r="O1472" s="24" t="str">
        <f aca="false">IF($F1472="","",IFERROR(INDEX(Counterparties!$C:$C,MATCH($F1472&amp;"",Counterparties!$A:$A,0))&amp;"",""))</f>
        <v/>
      </c>
      <c r="P1472" s="24" t="str">
        <f aca="false">IF($O1472="","",IF($O1472="CY","CY",IF(ISNUMBER(MATCH($O1472,Lists!$A:$A,0)),"EU","3RD")))</f>
        <v/>
      </c>
      <c r="Q1472" s="24" t="str">
        <f aca="false">IF($F1472="","N",IFERROR(IF(INDEX(Counterparties!$E:$E,MATCH($F1472&amp;"",Counterparties!$A:$A,0))="Y","Y","N"),"N"))</f>
        <v>N</v>
      </c>
      <c r="R1472" s="25" t="n">
        <f aca="false">IF(OR($H1472="",$H1472="EUR"),1,IFERROR(INDEX(FX_Rates!$D:$D,MATCH($H1472,FX_Rates!$A:$A,0)),""))</f>
        <v>1</v>
      </c>
      <c r="S1472" s="26" t="str">
        <f aca="false">IF(AND($I1472="",$J1472=""),"",IF($J1472&lt;&gt;"",$J1472,IF(OR($R1472="",$R1472=0),"",ROUND($I1472/$R1472,2))))</f>
        <v/>
      </c>
      <c r="T1472" s="24" t="str">
        <f aca="false">IF($N1472="","",IFERROR(INDEX(VAT_Codes!$C:$C,MATCH($N1472,VAT_Codes!$A:$A,0)),"")&amp;"")</f>
        <v/>
      </c>
      <c r="U1472" s="26" t="n">
        <f aca="false">IF(OR($S1472="",$T1472="",$T1472="None"),0,IF($T1472="Output",-$S1472,$S1472))</f>
        <v>0</v>
      </c>
      <c r="V1472" s="27" t="n">
        <f aca="false">IF($N1472="",0,IFERROR(INDEX(VAT_Codes!$D:$D,MATCH($N1472,VAT_Codes!$A:$A,0)),0))</f>
        <v>0</v>
      </c>
      <c r="W1472" s="26" t="n">
        <f aca="false">IF($U1472=0,0,IF(IFERROR(INDEX(VAT_Codes!$F:$F,MATCH($N1472,VAT_Codes!$A:$A,0)),"N")="Y",$U1472,IF($L1472&lt;&gt;"",ROUND(ABS($L1472)/IF(OR($R1472="",$R1472=0),1,$R1472),2)*SIGN($U1472),ROUND($U1472*$V1472,2))))</f>
        <v>0</v>
      </c>
      <c r="X1472" s="24" t="str">
        <f aca="false">IF($N1472="","",IFERROR(INDEX(VAT_Codes!$H:$H,MATCH($N1472,VAT_Codes!$A:$A,0)),"")&amp;"")</f>
        <v/>
      </c>
      <c r="Y1472" s="24" t="str">
        <f aca="false">IF($A1472="","",(YEAR($A1472)-YEAR(Settings!$C$8))*12+MONTH($A1472)-MONTH(Settings!$C$8)+1)</f>
        <v/>
      </c>
      <c r="Z1472" s="24" t="str">
        <f aca="false">IF(AND($C1472="",$I1472="",$J1472=""),"",IF($N1472="","NO VAT CODE",IF($T1472="","UNKNOWN VAT CODE",IF($S1472="","MISSING FX RATE",IF(OR($A1472&lt;Settings!$C$8,$A1472&gt;Settings!$C$9),"OUTSIDE PERIOD",IF(AND(IFERROR(INDEX(VAT_Codes!$E:$E,MATCH($N1472,VAT_Codes!$A:$A,0)),"ANY")&lt;&gt;"ANY",$P1472=""),"MISSING COUNTERPARTY COUNTRY",IF(AND(IFERROR(INDEX(VAT_Codes!$E:$E,MATCH($N1472,VAT_Codes!$A:$A,0)),"ANY")&lt;&gt;"ANY",$P1472&lt;&gt;IFERROR(INDEX(VAT_Codes!$E:$E,MATCH($N1472,VAT_Codes!$A:$A,0)),"ANY")),"REGION MISMATCH","OK")))))))</f>
        <v/>
      </c>
    </row>
    <row r="1473" customFormat="false" ht="15" hidden="false" customHeight="false" outlineLevel="0" collapsed="false">
      <c r="M1473" s="24" t="str">
        <f aca="false">IF($C1473="","",IFERROR(INDEX(Account_Mapping!$C:$C,MATCH($C1473&amp;"",Account_Mapping!$A:$A,0))&amp;"",""))</f>
        <v/>
      </c>
      <c r="N1473" s="24" t="str">
        <f aca="false">IF($K1473&lt;&gt;"",$K1473,$M1473)</f>
        <v/>
      </c>
      <c r="O1473" s="24" t="str">
        <f aca="false">IF($F1473="","",IFERROR(INDEX(Counterparties!$C:$C,MATCH($F1473&amp;"",Counterparties!$A:$A,0))&amp;"",""))</f>
        <v/>
      </c>
      <c r="P1473" s="24" t="str">
        <f aca="false">IF($O1473="","",IF($O1473="CY","CY",IF(ISNUMBER(MATCH($O1473,Lists!$A:$A,0)),"EU","3RD")))</f>
        <v/>
      </c>
      <c r="Q1473" s="24" t="str">
        <f aca="false">IF($F1473="","N",IFERROR(IF(INDEX(Counterparties!$E:$E,MATCH($F1473&amp;"",Counterparties!$A:$A,0))="Y","Y","N"),"N"))</f>
        <v>N</v>
      </c>
      <c r="R1473" s="25" t="n">
        <f aca="false">IF(OR($H1473="",$H1473="EUR"),1,IFERROR(INDEX(FX_Rates!$D:$D,MATCH($H1473,FX_Rates!$A:$A,0)),""))</f>
        <v>1</v>
      </c>
      <c r="S1473" s="26" t="str">
        <f aca="false">IF(AND($I1473="",$J1473=""),"",IF($J1473&lt;&gt;"",$J1473,IF(OR($R1473="",$R1473=0),"",ROUND($I1473/$R1473,2))))</f>
        <v/>
      </c>
      <c r="T1473" s="24" t="str">
        <f aca="false">IF($N1473="","",IFERROR(INDEX(VAT_Codes!$C:$C,MATCH($N1473,VAT_Codes!$A:$A,0)),"")&amp;"")</f>
        <v/>
      </c>
      <c r="U1473" s="26" t="n">
        <f aca="false">IF(OR($S1473="",$T1473="",$T1473="None"),0,IF($T1473="Output",-$S1473,$S1473))</f>
        <v>0</v>
      </c>
      <c r="V1473" s="27" t="n">
        <f aca="false">IF($N1473="",0,IFERROR(INDEX(VAT_Codes!$D:$D,MATCH($N1473,VAT_Codes!$A:$A,0)),0))</f>
        <v>0</v>
      </c>
      <c r="W1473" s="26" t="n">
        <f aca="false">IF($U1473=0,0,IF(IFERROR(INDEX(VAT_Codes!$F:$F,MATCH($N1473,VAT_Codes!$A:$A,0)),"N")="Y",$U1473,IF($L1473&lt;&gt;"",ROUND(ABS($L1473)/IF(OR($R1473="",$R1473=0),1,$R1473),2)*SIGN($U1473),ROUND($U1473*$V1473,2))))</f>
        <v>0</v>
      </c>
      <c r="X1473" s="24" t="str">
        <f aca="false">IF($N1473="","",IFERROR(INDEX(VAT_Codes!$H:$H,MATCH($N1473,VAT_Codes!$A:$A,0)),"")&amp;"")</f>
        <v/>
      </c>
      <c r="Y1473" s="24" t="str">
        <f aca="false">IF($A1473="","",(YEAR($A1473)-YEAR(Settings!$C$8))*12+MONTH($A1473)-MONTH(Settings!$C$8)+1)</f>
        <v/>
      </c>
      <c r="Z1473" s="24" t="str">
        <f aca="false">IF(AND($C1473="",$I1473="",$J1473=""),"",IF($N1473="","NO VAT CODE",IF($T1473="","UNKNOWN VAT CODE",IF($S1473="","MISSING FX RATE",IF(OR($A1473&lt;Settings!$C$8,$A1473&gt;Settings!$C$9),"OUTSIDE PERIOD",IF(AND(IFERROR(INDEX(VAT_Codes!$E:$E,MATCH($N1473,VAT_Codes!$A:$A,0)),"ANY")&lt;&gt;"ANY",$P1473=""),"MISSING COUNTERPARTY COUNTRY",IF(AND(IFERROR(INDEX(VAT_Codes!$E:$E,MATCH($N1473,VAT_Codes!$A:$A,0)),"ANY")&lt;&gt;"ANY",$P1473&lt;&gt;IFERROR(INDEX(VAT_Codes!$E:$E,MATCH($N1473,VAT_Codes!$A:$A,0)),"ANY")),"REGION MISMATCH","OK")))))))</f>
        <v/>
      </c>
    </row>
    <row r="1474" customFormat="false" ht="15" hidden="false" customHeight="false" outlineLevel="0" collapsed="false">
      <c r="M1474" s="24" t="str">
        <f aca="false">IF($C1474="","",IFERROR(INDEX(Account_Mapping!$C:$C,MATCH($C1474&amp;"",Account_Mapping!$A:$A,0))&amp;"",""))</f>
        <v/>
      </c>
      <c r="N1474" s="24" t="str">
        <f aca="false">IF($K1474&lt;&gt;"",$K1474,$M1474)</f>
        <v/>
      </c>
      <c r="O1474" s="24" t="str">
        <f aca="false">IF($F1474="","",IFERROR(INDEX(Counterparties!$C:$C,MATCH($F1474&amp;"",Counterparties!$A:$A,0))&amp;"",""))</f>
        <v/>
      </c>
      <c r="P1474" s="24" t="str">
        <f aca="false">IF($O1474="","",IF($O1474="CY","CY",IF(ISNUMBER(MATCH($O1474,Lists!$A:$A,0)),"EU","3RD")))</f>
        <v/>
      </c>
      <c r="Q1474" s="24" t="str">
        <f aca="false">IF($F1474="","N",IFERROR(IF(INDEX(Counterparties!$E:$E,MATCH($F1474&amp;"",Counterparties!$A:$A,0))="Y","Y","N"),"N"))</f>
        <v>N</v>
      </c>
      <c r="R1474" s="25" t="n">
        <f aca="false">IF(OR($H1474="",$H1474="EUR"),1,IFERROR(INDEX(FX_Rates!$D:$D,MATCH($H1474,FX_Rates!$A:$A,0)),""))</f>
        <v>1</v>
      </c>
      <c r="S1474" s="26" t="str">
        <f aca="false">IF(AND($I1474="",$J1474=""),"",IF($J1474&lt;&gt;"",$J1474,IF(OR($R1474="",$R1474=0),"",ROUND($I1474/$R1474,2))))</f>
        <v/>
      </c>
      <c r="T1474" s="24" t="str">
        <f aca="false">IF($N1474="","",IFERROR(INDEX(VAT_Codes!$C:$C,MATCH($N1474,VAT_Codes!$A:$A,0)),"")&amp;"")</f>
        <v/>
      </c>
      <c r="U1474" s="26" t="n">
        <f aca="false">IF(OR($S1474="",$T1474="",$T1474="None"),0,IF($T1474="Output",-$S1474,$S1474))</f>
        <v>0</v>
      </c>
      <c r="V1474" s="27" t="n">
        <f aca="false">IF($N1474="",0,IFERROR(INDEX(VAT_Codes!$D:$D,MATCH($N1474,VAT_Codes!$A:$A,0)),0))</f>
        <v>0</v>
      </c>
      <c r="W1474" s="26" t="n">
        <f aca="false">IF($U1474=0,0,IF(IFERROR(INDEX(VAT_Codes!$F:$F,MATCH($N1474,VAT_Codes!$A:$A,0)),"N")="Y",$U1474,IF($L1474&lt;&gt;"",ROUND(ABS($L1474)/IF(OR($R1474="",$R1474=0),1,$R1474),2)*SIGN($U1474),ROUND($U1474*$V1474,2))))</f>
        <v>0</v>
      </c>
      <c r="X1474" s="24" t="str">
        <f aca="false">IF($N1474="","",IFERROR(INDEX(VAT_Codes!$H:$H,MATCH($N1474,VAT_Codes!$A:$A,0)),"")&amp;"")</f>
        <v/>
      </c>
      <c r="Y1474" s="24" t="str">
        <f aca="false">IF($A1474="","",(YEAR($A1474)-YEAR(Settings!$C$8))*12+MONTH($A1474)-MONTH(Settings!$C$8)+1)</f>
        <v/>
      </c>
      <c r="Z1474" s="24" t="str">
        <f aca="false">IF(AND($C1474="",$I1474="",$J1474=""),"",IF($N1474="","NO VAT CODE",IF($T1474="","UNKNOWN VAT CODE",IF($S1474="","MISSING FX RATE",IF(OR($A1474&lt;Settings!$C$8,$A1474&gt;Settings!$C$9),"OUTSIDE PERIOD",IF(AND(IFERROR(INDEX(VAT_Codes!$E:$E,MATCH($N1474,VAT_Codes!$A:$A,0)),"ANY")&lt;&gt;"ANY",$P1474=""),"MISSING COUNTERPARTY COUNTRY",IF(AND(IFERROR(INDEX(VAT_Codes!$E:$E,MATCH($N1474,VAT_Codes!$A:$A,0)),"ANY")&lt;&gt;"ANY",$P1474&lt;&gt;IFERROR(INDEX(VAT_Codes!$E:$E,MATCH($N1474,VAT_Codes!$A:$A,0)),"ANY")),"REGION MISMATCH","OK")))))))</f>
        <v/>
      </c>
    </row>
    <row r="1475" customFormat="false" ht="15" hidden="false" customHeight="false" outlineLevel="0" collapsed="false">
      <c r="M1475" s="24" t="str">
        <f aca="false">IF($C1475="","",IFERROR(INDEX(Account_Mapping!$C:$C,MATCH($C1475&amp;"",Account_Mapping!$A:$A,0))&amp;"",""))</f>
        <v/>
      </c>
      <c r="N1475" s="24" t="str">
        <f aca="false">IF($K1475&lt;&gt;"",$K1475,$M1475)</f>
        <v/>
      </c>
      <c r="O1475" s="24" t="str">
        <f aca="false">IF($F1475="","",IFERROR(INDEX(Counterparties!$C:$C,MATCH($F1475&amp;"",Counterparties!$A:$A,0))&amp;"",""))</f>
        <v/>
      </c>
      <c r="P1475" s="24" t="str">
        <f aca="false">IF($O1475="","",IF($O1475="CY","CY",IF(ISNUMBER(MATCH($O1475,Lists!$A:$A,0)),"EU","3RD")))</f>
        <v/>
      </c>
      <c r="Q1475" s="24" t="str">
        <f aca="false">IF($F1475="","N",IFERROR(IF(INDEX(Counterparties!$E:$E,MATCH($F1475&amp;"",Counterparties!$A:$A,0))="Y","Y","N"),"N"))</f>
        <v>N</v>
      </c>
      <c r="R1475" s="25" t="n">
        <f aca="false">IF(OR($H1475="",$H1475="EUR"),1,IFERROR(INDEX(FX_Rates!$D:$D,MATCH($H1475,FX_Rates!$A:$A,0)),""))</f>
        <v>1</v>
      </c>
      <c r="S1475" s="26" t="str">
        <f aca="false">IF(AND($I1475="",$J1475=""),"",IF($J1475&lt;&gt;"",$J1475,IF(OR($R1475="",$R1475=0),"",ROUND($I1475/$R1475,2))))</f>
        <v/>
      </c>
      <c r="T1475" s="24" t="str">
        <f aca="false">IF($N1475="","",IFERROR(INDEX(VAT_Codes!$C:$C,MATCH($N1475,VAT_Codes!$A:$A,0)),"")&amp;"")</f>
        <v/>
      </c>
      <c r="U1475" s="26" t="n">
        <f aca="false">IF(OR($S1475="",$T1475="",$T1475="None"),0,IF($T1475="Output",-$S1475,$S1475))</f>
        <v>0</v>
      </c>
      <c r="V1475" s="27" t="n">
        <f aca="false">IF($N1475="",0,IFERROR(INDEX(VAT_Codes!$D:$D,MATCH($N1475,VAT_Codes!$A:$A,0)),0))</f>
        <v>0</v>
      </c>
      <c r="W1475" s="26" t="n">
        <f aca="false">IF($U1475=0,0,IF(IFERROR(INDEX(VAT_Codes!$F:$F,MATCH($N1475,VAT_Codes!$A:$A,0)),"N")="Y",$U1475,IF($L1475&lt;&gt;"",ROUND(ABS($L1475)/IF(OR($R1475="",$R1475=0),1,$R1475),2)*SIGN($U1475),ROUND($U1475*$V1475,2))))</f>
        <v>0</v>
      </c>
      <c r="X1475" s="24" t="str">
        <f aca="false">IF($N1475="","",IFERROR(INDEX(VAT_Codes!$H:$H,MATCH($N1475,VAT_Codes!$A:$A,0)),"")&amp;"")</f>
        <v/>
      </c>
      <c r="Y1475" s="24" t="str">
        <f aca="false">IF($A1475="","",(YEAR($A1475)-YEAR(Settings!$C$8))*12+MONTH($A1475)-MONTH(Settings!$C$8)+1)</f>
        <v/>
      </c>
      <c r="Z1475" s="24" t="str">
        <f aca="false">IF(AND($C1475="",$I1475="",$J1475=""),"",IF($N1475="","NO VAT CODE",IF($T1475="","UNKNOWN VAT CODE",IF($S1475="","MISSING FX RATE",IF(OR($A1475&lt;Settings!$C$8,$A1475&gt;Settings!$C$9),"OUTSIDE PERIOD",IF(AND(IFERROR(INDEX(VAT_Codes!$E:$E,MATCH($N1475,VAT_Codes!$A:$A,0)),"ANY")&lt;&gt;"ANY",$P1475=""),"MISSING COUNTERPARTY COUNTRY",IF(AND(IFERROR(INDEX(VAT_Codes!$E:$E,MATCH($N1475,VAT_Codes!$A:$A,0)),"ANY")&lt;&gt;"ANY",$P1475&lt;&gt;IFERROR(INDEX(VAT_Codes!$E:$E,MATCH($N1475,VAT_Codes!$A:$A,0)),"ANY")),"REGION MISMATCH","OK")))))))</f>
        <v/>
      </c>
    </row>
    <row r="1476" customFormat="false" ht="15" hidden="false" customHeight="false" outlineLevel="0" collapsed="false">
      <c r="M1476" s="24" t="str">
        <f aca="false">IF($C1476="","",IFERROR(INDEX(Account_Mapping!$C:$C,MATCH($C1476&amp;"",Account_Mapping!$A:$A,0))&amp;"",""))</f>
        <v/>
      </c>
      <c r="N1476" s="24" t="str">
        <f aca="false">IF($K1476&lt;&gt;"",$K1476,$M1476)</f>
        <v/>
      </c>
      <c r="O1476" s="24" t="str">
        <f aca="false">IF($F1476="","",IFERROR(INDEX(Counterparties!$C:$C,MATCH($F1476&amp;"",Counterparties!$A:$A,0))&amp;"",""))</f>
        <v/>
      </c>
      <c r="P1476" s="24" t="str">
        <f aca="false">IF($O1476="","",IF($O1476="CY","CY",IF(ISNUMBER(MATCH($O1476,Lists!$A:$A,0)),"EU","3RD")))</f>
        <v/>
      </c>
      <c r="Q1476" s="24" t="str">
        <f aca="false">IF($F1476="","N",IFERROR(IF(INDEX(Counterparties!$E:$E,MATCH($F1476&amp;"",Counterparties!$A:$A,0))="Y","Y","N"),"N"))</f>
        <v>N</v>
      </c>
      <c r="R1476" s="25" t="n">
        <f aca="false">IF(OR($H1476="",$H1476="EUR"),1,IFERROR(INDEX(FX_Rates!$D:$D,MATCH($H1476,FX_Rates!$A:$A,0)),""))</f>
        <v>1</v>
      </c>
      <c r="S1476" s="26" t="str">
        <f aca="false">IF(AND($I1476="",$J1476=""),"",IF($J1476&lt;&gt;"",$J1476,IF(OR($R1476="",$R1476=0),"",ROUND($I1476/$R1476,2))))</f>
        <v/>
      </c>
      <c r="T1476" s="24" t="str">
        <f aca="false">IF($N1476="","",IFERROR(INDEX(VAT_Codes!$C:$C,MATCH($N1476,VAT_Codes!$A:$A,0)),"")&amp;"")</f>
        <v/>
      </c>
      <c r="U1476" s="26" t="n">
        <f aca="false">IF(OR($S1476="",$T1476="",$T1476="None"),0,IF($T1476="Output",-$S1476,$S1476))</f>
        <v>0</v>
      </c>
      <c r="V1476" s="27" t="n">
        <f aca="false">IF($N1476="",0,IFERROR(INDEX(VAT_Codes!$D:$D,MATCH($N1476,VAT_Codes!$A:$A,0)),0))</f>
        <v>0</v>
      </c>
      <c r="W1476" s="26" t="n">
        <f aca="false">IF($U1476=0,0,IF(IFERROR(INDEX(VAT_Codes!$F:$F,MATCH($N1476,VAT_Codes!$A:$A,0)),"N")="Y",$U1476,IF($L1476&lt;&gt;"",ROUND(ABS($L1476)/IF(OR($R1476="",$R1476=0),1,$R1476),2)*SIGN($U1476),ROUND($U1476*$V1476,2))))</f>
        <v>0</v>
      </c>
      <c r="X1476" s="24" t="str">
        <f aca="false">IF($N1476="","",IFERROR(INDEX(VAT_Codes!$H:$H,MATCH($N1476,VAT_Codes!$A:$A,0)),"")&amp;"")</f>
        <v/>
      </c>
      <c r="Y1476" s="24" t="str">
        <f aca="false">IF($A1476="","",(YEAR($A1476)-YEAR(Settings!$C$8))*12+MONTH($A1476)-MONTH(Settings!$C$8)+1)</f>
        <v/>
      </c>
      <c r="Z1476" s="24" t="str">
        <f aca="false">IF(AND($C1476="",$I1476="",$J1476=""),"",IF($N1476="","NO VAT CODE",IF($T1476="","UNKNOWN VAT CODE",IF($S1476="","MISSING FX RATE",IF(OR($A1476&lt;Settings!$C$8,$A1476&gt;Settings!$C$9),"OUTSIDE PERIOD",IF(AND(IFERROR(INDEX(VAT_Codes!$E:$E,MATCH($N1476,VAT_Codes!$A:$A,0)),"ANY")&lt;&gt;"ANY",$P1476=""),"MISSING COUNTERPARTY COUNTRY",IF(AND(IFERROR(INDEX(VAT_Codes!$E:$E,MATCH($N1476,VAT_Codes!$A:$A,0)),"ANY")&lt;&gt;"ANY",$P1476&lt;&gt;IFERROR(INDEX(VAT_Codes!$E:$E,MATCH($N1476,VAT_Codes!$A:$A,0)),"ANY")),"REGION MISMATCH","OK")))))))</f>
        <v/>
      </c>
    </row>
    <row r="1477" customFormat="false" ht="15" hidden="false" customHeight="false" outlineLevel="0" collapsed="false">
      <c r="M1477" s="24" t="str">
        <f aca="false">IF($C1477="","",IFERROR(INDEX(Account_Mapping!$C:$C,MATCH($C1477&amp;"",Account_Mapping!$A:$A,0))&amp;"",""))</f>
        <v/>
      </c>
      <c r="N1477" s="24" t="str">
        <f aca="false">IF($K1477&lt;&gt;"",$K1477,$M1477)</f>
        <v/>
      </c>
      <c r="O1477" s="24" t="str">
        <f aca="false">IF($F1477="","",IFERROR(INDEX(Counterparties!$C:$C,MATCH($F1477&amp;"",Counterparties!$A:$A,0))&amp;"",""))</f>
        <v/>
      </c>
      <c r="P1477" s="24" t="str">
        <f aca="false">IF($O1477="","",IF($O1477="CY","CY",IF(ISNUMBER(MATCH($O1477,Lists!$A:$A,0)),"EU","3RD")))</f>
        <v/>
      </c>
      <c r="Q1477" s="24" t="str">
        <f aca="false">IF($F1477="","N",IFERROR(IF(INDEX(Counterparties!$E:$E,MATCH($F1477&amp;"",Counterparties!$A:$A,0))="Y","Y","N"),"N"))</f>
        <v>N</v>
      </c>
      <c r="R1477" s="25" t="n">
        <f aca="false">IF(OR($H1477="",$H1477="EUR"),1,IFERROR(INDEX(FX_Rates!$D:$D,MATCH($H1477,FX_Rates!$A:$A,0)),""))</f>
        <v>1</v>
      </c>
      <c r="S1477" s="26" t="str">
        <f aca="false">IF(AND($I1477="",$J1477=""),"",IF($J1477&lt;&gt;"",$J1477,IF(OR($R1477="",$R1477=0),"",ROUND($I1477/$R1477,2))))</f>
        <v/>
      </c>
      <c r="T1477" s="24" t="str">
        <f aca="false">IF($N1477="","",IFERROR(INDEX(VAT_Codes!$C:$C,MATCH($N1477,VAT_Codes!$A:$A,0)),"")&amp;"")</f>
        <v/>
      </c>
      <c r="U1477" s="26" t="n">
        <f aca="false">IF(OR($S1477="",$T1477="",$T1477="None"),0,IF($T1477="Output",-$S1477,$S1477))</f>
        <v>0</v>
      </c>
      <c r="V1477" s="27" t="n">
        <f aca="false">IF($N1477="",0,IFERROR(INDEX(VAT_Codes!$D:$D,MATCH($N1477,VAT_Codes!$A:$A,0)),0))</f>
        <v>0</v>
      </c>
      <c r="W1477" s="26" t="n">
        <f aca="false">IF($U1477=0,0,IF(IFERROR(INDEX(VAT_Codes!$F:$F,MATCH($N1477,VAT_Codes!$A:$A,0)),"N")="Y",$U1477,IF($L1477&lt;&gt;"",ROUND(ABS($L1477)/IF(OR($R1477="",$R1477=0),1,$R1477),2)*SIGN($U1477),ROUND($U1477*$V1477,2))))</f>
        <v>0</v>
      </c>
      <c r="X1477" s="24" t="str">
        <f aca="false">IF($N1477="","",IFERROR(INDEX(VAT_Codes!$H:$H,MATCH($N1477,VAT_Codes!$A:$A,0)),"")&amp;"")</f>
        <v/>
      </c>
      <c r="Y1477" s="24" t="str">
        <f aca="false">IF($A1477="","",(YEAR($A1477)-YEAR(Settings!$C$8))*12+MONTH($A1477)-MONTH(Settings!$C$8)+1)</f>
        <v/>
      </c>
      <c r="Z1477" s="24" t="str">
        <f aca="false">IF(AND($C1477="",$I1477="",$J1477=""),"",IF($N1477="","NO VAT CODE",IF($T1477="","UNKNOWN VAT CODE",IF($S1477="","MISSING FX RATE",IF(OR($A1477&lt;Settings!$C$8,$A1477&gt;Settings!$C$9),"OUTSIDE PERIOD",IF(AND(IFERROR(INDEX(VAT_Codes!$E:$E,MATCH($N1477,VAT_Codes!$A:$A,0)),"ANY")&lt;&gt;"ANY",$P1477=""),"MISSING COUNTERPARTY COUNTRY",IF(AND(IFERROR(INDEX(VAT_Codes!$E:$E,MATCH($N1477,VAT_Codes!$A:$A,0)),"ANY")&lt;&gt;"ANY",$P1477&lt;&gt;IFERROR(INDEX(VAT_Codes!$E:$E,MATCH($N1477,VAT_Codes!$A:$A,0)),"ANY")),"REGION MISMATCH","OK")))))))</f>
        <v/>
      </c>
    </row>
    <row r="1478" customFormat="false" ht="15" hidden="false" customHeight="false" outlineLevel="0" collapsed="false">
      <c r="M1478" s="24" t="str">
        <f aca="false">IF($C1478="","",IFERROR(INDEX(Account_Mapping!$C:$C,MATCH($C1478&amp;"",Account_Mapping!$A:$A,0))&amp;"",""))</f>
        <v/>
      </c>
      <c r="N1478" s="24" t="str">
        <f aca="false">IF($K1478&lt;&gt;"",$K1478,$M1478)</f>
        <v/>
      </c>
      <c r="O1478" s="24" t="str">
        <f aca="false">IF($F1478="","",IFERROR(INDEX(Counterparties!$C:$C,MATCH($F1478&amp;"",Counterparties!$A:$A,0))&amp;"",""))</f>
        <v/>
      </c>
      <c r="P1478" s="24" t="str">
        <f aca="false">IF($O1478="","",IF($O1478="CY","CY",IF(ISNUMBER(MATCH($O1478,Lists!$A:$A,0)),"EU","3RD")))</f>
        <v/>
      </c>
      <c r="Q1478" s="24" t="str">
        <f aca="false">IF($F1478="","N",IFERROR(IF(INDEX(Counterparties!$E:$E,MATCH($F1478&amp;"",Counterparties!$A:$A,0))="Y","Y","N"),"N"))</f>
        <v>N</v>
      </c>
      <c r="R1478" s="25" t="n">
        <f aca="false">IF(OR($H1478="",$H1478="EUR"),1,IFERROR(INDEX(FX_Rates!$D:$D,MATCH($H1478,FX_Rates!$A:$A,0)),""))</f>
        <v>1</v>
      </c>
      <c r="S1478" s="26" t="str">
        <f aca="false">IF(AND($I1478="",$J1478=""),"",IF($J1478&lt;&gt;"",$J1478,IF(OR($R1478="",$R1478=0),"",ROUND($I1478/$R1478,2))))</f>
        <v/>
      </c>
      <c r="T1478" s="24" t="str">
        <f aca="false">IF($N1478="","",IFERROR(INDEX(VAT_Codes!$C:$C,MATCH($N1478,VAT_Codes!$A:$A,0)),"")&amp;"")</f>
        <v/>
      </c>
      <c r="U1478" s="26" t="n">
        <f aca="false">IF(OR($S1478="",$T1478="",$T1478="None"),0,IF($T1478="Output",-$S1478,$S1478))</f>
        <v>0</v>
      </c>
      <c r="V1478" s="27" t="n">
        <f aca="false">IF($N1478="",0,IFERROR(INDEX(VAT_Codes!$D:$D,MATCH($N1478,VAT_Codes!$A:$A,0)),0))</f>
        <v>0</v>
      </c>
      <c r="W1478" s="26" t="n">
        <f aca="false">IF($U1478=0,0,IF(IFERROR(INDEX(VAT_Codes!$F:$F,MATCH($N1478,VAT_Codes!$A:$A,0)),"N")="Y",$U1478,IF($L1478&lt;&gt;"",ROUND(ABS($L1478)/IF(OR($R1478="",$R1478=0),1,$R1478),2)*SIGN($U1478),ROUND($U1478*$V1478,2))))</f>
        <v>0</v>
      </c>
      <c r="X1478" s="24" t="str">
        <f aca="false">IF($N1478="","",IFERROR(INDEX(VAT_Codes!$H:$H,MATCH($N1478,VAT_Codes!$A:$A,0)),"")&amp;"")</f>
        <v/>
      </c>
      <c r="Y1478" s="24" t="str">
        <f aca="false">IF($A1478="","",(YEAR($A1478)-YEAR(Settings!$C$8))*12+MONTH($A1478)-MONTH(Settings!$C$8)+1)</f>
        <v/>
      </c>
      <c r="Z1478" s="24" t="str">
        <f aca="false">IF(AND($C1478="",$I1478="",$J1478=""),"",IF($N1478="","NO VAT CODE",IF($T1478="","UNKNOWN VAT CODE",IF($S1478="","MISSING FX RATE",IF(OR($A1478&lt;Settings!$C$8,$A1478&gt;Settings!$C$9),"OUTSIDE PERIOD",IF(AND(IFERROR(INDEX(VAT_Codes!$E:$E,MATCH($N1478,VAT_Codes!$A:$A,0)),"ANY")&lt;&gt;"ANY",$P1478=""),"MISSING COUNTERPARTY COUNTRY",IF(AND(IFERROR(INDEX(VAT_Codes!$E:$E,MATCH($N1478,VAT_Codes!$A:$A,0)),"ANY")&lt;&gt;"ANY",$P1478&lt;&gt;IFERROR(INDEX(VAT_Codes!$E:$E,MATCH($N1478,VAT_Codes!$A:$A,0)),"ANY")),"REGION MISMATCH","OK")))))))</f>
        <v/>
      </c>
    </row>
    <row r="1479" customFormat="false" ht="15" hidden="false" customHeight="false" outlineLevel="0" collapsed="false">
      <c r="M1479" s="24" t="str">
        <f aca="false">IF($C1479="","",IFERROR(INDEX(Account_Mapping!$C:$C,MATCH($C1479&amp;"",Account_Mapping!$A:$A,0))&amp;"",""))</f>
        <v/>
      </c>
      <c r="N1479" s="24" t="str">
        <f aca="false">IF($K1479&lt;&gt;"",$K1479,$M1479)</f>
        <v/>
      </c>
      <c r="O1479" s="24" t="str">
        <f aca="false">IF($F1479="","",IFERROR(INDEX(Counterparties!$C:$C,MATCH($F1479&amp;"",Counterparties!$A:$A,0))&amp;"",""))</f>
        <v/>
      </c>
      <c r="P1479" s="24" t="str">
        <f aca="false">IF($O1479="","",IF($O1479="CY","CY",IF(ISNUMBER(MATCH($O1479,Lists!$A:$A,0)),"EU","3RD")))</f>
        <v/>
      </c>
      <c r="Q1479" s="24" t="str">
        <f aca="false">IF($F1479="","N",IFERROR(IF(INDEX(Counterparties!$E:$E,MATCH($F1479&amp;"",Counterparties!$A:$A,0))="Y","Y","N"),"N"))</f>
        <v>N</v>
      </c>
      <c r="R1479" s="25" t="n">
        <f aca="false">IF(OR($H1479="",$H1479="EUR"),1,IFERROR(INDEX(FX_Rates!$D:$D,MATCH($H1479,FX_Rates!$A:$A,0)),""))</f>
        <v>1</v>
      </c>
      <c r="S1479" s="26" t="str">
        <f aca="false">IF(AND($I1479="",$J1479=""),"",IF($J1479&lt;&gt;"",$J1479,IF(OR($R1479="",$R1479=0),"",ROUND($I1479/$R1479,2))))</f>
        <v/>
      </c>
      <c r="T1479" s="24" t="str">
        <f aca="false">IF($N1479="","",IFERROR(INDEX(VAT_Codes!$C:$C,MATCH($N1479,VAT_Codes!$A:$A,0)),"")&amp;"")</f>
        <v/>
      </c>
      <c r="U1479" s="26" t="n">
        <f aca="false">IF(OR($S1479="",$T1479="",$T1479="None"),0,IF($T1479="Output",-$S1479,$S1479))</f>
        <v>0</v>
      </c>
      <c r="V1479" s="27" t="n">
        <f aca="false">IF($N1479="",0,IFERROR(INDEX(VAT_Codes!$D:$D,MATCH($N1479,VAT_Codes!$A:$A,0)),0))</f>
        <v>0</v>
      </c>
      <c r="W1479" s="26" t="n">
        <f aca="false">IF($U1479=0,0,IF(IFERROR(INDEX(VAT_Codes!$F:$F,MATCH($N1479,VAT_Codes!$A:$A,0)),"N")="Y",$U1479,IF($L1479&lt;&gt;"",ROUND(ABS($L1479)/IF(OR($R1479="",$R1479=0),1,$R1479),2)*SIGN($U1479),ROUND($U1479*$V1479,2))))</f>
        <v>0</v>
      </c>
      <c r="X1479" s="24" t="str">
        <f aca="false">IF($N1479="","",IFERROR(INDEX(VAT_Codes!$H:$H,MATCH($N1479,VAT_Codes!$A:$A,0)),"")&amp;"")</f>
        <v/>
      </c>
      <c r="Y1479" s="24" t="str">
        <f aca="false">IF($A1479="","",(YEAR($A1479)-YEAR(Settings!$C$8))*12+MONTH($A1479)-MONTH(Settings!$C$8)+1)</f>
        <v/>
      </c>
      <c r="Z1479" s="24" t="str">
        <f aca="false">IF(AND($C1479="",$I1479="",$J1479=""),"",IF($N1479="","NO VAT CODE",IF($T1479="","UNKNOWN VAT CODE",IF($S1479="","MISSING FX RATE",IF(OR($A1479&lt;Settings!$C$8,$A1479&gt;Settings!$C$9),"OUTSIDE PERIOD",IF(AND(IFERROR(INDEX(VAT_Codes!$E:$E,MATCH($N1479,VAT_Codes!$A:$A,0)),"ANY")&lt;&gt;"ANY",$P1479=""),"MISSING COUNTERPARTY COUNTRY",IF(AND(IFERROR(INDEX(VAT_Codes!$E:$E,MATCH($N1479,VAT_Codes!$A:$A,0)),"ANY")&lt;&gt;"ANY",$P1479&lt;&gt;IFERROR(INDEX(VAT_Codes!$E:$E,MATCH($N1479,VAT_Codes!$A:$A,0)),"ANY")),"REGION MISMATCH","OK")))))))</f>
        <v/>
      </c>
    </row>
    <row r="1480" customFormat="false" ht="15" hidden="false" customHeight="false" outlineLevel="0" collapsed="false">
      <c r="M1480" s="24" t="str">
        <f aca="false">IF($C1480="","",IFERROR(INDEX(Account_Mapping!$C:$C,MATCH($C1480&amp;"",Account_Mapping!$A:$A,0))&amp;"",""))</f>
        <v/>
      </c>
      <c r="N1480" s="24" t="str">
        <f aca="false">IF($K1480&lt;&gt;"",$K1480,$M1480)</f>
        <v/>
      </c>
      <c r="O1480" s="24" t="str">
        <f aca="false">IF($F1480="","",IFERROR(INDEX(Counterparties!$C:$C,MATCH($F1480&amp;"",Counterparties!$A:$A,0))&amp;"",""))</f>
        <v/>
      </c>
      <c r="P1480" s="24" t="str">
        <f aca="false">IF($O1480="","",IF($O1480="CY","CY",IF(ISNUMBER(MATCH($O1480,Lists!$A:$A,0)),"EU","3RD")))</f>
        <v/>
      </c>
      <c r="Q1480" s="24" t="str">
        <f aca="false">IF($F1480="","N",IFERROR(IF(INDEX(Counterparties!$E:$E,MATCH($F1480&amp;"",Counterparties!$A:$A,0))="Y","Y","N"),"N"))</f>
        <v>N</v>
      </c>
      <c r="R1480" s="25" t="n">
        <f aca="false">IF(OR($H1480="",$H1480="EUR"),1,IFERROR(INDEX(FX_Rates!$D:$D,MATCH($H1480,FX_Rates!$A:$A,0)),""))</f>
        <v>1</v>
      </c>
      <c r="S1480" s="26" t="str">
        <f aca="false">IF(AND($I1480="",$J1480=""),"",IF($J1480&lt;&gt;"",$J1480,IF(OR($R1480="",$R1480=0),"",ROUND($I1480/$R1480,2))))</f>
        <v/>
      </c>
      <c r="T1480" s="24" t="str">
        <f aca="false">IF($N1480="","",IFERROR(INDEX(VAT_Codes!$C:$C,MATCH($N1480,VAT_Codes!$A:$A,0)),"")&amp;"")</f>
        <v/>
      </c>
      <c r="U1480" s="26" t="n">
        <f aca="false">IF(OR($S1480="",$T1480="",$T1480="None"),0,IF($T1480="Output",-$S1480,$S1480))</f>
        <v>0</v>
      </c>
      <c r="V1480" s="27" t="n">
        <f aca="false">IF($N1480="",0,IFERROR(INDEX(VAT_Codes!$D:$D,MATCH($N1480,VAT_Codes!$A:$A,0)),0))</f>
        <v>0</v>
      </c>
      <c r="W1480" s="26" t="n">
        <f aca="false">IF($U1480=0,0,IF(IFERROR(INDEX(VAT_Codes!$F:$F,MATCH($N1480,VAT_Codes!$A:$A,0)),"N")="Y",$U1480,IF($L1480&lt;&gt;"",ROUND(ABS($L1480)/IF(OR($R1480="",$R1480=0),1,$R1480),2)*SIGN($U1480),ROUND($U1480*$V1480,2))))</f>
        <v>0</v>
      </c>
      <c r="X1480" s="24" t="str">
        <f aca="false">IF($N1480="","",IFERROR(INDEX(VAT_Codes!$H:$H,MATCH($N1480,VAT_Codes!$A:$A,0)),"")&amp;"")</f>
        <v/>
      </c>
      <c r="Y1480" s="24" t="str">
        <f aca="false">IF($A1480="","",(YEAR($A1480)-YEAR(Settings!$C$8))*12+MONTH($A1480)-MONTH(Settings!$C$8)+1)</f>
        <v/>
      </c>
      <c r="Z1480" s="24" t="str">
        <f aca="false">IF(AND($C1480="",$I1480="",$J1480=""),"",IF($N1480="","NO VAT CODE",IF($T1480="","UNKNOWN VAT CODE",IF($S1480="","MISSING FX RATE",IF(OR($A1480&lt;Settings!$C$8,$A1480&gt;Settings!$C$9),"OUTSIDE PERIOD",IF(AND(IFERROR(INDEX(VAT_Codes!$E:$E,MATCH($N1480,VAT_Codes!$A:$A,0)),"ANY")&lt;&gt;"ANY",$P1480=""),"MISSING COUNTERPARTY COUNTRY",IF(AND(IFERROR(INDEX(VAT_Codes!$E:$E,MATCH($N1480,VAT_Codes!$A:$A,0)),"ANY")&lt;&gt;"ANY",$P1480&lt;&gt;IFERROR(INDEX(VAT_Codes!$E:$E,MATCH($N1480,VAT_Codes!$A:$A,0)),"ANY")),"REGION MISMATCH","OK")))))))</f>
        <v/>
      </c>
    </row>
    <row r="1481" customFormat="false" ht="15" hidden="false" customHeight="false" outlineLevel="0" collapsed="false">
      <c r="M1481" s="24" t="str">
        <f aca="false">IF($C1481="","",IFERROR(INDEX(Account_Mapping!$C:$C,MATCH($C1481&amp;"",Account_Mapping!$A:$A,0))&amp;"",""))</f>
        <v/>
      </c>
      <c r="N1481" s="24" t="str">
        <f aca="false">IF($K1481&lt;&gt;"",$K1481,$M1481)</f>
        <v/>
      </c>
      <c r="O1481" s="24" t="str">
        <f aca="false">IF($F1481="","",IFERROR(INDEX(Counterparties!$C:$C,MATCH($F1481&amp;"",Counterparties!$A:$A,0))&amp;"",""))</f>
        <v/>
      </c>
      <c r="P1481" s="24" t="str">
        <f aca="false">IF($O1481="","",IF($O1481="CY","CY",IF(ISNUMBER(MATCH($O1481,Lists!$A:$A,0)),"EU","3RD")))</f>
        <v/>
      </c>
      <c r="Q1481" s="24" t="str">
        <f aca="false">IF($F1481="","N",IFERROR(IF(INDEX(Counterparties!$E:$E,MATCH($F1481&amp;"",Counterparties!$A:$A,0))="Y","Y","N"),"N"))</f>
        <v>N</v>
      </c>
      <c r="R1481" s="25" t="n">
        <f aca="false">IF(OR($H1481="",$H1481="EUR"),1,IFERROR(INDEX(FX_Rates!$D:$D,MATCH($H1481,FX_Rates!$A:$A,0)),""))</f>
        <v>1</v>
      </c>
      <c r="S1481" s="26" t="str">
        <f aca="false">IF(AND($I1481="",$J1481=""),"",IF($J1481&lt;&gt;"",$J1481,IF(OR($R1481="",$R1481=0),"",ROUND($I1481/$R1481,2))))</f>
        <v/>
      </c>
      <c r="T1481" s="24" t="str">
        <f aca="false">IF($N1481="","",IFERROR(INDEX(VAT_Codes!$C:$C,MATCH($N1481,VAT_Codes!$A:$A,0)),"")&amp;"")</f>
        <v/>
      </c>
      <c r="U1481" s="26" t="n">
        <f aca="false">IF(OR($S1481="",$T1481="",$T1481="None"),0,IF($T1481="Output",-$S1481,$S1481))</f>
        <v>0</v>
      </c>
      <c r="V1481" s="27" t="n">
        <f aca="false">IF($N1481="",0,IFERROR(INDEX(VAT_Codes!$D:$D,MATCH($N1481,VAT_Codes!$A:$A,0)),0))</f>
        <v>0</v>
      </c>
      <c r="W1481" s="26" t="n">
        <f aca="false">IF($U1481=0,0,IF(IFERROR(INDEX(VAT_Codes!$F:$F,MATCH($N1481,VAT_Codes!$A:$A,0)),"N")="Y",$U1481,IF($L1481&lt;&gt;"",ROUND(ABS($L1481)/IF(OR($R1481="",$R1481=0),1,$R1481),2)*SIGN($U1481),ROUND($U1481*$V1481,2))))</f>
        <v>0</v>
      </c>
      <c r="X1481" s="24" t="str">
        <f aca="false">IF($N1481="","",IFERROR(INDEX(VAT_Codes!$H:$H,MATCH($N1481,VAT_Codes!$A:$A,0)),"")&amp;"")</f>
        <v/>
      </c>
      <c r="Y1481" s="24" t="str">
        <f aca="false">IF($A1481="","",(YEAR($A1481)-YEAR(Settings!$C$8))*12+MONTH($A1481)-MONTH(Settings!$C$8)+1)</f>
        <v/>
      </c>
      <c r="Z1481" s="24" t="str">
        <f aca="false">IF(AND($C1481="",$I1481="",$J1481=""),"",IF($N1481="","NO VAT CODE",IF($T1481="","UNKNOWN VAT CODE",IF($S1481="","MISSING FX RATE",IF(OR($A1481&lt;Settings!$C$8,$A1481&gt;Settings!$C$9),"OUTSIDE PERIOD",IF(AND(IFERROR(INDEX(VAT_Codes!$E:$E,MATCH($N1481,VAT_Codes!$A:$A,0)),"ANY")&lt;&gt;"ANY",$P1481=""),"MISSING COUNTERPARTY COUNTRY",IF(AND(IFERROR(INDEX(VAT_Codes!$E:$E,MATCH($N1481,VAT_Codes!$A:$A,0)),"ANY")&lt;&gt;"ANY",$P1481&lt;&gt;IFERROR(INDEX(VAT_Codes!$E:$E,MATCH($N1481,VAT_Codes!$A:$A,0)),"ANY")),"REGION MISMATCH","OK")))))))</f>
        <v/>
      </c>
    </row>
    <row r="1482" customFormat="false" ht="15" hidden="false" customHeight="false" outlineLevel="0" collapsed="false">
      <c r="M1482" s="24" t="str">
        <f aca="false">IF($C1482="","",IFERROR(INDEX(Account_Mapping!$C:$C,MATCH($C1482&amp;"",Account_Mapping!$A:$A,0))&amp;"",""))</f>
        <v/>
      </c>
      <c r="N1482" s="24" t="str">
        <f aca="false">IF($K1482&lt;&gt;"",$K1482,$M1482)</f>
        <v/>
      </c>
      <c r="O1482" s="24" t="str">
        <f aca="false">IF($F1482="","",IFERROR(INDEX(Counterparties!$C:$C,MATCH($F1482&amp;"",Counterparties!$A:$A,0))&amp;"",""))</f>
        <v/>
      </c>
      <c r="P1482" s="24" t="str">
        <f aca="false">IF($O1482="","",IF($O1482="CY","CY",IF(ISNUMBER(MATCH($O1482,Lists!$A:$A,0)),"EU","3RD")))</f>
        <v/>
      </c>
      <c r="Q1482" s="24" t="str">
        <f aca="false">IF($F1482="","N",IFERROR(IF(INDEX(Counterparties!$E:$E,MATCH($F1482&amp;"",Counterparties!$A:$A,0))="Y","Y","N"),"N"))</f>
        <v>N</v>
      </c>
      <c r="R1482" s="25" t="n">
        <f aca="false">IF(OR($H1482="",$H1482="EUR"),1,IFERROR(INDEX(FX_Rates!$D:$D,MATCH($H1482,FX_Rates!$A:$A,0)),""))</f>
        <v>1</v>
      </c>
      <c r="S1482" s="26" t="str">
        <f aca="false">IF(AND($I1482="",$J1482=""),"",IF($J1482&lt;&gt;"",$J1482,IF(OR($R1482="",$R1482=0),"",ROUND($I1482/$R1482,2))))</f>
        <v/>
      </c>
      <c r="T1482" s="24" t="str">
        <f aca="false">IF($N1482="","",IFERROR(INDEX(VAT_Codes!$C:$C,MATCH($N1482,VAT_Codes!$A:$A,0)),"")&amp;"")</f>
        <v/>
      </c>
      <c r="U1482" s="26" t="n">
        <f aca="false">IF(OR($S1482="",$T1482="",$T1482="None"),0,IF($T1482="Output",-$S1482,$S1482))</f>
        <v>0</v>
      </c>
      <c r="V1482" s="27" t="n">
        <f aca="false">IF($N1482="",0,IFERROR(INDEX(VAT_Codes!$D:$D,MATCH($N1482,VAT_Codes!$A:$A,0)),0))</f>
        <v>0</v>
      </c>
      <c r="W1482" s="26" t="n">
        <f aca="false">IF($U1482=0,0,IF(IFERROR(INDEX(VAT_Codes!$F:$F,MATCH($N1482,VAT_Codes!$A:$A,0)),"N")="Y",$U1482,IF($L1482&lt;&gt;"",ROUND(ABS($L1482)/IF(OR($R1482="",$R1482=0),1,$R1482),2)*SIGN($U1482),ROUND($U1482*$V1482,2))))</f>
        <v>0</v>
      </c>
      <c r="X1482" s="24" t="str">
        <f aca="false">IF($N1482="","",IFERROR(INDEX(VAT_Codes!$H:$H,MATCH($N1482,VAT_Codes!$A:$A,0)),"")&amp;"")</f>
        <v/>
      </c>
      <c r="Y1482" s="24" t="str">
        <f aca="false">IF($A1482="","",(YEAR($A1482)-YEAR(Settings!$C$8))*12+MONTH($A1482)-MONTH(Settings!$C$8)+1)</f>
        <v/>
      </c>
      <c r="Z1482" s="24" t="str">
        <f aca="false">IF(AND($C1482="",$I1482="",$J1482=""),"",IF($N1482="","NO VAT CODE",IF($T1482="","UNKNOWN VAT CODE",IF($S1482="","MISSING FX RATE",IF(OR($A1482&lt;Settings!$C$8,$A1482&gt;Settings!$C$9),"OUTSIDE PERIOD",IF(AND(IFERROR(INDEX(VAT_Codes!$E:$E,MATCH($N1482,VAT_Codes!$A:$A,0)),"ANY")&lt;&gt;"ANY",$P1482=""),"MISSING COUNTERPARTY COUNTRY",IF(AND(IFERROR(INDEX(VAT_Codes!$E:$E,MATCH($N1482,VAT_Codes!$A:$A,0)),"ANY")&lt;&gt;"ANY",$P1482&lt;&gt;IFERROR(INDEX(VAT_Codes!$E:$E,MATCH($N1482,VAT_Codes!$A:$A,0)),"ANY")),"REGION MISMATCH","OK")))))))</f>
        <v/>
      </c>
    </row>
    <row r="1483" customFormat="false" ht="15" hidden="false" customHeight="false" outlineLevel="0" collapsed="false">
      <c r="M1483" s="24" t="str">
        <f aca="false">IF($C1483="","",IFERROR(INDEX(Account_Mapping!$C:$C,MATCH($C1483&amp;"",Account_Mapping!$A:$A,0))&amp;"",""))</f>
        <v/>
      </c>
      <c r="N1483" s="24" t="str">
        <f aca="false">IF($K1483&lt;&gt;"",$K1483,$M1483)</f>
        <v/>
      </c>
      <c r="O1483" s="24" t="str">
        <f aca="false">IF($F1483="","",IFERROR(INDEX(Counterparties!$C:$C,MATCH($F1483&amp;"",Counterparties!$A:$A,0))&amp;"",""))</f>
        <v/>
      </c>
      <c r="P1483" s="24" t="str">
        <f aca="false">IF($O1483="","",IF($O1483="CY","CY",IF(ISNUMBER(MATCH($O1483,Lists!$A:$A,0)),"EU","3RD")))</f>
        <v/>
      </c>
      <c r="Q1483" s="24" t="str">
        <f aca="false">IF($F1483="","N",IFERROR(IF(INDEX(Counterparties!$E:$E,MATCH($F1483&amp;"",Counterparties!$A:$A,0))="Y","Y","N"),"N"))</f>
        <v>N</v>
      </c>
      <c r="R1483" s="25" t="n">
        <f aca="false">IF(OR($H1483="",$H1483="EUR"),1,IFERROR(INDEX(FX_Rates!$D:$D,MATCH($H1483,FX_Rates!$A:$A,0)),""))</f>
        <v>1</v>
      </c>
      <c r="S1483" s="26" t="str">
        <f aca="false">IF(AND($I1483="",$J1483=""),"",IF($J1483&lt;&gt;"",$J1483,IF(OR($R1483="",$R1483=0),"",ROUND($I1483/$R1483,2))))</f>
        <v/>
      </c>
      <c r="T1483" s="24" t="str">
        <f aca="false">IF($N1483="","",IFERROR(INDEX(VAT_Codes!$C:$C,MATCH($N1483,VAT_Codes!$A:$A,0)),"")&amp;"")</f>
        <v/>
      </c>
      <c r="U1483" s="26" t="n">
        <f aca="false">IF(OR($S1483="",$T1483="",$T1483="None"),0,IF($T1483="Output",-$S1483,$S1483))</f>
        <v>0</v>
      </c>
      <c r="V1483" s="27" t="n">
        <f aca="false">IF($N1483="",0,IFERROR(INDEX(VAT_Codes!$D:$D,MATCH($N1483,VAT_Codes!$A:$A,0)),0))</f>
        <v>0</v>
      </c>
      <c r="W1483" s="26" t="n">
        <f aca="false">IF($U1483=0,0,IF(IFERROR(INDEX(VAT_Codes!$F:$F,MATCH($N1483,VAT_Codes!$A:$A,0)),"N")="Y",$U1483,IF($L1483&lt;&gt;"",ROUND(ABS($L1483)/IF(OR($R1483="",$R1483=0),1,$R1483),2)*SIGN($U1483),ROUND($U1483*$V1483,2))))</f>
        <v>0</v>
      </c>
      <c r="X1483" s="24" t="str">
        <f aca="false">IF($N1483="","",IFERROR(INDEX(VAT_Codes!$H:$H,MATCH($N1483,VAT_Codes!$A:$A,0)),"")&amp;"")</f>
        <v/>
      </c>
      <c r="Y1483" s="24" t="str">
        <f aca="false">IF($A1483="","",(YEAR($A1483)-YEAR(Settings!$C$8))*12+MONTH($A1483)-MONTH(Settings!$C$8)+1)</f>
        <v/>
      </c>
      <c r="Z1483" s="24" t="str">
        <f aca="false">IF(AND($C1483="",$I1483="",$J1483=""),"",IF($N1483="","NO VAT CODE",IF($T1483="","UNKNOWN VAT CODE",IF($S1483="","MISSING FX RATE",IF(OR($A1483&lt;Settings!$C$8,$A1483&gt;Settings!$C$9),"OUTSIDE PERIOD",IF(AND(IFERROR(INDEX(VAT_Codes!$E:$E,MATCH($N1483,VAT_Codes!$A:$A,0)),"ANY")&lt;&gt;"ANY",$P1483=""),"MISSING COUNTERPARTY COUNTRY",IF(AND(IFERROR(INDEX(VAT_Codes!$E:$E,MATCH($N1483,VAT_Codes!$A:$A,0)),"ANY")&lt;&gt;"ANY",$P1483&lt;&gt;IFERROR(INDEX(VAT_Codes!$E:$E,MATCH($N1483,VAT_Codes!$A:$A,0)),"ANY")),"REGION MISMATCH","OK")))))))</f>
        <v/>
      </c>
    </row>
    <row r="1484" customFormat="false" ht="15" hidden="false" customHeight="false" outlineLevel="0" collapsed="false">
      <c r="M1484" s="24" t="str">
        <f aca="false">IF($C1484="","",IFERROR(INDEX(Account_Mapping!$C:$C,MATCH($C1484&amp;"",Account_Mapping!$A:$A,0))&amp;"",""))</f>
        <v/>
      </c>
      <c r="N1484" s="24" t="str">
        <f aca="false">IF($K1484&lt;&gt;"",$K1484,$M1484)</f>
        <v/>
      </c>
      <c r="O1484" s="24" t="str">
        <f aca="false">IF($F1484="","",IFERROR(INDEX(Counterparties!$C:$C,MATCH($F1484&amp;"",Counterparties!$A:$A,0))&amp;"",""))</f>
        <v/>
      </c>
      <c r="P1484" s="24" t="str">
        <f aca="false">IF($O1484="","",IF($O1484="CY","CY",IF(ISNUMBER(MATCH($O1484,Lists!$A:$A,0)),"EU","3RD")))</f>
        <v/>
      </c>
      <c r="Q1484" s="24" t="str">
        <f aca="false">IF($F1484="","N",IFERROR(IF(INDEX(Counterparties!$E:$E,MATCH($F1484&amp;"",Counterparties!$A:$A,0))="Y","Y","N"),"N"))</f>
        <v>N</v>
      </c>
      <c r="R1484" s="25" t="n">
        <f aca="false">IF(OR($H1484="",$H1484="EUR"),1,IFERROR(INDEX(FX_Rates!$D:$D,MATCH($H1484,FX_Rates!$A:$A,0)),""))</f>
        <v>1</v>
      </c>
      <c r="S1484" s="26" t="str">
        <f aca="false">IF(AND($I1484="",$J1484=""),"",IF($J1484&lt;&gt;"",$J1484,IF(OR($R1484="",$R1484=0),"",ROUND($I1484/$R1484,2))))</f>
        <v/>
      </c>
      <c r="T1484" s="24" t="str">
        <f aca="false">IF($N1484="","",IFERROR(INDEX(VAT_Codes!$C:$C,MATCH($N1484,VAT_Codes!$A:$A,0)),"")&amp;"")</f>
        <v/>
      </c>
      <c r="U1484" s="26" t="n">
        <f aca="false">IF(OR($S1484="",$T1484="",$T1484="None"),0,IF($T1484="Output",-$S1484,$S1484))</f>
        <v>0</v>
      </c>
      <c r="V1484" s="27" t="n">
        <f aca="false">IF($N1484="",0,IFERROR(INDEX(VAT_Codes!$D:$D,MATCH($N1484,VAT_Codes!$A:$A,0)),0))</f>
        <v>0</v>
      </c>
      <c r="W1484" s="26" t="n">
        <f aca="false">IF($U1484=0,0,IF(IFERROR(INDEX(VAT_Codes!$F:$F,MATCH($N1484,VAT_Codes!$A:$A,0)),"N")="Y",$U1484,IF($L1484&lt;&gt;"",ROUND(ABS($L1484)/IF(OR($R1484="",$R1484=0),1,$R1484),2)*SIGN($U1484),ROUND($U1484*$V1484,2))))</f>
        <v>0</v>
      </c>
      <c r="X1484" s="24" t="str">
        <f aca="false">IF($N1484="","",IFERROR(INDEX(VAT_Codes!$H:$H,MATCH($N1484,VAT_Codes!$A:$A,0)),"")&amp;"")</f>
        <v/>
      </c>
      <c r="Y1484" s="24" t="str">
        <f aca="false">IF($A1484="","",(YEAR($A1484)-YEAR(Settings!$C$8))*12+MONTH($A1484)-MONTH(Settings!$C$8)+1)</f>
        <v/>
      </c>
      <c r="Z1484" s="24" t="str">
        <f aca="false">IF(AND($C1484="",$I1484="",$J1484=""),"",IF($N1484="","NO VAT CODE",IF($T1484="","UNKNOWN VAT CODE",IF($S1484="","MISSING FX RATE",IF(OR($A1484&lt;Settings!$C$8,$A1484&gt;Settings!$C$9),"OUTSIDE PERIOD",IF(AND(IFERROR(INDEX(VAT_Codes!$E:$E,MATCH($N1484,VAT_Codes!$A:$A,0)),"ANY")&lt;&gt;"ANY",$P1484=""),"MISSING COUNTERPARTY COUNTRY",IF(AND(IFERROR(INDEX(VAT_Codes!$E:$E,MATCH($N1484,VAT_Codes!$A:$A,0)),"ANY")&lt;&gt;"ANY",$P1484&lt;&gt;IFERROR(INDEX(VAT_Codes!$E:$E,MATCH($N1484,VAT_Codes!$A:$A,0)),"ANY")),"REGION MISMATCH","OK")))))))</f>
        <v/>
      </c>
    </row>
    <row r="1485" customFormat="false" ht="15" hidden="false" customHeight="false" outlineLevel="0" collapsed="false">
      <c r="M1485" s="24" t="str">
        <f aca="false">IF($C1485="","",IFERROR(INDEX(Account_Mapping!$C:$C,MATCH($C1485&amp;"",Account_Mapping!$A:$A,0))&amp;"",""))</f>
        <v/>
      </c>
      <c r="N1485" s="24" t="str">
        <f aca="false">IF($K1485&lt;&gt;"",$K1485,$M1485)</f>
        <v/>
      </c>
      <c r="O1485" s="24" t="str">
        <f aca="false">IF($F1485="","",IFERROR(INDEX(Counterparties!$C:$C,MATCH($F1485&amp;"",Counterparties!$A:$A,0))&amp;"",""))</f>
        <v/>
      </c>
      <c r="P1485" s="24" t="str">
        <f aca="false">IF($O1485="","",IF($O1485="CY","CY",IF(ISNUMBER(MATCH($O1485,Lists!$A:$A,0)),"EU","3RD")))</f>
        <v/>
      </c>
      <c r="Q1485" s="24" t="str">
        <f aca="false">IF($F1485="","N",IFERROR(IF(INDEX(Counterparties!$E:$E,MATCH($F1485&amp;"",Counterparties!$A:$A,0))="Y","Y","N"),"N"))</f>
        <v>N</v>
      </c>
      <c r="R1485" s="25" t="n">
        <f aca="false">IF(OR($H1485="",$H1485="EUR"),1,IFERROR(INDEX(FX_Rates!$D:$D,MATCH($H1485,FX_Rates!$A:$A,0)),""))</f>
        <v>1</v>
      </c>
      <c r="S1485" s="26" t="str">
        <f aca="false">IF(AND($I1485="",$J1485=""),"",IF($J1485&lt;&gt;"",$J1485,IF(OR($R1485="",$R1485=0),"",ROUND($I1485/$R1485,2))))</f>
        <v/>
      </c>
      <c r="T1485" s="24" t="str">
        <f aca="false">IF($N1485="","",IFERROR(INDEX(VAT_Codes!$C:$C,MATCH($N1485,VAT_Codes!$A:$A,0)),"")&amp;"")</f>
        <v/>
      </c>
      <c r="U1485" s="26" t="n">
        <f aca="false">IF(OR($S1485="",$T1485="",$T1485="None"),0,IF($T1485="Output",-$S1485,$S1485))</f>
        <v>0</v>
      </c>
      <c r="V1485" s="27" t="n">
        <f aca="false">IF($N1485="",0,IFERROR(INDEX(VAT_Codes!$D:$D,MATCH($N1485,VAT_Codes!$A:$A,0)),0))</f>
        <v>0</v>
      </c>
      <c r="W1485" s="26" t="n">
        <f aca="false">IF($U1485=0,0,IF(IFERROR(INDEX(VAT_Codes!$F:$F,MATCH($N1485,VAT_Codes!$A:$A,0)),"N")="Y",$U1485,IF($L1485&lt;&gt;"",ROUND(ABS($L1485)/IF(OR($R1485="",$R1485=0),1,$R1485),2)*SIGN($U1485),ROUND($U1485*$V1485,2))))</f>
        <v>0</v>
      </c>
      <c r="X1485" s="24" t="str">
        <f aca="false">IF($N1485="","",IFERROR(INDEX(VAT_Codes!$H:$H,MATCH($N1485,VAT_Codes!$A:$A,0)),"")&amp;"")</f>
        <v/>
      </c>
      <c r="Y1485" s="24" t="str">
        <f aca="false">IF($A1485="","",(YEAR($A1485)-YEAR(Settings!$C$8))*12+MONTH($A1485)-MONTH(Settings!$C$8)+1)</f>
        <v/>
      </c>
      <c r="Z1485" s="24" t="str">
        <f aca="false">IF(AND($C1485="",$I1485="",$J1485=""),"",IF($N1485="","NO VAT CODE",IF($T1485="","UNKNOWN VAT CODE",IF($S1485="","MISSING FX RATE",IF(OR($A1485&lt;Settings!$C$8,$A1485&gt;Settings!$C$9),"OUTSIDE PERIOD",IF(AND(IFERROR(INDEX(VAT_Codes!$E:$E,MATCH($N1485,VAT_Codes!$A:$A,0)),"ANY")&lt;&gt;"ANY",$P1485=""),"MISSING COUNTERPARTY COUNTRY",IF(AND(IFERROR(INDEX(VAT_Codes!$E:$E,MATCH($N1485,VAT_Codes!$A:$A,0)),"ANY")&lt;&gt;"ANY",$P1485&lt;&gt;IFERROR(INDEX(VAT_Codes!$E:$E,MATCH($N1485,VAT_Codes!$A:$A,0)),"ANY")),"REGION MISMATCH","OK")))))))</f>
        <v/>
      </c>
    </row>
    <row r="1486" customFormat="false" ht="15" hidden="false" customHeight="false" outlineLevel="0" collapsed="false">
      <c r="M1486" s="24" t="str">
        <f aca="false">IF($C1486="","",IFERROR(INDEX(Account_Mapping!$C:$C,MATCH($C1486&amp;"",Account_Mapping!$A:$A,0))&amp;"",""))</f>
        <v/>
      </c>
      <c r="N1486" s="24" t="str">
        <f aca="false">IF($K1486&lt;&gt;"",$K1486,$M1486)</f>
        <v/>
      </c>
      <c r="O1486" s="24" t="str">
        <f aca="false">IF($F1486="","",IFERROR(INDEX(Counterparties!$C:$C,MATCH($F1486&amp;"",Counterparties!$A:$A,0))&amp;"",""))</f>
        <v/>
      </c>
      <c r="P1486" s="24" t="str">
        <f aca="false">IF($O1486="","",IF($O1486="CY","CY",IF(ISNUMBER(MATCH($O1486,Lists!$A:$A,0)),"EU","3RD")))</f>
        <v/>
      </c>
      <c r="Q1486" s="24" t="str">
        <f aca="false">IF($F1486="","N",IFERROR(IF(INDEX(Counterparties!$E:$E,MATCH($F1486&amp;"",Counterparties!$A:$A,0))="Y","Y","N"),"N"))</f>
        <v>N</v>
      </c>
      <c r="R1486" s="25" t="n">
        <f aca="false">IF(OR($H1486="",$H1486="EUR"),1,IFERROR(INDEX(FX_Rates!$D:$D,MATCH($H1486,FX_Rates!$A:$A,0)),""))</f>
        <v>1</v>
      </c>
      <c r="S1486" s="26" t="str">
        <f aca="false">IF(AND($I1486="",$J1486=""),"",IF($J1486&lt;&gt;"",$J1486,IF(OR($R1486="",$R1486=0),"",ROUND($I1486/$R1486,2))))</f>
        <v/>
      </c>
      <c r="T1486" s="24" t="str">
        <f aca="false">IF($N1486="","",IFERROR(INDEX(VAT_Codes!$C:$C,MATCH($N1486,VAT_Codes!$A:$A,0)),"")&amp;"")</f>
        <v/>
      </c>
      <c r="U1486" s="26" t="n">
        <f aca="false">IF(OR($S1486="",$T1486="",$T1486="None"),0,IF($T1486="Output",-$S1486,$S1486))</f>
        <v>0</v>
      </c>
      <c r="V1486" s="27" t="n">
        <f aca="false">IF($N1486="",0,IFERROR(INDEX(VAT_Codes!$D:$D,MATCH($N1486,VAT_Codes!$A:$A,0)),0))</f>
        <v>0</v>
      </c>
      <c r="W1486" s="26" t="n">
        <f aca="false">IF($U1486=0,0,IF(IFERROR(INDEX(VAT_Codes!$F:$F,MATCH($N1486,VAT_Codes!$A:$A,0)),"N")="Y",$U1486,IF($L1486&lt;&gt;"",ROUND(ABS($L1486)/IF(OR($R1486="",$R1486=0),1,$R1486),2)*SIGN($U1486),ROUND($U1486*$V1486,2))))</f>
        <v>0</v>
      </c>
      <c r="X1486" s="24" t="str">
        <f aca="false">IF($N1486="","",IFERROR(INDEX(VAT_Codes!$H:$H,MATCH($N1486,VAT_Codes!$A:$A,0)),"")&amp;"")</f>
        <v/>
      </c>
      <c r="Y1486" s="24" t="str">
        <f aca="false">IF($A1486="","",(YEAR($A1486)-YEAR(Settings!$C$8))*12+MONTH($A1486)-MONTH(Settings!$C$8)+1)</f>
        <v/>
      </c>
      <c r="Z1486" s="24" t="str">
        <f aca="false">IF(AND($C1486="",$I1486="",$J1486=""),"",IF($N1486="","NO VAT CODE",IF($T1486="","UNKNOWN VAT CODE",IF($S1486="","MISSING FX RATE",IF(OR($A1486&lt;Settings!$C$8,$A1486&gt;Settings!$C$9),"OUTSIDE PERIOD",IF(AND(IFERROR(INDEX(VAT_Codes!$E:$E,MATCH($N1486,VAT_Codes!$A:$A,0)),"ANY")&lt;&gt;"ANY",$P1486=""),"MISSING COUNTERPARTY COUNTRY",IF(AND(IFERROR(INDEX(VAT_Codes!$E:$E,MATCH($N1486,VAT_Codes!$A:$A,0)),"ANY")&lt;&gt;"ANY",$P1486&lt;&gt;IFERROR(INDEX(VAT_Codes!$E:$E,MATCH($N1486,VAT_Codes!$A:$A,0)),"ANY")),"REGION MISMATCH","OK")))))))</f>
        <v/>
      </c>
    </row>
    <row r="1487" customFormat="false" ht="15" hidden="false" customHeight="false" outlineLevel="0" collapsed="false">
      <c r="M1487" s="24" t="str">
        <f aca="false">IF($C1487="","",IFERROR(INDEX(Account_Mapping!$C:$C,MATCH($C1487&amp;"",Account_Mapping!$A:$A,0))&amp;"",""))</f>
        <v/>
      </c>
      <c r="N1487" s="24" t="str">
        <f aca="false">IF($K1487&lt;&gt;"",$K1487,$M1487)</f>
        <v/>
      </c>
      <c r="O1487" s="24" t="str">
        <f aca="false">IF($F1487="","",IFERROR(INDEX(Counterparties!$C:$C,MATCH($F1487&amp;"",Counterparties!$A:$A,0))&amp;"",""))</f>
        <v/>
      </c>
      <c r="P1487" s="24" t="str">
        <f aca="false">IF($O1487="","",IF($O1487="CY","CY",IF(ISNUMBER(MATCH($O1487,Lists!$A:$A,0)),"EU","3RD")))</f>
        <v/>
      </c>
      <c r="Q1487" s="24" t="str">
        <f aca="false">IF($F1487="","N",IFERROR(IF(INDEX(Counterparties!$E:$E,MATCH($F1487&amp;"",Counterparties!$A:$A,0))="Y","Y","N"),"N"))</f>
        <v>N</v>
      </c>
      <c r="R1487" s="25" t="n">
        <f aca="false">IF(OR($H1487="",$H1487="EUR"),1,IFERROR(INDEX(FX_Rates!$D:$D,MATCH($H1487,FX_Rates!$A:$A,0)),""))</f>
        <v>1</v>
      </c>
      <c r="S1487" s="26" t="str">
        <f aca="false">IF(AND($I1487="",$J1487=""),"",IF($J1487&lt;&gt;"",$J1487,IF(OR($R1487="",$R1487=0),"",ROUND($I1487/$R1487,2))))</f>
        <v/>
      </c>
      <c r="T1487" s="24" t="str">
        <f aca="false">IF($N1487="","",IFERROR(INDEX(VAT_Codes!$C:$C,MATCH($N1487,VAT_Codes!$A:$A,0)),"")&amp;"")</f>
        <v/>
      </c>
      <c r="U1487" s="26" t="n">
        <f aca="false">IF(OR($S1487="",$T1487="",$T1487="None"),0,IF($T1487="Output",-$S1487,$S1487))</f>
        <v>0</v>
      </c>
      <c r="V1487" s="27" t="n">
        <f aca="false">IF($N1487="",0,IFERROR(INDEX(VAT_Codes!$D:$D,MATCH($N1487,VAT_Codes!$A:$A,0)),0))</f>
        <v>0</v>
      </c>
      <c r="W1487" s="26" t="n">
        <f aca="false">IF($U1487=0,0,IF(IFERROR(INDEX(VAT_Codes!$F:$F,MATCH($N1487,VAT_Codes!$A:$A,0)),"N")="Y",$U1487,IF($L1487&lt;&gt;"",ROUND(ABS($L1487)/IF(OR($R1487="",$R1487=0),1,$R1487),2)*SIGN($U1487),ROUND($U1487*$V1487,2))))</f>
        <v>0</v>
      </c>
      <c r="X1487" s="24" t="str">
        <f aca="false">IF($N1487="","",IFERROR(INDEX(VAT_Codes!$H:$H,MATCH($N1487,VAT_Codes!$A:$A,0)),"")&amp;"")</f>
        <v/>
      </c>
      <c r="Y1487" s="24" t="str">
        <f aca="false">IF($A1487="","",(YEAR($A1487)-YEAR(Settings!$C$8))*12+MONTH($A1487)-MONTH(Settings!$C$8)+1)</f>
        <v/>
      </c>
      <c r="Z1487" s="24" t="str">
        <f aca="false">IF(AND($C1487="",$I1487="",$J1487=""),"",IF($N1487="","NO VAT CODE",IF($T1487="","UNKNOWN VAT CODE",IF($S1487="","MISSING FX RATE",IF(OR($A1487&lt;Settings!$C$8,$A1487&gt;Settings!$C$9),"OUTSIDE PERIOD",IF(AND(IFERROR(INDEX(VAT_Codes!$E:$E,MATCH($N1487,VAT_Codes!$A:$A,0)),"ANY")&lt;&gt;"ANY",$P1487=""),"MISSING COUNTERPARTY COUNTRY",IF(AND(IFERROR(INDEX(VAT_Codes!$E:$E,MATCH($N1487,VAT_Codes!$A:$A,0)),"ANY")&lt;&gt;"ANY",$P1487&lt;&gt;IFERROR(INDEX(VAT_Codes!$E:$E,MATCH($N1487,VAT_Codes!$A:$A,0)),"ANY")),"REGION MISMATCH","OK")))))))</f>
        <v/>
      </c>
    </row>
    <row r="1488" customFormat="false" ht="15" hidden="false" customHeight="false" outlineLevel="0" collapsed="false">
      <c r="M1488" s="24" t="str">
        <f aca="false">IF($C1488="","",IFERROR(INDEX(Account_Mapping!$C:$C,MATCH($C1488&amp;"",Account_Mapping!$A:$A,0))&amp;"",""))</f>
        <v/>
      </c>
      <c r="N1488" s="24" t="str">
        <f aca="false">IF($K1488&lt;&gt;"",$K1488,$M1488)</f>
        <v/>
      </c>
      <c r="O1488" s="24" t="str">
        <f aca="false">IF($F1488="","",IFERROR(INDEX(Counterparties!$C:$C,MATCH($F1488&amp;"",Counterparties!$A:$A,0))&amp;"",""))</f>
        <v/>
      </c>
      <c r="P1488" s="24" t="str">
        <f aca="false">IF($O1488="","",IF($O1488="CY","CY",IF(ISNUMBER(MATCH($O1488,Lists!$A:$A,0)),"EU","3RD")))</f>
        <v/>
      </c>
      <c r="Q1488" s="24" t="str">
        <f aca="false">IF($F1488="","N",IFERROR(IF(INDEX(Counterparties!$E:$E,MATCH($F1488&amp;"",Counterparties!$A:$A,0))="Y","Y","N"),"N"))</f>
        <v>N</v>
      </c>
      <c r="R1488" s="25" t="n">
        <f aca="false">IF(OR($H1488="",$H1488="EUR"),1,IFERROR(INDEX(FX_Rates!$D:$D,MATCH($H1488,FX_Rates!$A:$A,0)),""))</f>
        <v>1</v>
      </c>
      <c r="S1488" s="26" t="str">
        <f aca="false">IF(AND($I1488="",$J1488=""),"",IF($J1488&lt;&gt;"",$J1488,IF(OR($R1488="",$R1488=0),"",ROUND($I1488/$R1488,2))))</f>
        <v/>
      </c>
      <c r="T1488" s="24" t="str">
        <f aca="false">IF($N1488="","",IFERROR(INDEX(VAT_Codes!$C:$C,MATCH($N1488,VAT_Codes!$A:$A,0)),"")&amp;"")</f>
        <v/>
      </c>
      <c r="U1488" s="26" t="n">
        <f aca="false">IF(OR($S1488="",$T1488="",$T1488="None"),0,IF($T1488="Output",-$S1488,$S1488))</f>
        <v>0</v>
      </c>
      <c r="V1488" s="27" t="n">
        <f aca="false">IF($N1488="",0,IFERROR(INDEX(VAT_Codes!$D:$D,MATCH($N1488,VAT_Codes!$A:$A,0)),0))</f>
        <v>0</v>
      </c>
      <c r="W1488" s="26" t="n">
        <f aca="false">IF($U1488=0,0,IF(IFERROR(INDEX(VAT_Codes!$F:$F,MATCH($N1488,VAT_Codes!$A:$A,0)),"N")="Y",$U1488,IF($L1488&lt;&gt;"",ROUND(ABS($L1488)/IF(OR($R1488="",$R1488=0),1,$R1488),2)*SIGN($U1488),ROUND($U1488*$V1488,2))))</f>
        <v>0</v>
      </c>
      <c r="X1488" s="24" t="str">
        <f aca="false">IF($N1488="","",IFERROR(INDEX(VAT_Codes!$H:$H,MATCH($N1488,VAT_Codes!$A:$A,0)),"")&amp;"")</f>
        <v/>
      </c>
      <c r="Y1488" s="24" t="str">
        <f aca="false">IF($A1488="","",(YEAR($A1488)-YEAR(Settings!$C$8))*12+MONTH($A1488)-MONTH(Settings!$C$8)+1)</f>
        <v/>
      </c>
      <c r="Z1488" s="24" t="str">
        <f aca="false">IF(AND($C1488="",$I1488="",$J1488=""),"",IF($N1488="","NO VAT CODE",IF($T1488="","UNKNOWN VAT CODE",IF($S1488="","MISSING FX RATE",IF(OR($A1488&lt;Settings!$C$8,$A1488&gt;Settings!$C$9),"OUTSIDE PERIOD",IF(AND(IFERROR(INDEX(VAT_Codes!$E:$E,MATCH($N1488,VAT_Codes!$A:$A,0)),"ANY")&lt;&gt;"ANY",$P1488=""),"MISSING COUNTERPARTY COUNTRY",IF(AND(IFERROR(INDEX(VAT_Codes!$E:$E,MATCH($N1488,VAT_Codes!$A:$A,0)),"ANY")&lt;&gt;"ANY",$P1488&lt;&gt;IFERROR(INDEX(VAT_Codes!$E:$E,MATCH($N1488,VAT_Codes!$A:$A,0)),"ANY")),"REGION MISMATCH","OK")))))))</f>
        <v/>
      </c>
    </row>
    <row r="1489" customFormat="false" ht="15" hidden="false" customHeight="false" outlineLevel="0" collapsed="false">
      <c r="M1489" s="24" t="str">
        <f aca="false">IF($C1489="","",IFERROR(INDEX(Account_Mapping!$C:$C,MATCH($C1489&amp;"",Account_Mapping!$A:$A,0))&amp;"",""))</f>
        <v/>
      </c>
      <c r="N1489" s="24" t="str">
        <f aca="false">IF($K1489&lt;&gt;"",$K1489,$M1489)</f>
        <v/>
      </c>
      <c r="O1489" s="24" t="str">
        <f aca="false">IF($F1489="","",IFERROR(INDEX(Counterparties!$C:$C,MATCH($F1489&amp;"",Counterparties!$A:$A,0))&amp;"",""))</f>
        <v/>
      </c>
      <c r="P1489" s="24" t="str">
        <f aca="false">IF($O1489="","",IF($O1489="CY","CY",IF(ISNUMBER(MATCH($O1489,Lists!$A:$A,0)),"EU","3RD")))</f>
        <v/>
      </c>
      <c r="Q1489" s="24" t="str">
        <f aca="false">IF($F1489="","N",IFERROR(IF(INDEX(Counterparties!$E:$E,MATCH($F1489&amp;"",Counterparties!$A:$A,0))="Y","Y","N"),"N"))</f>
        <v>N</v>
      </c>
      <c r="R1489" s="25" t="n">
        <f aca="false">IF(OR($H1489="",$H1489="EUR"),1,IFERROR(INDEX(FX_Rates!$D:$D,MATCH($H1489,FX_Rates!$A:$A,0)),""))</f>
        <v>1</v>
      </c>
      <c r="S1489" s="26" t="str">
        <f aca="false">IF(AND($I1489="",$J1489=""),"",IF($J1489&lt;&gt;"",$J1489,IF(OR($R1489="",$R1489=0),"",ROUND($I1489/$R1489,2))))</f>
        <v/>
      </c>
      <c r="T1489" s="24" t="str">
        <f aca="false">IF($N1489="","",IFERROR(INDEX(VAT_Codes!$C:$C,MATCH($N1489,VAT_Codes!$A:$A,0)),"")&amp;"")</f>
        <v/>
      </c>
      <c r="U1489" s="26" t="n">
        <f aca="false">IF(OR($S1489="",$T1489="",$T1489="None"),0,IF($T1489="Output",-$S1489,$S1489))</f>
        <v>0</v>
      </c>
      <c r="V1489" s="27" t="n">
        <f aca="false">IF($N1489="",0,IFERROR(INDEX(VAT_Codes!$D:$D,MATCH($N1489,VAT_Codes!$A:$A,0)),0))</f>
        <v>0</v>
      </c>
      <c r="W1489" s="26" t="n">
        <f aca="false">IF($U1489=0,0,IF(IFERROR(INDEX(VAT_Codes!$F:$F,MATCH($N1489,VAT_Codes!$A:$A,0)),"N")="Y",$U1489,IF($L1489&lt;&gt;"",ROUND(ABS($L1489)/IF(OR($R1489="",$R1489=0),1,$R1489),2)*SIGN($U1489),ROUND($U1489*$V1489,2))))</f>
        <v>0</v>
      </c>
      <c r="X1489" s="24" t="str">
        <f aca="false">IF($N1489="","",IFERROR(INDEX(VAT_Codes!$H:$H,MATCH($N1489,VAT_Codes!$A:$A,0)),"")&amp;"")</f>
        <v/>
      </c>
      <c r="Y1489" s="24" t="str">
        <f aca="false">IF($A1489="","",(YEAR($A1489)-YEAR(Settings!$C$8))*12+MONTH($A1489)-MONTH(Settings!$C$8)+1)</f>
        <v/>
      </c>
      <c r="Z1489" s="24" t="str">
        <f aca="false">IF(AND($C1489="",$I1489="",$J1489=""),"",IF($N1489="","NO VAT CODE",IF($T1489="","UNKNOWN VAT CODE",IF($S1489="","MISSING FX RATE",IF(OR($A1489&lt;Settings!$C$8,$A1489&gt;Settings!$C$9),"OUTSIDE PERIOD",IF(AND(IFERROR(INDEX(VAT_Codes!$E:$E,MATCH($N1489,VAT_Codes!$A:$A,0)),"ANY")&lt;&gt;"ANY",$P1489=""),"MISSING COUNTERPARTY COUNTRY",IF(AND(IFERROR(INDEX(VAT_Codes!$E:$E,MATCH($N1489,VAT_Codes!$A:$A,0)),"ANY")&lt;&gt;"ANY",$P1489&lt;&gt;IFERROR(INDEX(VAT_Codes!$E:$E,MATCH($N1489,VAT_Codes!$A:$A,0)),"ANY")),"REGION MISMATCH","OK")))))))</f>
        <v/>
      </c>
    </row>
    <row r="1490" customFormat="false" ht="15" hidden="false" customHeight="false" outlineLevel="0" collapsed="false">
      <c r="M1490" s="24" t="str">
        <f aca="false">IF($C1490="","",IFERROR(INDEX(Account_Mapping!$C:$C,MATCH($C1490&amp;"",Account_Mapping!$A:$A,0))&amp;"",""))</f>
        <v/>
      </c>
      <c r="N1490" s="24" t="str">
        <f aca="false">IF($K1490&lt;&gt;"",$K1490,$M1490)</f>
        <v/>
      </c>
      <c r="O1490" s="24" t="str">
        <f aca="false">IF($F1490="","",IFERROR(INDEX(Counterparties!$C:$C,MATCH($F1490&amp;"",Counterparties!$A:$A,0))&amp;"",""))</f>
        <v/>
      </c>
      <c r="P1490" s="24" t="str">
        <f aca="false">IF($O1490="","",IF($O1490="CY","CY",IF(ISNUMBER(MATCH($O1490,Lists!$A:$A,0)),"EU","3RD")))</f>
        <v/>
      </c>
      <c r="Q1490" s="24" t="str">
        <f aca="false">IF($F1490="","N",IFERROR(IF(INDEX(Counterparties!$E:$E,MATCH($F1490&amp;"",Counterparties!$A:$A,0))="Y","Y","N"),"N"))</f>
        <v>N</v>
      </c>
      <c r="R1490" s="25" t="n">
        <f aca="false">IF(OR($H1490="",$H1490="EUR"),1,IFERROR(INDEX(FX_Rates!$D:$D,MATCH($H1490,FX_Rates!$A:$A,0)),""))</f>
        <v>1</v>
      </c>
      <c r="S1490" s="26" t="str">
        <f aca="false">IF(AND($I1490="",$J1490=""),"",IF($J1490&lt;&gt;"",$J1490,IF(OR($R1490="",$R1490=0),"",ROUND($I1490/$R1490,2))))</f>
        <v/>
      </c>
      <c r="T1490" s="24" t="str">
        <f aca="false">IF($N1490="","",IFERROR(INDEX(VAT_Codes!$C:$C,MATCH($N1490,VAT_Codes!$A:$A,0)),"")&amp;"")</f>
        <v/>
      </c>
      <c r="U1490" s="26" t="n">
        <f aca="false">IF(OR($S1490="",$T1490="",$T1490="None"),0,IF($T1490="Output",-$S1490,$S1490))</f>
        <v>0</v>
      </c>
      <c r="V1490" s="27" t="n">
        <f aca="false">IF($N1490="",0,IFERROR(INDEX(VAT_Codes!$D:$D,MATCH($N1490,VAT_Codes!$A:$A,0)),0))</f>
        <v>0</v>
      </c>
      <c r="W1490" s="26" t="n">
        <f aca="false">IF($U1490=0,0,IF(IFERROR(INDEX(VAT_Codes!$F:$F,MATCH($N1490,VAT_Codes!$A:$A,0)),"N")="Y",$U1490,IF($L1490&lt;&gt;"",ROUND(ABS($L1490)/IF(OR($R1490="",$R1490=0),1,$R1490),2)*SIGN($U1490),ROUND($U1490*$V1490,2))))</f>
        <v>0</v>
      </c>
      <c r="X1490" s="24" t="str">
        <f aca="false">IF($N1490="","",IFERROR(INDEX(VAT_Codes!$H:$H,MATCH($N1490,VAT_Codes!$A:$A,0)),"")&amp;"")</f>
        <v/>
      </c>
      <c r="Y1490" s="24" t="str">
        <f aca="false">IF($A1490="","",(YEAR($A1490)-YEAR(Settings!$C$8))*12+MONTH($A1490)-MONTH(Settings!$C$8)+1)</f>
        <v/>
      </c>
      <c r="Z1490" s="24" t="str">
        <f aca="false">IF(AND($C1490="",$I1490="",$J1490=""),"",IF($N1490="","NO VAT CODE",IF($T1490="","UNKNOWN VAT CODE",IF($S1490="","MISSING FX RATE",IF(OR($A1490&lt;Settings!$C$8,$A1490&gt;Settings!$C$9),"OUTSIDE PERIOD",IF(AND(IFERROR(INDEX(VAT_Codes!$E:$E,MATCH($N1490,VAT_Codes!$A:$A,0)),"ANY")&lt;&gt;"ANY",$P1490=""),"MISSING COUNTERPARTY COUNTRY",IF(AND(IFERROR(INDEX(VAT_Codes!$E:$E,MATCH($N1490,VAT_Codes!$A:$A,0)),"ANY")&lt;&gt;"ANY",$P1490&lt;&gt;IFERROR(INDEX(VAT_Codes!$E:$E,MATCH($N1490,VAT_Codes!$A:$A,0)),"ANY")),"REGION MISMATCH","OK")))))))</f>
        <v/>
      </c>
    </row>
    <row r="1491" customFormat="false" ht="15" hidden="false" customHeight="false" outlineLevel="0" collapsed="false">
      <c r="M1491" s="24" t="str">
        <f aca="false">IF($C1491="","",IFERROR(INDEX(Account_Mapping!$C:$C,MATCH($C1491&amp;"",Account_Mapping!$A:$A,0))&amp;"",""))</f>
        <v/>
      </c>
      <c r="N1491" s="24" t="str">
        <f aca="false">IF($K1491&lt;&gt;"",$K1491,$M1491)</f>
        <v/>
      </c>
      <c r="O1491" s="24" t="str">
        <f aca="false">IF($F1491="","",IFERROR(INDEX(Counterparties!$C:$C,MATCH($F1491&amp;"",Counterparties!$A:$A,0))&amp;"",""))</f>
        <v/>
      </c>
      <c r="P1491" s="24" t="str">
        <f aca="false">IF($O1491="","",IF($O1491="CY","CY",IF(ISNUMBER(MATCH($O1491,Lists!$A:$A,0)),"EU","3RD")))</f>
        <v/>
      </c>
      <c r="Q1491" s="24" t="str">
        <f aca="false">IF($F1491="","N",IFERROR(IF(INDEX(Counterparties!$E:$E,MATCH($F1491&amp;"",Counterparties!$A:$A,0))="Y","Y","N"),"N"))</f>
        <v>N</v>
      </c>
      <c r="R1491" s="25" t="n">
        <f aca="false">IF(OR($H1491="",$H1491="EUR"),1,IFERROR(INDEX(FX_Rates!$D:$D,MATCH($H1491,FX_Rates!$A:$A,0)),""))</f>
        <v>1</v>
      </c>
      <c r="S1491" s="26" t="str">
        <f aca="false">IF(AND($I1491="",$J1491=""),"",IF($J1491&lt;&gt;"",$J1491,IF(OR($R1491="",$R1491=0),"",ROUND($I1491/$R1491,2))))</f>
        <v/>
      </c>
      <c r="T1491" s="24" t="str">
        <f aca="false">IF($N1491="","",IFERROR(INDEX(VAT_Codes!$C:$C,MATCH($N1491,VAT_Codes!$A:$A,0)),"")&amp;"")</f>
        <v/>
      </c>
      <c r="U1491" s="26" t="n">
        <f aca="false">IF(OR($S1491="",$T1491="",$T1491="None"),0,IF($T1491="Output",-$S1491,$S1491))</f>
        <v>0</v>
      </c>
      <c r="V1491" s="27" t="n">
        <f aca="false">IF($N1491="",0,IFERROR(INDEX(VAT_Codes!$D:$D,MATCH($N1491,VAT_Codes!$A:$A,0)),0))</f>
        <v>0</v>
      </c>
      <c r="W1491" s="26" t="n">
        <f aca="false">IF($U1491=0,0,IF(IFERROR(INDEX(VAT_Codes!$F:$F,MATCH($N1491,VAT_Codes!$A:$A,0)),"N")="Y",$U1491,IF($L1491&lt;&gt;"",ROUND(ABS($L1491)/IF(OR($R1491="",$R1491=0),1,$R1491),2)*SIGN($U1491),ROUND($U1491*$V1491,2))))</f>
        <v>0</v>
      </c>
      <c r="X1491" s="24" t="str">
        <f aca="false">IF($N1491="","",IFERROR(INDEX(VAT_Codes!$H:$H,MATCH($N1491,VAT_Codes!$A:$A,0)),"")&amp;"")</f>
        <v/>
      </c>
      <c r="Y1491" s="24" t="str">
        <f aca="false">IF($A1491="","",(YEAR($A1491)-YEAR(Settings!$C$8))*12+MONTH($A1491)-MONTH(Settings!$C$8)+1)</f>
        <v/>
      </c>
      <c r="Z1491" s="24" t="str">
        <f aca="false">IF(AND($C1491="",$I1491="",$J1491=""),"",IF($N1491="","NO VAT CODE",IF($T1491="","UNKNOWN VAT CODE",IF($S1491="","MISSING FX RATE",IF(OR($A1491&lt;Settings!$C$8,$A1491&gt;Settings!$C$9),"OUTSIDE PERIOD",IF(AND(IFERROR(INDEX(VAT_Codes!$E:$E,MATCH($N1491,VAT_Codes!$A:$A,0)),"ANY")&lt;&gt;"ANY",$P1491=""),"MISSING COUNTERPARTY COUNTRY",IF(AND(IFERROR(INDEX(VAT_Codes!$E:$E,MATCH($N1491,VAT_Codes!$A:$A,0)),"ANY")&lt;&gt;"ANY",$P1491&lt;&gt;IFERROR(INDEX(VAT_Codes!$E:$E,MATCH($N1491,VAT_Codes!$A:$A,0)),"ANY")),"REGION MISMATCH","OK")))))))</f>
        <v/>
      </c>
    </row>
    <row r="1492" customFormat="false" ht="15" hidden="false" customHeight="false" outlineLevel="0" collapsed="false">
      <c r="M1492" s="24" t="str">
        <f aca="false">IF($C1492="","",IFERROR(INDEX(Account_Mapping!$C:$C,MATCH($C1492&amp;"",Account_Mapping!$A:$A,0))&amp;"",""))</f>
        <v/>
      </c>
      <c r="N1492" s="24" t="str">
        <f aca="false">IF($K1492&lt;&gt;"",$K1492,$M1492)</f>
        <v/>
      </c>
      <c r="O1492" s="24" t="str">
        <f aca="false">IF($F1492="","",IFERROR(INDEX(Counterparties!$C:$C,MATCH($F1492&amp;"",Counterparties!$A:$A,0))&amp;"",""))</f>
        <v/>
      </c>
      <c r="P1492" s="24" t="str">
        <f aca="false">IF($O1492="","",IF($O1492="CY","CY",IF(ISNUMBER(MATCH($O1492,Lists!$A:$A,0)),"EU","3RD")))</f>
        <v/>
      </c>
      <c r="Q1492" s="24" t="str">
        <f aca="false">IF($F1492="","N",IFERROR(IF(INDEX(Counterparties!$E:$E,MATCH($F1492&amp;"",Counterparties!$A:$A,0))="Y","Y","N"),"N"))</f>
        <v>N</v>
      </c>
      <c r="R1492" s="25" t="n">
        <f aca="false">IF(OR($H1492="",$H1492="EUR"),1,IFERROR(INDEX(FX_Rates!$D:$D,MATCH($H1492,FX_Rates!$A:$A,0)),""))</f>
        <v>1</v>
      </c>
      <c r="S1492" s="26" t="str">
        <f aca="false">IF(AND($I1492="",$J1492=""),"",IF($J1492&lt;&gt;"",$J1492,IF(OR($R1492="",$R1492=0),"",ROUND($I1492/$R1492,2))))</f>
        <v/>
      </c>
      <c r="T1492" s="24" t="str">
        <f aca="false">IF($N1492="","",IFERROR(INDEX(VAT_Codes!$C:$C,MATCH($N1492,VAT_Codes!$A:$A,0)),"")&amp;"")</f>
        <v/>
      </c>
      <c r="U1492" s="26" t="n">
        <f aca="false">IF(OR($S1492="",$T1492="",$T1492="None"),0,IF($T1492="Output",-$S1492,$S1492))</f>
        <v>0</v>
      </c>
      <c r="V1492" s="27" t="n">
        <f aca="false">IF($N1492="",0,IFERROR(INDEX(VAT_Codes!$D:$D,MATCH($N1492,VAT_Codes!$A:$A,0)),0))</f>
        <v>0</v>
      </c>
      <c r="W1492" s="26" t="n">
        <f aca="false">IF($U1492=0,0,IF(IFERROR(INDEX(VAT_Codes!$F:$F,MATCH($N1492,VAT_Codes!$A:$A,0)),"N")="Y",$U1492,IF($L1492&lt;&gt;"",ROUND(ABS($L1492)/IF(OR($R1492="",$R1492=0),1,$R1492),2)*SIGN($U1492),ROUND($U1492*$V1492,2))))</f>
        <v>0</v>
      </c>
      <c r="X1492" s="24" t="str">
        <f aca="false">IF($N1492="","",IFERROR(INDEX(VAT_Codes!$H:$H,MATCH($N1492,VAT_Codes!$A:$A,0)),"")&amp;"")</f>
        <v/>
      </c>
      <c r="Y1492" s="24" t="str">
        <f aca="false">IF($A1492="","",(YEAR($A1492)-YEAR(Settings!$C$8))*12+MONTH($A1492)-MONTH(Settings!$C$8)+1)</f>
        <v/>
      </c>
      <c r="Z1492" s="24" t="str">
        <f aca="false">IF(AND($C1492="",$I1492="",$J1492=""),"",IF($N1492="","NO VAT CODE",IF($T1492="","UNKNOWN VAT CODE",IF($S1492="","MISSING FX RATE",IF(OR($A1492&lt;Settings!$C$8,$A1492&gt;Settings!$C$9),"OUTSIDE PERIOD",IF(AND(IFERROR(INDEX(VAT_Codes!$E:$E,MATCH($N1492,VAT_Codes!$A:$A,0)),"ANY")&lt;&gt;"ANY",$P1492=""),"MISSING COUNTERPARTY COUNTRY",IF(AND(IFERROR(INDEX(VAT_Codes!$E:$E,MATCH($N1492,VAT_Codes!$A:$A,0)),"ANY")&lt;&gt;"ANY",$P1492&lt;&gt;IFERROR(INDEX(VAT_Codes!$E:$E,MATCH($N1492,VAT_Codes!$A:$A,0)),"ANY")),"REGION MISMATCH","OK")))))))</f>
        <v/>
      </c>
    </row>
    <row r="1493" customFormat="false" ht="15" hidden="false" customHeight="false" outlineLevel="0" collapsed="false">
      <c r="M1493" s="24" t="str">
        <f aca="false">IF($C1493="","",IFERROR(INDEX(Account_Mapping!$C:$C,MATCH($C1493&amp;"",Account_Mapping!$A:$A,0))&amp;"",""))</f>
        <v/>
      </c>
      <c r="N1493" s="24" t="str">
        <f aca="false">IF($K1493&lt;&gt;"",$K1493,$M1493)</f>
        <v/>
      </c>
      <c r="O1493" s="24" t="str">
        <f aca="false">IF($F1493="","",IFERROR(INDEX(Counterparties!$C:$C,MATCH($F1493&amp;"",Counterparties!$A:$A,0))&amp;"",""))</f>
        <v/>
      </c>
      <c r="P1493" s="24" t="str">
        <f aca="false">IF($O1493="","",IF($O1493="CY","CY",IF(ISNUMBER(MATCH($O1493,Lists!$A:$A,0)),"EU","3RD")))</f>
        <v/>
      </c>
      <c r="Q1493" s="24" t="str">
        <f aca="false">IF($F1493="","N",IFERROR(IF(INDEX(Counterparties!$E:$E,MATCH($F1493&amp;"",Counterparties!$A:$A,0))="Y","Y","N"),"N"))</f>
        <v>N</v>
      </c>
      <c r="R1493" s="25" t="n">
        <f aca="false">IF(OR($H1493="",$H1493="EUR"),1,IFERROR(INDEX(FX_Rates!$D:$D,MATCH($H1493,FX_Rates!$A:$A,0)),""))</f>
        <v>1</v>
      </c>
      <c r="S1493" s="26" t="str">
        <f aca="false">IF(AND($I1493="",$J1493=""),"",IF($J1493&lt;&gt;"",$J1493,IF(OR($R1493="",$R1493=0),"",ROUND($I1493/$R1493,2))))</f>
        <v/>
      </c>
      <c r="T1493" s="24" t="str">
        <f aca="false">IF($N1493="","",IFERROR(INDEX(VAT_Codes!$C:$C,MATCH($N1493,VAT_Codes!$A:$A,0)),"")&amp;"")</f>
        <v/>
      </c>
      <c r="U1493" s="26" t="n">
        <f aca="false">IF(OR($S1493="",$T1493="",$T1493="None"),0,IF($T1493="Output",-$S1493,$S1493))</f>
        <v>0</v>
      </c>
      <c r="V1493" s="27" t="n">
        <f aca="false">IF($N1493="",0,IFERROR(INDEX(VAT_Codes!$D:$D,MATCH($N1493,VAT_Codes!$A:$A,0)),0))</f>
        <v>0</v>
      </c>
      <c r="W1493" s="26" t="n">
        <f aca="false">IF($U1493=0,0,IF(IFERROR(INDEX(VAT_Codes!$F:$F,MATCH($N1493,VAT_Codes!$A:$A,0)),"N")="Y",$U1493,IF($L1493&lt;&gt;"",ROUND(ABS($L1493)/IF(OR($R1493="",$R1493=0),1,$R1493),2)*SIGN($U1493),ROUND($U1493*$V1493,2))))</f>
        <v>0</v>
      </c>
      <c r="X1493" s="24" t="str">
        <f aca="false">IF($N1493="","",IFERROR(INDEX(VAT_Codes!$H:$H,MATCH($N1493,VAT_Codes!$A:$A,0)),"")&amp;"")</f>
        <v/>
      </c>
      <c r="Y1493" s="24" t="str">
        <f aca="false">IF($A1493="","",(YEAR($A1493)-YEAR(Settings!$C$8))*12+MONTH($A1493)-MONTH(Settings!$C$8)+1)</f>
        <v/>
      </c>
      <c r="Z1493" s="24" t="str">
        <f aca="false">IF(AND($C1493="",$I1493="",$J1493=""),"",IF($N1493="","NO VAT CODE",IF($T1493="","UNKNOWN VAT CODE",IF($S1493="","MISSING FX RATE",IF(OR($A1493&lt;Settings!$C$8,$A1493&gt;Settings!$C$9),"OUTSIDE PERIOD",IF(AND(IFERROR(INDEX(VAT_Codes!$E:$E,MATCH($N1493,VAT_Codes!$A:$A,0)),"ANY")&lt;&gt;"ANY",$P1493=""),"MISSING COUNTERPARTY COUNTRY",IF(AND(IFERROR(INDEX(VAT_Codes!$E:$E,MATCH($N1493,VAT_Codes!$A:$A,0)),"ANY")&lt;&gt;"ANY",$P1493&lt;&gt;IFERROR(INDEX(VAT_Codes!$E:$E,MATCH($N1493,VAT_Codes!$A:$A,0)),"ANY")),"REGION MISMATCH","OK")))))))</f>
        <v/>
      </c>
    </row>
    <row r="1494" customFormat="false" ht="15" hidden="false" customHeight="false" outlineLevel="0" collapsed="false">
      <c r="M1494" s="24" t="str">
        <f aca="false">IF($C1494="","",IFERROR(INDEX(Account_Mapping!$C:$C,MATCH($C1494&amp;"",Account_Mapping!$A:$A,0))&amp;"",""))</f>
        <v/>
      </c>
      <c r="N1494" s="24" t="str">
        <f aca="false">IF($K1494&lt;&gt;"",$K1494,$M1494)</f>
        <v/>
      </c>
      <c r="O1494" s="24" t="str">
        <f aca="false">IF($F1494="","",IFERROR(INDEX(Counterparties!$C:$C,MATCH($F1494&amp;"",Counterparties!$A:$A,0))&amp;"",""))</f>
        <v/>
      </c>
      <c r="P1494" s="24" t="str">
        <f aca="false">IF($O1494="","",IF($O1494="CY","CY",IF(ISNUMBER(MATCH($O1494,Lists!$A:$A,0)),"EU","3RD")))</f>
        <v/>
      </c>
      <c r="Q1494" s="24" t="str">
        <f aca="false">IF($F1494="","N",IFERROR(IF(INDEX(Counterparties!$E:$E,MATCH($F1494&amp;"",Counterparties!$A:$A,0))="Y","Y","N"),"N"))</f>
        <v>N</v>
      </c>
      <c r="R1494" s="25" t="n">
        <f aca="false">IF(OR($H1494="",$H1494="EUR"),1,IFERROR(INDEX(FX_Rates!$D:$D,MATCH($H1494,FX_Rates!$A:$A,0)),""))</f>
        <v>1</v>
      </c>
      <c r="S1494" s="26" t="str">
        <f aca="false">IF(AND($I1494="",$J1494=""),"",IF($J1494&lt;&gt;"",$J1494,IF(OR($R1494="",$R1494=0),"",ROUND($I1494/$R1494,2))))</f>
        <v/>
      </c>
      <c r="T1494" s="24" t="str">
        <f aca="false">IF($N1494="","",IFERROR(INDEX(VAT_Codes!$C:$C,MATCH($N1494,VAT_Codes!$A:$A,0)),"")&amp;"")</f>
        <v/>
      </c>
      <c r="U1494" s="26" t="n">
        <f aca="false">IF(OR($S1494="",$T1494="",$T1494="None"),0,IF($T1494="Output",-$S1494,$S1494))</f>
        <v>0</v>
      </c>
      <c r="V1494" s="27" t="n">
        <f aca="false">IF($N1494="",0,IFERROR(INDEX(VAT_Codes!$D:$D,MATCH($N1494,VAT_Codes!$A:$A,0)),0))</f>
        <v>0</v>
      </c>
      <c r="W1494" s="26" t="n">
        <f aca="false">IF($U1494=0,0,IF(IFERROR(INDEX(VAT_Codes!$F:$F,MATCH($N1494,VAT_Codes!$A:$A,0)),"N")="Y",$U1494,IF($L1494&lt;&gt;"",ROUND(ABS($L1494)/IF(OR($R1494="",$R1494=0),1,$R1494),2)*SIGN($U1494),ROUND($U1494*$V1494,2))))</f>
        <v>0</v>
      </c>
      <c r="X1494" s="24" t="str">
        <f aca="false">IF($N1494="","",IFERROR(INDEX(VAT_Codes!$H:$H,MATCH($N1494,VAT_Codes!$A:$A,0)),"")&amp;"")</f>
        <v/>
      </c>
      <c r="Y1494" s="24" t="str">
        <f aca="false">IF($A1494="","",(YEAR($A1494)-YEAR(Settings!$C$8))*12+MONTH($A1494)-MONTH(Settings!$C$8)+1)</f>
        <v/>
      </c>
      <c r="Z1494" s="24" t="str">
        <f aca="false">IF(AND($C1494="",$I1494="",$J1494=""),"",IF($N1494="","NO VAT CODE",IF($T1494="","UNKNOWN VAT CODE",IF($S1494="","MISSING FX RATE",IF(OR($A1494&lt;Settings!$C$8,$A1494&gt;Settings!$C$9),"OUTSIDE PERIOD",IF(AND(IFERROR(INDEX(VAT_Codes!$E:$E,MATCH($N1494,VAT_Codes!$A:$A,0)),"ANY")&lt;&gt;"ANY",$P1494=""),"MISSING COUNTERPARTY COUNTRY",IF(AND(IFERROR(INDEX(VAT_Codes!$E:$E,MATCH($N1494,VAT_Codes!$A:$A,0)),"ANY")&lt;&gt;"ANY",$P1494&lt;&gt;IFERROR(INDEX(VAT_Codes!$E:$E,MATCH($N1494,VAT_Codes!$A:$A,0)),"ANY")),"REGION MISMATCH","OK")))))))</f>
        <v/>
      </c>
    </row>
    <row r="1495" customFormat="false" ht="15" hidden="false" customHeight="false" outlineLevel="0" collapsed="false">
      <c r="M1495" s="24" t="str">
        <f aca="false">IF($C1495="","",IFERROR(INDEX(Account_Mapping!$C:$C,MATCH($C1495&amp;"",Account_Mapping!$A:$A,0))&amp;"",""))</f>
        <v/>
      </c>
      <c r="N1495" s="24" t="str">
        <f aca="false">IF($K1495&lt;&gt;"",$K1495,$M1495)</f>
        <v/>
      </c>
      <c r="O1495" s="24" t="str">
        <f aca="false">IF($F1495="","",IFERROR(INDEX(Counterparties!$C:$C,MATCH($F1495&amp;"",Counterparties!$A:$A,0))&amp;"",""))</f>
        <v/>
      </c>
      <c r="P1495" s="24" t="str">
        <f aca="false">IF($O1495="","",IF($O1495="CY","CY",IF(ISNUMBER(MATCH($O1495,Lists!$A:$A,0)),"EU","3RD")))</f>
        <v/>
      </c>
      <c r="Q1495" s="24" t="str">
        <f aca="false">IF($F1495="","N",IFERROR(IF(INDEX(Counterparties!$E:$E,MATCH($F1495&amp;"",Counterparties!$A:$A,0))="Y","Y","N"),"N"))</f>
        <v>N</v>
      </c>
      <c r="R1495" s="25" t="n">
        <f aca="false">IF(OR($H1495="",$H1495="EUR"),1,IFERROR(INDEX(FX_Rates!$D:$D,MATCH($H1495,FX_Rates!$A:$A,0)),""))</f>
        <v>1</v>
      </c>
      <c r="S1495" s="26" t="str">
        <f aca="false">IF(AND($I1495="",$J1495=""),"",IF($J1495&lt;&gt;"",$J1495,IF(OR($R1495="",$R1495=0),"",ROUND($I1495/$R1495,2))))</f>
        <v/>
      </c>
      <c r="T1495" s="24" t="str">
        <f aca="false">IF($N1495="","",IFERROR(INDEX(VAT_Codes!$C:$C,MATCH($N1495,VAT_Codes!$A:$A,0)),"")&amp;"")</f>
        <v/>
      </c>
      <c r="U1495" s="26" t="n">
        <f aca="false">IF(OR($S1495="",$T1495="",$T1495="None"),0,IF($T1495="Output",-$S1495,$S1495))</f>
        <v>0</v>
      </c>
      <c r="V1495" s="27" t="n">
        <f aca="false">IF($N1495="",0,IFERROR(INDEX(VAT_Codes!$D:$D,MATCH($N1495,VAT_Codes!$A:$A,0)),0))</f>
        <v>0</v>
      </c>
      <c r="W1495" s="26" t="n">
        <f aca="false">IF($U1495=0,0,IF(IFERROR(INDEX(VAT_Codes!$F:$F,MATCH($N1495,VAT_Codes!$A:$A,0)),"N")="Y",$U1495,IF($L1495&lt;&gt;"",ROUND(ABS($L1495)/IF(OR($R1495="",$R1495=0),1,$R1495),2)*SIGN($U1495),ROUND($U1495*$V1495,2))))</f>
        <v>0</v>
      </c>
      <c r="X1495" s="24" t="str">
        <f aca="false">IF($N1495="","",IFERROR(INDEX(VAT_Codes!$H:$H,MATCH($N1495,VAT_Codes!$A:$A,0)),"")&amp;"")</f>
        <v/>
      </c>
      <c r="Y1495" s="24" t="str">
        <f aca="false">IF($A1495="","",(YEAR($A1495)-YEAR(Settings!$C$8))*12+MONTH($A1495)-MONTH(Settings!$C$8)+1)</f>
        <v/>
      </c>
      <c r="Z1495" s="24" t="str">
        <f aca="false">IF(AND($C1495="",$I1495="",$J1495=""),"",IF($N1495="","NO VAT CODE",IF($T1495="","UNKNOWN VAT CODE",IF($S1495="","MISSING FX RATE",IF(OR($A1495&lt;Settings!$C$8,$A1495&gt;Settings!$C$9),"OUTSIDE PERIOD",IF(AND(IFERROR(INDEX(VAT_Codes!$E:$E,MATCH($N1495,VAT_Codes!$A:$A,0)),"ANY")&lt;&gt;"ANY",$P1495=""),"MISSING COUNTERPARTY COUNTRY",IF(AND(IFERROR(INDEX(VAT_Codes!$E:$E,MATCH($N1495,VAT_Codes!$A:$A,0)),"ANY")&lt;&gt;"ANY",$P1495&lt;&gt;IFERROR(INDEX(VAT_Codes!$E:$E,MATCH($N1495,VAT_Codes!$A:$A,0)),"ANY")),"REGION MISMATCH","OK")))))))</f>
        <v/>
      </c>
    </row>
    <row r="1496" customFormat="false" ht="15" hidden="false" customHeight="false" outlineLevel="0" collapsed="false">
      <c r="M1496" s="24" t="str">
        <f aca="false">IF($C1496="","",IFERROR(INDEX(Account_Mapping!$C:$C,MATCH($C1496&amp;"",Account_Mapping!$A:$A,0))&amp;"",""))</f>
        <v/>
      </c>
      <c r="N1496" s="24" t="str">
        <f aca="false">IF($K1496&lt;&gt;"",$K1496,$M1496)</f>
        <v/>
      </c>
      <c r="O1496" s="24" t="str">
        <f aca="false">IF($F1496="","",IFERROR(INDEX(Counterparties!$C:$C,MATCH($F1496&amp;"",Counterparties!$A:$A,0))&amp;"",""))</f>
        <v/>
      </c>
      <c r="P1496" s="24" t="str">
        <f aca="false">IF($O1496="","",IF($O1496="CY","CY",IF(ISNUMBER(MATCH($O1496,Lists!$A:$A,0)),"EU","3RD")))</f>
        <v/>
      </c>
      <c r="Q1496" s="24" t="str">
        <f aca="false">IF($F1496="","N",IFERROR(IF(INDEX(Counterparties!$E:$E,MATCH($F1496&amp;"",Counterparties!$A:$A,0))="Y","Y","N"),"N"))</f>
        <v>N</v>
      </c>
      <c r="R1496" s="25" t="n">
        <f aca="false">IF(OR($H1496="",$H1496="EUR"),1,IFERROR(INDEX(FX_Rates!$D:$D,MATCH($H1496,FX_Rates!$A:$A,0)),""))</f>
        <v>1</v>
      </c>
      <c r="S1496" s="26" t="str">
        <f aca="false">IF(AND($I1496="",$J1496=""),"",IF($J1496&lt;&gt;"",$J1496,IF(OR($R1496="",$R1496=0),"",ROUND($I1496/$R1496,2))))</f>
        <v/>
      </c>
      <c r="T1496" s="24" t="str">
        <f aca="false">IF($N1496="","",IFERROR(INDEX(VAT_Codes!$C:$C,MATCH($N1496,VAT_Codes!$A:$A,0)),"")&amp;"")</f>
        <v/>
      </c>
      <c r="U1496" s="26" t="n">
        <f aca="false">IF(OR($S1496="",$T1496="",$T1496="None"),0,IF($T1496="Output",-$S1496,$S1496))</f>
        <v>0</v>
      </c>
      <c r="V1496" s="27" t="n">
        <f aca="false">IF($N1496="",0,IFERROR(INDEX(VAT_Codes!$D:$D,MATCH($N1496,VAT_Codes!$A:$A,0)),0))</f>
        <v>0</v>
      </c>
      <c r="W1496" s="26" t="n">
        <f aca="false">IF($U1496=0,0,IF(IFERROR(INDEX(VAT_Codes!$F:$F,MATCH($N1496,VAT_Codes!$A:$A,0)),"N")="Y",$U1496,IF($L1496&lt;&gt;"",ROUND(ABS($L1496)/IF(OR($R1496="",$R1496=0),1,$R1496),2)*SIGN($U1496),ROUND($U1496*$V1496,2))))</f>
        <v>0</v>
      </c>
      <c r="X1496" s="24" t="str">
        <f aca="false">IF($N1496="","",IFERROR(INDEX(VAT_Codes!$H:$H,MATCH($N1496,VAT_Codes!$A:$A,0)),"")&amp;"")</f>
        <v/>
      </c>
      <c r="Y1496" s="24" t="str">
        <f aca="false">IF($A1496="","",(YEAR($A1496)-YEAR(Settings!$C$8))*12+MONTH($A1496)-MONTH(Settings!$C$8)+1)</f>
        <v/>
      </c>
      <c r="Z1496" s="24" t="str">
        <f aca="false">IF(AND($C1496="",$I1496="",$J1496=""),"",IF($N1496="","NO VAT CODE",IF($T1496="","UNKNOWN VAT CODE",IF($S1496="","MISSING FX RATE",IF(OR($A1496&lt;Settings!$C$8,$A1496&gt;Settings!$C$9),"OUTSIDE PERIOD",IF(AND(IFERROR(INDEX(VAT_Codes!$E:$E,MATCH($N1496,VAT_Codes!$A:$A,0)),"ANY")&lt;&gt;"ANY",$P1496=""),"MISSING COUNTERPARTY COUNTRY",IF(AND(IFERROR(INDEX(VAT_Codes!$E:$E,MATCH($N1496,VAT_Codes!$A:$A,0)),"ANY")&lt;&gt;"ANY",$P1496&lt;&gt;IFERROR(INDEX(VAT_Codes!$E:$E,MATCH($N1496,VAT_Codes!$A:$A,0)),"ANY")),"REGION MISMATCH","OK")))))))</f>
        <v/>
      </c>
    </row>
    <row r="1497" customFormat="false" ht="15" hidden="false" customHeight="false" outlineLevel="0" collapsed="false">
      <c r="M1497" s="24" t="str">
        <f aca="false">IF($C1497="","",IFERROR(INDEX(Account_Mapping!$C:$C,MATCH($C1497&amp;"",Account_Mapping!$A:$A,0))&amp;"",""))</f>
        <v/>
      </c>
      <c r="N1497" s="24" t="str">
        <f aca="false">IF($K1497&lt;&gt;"",$K1497,$M1497)</f>
        <v/>
      </c>
      <c r="O1497" s="24" t="str">
        <f aca="false">IF($F1497="","",IFERROR(INDEX(Counterparties!$C:$C,MATCH($F1497&amp;"",Counterparties!$A:$A,0))&amp;"",""))</f>
        <v/>
      </c>
      <c r="P1497" s="24" t="str">
        <f aca="false">IF($O1497="","",IF($O1497="CY","CY",IF(ISNUMBER(MATCH($O1497,Lists!$A:$A,0)),"EU","3RD")))</f>
        <v/>
      </c>
      <c r="Q1497" s="24" t="str">
        <f aca="false">IF($F1497="","N",IFERROR(IF(INDEX(Counterparties!$E:$E,MATCH($F1497&amp;"",Counterparties!$A:$A,0))="Y","Y","N"),"N"))</f>
        <v>N</v>
      </c>
      <c r="R1497" s="25" t="n">
        <f aca="false">IF(OR($H1497="",$H1497="EUR"),1,IFERROR(INDEX(FX_Rates!$D:$D,MATCH($H1497,FX_Rates!$A:$A,0)),""))</f>
        <v>1</v>
      </c>
      <c r="S1497" s="26" t="str">
        <f aca="false">IF(AND($I1497="",$J1497=""),"",IF($J1497&lt;&gt;"",$J1497,IF(OR($R1497="",$R1497=0),"",ROUND($I1497/$R1497,2))))</f>
        <v/>
      </c>
      <c r="T1497" s="24" t="str">
        <f aca="false">IF($N1497="","",IFERROR(INDEX(VAT_Codes!$C:$C,MATCH($N1497,VAT_Codes!$A:$A,0)),"")&amp;"")</f>
        <v/>
      </c>
      <c r="U1497" s="26" t="n">
        <f aca="false">IF(OR($S1497="",$T1497="",$T1497="None"),0,IF($T1497="Output",-$S1497,$S1497))</f>
        <v>0</v>
      </c>
      <c r="V1497" s="27" t="n">
        <f aca="false">IF($N1497="",0,IFERROR(INDEX(VAT_Codes!$D:$D,MATCH($N1497,VAT_Codes!$A:$A,0)),0))</f>
        <v>0</v>
      </c>
      <c r="W1497" s="26" t="n">
        <f aca="false">IF($U1497=0,0,IF(IFERROR(INDEX(VAT_Codes!$F:$F,MATCH($N1497,VAT_Codes!$A:$A,0)),"N")="Y",$U1497,IF($L1497&lt;&gt;"",ROUND(ABS($L1497)/IF(OR($R1497="",$R1497=0),1,$R1497),2)*SIGN($U1497),ROUND($U1497*$V1497,2))))</f>
        <v>0</v>
      </c>
      <c r="X1497" s="24" t="str">
        <f aca="false">IF($N1497="","",IFERROR(INDEX(VAT_Codes!$H:$H,MATCH($N1497,VAT_Codes!$A:$A,0)),"")&amp;"")</f>
        <v/>
      </c>
      <c r="Y1497" s="24" t="str">
        <f aca="false">IF($A1497="","",(YEAR($A1497)-YEAR(Settings!$C$8))*12+MONTH($A1497)-MONTH(Settings!$C$8)+1)</f>
        <v/>
      </c>
      <c r="Z1497" s="24" t="str">
        <f aca="false">IF(AND($C1497="",$I1497="",$J1497=""),"",IF($N1497="","NO VAT CODE",IF($T1497="","UNKNOWN VAT CODE",IF($S1497="","MISSING FX RATE",IF(OR($A1497&lt;Settings!$C$8,$A1497&gt;Settings!$C$9),"OUTSIDE PERIOD",IF(AND(IFERROR(INDEX(VAT_Codes!$E:$E,MATCH($N1497,VAT_Codes!$A:$A,0)),"ANY")&lt;&gt;"ANY",$P1497=""),"MISSING COUNTERPARTY COUNTRY",IF(AND(IFERROR(INDEX(VAT_Codes!$E:$E,MATCH($N1497,VAT_Codes!$A:$A,0)),"ANY")&lt;&gt;"ANY",$P1497&lt;&gt;IFERROR(INDEX(VAT_Codes!$E:$E,MATCH($N1497,VAT_Codes!$A:$A,0)),"ANY")),"REGION MISMATCH","OK")))))))</f>
        <v/>
      </c>
    </row>
    <row r="1498" customFormat="false" ht="15" hidden="false" customHeight="false" outlineLevel="0" collapsed="false">
      <c r="M1498" s="24" t="str">
        <f aca="false">IF($C1498="","",IFERROR(INDEX(Account_Mapping!$C:$C,MATCH($C1498&amp;"",Account_Mapping!$A:$A,0))&amp;"",""))</f>
        <v/>
      </c>
      <c r="N1498" s="24" t="str">
        <f aca="false">IF($K1498&lt;&gt;"",$K1498,$M1498)</f>
        <v/>
      </c>
      <c r="O1498" s="24" t="str">
        <f aca="false">IF($F1498="","",IFERROR(INDEX(Counterparties!$C:$C,MATCH($F1498&amp;"",Counterparties!$A:$A,0))&amp;"",""))</f>
        <v/>
      </c>
      <c r="P1498" s="24" t="str">
        <f aca="false">IF($O1498="","",IF($O1498="CY","CY",IF(ISNUMBER(MATCH($O1498,Lists!$A:$A,0)),"EU","3RD")))</f>
        <v/>
      </c>
      <c r="Q1498" s="24" t="str">
        <f aca="false">IF($F1498="","N",IFERROR(IF(INDEX(Counterparties!$E:$E,MATCH($F1498&amp;"",Counterparties!$A:$A,0))="Y","Y","N"),"N"))</f>
        <v>N</v>
      </c>
      <c r="R1498" s="25" t="n">
        <f aca="false">IF(OR($H1498="",$H1498="EUR"),1,IFERROR(INDEX(FX_Rates!$D:$D,MATCH($H1498,FX_Rates!$A:$A,0)),""))</f>
        <v>1</v>
      </c>
      <c r="S1498" s="26" t="str">
        <f aca="false">IF(AND($I1498="",$J1498=""),"",IF($J1498&lt;&gt;"",$J1498,IF(OR($R1498="",$R1498=0),"",ROUND($I1498/$R1498,2))))</f>
        <v/>
      </c>
      <c r="T1498" s="24" t="str">
        <f aca="false">IF($N1498="","",IFERROR(INDEX(VAT_Codes!$C:$C,MATCH($N1498,VAT_Codes!$A:$A,0)),"")&amp;"")</f>
        <v/>
      </c>
      <c r="U1498" s="26" t="n">
        <f aca="false">IF(OR($S1498="",$T1498="",$T1498="None"),0,IF($T1498="Output",-$S1498,$S1498))</f>
        <v>0</v>
      </c>
      <c r="V1498" s="27" t="n">
        <f aca="false">IF($N1498="",0,IFERROR(INDEX(VAT_Codes!$D:$D,MATCH($N1498,VAT_Codes!$A:$A,0)),0))</f>
        <v>0</v>
      </c>
      <c r="W1498" s="26" t="n">
        <f aca="false">IF($U1498=0,0,IF(IFERROR(INDEX(VAT_Codes!$F:$F,MATCH($N1498,VAT_Codes!$A:$A,0)),"N")="Y",$U1498,IF($L1498&lt;&gt;"",ROUND(ABS($L1498)/IF(OR($R1498="",$R1498=0),1,$R1498),2)*SIGN($U1498),ROUND($U1498*$V1498,2))))</f>
        <v>0</v>
      </c>
      <c r="X1498" s="24" t="str">
        <f aca="false">IF($N1498="","",IFERROR(INDEX(VAT_Codes!$H:$H,MATCH($N1498,VAT_Codes!$A:$A,0)),"")&amp;"")</f>
        <v/>
      </c>
      <c r="Y1498" s="24" t="str">
        <f aca="false">IF($A1498="","",(YEAR($A1498)-YEAR(Settings!$C$8))*12+MONTH($A1498)-MONTH(Settings!$C$8)+1)</f>
        <v/>
      </c>
      <c r="Z1498" s="24" t="str">
        <f aca="false">IF(AND($C1498="",$I1498="",$J1498=""),"",IF($N1498="","NO VAT CODE",IF($T1498="","UNKNOWN VAT CODE",IF($S1498="","MISSING FX RATE",IF(OR($A1498&lt;Settings!$C$8,$A1498&gt;Settings!$C$9),"OUTSIDE PERIOD",IF(AND(IFERROR(INDEX(VAT_Codes!$E:$E,MATCH($N1498,VAT_Codes!$A:$A,0)),"ANY")&lt;&gt;"ANY",$P1498=""),"MISSING COUNTERPARTY COUNTRY",IF(AND(IFERROR(INDEX(VAT_Codes!$E:$E,MATCH($N1498,VAT_Codes!$A:$A,0)),"ANY")&lt;&gt;"ANY",$P1498&lt;&gt;IFERROR(INDEX(VAT_Codes!$E:$E,MATCH($N1498,VAT_Codes!$A:$A,0)),"ANY")),"REGION MISMATCH","OK")))))))</f>
        <v/>
      </c>
    </row>
    <row r="1499" customFormat="false" ht="15" hidden="false" customHeight="false" outlineLevel="0" collapsed="false">
      <c r="M1499" s="24" t="str">
        <f aca="false">IF($C1499="","",IFERROR(INDEX(Account_Mapping!$C:$C,MATCH($C1499&amp;"",Account_Mapping!$A:$A,0))&amp;"",""))</f>
        <v/>
      </c>
      <c r="N1499" s="24" t="str">
        <f aca="false">IF($K1499&lt;&gt;"",$K1499,$M1499)</f>
        <v/>
      </c>
      <c r="O1499" s="24" t="str">
        <f aca="false">IF($F1499="","",IFERROR(INDEX(Counterparties!$C:$C,MATCH($F1499&amp;"",Counterparties!$A:$A,0))&amp;"",""))</f>
        <v/>
      </c>
      <c r="P1499" s="24" t="str">
        <f aca="false">IF($O1499="","",IF($O1499="CY","CY",IF(ISNUMBER(MATCH($O1499,Lists!$A:$A,0)),"EU","3RD")))</f>
        <v/>
      </c>
      <c r="Q1499" s="24" t="str">
        <f aca="false">IF($F1499="","N",IFERROR(IF(INDEX(Counterparties!$E:$E,MATCH($F1499&amp;"",Counterparties!$A:$A,0))="Y","Y","N"),"N"))</f>
        <v>N</v>
      </c>
      <c r="R1499" s="25" t="n">
        <f aca="false">IF(OR($H1499="",$H1499="EUR"),1,IFERROR(INDEX(FX_Rates!$D:$D,MATCH($H1499,FX_Rates!$A:$A,0)),""))</f>
        <v>1</v>
      </c>
      <c r="S1499" s="26" t="str">
        <f aca="false">IF(AND($I1499="",$J1499=""),"",IF($J1499&lt;&gt;"",$J1499,IF(OR($R1499="",$R1499=0),"",ROUND($I1499/$R1499,2))))</f>
        <v/>
      </c>
      <c r="T1499" s="24" t="str">
        <f aca="false">IF($N1499="","",IFERROR(INDEX(VAT_Codes!$C:$C,MATCH($N1499,VAT_Codes!$A:$A,0)),"")&amp;"")</f>
        <v/>
      </c>
      <c r="U1499" s="26" t="n">
        <f aca="false">IF(OR($S1499="",$T1499="",$T1499="None"),0,IF($T1499="Output",-$S1499,$S1499))</f>
        <v>0</v>
      </c>
      <c r="V1499" s="27" t="n">
        <f aca="false">IF($N1499="",0,IFERROR(INDEX(VAT_Codes!$D:$D,MATCH($N1499,VAT_Codes!$A:$A,0)),0))</f>
        <v>0</v>
      </c>
      <c r="W1499" s="26" t="n">
        <f aca="false">IF($U1499=0,0,IF(IFERROR(INDEX(VAT_Codes!$F:$F,MATCH($N1499,VAT_Codes!$A:$A,0)),"N")="Y",$U1499,IF($L1499&lt;&gt;"",ROUND(ABS($L1499)/IF(OR($R1499="",$R1499=0),1,$R1499),2)*SIGN($U1499),ROUND($U1499*$V1499,2))))</f>
        <v>0</v>
      </c>
      <c r="X1499" s="24" t="str">
        <f aca="false">IF($N1499="","",IFERROR(INDEX(VAT_Codes!$H:$H,MATCH($N1499,VAT_Codes!$A:$A,0)),"")&amp;"")</f>
        <v/>
      </c>
      <c r="Y1499" s="24" t="str">
        <f aca="false">IF($A1499="","",(YEAR($A1499)-YEAR(Settings!$C$8))*12+MONTH($A1499)-MONTH(Settings!$C$8)+1)</f>
        <v/>
      </c>
      <c r="Z1499" s="24" t="str">
        <f aca="false">IF(AND($C1499="",$I1499="",$J1499=""),"",IF($N1499="","NO VAT CODE",IF($T1499="","UNKNOWN VAT CODE",IF($S1499="","MISSING FX RATE",IF(OR($A1499&lt;Settings!$C$8,$A1499&gt;Settings!$C$9),"OUTSIDE PERIOD",IF(AND(IFERROR(INDEX(VAT_Codes!$E:$E,MATCH($N1499,VAT_Codes!$A:$A,0)),"ANY")&lt;&gt;"ANY",$P1499=""),"MISSING COUNTERPARTY COUNTRY",IF(AND(IFERROR(INDEX(VAT_Codes!$E:$E,MATCH($N1499,VAT_Codes!$A:$A,0)),"ANY")&lt;&gt;"ANY",$P1499&lt;&gt;IFERROR(INDEX(VAT_Codes!$E:$E,MATCH($N1499,VAT_Codes!$A:$A,0)),"ANY")),"REGION MISMATCH","OK")))))))</f>
        <v/>
      </c>
    </row>
    <row r="1500" customFormat="false" ht="15" hidden="false" customHeight="false" outlineLevel="0" collapsed="false">
      <c r="M1500" s="24" t="str">
        <f aca="false">IF($C1500="","",IFERROR(INDEX(Account_Mapping!$C:$C,MATCH($C1500&amp;"",Account_Mapping!$A:$A,0))&amp;"",""))</f>
        <v/>
      </c>
      <c r="N1500" s="24" t="str">
        <f aca="false">IF($K1500&lt;&gt;"",$K1500,$M1500)</f>
        <v/>
      </c>
      <c r="O1500" s="24" t="str">
        <f aca="false">IF($F1500="","",IFERROR(INDEX(Counterparties!$C:$C,MATCH($F1500&amp;"",Counterparties!$A:$A,0))&amp;"",""))</f>
        <v/>
      </c>
      <c r="P1500" s="24" t="str">
        <f aca="false">IF($O1500="","",IF($O1500="CY","CY",IF(ISNUMBER(MATCH($O1500,Lists!$A:$A,0)),"EU","3RD")))</f>
        <v/>
      </c>
      <c r="Q1500" s="24" t="str">
        <f aca="false">IF($F1500="","N",IFERROR(IF(INDEX(Counterparties!$E:$E,MATCH($F1500&amp;"",Counterparties!$A:$A,0))="Y","Y","N"),"N"))</f>
        <v>N</v>
      </c>
      <c r="R1500" s="25" t="n">
        <f aca="false">IF(OR($H1500="",$H1500="EUR"),1,IFERROR(INDEX(FX_Rates!$D:$D,MATCH($H1500,FX_Rates!$A:$A,0)),""))</f>
        <v>1</v>
      </c>
      <c r="S1500" s="26" t="str">
        <f aca="false">IF(AND($I1500="",$J1500=""),"",IF($J1500&lt;&gt;"",$J1500,IF(OR($R1500="",$R1500=0),"",ROUND($I1500/$R1500,2))))</f>
        <v/>
      </c>
      <c r="T1500" s="24" t="str">
        <f aca="false">IF($N1500="","",IFERROR(INDEX(VAT_Codes!$C:$C,MATCH($N1500,VAT_Codes!$A:$A,0)),"")&amp;"")</f>
        <v/>
      </c>
      <c r="U1500" s="26" t="n">
        <f aca="false">IF(OR($S1500="",$T1500="",$T1500="None"),0,IF($T1500="Output",-$S1500,$S1500))</f>
        <v>0</v>
      </c>
      <c r="V1500" s="27" t="n">
        <f aca="false">IF($N1500="",0,IFERROR(INDEX(VAT_Codes!$D:$D,MATCH($N1500,VAT_Codes!$A:$A,0)),0))</f>
        <v>0</v>
      </c>
      <c r="W1500" s="26" t="n">
        <f aca="false">IF($U1500=0,0,IF(IFERROR(INDEX(VAT_Codes!$F:$F,MATCH($N1500,VAT_Codes!$A:$A,0)),"N")="Y",$U1500,IF($L1500&lt;&gt;"",ROUND(ABS($L1500)/IF(OR($R1500="",$R1500=0),1,$R1500),2)*SIGN($U1500),ROUND($U1500*$V1500,2))))</f>
        <v>0</v>
      </c>
      <c r="X1500" s="24" t="str">
        <f aca="false">IF($N1500="","",IFERROR(INDEX(VAT_Codes!$H:$H,MATCH($N1500,VAT_Codes!$A:$A,0)),"")&amp;"")</f>
        <v/>
      </c>
      <c r="Y1500" s="24" t="str">
        <f aca="false">IF($A1500="","",(YEAR($A1500)-YEAR(Settings!$C$8))*12+MONTH($A1500)-MONTH(Settings!$C$8)+1)</f>
        <v/>
      </c>
      <c r="Z1500" s="24" t="str">
        <f aca="false">IF(AND($C1500="",$I1500="",$J1500=""),"",IF($N1500="","NO VAT CODE",IF($T1500="","UNKNOWN VAT CODE",IF($S1500="","MISSING FX RATE",IF(OR($A1500&lt;Settings!$C$8,$A1500&gt;Settings!$C$9),"OUTSIDE PERIOD",IF(AND(IFERROR(INDEX(VAT_Codes!$E:$E,MATCH($N1500,VAT_Codes!$A:$A,0)),"ANY")&lt;&gt;"ANY",$P1500=""),"MISSING COUNTERPARTY COUNTRY",IF(AND(IFERROR(INDEX(VAT_Codes!$E:$E,MATCH($N1500,VAT_Codes!$A:$A,0)),"ANY")&lt;&gt;"ANY",$P1500&lt;&gt;IFERROR(INDEX(VAT_Codes!$E:$E,MATCH($N1500,VAT_Codes!$A:$A,0)),"ANY")),"REGION MISMATCH","OK")))))))</f>
        <v/>
      </c>
    </row>
    <row r="1501" customFormat="false" ht="15" hidden="false" customHeight="false" outlineLevel="0" collapsed="false">
      <c r="M1501" s="24" t="str">
        <f aca="false">IF($C1501="","",IFERROR(INDEX(Account_Mapping!$C:$C,MATCH($C1501&amp;"",Account_Mapping!$A:$A,0))&amp;"",""))</f>
        <v/>
      </c>
      <c r="N1501" s="24" t="str">
        <f aca="false">IF($K1501&lt;&gt;"",$K1501,$M1501)</f>
        <v/>
      </c>
      <c r="O1501" s="24" t="str">
        <f aca="false">IF($F1501="","",IFERROR(INDEX(Counterparties!$C:$C,MATCH($F1501&amp;"",Counterparties!$A:$A,0))&amp;"",""))</f>
        <v/>
      </c>
      <c r="P1501" s="24" t="str">
        <f aca="false">IF($O1501="","",IF($O1501="CY","CY",IF(ISNUMBER(MATCH($O1501,Lists!$A:$A,0)),"EU","3RD")))</f>
        <v/>
      </c>
      <c r="Q1501" s="24" t="str">
        <f aca="false">IF($F1501="","N",IFERROR(IF(INDEX(Counterparties!$E:$E,MATCH($F1501&amp;"",Counterparties!$A:$A,0))="Y","Y","N"),"N"))</f>
        <v>N</v>
      </c>
      <c r="R1501" s="25" t="n">
        <f aca="false">IF(OR($H1501="",$H1501="EUR"),1,IFERROR(INDEX(FX_Rates!$D:$D,MATCH($H1501,FX_Rates!$A:$A,0)),""))</f>
        <v>1</v>
      </c>
      <c r="S1501" s="26" t="str">
        <f aca="false">IF(AND($I1501="",$J1501=""),"",IF($J1501&lt;&gt;"",$J1501,IF(OR($R1501="",$R1501=0),"",ROUND($I1501/$R1501,2))))</f>
        <v/>
      </c>
      <c r="T1501" s="24" t="str">
        <f aca="false">IF($N1501="","",IFERROR(INDEX(VAT_Codes!$C:$C,MATCH($N1501,VAT_Codes!$A:$A,0)),"")&amp;"")</f>
        <v/>
      </c>
      <c r="U1501" s="26" t="n">
        <f aca="false">IF(OR($S1501="",$T1501="",$T1501="None"),0,IF($T1501="Output",-$S1501,$S1501))</f>
        <v>0</v>
      </c>
      <c r="V1501" s="27" t="n">
        <f aca="false">IF($N1501="",0,IFERROR(INDEX(VAT_Codes!$D:$D,MATCH($N1501,VAT_Codes!$A:$A,0)),0))</f>
        <v>0</v>
      </c>
      <c r="W1501" s="26" t="n">
        <f aca="false">IF($U1501=0,0,IF(IFERROR(INDEX(VAT_Codes!$F:$F,MATCH($N1501,VAT_Codes!$A:$A,0)),"N")="Y",$U1501,IF($L1501&lt;&gt;"",ROUND(ABS($L1501)/IF(OR($R1501="",$R1501=0),1,$R1501),2)*SIGN($U1501),ROUND($U1501*$V1501,2))))</f>
        <v>0</v>
      </c>
      <c r="X1501" s="24" t="str">
        <f aca="false">IF($N1501="","",IFERROR(INDEX(VAT_Codes!$H:$H,MATCH($N1501,VAT_Codes!$A:$A,0)),"")&amp;"")</f>
        <v/>
      </c>
      <c r="Y1501" s="24" t="str">
        <f aca="false">IF($A1501="","",(YEAR($A1501)-YEAR(Settings!$C$8))*12+MONTH($A1501)-MONTH(Settings!$C$8)+1)</f>
        <v/>
      </c>
      <c r="Z1501" s="24" t="str">
        <f aca="false">IF(AND($C1501="",$I1501="",$J1501=""),"",IF($N1501="","NO VAT CODE",IF($T1501="","UNKNOWN VAT CODE",IF($S1501="","MISSING FX RATE",IF(OR($A1501&lt;Settings!$C$8,$A1501&gt;Settings!$C$9),"OUTSIDE PERIOD",IF(AND(IFERROR(INDEX(VAT_Codes!$E:$E,MATCH($N1501,VAT_Codes!$A:$A,0)),"ANY")&lt;&gt;"ANY",$P1501=""),"MISSING COUNTERPARTY COUNTRY",IF(AND(IFERROR(INDEX(VAT_Codes!$E:$E,MATCH($N1501,VAT_Codes!$A:$A,0)),"ANY")&lt;&gt;"ANY",$P1501&lt;&gt;IFERROR(INDEX(VAT_Codes!$E:$E,MATCH($N1501,VAT_Codes!$A:$A,0)),"ANY")),"REGION MISMATCH","OK")))))))</f>
        <v/>
      </c>
    </row>
    <row r="1502" customFormat="false" ht="15" hidden="false" customHeight="false" outlineLevel="0" collapsed="false">
      <c r="M1502" s="24" t="str">
        <f aca="false">IF($C1502="","",IFERROR(INDEX(Account_Mapping!$C:$C,MATCH($C1502&amp;"",Account_Mapping!$A:$A,0))&amp;"",""))</f>
        <v/>
      </c>
      <c r="N1502" s="24" t="str">
        <f aca="false">IF($K1502&lt;&gt;"",$K1502,$M1502)</f>
        <v/>
      </c>
      <c r="O1502" s="24" t="str">
        <f aca="false">IF($F1502="","",IFERROR(INDEX(Counterparties!$C:$C,MATCH($F1502&amp;"",Counterparties!$A:$A,0))&amp;"",""))</f>
        <v/>
      </c>
      <c r="P1502" s="24" t="str">
        <f aca="false">IF($O1502="","",IF($O1502="CY","CY",IF(ISNUMBER(MATCH($O1502,Lists!$A:$A,0)),"EU","3RD")))</f>
        <v/>
      </c>
      <c r="Q1502" s="24" t="str">
        <f aca="false">IF($F1502="","N",IFERROR(IF(INDEX(Counterparties!$E:$E,MATCH($F1502&amp;"",Counterparties!$A:$A,0))="Y","Y","N"),"N"))</f>
        <v>N</v>
      </c>
      <c r="R1502" s="25" t="n">
        <f aca="false">IF(OR($H1502="",$H1502="EUR"),1,IFERROR(INDEX(FX_Rates!$D:$D,MATCH($H1502,FX_Rates!$A:$A,0)),""))</f>
        <v>1</v>
      </c>
      <c r="S1502" s="26" t="str">
        <f aca="false">IF(AND($I1502="",$J1502=""),"",IF($J1502&lt;&gt;"",$J1502,IF(OR($R1502="",$R1502=0),"",ROUND($I1502/$R1502,2))))</f>
        <v/>
      </c>
      <c r="T1502" s="24" t="str">
        <f aca="false">IF($N1502="","",IFERROR(INDEX(VAT_Codes!$C:$C,MATCH($N1502,VAT_Codes!$A:$A,0)),"")&amp;"")</f>
        <v/>
      </c>
      <c r="U1502" s="26" t="n">
        <f aca="false">IF(OR($S1502="",$T1502="",$T1502="None"),0,IF($T1502="Output",-$S1502,$S1502))</f>
        <v>0</v>
      </c>
      <c r="V1502" s="27" t="n">
        <f aca="false">IF($N1502="",0,IFERROR(INDEX(VAT_Codes!$D:$D,MATCH($N1502,VAT_Codes!$A:$A,0)),0))</f>
        <v>0</v>
      </c>
      <c r="W1502" s="26" t="n">
        <f aca="false">IF($U1502=0,0,IF(IFERROR(INDEX(VAT_Codes!$F:$F,MATCH($N1502,VAT_Codes!$A:$A,0)),"N")="Y",$U1502,IF($L1502&lt;&gt;"",ROUND(ABS($L1502)/IF(OR($R1502="",$R1502=0),1,$R1502),2)*SIGN($U1502),ROUND($U1502*$V1502,2))))</f>
        <v>0</v>
      </c>
      <c r="X1502" s="24" t="str">
        <f aca="false">IF($N1502="","",IFERROR(INDEX(VAT_Codes!$H:$H,MATCH($N1502,VAT_Codes!$A:$A,0)),"")&amp;"")</f>
        <v/>
      </c>
      <c r="Y1502" s="24" t="str">
        <f aca="false">IF($A1502="","",(YEAR($A1502)-YEAR(Settings!$C$8))*12+MONTH($A1502)-MONTH(Settings!$C$8)+1)</f>
        <v/>
      </c>
      <c r="Z1502" s="24" t="str">
        <f aca="false">IF(AND($C1502="",$I1502="",$J1502=""),"",IF($N1502="","NO VAT CODE",IF($T1502="","UNKNOWN VAT CODE",IF($S1502="","MISSING FX RATE",IF(OR($A1502&lt;Settings!$C$8,$A1502&gt;Settings!$C$9),"OUTSIDE PERIOD",IF(AND(IFERROR(INDEX(VAT_Codes!$E:$E,MATCH($N1502,VAT_Codes!$A:$A,0)),"ANY")&lt;&gt;"ANY",$P1502=""),"MISSING COUNTERPARTY COUNTRY",IF(AND(IFERROR(INDEX(VAT_Codes!$E:$E,MATCH($N1502,VAT_Codes!$A:$A,0)),"ANY")&lt;&gt;"ANY",$P1502&lt;&gt;IFERROR(INDEX(VAT_Codes!$E:$E,MATCH($N1502,VAT_Codes!$A:$A,0)),"ANY")),"REGION MISMATCH","OK")))))))</f>
        <v/>
      </c>
    </row>
    <row r="1503" customFormat="false" ht="15" hidden="false" customHeight="false" outlineLevel="0" collapsed="false">
      <c r="M1503" s="24" t="str">
        <f aca="false">IF($C1503="","",IFERROR(INDEX(Account_Mapping!$C:$C,MATCH($C1503&amp;"",Account_Mapping!$A:$A,0))&amp;"",""))</f>
        <v/>
      </c>
      <c r="N1503" s="24" t="str">
        <f aca="false">IF($K1503&lt;&gt;"",$K1503,$M1503)</f>
        <v/>
      </c>
      <c r="O1503" s="24" t="str">
        <f aca="false">IF($F1503="","",IFERROR(INDEX(Counterparties!$C:$C,MATCH($F1503&amp;"",Counterparties!$A:$A,0))&amp;"",""))</f>
        <v/>
      </c>
      <c r="P1503" s="24" t="str">
        <f aca="false">IF($O1503="","",IF($O1503="CY","CY",IF(ISNUMBER(MATCH($O1503,Lists!$A:$A,0)),"EU","3RD")))</f>
        <v/>
      </c>
      <c r="Q1503" s="24" t="str">
        <f aca="false">IF($F1503="","N",IFERROR(IF(INDEX(Counterparties!$E:$E,MATCH($F1503&amp;"",Counterparties!$A:$A,0))="Y","Y","N"),"N"))</f>
        <v>N</v>
      </c>
      <c r="R1503" s="25" t="n">
        <f aca="false">IF(OR($H1503="",$H1503="EUR"),1,IFERROR(INDEX(FX_Rates!$D:$D,MATCH($H1503,FX_Rates!$A:$A,0)),""))</f>
        <v>1</v>
      </c>
      <c r="S1503" s="26" t="str">
        <f aca="false">IF(AND($I1503="",$J1503=""),"",IF($J1503&lt;&gt;"",$J1503,IF(OR($R1503="",$R1503=0),"",ROUND($I1503/$R1503,2))))</f>
        <v/>
      </c>
      <c r="T1503" s="24" t="str">
        <f aca="false">IF($N1503="","",IFERROR(INDEX(VAT_Codes!$C:$C,MATCH($N1503,VAT_Codes!$A:$A,0)),"")&amp;"")</f>
        <v/>
      </c>
      <c r="U1503" s="26" t="n">
        <f aca="false">IF(OR($S1503="",$T1503="",$T1503="None"),0,IF($T1503="Output",-$S1503,$S1503))</f>
        <v>0</v>
      </c>
      <c r="V1503" s="27" t="n">
        <f aca="false">IF($N1503="",0,IFERROR(INDEX(VAT_Codes!$D:$D,MATCH($N1503,VAT_Codes!$A:$A,0)),0))</f>
        <v>0</v>
      </c>
      <c r="W1503" s="26" t="n">
        <f aca="false">IF($U1503=0,0,IF(IFERROR(INDEX(VAT_Codes!$F:$F,MATCH($N1503,VAT_Codes!$A:$A,0)),"N")="Y",$U1503,IF($L1503&lt;&gt;"",ROUND(ABS($L1503)/IF(OR($R1503="",$R1503=0),1,$R1503),2)*SIGN($U1503),ROUND($U1503*$V1503,2))))</f>
        <v>0</v>
      </c>
      <c r="X1503" s="24" t="str">
        <f aca="false">IF($N1503="","",IFERROR(INDEX(VAT_Codes!$H:$H,MATCH($N1503,VAT_Codes!$A:$A,0)),"")&amp;"")</f>
        <v/>
      </c>
      <c r="Y1503" s="24" t="str">
        <f aca="false">IF($A1503="","",(YEAR($A1503)-YEAR(Settings!$C$8))*12+MONTH($A1503)-MONTH(Settings!$C$8)+1)</f>
        <v/>
      </c>
      <c r="Z1503" s="24" t="str">
        <f aca="false">IF(AND($C1503="",$I1503="",$J1503=""),"",IF($N1503="","NO VAT CODE",IF($T1503="","UNKNOWN VAT CODE",IF($S1503="","MISSING FX RATE",IF(OR($A1503&lt;Settings!$C$8,$A1503&gt;Settings!$C$9),"OUTSIDE PERIOD",IF(AND(IFERROR(INDEX(VAT_Codes!$E:$E,MATCH($N1503,VAT_Codes!$A:$A,0)),"ANY")&lt;&gt;"ANY",$P1503=""),"MISSING COUNTERPARTY COUNTRY",IF(AND(IFERROR(INDEX(VAT_Codes!$E:$E,MATCH($N1503,VAT_Codes!$A:$A,0)),"ANY")&lt;&gt;"ANY",$P1503&lt;&gt;IFERROR(INDEX(VAT_Codes!$E:$E,MATCH($N1503,VAT_Codes!$A:$A,0)),"ANY")),"REGION MISMATCH","OK")))))))</f>
        <v/>
      </c>
    </row>
    <row r="1504" customFormat="false" ht="15" hidden="false" customHeight="false" outlineLevel="0" collapsed="false">
      <c r="M1504" s="24" t="str">
        <f aca="false">IF($C1504="","",IFERROR(INDEX(Account_Mapping!$C:$C,MATCH($C1504&amp;"",Account_Mapping!$A:$A,0))&amp;"",""))</f>
        <v/>
      </c>
      <c r="N1504" s="24" t="str">
        <f aca="false">IF($K1504&lt;&gt;"",$K1504,$M1504)</f>
        <v/>
      </c>
      <c r="O1504" s="24" t="str">
        <f aca="false">IF($F1504="","",IFERROR(INDEX(Counterparties!$C:$C,MATCH($F1504&amp;"",Counterparties!$A:$A,0))&amp;"",""))</f>
        <v/>
      </c>
      <c r="P1504" s="24" t="str">
        <f aca="false">IF($O1504="","",IF($O1504="CY","CY",IF(ISNUMBER(MATCH($O1504,Lists!$A:$A,0)),"EU","3RD")))</f>
        <v/>
      </c>
      <c r="Q1504" s="24" t="str">
        <f aca="false">IF($F1504="","N",IFERROR(IF(INDEX(Counterparties!$E:$E,MATCH($F1504&amp;"",Counterparties!$A:$A,0))="Y","Y","N"),"N"))</f>
        <v>N</v>
      </c>
      <c r="R1504" s="25" t="n">
        <f aca="false">IF(OR($H1504="",$H1504="EUR"),1,IFERROR(INDEX(FX_Rates!$D:$D,MATCH($H1504,FX_Rates!$A:$A,0)),""))</f>
        <v>1</v>
      </c>
      <c r="S1504" s="26" t="str">
        <f aca="false">IF(AND($I1504="",$J1504=""),"",IF($J1504&lt;&gt;"",$J1504,IF(OR($R1504="",$R1504=0),"",ROUND($I1504/$R1504,2))))</f>
        <v/>
      </c>
      <c r="T1504" s="24" t="str">
        <f aca="false">IF($N1504="","",IFERROR(INDEX(VAT_Codes!$C:$C,MATCH($N1504,VAT_Codes!$A:$A,0)),"")&amp;"")</f>
        <v/>
      </c>
      <c r="U1504" s="26" t="n">
        <f aca="false">IF(OR($S1504="",$T1504="",$T1504="None"),0,IF($T1504="Output",-$S1504,$S1504))</f>
        <v>0</v>
      </c>
      <c r="V1504" s="27" t="n">
        <f aca="false">IF($N1504="",0,IFERROR(INDEX(VAT_Codes!$D:$D,MATCH($N1504,VAT_Codes!$A:$A,0)),0))</f>
        <v>0</v>
      </c>
      <c r="W1504" s="26" t="n">
        <f aca="false">IF($U1504=0,0,IF(IFERROR(INDEX(VAT_Codes!$F:$F,MATCH($N1504,VAT_Codes!$A:$A,0)),"N")="Y",$U1504,IF($L1504&lt;&gt;"",ROUND(ABS($L1504)/IF(OR($R1504="",$R1504=0),1,$R1504),2)*SIGN($U1504),ROUND($U1504*$V1504,2))))</f>
        <v>0</v>
      </c>
      <c r="X1504" s="24" t="str">
        <f aca="false">IF($N1504="","",IFERROR(INDEX(VAT_Codes!$H:$H,MATCH($N1504,VAT_Codes!$A:$A,0)),"")&amp;"")</f>
        <v/>
      </c>
      <c r="Y1504" s="24" t="str">
        <f aca="false">IF($A1504="","",(YEAR($A1504)-YEAR(Settings!$C$8))*12+MONTH($A1504)-MONTH(Settings!$C$8)+1)</f>
        <v/>
      </c>
      <c r="Z1504" s="24" t="str">
        <f aca="false">IF(AND($C1504="",$I1504="",$J1504=""),"",IF($N1504="","NO VAT CODE",IF($T1504="","UNKNOWN VAT CODE",IF($S1504="","MISSING FX RATE",IF(OR($A1504&lt;Settings!$C$8,$A1504&gt;Settings!$C$9),"OUTSIDE PERIOD",IF(AND(IFERROR(INDEX(VAT_Codes!$E:$E,MATCH($N1504,VAT_Codes!$A:$A,0)),"ANY")&lt;&gt;"ANY",$P1504=""),"MISSING COUNTERPARTY COUNTRY",IF(AND(IFERROR(INDEX(VAT_Codes!$E:$E,MATCH($N1504,VAT_Codes!$A:$A,0)),"ANY")&lt;&gt;"ANY",$P1504&lt;&gt;IFERROR(INDEX(VAT_Codes!$E:$E,MATCH($N1504,VAT_Codes!$A:$A,0)),"ANY")),"REGION MISMATCH","OK")))))))</f>
        <v/>
      </c>
    </row>
    <row r="1505" customFormat="false" ht="15" hidden="false" customHeight="false" outlineLevel="0" collapsed="false">
      <c r="M1505" s="24" t="str">
        <f aca="false">IF($C1505="","",IFERROR(INDEX(Account_Mapping!$C:$C,MATCH($C1505&amp;"",Account_Mapping!$A:$A,0))&amp;"",""))</f>
        <v/>
      </c>
      <c r="N1505" s="24" t="str">
        <f aca="false">IF($K1505&lt;&gt;"",$K1505,$M1505)</f>
        <v/>
      </c>
      <c r="O1505" s="24" t="str">
        <f aca="false">IF($F1505="","",IFERROR(INDEX(Counterparties!$C:$C,MATCH($F1505&amp;"",Counterparties!$A:$A,0))&amp;"",""))</f>
        <v/>
      </c>
      <c r="P1505" s="24" t="str">
        <f aca="false">IF($O1505="","",IF($O1505="CY","CY",IF(ISNUMBER(MATCH($O1505,Lists!$A:$A,0)),"EU","3RD")))</f>
        <v/>
      </c>
      <c r="Q1505" s="24" t="str">
        <f aca="false">IF($F1505="","N",IFERROR(IF(INDEX(Counterparties!$E:$E,MATCH($F1505&amp;"",Counterparties!$A:$A,0))="Y","Y","N"),"N"))</f>
        <v>N</v>
      </c>
      <c r="R1505" s="25" t="n">
        <f aca="false">IF(OR($H1505="",$H1505="EUR"),1,IFERROR(INDEX(FX_Rates!$D:$D,MATCH($H1505,FX_Rates!$A:$A,0)),""))</f>
        <v>1</v>
      </c>
      <c r="S1505" s="26" t="str">
        <f aca="false">IF(AND($I1505="",$J1505=""),"",IF($J1505&lt;&gt;"",$J1505,IF(OR($R1505="",$R1505=0),"",ROUND($I1505/$R1505,2))))</f>
        <v/>
      </c>
      <c r="T1505" s="24" t="str">
        <f aca="false">IF($N1505="","",IFERROR(INDEX(VAT_Codes!$C:$C,MATCH($N1505,VAT_Codes!$A:$A,0)),"")&amp;"")</f>
        <v/>
      </c>
      <c r="U1505" s="26" t="n">
        <f aca="false">IF(OR($S1505="",$T1505="",$T1505="None"),0,IF($T1505="Output",-$S1505,$S1505))</f>
        <v>0</v>
      </c>
      <c r="V1505" s="27" t="n">
        <f aca="false">IF($N1505="",0,IFERROR(INDEX(VAT_Codes!$D:$D,MATCH($N1505,VAT_Codes!$A:$A,0)),0))</f>
        <v>0</v>
      </c>
      <c r="W1505" s="26" t="n">
        <f aca="false">IF($U1505=0,0,IF(IFERROR(INDEX(VAT_Codes!$F:$F,MATCH($N1505,VAT_Codes!$A:$A,0)),"N")="Y",$U1505,IF($L1505&lt;&gt;"",ROUND(ABS($L1505)/IF(OR($R1505="",$R1505=0),1,$R1505),2)*SIGN($U1505),ROUND($U1505*$V1505,2))))</f>
        <v>0</v>
      </c>
      <c r="X1505" s="24" t="str">
        <f aca="false">IF($N1505="","",IFERROR(INDEX(VAT_Codes!$H:$H,MATCH($N1505,VAT_Codes!$A:$A,0)),"")&amp;"")</f>
        <v/>
      </c>
      <c r="Y1505" s="24" t="str">
        <f aca="false">IF($A1505="","",(YEAR($A1505)-YEAR(Settings!$C$8))*12+MONTH($A1505)-MONTH(Settings!$C$8)+1)</f>
        <v/>
      </c>
      <c r="Z1505" s="24" t="str">
        <f aca="false">IF(AND($C1505="",$I1505="",$J1505=""),"",IF($N1505="","NO VAT CODE",IF($T1505="","UNKNOWN VAT CODE",IF($S1505="","MISSING FX RATE",IF(OR($A1505&lt;Settings!$C$8,$A1505&gt;Settings!$C$9),"OUTSIDE PERIOD",IF(AND(IFERROR(INDEX(VAT_Codes!$E:$E,MATCH($N1505,VAT_Codes!$A:$A,0)),"ANY")&lt;&gt;"ANY",$P1505=""),"MISSING COUNTERPARTY COUNTRY",IF(AND(IFERROR(INDEX(VAT_Codes!$E:$E,MATCH($N1505,VAT_Codes!$A:$A,0)),"ANY")&lt;&gt;"ANY",$P1505&lt;&gt;IFERROR(INDEX(VAT_Codes!$E:$E,MATCH($N1505,VAT_Codes!$A:$A,0)),"ANY")),"REGION MISMATCH","OK")))))))</f>
        <v/>
      </c>
    </row>
    <row r="1506" customFormat="false" ht="15" hidden="false" customHeight="false" outlineLevel="0" collapsed="false">
      <c r="M1506" s="24" t="str">
        <f aca="false">IF($C1506="","",IFERROR(INDEX(Account_Mapping!$C:$C,MATCH($C1506&amp;"",Account_Mapping!$A:$A,0))&amp;"",""))</f>
        <v/>
      </c>
      <c r="N1506" s="24" t="str">
        <f aca="false">IF($K1506&lt;&gt;"",$K1506,$M1506)</f>
        <v/>
      </c>
      <c r="O1506" s="24" t="str">
        <f aca="false">IF($F1506="","",IFERROR(INDEX(Counterparties!$C:$C,MATCH($F1506&amp;"",Counterparties!$A:$A,0))&amp;"",""))</f>
        <v/>
      </c>
      <c r="P1506" s="24" t="str">
        <f aca="false">IF($O1506="","",IF($O1506="CY","CY",IF(ISNUMBER(MATCH($O1506,Lists!$A:$A,0)),"EU","3RD")))</f>
        <v/>
      </c>
      <c r="Q1506" s="24" t="str">
        <f aca="false">IF($F1506="","N",IFERROR(IF(INDEX(Counterparties!$E:$E,MATCH($F1506&amp;"",Counterparties!$A:$A,0))="Y","Y","N"),"N"))</f>
        <v>N</v>
      </c>
      <c r="R1506" s="25" t="n">
        <f aca="false">IF(OR($H1506="",$H1506="EUR"),1,IFERROR(INDEX(FX_Rates!$D:$D,MATCH($H1506,FX_Rates!$A:$A,0)),""))</f>
        <v>1</v>
      </c>
      <c r="S1506" s="26" t="str">
        <f aca="false">IF(AND($I1506="",$J1506=""),"",IF($J1506&lt;&gt;"",$J1506,IF(OR($R1506="",$R1506=0),"",ROUND($I1506/$R1506,2))))</f>
        <v/>
      </c>
      <c r="T1506" s="24" t="str">
        <f aca="false">IF($N1506="","",IFERROR(INDEX(VAT_Codes!$C:$C,MATCH($N1506,VAT_Codes!$A:$A,0)),"")&amp;"")</f>
        <v/>
      </c>
      <c r="U1506" s="26" t="n">
        <f aca="false">IF(OR($S1506="",$T1506="",$T1506="None"),0,IF($T1506="Output",-$S1506,$S1506))</f>
        <v>0</v>
      </c>
      <c r="V1506" s="27" t="n">
        <f aca="false">IF($N1506="",0,IFERROR(INDEX(VAT_Codes!$D:$D,MATCH($N1506,VAT_Codes!$A:$A,0)),0))</f>
        <v>0</v>
      </c>
      <c r="W1506" s="26" t="n">
        <f aca="false">IF($U1506=0,0,IF(IFERROR(INDEX(VAT_Codes!$F:$F,MATCH($N1506,VAT_Codes!$A:$A,0)),"N")="Y",$U1506,IF($L1506&lt;&gt;"",ROUND(ABS($L1506)/IF(OR($R1506="",$R1506=0),1,$R1506),2)*SIGN($U1506),ROUND($U1506*$V1506,2))))</f>
        <v>0</v>
      </c>
      <c r="X1506" s="24" t="str">
        <f aca="false">IF($N1506="","",IFERROR(INDEX(VAT_Codes!$H:$H,MATCH($N1506,VAT_Codes!$A:$A,0)),"")&amp;"")</f>
        <v/>
      </c>
      <c r="Y1506" s="24" t="str">
        <f aca="false">IF($A1506="","",(YEAR($A1506)-YEAR(Settings!$C$8))*12+MONTH($A1506)-MONTH(Settings!$C$8)+1)</f>
        <v/>
      </c>
      <c r="Z1506" s="24" t="str">
        <f aca="false">IF(AND($C1506="",$I1506="",$J1506=""),"",IF($N1506="","NO VAT CODE",IF($T1506="","UNKNOWN VAT CODE",IF($S1506="","MISSING FX RATE",IF(OR($A1506&lt;Settings!$C$8,$A1506&gt;Settings!$C$9),"OUTSIDE PERIOD",IF(AND(IFERROR(INDEX(VAT_Codes!$E:$E,MATCH($N1506,VAT_Codes!$A:$A,0)),"ANY")&lt;&gt;"ANY",$P1506=""),"MISSING COUNTERPARTY COUNTRY",IF(AND(IFERROR(INDEX(VAT_Codes!$E:$E,MATCH($N1506,VAT_Codes!$A:$A,0)),"ANY")&lt;&gt;"ANY",$P1506&lt;&gt;IFERROR(INDEX(VAT_Codes!$E:$E,MATCH($N1506,VAT_Codes!$A:$A,0)),"ANY")),"REGION MISMATCH","OK")))))))</f>
        <v/>
      </c>
    </row>
    <row r="1507" customFormat="false" ht="15" hidden="false" customHeight="false" outlineLevel="0" collapsed="false">
      <c r="M1507" s="24" t="str">
        <f aca="false">IF($C1507="","",IFERROR(INDEX(Account_Mapping!$C:$C,MATCH($C1507&amp;"",Account_Mapping!$A:$A,0))&amp;"",""))</f>
        <v/>
      </c>
      <c r="N1507" s="24" t="str">
        <f aca="false">IF($K1507&lt;&gt;"",$K1507,$M1507)</f>
        <v/>
      </c>
      <c r="O1507" s="24" t="str">
        <f aca="false">IF($F1507="","",IFERROR(INDEX(Counterparties!$C:$C,MATCH($F1507&amp;"",Counterparties!$A:$A,0))&amp;"",""))</f>
        <v/>
      </c>
      <c r="P1507" s="24" t="str">
        <f aca="false">IF($O1507="","",IF($O1507="CY","CY",IF(ISNUMBER(MATCH($O1507,Lists!$A:$A,0)),"EU","3RD")))</f>
        <v/>
      </c>
      <c r="Q1507" s="24" t="str">
        <f aca="false">IF($F1507="","N",IFERROR(IF(INDEX(Counterparties!$E:$E,MATCH($F1507&amp;"",Counterparties!$A:$A,0))="Y","Y","N"),"N"))</f>
        <v>N</v>
      </c>
      <c r="R1507" s="25" t="n">
        <f aca="false">IF(OR($H1507="",$H1507="EUR"),1,IFERROR(INDEX(FX_Rates!$D:$D,MATCH($H1507,FX_Rates!$A:$A,0)),""))</f>
        <v>1</v>
      </c>
      <c r="S1507" s="26" t="str">
        <f aca="false">IF(AND($I1507="",$J1507=""),"",IF($J1507&lt;&gt;"",$J1507,IF(OR($R1507="",$R1507=0),"",ROUND($I1507/$R1507,2))))</f>
        <v/>
      </c>
      <c r="T1507" s="24" t="str">
        <f aca="false">IF($N1507="","",IFERROR(INDEX(VAT_Codes!$C:$C,MATCH($N1507,VAT_Codes!$A:$A,0)),"")&amp;"")</f>
        <v/>
      </c>
      <c r="U1507" s="26" t="n">
        <f aca="false">IF(OR($S1507="",$T1507="",$T1507="None"),0,IF($T1507="Output",-$S1507,$S1507))</f>
        <v>0</v>
      </c>
      <c r="V1507" s="27" t="n">
        <f aca="false">IF($N1507="",0,IFERROR(INDEX(VAT_Codes!$D:$D,MATCH($N1507,VAT_Codes!$A:$A,0)),0))</f>
        <v>0</v>
      </c>
      <c r="W1507" s="26" t="n">
        <f aca="false">IF($U1507=0,0,IF(IFERROR(INDEX(VAT_Codes!$F:$F,MATCH($N1507,VAT_Codes!$A:$A,0)),"N")="Y",$U1507,IF($L1507&lt;&gt;"",ROUND(ABS($L1507)/IF(OR($R1507="",$R1507=0),1,$R1507),2)*SIGN($U1507),ROUND($U1507*$V1507,2))))</f>
        <v>0</v>
      </c>
      <c r="X1507" s="24" t="str">
        <f aca="false">IF($N1507="","",IFERROR(INDEX(VAT_Codes!$H:$H,MATCH($N1507,VAT_Codes!$A:$A,0)),"")&amp;"")</f>
        <v/>
      </c>
      <c r="Y1507" s="24" t="str">
        <f aca="false">IF($A1507="","",(YEAR($A1507)-YEAR(Settings!$C$8))*12+MONTH($A1507)-MONTH(Settings!$C$8)+1)</f>
        <v/>
      </c>
      <c r="Z1507" s="24" t="str">
        <f aca="false">IF(AND($C1507="",$I1507="",$J1507=""),"",IF($N1507="","NO VAT CODE",IF($T1507="","UNKNOWN VAT CODE",IF($S1507="","MISSING FX RATE",IF(OR($A1507&lt;Settings!$C$8,$A1507&gt;Settings!$C$9),"OUTSIDE PERIOD",IF(AND(IFERROR(INDEX(VAT_Codes!$E:$E,MATCH($N1507,VAT_Codes!$A:$A,0)),"ANY")&lt;&gt;"ANY",$P1507=""),"MISSING COUNTERPARTY COUNTRY",IF(AND(IFERROR(INDEX(VAT_Codes!$E:$E,MATCH($N1507,VAT_Codes!$A:$A,0)),"ANY")&lt;&gt;"ANY",$P1507&lt;&gt;IFERROR(INDEX(VAT_Codes!$E:$E,MATCH($N1507,VAT_Codes!$A:$A,0)),"ANY")),"REGION MISMATCH","OK")))))))</f>
        <v/>
      </c>
    </row>
    <row r="1508" customFormat="false" ht="15" hidden="false" customHeight="false" outlineLevel="0" collapsed="false">
      <c r="M1508" s="24" t="str">
        <f aca="false">IF($C1508="","",IFERROR(INDEX(Account_Mapping!$C:$C,MATCH($C1508&amp;"",Account_Mapping!$A:$A,0))&amp;"",""))</f>
        <v/>
      </c>
      <c r="N1508" s="24" t="str">
        <f aca="false">IF($K1508&lt;&gt;"",$K1508,$M1508)</f>
        <v/>
      </c>
      <c r="O1508" s="24" t="str">
        <f aca="false">IF($F1508="","",IFERROR(INDEX(Counterparties!$C:$C,MATCH($F1508&amp;"",Counterparties!$A:$A,0))&amp;"",""))</f>
        <v/>
      </c>
      <c r="P1508" s="24" t="str">
        <f aca="false">IF($O1508="","",IF($O1508="CY","CY",IF(ISNUMBER(MATCH($O1508,Lists!$A:$A,0)),"EU","3RD")))</f>
        <v/>
      </c>
      <c r="Q1508" s="24" t="str">
        <f aca="false">IF($F1508="","N",IFERROR(IF(INDEX(Counterparties!$E:$E,MATCH($F1508&amp;"",Counterparties!$A:$A,0))="Y","Y","N"),"N"))</f>
        <v>N</v>
      </c>
      <c r="R1508" s="25" t="n">
        <f aca="false">IF(OR($H1508="",$H1508="EUR"),1,IFERROR(INDEX(FX_Rates!$D:$D,MATCH($H1508,FX_Rates!$A:$A,0)),""))</f>
        <v>1</v>
      </c>
      <c r="S1508" s="26" t="str">
        <f aca="false">IF(AND($I1508="",$J1508=""),"",IF($J1508&lt;&gt;"",$J1508,IF(OR($R1508="",$R1508=0),"",ROUND($I1508/$R1508,2))))</f>
        <v/>
      </c>
      <c r="T1508" s="24" t="str">
        <f aca="false">IF($N1508="","",IFERROR(INDEX(VAT_Codes!$C:$C,MATCH($N1508,VAT_Codes!$A:$A,0)),"")&amp;"")</f>
        <v/>
      </c>
      <c r="U1508" s="26" t="n">
        <f aca="false">IF(OR($S1508="",$T1508="",$T1508="None"),0,IF($T1508="Output",-$S1508,$S1508))</f>
        <v>0</v>
      </c>
      <c r="V1508" s="27" t="n">
        <f aca="false">IF($N1508="",0,IFERROR(INDEX(VAT_Codes!$D:$D,MATCH($N1508,VAT_Codes!$A:$A,0)),0))</f>
        <v>0</v>
      </c>
      <c r="W1508" s="26" t="n">
        <f aca="false">IF($U1508=0,0,IF(IFERROR(INDEX(VAT_Codes!$F:$F,MATCH($N1508,VAT_Codes!$A:$A,0)),"N")="Y",$U1508,IF($L1508&lt;&gt;"",ROUND(ABS($L1508)/IF(OR($R1508="",$R1508=0),1,$R1508),2)*SIGN($U1508),ROUND($U1508*$V1508,2))))</f>
        <v>0</v>
      </c>
      <c r="X1508" s="24" t="str">
        <f aca="false">IF($N1508="","",IFERROR(INDEX(VAT_Codes!$H:$H,MATCH($N1508,VAT_Codes!$A:$A,0)),"")&amp;"")</f>
        <v/>
      </c>
      <c r="Y1508" s="24" t="str">
        <f aca="false">IF($A1508="","",(YEAR($A1508)-YEAR(Settings!$C$8))*12+MONTH($A1508)-MONTH(Settings!$C$8)+1)</f>
        <v/>
      </c>
      <c r="Z1508" s="24" t="str">
        <f aca="false">IF(AND($C1508="",$I1508="",$J1508=""),"",IF($N1508="","NO VAT CODE",IF($T1508="","UNKNOWN VAT CODE",IF($S1508="","MISSING FX RATE",IF(OR($A1508&lt;Settings!$C$8,$A1508&gt;Settings!$C$9),"OUTSIDE PERIOD",IF(AND(IFERROR(INDEX(VAT_Codes!$E:$E,MATCH($N1508,VAT_Codes!$A:$A,0)),"ANY")&lt;&gt;"ANY",$P1508=""),"MISSING COUNTERPARTY COUNTRY",IF(AND(IFERROR(INDEX(VAT_Codes!$E:$E,MATCH($N1508,VAT_Codes!$A:$A,0)),"ANY")&lt;&gt;"ANY",$P1508&lt;&gt;IFERROR(INDEX(VAT_Codes!$E:$E,MATCH($N1508,VAT_Codes!$A:$A,0)),"ANY")),"REGION MISMATCH","OK")))))))</f>
        <v/>
      </c>
    </row>
    <row r="1509" customFormat="false" ht="15" hidden="false" customHeight="false" outlineLevel="0" collapsed="false">
      <c r="M1509" s="24" t="str">
        <f aca="false">IF($C1509="","",IFERROR(INDEX(Account_Mapping!$C:$C,MATCH($C1509&amp;"",Account_Mapping!$A:$A,0))&amp;"",""))</f>
        <v/>
      </c>
      <c r="N1509" s="24" t="str">
        <f aca="false">IF($K1509&lt;&gt;"",$K1509,$M1509)</f>
        <v/>
      </c>
      <c r="O1509" s="24" t="str">
        <f aca="false">IF($F1509="","",IFERROR(INDEX(Counterparties!$C:$C,MATCH($F1509&amp;"",Counterparties!$A:$A,0))&amp;"",""))</f>
        <v/>
      </c>
      <c r="P1509" s="24" t="str">
        <f aca="false">IF($O1509="","",IF($O1509="CY","CY",IF(ISNUMBER(MATCH($O1509,Lists!$A:$A,0)),"EU","3RD")))</f>
        <v/>
      </c>
      <c r="Q1509" s="24" t="str">
        <f aca="false">IF($F1509="","N",IFERROR(IF(INDEX(Counterparties!$E:$E,MATCH($F1509&amp;"",Counterparties!$A:$A,0))="Y","Y","N"),"N"))</f>
        <v>N</v>
      </c>
      <c r="R1509" s="25" t="n">
        <f aca="false">IF(OR($H1509="",$H1509="EUR"),1,IFERROR(INDEX(FX_Rates!$D:$D,MATCH($H1509,FX_Rates!$A:$A,0)),""))</f>
        <v>1</v>
      </c>
      <c r="S1509" s="26" t="str">
        <f aca="false">IF(AND($I1509="",$J1509=""),"",IF($J1509&lt;&gt;"",$J1509,IF(OR($R1509="",$R1509=0),"",ROUND($I1509/$R1509,2))))</f>
        <v/>
      </c>
      <c r="T1509" s="24" t="str">
        <f aca="false">IF($N1509="","",IFERROR(INDEX(VAT_Codes!$C:$C,MATCH($N1509,VAT_Codes!$A:$A,0)),"")&amp;"")</f>
        <v/>
      </c>
      <c r="U1509" s="26" t="n">
        <f aca="false">IF(OR($S1509="",$T1509="",$T1509="None"),0,IF($T1509="Output",-$S1509,$S1509))</f>
        <v>0</v>
      </c>
      <c r="V1509" s="27" t="n">
        <f aca="false">IF($N1509="",0,IFERROR(INDEX(VAT_Codes!$D:$D,MATCH($N1509,VAT_Codes!$A:$A,0)),0))</f>
        <v>0</v>
      </c>
      <c r="W1509" s="26" t="n">
        <f aca="false">IF($U1509=0,0,IF(IFERROR(INDEX(VAT_Codes!$F:$F,MATCH($N1509,VAT_Codes!$A:$A,0)),"N")="Y",$U1509,IF($L1509&lt;&gt;"",ROUND(ABS($L1509)/IF(OR($R1509="",$R1509=0),1,$R1509),2)*SIGN($U1509),ROUND($U1509*$V1509,2))))</f>
        <v>0</v>
      </c>
      <c r="X1509" s="24" t="str">
        <f aca="false">IF($N1509="","",IFERROR(INDEX(VAT_Codes!$H:$H,MATCH($N1509,VAT_Codes!$A:$A,0)),"")&amp;"")</f>
        <v/>
      </c>
      <c r="Y1509" s="24" t="str">
        <f aca="false">IF($A1509="","",(YEAR($A1509)-YEAR(Settings!$C$8))*12+MONTH($A1509)-MONTH(Settings!$C$8)+1)</f>
        <v/>
      </c>
      <c r="Z1509" s="24" t="str">
        <f aca="false">IF(AND($C1509="",$I1509="",$J1509=""),"",IF($N1509="","NO VAT CODE",IF($T1509="","UNKNOWN VAT CODE",IF($S1509="","MISSING FX RATE",IF(OR($A1509&lt;Settings!$C$8,$A1509&gt;Settings!$C$9),"OUTSIDE PERIOD",IF(AND(IFERROR(INDEX(VAT_Codes!$E:$E,MATCH($N1509,VAT_Codes!$A:$A,0)),"ANY")&lt;&gt;"ANY",$P1509=""),"MISSING COUNTERPARTY COUNTRY",IF(AND(IFERROR(INDEX(VAT_Codes!$E:$E,MATCH($N1509,VAT_Codes!$A:$A,0)),"ANY")&lt;&gt;"ANY",$P1509&lt;&gt;IFERROR(INDEX(VAT_Codes!$E:$E,MATCH($N1509,VAT_Codes!$A:$A,0)),"ANY")),"REGION MISMATCH","OK")))))))</f>
        <v/>
      </c>
    </row>
    <row r="1510" customFormat="false" ht="15" hidden="false" customHeight="false" outlineLevel="0" collapsed="false">
      <c r="M1510" s="24" t="str">
        <f aca="false">IF($C1510="","",IFERROR(INDEX(Account_Mapping!$C:$C,MATCH($C1510&amp;"",Account_Mapping!$A:$A,0))&amp;"",""))</f>
        <v/>
      </c>
      <c r="N1510" s="24" t="str">
        <f aca="false">IF($K1510&lt;&gt;"",$K1510,$M1510)</f>
        <v/>
      </c>
      <c r="O1510" s="24" t="str">
        <f aca="false">IF($F1510="","",IFERROR(INDEX(Counterparties!$C:$C,MATCH($F1510&amp;"",Counterparties!$A:$A,0))&amp;"",""))</f>
        <v/>
      </c>
      <c r="P1510" s="24" t="str">
        <f aca="false">IF($O1510="","",IF($O1510="CY","CY",IF(ISNUMBER(MATCH($O1510,Lists!$A:$A,0)),"EU","3RD")))</f>
        <v/>
      </c>
      <c r="Q1510" s="24" t="str">
        <f aca="false">IF($F1510="","N",IFERROR(IF(INDEX(Counterparties!$E:$E,MATCH($F1510&amp;"",Counterparties!$A:$A,0))="Y","Y","N"),"N"))</f>
        <v>N</v>
      </c>
      <c r="R1510" s="25" t="n">
        <f aca="false">IF(OR($H1510="",$H1510="EUR"),1,IFERROR(INDEX(FX_Rates!$D:$D,MATCH($H1510,FX_Rates!$A:$A,0)),""))</f>
        <v>1</v>
      </c>
      <c r="S1510" s="26" t="str">
        <f aca="false">IF(AND($I1510="",$J1510=""),"",IF($J1510&lt;&gt;"",$J1510,IF(OR($R1510="",$R1510=0),"",ROUND($I1510/$R1510,2))))</f>
        <v/>
      </c>
      <c r="T1510" s="24" t="str">
        <f aca="false">IF($N1510="","",IFERROR(INDEX(VAT_Codes!$C:$C,MATCH($N1510,VAT_Codes!$A:$A,0)),"")&amp;"")</f>
        <v/>
      </c>
      <c r="U1510" s="26" t="n">
        <f aca="false">IF(OR($S1510="",$T1510="",$T1510="None"),0,IF($T1510="Output",-$S1510,$S1510))</f>
        <v>0</v>
      </c>
      <c r="V1510" s="27" t="n">
        <f aca="false">IF($N1510="",0,IFERROR(INDEX(VAT_Codes!$D:$D,MATCH($N1510,VAT_Codes!$A:$A,0)),0))</f>
        <v>0</v>
      </c>
      <c r="W1510" s="26" t="n">
        <f aca="false">IF($U1510=0,0,IF(IFERROR(INDEX(VAT_Codes!$F:$F,MATCH($N1510,VAT_Codes!$A:$A,0)),"N")="Y",$U1510,IF($L1510&lt;&gt;"",ROUND(ABS($L1510)/IF(OR($R1510="",$R1510=0),1,$R1510),2)*SIGN($U1510),ROUND($U1510*$V1510,2))))</f>
        <v>0</v>
      </c>
      <c r="X1510" s="24" t="str">
        <f aca="false">IF($N1510="","",IFERROR(INDEX(VAT_Codes!$H:$H,MATCH($N1510,VAT_Codes!$A:$A,0)),"")&amp;"")</f>
        <v/>
      </c>
      <c r="Y1510" s="24" t="str">
        <f aca="false">IF($A1510="","",(YEAR($A1510)-YEAR(Settings!$C$8))*12+MONTH($A1510)-MONTH(Settings!$C$8)+1)</f>
        <v/>
      </c>
      <c r="Z1510" s="24" t="str">
        <f aca="false">IF(AND($C1510="",$I1510="",$J1510=""),"",IF($N1510="","NO VAT CODE",IF($T1510="","UNKNOWN VAT CODE",IF($S1510="","MISSING FX RATE",IF(OR($A1510&lt;Settings!$C$8,$A1510&gt;Settings!$C$9),"OUTSIDE PERIOD",IF(AND(IFERROR(INDEX(VAT_Codes!$E:$E,MATCH($N1510,VAT_Codes!$A:$A,0)),"ANY")&lt;&gt;"ANY",$P1510=""),"MISSING COUNTERPARTY COUNTRY",IF(AND(IFERROR(INDEX(VAT_Codes!$E:$E,MATCH($N1510,VAT_Codes!$A:$A,0)),"ANY")&lt;&gt;"ANY",$P1510&lt;&gt;IFERROR(INDEX(VAT_Codes!$E:$E,MATCH($N1510,VAT_Codes!$A:$A,0)),"ANY")),"REGION MISMATCH","OK")))))))</f>
        <v/>
      </c>
    </row>
    <row r="1511" customFormat="false" ht="15" hidden="false" customHeight="false" outlineLevel="0" collapsed="false">
      <c r="M1511" s="24" t="str">
        <f aca="false">IF($C1511="","",IFERROR(INDEX(Account_Mapping!$C:$C,MATCH($C1511&amp;"",Account_Mapping!$A:$A,0))&amp;"",""))</f>
        <v/>
      </c>
      <c r="N1511" s="24" t="str">
        <f aca="false">IF($K1511&lt;&gt;"",$K1511,$M1511)</f>
        <v/>
      </c>
      <c r="O1511" s="24" t="str">
        <f aca="false">IF($F1511="","",IFERROR(INDEX(Counterparties!$C:$C,MATCH($F1511&amp;"",Counterparties!$A:$A,0))&amp;"",""))</f>
        <v/>
      </c>
      <c r="P1511" s="24" t="str">
        <f aca="false">IF($O1511="","",IF($O1511="CY","CY",IF(ISNUMBER(MATCH($O1511,Lists!$A:$A,0)),"EU","3RD")))</f>
        <v/>
      </c>
      <c r="Q1511" s="24" t="str">
        <f aca="false">IF($F1511="","N",IFERROR(IF(INDEX(Counterparties!$E:$E,MATCH($F1511&amp;"",Counterparties!$A:$A,0))="Y","Y","N"),"N"))</f>
        <v>N</v>
      </c>
      <c r="R1511" s="25" t="n">
        <f aca="false">IF(OR($H1511="",$H1511="EUR"),1,IFERROR(INDEX(FX_Rates!$D:$D,MATCH($H1511,FX_Rates!$A:$A,0)),""))</f>
        <v>1</v>
      </c>
      <c r="S1511" s="26" t="str">
        <f aca="false">IF(AND($I1511="",$J1511=""),"",IF($J1511&lt;&gt;"",$J1511,IF(OR($R1511="",$R1511=0),"",ROUND($I1511/$R1511,2))))</f>
        <v/>
      </c>
      <c r="T1511" s="24" t="str">
        <f aca="false">IF($N1511="","",IFERROR(INDEX(VAT_Codes!$C:$C,MATCH($N1511,VAT_Codes!$A:$A,0)),"")&amp;"")</f>
        <v/>
      </c>
      <c r="U1511" s="26" t="n">
        <f aca="false">IF(OR($S1511="",$T1511="",$T1511="None"),0,IF($T1511="Output",-$S1511,$S1511))</f>
        <v>0</v>
      </c>
      <c r="V1511" s="27" t="n">
        <f aca="false">IF($N1511="",0,IFERROR(INDEX(VAT_Codes!$D:$D,MATCH($N1511,VAT_Codes!$A:$A,0)),0))</f>
        <v>0</v>
      </c>
      <c r="W1511" s="26" t="n">
        <f aca="false">IF($U1511=0,0,IF(IFERROR(INDEX(VAT_Codes!$F:$F,MATCH($N1511,VAT_Codes!$A:$A,0)),"N")="Y",$U1511,IF($L1511&lt;&gt;"",ROUND(ABS($L1511)/IF(OR($R1511="",$R1511=0),1,$R1511),2)*SIGN($U1511),ROUND($U1511*$V1511,2))))</f>
        <v>0</v>
      </c>
      <c r="X1511" s="24" t="str">
        <f aca="false">IF($N1511="","",IFERROR(INDEX(VAT_Codes!$H:$H,MATCH($N1511,VAT_Codes!$A:$A,0)),"")&amp;"")</f>
        <v/>
      </c>
      <c r="Y1511" s="24" t="str">
        <f aca="false">IF($A1511="","",(YEAR($A1511)-YEAR(Settings!$C$8))*12+MONTH($A1511)-MONTH(Settings!$C$8)+1)</f>
        <v/>
      </c>
      <c r="Z1511" s="24" t="str">
        <f aca="false">IF(AND($C1511="",$I1511="",$J1511=""),"",IF($N1511="","NO VAT CODE",IF($T1511="","UNKNOWN VAT CODE",IF($S1511="","MISSING FX RATE",IF(OR($A1511&lt;Settings!$C$8,$A1511&gt;Settings!$C$9),"OUTSIDE PERIOD",IF(AND(IFERROR(INDEX(VAT_Codes!$E:$E,MATCH($N1511,VAT_Codes!$A:$A,0)),"ANY")&lt;&gt;"ANY",$P1511=""),"MISSING COUNTERPARTY COUNTRY",IF(AND(IFERROR(INDEX(VAT_Codes!$E:$E,MATCH($N1511,VAT_Codes!$A:$A,0)),"ANY")&lt;&gt;"ANY",$P1511&lt;&gt;IFERROR(INDEX(VAT_Codes!$E:$E,MATCH($N1511,VAT_Codes!$A:$A,0)),"ANY")),"REGION MISMATCH","OK")))))))</f>
        <v/>
      </c>
    </row>
    <row r="1512" customFormat="false" ht="15" hidden="false" customHeight="false" outlineLevel="0" collapsed="false">
      <c r="M1512" s="24" t="str">
        <f aca="false">IF($C1512="","",IFERROR(INDEX(Account_Mapping!$C:$C,MATCH($C1512&amp;"",Account_Mapping!$A:$A,0))&amp;"",""))</f>
        <v/>
      </c>
      <c r="N1512" s="24" t="str">
        <f aca="false">IF($K1512&lt;&gt;"",$K1512,$M1512)</f>
        <v/>
      </c>
      <c r="O1512" s="24" t="str">
        <f aca="false">IF($F1512="","",IFERROR(INDEX(Counterparties!$C:$C,MATCH($F1512&amp;"",Counterparties!$A:$A,0))&amp;"",""))</f>
        <v/>
      </c>
      <c r="P1512" s="24" t="str">
        <f aca="false">IF($O1512="","",IF($O1512="CY","CY",IF(ISNUMBER(MATCH($O1512,Lists!$A:$A,0)),"EU","3RD")))</f>
        <v/>
      </c>
      <c r="Q1512" s="24" t="str">
        <f aca="false">IF($F1512="","N",IFERROR(IF(INDEX(Counterparties!$E:$E,MATCH($F1512&amp;"",Counterparties!$A:$A,0))="Y","Y","N"),"N"))</f>
        <v>N</v>
      </c>
      <c r="R1512" s="25" t="n">
        <f aca="false">IF(OR($H1512="",$H1512="EUR"),1,IFERROR(INDEX(FX_Rates!$D:$D,MATCH($H1512,FX_Rates!$A:$A,0)),""))</f>
        <v>1</v>
      </c>
      <c r="S1512" s="26" t="str">
        <f aca="false">IF(AND($I1512="",$J1512=""),"",IF($J1512&lt;&gt;"",$J1512,IF(OR($R1512="",$R1512=0),"",ROUND($I1512/$R1512,2))))</f>
        <v/>
      </c>
      <c r="T1512" s="24" t="str">
        <f aca="false">IF($N1512="","",IFERROR(INDEX(VAT_Codes!$C:$C,MATCH($N1512,VAT_Codes!$A:$A,0)),"")&amp;"")</f>
        <v/>
      </c>
      <c r="U1512" s="26" t="n">
        <f aca="false">IF(OR($S1512="",$T1512="",$T1512="None"),0,IF($T1512="Output",-$S1512,$S1512))</f>
        <v>0</v>
      </c>
      <c r="V1512" s="27" t="n">
        <f aca="false">IF($N1512="",0,IFERROR(INDEX(VAT_Codes!$D:$D,MATCH($N1512,VAT_Codes!$A:$A,0)),0))</f>
        <v>0</v>
      </c>
      <c r="W1512" s="26" t="n">
        <f aca="false">IF($U1512=0,0,IF(IFERROR(INDEX(VAT_Codes!$F:$F,MATCH($N1512,VAT_Codes!$A:$A,0)),"N")="Y",$U1512,IF($L1512&lt;&gt;"",ROUND(ABS($L1512)/IF(OR($R1512="",$R1512=0),1,$R1512),2)*SIGN($U1512),ROUND($U1512*$V1512,2))))</f>
        <v>0</v>
      </c>
      <c r="X1512" s="24" t="str">
        <f aca="false">IF($N1512="","",IFERROR(INDEX(VAT_Codes!$H:$H,MATCH($N1512,VAT_Codes!$A:$A,0)),"")&amp;"")</f>
        <v/>
      </c>
      <c r="Y1512" s="24" t="str">
        <f aca="false">IF($A1512="","",(YEAR($A1512)-YEAR(Settings!$C$8))*12+MONTH($A1512)-MONTH(Settings!$C$8)+1)</f>
        <v/>
      </c>
      <c r="Z1512" s="24" t="str">
        <f aca="false">IF(AND($C1512="",$I1512="",$J1512=""),"",IF($N1512="","NO VAT CODE",IF($T1512="","UNKNOWN VAT CODE",IF($S1512="","MISSING FX RATE",IF(OR($A1512&lt;Settings!$C$8,$A1512&gt;Settings!$C$9),"OUTSIDE PERIOD",IF(AND(IFERROR(INDEX(VAT_Codes!$E:$E,MATCH($N1512,VAT_Codes!$A:$A,0)),"ANY")&lt;&gt;"ANY",$P1512=""),"MISSING COUNTERPARTY COUNTRY",IF(AND(IFERROR(INDEX(VAT_Codes!$E:$E,MATCH($N1512,VAT_Codes!$A:$A,0)),"ANY")&lt;&gt;"ANY",$P1512&lt;&gt;IFERROR(INDEX(VAT_Codes!$E:$E,MATCH($N1512,VAT_Codes!$A:$A,0)),"ANY")),"REGION MISMATCH","OK")))))))</f>
        <v/>
      </c>
    </row>
    <row r="1513" customFormat="false" ht="15" hidden="false" customHeight="false" outlineLevel="0" collapsed="false">
      <c r="M1513" s="24" t="str">
        <f aca="false">IF($C1513="","",IFERROR(INDEX(Account_Mapping!$C:$C,MATCH($C1513&amp;"",Account_Mapping!$A:$A,0))&amp;"",""))</f>
        <v/>
      </c>
      <c r="N1513" s="24" t="str">
        <f aca="false">IF($K1513&lt;&gt;"",$K1513,$M1513)</f>
        <v/>
      </c>
      <c r="O1513" s="24" t="str">
        <f aca="false">IF($F1513="","",IFERROR(INDEX(Counterparties!$C:$C,MATCH($F1513&amp;"",Counterparties!$A:$A,0))&amp;"",""))</f>
        <v/>
      </c>
      <c r="P1513" s="24" t="str">
        <f aca="false">IF($O1513="","",IF($O1513="CY","CY",IF(ISNUMBER(MATCH($O1513,Lists!$A:$A,0)),"EU","3RD")))</f>
        <v/>
      </c>
      <c r="Q1513" s="24" t="str">
        <f aca="false">IF($F1513="","N",IFERROR(IF(INDEX(Counterparties!$E:$E,MATCH($F1513&amp;"",Counterparties!$A:$A,0))="Y","Y","N"),"N"))</f>
        <v>N</v>
      </c>
      <c r="R1513" s="25" t="n">
        <f aca="false">IF(OR($H1513="",$H1513="EUR"),1,IFERROR(INDEX(FX_Rates!$D:$D,MATCH($H1513,FX_Rates!$A:$A,0)),""))</f>
        <v>1</v>
      </c>
      <c r="S1513" s="26" t="str">
        <f aca="false">IF(AND($I1513="",$J1513=""),"",IF($J1513&lt;&gt;"",$J1513,IF(OR($R1513="",$R1513=0),"",ROUND($I1513/$R1513,2))))</f>
        <v/>
      </c>
      <c r="T1513" s="24" t="str">
        <f aca="false">IF($N1513="","",IFERROR(INDEX(VAT_Codes!$C:$C,MATCH($N1513,VAT_Codes!$A:$A,0)),"")&amp;"")</f>
        <v/>
      </c>
      <c r="U1513" s="26" t="n">
        <f aca="false">IF(OR($S1513="",$T1513="",$T1513="None"),0,IF($T1513="Output",-$S1513,$S1513))</f>
        <v>0</v>
      </c>
      <c r="V1513" s="27" t="n">
        <f aca="false">IF($N1513="",0,IFERROR(INDEX(VAT_Codes!$D:$D,MATCH($N1513,VAT_Codes!$A:$A,0)),0))</f>
        <v>0</v>
      </c>
      <c r="W1513" s="26" t="n">
        <f aca="false">IF($U1513=0,0,IF(IFERROR(INDEX(VAT_Codes!$F:$F,MATCH($N1513,VAT_Codes!$A:$A,0)),"N")="Y",$U1513,IF($L1513&lt;&gt;"",ROUND(ABS($L1513)/IF(OR($R1513="",$R1513=0),1,$R1513),2)*SIGN($U1513),ROUND($U1513*$V1513,2))))</f>
        <v>0</v>
      </c>
      <c r="X1513" s="24" t="str">
        <f aca="false">IF($N1513="","",IFERROR(INDEX(VAT_Codes!$H:$H,MATCH($N1513,VAT_Codes!$A:$A,0)),"")&amp;"")</f>
        <v/>
      </c>
      <c r="Y1513" s="24" t="str">
        <f aca="false">IF($A1513="","",(YEAR($A1513)-YEAR(Settings!$C$8))*12+MONTH($A1513)-MONTH(Settings!$C$8)+1)</f>
        <v/>
      </c>
      <c r="Z1513" s="24" t="str">
        <f aca="false">IF(AND($C1513="",$I1513="",$J1513=""),"",IF($N1513="","NO VAT CODE",IF($T1513="","UNKNOWN VAT CODE",IF($S1513="","MISSING FX RATE",IF(OR($A1513&lt;Settings!$C$8,$A1513&gt;Settings!$C$9),"OUTSIDE PERIOD",IF(AND(IFERROR(INDEX(VAT_Codes!$E:$E,MATCH($N1513,VAT_Codes!$A:$A,0)),"ANY")&lt;&gt;"ANY",$P1513=""),"MISSING COUNTERPARTY COUNTRY",IF(AND(IFERROR(INDEX(VAT_Codes!$E:$E,MATCH($N1513,VAT_Codes!$A:$A,0)),"ANY")&lt;&gt;"ANY",$P1513&lt;&gt;IFERROR(INDEX(VAT_Codes!$E:$E,MATCH($N1513,VAT_Codes!$A:$A,0)),"ANY")),"REGION MISMATCH","OK")))))))</f>
        <v/>
      </c>
    </row>
    <row r="1514" customFormat="false" ht="15" hidden="false" customHeight="false" outlineLevel="0" collapsed="false">
      <c r="M1514" s="24" t="str">
        <f aca="false">IF($C1514="","",IFERROR(INDEX(Account_Mapping!$C:$C,MATCH($C1514&amp;"",Account_Mapping!$A:$A,0))&amp;"",""))</f>
        <v/>
      </c>
      <c r="N1514" s="24" t="str">
        <f aca="false">IF($K1514&lt;&gt;"",$K1514,$M1514)</f>
        <v/>
      </c>
      <c r="O1514" s="24" t="str">
        <f aca="false">IF($F1514="","",IFERROR(INDEX(Counterparties!$C:$C,MATCH($F1514&amp;"",Counterparties!$A:$A,0))&amp;"",""))</f>
        <v/>
      </c>
      <c r="P1514" s="24" t="str">
        <f aca="false">IF($O1514="","",IF($O1514="CY","CY",IF(ISNUMBER(MATCH($O1514,Lists!$A:$A,0)),"EU","3RD")))</f>
        <v/>
      </c>
      <c r="Q1514" s="24" t="str">
        <f aca="false">IF($F1514="","N",IFERROR(IF(INDEX(Counterparties!$E:$E,MATCH($F1514&amp;"",Counterparties!$A:$A,0))="Y","Y","N"),"N"))</f>
        <v>N</v>
      </c>
      <c r="R1514" s="25" t="n">
        <f aca="false">IF(OR($H1514="",$H1514="EUR"),1,IFERROR(INDEX(FX_Rates!$D:$D,MATCH($H1514,FX_Rates!$A:$A,0)),""))</f>
        <v>1</v>
      </c>
      <c r="S1514" s="26" t="str">
        <f aca="false">IF(AND($I1514="",$J1514=""),"",IF($J1514&lt;&gt;"",$J1514,IF(OR($R1514="",$R1514=0),"",ROUND($I1514/$R1514,2))))</f>
        <v/>
      </c>
      <c r="T1514" s="24" t="str">
        <f aca="false">IF($N1514="","",IFERROR(INDEX(VAT_Codes!$C:$C,MATCH($N1514,VAT_Codes!$A:$A,0)),"")&amp;"")</f>
        <v/>
      </c>
      <c r="U1514" s="26" t="n">
        <f aca="false">IF(OR($S1514="",$T1514="",$T1514="None"),0,IF($T1514="Output",-$S1514,$S1514))</f>
        <v>0</v>
      </c>
      <c r="V1514" s="27" t="n">
        <f aca="false">IF($N1514="",0,IFERROR(INDEX(VAT_Codes!$D:$D,MATCH($N1514,VAT_Codes!$A:$A,0)),0))</f>
        <v>0</v>
      </c>
      <c r="W1514" s="26" t="n">
        <f aca="false">IF($U1514=0,0,IF(IFERROR(INDEX(VAT_Codes!$F:$F,MATCH($N1514,VAT_Codes!$A:$A,0)),"N")="Y",$U1514,IF($L1514&lt;&gt;"",ROUND(ABS($L1514)/IF(OR($R1514="",$R1514=0),1,$R1514),2)*SIGN($U1514),ROUND($U1514*$V1514,2))))</f>
        <v>0</v>
      </c>
      <c r="X1514" s="24" t="str">
        <f aca="false">IF($N1514="","",IFERROR(INDEX(VAT_Codes!$H:$H,MATCH($N1514,VAT_Codes!$A:$A,0)),"")&amp;"")</f>
        <v/>
      </c>
      <c r="Y1514" s="24" t="str">
        <f aca="false">IF($A1514="","",(YEAR($A1514)-YEAR(Settings!$C$8))*12+MONTH($A1514)-MONTH(Settings!$C$8)+1)</f>
        <v/>
      </c>
      <c r="Z1514" s="24" t="str">
        <f aca="false">IF(AND($C1514="",$I1514="",$J1514=""),"",IF($N1514="","NO VAT CODE",IF($T1514="","UNKNOWN VAT CODE",IF($S1514="","MISSING FX RATE",IF(OR($A1514&lt;Settings!$C$8,$A1514&gt;Settings!$C$9),"OUTSIDE PERIOD",IF(AND(IFERROR(INDEX(VAT_Codes!$E:$E,MATCH($N1514,VAT_Codes!$A:$A,0)),"ANY")&lt;&gt;"ANY",$P1514=""),"MISSING COUNTERPARTY COUNTRY",IF(AND(IFERROR(INDEX(VAT_Codes!$E:$E,MATCH($N1514,VAT_Codes!$A:$A,0)),"ANY")&lt;&gt;"ANY",$P1514&lt;&gt;IFERROR(INDEX(VAT_Codes!$E:$E,MATCH($N1514,VAT_Codes!$A:$A,0)),"ANY")),"REGION MISMATCH","OK")))))))</f>
        <v/>
      </c>
    </row>
    <row r="1515" customFormat="false" ht="15" hidden="false" customHeight="false" outlineLevel="0" collapsed="false">
      <c r="M1515" s="24" t="str">
        <f aca="false">IF($C1515="","",IFERROR(INDEX(Account_Mapping!$C:$C,MATCH($C1515&amp;"",Account_Mapping!$A:$A,0))&amp;"",""))</f>
        <v/>
      </c>
      <c r="N1515" s="24" t="str">
        <f aca="false">IF($K1515&lt;&gt;"",$K1515,$M1515)</f>
        <v/>
      </c>
      <c r="O1515" s="24" t="str">
        <f aca="false">IF($F1515="","",IFERROR(INDEX(Counterparties!$C:$C,MATCH($F1515&amp;"",Counterparties!$A:$A,0))&amp;"",""))</f>
        <v/>
      </c>
      <c r="P1515" s="24" t="str">
        <f aca="false">IF($O1515="","",IF($O1515="CY","CY",IF(ISNUMBER(MATCH($O1515,Lists!$A:$A,0)),"EU","3RD")))</f>
        <v/>
      </c>
      <c r="Q1515" s="24" t="str">
        <f aca="false">IF($F1515="","N",IFERROR(IF(INDEX(Counterparties!$E:$E,MATCH($F1515&amp;"",Counterparties!$A:$A,0))="Y","Y","N"),"N"))</f>
        <v>N</v>
      </c>
      <c r="R1515" s="25" t="n">
        <f aca="false">IF(OR($H1515="",$H1515="EUR"),1,IFERROR(INDEX(FX_Rates!$D:$D,MATCH($H1515,FX_Rates!$A:$A,0)),""))</f>
        <v>1</v>
      </c>
      <c r="S1515" s="26" t="str">
        <f aca="false">IF(AND($I1515="",$J1515=""),"",IF($J1515&lt;&gt;"",$J1515,IF(OR($R1515="",$R1515=0),"",ROUND($I1515/$R1515,2))))</f>
        <v/>
      </c>
      <c r="T1515" s="24" t="str">
        <f aca="false">IF($N1515="","",IFERROR(INDEX(VAT_Codes!$C:$C,MATCH($N1515,VAT_Codes!$A:$A,0)),"")&amp;"")</f>
        <v/>
      </c>
      <c r="U1515" s="26" t="n">
        <f aca="false">IF(OR($S1515="",$T1515="",$T1515="None"),0,IF($T1515="Output",-$S1515,$S1515))</f>
        <v>0</v>
      </c>
      <c r="V1515" s="27" t="n">
        <f aca="false">IF($N1515="",0,IFERROR(INDEX(VAT_Codes!$D:$D,MATCH($N1515,VAT_Codes!$A:$A,0)),0))</f>
        <v>0</v>
      </c>
      <c r="W1515" s="26" t="n">
        <f aca="false">IF($U1515=0,0,IF(IFERROR(INDEX(VAT_Codes!$F:$F,MATCH($N1515,VAT_Codes!$A:$A,0)),"N")="Y",$U1515,IF($L1515&lt;&gt;"",ROUND(ABS($L1515)/IF(OR($R1515="",$R1515=0),1,$R1515),2)*SIGN($U1515),ROUND($U1515*$V1515,2))))</f>
        <v>0</v>
      </c>
      <c r="X1515" s="24" t="str">
        <f aca="false">IF($N1515="","",IFERROR(INDEX(VAT_Codes!$H:$H,MATCH($N1515,VAT_Codes!$A:$A,0)),"")&amp;"")</f>
        <v/>
      </c>
      <c r="Y1515" s="24" t="str">
        <f aca="false">IF($A1515="","",(YEAR($A1515)-YEAR(Settings!$C$8))*12+MONTH($A1515)-MONTH(Settings!$C$8)+1)</f>
        <v/>
      </c>
      <c r="Z1515" s="24" t="str">
        <f aca="false">IF(AND($C1515="",$I1515="",$J1515=""),"",IF($N1515="","NO VAT CODE",IF($T1515="","UNKNOWN VAT CODE",IF($S1515="","MISSING FX RATE",IF(OR($A1515&lt;Settings!$C$8,$A1515&gt;Settings!$C$9),"OUTSIDE PERIOD",IF(AND(IFERROR(INDEX(VAT_Codes!$E:$E,MATCH($N1515,VAT_Codes!$A:$A,0)),"ANY")&lt;&gt;"ANY",$P1515=""),"MISSING COUNTERPARTY COUNTRY",IF(AND(IFERROR(INDEX(VAT_Codes!$E:$E,MATCH($N1515,VAT_Codes!$A:$A,0)),"ANY")&lt;&gt;"ANY",$P1515&lt;&gt;IFERROR(INDEX(VAT_Codes!$E:$E,MATCH($N1515,VAT_Codes!$A:$A,0)),"ANY")),"REGION MISMATCH","OK")))))))</f>
        <v/>
      </c>
    </row>
    <row r="1516" customFormat="false" ht="15" hidden="false" customHeight="false" outlineLevel="0" collapsed="false">
      <c r="M1516" s="24" t="str">
        <f aca="false">IF($C1516="","",IFERROR(INDEX(Account_Mapping!$C:$C,MATCH($C1516&amp;"",Account_Mapping!$A:$A,0))&amp;"",""))</f>
        <v/>
      </c>
      <c r="N1516" s="24" t="str">
        <f aca="false">IF($K1516&lt;&gt;"",$K1516,$M1516)</f>
        <v/>
      </c>
      <c r="O1516" s="24" t="str">
        <f aca="false">IF($F1516="","",IFERROR(INDEX(Counterparties!$C:$C,MATCH($F1516&amp;"",Counterparties!$A:$A,0))&amp;"",""))</f>
        <v/>
      </c>
      <c r="P1516" s="24" t="str">
        <f aca="false">IF($O1516="","",IF($O1516="CY","CY",IF(ISNUMBER(MATCH($O1516,Lists!$A:$A,0)),"EU","3RD")))</f>
        <v/>
      </c>
      <c r="Q1516" s="24" t="str">
        <f aca="false">IF($F1516="","N",IFERROR(IF(INDEX(Counterparties!$E:$E,MATCH($F1516&amp;"",Counterparties!$A:$A,0))="Y","Y","N"),"N"))</f>
        <v>N</v>
      </c>
      <c r="R1516" s="25" t="n">
        <f aca="false">IF(OR($H1516="",$H1516="EUR"),1,IFERROR(INDEX(FX_Rates!$D:$D,MATCH($H1516,FX_Rates!$A:$A,0)),""))</f>
        <v>1</v>
      </c>
      <c r="S1516" s="26" t="str">
        <f aca="false">IF(AND($I1516="",$J1516=""),"",IF($J1516&lt;&gt;"",$J1516,IF(OR($R1516="",$R1516=0),"",ROUND($I1516/$R1516,2))))</f>
        <v/>
      </c>
      <c r="T1516" s="24" t="str">
        <f aca="false">IF($N1516="","",IFERROR(INDEX(VAT_Codes!$C:$C,MATCH($N1516,VAT_Codes!$A:$A,0)),"")&amp;"")</f>
        <v/>
      </c>
      <c r="U1516" s="26" t="n">
        <f aca="false">IF(OR($S1516="",$T1516="",$T1516="None"),0,IF($T1516="Output",-$S1516,$S1516))</f>
        <v>0</v>
      </c>
      <c r="V1516" s="27" t="n">
        <f aca="false">IF($N1516="",0,IFERROR(INDEX(VAT_Codes!$D:$D,MATCH($N1516,VAT_Codes!$A:$A,0)),0))</f>
        <v>0</v>
      </c>
      <c r="W1516" s="26" t="n">
        <f aca="false">IF($U1516=0,0,IF(IFERROR(INDEX(VAT_Codes!$F:$F,MATCH($N1516,VAT_Codes!$A:$A,0)),"N")="Y",$U1516,IF($L1516&lt;&gt;"",ROUND(ABS($L1516)/IF(OR($R1516="",$R1516=0),1,$R1516),2)*SIGN($U1516),ROUND($U1516*$V1516,2))))</f>
        <v>0</v>
      </c>
      <c r="X1516" s="24" t="str">
        <f aca="false">IF($N1516="","",IFERROR(INDEX(VAT_Codes!$H:$H,MATCH($N1516,VAT_Codes!$A:$A,0)),"")&amp;"")</f>
        <v/>
      </c>
      <c r="Y1516" s="24" t="str">
        <f aca="false">IF($A1516="","",(YEAR($A1516)-YEAR(Settings!$C$8))*12+MONTH($A1516)-MONTH(Settings!$C$8)+1)</f>
        <v/>
      </c>
      <c r="Z1516" s="24" t="str">
        <f aca="false">IF(AND($C1516="",$I1516="",$J1516=""),"",IF($N1516="","NO VAT CODE",IF($T1516="","UNKNOWN VAT CODE",IF($S1516="","MISSING FX RATE",IF(OR($A1516&lt;Settings!$C$8,$A1516&gt;Settings!$C$9),"OUTSIDE PERIOD",IF(AND(IFERROR(INDEX(VAT_Codes!$E:$E,MATCH($N1516,VAT_Codes!$A:$A,0)),"ANY")&lt;&gt;"ANY",$P1516=""),"MISSING COUNTERPARTY COUNTRY",IF(AND(IFERROR(INDEX(VAT_Codes!$E:$E,MATCH($N1516,VAT_Codes!$A:$A,0)),"ANY")&lt;&gt;"ANY",$P1516&lt;&gt;IFERROR(INDEX(VAT_Codes!$E:$E,MATCH($N1516,VAT_Codes!$A:$A,0)),"ANY")),"REGION MISMATCH","OK")))))))</f>
        <v/>
      </c>
    </row>
    <row r="1517" customFormat="false" ht="15" hidden="false" customHeight="false" outlineLevel="0" collapsed="false">
      <c r="M1517" s="24" t="str">
        <f aca="false">IF($C1517="","",IFERROR(INDEX(Account_Mapping!$C:$C,MATCH($C1517&amp;"",Account_Mapping!$A:$A,0))&amp;"",""))</f>
        <v/>
      </c>
      <c r="N1517" s="24" t="str">
        <f aca="false">IF($K1517&lt;&gt;"",$K1517,$M1517)</f>
        <v/>
      </c>
      <c r="O1517" s="24" t="str">
        <f aca="false">IF($F1517="","",IFERROR(INDEX(Counterparties!$C:$C,MATCH($F1517&amp;"",Counterparties!$A:$A,0))&amp;"",""))</f>
        <v/>
      </c>
      <c r="P1517" s="24" t="str">
        <f aca="false">IF($O1517="","",IF($O1517="CY","CY",IF(ISNUMBER(MATCH($O1517,Lists!$A:$A,0)),"EU","3RD")))</f>
        <v/>
      </c>
      <c r="Q1517" s="24" t="str">
        <f aca="false">IF($F1517="","N",IFERROR(IF(INDEX(Counterparties!$E:$E,MATCH($F1517&amp;"",Counterparties!$A:$A,0))="Y","Y","N"),"N"))</f>
        <v>N</v>
      </c>
      <c r="R1517" s="25" t="n">
        <f aca="false">IF(OR($H1517="",$H1517="EUR"),1,IFERROR(INDEX(FX_Rates!$D:$D,MATCH($H1517,FX_Rates!$A:$A,0)),""))</f>
        <v>1</v>
      </c>
      <c r="S1517" s="26" t="str">
        <f aca="false">IF(AND($I1517="",$J1517=""),"",IF($J1517&lt;&gt;"",$J1517,IF(OR($R1517="",$R1517=0),"",ROUND($I1517/$R1517,2))))</f>
        <v/>
      </c>
      <c r="T1517" s="24" t="str">
        <f aca="false">IF($N1517="","",IFERROR(INDEX(VAT_Codes!$C:$C,MATCH($N1517,VAT_Codes!$A:$A,0)),"")&amp;"")</f>
        <v/>
      </c>
      <c r="U1517" s="26" t="n">
        <f aca="false">IF(OR($S1517="",$T1517="",$T1517="None"),0,IF($T1517="Output",-$S1517,$S1517))</f>
        <v>0</v>
      </c>
      <c r="V1517" s="27" t="n">
        <f aca="false">IF($N1517="",0,IFERROR(INDEX(VAT_Codes!$D:$D,MATCH($N1517,VAT_Codes!$A:$A,0)),0))</f>
        <v>0</v>
      </c>
      <c r="W1517" s="26" t="n">
        <f aca="false">IF($U1517=0,0,IF(IFERROR(INDEX(VAT_Codes!$F:$F,MATCH($N1517,VAT_Codes!$A:$A,0)),"N")="Y",$U1517,IF($L1517&lt;&gt;"",ROUND(ABS($L1517)/IF(OR($R1517="",$R1517=0),1,$R1517),2)*SIGN($U1517),ROUND($U1517*$V1517,2))))</f>
        <v>0</v>
      </c>
      <c r="X1517" s="24" t="str">
        <f aca="false">IF($N1517="","",IFERROR(INDEX(VAT_Codes!$H:$H,MATCH($N1517,VAT_Codes!$A:$A,0)),"")&amp;"")</f>
        <v/>
      </c>
      <c r="Y1517" s="24" t="str">
        <f aca="false">IF($A1517="","",(YEAR($A1517)-YEAR(Settings!$C$8))*12+MONTH($A1517)-MONTH(Settings!$C$8)+1)</f>
        <v/>
      </c>
      <c r="Z1517" s="24" t="str">
        <f aca="false">IF(AND($C1517="",$I1517="",$J1517=""),"",IF($N1517="","NO VAT CODE",IF($T1517="","UNKNOWN VAT CODE",IF($S1517="","MISSING FX RATE",IF(OR($A1517&lt;Settings!$C$8,$A1517&gt;Settings!$C$9),"OUTSIDE PERIOD",IF(AND(IFERROR(INDEX(VAT_Codes!$E:$E,MATCH($N1517,VAT_Codes!$A:$A,0)),"ANY")&lt;&gt;"ANY",$P1517=""),"MISSING COUNTERPARTY COUNTRY",IF(AND(IFERROR(INDEX(VAT_Codes!$E:$E,MATCH($N1517,VAT_Codes!$A:$A,0)),"ANY")&lt;&gt;"ANY",$P1517&lt;&gt;IFERROR(INDEX(VAT_Codes!$E:$E,MATCH($N1517,VAT_Codes!$A:$A,0)),"ANY")),"REGION MISMATCH","OK")))))))</f>
        <v/>
      </c>
    </row>
    <row r="1518" customFormat="false" ht="15" hidden="false" customHeight="false" outlineLevel="0" collapsed="false">
      <c r="M1518" s="24" t="str">
        <f aca="false">IF($C1518="","",IFERROR(INDEX(Account_Mapping!$C:$C,MATCH($C1518&amp;"",Account_Mapping!$A:$A,0))&amp;"",""))</f>
        <v/>
      </c>
      <c r="N1518" s="24" t="str">
        <f aca="false">IF($K1518&lt;&gt;"",$K1518,$M1518)</f>
        <v/>
      </c>
      <c r="O1518" s="24" t="str">
        <f aca="false">IF($F1518="","",IFERROR(INDEX(Counterparties!$C:$C,MATCH($F1518&amp;"",Counterparties!$A:$A,0))&amp;"",""))</f>
        <v/>
      </c>
      <c r="P1518" s="24" t="str">
        <f aca="false">IF($O1518="","",IF($O1518="CY","CY",IF(ISNUMBER(MATCH($O1518,Lists!$A:$A,0)),"EU","3RD")))</f>
        <v/>
      </c>
      <c r="Q1518" s="24" t="str">
        <f aca="false">IF($F1518="","N",IFERROR(IF(INDEX(Counterparties!$E:$E,MATCH($F1518&amp;"",Counterparties!$A:$A,0))="Y","Y","N"),"N"))</f>
        <v>N</v>
      </c>
      <c r="R1518" s="25" t="n">
        <f aca="false">IF(OR($H1518="",$H1518="EUR"),1,IFERROR(INDEX(FX_Rates!$D:$D,MATCH($H1518,FX_Rates!$A:$A,0)),""))</f>
        <v>1</v>
      </c>
      <c r="S1518" s="26" t="str">
        <f aca="false">IF(AND($I1518="",$J1518=""),"",IF($J1518&lt;&gt;"",$J1518,IF(OR($R1518="",$R1518=0),"",ROUND($I1518/$R1518,2))))</f>
        <v/>
      </c>
      <c r="T1518" s="24" t="str">
        <f aca="false">IF($N1518="","",IFERROR(INDEX(VAT_Codes!$C:$C,MATCH($N1518,VAT_Codes!$A:$A,0)),"")&amp;"")</f>
        <v/>
      </c>
      <c r="U1518" s="26" t="n">
        <f aca="false">IF(OR($S1518="",$T1518="",$T1518="None"),0,IF($T1518="Output",-$S1518,$S1518))</f>
        <v>0</v>
      </c>
      <c r="V1518" s="27" t="n">
        <f aca="false">IF($N1518="",0,IFERROR(INDEX(VAT_Codes!$D:$D,MATCH($N1518,VAT_Codes!$A:$A,0)),0))</f>
        <v>0</v>
      </c>
      <c r="W1518" s="26" t="n">
        <f aca="false">IF($U1518=0,0,IF(IFERROR(INDEX(VAT_Codes!$F:$F,MATCH($N1518,VAT_Codes!$A:$A,0)),"N")="Y",$U1518,IF($L1518&lt;&gt;"",ROUND(ABS($L1518)/IF(OR($R1518="",$R1518=0),1,$R1518),2)*SIGN($U1518),ROUND($U1518*$V1518,2))))</f>
        <v>0</v>
      </c>
      <c r="X1518" s="24" t="str">
        <f aca="false">IF($N1518="","",IFERROR(INDEX(VAT_Codes!$H:$H,MATCH($N1518,VAT_Codes!$A:$A,0)),"")&amp;"")</f>
        <v/>
      </c>
      <c r="Y1518" s="24" t="str">
        <f aca="false">IF($A1518="","",(YEAR($A1518)-YEAR(Settings!$C$8))*12+MONTH($A1518)-MONTH(Settings!$C$8)+1)</f>
        <v/>
      </c>
      <c r="Z1518" s="24" t="str">
        <f aca="false">IF(AND($C1518="",$I1518="",$J1518=""),"",IF($N1518="","NO VAT CODE",IF($T1518="","UNKNOWN VAT CODE",IF($S1518="","MISSING FX RATE",IF(OR($A1518&lt;Settings!$C$8,$A1518&gt;Settings!$C$9),"OUTSIDE PERIOD",IF(AND(IFERROR(INDEX(VAT_Codes!$E:$E,MATCH($N1518,VAT_Codes!$A:$A,0)),"ANY")&lt;&gt;"ANY",$P1518=""),"MISSING COUNTERPARTY COUNTRY",IF(AND(IFERROR(INDEX(VAT_Codes!$E:$E,MATCH($N1518,VAT_Codes!$A:$A,0)),"ANY")&lt;&gt;"ANY",$P1518&lt;&gt;IFERROR(INDEX(VAT_Codes!$E:$E,MATCH($N1518,VAT_Codes!$A:$A,0)),"ANY")),"REGION MISMATCH","OK")))))))</f>
        <v/>
      </c>
    </row>
    <row r="1519" customFormat="false" ht="15" hidden="false" customHeight="false" outlineLevel="0" collapsed="false">
      <c r="M1519" s="24" t="str">
        <f aca="false">IF($C1519="","",IFERROR(INDEX(Account_Mapping!$C:$C,MATCH($C1519&amp;"",Account_Mapping!$A:$A,0))&amp;"",""))</f>
        <v/>
      </c>
      <c r="N1519" s="24" t="str">
        <f aca="false">IF($K1519&lt;&gt;"",$K1519,$M1519)</f>
        <v/>
      </c>
      <c r="O1519" s="24" t="str">
        <f aca="false">IF($F1519="","",IFERROR(INDEX(Counterparties!$C:$C,MATCH($F1519&amp;"",Counterparties!$A:$A,0))&amp;"",""))</f>
        <v/>
      </c>
      <c r="P1519" s="24" t="str">
        <f aca="false">IF($O1519="","",IF($O1519="CY","CY",IF(ISNUMBER(MATCH($O1519,Lists!$A:$A,0)),"EU","3RD")))</f>
        <v/>
      </c>
      <c r="Q1519" s="24" t="str">
        <f aca="false">IF($F1519="","N",IFERROR(IF(INDEX(Counterparties!$E:$E,MATCH($F1519&amp;"",Counterparties!$A:$A,0))="Y","Y","N"),"N"))</f>
        <v>N</v>
      </c>
      <c r="R1519" s="25" t="n">
        <f aca="false">IF(OR($H1519="",$H1519="EUR"),1,IFERROR(INDEX(FX_Rates!$D:$D,MATCH($H1519,FX_Rates!$A:$A,0)),""))</f>
        <v>1</v>
      </c>
      <c r="S1519" s="26" t="str">
        <f aca="false">IF(AND($I1519="",$J1519=""),"",IF($J1519&lt;&gt;"",$J1519,IF(OR($R1519="",$R1519=0),"",ROUND($I1519/$R1519,2))))</f>
        <v/>
      </c>
      <c r="T1519" s="24" t="str">
        <f aca="false">IF($N1519="","",IFERROR(INDEX(VAT_Codes!$C:$C,MATCH($N1519,VAT_Codes!$A:$A,0)),"")&amp;"")</f>
        <v/>
      </c>
      <c r="U1519" s="26" t="n">
        <f aca="false">IF(OR($S1519="",$T1519="",$T1519="None"),0,IF($T1519="Output",-$S1519,$S1519))</f>
        <v>0</v>
      </c>
      <c r="V1519" s="27" t="n">
        <f aca="false">IF($N1519="",0,IFERROR(INDEX(VAT_Codes!$D:$D,MATCH($N1519,VAT_Codes!$A:$A,0)),0))</f>
        <v>0</v>
      </c>
      <c r="W1519" s="26" t="n">
        <f aca="false">IF($U1519=0,0,IF(IFERROR(INDEX(VAT_Codes!$F:$F,MATCH($N1519,VAT_Codes!$A:$A,0)),"N")="Y",$U1519,IF($L1519&lt;&gt;"",ROUND(ABS($L1519)/IF(OR($R1519="",$R1519=0),1,$R1519),2)*SIGN($U1519),ROUND($U1519*$V1519,2))))</f>
        <v>0</v>
      </c>
      <c r="X1519" s="24" t="str">
        <f aca="false">IF($N1519="","",IFERROR(INDEX(VAT_Codes!$H:$H,MATCH($N1519,VAT_Codes!$A:$A,0)),"")&amp;"")</f>
        <v/>
      </c>
      <c r="Y1519" s="24" t="str">
        <f aca="false">IF($A1519="","",(YEAR($A1519)-YEAR(Settings!$C$8))*12+MONTH($A1519)-MONTH(Settings!$C$8)+1)</f>
        <v/>
      </c>
      <c r="Z1519" s="24" t="str">
        <f aca="false">IF(AND($C1519="",$I1519="",$J1519=""),"",IF($N1519="","NO VAT CODE",IF($T1519="","UNKNOWN VAT CODE",IF($S1519="","MISSING FX RATE",IF(OR($A1519&lt;Settings!$C$8,$A1519&gt;Settings!$C$9),"OUTSIDE PERIOD",IF(AND(IFERROR(INDEX(VAT_Codes!$E:$E,MATCH($N1519,VAT_Codes!$A:$A,0)),"ANY")&lt;&gt;"ANY",$P1519=""),"MISSING COUNTERPARTY COUNTRY",IF(AND(IFERROR(INDEX(VAT_Codes!$E:$E,MATCH($N1519,VAT_Codes!$A:$A,0)),"ANY")&lt;&gt;"ANY",$P1519&lt;&gt;IFERROR(INDEX(VAT_Codes!$E:$E,MATCH($N1519,VAT_Codes!$A:$A,0)),"ANY")),"REGION MISMATCH","OK")))))))</f>
        <v/>
      </c>
    </row>
    <row r="1520" customFormat="false" ht="15" hidden="false" customHeight="false" outlineLevel="0" collapsed="false">
      <c r="M1520" s="24" t="str">
        <f aca="false">IF($C1520="","",IFERROR(INDEX(Account_Mapping!$C:$C,MATCH($C1520&amp;"",Account_Mapping!$A:$A,0))&amp;"",""))</f>
        <v/>
      </c>
      <c r="N1520" s="24" t="str">
        <f aca="false">IF($K1520&lt;&gt;"",$K1520,$M1520)</f>
        <v/>
      </c>
      <c r="O1520" s="24" t="str">
        <f aca="false">IF($F1520="","",IFERROR(INDEX(Counterparties!$C:$C,MATCH($F1520&amp;"",Counterparties!$A:$A,0))&amp;"",""))</f>
        <v/>
      </c>
      <c r="P1520" s="24" t="str">
        <f aca="false">IF($O1520="","",IF($O1520="CY","CY",IF(ISNUMBER(MATCH($O1520,Lists!$A:$A,0)),"EU","3RD")))</f>
        <v/>
      </c>
      <c r="Q1520" s="24" t="str">
        <f aca="false">IF($F1520="","N",IFERROR(IF(INDEX(Counterparties!$E:$E,MATCH($F1520&amp;"",Counterparties!$A:$A,0))="Y","Y","N"),"N"))</f>
        <v>N</v>
      </c>
      <c r="R1520" s="25" t="n">
        <f aca="false">IF(OR($H1520="",$H1520="EUR"),1,IFERROR(INDEX(FX_Rates!$D:$D,MATCH($H1520,FX_Rates!$A:$A,0)),""))</f>
        <v>1</v>
      </c>
      <c r="S1520" s="26" t="str">
        <f aca="false">IF(AND($I1520="",$J1520=""),"",IF($J1520&lt;&gt;"",$J1520,IF(OR($R1520="",$R1520=0),"",ROUND($I1520/$R1520,2))))</f>
        <v/>
      </c>
      <c r="T1520" s="24" t="str">
        <f aca="false">IF($N1520="","",IFERROR(INDEX(VAT_Codes!$C:$C,MATCH($N1520,VAT_Codes!$A:$A,0)),"")&amp;"")</f>
        <v/>
      </c>
      <c r="U1520" s="26" t="n">
        <f aca="false">IF(OR($S1520="",$T1520="",$T1520="None"),0,IF($T1520="Output",-$S1520,$S1520))</f>
        <v>0</v>
      </c>
      <c r="V1520" s="27" t="n">
        <f aca="false">IF($N1520="",0,IFERROR(INDEX(VAT_Codes!$D:$D,MATCH($N1520,VAT_Codes!$A:$A,0)),0))</f>
        <v>0</v>
      </c>
      <c r="W1520" s="26" t="n">
        <f aca="false">IF($U1520=0,0,IF(IFERROR(INDEX(VAT_Codes!$F:$F,MATCH($N1520,VAT_Codes!$A:$A,0)),"N")="Y",$U1520,IF($L1520&lt;&gt;"",ROUND(ABS($L1520)/IF(OR($R1520="",$R1520=0),1,$R1520),2)*SIGN($U1520),ROUND($U1520*$V1520,2))))</f>
        <v>0</v>
      </c>
      <c r="X1520" s="24" t="str">
        <f aca="false">IF($N1520="","",IFERROR(INDEX(VAT_Codes!$H:$H,MATCH($N1520,VAT_Codes!$A:$A,0)),"")&amp;"")</f>
        <v/>
      </c>
      <c r="Y1520" s="24" t="str">
        <f aca="false">IF($A1520="","",(YEAR($A1520)-YEAR(Settings!$C$8))*12+MONTH($A1520)-MONTH(Settings!$C$8)+1)</f>
        <v/>
      </c>
      <c r="Z1520" s="24" t="str">
        <f aca="false">IF(AND($C1520="",$I1520="",$J1520=""),"",IF($N1520="","NO VAT CODE",IF($T1520="","UNKNOWN VAT CODE",IF($S1520="","MISSING FX RATE",IF(OR($A1520&lt;Settings!$C$8,$A1520&gt;Settings!$C$9),"OUTSIDE PERIOD",IF(AND(IFERROR(INDEX(VAT_Codes!$E:$E,MATCH($N1520,VAT_Codes!$A:$A,0)),"ANY")&lt;&gt;"ANY",$P1520=""),"MISSING COUNTERPARTY COUNTRY",IF(AND(IFERROR(INDEX(VAT_Codes!$E:$E,MATCH($N1520,VAT_Codes!$A:$A,0)),"ANY")&lt;&gt;"ANY",$P1520&lt;&gt;IFERROR(INDEX(VAT_Codes!$E:$E,MATCH($N1520,VAT_Codes!$A:$A,0)),"ANY")),"REGION MISMATCH","OK")))))))</f>
        <v/>
      </c>
    </row>
    <row r="1521" customFormat="false" ht="15" hidden="false" customHeight="false" outlineLevel="0" collapsed="false">
      <c r="M1521" s="24" t="str">
        <f aca="false">IF($C1521="","",IFERROR(INDEX(Account_Mapping!$C:$C,MATCH($C1521&amp;"",Account_Mapping!$A:$A,0))&amp;"",""))</f>
        <v/>
      </c>
      <c r="N1521" s="24" t="str">
        <f aca="false">IF($K1521&lt;&gt;"",$K1521,$M1521)</f>
        <v/>
      </c>
      <c r="O1521" s="24" t="str">
        <f aca="false">IF($F1521="","",IFERROR(INDEX(Counterparties!$C:$C,MATCH($F1521&amp;"",Counterparties!$A:$A,0))&amp;"",""))</f>
        <v/>
      </c>
      <c r="P1521" s="24" t="str">
        <f aca="false">IF($O1521="","",IF($O1521="CY","CY",IF(ISNUMBER(MATCH($O1521,Lists!$A:$A,0)),"EU","3RD")))</f>
        <v/>
      </c>
      <c r="Q1521" s="24" t="str">
        <f aca="false">IF($F1521="","N",IFERROR(IF(INDEX(Counterparties!$E:$E,MATCH($F1521&amp;"",Counterparties!$A:$A,0))="Y","Y","N"),"N"))</f>
        <v>N</v>
      </c>
      <c r="R1521" s="25" t="n">
        <f aca="false">IF(OR($H1521="",$H1521="EUR"),1,IFERROR(INDEX(FX_Rates!$D:$D,MATCH($H1521,FX_Rates!$A:$A,0)),""))</f>
        <v>1</v>
      </c>
      <c r="S1521" s="26" t="str">
        <f aca="false">IF(AND($I1521="",$J1521=""),"",IF($J1521&lt;&gt;"",$J1521,IF(OR($R1521="",$R1521=0),"",ROUND($I1521/$R1521,2))))</f>
        <v/>
      </c>
      <c r="T1521" s="24" t="str">
        <f aca="false">IF($N1521="","",IFERROR(INDEX(VAT_Codes!$C:$C,MATCH($N1521,VAT_Codes!$A:$A,0)),"")&amp;"")</f>
        <v/>
      </c>
      <c r="U1521" s="26" t="n">
        <f aca="false">IF(OR($S1521="",$T1521="",$T1521="None"),0,IF($T1521="Output",-$S1521,$S1521))</f>
        <v>0</v>
      </c>
      <c r="V1521" s="27" t="n">
        <f aca="false">IF($N1521="",0,IFERROR(INDEX(VAT_Codes!$D:$D,MATCH($N1521,VAT_Codes!$A:$A,0)),0))</f>
        <v>0</v>
      </c>
      <c r="W1521" s="26" t="n">
        <f aca="false">IF($U1521=0,0,IF(IFERROR(INDEX(VAT_Codes!$F:$F,MATCH($N1521,VAT_Codes!$A:$A,0)),"N")="Y",$U1521,IF($L1521&lt;&gt;"",ROUND(ABS($L1521)/IF(OR($R1521="",$R1521=0),1,$R1521),2)*SIGN($U1521),ROUND($U1521*$V1521,2))))</f>
        <v>0</v>
      </c>
      <c r="X1521" s="24" t="str">
        <f aca="false">IF($N1521="","",IFERROR(INDEX(VAT_Codes!$H:$H,MATCH($N1521,VAT_Codes!$A:$A,0)),"")&amp;"")</f>
        <v/>
      </c>
      <c r="Y1521" s="24" t="str">
        <f aca="false">IF($A1521="","",(YEAR($A1521)-YEAR(Settings!$C$8))*12+MONTH($A1521)-MONTH(Settings!$C$8)+1)</f>
        <v/>
      </c>
      <c r="Z1521" s="24" t="str">
        <f aca="false">IF(AND($C1521="",$I1521="",$J1521=""),"",IF($N1521="","NO VAT CODE",IF($T1521="","UNKNOWN VAT CODE",IF($S1521="","MISSING FX RATE",IF(OR($A1521&lt;Settings!$C$8,$A1521&gt;Settings!$C$9),"OUTSIDE PERIOD",IF(AND(IFERROR(INDEX(VAT_Codes!$E:$E,MATCH($N1521,VAT_Codes!$A:$A,0)),"ANY")&lt;&gt;"ANY",$P1521=""),"MISSING COUNTERPARTY COUNTRY",IF(AND(IFERROR(INDEX(VAT_Codes!$E:$E,MATCH($N1521,VAT_Codes!$A:$A,0)),"ANY")&lt;&gt;"ANY",$P1521&lt;&gt;IFERROR(INDEX(VAT_Codes!$E:$E,MATCH($N1521,VAT_Codes!$A:$A,0)),"ANY")),"REGION MISMATCH","OK")))))))</f>
        <v/>
      </c>
    </row>
    <row r="1522" customFormat="false" ht="15" hidden="false" customHeight="false" outlineLevel="0" collapsed="false">
      <c r="M1522" s="24" t="str">
        <f aca="false">IF($C1522="","",IFERROR(INDEX(Account_Mapping!$C:$C,MATCH($C1522&amp;"",Account_Mapping!$A:$A,0))&amp;"",""))</f>
        <v/>
      </c>
      <c r="N1522" s="24" t="str">
        <f aca="false">IF($K1522&lt;&gt;"",$K1522,$M1522)</f>
        <v/>
      </c>
      <c r="O1522" s="24" t="str">
        <f aca="false">IF($F1522="","",IFERROR(INDEX(Counterparties!$C:$C,MATCH($F1522&amp;"",Counterparties!$A:$A,0))&amp;"",""))</f>
        <v/>
      </c>
      <c r="P1522" s="24" t="str">
        <f aca="false">IF($O1522="","",IF($O1522="CY","CY",IF(ISNUMBER(MATCH($O1522,Lists!$A:$A,0)),"EU","3RD")))</f>
        <v/>
      </c>
      <c r="Q1522" s="24" t="str">
        <f aca="false">IF($F1522="","N",IFERROR(IF(INDEX(Counterparties!$E:$E,MATCH($F1522&amp;"",Counterparties!$A:$A,0))="Y","Y","N"),"N"))</f>
        <v>N</v>
      </c>
      <c r="R1522" s="25" t="n">
        <f aca="false">IF(OR($H1522="",$H1522="EUR"),1,IFERROR(INDEX(FX_Rates!$D:$D,MATCH($H1522,FX_Rates!$A:$A,0)),""))</f>
        <v>1</v>
      </c>
      <c r="S1522" s="26" t="str">
        <f aca="false">IF(AND($I1522="",$J1522=""),"",IF($J1522&lt;&gt;"",$J1522,IF(OR($R1522="",$R1522=0),"",ROUND($I1522/$R1522,2))))</f>
        <v/>
      </c>
      <c r="T1522" s="24" t="str">
        <f aca="false">IF($N1522="","",IFERROR(INDEX(VAT_Codes!$C:$C,MATCH($N1522,VAT_Codes!$A:$A,0)),"")&amp;"")</f>
        <v/>
      </c>
      <c r="U1522" s="26" t="n">
        <f aca="false">IF(OR($S1522="",$T1522="",$T1522="None"),0,IF($T1522="Output",-$S1522,$S1522))</f>
        <v>0</v>
      </c>
      <c r="V1522" s="27" t="n">
        <f aca="false">IF($N1522="",0,IFERROR(INDEX(VAT_Codes!$D:$D,MATCH($N1522,VAT_Codes!$A:$A,0)),0))</f>
        <v>0</v>
      </c>
      <c r="W1522" s="26" t="n">
        <f aca="false">IF($U1522=0,0,IF(IFERROR(INDEX(VAT_Codes!$F:$F,MATCH($N1522,VAT_Codes!$A:$A,0)),"N")="Y",$U1522,IF($L1522&lt;&gt;"",ROUND(ABS($L1522)/IF(OR($R1522="",$R1522=0),1,$R1522),2)*SIGN($U1522),ROUND($U1522*$V1522,2))))</f>
        <v>0</v>
      </c>
      <c r="X1522" s="24" t="str">
        <f aca="false">IF($N1522="","",IFERROR(INDEX(VAT_Codes!$H:$H,MATCH($N1522,VAT_Codes!$A:$A,0)),"")&amp;"")</f>
        <v/>
      </c>
      <c r="Y1522" s="24" t="str">
        <f aca="false">IF($A1522="","",(YEAR($A1522)-YEAR(Settings!$C$8))*12+MONTH($A1522)-MONTH(Settings!$C$8)+1)</f>
        <v/>
      </c>
      <c r="Z1522" s="24" t="str">
        <f aca="false">IF(AND($C1522="",$I1522="",$J1522=""),"",IF($N1522="","NO VAT CODE",IF($T1522="","UNKNOWN VAT CODE",IF($S1522="","MISSING FX RATE",IF(OR($A1522&lt;Settings!$C$8,$A1522&gt;Settings!$C$9),"OUTSIDE PERIOD",IF(AND(IFERROR(INDEX(VAT_Codes!$E:$E,MATCH($N1522,VAT_Codes!$A:$A,0)),"ANY")&lt;&gt;"ANY",$P1522=""),"MISSING COUNTERPARTY COUNTRY",IF(AND(IFERROR(INDEX(VAT_Codes!$E:$E,MATCH($N1522,VAT_Codes!$A:$A,0)),"ANY")&lt;&gt;"ANY",$P1522&lt;&gt;IFERROR(INDEX(VAT_Codes!$E:$E,MATCH($N1522,VAT_Codes!$A:$A,0)),"ANY")),"REGION MISMATCH","OK")))))))</f>
        <v/>
      </c>
    </row>
    <row r="1523" customFormat="false" ht="15" hidden="false" customHeight="false" outlineLevel="0" collapsed="false">
      <c r="M1523" s="24" t="str">
        <f aca="false">IF($C1523="","",IFERROR(INDEX(Account_Mapping!$C:$C,MATCH($C1523&amp;"",Account_Mapping!$A:$A,0))&amp;"",""))</f>
        <v/>
      </c>
      <c r="N1523" s="24" t="str">
        <f aca="false">IF($K1523&lt;&gt;"",$K1523,$M1523)</f>
        <v/>
      </c>
      <c r="O1523" s="24" t="str">
        <f aca="false">IF($F1523="","",IFERROR(INDEX(Counterparties!$C:$C,MATCH($F1523&amp;"",Counterparties!$A:$A,0))&amp;"",""))</f>
        <v/>
      </c>
      <c r="P1523" s="24" t="str">
        <f aca="false">IF($O1523="","",IF($O1523="CY","CY",IF(ISNUMBER(MATCH($O1523,Lists!$A:$A,0)),"EU","3RD")))</f>
        <v/>
      </c>
      <c r="Q1523" s="24" t="str">
        <f aca="false">IF($F1523="","N",IFERROR(IF(INDEX(Counterparties!$E:$E,MATCH($F1523&amp;"",Counterparties!$A:$A,0))="Y","Y","N"),"N"))</f>
        <v>N</v>
      </c>
      <c r="R1523" s="25" t="n">
        <f aca="false">IF(OR($H1523="",$H1523="EUR"),1,IFERROR(INDEX(FX_Rates!$D:$D,MATCH($H1523,FX_Rates!$A:$A,0)),""))</f>
        <v>1</v>
      </c>
      <c r="S1523" s="26" t="str">
        <f aca="false">IF(AND($I1523="",$J1523=""),"",IF($J1523&lt;&gt;"",$J1523,IF(OR($R1523="",$R1523=0),"",ROUND($I1523/$R1523,2))))</f>
        <v/>
      </c>
      <c r="T1523" s="24" t="str">
        <f aca="false">IF($N1523="","",IFERROR(INDEX(VAT_Codes!$C:$C,MATCH($N1523,VAT_Codes!$A:$A,0)),"")&amp;"")</f>
        <v/>
      </c>
      <c r="U1523" s="26" t="n">
        <f aca="false">IF(OR($S1523="",$T1523="",$T1523="None"),0,IF($T1523="Output",-$S1523,$S1523))</f>
        <v>0</v>
      </c>
      <c r="V1523" s="27" t="n">
        <f aca="false">IF($N1523="",0,IFERROR(INDEX(VAT_Codes!$D:$D,MATCH($N1523,VAT_Codes!$A:$A,0)),0))</f>
        <v>0</v>
      </c>
      <c r="W1523" s="26" t="n">
        <f aca="false">IF($U1523=0,0,IF(IFERROR(INDEX(VAT_Codes!$F:$F,MATCH($N1523,VAT_Codes!$A:$A,0)),"N")="Y",$U1523,IF($L1523&lt;&gt;"",ROUND(ABS($L1523)/IF(OR($R1523="",$R1523=0),1,$R1523),2)*SIGN($U1523),ROUND($U1523*$V1523,2))))</f>
        <v>0</v>
      </c>
      <c r="X1523" s="24" t="str">
        <f aca="false">IF($N1523="","",IFERROR(INDEX(VAT_Codes!$H:$H,MATCH($N1523,VAT_Codes!$A:$A,0)),"")&amp;"")</f>
        <v/>
      </c>
      <c r="Y1523" s="24" t="str">
        <f aca="false">IF($A1523="","",(YEAR($A1523)-YEAR(Settings!$C$8))*12+MONTH($A1523)-MONTH(Settings!$C$8)+1)</f>
        <v/>
      </c>
      <c r="Z1523" s="24" t="str">
        <f aca="false">IF(AND($C1523="",$I1523="",$J1523=""),"",IF($N1523="","NO VAT CODE",IF($T1523="","UNKNOWN VAT CODE",IF($S1523="","MISSING FX RATE",IF(OR($A1523&lt;Settings!$C$8,$A1523&gt;Settings!$C$9),"OUTSIDE PERIOD",IF(AND(IFERROR(INDEX(VAT_Codes!$E:$E,MATCH($N1523,VAT_Codes!$A:$A,0)),"ANY")&lt;&gt;"ANY",$P1523=""),"MISSING COUNTERPARTY COUNTRY",IF(AND(IFERROR(INDEX(VAT_Codes!$E:$E,MATCH($N1523,VAT_Codes!$A:$A,0)),"ANY")&lt;&gt;"ANY",$P1523&lt;&gt;IFERROR(INDEX(VAT_Codes!$E:$E,MATCH($N1523,VAT_Codes!$A:$A,0)),"ANY")),"REGION MISMATCH","OK")))))))</f>
        <v/>
      </c>
    </row>
    <row r="1524" customFormat="false" ht="15" hidden="false" customHeight="false" outlineLevel="0" collapsed="false">
      <c r="M1524" s="24" t="str">
        <f aca="false">IF($C1524="","",IFERROR(INDEX(Account_Mapping!$C:$C,MATCH($C1524&amp;"",Account_Mapping!$A:$A,0))&amp;"",""))</f>
        <v/>
      </c>
      <c r="N1524" s="24" t="str">
        <f aca="false">IF($K1524&lt;&gt;"",$K1524,$M1524)</f>
        <v/>
      </c>
      <c r="O1524" s="24" t="str">
        <f aca="false">IF($F1524="","",IFERROR(INDEX(Counterparties!$C:$C,MATCH($F1524&amp;"",Counterparties!$A:$A,0))&amp;"",""))</f>
        <v/>
      </c>
      <c r="P1524" s="24" t="str">
        <f aca="false">IF($O1524="","",IF($O1524="CY","CY",IF(ISNUMBER(MATCH($O1524,Lists!$A:$A,0)),"EU","3RD")))</f>
        <v/>
      </c>
      <c r="Q1524" s="24" t="str">
        <f aca="false">IF($F1524="","N",IFERROR(IF(INDEX(Counterparties!$E:$E,MATCH($F1524&amp;"",Counterparties!$A:$A,0))="Y","Y","N"),"N"))</f>
        <v>N</v>
      </c>
      <c r="R1524" s="25" t="n">
        <f aca="false">IF(OR($H1524="",$H1524="EUR"),1,IFERROR(INDEX(FX_Rates!$D:$D,MATCH($H1524,FX_Rates!$A:$A,0)),""))</f>
        <v>1</v>
      </c>
      <c r="S1524" s="26" t="str">
        <f aca="false">IF(AND($I1524="",$J1524=""),"",IF($J1524&lt;&gt;"",$J1524,IF(OR($R1524="",$R1524=0),"",ROUND($I1524/$R1524,2))))</f>
        <v/>
      </c>
      <c r="T1524" s="24" t="str">
        <f aca="false">IF($N1524="","",IFERROR(INDEX(VAT_Codes!$C:$C,MATCH($N1524,VAT_Codes!$A:$A,0)),"")&amp;"")</f>
        <v/>
      </c>
      <c r="U1524" s="26" t="n">
        <f aca="false">IF(OR($S1524="",$T1524="",$T1524="None"),0,IF($T1524="Output",-$S1524,$S1524))</f>
        <v>0</v>
      </c>
      <c r="V1524" s="27" t="n">
        <f aca="false">IF($N1524="",0,IFERROR(INDEX(VAT_Codes!$D:$D,MATCH($N1524,VAT_Codes!$A:$A,0)),0))</f>
        <v>0</v>
      </c>
      <c r="W1524" s="26" t="n">
        <f aca="false">IF($U1524=0,0,IF(IFERROR(INDEX(VAT_Codes!$F:$F,MATCH($N1524,VAT_Codes!$A:$A,0)),"N")="Y",$U1524,IF($L1524&lt;&gt;"",ROUND(ABS($L1524)/IF(OR($R1524="",$R1524=0),1,$R1524),2)*SIGN($U1524),ROUND($U1524*$V1524,2))))</f>
        <v>0</v>
      </c>
      <c r="X1524" s="24" t="str">
        <f aca="false">IF($N1524="","",IFERROR(INDEX(VAT_Codes!$H:$H,MATCH($N1524,VAT_Codes!$A:$A,0)),"")&amp;"")</f>
        <v/>
      </c>
      <c r="Y1524" s="24" t="str">
        <f aca="false">IF($A1524="","",(YEAR($A1524)-YEAR(Settings!$C$8))*12+MONTH($A1524)-MONTH(Settings!$C$8)+1)</f>
        <v/>
      </c>
      <c r="Z1524" s="24" t="str">
        <f aca="false">IF(AND($C1524="",$I1524="",$J1524=""),"",IF($N1524="","NO VAT CODE",IF($T1524="","UNKNOWN VAT CODE",IF($S1524="","MISSING FX RATE",IF(OR($A1524&lt;Settings!$C$8,$A1524&gt;Settings!$C$9),"OUTSIDE PERIOD",IF(AND(IFERROR(INDEX(VAT_Codes!$E:$E,MATCH($N1524,VAT_Codes!$A:$A,0)),"ANY")&lt;&gt;"ANY",$P1524=""),"MISSING COUNTERPARTY COUNTRY",IF(AND(IFERROR(INDEX(VAT_Codes!$E:$E,MATCH($N1524,VAT_Codes!$A:$A,0)),"ANY")&lt;&gt;"ANY",$P1524&lt;&gt;IFERROR(INDEX(VAT_Codes!$E:$E,MATCH($N1524,VAT_Codes!$A:$A,0)),"ANY")),"REGION MISMATCH","OK")))))))</f>
        <v/>
      </c>
    </row>
    <row r="1525" customFormat="false" ht="15" hidden="false" customHeight="false" outlineLevel="0" collapsed="false">
      <c r="M1525" s="24" t="str">
        <f aca="false">IF($C1525="","",IFERROR(INDEX(Account_Mapping!$C:$C,MATCH($C1525&amp;"",Account_Mapping!$A:$A,0))&amp;"",""))</f>
        <v/>
      </c>
      <c r="N1525" s="24" t="str">
        <f aca="false">IF($K1525&lt;&gt;"",$K1525,$M1525)</f>
        <v/>
      </c>
      <c r="O1525" s="24" t="str">
        <f aca="false">IF($F1525="","",IFERROR(INDEX(Counterparties!$C:$C,MATCH($F1525&amp;"",Counterparties!$A:$A,0))&amp;"",""))</f>
        <v/>
      </c>
      <c r="P1525" s="24" t="str">
        <f aca="false">IF($O1525="","",IF($O1525="CY","CY",IF(ISNUMBER(MATCH($O1525,Lists!$A:$A,0)),"EU","3RD")))</f>
        <v/>
      </c>
      <c r="Q1525" s="24" t="str">
        <f aca="false">IF($F1525="","N",IFERROR(IF(INDEX(Counterparties!$E:$E,MATCH($F1525&amp;"",Counterparties!$A:$A,0))="Y","Y","N"),"N"))</f>
        <v>N</v>
      </c>
      <c r="R1525" s="25" t="n">
        <f aca="false">IF(OR($H1525="",$H1525="EUR"),1,IFERROR(INDEX(FX_Rates!$D:$D,MATCH($H1525,FX_Rates!$A:$A,0)),""))</f>
        <v>1</v>
      </c>
      <c r="S1525" s="26" t="str">
        <f aca="false">IF(AND($I1525="",$J1525=""),"",IF($J1525&lt;&gt;"",$J1525,IF(OR($R1525="",$R1525=0),"",ROUND($I1525/$R1525,2))))</f>
        <v/>
      </c>
      <c r="T1525" s="24" t="str">
        <f aca="false">IF($N1525="","",IFERROR(INDEX(VAT_Codes!$C:$C,MATCH($N1525,VAT_Codes!$A:$A,0)),"")&amp;"")</f>
        <v/>
      </c>
      <c r="U1525" s="26" t="n">
        <f aca="false">IF(OR($S1525="",$T1525="",$T1525="None"),0,IF($T1525="Output",-$S1525,$S1525))</f>
        <v>0</v>
      </c>
      <c r="V1525" s="27" t="n">
        <f aca="false">IF($N1525="",0,IFERROR(INDEX(VAT_Codes!$D:$D,MATCH($N1525,VAT_Codes!$A:$A,0)),0))</f>
        <v>0</v>
      </c>
      <c r="W1525" s="26" t="n">
        <f aca="false">IF($U1525=0,0,IF(IFERROR(INDEX(VAT_Codes!$F:$F,MATCH($N1525,VAT_Codes!$A:$A,0)),"N")="Y",$U1525,IF($L1525&lt;&gt;"",ROUND(ABS($L1525)/IF(OR($R1525="",$R1525=0),1,$R1525),2)*SIGN($U1525),ROUND($U1525*$V1525,2))))</f>
        <v>0</v>
      </c>
      <c r="X1525" s="24" t="str">
        <f aca="false">IF($N1525="","",IFERROR(INDEX(VAT_Codes!$H:$H,MATCH($N1525,VAT_Codes!$A:$A,0)),"")&amp;"")</f>
        <v/>
      </c>
      <c r="Y1525" s="24" t="str">
        <f aca="false">IF($A1525="","",(YEAR($A1525)-YEAR(Settings!$C$8))*12+MONTH($A1525)-MONTH(Settings!$C$8)+1)</f>
        <v/>
      </c>
      <c r="Z1525" s="24" t="str">
        <f aca="false">IF(AND($C1525="",$I1525="",$J1525=""),"",IF($N1525="","NO VAT CODE",IF($T1525="","UNKNOWN VAT CODE",IF($S1525="","MISSING FX RATE",IF(OR($A1525&lt;Settings!$C$8,$A1525&gt;Settings!$C$9),"OUTSIDE PERIOD",IF(AND(IFERROR(INDEX(VAT_Codes!$E:$E,MATCH($N1525,VAT_Codes!$A:$A,0)),"ANY")&lt;&gt;"ANY",$P1525=""),"MISSING COUNTERPARTY COUNTRY",IF(AND(IFERROR(INDEX(VAT_Codes!$E:$E,MATCH($N1525,VAT_Codes!$A:$A,0)),"ANY")&lt;&gt;"ANY",$P1525&lt;&gt;IFERROR(INDEX(VAT_Codes!$E:$E,MATCH($N1525,VAT_Codes!$A:$A,0)),"ANY")),"REGION MISMATCH","OK")))))))</f>
        <v/>
      </c>
    </row>
    <row r="1526" customFormat="false" ht="15" hidden="false" customHeight="false" outlineLevel="0" collapsed="false">
      <c r="M1526" s="24" t="str">
        <f aca="false">IF($C1526="","",IFERROR(INDEX(Account_Mapping!$C:$C,MATCH($C1526&amp;"",Account_Mapping!$A:$A,0))&amp;"",""))</f>
        <v/>
      </c>
      <c r="N1526" s="24" t="str">
        <f aca="false">IF($K1526&lt;&gt;"",$K1526,$M1526)</f>
        <v/>
      </c>
      <c r="O1526" s="24" t="str">
        <f aca="false">IF($F1526="","",IFERROR(INDEX(Counterparties!$C:$C,MATCH($F1526&amp;"",Counterparties!$A:$A,0))&amp;"",""))</f>
        <v/>
      </c>
      <c r="P1526" s="24" t="str">
        <f aca="false">IF($O1526="","",IF($O1526="CY","CY",IF(ISNUMBER(MATCH($O1526,Lists!$A:$A,0)),"EU","3RD")))</f>
        <v/>
      </c>
      <c r="Q1526" s="24" t="str">
        <f aca="false">IF($F1526="","N",IFERROR(IF(INDEX(Counterparties!$E:$E,MATCH($F1526&amp;"",Counterparties!$A:$A,0))="Y","Y","N"),"N"))</f>
        <v>N</v>
      </c>
      <c r="R1526" s="25" t="n">
        <f aca="false">IF(OR($H1526="",$H1526="EUR"),1,IFERROR(INDEX(FX_Rates!$D:$D,MATCH($H1526,FX_Rates!$A:$A,0)),""))</f>
        <v>1</v>
      </c>
      <c r="S1526" s="26" t="str">
        <f aca="false">IF(AND($I1526="",$J1526=""),"",IF($J1526&lt;&gt;"",$J1526,IF(OR($R1526="",$R1526=0),"",ROUND($I1526/$R1526,2))))</f>
        <v/>
      </c>
      <c r="T1526" s="24" t="str">
        <f aca="false">IF($N1526="","",IFERROR(INDEX(VAT_Codes!$C:$C,MATCH($N1526,VAT_Codes!$A:$A,0)),"")&amp;"")</f>
        <v/>
      </c>
      <c r="U1526" s="26" t="n">
        <f aca="false">IF(OR($S1526="",$T1526="",$T1526="None"),0,IF($T1526="Output",-$S1526,$S1526))</f>
        <v>0</v>
      </c>
      <c r="V1526" s="27" t="n">
        <f aca="false">IF($N1526="",0,IFERROR(INDEX(VAT_Codes!$D:$D,MATCH($N1526,VAT_Codes!$A:$A,0)),0))</f>
        <v>0</v>
      </c>
      <c r="W1526" s="26" t="n">
        <f aca="false">IF($U1526=0,0,IF(IFERROR(INDEX(VAT_Codes!$F:$F,MATCH($N1526,VAT_Codes!$A:$A,0)),"N")="Y",$U1526,IF($L1526&lt;&gt;"",ROUND(ABS($L1526)/IF(OR($R1526="",$R1526=0),1,$R1526),2)*SIGN($U1526),ROUND($U1526*$V1526,2))))</f>
        <v>0</v>
      </c>
      <c r="X1526" s="24" t="str">
        <f aca="false">IF($N1526="","",IFERROR(INDEX(VAT_Codes!$H:$H,MATCH($N1526,VAT_Codes!$A:$A,0)),"")&amp;"")</f>
        <v/>
      </c>
      <c r="Y1526" s="24" t="str">
        <f aca="false">IF($A1526="","",(YEAR($A1526)-YEAR(Settings!$C$8))*12+MONTH($A1526)-MONTH(Settings!$C$8)+1)</f>
        <v/>
      </c>
      <c r="Z1526" s="24" t="str">
        <f aca="false">IF(AND($C1526="",$I1526="",$J1526=""),"",IF($N1526="","NO VAT CODE",IF($T1526="","UNKNOWN VAT CODE",IF($S1526="","MISSING FX RATE",IF(OR($A1526&lt;Settings!$C$8,$A1526&gt;Settings!$C$9),"OUTSIDE PERIOD",IF(AND(IFERROR(INDEX(VAT_Codes!$E:$E,MATCH($N1526,VAT_Codes!$A:$A,0)),"ANY")&lt;&gt;"ANY",$P1526=""),"MISSING COUNTERPARTY COUNTRY",IF(AND(IFERROR(INDEX(VAT_Codes!$E:$E,MATCH($N1526,VAT_Codes!$A:$A,0)),"ANY")&lt;&gt;"ANY",$P1526&lt;&gt;IFERROR(INDEX(VAT_Codes!$E:$E,MATCH($N1526,VAT_Codes!$A:$A,0)),"ANY")),"REGION MISMATCH","OK")))))))</f>
        <v/>
      </c>
    </row>
    <row r="1527" customFormat="false" ht="15" hidden="false" customHeight="false" outlineLevel="0" collapsed="false">
      <c r="M1527" s="24" t="str">
        <f aca="false">IF($C1527="","",IFERROR(INDEX(Account_Mapping!$C:$C,MATCH($C1527&amp;"",Account_Mapping!$A:$A,0))&amp;"",""))</f>
        <v/>
      </c>
      <c r="N1527" s="24" t="str">
        <f aca="false">IF($K1527&lt;&gt;"",$K1527,$M1527)</f>
        <v/>
      </c>
      <c r="O1527" s="24" t="str">
        <f aca="false">IF($F1527="","",IFERROR(INDEX(Counterparties!$C:$C,MATCH($F1527&amp;"",Counterparties!$A:$A,0))&amp;"",""))</f>
        <v/>
      </c>
      <c r="P1527" s="24" t="str">
        <f aca="false">IF($O1527="","",IF($O1527="CY","CY",IF(ISNUMBER(MATCH($O1527,Lists!$A:$A,0)),"EU","3RD")))</f>
        <v/>
      </c>
      <c r="Q1527" s="24" t="str">
        <f aca="false">IF($F1527="","N",IFERROR(IF(INDEX(Counterparties!$E:$E,MATCH($F1527&amp;"",Counterparties!$A:$A,0))="Y","Y","N"),"N"))</f>
        <v>N</v>
      </c>
      <c r="R1527" s="25" t="n">
        <f aca="false">IF(OR($H1527="",$H1527="EUR"),1,IFERROR(INDEX(FX_Rates!$D:$D,MATCH($H1527,FX_Rates!$A:$A,0)),""))</f>
        <v>1</v>
      </c>
      <c r="S1527" s="26" t="str">
        <f aca="false">IF(AND($I1527="",$J1527=""),"",IF($J1527&lt;&gt;"",$J1527,IF(OR($R1527="",$R1527=0),"",ROUND($I1527/$R1527,2))))</f>
        <v/>
      </c>
      <c r="T1527" s="24" t="str">
        <f aca="false">IF($N1527="","",IFERROR(INDEX(VAT_Codes!$C:$C,MATCH($N1527,VAT_Codes!$A:$A,0)),"")&amp;"")</f>
        <v/>
      </c>
      <c r="U1527" s="26" t="n">
        <f aca="false">IF(OR($S1527="",$T1527="",$T1527="None"),0,IF($T1527="Output",-$S1527,$S1527))</f>
        <v>0</v>
      </c>
      <c r="V1527" s="27" t="n">
        <f aca="false">IF($N1527="",0,IFERROR(INDEX(VAT_Codes!$D:$D,MATCH($N1527,VAT_Codes!$A:$A,0)),0))</f>
        <v>0</v>
      </c>
      <c r="W1527" s="26" t="n">
        <f aca="false">IF($U1527=0,0,IF(IFERROR(INDEX(VAT_Codes!$F:$F,MATCH($N1527,VAT_Codes!$A:$A,0)),"N")="Y",$U1527,IF($L1527&lt;&gt;"",ROUND(ABS($L1527)/IF(OR($R1527="",$R1527=0),1,$R1527),2)*SIGN($U1527),ROUND($U1527*$V1527,2))))</f>
        <v>0</v>
      </c>
      <c r="X1527" s="24" t="str">
        <f aca="false">IF($N1527="","",IFERROR(INDEX(VAT_Codes!$H:$H,MATCH($N1527,VAT_Codes!$A:$A,0)),"")&amp;"")</f>
        <v/>
      </c>
      <c r="Y1527" s="24" t="str">
        <f aca="false">IF($A1527="","",(YEAR($A1527)-YEAR(Settings!$C$8))*12+MONTH($A1527)-MONTH(Settings!$C$8)+1)</f>
        <v/>
      </c>
      <c r="Z1527" s="24" t="str">
        <f aca="false">IF(AND($C1527="",$I1527="",$J1527=""),"",IF($N1527="","NO VAT CODE",IF($T1527="","UNKNOWN VAT CODE",IF($S1527="","MISSING FX RATE",IF(OR($A1527&lt;Settings!$C$8,$A1527&gt;Settings!$C$9),"OUTSIDE PERIOD",IF(AND(IFERROR(INDEX(VAT_Codes!$E:$E,MATCH($N1527,VAT_Codes!$A:$A,0)),"ANY")&lt;&gt;"ANY",$P1527=""),"MISSING COUNTERPARTY COUNTRY",IF(AND(IFERROR(INDEX(VAT_Codes!$E:$E,MATCH($N1527,VAT_Codes!$A:$A,0)),"ANY")&lt;&gt;"ANY",$P1527&lt;&gt;IFERROR(INDEX(VAT_Codes!$E:$E,MATCH($N1527,VAT_Codes!$A:$A,0)),"ANY")),"REGION MISMATCH","OK")))))))</f>
        <v/>
      </c>
    </row>
    <row r="1528" customFormat="false" ht="15" hidden="false" customHeight="false" outlineLevel="0" collapsed="false">
      <c r="M1528" s="24" t="str">
        <f aca="false">IF($C1528="","",IFERROR(INDEX(Account_Mapping!$C:$C,MATCH($C1528&amp;"",Account_Mapping!$A:$A,0))&amp;"",""))</f>
        <v/>
      </c>
      <c r="N1528" s="24" t="str">
        <f aca="false">IF($K1528&lt;&gt;"",$K1528,$M1528)</f>
        <v/>
      </c>
      <c r="O1528" s="24" t="str">
        <f aca="false">IF($F1528="","",IFERROR(INDEX(Counterparties!$C:$C,MATCH($F1528&amp;"",Counterparties!$A:$A,0))&amp;"",""))</f>
        <v/>
      </c>
      <c r="P1528" s="24" t="str">
        <f aca="false">IF($O1528="","",IF($O1528="CY","CY",IF(ISNUMBER(MATCH($O1528,Lists!$A:$A,0)),"EU","3RD")))</f>
        <v/>
      </c>
      <c r="Q1528" s="24" t="str">
        <f aca="false">IF($F1528="","N",IFERROR(IF(INDEX(Counterparties!$E:$E,MATCH($F1528&amp;"",Counterparties!$A:$A,0))="Y","Y","N"),"N"))</f>
        <v>N</v>
      </c>
      <c r="R1528" s="25" t="n">
        <f aca="false">IF(OR($H1528="",$H1528="EUR"),1,IFERROR(INDEX(FX_Rates!$D:$D,MATCH($H1528,FX_Rates!$A:$A,0)),""))</f>
        <v>1</v>
      </c>
      <c r="S1528" s="26" t="str">
        <f aca="false">IF(AND($I1528="",$J1528=""),"",IF($J1528&lt;&gt;"",$J1528,IF(OR($R1528="",$R1528=0),"",ROUND($I1528/$R1528,2))))</f>
        <v/>
      </c>
      <c r="T1528" s="24" t="str">
        <f aca="false">IF($N1528="","",IFERROR(INDEX(VAT_Codes!$C:$C,MATCH($N1528,VAT_Codes!$A:$A,0)),"")&amp;"")</f>
        <v/>
      </c>
      <c r="U1528" s="26" t="n">
        <f aca="false">IF(OR($S1528="",$T1528="",$T1528="None"),0,IF($T1528="Output",-$S1528,$S1528))</f>
        <v>0</v>
      </c>
      <c r="V1528" s="27" t="n">
        <f aca="false">IF($N1528="",0,IFERROR(INDEX(VAT_Codes!$D:$D,MATCH($N1528,VAT_Codes!$A:$A,0)),0))</f>
        <v>0</v>
      </c>
      <c r="W1528" s="26" t="n">
        <f aca="false">IF($U1528=0,0,IF(IFERROR(INDEX(VAT_Codes!$F:$F,MATCH($N1528,VAT_Codes!$A:$A,0)),"N")="Y",$U1528,IF($L1528&lt;&gt;"",ROUND(ABS($L1528)/IF(OR($R1528="",$R1528=0),1,$R1528),2)*SIGN($U1528),ROUND($U1528*$V1528,2))))</f>
        <v>0</v>
      </c>
      <c r="X1528" s="24" t="str">
        <f aca="false">IF($N1528="","",IFERROR(INDEX(VAT_Codes!$H:$H,MATCH($N1528,VAT_Codes!$A:$A,0)),"")&amp;"")</f>
        <v/>
      </c>
      <c r="Y1528" s="24" t="str">
        <f aca="false">IF($A1528="","",(YEAR($A1528)-YEAR(Settings!$C$8))*12+MONTH($A1528)-MONTH(Settings!$C$8)+1)</f>
        <v/>
      </c>
      <c r="Z1528" s="24" t="str">
        <f aca="false">IF(AND($C1528="",$I1528="",$J1528=""),"",IF($N1528="","NO VAT CODE",IF($T1528="","UNKNOWN VAT CODE",IF($S1528="","MISSING FX RATE",IF(OR($A1528&lt;Settings!$C$8,$A1528&gt;Settings!$C$9),"OUTSIDE PERIOD",IF(AND(IFERROR(INDEX(VAT_Codes!$E:$E,MATCH($N1528,VAT_Codes!$A:$A,0)),"ANY")&lt;&gt;"ANY",$P1528=""),"MISSING COUNTERPARTY COUNTRY",IF(AND(IFERROR(INDEX(VAT_Codes!$E:$E,MATCH($N1528,VAT_Codes!$A:$A,0)),"ANY")&lt;&gt;"ANY",$P1528&lt;&gt;IFERROR(INDEX(VAT_Codes!$E:$E,MATCH($N1528,VAT_Codes!$A:$A,0)),"ANY")),"REGION MISMATCH","OK")))))))</f>
        <v/>
      </c>
    </row>
    <row r="1529" customFormat="false" ht="15" hidden="false" customHeight="false" outlineLevel="0" collapsed="false">
      <c r="M1529" s="24" t="str">
        <f aca="false">IF($C1529="","",IFERROR(INDEX(Account_Mapping!$C:$C,MATCH($C1529&amp;"",Account_Mapping!$A:$A,0))&amp;"",""))</f>
        <v/>
      </c>
      <c r="N1529" s="24" t="str">
        <f aca="false">IF($K1529&lt;&gt;"",$K1529,$M1529)</f>
        <v/>
      </c>
      <c r="O1529" s="24" t="str">
        <f aca="false">IF($F1529="","",IFERROR(INDEX(Counterparties!$C:$C,MATCH($F1529&amp;"",Counterparties!$A:$A,0))&amp;"",""))</f>
        <v/>
      </c>
      <c r="P1529" s="24" t="str">
        <f aca="false">IF($O1529="","",IF($O1529="CY","CY",IF(ISNUMBER(MATCH($O1529,Lists!$A:$A,0)),"EU","3RD")))</f>
        <v/>
      </c>
      <c r="Q1529" s="24" t="str">
        <f aca="false">IF($F1529="","N",IFERROR(IF(INDEX(Counterparties!$E:$E,MATCH($F1529&amp;"",Counterparties!$A:$A,0))="Y","Y","N"),"N"))</f>
        <v>N</v>
      </c>
      <c r="R1529" s="25" t="n">
        <f aca="false">IF(OR($H1529="",$H1529="EUR"),1,IFERROR(INDEX(FX_Rates!$D:$D,MATCH($H1529,FX_Rates!$A:$A,0)),""))</f>
        <v>1</v>
      </c>
      <c r="S1529" s="26" t="str">
        <f aca="false">IF(AND($I1529="",$J1529=""),"",IF($J1529&lt;&gt;"",$J1529,IF(OR($R1529="",$R1529=0),"",ROUND($I1529/$R1529,2))))</f>
        <v/>
      </c>
      <c r="T1529" s="24" t="str">
        <f aca="false">IF($N1529="","",IFERROR(INDEX(VAT_Codes!$C:$C,MATCH($N1529,VAT_Codes!$A:$A,0)),"")&amp;"")</f>
        <v/>
      </c>
      <c r="U1529" s="26" t="n">
        <f aca="false">IF(OR($S1529="",$T1529="",$T1529="None"),0,IF($T1529="Output",-$S1529,$S1529))</f>
        <v>0</v>
      </c>
      <c r="V1529" s="27" t="n">
        <f aca="false">IF($N1529="",0,IFERROR(INDEX(VAT_Codes!$D:$D,MATCH($N1529,VAT_Codes!$A:$A,0)),0))</f>
        <v>0</v>
      </c>
      <c r="W1529" s="26" t="n">
        <f aca="false">IF($U1529=0,0,IF(IFERROR(INDEX(VAT_Codes!$F:$F,MATCH($N1529,VAT_Codes!$A:$A,0)),"N")="Y",$U1529,IF($L1529&lt;&gt;"",ROUND(ABS($L1529)/IF(OR($R1529="",$R1529=0),1,$R1529),2)*SIGN($U1529),ROUND($U1529*$V1529,2))))</f>
        <v>0</v>
      </c>
      <c r="X1529" s="24" t="str">
        <f aca="false">IF($N1529="","",IFERROR(INDEX(VAT_Codes!$H:$H,MATCH($N1529,VAT_Codes!$A:$A,0)),"")&amp;"")</f>
        <v/>
      </c>
      <c r="Y1529" s="24" t="str">
        <f aca="false">IF($A1529="","",(YEAR($A1529)-YEAR(Settings!$C$8))*12+MONTH($A1529)-MONTH(Settings!$C$8)+1)</f>
        <v/>
      </c>
      <c r="Z1529" s="24" t="str">
        <f aca="false">IF(AND($C1529="",$I1529="",$J1529=""),"",IF($N1529="","NO VAT CODE",IF($T1529="","UNKNOWN VAT CODE",IF($S1529="","MISSING FX RATE",IF(OR($A1529&lt;Settings!$C$8,$A1529&gt;Settings!$C$9),"OUTSIDE PERIOD",IF(AND(IFERROR(INDEX(VAT_Codes!$E:$E,MATCH($N1529,VAT_Codes!$A:$A,0)),"ANY")&lt;&gt;"ANY",$P1529=""),"MISSING COUNTERPARTY COUNTRY",IF(AND(IFERROR(INDEX(VAT_Codes!$E:$E,MATCH($N1529,VAT_Codes!$A:$A,0)),"ANY")&lt;&gt;"ANY",$P1529&lt;&gt;IFERROR(INDEX(VAT_Codes!$E:$E,MATCH($N1529,VAT_Codes!$A:$A,0)),"ANY")),"REGION MISMATCH","OK")))))))</f>
        <v/>
      </c>
    </row>
    <row r="1530" customFormat="false" ht="15" hidden="false" customHeight="false" outlineLevel="0" collapsed="false">
      <c r="M1530" s="24" t="str">
        <f aca="false">IF($C1530="","",IFERROR(INDEX(Account_Mapping!$C:$C,MATCH($C1530&amp;"",Account_Mapping!$A:$A,0))&amp;"",""))</f>
        <v/>
      </c>
      <c r="N1530" s="24" t="str">
        <f aca="false">IF($K1530&lt;&gt;"",$K1530,$M1530)</f>
        <v/>
      </c>
      <c r="O1530" s="24" t="str">
        <f aca="false">IF($F1530="","",IFERROR(INDEX(Counterparties!$C:$C,MATCH($F1530&amp;"",Counterparties!$A:$A,0))&amp;"",""))</f>
        <v/>
      </c>
      <c r="P1530" s="24" t="str">
        <f aca="false">IF($O1530="","",IF($O1530="CY","CY",IF(ISNUMBER(MATCH($O1530,Lists!$A:$A,0)),"EU","3RD")))</f>
        <v/>
      </c>
      <c r="Q1530" s="24" t="str">
        <f aca="false">IF($F1530="","N",IFERROR(IF(INDEX(Counterparties!$E:$E,MATCH($F1530&amp;"",Counterparties!$A:$A,0))="Y","Y","N"),"N"))</f>
        <v>N</v>
      </c>
      <c r="R1530" s="25" t="n">
        <f aca="false">IF(OR($H1530="",$H1530="EUR"),1,IFERROR(INDEX(FX_Rates!$D:$D,MATCH($H1530,FX_Rates!$A:$A,0)),""))</f>
        <v>1</v>
      </c>
      <c r="S1530" s="26" t="str">
        <f aca="false">IF(AND($I1530="",$J1530=""),"",IF($J1530&lt;&gt;"",$J1530,IF(OR($R1530="",$R1530=0),"",ROUND($I1530/$R1530,2))))</f>
        <v/>
      </c>
      <c r="T1530" s="24" t="str">
        <f aca="false">IF($N1530="","",IFERROR(INDEX(VAT_Codes!$C:$C,MATCH($N1530,VAT_Codes!$A:$A,0)),"")&amp;"")</f>
        <v/>
      </c>
      <c r="U1530" s="26" t="n">
        <f aca="false">IF(OR($S1530="",$T1530="",$T1530="None"),0,IF($T1530="Output",-$S1530,$S1530))</f>
        <v>0</v>
      </c>
      <c r="V1530" s="27" t="n">
        <f aca="false">IF($N1530="",0,IFERROR(INDEX(VAT_Codes!$D:$D,MATCH($N1530,VAT_Codes!$A:$A,0)),0))</f>
        <v>0</v>
      </c>
      <c r="W1530" s="26" t="n">
        <f aca="false">IF($U1530=0,0,IF(IFERROR(INDEX(VAT_Codes!$F:$F,MATCH($N1530,VAT_Codes!$A:$A,0)),"N")="Y",$U1530,IF($L1530&lt;&gt;"",ROUND(ABS($L1530)/IF(OR($R1530="",$R1530=0),1,$R1530),2)*SIGN($U1530),ROUND($U1530*$V1530,2))))</f>
        <v>0</v>
      </c>
      <c r="X1530" s="24" t="str">
        <f aca="false">IF($N1530="","",IFERROR(INDEX(VAT_Codes!$H:$H,MATCH($N1530,VAT_Codes!$A:$A,0)),"")&amp;"")</f>
        <v/>
      </c>
      <c r="Y1530" s="24" t="str">
        <f aca="false">IF($A1530="","",(YEAR($A1530)-YEAR(Settings!$C$8))*12+MONTH($A1530)-MONTH(Settings!$C$8)+1)</f>
        <v/>
      </c>
      <c r="Z1530" s="24" t="str">
        <f aca="false">IF(AND($C1530="",$I1530="",$J1530=""),"",IF($N1530="","NO VAT CODE",IF($T1530="","UNKNOWN VAT CODE",IF($S1530="","MISSING FX RATE",IF(OR($A1530&lt;Settings!$C$8,$A1530&gt;Settings!$C$9),"OUTSIDE PERIOD",IF(AND(IFERROR(INDEX(VAT_Codes!$E:$E,MATCH($N1530,VAT_Codes!$A:$A,0)),"ANY")&lt;&gt;"ANY",$P1530=""),"MISSING COUNTERPARTY COUNTRY",IF(AND(IFERROR(INDEX(VAT_Codes!$E:$E,MATCH($N1530,VAT_Codes!$A:$A,0)),"ANY")&lt;&gt;"ANY",$P1530&lt;&gt;IFERROR(INDEX(VAT_Codes!$E:$E,MATCH($N1530,VAT_Codes!$A:$A,0)),"ANY")),"REGION MISMATCH","OK")))))))</f>
        <v/>
      </c>
    </row>
    <row r="1531" customFormat="false" ht="15" hidden="false" customHeight="false" outlineLevel="0" collapsed="false">
      <c r="M1531" s="24" t="str">
        <f aca="false">IF($C1531="","",IFERROR(INDEX(Account_Mapping!$C:$C,MATCH($C1531&amp;"",Account_Mapping!$A:$A,0))&amp;"",""))</f>
        <v/>
      </c>
      <c r="N1531" s="24" t="str">
        <f aca="false">IF($K1531&lt;&gt;"",$K1531,$M1531)</f>
        <v/>
      </c>
      <c r="O1531" s="24" t="str">
        <f aca="false">IF($F1531="","",IFERROR(INDEX(Counterparties!$C:$C,MATCH($F1531&amp;"",Counterparties!$A:$A,0))&amp;"",""))</f>
        <v/>
      </c>
      <c r="P1531" s="24" t="str">
        <f aca="false">IF($O1531="","",IF($O1531="CY","CY",IF(ISNUMBER(MATCH($O1531,Lists!$A:$A,0)),"EU","3RD")))</f>
        <v/>
      </c>
      <c r="Q1531" s="24" t="str">
        <f aca="false">IF($F1531="","N",IFERROR(IF(INDEX(Counterparties!$E:$E,MATCH($F1531&amp;"",Counterparties!$A:$A,0))="Y","Y","N"),"N"))</f>
        <v>N</v>
      </c>
      <c r="R1531" s="25" t="n">
        <f aca="false">IF(OR($H1531="",$H1531="EUR"),1,IFERROR(INDEX(FX_Rates!$D:$D,MATCH($H1531,FX_Rates!$A:$A,0)),""))</f>
        <v>1</v>
      </c>
      <c r="S1531" s="26" t="str">
        <f aca="false">IF(AND($I1531="",$J1531=""),"",IF($J1531&lt;&gt;"",$J1531,IF(OR($R1531="",$R1531=0),"",ROUND($I1531/$R1531,2))))</f>
        <v/>
      </c>
      <c r="T1531" s="24" t="str">
        <f aca="false">IF($N1531="","",IFERROR(INDEX(VAT_Codes!$C:$C,MATCH($N1531,VAT_Codes!$A:$A,0)),"")&amp;"")</f>
        <v/>
      </c>
      <c r="U1531" s="26" t="n">
        <f aca="false">IF(OR($S1531="",$T1531="",$T1531="None"),0,IF($T1531="Output",-$S1531,$S1531))</f>
        <v>0</v>
      </c>
      <c r="V1531" s="27" t="n">
        <f aca="false">IF($N1531="",0,IFERROR(INDEX(VAT_Codes!$D:$D,MATCH($N1531,VAT_Codes!$A:$A,0)),0))</f>
        <v>0</v>
      </c>
      <c r="W1531" s="26" t="n">
        <f aca="false">IF($U1531=0,0,IF(IFERROR(INDEX(VAT_Codes!$F:$F,MATCH($N1531,VAT_Codes!$A:$A,0)),"N")="Y",$U1531,IF($L1531&lt;&gt;"",ROUND(ABS($L1531)/IF(OR($R1531="",$R1531=0),1,$R1531),2)*SIGN($U1531),ROUND($U1531*$V1531,2))))</f>
        <v>0</v>
      </c>
      <c r="X1531" s="24" t="str">
        <f aca="false">IF($N1531="","",IFERROR(INDEX(VAT_Codes!$H:$H,MATCH($N1531,VAT_Codes!$A:$A,0)),"")&amp;"")</f>
        <v/>
      </c>
      <c r="Y1531" s="24" t="str">
        <f aca="false">IF($A1531="","",(YEAR($A1531)-YEAR(Settings!$C$8))*12+MONTH($A1531)-MONTH(Settings!$C$8)+1)</f>
        <v/>
      </c>
      <c r="Z1531" s="24" t="str">
        <f aca="false">IF(AND($C1531="",$I1531="",$J1531=""),"",IF($N1531="","NO VAT CODE",IF($T1531="","UNKNOWN VAT CODE",IF($S1531="","MISSING FX RATE",IF(OR($A1531&lt;Settings!$C$8,$A1531&gt;Settings!$C$9),"OUTSIDE PERIOD",IF(AND(IFERROR(INDEX(VAT_Codes!$E:$E,MATCH($N1531,VAT_Codes!$A:$A,0)),"ANY")&lt;&gt;"ANY",$P1531=""),"MISSING COUNTERPARTY COUNTRY",IF(AND(IFERROR(INDEX(VAT_Codes!$E:$E,MATCH($N1531,VAT_Codes!$A:$A,0)),"ANY")&lt;&gt;"ANY",$P1531&lt;&gt;IFERROR(INDEX(VAT_Codes!$E:$E,MATCH($N1531,VAT_Codes!$A:$A,0)),"ANY")),"REGION MISMATCH","OK")))))))</f>
        <v/>
      </c>
    </row>
    <row r="1532" customFormat="false" ht="15" hidden="false" customHeight="false" outlineLevel="0" collapsed="false">
      <c r="M1532" s="24" t="str">
        <f aca="false">IF($C1532="","",IFERROR(INDEX(Account_Mapping!$C:$C,MATCH($C1532&amp;"",Account_Mapping!$A:$A,0))&amp;"",""))</f>
        <v/>
      </c>
      <c r="N1532" s="24" t="str">
        <f aca="false">IF($K1532&lt;&gt;"",$K1532,$M1532)</f>
        <v/>
      </c>
      <c r="O1532" s="24" t="str">
        <f aca="false">IF($F1532="","",IFERROR(INDEX(Counterparties!$C:$C,MATCH($F1532&amp;"",Counterparties!$A:$A,0))&amp;"",""))</f>
        <v/>
      </c>
      <c r="P1532" s="24" t="str">
        <f aca="false">IF($O1532="","",IF($O1532="CY","CY",IF(ISNUMBER(MATCH($O1532,Lists!$A:$A,0)),"EU","3RD")))</f>
        <v/>
      </c>
      <c r="Q1532" s="24" t="str">
        <f aca="false">IF($F1532="","N",IFERROR(IF(INDEX(Counterparties!$E:$E,MATCH($F1532&amp;"",Counterparties!$A:$A,0))="Y","Y","N"),"N"))</f>
        <v>N</v>
      </c>
      <c r="R1532" s="25" t="n">
        <f aca="false">IF(OR($H1532="",$H1532="EUR"),1,IFERROR(INDEX(FX_Rates!$D:$D,MATCH($H1532,FX_Rates!$A:$A,0)),""))</f>
        <v>1</v>
      </c>
      <c r="S1532" s="26" t="str">
        <f aca="false">IF(AND($I1532="",$J1532=""),"",IF($J1532&lt;&gt;"",$J1532,IF(OR($R1532="",$R1532=0),"",ROUND($I1532/$R1532,2))))</f>
        <v/>
      </c>
      <c r="T1532" s="24" t="str">
        <f aca="false">IF($N1532="","",IFERROR(INDEX(VAT_Codes!$C:$C,MATCH($N1532,VAT_Codes!$A:$A,0)),"")&amp;"")</f>
        <v/>
      </c>
      <c r="U1532" s="26" t="n">
        <f aca="false">IF(OR($S1532="",$T1532="",$T1532="None"),0,IF($T1532="Output",-$S1532,$S1532))</f>
        <v>0</v>
      </c>
      <c r="V1532" s="27" t="n">
        <f aca="false">IF($N1532="",0,IFERROR(INDEX(VAT_Codes!$D:$D,MATCH($N1532,VAT_Codes!$A:$A,0)),0))</f>
        <v>0</v>
      </c>
      <c r="W1532" s="26" t="n">
        <f aca="false">IF($U1532=0,0,IF(IFERROR(INDEX(VAT_Codes!$F:$F,MATCH($N1532,VAT_Codes!$A:$A,0)),"N")="Y",$U1532,IF($L1532&lt;&gt;"",ROUND(ABS($L1532)/IF(OR($R1532="",$R1532=0),1,$R1532),2)*SIGN($U1532),ROUND($U1532*$V1532,2))))</f>
        <v>0</v>
      </c>
      <c r="X1532" s="24" t="str">
        <f aca="false">IF($N1532="","",IFERROR(INDEX(VAT_Codes!$H:$H,MATCH($N1532,VAT_Codes!$A:$A,0)),"")&amp;"")</f>
        <v/>
      </c>
      <c r="Y1532" s="24" t="str">
        <f aca="false">IF($A1532="","",(YEAR($A1532)-YEAR(Settings!$C$8))*12+MONTH($A1532)-MONTH(Settings!$C$8)+1)</f>
        <v/>
      </c>
      <c r="Z1532" s="24" t="str">
        <f aca="false">IF(AND($C1532="",$I1532="",$J1532=""),"",IF($N1532="","NO VAT CODE",IF($T1532="","UNKNOWN VAT CODE",IF($S1532="","MISSING FX RATE",IF(OR($A1532&lt;Settings!$C$8,$A1532&gt;Settings!$C$9),"OUTSIDE PERIOD",IF(AND(IFERROR(INDEX(VAT_Codes!$E:$E,MATCH($N1532,VAT_Codes!$A:$A,0)),"ANY")&lt;&gt;"ANY",$P1532=""),"MISSING COUNTERPARTY COUNTRY",IF(AND(IFERROR(INDEX(VAT_Codes!$E:$E,MATCH($N1532,VAT_Codes!$A:$A,0)),"ANY")&lt;&gt;"ANY",$P1532&lt;&gt;IFERROR(INDEX(VAT_Codes!$E:$E,MATCH($N1532,VAT_Codes!$A:$A,0)),"ANY")),"REGION MISMATCH","OK")))))))</f>
        <v/>
      </c>
    </row>
    <row r="1533" customFormat="false" ht="15" hidden="false" customHeight="false" outlineLevel="0" collapsed="false">
      <c r="M1533" s="24" t="str">
        <f aca="false">IF($C1533="","",IFERROR(INDEX(Account_Mapping!$C:$C,MATCH($C1533&amp;"",Account_Mapping!$A:$A,0))&amp;"",""))</f>
        <v/>
      </c>
      <c r="N1533" s="24" t="str">
        <f aca="false">IF($K1533&lt;&gt;"",$K1533,$M1533)</f>
        <v/>
      </c>
      <c r="O1533" s="24" t="str">
        <f aca="false">IF($F1533="","",IFERROR(INDEX(Counterparties!$C:$C,MATCH($F1533&amp;"",Counterparties!$A:$A,0))&amp;"",""))</f>
        <v/>
      </c>
      <c r="P1533" s="24" t="str">
        <f aca="false">IF($O1533="","",IF($O1533="CY","CY",IF(ISNUMBER(MATCH($O1533,Lists!$A:$A,0)),"EU","3RD")))</f>
        <v/>
      </c>
      <c r="Q1533" s="24" t="str">
        <f aca="false">IF($F1533="","N",IFERROR(IF(INDEX(Counterparties!$E:$E,MATCH($F1533&amp;"",Counterparties!$A:$A,0))="Y","Y","N"),"N"))</f>
        <v>N</v>
      </c>
      <c r="R1533" s="25" t="n">
        <f aca="false">IF(OR($H1533="",$H1533="EUR"),1,IFERROR(INDEX(FX_Rates!$D:$D,MATCH($H1533,FX_Rates!$A:$A,0)),""))</f>
        <v>1</v>
      </c>
      <c r="S1533" s="26" t="str">
        <f aca="false">IF(AND($I1533="",$J1533=""),"",IF($J1533&lt;&gt;"",$J1533,IF(OR($R1533="",$R1533=0),"",ROUND($I1533/$R1533,2))))</f>
        <v/>
      </c>
      <c r="T1533" s="24" t="str">
        <f aca="false">IF($N1533="","",IFERROR(INDEX(VAT_Codes!$C:$C,MATCH($N1533,VAT_Codes!$A:$A,0)),"")&amp;"")</f>
        <v/>
      </c>
      <c r="U1533" s="26" t="n">
        <f aca="false">IF(OR($S1533="",$T1533="",$T1533="None"),0,IF($T1533="Output",-$S1533,$S1533))</f>
        <v>0</v>
      </c>
      <c r="V1533" s="27" t="n">
        <f aca="false">IF($N1533="",0,IFERROR(INDEX(VAT_Codes!$D:$D,MATCH($N1533,VAT_Codes!$A:$A,0)),0))</f>
        <v>0</v>
      </c>
      <c r="W1533" s="26" t="n">
        <f aca="false">IF($U1533=0,0,IF(IFERROR(INDEX(VAT_Codes!$F:$F,MATCH($N1533,VAT_Codes!$A:$A,0)),"N")="Y",$U1533,IF($L1533&lt;&gt;"",ROUND(ABS($L1533)/IF(OR($R1533="",$R1533=0),1,$R1533),2)*SIGN($U1533),ROUND($U1533*$V1533,2))))</f>
        <v>0</v>
      </c>
      <c r="X1533" s="24" t="str">
        <f aca="false">IF($N1533="","",IFERROR(INDEX(VAT_Codes!$H:$H,MATCH($N1533,VAT_Codes!$A:$A,0)),"")&amp;"")</f>
        <v/>
      </c>
      <c r="Y1533" s="24" t="str">
        <f aca="false">IF($A1533="","",(YEAR($A1533)-YEAR(Settings!$C$8))*12+MONTH($A1533)-MONTH(Settings!$C$8)+1)</f>
        <v/>
      </c>
      <c r="Z1533" s="24" t="str">
        <f aca="false">IF(AND($C1533="",$I1533="",$J1533=""),"",IF($N1533="","NO VAT CODE",IF($T1533="","UNKNOWN VAT CODE",IF($S1533="","MISSING FX RATE",IF(OR($A1533&lt;Settings!$C$8,$A1533&gt;Settings!$C$9),"OUTSIDE PERIOD",IF(AND(IFERROR(INDEX(VAT_Codes!$E:$E,MATCH($N1533,VAT_Codes!$A:$A,0)),"ANY")&lt;&gt;"ANY",$P1533=""),"MISSING COUNTERPARTY COUNTRY",IF(AND(IFERROR(INDEX(VAT_Codes!$E:$E,MATCH($N1533,VAT_Codes!$A:$A,0)),"ANY")&lt;&gt;"ANY",$P1533&lt;&gt;IFERROR(INDEX(VAT_Codes!$E:$E,MATCH($N1533,VAT_Codes!$A:$A,0)),"ANY")),"REGION MISMATCH","OK")))))))</f>
        <v/>
      </c>
    </row>
    <row r="1534" customFormat="false" ht="15" hidden="false" customHeight="false" outlineLevel="0" collapsed="false">
      <c r="M1534" s="24" t="str">
        <f aca="false">IF($C1534="","",IFERROR(INDEX(Account_Mapping!$C:$C,MATCH($C1534&amp;"",Account_Mapping!$A:$A,0))&amp;"",""))</f>
        <v/>
      </c>
      <c r="N1534" s="24" t="str">
        <f aca="false">IF($K1534&lt;&gt;"",$K1534,$M1534)</f>
        <v/>
      </c>
      <c r="O1534" s="24" t="str">
        <f aca="false">IF($F1534="","",IFERROR(INDEX(Counterparties!$C:$C,MATCH($F1534&amp;"",Counterparties!$A:$A,0))&amp;"",""))</f>
        <v/>
      </c>
      <c r="P1534" s="24" t="str">
        <f aca="false">IF($O1534="","",IF($O1534="CY","CY",IF(ISNUMBER(MATCH($O1534,Lists!$A:$A,0)),"EU","3RD")))</f>
        <v/>
      </c>
      <c r="Q1534" s="24" t="str">
        <f aca="false">IF($F1534="","N",IFERROR(IF(INDEX(Counterparties!$E:$E,MATCH($F1534&amp;"",Counterparties!$A:$A,0))="Y","Y","N"),"N"))</f>
        <v>N</v>
      </c>
      <c r="R1534" s="25" t="n">
        <f aca="false">IF(OR($H1534="",$H1534="EUR"),1,IFERROR(INDEX(FX_Rates!$D:$D,MATCH($H1534,FX_Rates!$A:$A,0)),""))</f>
        <v>1</v>
      </c>
      <c r="S1534" s="26" t="str">
        <f aca="false">IF(AND($I1534="",$J1534=""),"",IF($J1534&lt;&gt;"",$J1534,IF(OR($R1534="",$R1534=0),"",ROUND($I1534/$R1534,2))))</f>
        <v/>
      </c>
      <c r="T1534" s="24" t="str">
        <f aca="false">IF($N1534="","",IFERROR(INDEX(VAT_Codes!$C:$C,MATCH($N1534,VAT_Codes!$A:$A,0)),"")&amp;"")</f>
        <v/>
      </c>
      <c r="U1534" s="26" t="n">
        <f aca="false">IF(OR($S1534="",$T1534="",$T1534="None"),0,IF($T1534="Output",-$S1534,$S1534))</f>
        <v>0</v>
      </c>
      <c r="V1534" s="27" t="n">
        <f aca="false">IF($N1534="",0,IFERROR(INDEX(VAT_Codes!$D:$D,MATCH($N1534,VAT_Codes!$A:$A,0)),0))</f>
        <v>0</v>
      </c>
      <c r="W1534" s="26" t="n">
        <f aca="false">IF($U1534=0,0,IF(IFERROR(INDEX(VAT_Codes!$F:$F,MATCH($N1534,VAT_Codes!$A:$A,0)),"N")="Y",$U1534,IF($L1534&lt;&gt;"",ROUND(ABS($L1534)/IF(OR($R1534="",$R1534=0),1,$R1534),2)*SIGN($U1534),ROUND($U1534*$V1534,2))))</f>
        <v>0</v>
      </c>
      <c r="X1534" s="24" t="str">
        <f aca="false">IF($N1534="","",IFERROR(INDEX(VAT_Codes!$H:$H,MATCH($N1534,VAT_Codes!$A:$A,0)),"")&amp;"")</f>
        <v/>
      </c>
      <c r="Y1534" s="24" t="str">
        <f aca="false">IF($A1534="","",(YEAR($A1534)-YEAR(Settings!$C$8))*12+MONTH($A1534)-MONTH(Settings!$C$8)+1)</f>
        <v/>
      </c>
      <c r="Z1534" s="24" t="str">
        <f aca="false">IF(AND($C1534="",$I1534="",$J1534=""),"",IF($N1534="","NO VAT CODE",IF($T1534="","UNKNOWN VAT CODE",IF($S1534="","MISSING FX RATE",IF(OR($A1534&lt;Settings!$C$8,$A1534&gt;Settings!$C$9),"OUTSIDE PERIOD",IF(AND(IFERROR(INDEX(VAT_Codes!$E:$E,MATCH($N1534,VAT_Codes!$A:$A,0)),"ANY")&lt;&gt;"ANY",$P1534=""),"MISSING COUNTERPARTY COUNTRY",IF(AND(IFERROR(INDEX(VAT_Codes!$E:$E,MATCH($N1534,VAT_Codes!$A:$A,0)),"ANY")&lt;&gt;"ANY",$P1534&lt;&gt;IFERROR(INDEX(VAT_Codes!$E:$E,MATCH($N1534,VAT_Codes!$A:$A,0)),"ANY")),"REGION MISMATCH","OK")))))))</f>
        <v/>
      </c>
    </row>
    <row r="1535" customFormat="false" ht="15" hidden="false" customHeight="false" outlineLevel="0" collapsed="false">
      <c r="M1535" s="24" t="str">
        <f aca="false">IF($C1535="","",IFERROR(INDEX(Account_Mapping!$C:$C,MATCH($C1535&amp;"",Account_Mapping!$A:$A,0))&amp;"",""))</f>
        <v/>
      </c>
      <c r="N1535" s="24" t="str">
        <f aca="false">IF($K1535&lt;&gt;"",$K1535,$M1535)</f>
        <v/>
      </c>
      <c r="O1535" s="24" t="str">
        <f aca="false">IF($F1535="","",IFERROR(INDEX(Counterparties!$C:$C,MATCH($F1535&amp;"",Counterparties!$A:$A,0))&amp;"",""))</f>
        <v/>
      </c>
      <c r="P1535" s="24" t="str">
        <f aca="false">IF($O1535="","",IF($O1535="CY","CY",IF(ISNUMBER(MATCH($O1535,Lists!$A:$A,0)),"EU","3RD")))</f>
        <v/>
      </c>
      <c r="Q1535" s="24" t="str">
        <f aca="false">IF($F1535="","N",IFERROR(IF(INDEX(Counterparties!$E:$E,MATCH($F1535&amp;"",Counterparties!$A:$A,0))="Y","Y","N"),"N"))</f>
        <v>N</v>
      </c>
      <c r="R1535" s="25" t="n">
        <f aca="false">IF(OR($H1535="",$H1535="EUR"),1,IFERROR(INDEX(FX_Rates!$D:$D,MATCH($H1535,FX_Rates!$A:$A,0)),""))</f>
        <v>1</v>
      </c>
      <c r="S1535" s="26" t="str">
        <f aca="false">IF(AND($I1535="",$J1535=""),"",IF($J1535&lt;&gt;"",$J1535,IF(OR($R1535="",$R1535=0),"",ROUND($I1535/$R1535,2))))</f>
        <v/>
      </c>
      <c r="T1535" s="24" t="str">
        <f aca="false">IF($N1535="","",IFERROR(INDEX(VAT_Codes!$C:$C,MATCH($N1535,VAT_Codes!$A:$A,0)),"")&amp;"")</f>
        <v/>
      </c>
      <c r="U1535" s="26" t="n">
        <f aca="false">IF(OR($S1535="",$T1535="",$T1535="None"),0,IF($T1535="Output",-$S1535,$S1535))</f>
        <v>0</v>
      </c>
      <c r="V1535" s="27" t="n">
        <f aca="false">IF($N1535="",0,IFERROR(INDEX(VAT_Codes!$D:$D,MATCH($N1535,VAT_Codes!$A:$A,0)),0))</f>
        <v>0</v>
      </c>
      <c r="W1535" s="26" t="n">
        <f aca="false">IF($U1535=0,0,IF(IFERROR(INDEX(VAT_Codes!$F:$F,MATCH($N1535,VAT_Codes!$A:$A,0)),"N")="Y",$U1535,IF($L1535&lt;&gt;"",ROUND(ABS($L1535)/IF(OR($R1535="",$R1535=0),1,$R1535),2)*SIGN($U1535),ROUND($U1535*$V1535,2))))</f>
        <v>0</v>
      </c>
      <c r="X1535" s="24" t="str">
        <f aca="false">IF($N1535="","",IFERROR(INDEX(VAT_Codes!$H:$H,MATCH($N1535,VAT_Codes!$A:$A,0)),"")&amp;"")</f>
        <v/>
      </c>
      <c r="Y1535" s="24" t="str">
        <f aca="false">IF($A1535="","",(YEAR($A1535)-YEAR(Settings!$C$8))*12+MONTH($A1535)-MONTH(Settings!$C$8)+1)</f>
        <v/>
      </c>
      <c r="Z1535" s="24" t="str">
        <f aca="false">IF(AND($C1535="",$I1535="",$J1535=""),"",IF($N1535="","NO VAT CODE",IF($T1535="","UNKNOWN VAT CODE",IF($S1535="","MISSING FX RATE",IF(OR($A1535&lt;Settings!$C$8,$A1535&gt;Settings!$C$9),"OUTSIDE PERIOD",IF(AND(IFERROR(INDEX(VAT_Codes!$E:$E,MATCH($N1535,VAT_Codes!$A:$A,0)),"ANY")&lt;&gt;"ANY",$P1535=""),"MISSING COUNTERPARTY COUNTRY",IF(AND(IFERROR(INDEX(VAT_Codes!$E:$E,MATCH($N1535,VAT_Codes!$A:$A,0)),"ANY")&lt;&gt;"ANY",$P1535&lt;&gt;IFERROR(INDEX(VAT_Codes!$E:$E,MATCH($N1535,VAT_Codes!$A:$A,0)),"ANY")),"REGION MISMATCH","OK")))))))</f>
        <v/>
      </c>
    </row>
    <row r="1536" customFormat="false" ht="15" hidden="false" customHeight="false" outlineLevel="0" collapsed="false">
      <c r="M1536" s="24" t="str">
        <f aca="false">IF($C1536="","",IFERROR(INDEX(Account_Mapping!$C:$C,MATCH($C1536&amp;"",Account_Mapping!$A:$A,0))&amp;"",""))</f>
        <v/>
      </c>
      <c r="N1536" s="24" t="str">
        <f aca="false">IF($K1536&lt;&gt;"",$K1536,$M1536)</f>
        <v/>
      </c>
      <c r="O1536" s="24" t="str">
        <f aca="false">IF($F1536="","",IFERROR(INDEX(Counterparties!$C:$C,MATCH($F1536&amp;"",Counterparties!$A:$A,0))&amp;"",""))</f>
        <v/>
      </c>
      <c r="P1536" s="24" t="str">
        <f aca="false">IF($O1536="","",IF($O1536="CY","CY",IF(ISNUMBER(MATCH($O1536,Lists!$A:$A,0)),"EU","3RD")))</f>
        <v/>
      </c>
      <c r="Q1536" s="24" t="str">
        <f aca="false">IF($F1536="","N",IFERROR(IF(INDEX(Counterparties!$E:$E,MATCH($F1536&amp;"",Counterparties!$A:$A,0))="Y","Y","N"),"N"))</f>
        <v>N</v>
      </c>
      <c r="R1536" s="25" t="n">
        <f aca="false">IF(OR($H1536="",$H1536="EUR"),1,IFERROR(INDEX(FX_Rates!$D:$D,MATCH($H1536,FX_Rates!$A:$A,0)),""))</f>
        <v>1</v>
      </c>
      <c r="S1536" s="26" t="str">
        <f aca="false">IF(AND($I1536="",$J1536=""),"",IF($J1536&lt;&gt;"",$J1536,IF(OR($R1536="",$R1536=0),"",ROUND($I1536/$R1536,2))))</f>
        <v/>
      </c>
      <c r="T1536" s="24" t="str">
        <f aca="false">IF($N1536="","",IFERROR(INDEX(VAT_Codes!$C:$C,MATCH($N1536,VAT_Codes!$A:$A,0)),"")&amp;"")</f>
        <v/>
      </c>
      <c r="U1536" s="26" t="n">
        <f aca="false">IF(OR($S1536="",$T1536="",$T1536="None"),0,IF($T1536="Output",-$S1536,$S1536))</f>
        <v>0</v>
      </c>
      <c r="V1536" s="27" t="n">
        <f aca="false">IF($N1536="",0,IFERROR(INDEX(VAT_Codes!$D:$D,MATCH($N1536,VAT_Codes!$A:$A,0)),0))</f>
        <v>0</v>
      </c>
      <c r="W1536" s="26" t="n">
        <f aca="false">IF($U1536=0,0,IF(IFERROR(INDEX(VAT_Codes!$F:$F,MATCH($N1536,VAT_Codes!$A:$A,0)),"N")="Y",$U1536,IF($L1536&lt;&gt;"",ROUND(ABS($L1536)/IF(OR($R1536="",$R1536=0),1,$R1536),2)*SIGN($U1536),ROUND($U1536*$V1536,2))))</f>
        <v>0</v>
      </c>
      <c r="X1536" s="24" t="str">
        <f aca="false">IF($N1536="","",IFERROR(INDEX(VAT_Codes!$H:$H,MATCH($N1536,VAT_Codes!$A:$A,0)),"")&amp;"")</f>
        <v/>
      </c>
      <c r="Y1536" s="24" t="str">
        <f aca="false">IF($A1536="","",(YEAR($A1536)-YEAR(Settings!$C$8))*12+MONTH($A1536)-MONTH(Settings!$C$8)+1)</f>
        <v/>
      </c>
      <c r="Z1536" s="24" t="str">
        <f aca="false">IF(AND($C1536="",$I1536="",$J1536=""),"",IF($N1536="","NO VAT CODE",IF($T1536="","UNKNOWN VAT CODE",IF($S1536="","MISSING FX RATE",IF(OR($A1536&lt;Settings!$C$8,$A1536&gt;Settings!$C$9),"OUTSIDE PERIOD",IF(AND(IFERROR(INDEX(VAT_Codes!$E:$E,MATCH($N1536,VAT_Codes!$A:$A,0)),"ANY")&lt;&gt;"ANY",$P1536=""),"MISSING COUNTERPARTY COUNTRY",IF(AND(IFERROR(INDEX(VAT_Codes!$E:$E,MATCH($N1536,VAT_Codes!$A:$A,0)),"ANY")&lt;&gt;"ANY",$P1536&lt;&gt;IFERROR(INDEX(VAT_Codes!$E:$E,MATCH($N1536,VAT_Codes!$A:$A,0)),"ANY")),"REGION MISMATCH","OK")))))))</f>
        <v/>
      </c>
    </row>
    <row r="1537" customFormat="false" ht="15" hidden="false" customHeight="false" outlineLevel="0" collapsed="false">
      <c r="M1537" s="24" t="str">
        <f aca="false">IF($C1537="","",IFERROR(INDEX(Account_Mapping!$C:$C,MATCH($C1537&amp;"",Account_Mapping!$A:$A,0))&amp;"",""))</f>
        <v/>
      </c>
      <c r="N1537" s="24" t="str">
        <f aca="false">IF($K1537&lt;&gt;"",$K1537,$M1537)</f>
        <v/>
      </c>
      <c r="O1537" s="24" t="str">
        <f aca="false">IF($F1537="","",IFERROR(INDEX(Counterparties!$C:$C,MATCH($F1537&amp;"",Counterparties!$A:$A,0))&amp;"",""))</f>
        <v/>
      </c>
      <c r="P1537" s="24" t="str">
        <f aca="false">IF($O1537="","",IF($O1537="CY","CY",IF(ISNUMBER(MATCH($O1537,Lists!$A:$A,0)),"EU","3RD")))</f>
        <v/>
      </c>
      <c r="Q1537" s="24" t="str">
        <f aca="false">IF($F1537="","N",IFERROR(IF(INDEX(Counterparties!$E:$E,MATCH($F1537&amp;"",Counterparties!$A:$A,0))="Y","Y","N"),"N"))</f>
        <v>N</v>
      </c>
      <c r="R1537" s="25" t="n">
        <f aca="false">IF(OR($H1537="",$H1537="EUR"),1,IFERROR(INDEX(FX_Rates!$D:$D,MATCH($H1537,FX_Rates!$A:$A,0)),""))</f>
        <v>1</v>
      </c>
      <c r="S1537" s="26" t="str">
        <f aca="false">IF(AND($I1537="",$J1537=""),"",IF($J1537&lt;&gt;"",$J1537,IF(OR($R1537="",$R1537=0),"",ROUND($I1537/$R1537,2))))</f>
        <v/>
      </c>
      <c r="T1537" s="24" t="str">
        <f aca="false">IF($N1537="","",IFERROR(INDEX(VAT_Codes!$C:$C,MATCH($N1537,VAT_Codes!$A:$A,0)),"")&amp;"")</f>
        <v/>
      </c>
      <c r="U1537" s="26" t="n">
        <f aca="false">IF(OR($S1537="",$T1537="",$T1537="None"),0,IF($T1537="Output",-$S1537,$S1537))</f>
        <v>0</v>
      </c>
      <c r="V1537" s="27" t="n">
        <f aca="false">IF($N1537="",0,IFERROR(INDEX(VAT_Codes!$D:$D,MATCH($N1537,VAT_Codes!$A:$A,0)),0))</f>
        <v>0</v>
      </c>
      <c r="W1537" s="26" t="n">
        <f aca="false">IF($U1537=0,0,IF(IFERROR(INDEX(VAT_Codes!$F:$F,MATCH($N1537,VAT_Codes!$A:$A,0)),"N")="Y",$U1537,IF($L1537&lt;&gt;"",ROUND(ABS($L1537)/IF(OR($R1537="",$R1537=0),1,$R1537),2)*SIGN($U1537),ROUND($U1537*$V1537,2))))</f>
        <v>0</v>
      </c>
      <c r="X1537" s="24" t="str">
        <f aca="false">IF($N1537="","",IFERROR(INDEX(VAT_Codes!$H:$H,MATCH($N1537,VAT_Codes!$A:$A,0)),"")&amp;"")</f>
        <v/>
      </c>
      <c r="Y1537" s="24" t="str">
        <f aca="false">IF($A1537="","",(YEAR($A1537)-YEAR(Settings!$C$8))*12+MONTH($A1537)-MONTH(Settings!$C$8)+1)</f>
        <v/>
      </c>
      <c r="Z1537" s="24" t="str">
        <f aca="false">IF(AND($C1537="",$I1537="",$J1537=""),"",IF($N1537="","NO VAT CODE",IF($T1537="","UNKNOWN VAT CODE",IF($S1537="","MISSING FX RATE",IF(OR($A1537&lt;Settings!$C$8,$A1537&gt;Settings!$C$9),"OUTSIDE PERIOD",IF(AND(IFERROR(INDEX(VAT_Codes!$E:$E,MATCH($N1537,VAT_Codes!$A:$A,0)),"ANY")&lt;&gt;"ANY",$P1537=""),"MISSING COUNTERPARTY COUNTRY",IF(AND(IFERROR(INDEX(VAT_Codes!$E:$E,MATCH($N1537,VAT_Codes!$A:$A,0)),"ANY")&lt;&gt;"ANY",$P1537&lt;&gt;IFERROR(INDEX(VAT_Codes!$E:$E,MATCH($N1537,VAT_Codes!$A:$A,0)),"ANY")),"REGION MISMATCH","OK")))))))</f>
        <v/>
      </c>
    </row>
    <row r="1538" customFormat="false" ht="15" hidden="false" customHeight="false" outlineLevel="0" collapsed="false">
      <c r="M1538" s="24" t="str">
        <f aca="false">IF($C1538="","",IFERROR(INDEX(Account_Mapping!$C:$C,MATCH($C1538&amp;"",Account_Mapping!$A:$A,0))&amp;"",""))</f>
        <v/>
      </c>
      <c r="N1538" s="24" t="str">
        <f aca="false">IF($K1538&lt;&gt;"",$K1538,$M1538)</f>
        <v/>
      </c>
      <c r="O1538" s="24" t="str">
        <f aca="false">IF($F1538="","",IFERROR(INDEX(Counterparties!$C:$C,MATCH($F1538&amp;"",Counterparties!$A:$A,0))&amp;"",""))</f>
        <v/>
      </c>
      <c r="P1538" s="24" t="str">
        <f aca="false">IF($O1538="","",IF($O1538="CY","CY",IF(ISNUMBER(MATCH($O1538,Lists!$A:$A,0)),"EU","3RD")))</f>
        <v/>
      </c>
      <c r="Q1538" s="24" t="str">
        <f aca="false">IF($F1538="","N",IFERROR(IF(INDEX(Counterparties!$E:$E,MATCH($F1538&amp;"",Counterparties!$A:$A,0))="Y","Y","N"),"N"))</f>
        <v>N</v>
      </c>
      <c r="R1538" s="25" t="n">
        <f aca="false">IF(OR($H1538="",$H1538="EUR"),1,IFERROR(INDEX(FX_Rates!$D:$D,MATCH($H1538,FX_Rates!$A:$A,0)),""))</f>
        <v>1</v>
      </c>
      <c r="S1538" s="26" t="str">
        <f aca="false">IF(AND($I1538="",$J1538=""),"",IF($J1538&lt;&gt;"",$J1538,IF(OR($R1538="",$R1538=0),"",ROUND($I1538/$R1538,2))))</f>
        <v/>
      </c>
      <c r="T1538" s="24" t="str">
        <f aca="false">IF($N1538="","",IFERROR(INDEX(VAT_Codes!$C:$C,MATCH($N1538,VAT_Codes!$A:$A,0)),"")&amp;"")</f>
        <v/>
      </c>
      <c r="U1538" s="26" t="n">
        <f aca="false">IF(OR($S1538="",$T1538="",$T1538="None"),0,IF($T1538="Output",-$S1538,$S1538))</f>
        <v>0</v>
      </c>
      <c r="V1538" s="27" t="n">
        <f aca="false">IF($N1538="",0,IFERROR(INDEX(VAT_Codes!$D:$D,MATCH($N1538,VAT_Codes!$A:$A,0)),0))</f>
        <v>0</v>
      </c>
      <c r="W1538" s="26" t="n">
        <f aca="false">IF($U1538=0,0,IF(IFERROR(INDEX(VAT_Codes!$F:$F,MATCH($N1538,VAT_Codes!$A:$A,0)),"N")="Y",$U1538,IF($L1538&lt;&gt;"",ROUND(ABS($L1538)/IF(OR($R1538="",$R1538=0),1,$R1538),2)*SIGN($U1538),ROUND($U1538*$V1538,2))))</f>
        <v>0</v>
      </c>
      <c r="X1538" s="24" t="str">
        <f aca="false">IF($N1538="","",IFERROR(INDEX(VAT_Codes!$H:$H,MATCH($N1538,VAT_Codes!$A:$A,0)),"")&amp;"")</f>
        <v/>
      </c>
      <c r="Y1538" s="24" t="str">
        <f aca="false">IF($A1538="","",(YEAR($A1538)-YEAR(Settings!$C$8))*12+MONTH($A1538)-MONTH(Settings!$C$8)+1)</f>
        <v/>
      </c>
      <c r="Z1538" s="24" t="str">
        <f aca="false">IF(AND($C1538="",$I1538="",$J1538=""),"",IF($N1538="","NO VAT CODE",IF($T1538="","UNKNOWN VAT CODE",IF($S1538="","MISSING FX RATE",IF(OR($A1538&lt;Settings!$C$8,$A1538&gt;Settings!$C$9),"OUTSIDE PERIOD",IF(AND(IFERROR(INDEX(VAT_Codes!$E:$E,MATCH($N1538,VAT_Codes!$A:$A,0)),"ANY")&lt;&gt;"ANY",$P1538=""),"MISSING COUNTERPARTY COUNTRY",IF(AND(IFERROR(INDEX(VAT_Codes!$E:$E,MATCH($N1538,VAT_Codes!$A:$A,0)),"ANY")&lt;&gt;"ANY",$P1538&lt;&gt;IFERROR(INDEX(VAT_Codes!$E:$E,MATCH($N1538,VAT_Codes!$A:$A,0)),"ANY")),"REGION MISMATCH","OK")))))))</f>
        <v/>
      </c>
    </row>
    <row r="1539" customFormat="false" ht="15" hidden="false" customHeight="false" outlineLevel="0" collapsed="false">
      <c r="M1539" s="24" t="str">
        <f aca="false">IF($C1539="","",IFERROR(INDEX(Account_Mapping!$C:$C,MATCH($C1539&amp;"",Account_Mapping!$A:$A,0))&amp;"",""))</f>
        <v/>
      </c>
      <c r="N1539" s="24" t="str">
        <f aca="false">IF($K1539&lt;&gt;"",$K1539,$M1539)</f>
        <v/>
      </c>
      <c r="O1539" s="24" t="str">
        <f aca="false">IF($F1539="","",IFERROR(INDEX(Counterparties!$C:$C,MATCH($F1539&amp;"",Counterparties!$A:$A,0))&amp;"",""))</f>
        <v/>
      </c>
      <c r="P1539" s="24" t="str">
        <f aca="false">IF($O1539="","",IF($O1539="CY","CY",IF(ISNUMBER(MATCH($O1539,Lists!$A:$A,0)),"EU","3RD")))</f>
        <v/>
      </c>
      <c r="Q1539" s="24" t="str">
        <f aca="false">IF($F1539="","N",IFERROR(IF(INDEX(Counterparties!$E:$E,MATCH($F1539&amp;"",Counterparties!$A:$A,0))="Y","Y","N"),"N"))</f>
        <v>N</v>
      </c>
      <c r="R1539" s="25" t="n">
        <f aca="false">IF(OR($H1539="",$H1539="EUR"),1,IFERROR(INDEX(FX_Rates!$D:$D,MATCH($H1539,FX_Rates!$A:$A,0)),""))</f>
        <v>1</v>
      </c>
      <c r="S1539" s="26" t="str">
        <f aca="false">IF(AND($I1539="",$J1539=""),"",IF($J1539&lt;&gt;"",$J1539,IF(OR($R1539="",$R1539=0),"",ROUND($I1539/$R1539,2))))</f>
        <v/>
      </c>
      <c r="T1539" s="24" t="str">
        <f aca="false">IF($N1539="","",IFERROR(INDEX(VAT_Codes!$C:$C,MATCH($N1539,VAT_Codes!$A:$A,0)),"")&amp;"")</f>
        <v/>
      </c>
      <c r="U1539" s="26" t="n">
        <f aca="false">IF(OR($S1539="",$T1539="",$T1539="None"),0,IF($T1539="Output",-$S1539,$S1539))</f>
        <v>0</v>
      </c>
      <c r="V1539" s="27" t="n">
        <f aca="false">IF($N1539="",0,IFERROR(INDEX(VAT_Codes!$D:$D,MATCH($N1539,VAT_Codes!$A:$A,0)),0))</f>
        <v>0</v>
      </c>
      <c r="W1539" s="26" t="n">
        <f aca="false">IF($U1539=0,0,IF(IFERROR(INDEX(VAT_Codes!$F:$F,MATCH($N1539,VAT_Codes!$A:$A,0)),"N")="Y",$U1539,IF($L1539&lt;&gt;"",ROUND(ABS($L1539)/IF(OR($R1539="",$R1539=0),1,$R1539),2)*SIGN($U1539),ROUND($U1539*$V1539,2))))</f>
        <v>0</v>
      </c>
      <c r="X1539" s="24" t="str">
        <f aca="false">IF($N1539="","",IFERROR(INDEX(VAT_Codes!$H:$H,MATCH($N1539,VAT_Codes!$A:$A,0)),"")&amp;"")</f>
        <v/>
      </c>
      <c r="Y1539" s="24" t="str">
        <f aca="false">IF($A1539="","",(YEAR($A1539)-YEAR(Settings!$C$8))*12+MONTH($A1539)-MONTH(Settings!$C$8)+1)</f>
        <v/>
      </c>
      <c r="Z1539" s="24" t="str">
        <f aca="false">IF(AND($C1539="",$I1539="",$J1539=""),"",IF($N1539="","NO VAT CODE",IF($T1539="","UNKNOWN VAT CODE",IF($S1539="","MISSING FX RATE",IF(OR($A1539&lt;Settings!$C$8,$A1539&gt;Settings!$C$9),"OUTSIDE PERIOD",IF(AND(IFERROR(INDEX(VAT_Codes!$E:$E,MATCH($N1539,VAT_Codes!$A:$A,0)),"ANY")&lt;&gt;"ANY",$P1539=""),"MISSING COUNTERPARTY COUNTRY",IF(AND(IFERROR(INDEX(VAT_Codes!$E:$E,MATCH($N1539,VAT_Codes!$A:$A,0)),"ANY")&lt;&gt;"ANY",$P1539&lt;&gt;IFERROR(INDEX(VAT_Codes!$E:$E,MATCH($N1539,VAT_Codes!$A:$A,0)),"ANY")),"REGION MISMATCH","OK")))))))</f>
        <v/>
      </c>
    </row>
    <row r="1540" customFormat="false" ht="15" hidden="false" customHeight="false" outlineLevel="0" collapsed="false">
      <c r="M1540" s="24" t="str">
        <f aca="false">IF($C1540="","",IFERROR(INDEX(Account_Mapping!$C:$C,MATCH($C1540&amp;"",Account_Mapping!$A:$A,0))&amp;"",""))</f>
        <v/>
      </c>
      <c r="N1540" s="24" t="str">
        <f aca="false">IF($K1540&lt;&gt;"",$K1540,$M1540)</f>
        <v/>
      </c>
      <c r="O1540" s="24" t="str">
        <f aca="false">IF($F1540="","",IFERROR(INDEX(Counterparties!$C:$C,MATCH($F1540&amp;"",Counterparties!$A:$A,0))&amp;"",""))</f>
        <v/>
      </c>
      <c r="P1540" s="24" t="str">
        <f aca="false">IF($O1540="","",IF($O1540="CY","CY",IF(ISNUMBER(MATCH($O1540,Lists!$A:$A,0)),"EU","3RD")))</f>
        <v/>
      </c>
      <c r="Q1540" s="24" t="str">
        <f aca="false">IF($F1540="","N",IFERROR(IF(INDEX(Counterparties!$E:$E,MATCH($F1540&amp;"",Counterparties!$A:$A,0))="Y","Y","N"),"N"))</f>
        <v>N</v>
      </c>
      <c r="R1540" s="25" t="n">
        <f aca="false">IF(OR($H1540="",$H1540="EUR"),1,IFERROR(INDEX(FX_Rates!$D:$D,MATCH($H1540,FX_Rates!$A:$A,0)),""))</f>
        <v>1</v>
      </c>
      <c r="S1540" s="26" t="str">
        <f aca="false">IF(AND($I1540="",$J1540=""),"",IF($J1540&lt;&gt;"",$J1540,IF(OR($R1540="",$R1540=0),"",ROUND($I1540/$R1540,2))))</f>
        <v/>
      </c>
      <c r="T1540" s="24" t="str">
        <f aca="false">IF($N1540="","",IFERROR(INDEX(VAT_Codes!$C:$C,MATCH($N1540,VAT_Codes!$A:$A,0)),"")&amp;"")</f>
        <v/>
      </c>
      <c r="U1540" s="26" t="n">
        <f aca="false">IF(OR($S1540="",$T1540="",$T1540="None"),0,IF($T1540="Output",-$S1540,$S1540))</f>
        <v>0</v>
      </c>
      <c r="V1540" s="27" t="n">
        <f aca="false">IF($N1540="",0,IFERROR(INDEX(VAT_Codes!$D:$D,MATCH($N1540,VAT_Codes!$A:$A,0)),0))</f>
        <v>0</v>
      </c>
      <c r="W1540" s="26" t="n">
        <f aca="false">IF($U1540=0,0,IF(IFERROR(INDEX(VAT_Codes!$F:$F,MATCH($N1540,VAT_Codes!$A:$A,0)),"N")="Y",$U1540,IF($L1540&lt;&gt;"",ROUND(ABS($L1540)/IF(OR($R1540="",$R1540=0),1,$R1540),2)*SIGN($U1540),ROUND($U1540*$V1540,2))))</f>
        <v>0</v>
      </c>
      <c r="X1540" s="24" t="str">
        <f aca="false">IF($N1540="","",IFERROR(INDEX(VAT_Codes!$H:$H,MATCH($N1540,VAT_Codes!$A:$A,0)),"")&amp;"")</f>
        <v/>
      </c>
      <c r="Y1540" s="24" t="str">
        <f aca="false">IF($A1540="","",(YEAR($A1540)-YEAR(Settings!$C$8))*12+MONTH($A1540)-MONTH(Settings!$C$8)+1)</f>
        <v/>
      </c>
      <c r="Z1540" s="24" t="str">
        <f aca="false">IF(AND($C1540="",$I1540="",$J1540=""),"",IF($N1540="","NO VAT CODE",IF($T1540="","UNKNOWN VAT CODE",IF($S1540="","MISSING FX RATE",IF(OR($A1540&lt;Settings!$C$8,$A1540&gt;Settings!$C$9),"OUTSIDE PERIOD",IF(AND(IFERROR(INDEX(VAT_Codes!$E:$E,MATCH($N1540,VAT_Codes!$A:$A,0)),"ANY")&lt;&gt;"ANY",$P1540=""),"MISSING COUNTERPARTY COUNTRY",IF(AND(IFERROR(INDEX(VAT_Codes!$E:$E,MATCH($N1540,VAT_Codes!$A:$A,0)),"ANY")&lt;&gt;"ANY",$P1540&lt;&gt;IFERROR(INDEX(VAT_Codes!$E:$E,MATCH($N1540,VAT_Codes!$A:$A,0)),"ANY")),"REGION MISMATCH","OK")))))))</f>
        <v/>
      </c>
    </row>
    <row r="1541" customFormat="false" ht="15" hidden="false" customHeight="false" outlineLevel="0" collapsed="false">
      <c r="M1541" s="24" t="str">
        <f aca="false">IF($C1541="","",IFERROR(INDEX(Account_Mapping!$C:$C,MATCH($C1541&amp;"",Account_Mapping!$A:$A,0))&amp;"",""))</f>
        <v/>
      </c>
      <c r="N1541" s="24" t="str">
        <f aca="false">IF($K1541&lt;&gt;"",$K1541,$M1541)</f>
        <v/>
      </c>
      <c r="O1541" s="24" t="str">
        <f aca="false">IF($F1541="","",IFERROR(INDEX(Counterparties!$C:$C,MATCH($F1541&amp;"",Counterparties!$A:$A,0))&amp;"",""))</f>
        <v/>
      </c>
      <c r="P1541" s="24" t="str">
        <f aca="false">IF($O1541="","",IF($O1541="CY","CY",IF(ISNUMBER(MATCH($O1541,Lists!$A:$A,0)),"EU","3RD")))</f>
        <v/>
      </c>
      <c r="Q1541" s="24" t="str">
        <f aca="false">IF($F1541="","N",IFERROR(IF(INDEX(Counterparties!$E:$E,MATCH($F1541&amp;"",Counterparties!$A:$A,0))="Y","Y","N"),"N"))</f>
        <v>N</v>
      </c>
      <c r="R1541" s="25" t="n">
        <f aca="false">IF(OR($H1541="",$H1541="EUR"),1,IFERROR(INDEX(FX_Rates!$D:$D,MATCH($H1541,FX_Rates!$A:$A,0)),""))</f>
        <v>1</v>
      </c>
      <c r="S1541" s="26" t="str">
        <f aca="false">IF(AND($I1541="",$J1541=""),"",IF($J1541&lt;&gt;"",$J1541,IF(OR($R1541="",$R1541=0),"",ROUND($I1541/$R1541,2))))</f>
        <v/>
      </c>
      <c r="T1541" s="24" t="str">
        <f aca="false">IF($N1541="","",IFERROR(INDEX(VAT_Codes!$C:$C,MATCH($N1541,VAT_Codes!$A:$A,0)),"")&amp;"")</f>
        <v/>
      </c>
      <c r="U1541" s="26" t="n">
        <f aca="false">IF(OR($S1541="",$T1541="",$T1541="None"),0,IF($T1541="Output",-$S1541,$S1541))</f>
        <v>0</v>
      </c>
      <c r="V1541" s="27" t="n">
        <f aca="false">IF($N1541="",0,IFERROR(INDEX(VAT_Codes!$D:$D,MATCH($N1541,VAT_Codes!$A:$A,0)),0))</f>
        <v>0</v>
      </c>
      <c r="W1541" s="26" t="n">
        <f aca="false">IF($U1541=0,0,IF(IFERROR(INDEX(VAT_Codes!$F:$F,MATCH($N1541,VAT_Codes!$A:$A,0)),"N")="Y",$U1541,IF($L1541&lt;&gt;"",ROUND(ABS($L1541)/IF(OR($R1541="",$R1541=0),1,$R1541),2)*SIGN($U1541),ROUND($U1541*$V1541,2))))</f>
        <v>0</v>
      </c>
      <c r="X1541" s="24" t="str">
        <f aca="false">IF($N1541="","",IFERROR(INDEX(VAT_Codes!$H:$H,MATCH($N1541,VAT_Codes!$A:$A,0)),"")&amp;"")</f>
        <v/>
      </c>
      <c r="Y1541" s="24" t="str">
        <f aca="false">IF($A1541="","",(YEAR($A1541)-YEAR(Settings!$C$8))*12+MONTH($A1541)-MONTH(Settings!$C$8)+1)</f>
        <v/>
      </c>
      <c r="Z1541" s="24" t="str">
        <f aca="false">IF(AND($C1541="",$I1541="",$J1541=""),"",IF($N1541="","NO VAT CODE",IF($T1541="","UNKNOWN VAT CODE",IF($S1541="","MISSING FX RATE",IF(OR($A1541&lt;Settings!$C$8,$A1541&gt;Settings!$C$9),"OUTSIDE PERIOD",IF(AND(IFERROR(INDEX(VAT_Codes!$E:$E,MATCH($N1541,VAT_Codes!$A:$A,0)),"ANY")&lt;&gt;"ANY",$P1541=""),"MISSING COUNTERPARTY COUNTRY",IF(AND(IFERROR(INDEX(VAT_Codes!$E:$E,MATCH($N1541,VAT_Codes!$A:$A,0)),"ANY")&lt;&gt;"ANY",$P1541&lt;&gt;IFERROR(INDEX(VAT_Codes!$E:$E,MATCH($N1541,VAT_Codes!$A:$A,0)),"ANY")),"REGION MISMATCH","OK")))))))</f>
        <v/>
      </c>
    </row>
    <row r="1542" customFormat="false" ht="15" hidden="false" customHeight="false" outlineLevel="0" collapsed="false">
      <c r="M1542" s="24" t="str">
        <f aca="false">IF($C1542="","",IFERROR(INDEX(Account_Mapping!$C:$C,MATCH($C1542&amp;"",Account_Mapping!$A:$A,0))&amp;"",""))</f>
        <v/>
      </c>
      <c r="N1542" s="24" t="str">
        <f aca="false">IF($K1542&lt;&gt;"",$K1542,$M1542)</f>
        <v/>
      </c>
      <c r="O1542" s="24" t="str">
        <f aca="false">IF($F1542="","",IFERROR(INDEX(Counterparties!$C:$C,MATCH($F1542&amp;"",Counterparties!$A:$A,0))&amp;"",""))</f>
        <v/>
      </c>
      <c r="P1542" s="24" t="str">
        <f aca="false">IF($O1542="","",IF($O1542="CY","CY",IF(ISNUMBER(MATCH($O1542,Lists!$A:$A,0)),"EU","3RD")))</f>
        <v/>
      </c>
      <c r="Q1542" s="24" t="str">
        <f aca="false">IF($F1542="","N",IFERROR(IF(INDEX(Counterparties!$E:$E,MATCH($F1542&amp;"",Counterparties!$A:$A,0))="Y","Y","N"),"N"))</f>
        <v>N</v>
      </c>
      <c r="R1542" s="25" t="n">
        <f aca="false">IF(OR($H1542="",$H1542="EUR"),1,IFERROR(INDEX(FX_Rates!$D:$D,MATCH($H1542,FX_Rates!$A:$A,0)),""))</f>
        <v>1</v>
      </c>
      <c r="S1542" s="26" t="str">
        <f aca="false">IF(AND($I1542="",$J1542=""),"",IF($J1542&lt;&gt;"",$J1542,IF(OR($R1542="",$R1542=0),"",ROUND($I1542/$R1542,2))))</f>
        <v/>
      </c>
      <c r="T1542" s="24" t="str">
        <f aca="false">IF($N1542="","",IFERROR(INDEX(VAT_Codes!$C:$C,MATCH($N1542,VAT_Codes!$A:$A,0)),"")&amp;"")</f>
        <v/>
      </c>
      <c r="U1542" s="26" t="n">
        <f aca="false">IF(OR($S1542="",$T1542="",$T1542="None"),0,IF($T1542="Output",-$S1542,$S1542))</f>
        <v>0</v>
      </c>
      <c r="V1542" s="27" t="n">
        <f aca="false">IF($N1542="",0,IFERROR(INDEX(VAT_Codes!$D:$D,MATCH($N1542,VAT_Codes!$A:$A,0)),0))</f>
        <v>0</v>
      </c>
      <c r="W1542" s="26" t="n">
        <f aca="false">IF($U1542=0,0,IF(IFERROR(INDEX(VAT_Codes!$F:$F,MATCH($N1542,VAT_Codes!$A:$A,0)),"N")="Y",$U1542,IF($L1542&lt;&gt;"",ROUND(ABS($L1542)/IF(OR($R1542="",$R1542=0),1,$R1542),2)*SIGN($U1542),ROUND($U1542*$V1542,2))))</f>
        <v>0</v>
      </c>
      <c r="X1542" s="24" t="str">
        <f aca="false">IF($N1542="","",IFERROR(INDEX(VAT_Codes!$H:$H,MATCH($N1542,VAT_Codes!$A:$A,0)),"")&amp;"")</f>
        <v/>
      </c>
      <c r="Y1542" s="24" t="str">
        <f aca="false">IF($A1542="","",(YEAR($A1542)-YEAR(Settings!$C$8))*12+MONTH($A1542)-MONTH(Settings!$C$8)+1)</f>
        <v/>
      </c>
      <c r="Z1542" s="24" t="str">
        <f aca="false">IF(AND($C1542="",$I1542="",$J1542=""),"",IF($N1542="","NO VAT CODE",IF($T1542="","UNKNOWN VAT CODE",IF($S1542="","MISSING FX RATE",IF(OR($A1542&lt;Settings!$C$8,$A1542&gt;Settings!$C$9),"OUTSIDE PERIOD",IF(AND(IFERROR(INDEX(VAT_Codes!$E:$E,MATCH($N1542,VAT_Codes!$A:$A,0)),"ANY")&lt;&gt;"ANY",$P1542=""),"MISSING COUNTERPARTY COUNTRY",IF(AND(IFERROR(INDEX(VAT_Codes!$E:$E,MATCH($N1542,VAT_Codes!$A:$A,0)),"ANY")&lt;&gt;"ANY",$P1542&lt;&gt;IFERROR(INDEX(VAT_Codes!$E:$E,MATCH($N1542,VAT_Codes!$A:$A,0)),"ANY")),"REGION MISMATCH","OK")))))))</f>
        <v/>
      </c>
    </row>
    <row r="1543" customFormat="false" ht="15" hidden="false" customHeight="false" outlineLevel="0" collapsed="false">
      <c r="M1543" s="24" t="str">
        <f aca="false">IF($C1543="","",IFERROR(INDEX(Account_Mapping!$C:$C,MATCH($C1543&amp;"",Account_Mapping!$A:$A,0))&amp;"",""))</f>
        <v/>
      </c>
      <c r="N1543" s="24" t="str">
        <f aca="false">IF($K1543&lt;&gt;"",$K1543,$M1543)</f>
        <v/>
      </c>
      <c r="O1543" s="24" t="str">
        <f aca="false">IF($F1543="","",IFERROR(INDEX(Counterparties!$C:$C,MATCH($F1543&amp;"",Counterparties!$A:$A,0))&amp;"",""))</f>
        <v/>
      </c>
      <c r="P1543" s="24" t="str">
        <f aca="false">IF($O1543="","",IF($O1543="CY","CY",IF(ISNUMBER(MATCH($O1543,Lists!$A:$A,0)),"EU","3RD")))</f>
        <v/>
      </c>
      <c r="Q1543" s="24" t="str">
        <f aca="false">IF($F1543="","N",IFERROR(IF(INDEX(Counterparties!$E:$E,MATCH($F1543&amp;"",Counterparties!$A:$A,0))="Y","Y","N"),"N"))</f>
        <v>N</v>
      </c>
      <c r="R1543" s="25" t="n">
        <f aca="false">IF(OR($H1543="",$H1543="EUR"),1,IFERROR(INDEX(FX_Rates!$D:$D,MATCH($H1543,FX_Rates!$A:$A,0)),""))</f>
        <v>1</v>
      </c>
      <c r="S1543" s="26" t="str">
        <f aca="false">IF(AND($I1543="",$J1543=""),"",IF($J1543&lt;&gt;"",$J1543,IF(OR($R1543="",$R1543=0),"",ROUND($I1543/$R1543,2))))</f>
        <v/>
      </c>
      <c r="T1543" s="24" t="str">
        <f aca="false">IF($N1543="","",IFERROR(INDEX(VAT_Codes!$C:$C,MATCH($N1543,VAT_Codes!$A:$A,0)),"")&amp;"")</f>
        <v/>
      </c>
      <c r="U1543" s="26" t="n">
        <f aca="false">IF(OR($S1543="",$T1543="",$T1543="None"),0,IF($T1543="Output",-$S1543,$S1543))</f>
        <v>0</v>
      </c>
      <c r="V1543" s="27" t="n">
        <f aca="false">IF($N1543="",0,IFERROR(INDEX(VAT_Codes!$D:$D,MATCH($N1543,VAT_Codes!$A:$A,0)),0))</f>
        <v>0</v>
      </c>
      <c r="W1543" s="26" t="n">
        <f aca="false">IF($U1543=0,0,IF(IFERROR(INDEX(VAT_Codes!$F:$F,MATCH($N1543,VAT_Codes!$A:$A,0)),"N")="Y",$U1543,IF($L1543&lt;&gt;"",ROUND(ABS($L1543)/IF(OR($R1543="",$R1543=0),1,$R1543),2)*SIGN($U1543),ROUND($U1543*$V1543,2))))</f>
        <v>0</v>
      </c>
      <c r="X1543" s="24" t="str">
        <f aca="false">IF($N1543="","",IFERROR(INDEX(VAT_Codes!$H:$H,MATCH($N1543,VAT_Codes!$A:$A,0)),"")&amp;"")</f>
        <v/>
      </c>
      <c r="Y1543" s="24" t="str">
        <f aca="false">IF($A1543="","",(YEAR($A1543)-YEAR(Settings!$C$8))*12+MONTH($A1543)-MONTH(Settings!$C$8)+1)</f>
        <v/>
      </c>
      <c r="Z1543" s="24" t="str">
        <f aca="false">IF(AND($C1543="",$I1543="",$J1543=""),"",IF($N1543="","NO VAT CODE",IF($T1543="","UNKNOWN VAT CODE",IF($S1543="","MISSING FX RATE",IF(OR($A1543&lt;Settings!$C$8,$A1543&gt;Settings!$C$9),"OUTSIDE PERIOD",IF(AND(IFERROR(INDEX(VAT_Codes!$E:$E,MATCH($N1543,VAT_Codes!$A:$A,0)),"ANY")&lt;&gt;"ANY",$P1543=""),"MISSING COUNTERPARTY COUNTRY",IF(AND(IFERROR(INDEX(VAT_Codes!$E:$E,MATCH($N1543,VAT_Codes!$A:$A,0)),"ANY")&lt;&gt;"ANY",$P1543&lt;&gt;IFERROR(INDEX(VAT_Codes!$E:$E,MATCH($N1543,VAT_Codes!$A:$A,0)),"ANY")),"REGION MISMATCH","OK")))))))</f>
        <v/>
      </c>
    </row>
    <row r="1544" customFormat="false" ht="15" hidden="false" customHeight="false" outlineLevel="0" collapsed="false">
      <c r="M1544" s="24" t="str">
        <f aca="false">IF($C1544="","",IFERROR(INDEX(Account_Mapping!$C:$C,MATCH($C1544&amp;"",Account_Mapping!$A:$A,0))&amp;"",""))</f>
        <v/>
      </c>
      <c r="N1544" s="24" t="str">
        <f aca="false">IF($K1544&lt;&gt;"",$K1544,$M1544)</f>
        <v/>
      </c>
      <c r="O1544" s="24" t="str">
        <f aca="false">IF($F1544="","",IFERROR(INDEX(Counterparties!$C:$C,MATCH($F1544&amp;"",Counterparties!$A:$A,0))&amp;"",""))</f>
        <v/>
      </c>
      <c r="P1544" s="24" t="str">
        <f aca="false">IF($O1544="","",IF($O1544="CY","CY",IF(ISNUMBER(MATCH($O1544,Lists!$A:$A,0)),"EU","3RD")))</f>
        <v/>
      </c>
      <c r="Q1544" s="24" t="str">
        <f aca="false">IF($F1544="","N",IFERROR(IF(INDEX(Counterparties!$E:$E,MATCH($F1544&amp;"",Counterparties!$A:$A,0))="Y","Y","N"),"N"))</f>
        <v>N</v>
      </c>
      <c r="R1544" s="25" t="n">
        <f aca="false">IF(OR($H1544="",$H1544="EUR"),1,IFERROR(INDEX(FX_Rates!$D:$D,MATCH($H1544,FX_Rates!$A:$A,0)),""))</f>
        <v>1</v>
      </c>
      <c r="S1544" s="26" t="str">
        <f aca="false">IF(AND($I1544="",$J1544=""),"",IF($J1544&lt;&gt;"",$J1544,IF(OR($R1544="",$R1544=0),"",ROUND($I1544/$R1544,2))))</f>
        <v/>
      </c>
      <c r="T1544" s="24" t="str">
        <f aca="false">IF($N1544="","",IFERROR(INDEX(VAT_Codes!$C:$C,MATCH($N1544,VAT_Codes!$A:$A,0)),"")&amp;"")</f>
        <v/>
      </c>
      <c r="U1544" s="26" t="n">
        <f aca="false">IF(OR($S1544="",$T1544="",$T1544="None"),0,IF($T1544="Output",-$S1544,$S1544))</f>
        <v>0</v>
      </c>
      <c r="V1544" s="27" t="n">
        <f aca="false">IF($N1544="",0,IFERROR(INDEX(VAT_Codes!$D:$D,MATCH($N1544,VAT_Codes!$A:$A,0)),0))</f>
        <v>0</v>
      </c>
      <c r="W1544" s="26" t="n">
        <f aca="false">IF($U1544=0,0,IF(IFERROR(INDEX(VAT_Codes!$F:$F,MATCH($N1544,VAT_Codes!$A:$A,0)),"N")="Y",$U1544,IF($L1544&lt;&gt;"",ROUND(ABS($L1544)/IF(OR($R1544="",$R1544=0),1,$R1544),2)*SIGN($U1544),ROUND($U1544*$V1544,2))))</f>
        <v>0</v>
      </c>
      <c r="X1544" s="24" t="str">
        <f aca="false">IF($N1544="","",IFERROR(INDEX(VAT_Codes!$H:$H,MATCH($N1544,VAT_Codes!$A:$A,0)),"")&amp;"")</f>
        <v/>
      </c>
      <c r="Y1544" s="24" t="str">
        <f aca="false">IF($A1544="","",(YEAR($A1544)-YEAR(Settings!$C$8))*12+MONTH($A1544)-MONTH(Settings!$C$8)+1)</f>
        <v/>
      </c>
      <c r="Z1544" s="24" t="str">
        <f aca="false">IF(AND($C1544="",$I1544="",$J1544=""),"",IF($N1544="","NO VAT CODE",IF($T1544="","UNKNOWN VAT CODE",IF($S1544="","MISSING FX RATE",IF(OR($A1544&lt;Settings!$C$8,$A1544&gt;Settings!$C$9),"OUTSIDE PERIOD",IF(AND(IFERROR(INDEX(VAT_Codes!$E:$E,MATCH($N1544,VAT_Codes!$A:$A,0)),"ANY")&lt;&gt;"ANY",$P1544=""),"MISSING COUNTERPARTY COUNTRY",IF(AND(IFERROR(INDEX(VAT_Codes!$E:$E,MATCH($N1544,VAT_Codes!$A:$A,0)),"ANY")&lt;&gt;"ANY",$P1544&lt;&gt;IFERROR(INDEX(VAT_Codes!$E:$E,MATCH($N1544,VAT_Codes!$A:$A,0)),"ANY")),"REGION MISMATCH","OK")))))))</f>
        <v/>
      </c>
    </row>
    <row r="1545" customFormat="false" ht="15" hidden="false" customHeight="false" outlineLevel="0" collapsed="false">
      <c r="M1545" s="24" t="str">
        <f aca="false">IF($C1545="","",IFERROR(INDEX(Account_Mapping!$C:$C,MATCH($C1545&amp;"",Account_Mapping!$A:$A,0))&amp;"",""))</f>
        <v/>
      </c>
      <c r="N1545" s="24" t="str">
        <f aca="false">IF($K1545&lt;&gt;"",$K1545,$M1545)</f>
        <v/>
      </c>
      <c r="O1545" s="24" t="str">
        <f aca="false">IF($F1545="","",IFERROR(INDEX(Counterparties!$C:$C,MATCH($F1545&amp;"",Counterparties!$A:$A,0))&amp;"",""))</f>
        <v/>
      </c>
      <c r="P1545" s="24" t="str">
        <f aca="false">IF($O1545="","",IF($O1545="CY","CY",IF(ISNUMBER(MATCH($O1545,Lists!$A:$A,0)),"EU","3RD")))</f>
        <v/>
      </c>
      <c r="Q1545" s="24" t="str">
        <f aca="false">IF($F1545="","N",IFERROR(IF(INDEX(Counterparties!$E:$E,MATCH($F1545&amp;"",Counterparties!$A:$A,0))="Y","Y","N"),"N"))</f>
        <v>N</v>
      </c>
      <c r="R1545" s="25" t="n">
        <f aca="false">IF(OR($H1545="",$H1545="EUR"),1,IFERROR(INDEX(FX_Rates!$D:$D,MATCH($H1545,FX_Rates!$A:$A,0)),""))</f>
        <v>1</v>
      </c>
      <c r="S1545" s="26" t="str">
        <f aca="false">IF(AND($I1545="",$J1545=""),"",IF($J1545&lt;&gt;"",$J1545,IF(OR($R1545="",$R1545=0),"",ROUND($I1545/$R1545,2))))</f>
        <v/>
      </c>
      <c r="T1545" s="24" t="str">
        <f aca="false">IF($N1545="","",IFERROR(INDEX(VAT_Codes!$C:$C,MATCH($N1545,VAT_Codes!$A:$A,0)),"")&amp;"")</f>
        <v/>
      </c>
      <c r="U1545" s="26" t="n">
        <f aca="false">IF(OR($S1545="",$T1545="",$T1545="None"),0,IF($T1545="Output",-$S1545,$S1545))</f>
        <v>0</v>
      </c>
      <c r="V1545" s="27" t="n">
        <f aca="false">IF($N1545="",0,IFERROR(INDEX(VAT_Codes!$D:$D,MATCH($N1545,VAT_Codes!$A:$A,0)),0))</f>
        <v>0</v>
      </c>
      <c r="W1545" s="26" t="n">
        <f aca="false">IF($U1545=0,0,IF(IFERROR(INDEX(VAT_Codes!$F:$F,MATCH($N1545,VAT_Codes!$A:$A,0)),"N")="Y",$U1545,IF($L1545&lt;&gt;"",ROUND(ABS($L1545)/IF(OR($R1545="",$R1545=0),1,$R1545),2)*SIGN($U1545),ROUND($U1545*$V1545,2))))</f>
        <v>0</v>
      </c>
      <c r="X1545" s="24" t="str">
        <f aca="false">IF($N1545="","",IFERROR(INDEX(VAT_Codes!$H:$H,MATCH($N1545,VAT_Codes!$A:$A,0)),"")&amp;"")</f>
        <v/>
      </c>
      <c r="Y1545" s="24" t="str">
        <f aca="false">IF($A1545="","",(YEAR($A1545)-YEAR(Settings!$C$8))*12+MONTH($A1545)-MONTH(Settings!$C$8)+1)</f>
        <v/>
      </c>
      <c r="Z1545" s="24" t="str">
        <f aca="false">IF(AND($C1545="",$I1545="",$J1545=""),"",IF($N1545="","NO VAT CODE",IF($T1545="","UNKNOWN VAT CODE",IF($S1545="","MISSING FX RATE",IF(OR($A1545&lt;Settings!$C$8,$A1545&gt;Settings!$C$9),"OUTSIDE PERIOD",IF(AND(IFERROR(INDEX(VAT_Codes!$E:$E,MATCH($N1545,VAT_Codes!$A:$A,0)),"ANY")&lt;&gt;"ANY",$P1545=""),"MISSING COUNTERPARTY COUNTRY",IF(AND(IFERROR(INDEX(VAT_Codes!$E:$E,MATCH($N1545,VAT_Codes!$A:$A,0)),"ANY")&lt;&gt;"ANY",$P1545&lt;&gt;IFERROR(INDEX(VAT_Codes!$E:$E,MATCH($N1545,VAT_Codes!$A:$A,0)),"ANY")),"REGION MISMATCH","OK")))))))</f>
        <v/>
      </c>
    </row>
    <row r="1546" customFormat="false" ht="15" hidden="false" customHeight="false" outlineLevel="0" collapsed="false">
      <c r="M1546" s="24" t="str">
        <f aca="false">IF($C1546="","",IFERROR(INDEX(Account_Mapping!$C:$C,MATCH($C1546&amp;"",Account_Mapping!$A:$A,0))&amp;"",""))</f>
        <v/>
      </c>
      <c r="N1546" s="24" t="str">
        <f aca="false">IF($K1546&lt;&gt;"",$K1546,$M1546)</f>
        <v/>
      </c>
      <c r="O1546" s="24" t="str">
        <f aca="false">IF($F1546="","",IFERROR(INDEX(Counterparties!$C:$C,MATCH($F1546&amp;"",Counterparties!$A:$A,0))&amp;"",""))</f>
        <v/>
      </c>
      <c r="P1546" s="24" t="str">
        <f aca="false">IF($O1546="","",IF($O1546="CY","CY",IF(ISNUMBER(MATCH($O1546,Lists!$A:$A,0)),"EU","3RD")))</f>
        <v/>
      </c>
      <c r="Q1546" s="24" t="str">
        <f aca="false">IF($F1546="","N",IFERROR(IF(INDEX(Counterparties!$E:$E,MATCH($F1546&amp;"",Counterparties!$A:$A,0))="Y","Y","N"),"N"))</f>
        <v>N</v>
      </c>
      <c r="R1546" s="25" t="n">
        <f aca="false">IF(OR($H1546="",$H1546="EUR"),1,IFERROR(INDEX(FX_Rates!$D:$D,MATCH($H1546,FX_Rates!$A:$A,0)),""))</f>
        <v>1</v>
      </c>
      <c r="S1546" s="26" t="str">
        <f aca="false">IF(AND($I1546="",$J1546=""),"",IF($J1546&lt;&gt;"",$J1546,IF(OR($R1546="",$R1546=0),"",ROUND($I1546/$R1546,2))))</f>
        <v/>
      </c>
      <c r="T1546" s="24" t="str">
        <f aca="false">IF($N1546="","",IFERROR(INDEX(VAT_Codes!$C:$C,MATCH($N1546,VAT_Codes!$A:$A,0)),"")&amp;"")</f>
        <v/>
      </c>
      <c r="U1546" s="26" t="n">
        <f aca="false">IF(OR($S1546="",$T1546="",$T1546="None"),0,IF($T1546="Output",-$S1546,$S1546))</f>
        <v>0</v>
      </c>
      <c r="V1546" s="27" t="n">
        <f aca="false">IF($N1546="",0,IFERROR(INDEX(VAT_Codes!$D:$D,MATCH($N1546,VAT_Codes!$A:$A,0)),0))</f>
        <v>0</v>
      </c>
      <c r="W1546" s="26" t="n">
        <f aca="false">IF($U1546=0,0,IF(IFERROR(INDEX(VAT_Codes!$F:$F,MATCH($N1546,VAT_Codes!$A:$A,0)),"N")="Y",$U1546,IF($L1546&lt;&gt;"",ROUND(ABS($L1546)/IF(OR($R1546="",$R1546=0),1,$R1546),2)*SIGN($U1546),ROUND($U1546*$V1546,2))))</f>
        <v>0</v>
      </c>
      <c r="X1546" s="24" t="str">
        <f aca="false">IF($N1546="","",IFERROR(INDEX(VAT_Codes!$H:$H,MATCH($N1546,VAT_Codes!$A:$A,0)),"")&amp;"")</f>
        <v/>
      </c>
      <c r="Y1546" s="24" t="str">
        <f aca="false">IF($A1546="","",(YEAR($A1546)-YEAR(Settings!$C$8))*12+MONTH($A1546)-MONTH(Settings!$C$8)+1)</f>
        <v/>
      </c>
      <c r="Z1546" s="24" t="str">
        <f aca="false">IF(AND($C1546="",$I1546="",$J1546=""),"",IF($N1546="","NO VAT CODE",IF($T1546="","UNKNOWN VAT CODE",IF($S1546="","MISSING FX RATE",IF(OR($A1546&lt;Settings!$C$8,$A1546&gt;Settings!$C$9),"OUTSIDE PERIOD",IF(AND(IFERROR(INDEX(VAT_Codes!$E:$E,MATCH($N1546,VAT_Codes!$A:$A,0)),"ANY")&lt;&gt;"ANY",$P1546=""),"MISSING COUNTERPARTY COUNTRY",IF(AND(IFERROR(INDEX(VAT_Codes!$E:$E,MATCH($N1546,VAT_Codes!$A:$A,0)),"ANY")&lt;&gt;"ANY",$P1546&lt;&gt;IFERROR(INDEX(VAT_Codes!$E:$E,MATCH($N1546,VAT_Codes!$A:$A,0)),"ANY")),"REGION MISMATCH","OK")))))))</f>
        <v/>
      </c>
    </row>
    <row r="1547" customFormat="false" ht="15" hidden="false" customHeight="false" outlineLevel="0" collapsed="false">
      <c r="M1547" s="24" t="str">
        <f aca="false">IF($C1547="","",IFERROR(INDEX(Account_Mapping!$C:$C,MATCH($C1547&amp;"",Account_Mapping!$A:$A,0))&amp;"",""))</f>
        <v/>
      </c>
      <c r="N1547" s="24" t="str">
        <f aca="false">IF($K1547&lt;&gt;"",$K1547,$M1547)</f>
        <v/>
      </c>
      <c r="O1547" s="24" t="str">
        <f aca="false">IF($F1547="","",IFERROR(INDEX(Counterparties!$C:$C,MATCH($F1547&amp;"",Counterparties!$A:$A,0))&amp;"",""))</f>
        <v/>
      </c>
      <c r="P1547" s="24" t="str">
        <f aca="false">IF($O1547="","",IF($O1547="CY","CY",IF(ISNUMBER(MATCH($O1547,Lists!$A:$A,0)),"EU","3RD")))</f>
        <v/>
      </c>
      <c r="Q1547" s="24" t="str">
        <f aca="false">IF($F1547="","N",IFERROR(IF(INDEX(Counterparties!$E:$E,MATCH($F1547&amp;"",Counterparties!$A:$A,0))="Y","Y","N"),"N"))</f>
        <v>N</v>
      </c>
      <c r="R1547" s="25" t="n">
        <f aca="false">IF(OR($H1547="",$H1547="EUR"),1,IFERROR(INDEX(FX_Rates!$D:$D,MATCH($H1547,FX_Rates!$A:$A,0)),""))</f>
        <v>1</v>
      </c>
      <c r="S1547" s="26" t="str">
        <f aca="false">IF(AND($I1547="",$J1547=""),"",IF($J1547&lt;&gt;"",$J1547,IF(OR($R1547="",$R1547=0),"",ROUND($I1547/$R1547,2))))</f>
        <v/>
      </c>
      <c r="T1547" s="24" t="str">
        <f aca="false">IF($N1547="","",IFERROR(INDEX(VAT_Codes!$C:$C,MATCH($N1547,VAT_Codes!$A:$A,0)),"")&amp;"")</f>
        <v/>
      </c>
      <c r="U1547" s="26" t="n">
        <f aca="false">IF(OR($S1547="",$T1547="",$T1547="None"),0,IF($T1547="Output",-$S1547,$S1547))</f>
        <v>0</v>
      </c>
      <c r="V1547" s="27" t="n">
        <f aca="false">IF($N1547="",0,IFERROR(INDEX(VAT_Codes!$D:$D,MATCH($N1547,VAT_Codes!$A:$A,0)),0))</f>
        <v>0</v>
      </c>
      <c r="W1547" s="26" t="n">
        <f aca="false">IF($U1547=0,0,IF(IFERROR(INDEX(VAT_Codes!$F:$F,MATCH($N1547,VAT_Codes!$A:$A,0)),"N")="Y",$U1547,IF($L1547&lt;&gt;"",ROUND(ABS($L1547)/IF(OR($R1547="",$R1547=0),1,$R1547),2)*SIGN($U1547),ROUND($U1547*$V1547,2))))</f>
        <v>0</v>
      </c>
      <c r="X1547" s="24" t="str">
        <f aca="false">IF($N1547="","",IFERROR(INDEX(VAT_Codes!$H:$H,MATCH($N1547,VAT_Codes!$A:$A,0)),"")&amp;"")</f>
        <v/>
      </c>
      <c r="Y1547" s="24" t="str">
        <f aca="false">IF($A1547="","",(YEAR($A1547)-YEAR(Settings!$C$8))*12+MONTH($A1547)-MONTH(Settings!$C$8)+1)</f>
        <v/>
      </c>
      <c r="Z1547" s="24" t="str">
        <f aca="false">IF(AND($C1547="",$I1547="",$J1547=""),"",IF($N1547="","NO VAT CODE",IF($T1547="","UNKNOWN VAT CODE",IF($S1547="","MISSING FX RATE",IF(OR($A1547&lt;Settings!$C$8,$A1547&gt;Settings!$C$9),"OUTSIDE PERIOD",IF(AND(IFERROR(INDEX(VAT_Codes!$E:$E,MATCH($N1547,VAT_Codes!$A:$A,0)),"ANY")&lt;&gt;"ANY",$P1547=""),"MISSING COUNTERPARTY COUNTRY",IF(AND(IFERROR(INDEX(VAT_Codes!$E:$E,MATCH($N1547,VAT_Codes!$A:$A,0)),"ANY")&lt;&gt;"ANY",$P1547&lt;&gt;IFERROR(INDEX(VAT_Codes!$E:$E,MATCH($N1547,VAT_Codes!$A:$A,0)),"ANY")),"REGION MISMATCH","OK")))))))</f>
        <v/>
      </c>
    </row>
    <row r="1548" customFormat="false" ht="15" hidden="false" customHeight="false" outlineLevel="0" collapsed="false">
      <c r="M1548" s="24" t="str">
        <f aca="false">IF($C1548="","",IFERROR(INDEX(Account_Mapping!$C:$C,MATCH($C1548&amp;"",Account_Mapping!$A:$A,0))&amp;"",""))</f>
        <v/>
      </c>
      <c r="N1548" s="24" t="str">
        <f aca="false">IF($K1548&lt;&gt;"",$K1548,$M1548)</f>
        <v/>
      </c>
      <c r="O1548" s="24" t="str">
        <f aca="false">IF($F1548="","",IFERROR(INDEX(Counterparties!$C:$C,MATCH($F1548&amp;"",Counterparties!$A:$A,0))&amp;"",""))</f>
        <v/>
      </c>
      <c r="P1548" s="24" t="str">
        <f aca="false">IF($O1548="","",IF($O1548="CY","CY",IF(ISNUMBER(MATCH($O1548,Lists!$A:$A,0)),"EU","3RD")))</f>
        <v/>
      </c>
      <c r="Q1548" s="24" t="str">
        <f aca="false">IF($F1548="","N",IFERROR(IF(INDEX(Counterparties!$E:$E,MATCH($F1548&amp;"",Counterparties!$A:$A,0))="Y","Y","N"),"N"))</f>
        <v>N</v>
      </c>
      <c r="R1548" s="25" t="n">
        <f aca="false">IF(OR($H1548="",$H1548="EUR"),1,IFERROR(INDEX(FX_Rates!$D:$D,MATCH($H1548,FX_Rates!$A:$A,0)),""))</f>
        <v>1</v>
      </c>
      <c r="S1548" s="26" t="str">
        <f aca="false">IF(AND($I1548="",$J1548=""),"",IF($J1548&lt;&gt;"",$J1548,IF(OR($R1548="",$R1548=0),"",ROUND($I1548/$R1548,2))))</f>
        <v/>
      </c>
      <c r="T1548" s="24" t="str">
        <f aca="false">IF($N1548="","",IFERROR(INDEX(VAT_Codes!$C:$C,MATCH($N1548,VAT_Codes!$A:$A,0)),"")&amp;"")</f>
        <v/>
      </c>
      <c r="U1548" s="26" t="n">
        <f aca="false">IF(OR($S1548="",$T1548="",$T1548="None"),0,IF($T1548="Output",-$S1548,$S1548))</f>
        <v>0</v>
      </c>
      <c r="V1548" s="27" t="n">
        <f aca="false">IF($N1548="",0,IFERROR(INDEX(VAT_Codes!$D:$D,MATCH($N1548,VAT_Codes!$A:$A,0)),0))</f>
        <v>0</v>
      </c>
      <c r="W1548" s="26" t="n">
        <f aca="false">IF($U1548=0,0,IF(IFERROR(INDEX(VAT_Codes!$F:$F,MATCH($N1548,VAT_Codes!$A:$A,0)),"N")="Y",$U1548,IF($L1548&lt;&gt;"",ROUND(ABS($L1548)/IF(OR($R1548="",$R1548=0),1,$R1548),2)*SIGN($U1548),ROUND($U1548*$V1548,2))))</f>
        <v>0</v>
      </c>
      <c r="X1548" s="24" t="str">
        <f aca="false">IF($N1548="","",IFERROR(INDEX(VAT_Codes!$H:$H,MATCH($N1548,VAT_Codes!$A:$A,0)),"")&amp;"")</f>
        <v/>
      </c>
      <c r="Y1548" s="24" t="str">
        <f aca="false">IF($A1548="","",(YEAR($A1548)-YEAR(Settings!$C$8))*12+MONTH($A1548)-MONTH(Settings!$C$8)+1)</f>
        <v/>
      </c>
      <c r="Z1548" s="24" t="str">
        <f aca="false">IF(AND($C1548="",$I1548="",$J1548=""),"",IF($N1548="","NO VAT CODE",IF($T1548="","UNKNOWN VAT CODE",IF($S1548="","MISSING FX RATE",IF(OR($A1548&lt;Settings!$C$8,$A1548&gt;Settings!$C$9),"OUTSIDE PERIOD",IF(AND(IFERROR(INDEX(VAT_Codes!$E:$E,MATCH($N1548,VAT_Codes!$A:$A,0)),"ANY")&lt;&gt;"ANY",$P1548=""),"MISSING COUNTERPARTY COUNTRY",IF(AND(IFERROR(INDEX(VAT_Codes!$E:$E,MATCH($N1548,VAT_Codes!$A:$A,0)),"ANY")&lt;&gt;"ANY",$P1548&lt;&gt;IFERROR(INDEX(VAT_Codes!$E:$E,MATCH($N1548,VAT_Codes!$A:$A,0)),"ANY")),"REGION MISMATCH","OK")))))))</f>
        <v/>
      </c>
    </row>
    <row r="1549" customFormat="false" ht="15" hidden="false" customHeight="false" outlineLevel="0" collapsed="false">
      <c r="M1549" s="24" t="str">
        <f aca="false">IF($C1549="","",IFERROR(INDEX(Account_Mapping!$C:$C,MATCH($C1549&amp;"",Account_Mapping!$A:$A,0))&amp;"",""))</f>
        <v/>
      </c>
      <c r="N1549" s="24" t="str">
        <f aca="false">IF($K1549&lt;&gt;"",$K1549,$M1549)</f>
        <v/>
      </c>
      <c r="O1549" s="24" t="str">
        <f aca="false">IF($F1549="","",IFERROR(INDEX(Counterparties!$C:$C,MATCH($F1549&amp;"",Counterparties!$A:$A,0))&amp;"",""))</f>
        <v/>
      </c>
      <c r="P1549" s="24" t="str">
        <f aca="false">IF($O1549="","",IF($O1549="CY","CY",IF(ISNUMBER(MATCH($O1549,Lists!$A:$A,0)),"EU","3RD")))</f>
        <v/>
      </c>
      <c r="Q1549" s="24" t="str">
        <f aca="false">IF($F1549="","N",IFERROR(IF(INDEX(Counterparties!$E:$E,MATCH($F1549&amp;"",Counterparties!$A:$A,0))="Y","Y","N"),"N"))</f>
        <v>N</v>
      </c>
      <c r="R1549" s="25" t="n">
        <f aca="false">IF(OR($H1549="",$H1549="EUR"),1,IFERROR(INDEX(FX_Rates!$D:$D,MATCH($H1549,FX_Rates!$A:$A,0)),""))</f>
        <v>1</v>
      </c>
      <c r="S1549" s="26" t="str">
        <f aca="false">IF(AND($I1549="",$J1549=""),"",IF($J1549&lt;&gt;"",$J1549,IF(OR($R1549="",$R1549=0),"",ROUND($I1549/$R1549,2))))</f>
        <v/>
      </c>
      <c r="T1549" s="24" t="str">
        <f aca="false">IF($N1549="","",IFERROR(INDEX(VAT_Codes!$C:$C,MATCH($N1549,VAT_Codes!$A:$A,0)),"")&amp;"")</f>
        <v/>
      </c>
      <c r="U1549" s="26" t="n">
        <f aca="false">IF(OR($S1549="",$T1549="",$T1549="None"),0,IF($T1549="Output",-$S1549,$S1549))</f>
        <v>0</v>
      </c>
      <c r="V1549" s="27" t="n">
        <f aca="false">IF($N1549="",0,IFERROR(INDEX(VAT_Codes!$D:$D,MATCH($N1549,VAT_Codes!$A:$A,0)),0))</f>
        <v>0</v>
      </c>
      <c r="W1549" s="26" t="n">
        <f aca="false">IF($U1549=0,0,IF(IFERROR(INDEX(VAT_Codes!$F:$F,MATCH($N1549,VAT_Codes!$A:$A,0)),"N")="Y",$U1549,IF($L1549&lt;&gt;"",ROUND(ABS($L1549)/IF(OR($R1549="",$R1549=0),1,$R1549),2)*SIGN($U1549),ROUND($U1549*$V1549,2))))</f>
        <v>0</v>
      </c>
      <c r="X1549" s="24" t="str">
        <f aca="false">IF($N1549="","",IFERROR(INDEX(VAT_Codes!$H:$H,MATCH($N1549,VAT_Codes!$A:$A,0)),"")&amp;"")</f>
        <v/>
      </c>
      <c r="Y1549" s="24" t="str">
        <f aca="false">IF($A1549="","",(YEAR($A1549)-YEAR(Settings!$C$8))*12+MONTH($A1549)-MONTH(Settings!$C$8)+1)</f>
        <v/>
      </c>
      <c r="Z1549" s="24" t="str">
        <f aca="false">IF(AND($C1549="",$I1549="",$J1549=""),"",IF($N1549="","NO VAT CODE",IF($T1549="","UNKNOWN VAT CODE",IF($S1549="","MISSING FX RATE",IF(OR($A1549&lt;Settings!$C$8,$A1549&gt;Settings!$C$9),"OUTSIDE PERIOD",IF(AND(IFERROR(INDEX(VAT_Codes!$E:$E,MATCH($N1549,VAT_Codes!$A:$A,0)),"ANY")&lt;&gt;"ANY",$P1549=""),"MISSING COUNTERPARTY COUNTRY",IF(AND(IFERROR(INDEX(VAT_Codes!$E:$E,MATCH($N1549,VAT_Codes!$A:$A,0)),"ANY")&lt;&gt;"ANY",$P1549&lt;&gt;IFERROR(INDEX(VAT_Codes!$E:$E,MATCH($N1549,VAT_Codes!$A:$A,0)),"ANY")),"REGION MISMATCH","OK")))))))</f>
        <v/>
      </c>
    </row>
    <row r="1550" customFormat="false" ht="15" hidden="false" customHeight="false" outlineLevel="0" collapsed="false">
      <c r="M1550" s="24" t="str">
        <f aca="false">IF($C1550="","",IFERROR(INDEX(Account_Mapping!$C:$C,MATCH($C1550&amp;"",Account_Mapping!$A:$A,0))&amp;"",""))</f>
        <v/>
      </c>
      <c r="N1550" s="24" t="str">
        <f aca="false">IF($K1550&lt;&gt;"",$K1550,$M1550)</f>
        <v/>
      </c>
      <c r="O1550" s="24" t="str">
        <f aca="false">IF($F1550="","",IFERROR(INDEX(Counterparties!$C:$C,MATCH($F1550&amp;"",Counterparties!$A:$A,0))&amp;"",""))</f>
        <v/>
      </c>
      <c r="P1550" s="24" t="str">
        <f aca="false">IF($O1550="","",IF($O1550="CY","CY",IF(ISNUMBER(MATCH($O1550,Lists!$A:$A,0)),"EU","3RD")))</f>
        <v/>
      </c>
      <c r="Q1550" s="24" t="str">
        <f aca="false">IF($F1550="","N",IFERROR(IF(INDEX(Counterparties!$E:$E,MATCH($F1550&amp;"",Counterparties!$A:$A,0))="Y","Y","N"),"N"))</f>
        <v>N</v>
      </c>
      <c r="R1550" s="25" t="n">
        <f aca="false">IF(OR($H1550="",$H1550="EUR"),1,IFERROR(INDEX(FX_Rates!$D:$D,MATCH($H1550,FX_Rates!$A:$A,0)),""))</f>
        <v>1</v>
      </c>
      <c r="S1550" s="26" t="str">
        <f aca="false">IF(AND($I1550="",$J1550=""),"",IF($J1550&lt;&gt;"",$J1550,IF(OR($R1550="",$R1550=0),"",ROUND($I1550/$R1550,2))))</f>
        <v/>
      </c>
      <c r="T1550" s="24" t="str">
        <f aca="false">IF($N1550="","",IFERROR(INDEX(VAT_Codes!$C:$C,MATCH($N1550,VAT_Codes!$A:$A,0)),"")&amp;"")</f>
        <v/>
      </c>
      <c r="U1550" s="26" t="n">
        <f aca="false">IF(OR($S1550="",$T1550="",$T1550="None"),0,IF($T1550="Output",-$S1550,$S1550))</f>
        <v>0</v>
      </c>
      <c r="V1550" s="27" t="n">
        <f aca="false">IF($N1550="",0,IFERROR(INDEX(VAT_Codes!$D:$D,MATCH($N1550,VAT_Codes!$A:$A,0)),0))</f>
        <v>0</v>
      </c>
      <c r="W1550" s="26" t="n">
        <f aca="false">IF($U1550=0,0,IF(IFERROR(INDEX(VAT_Codes!$F:$F,MATCH($N1550,VAT_Codes!$A:$A,0)),"N")="Y",$U1550,IF($L1550&lt;&gt;"",ROUND(ABS($L1550)/IF(OR($R1550="",$R1550=0),1,$R1550),2)*SIGN($U1550),ROUND($U1550*$V1550,2))))</f>
        <v>0</v>
      </c>
      <c r="X1550" s="24" t="str">
        <f aca="false">IF($N1550="","",IFERROR(INDEX(VAT_Codes!$H:$H,MATCH($N1550,VAT_Codes!$A:$A,0)),"")&amp;"")</f>
        <v/>
      </c>
      <c r="Y1550" s="24" t="str">
        <f aca="false">IF($A1550="","",(YEAR($A1550)-YEAR(Settings!$C$8))*12+MONTH($A1550)-MONTH(Settings!$C$8)+1)</f>
        <v/>
      </c>
      <c r="Z1550" s="24" t="str">
        <f aca="false">IF(AND($C1550="",$I1550="",$J1550=""),"",IF($N1550="","NO VAT CODE",IF($T1550="","UNKNOWN VAT CODE",IF($S1550="","MISSING FX RATE",IF(OR($A1550&lt;Settings!$C$8,$A1550&gt;Settings!$C$9),"OUTSIDE PERIOD",IF(AND(IFERROR(INDEX(VAT_Codes!$E:$E,MATCH($N1550,VAT_Codes!$A:$A,0)),"ANY")&lt;&gt;"ANY",$P1550=""),"MISSING COUNTERPARTY COUNTRY",IF(AND(IFERROR(INDEX(VAT_Codes!$E:$E,MATCH($N1550,VAT_Codes!$A:$A,0)),"ANY")&lt;&gt;"ANY",$P1550&lt;&gt;IFERROR(INDEX(VAT_Codes!$E:$E,MATCH($N1550,VAT_Codes!$A:$A,0)),"ANY")),"REGION MISMATCH","OK")))))))</f>
        <v/>
      </c>
    </row>
    <row r="1551" customFormat="false" ht="15" hidden="false" customHeight="false" outlineLevel="0" collapsed="false">
      <c r="M1551" s="24" t="str">
        <f aca="false">IF($C1551="","",IFERROR(INDEX(Account_Mapping!$C:$C,MATCH($C1551&amp;"",Account_Mapping!$A:$A,0))&amp;"",""))</f>
        <v/>
      </c>
      <c r="N1551" s="24" t="str">
        <f aca="false">IF($K1551&lt;&gt;"",$K1551,$M1551)</f>
        <v/>
      </c>
      <c r="O1551" s="24" t="str">
        <f aca="false">IF($F1551="","",IFERROR(INDEX(Counterparties!$C:$C,MATCH($F1551&amp;"",Counterparties!$A:$A,0))&amp;"",""))</f>
        <v/>
      </c>
      <c r="P1551" s="24" t="str">
        <f aca="false">IF($O1551="","",IF($O1551="CY","CY",IF(ISNUMBER(MATCH($O1551,Lists!$A:$A,0)),"EU","3RD")))</f>
        <v/>
      </c>
      <c r="Q1551" s="24" t="str">
        <f aca="false">IF($F1551="","N",IFERROR(IF(INDEX(Counterparties!$E:$E,MATCH($F1551&amp;"",Counterparties!$A:$A,0))="Y","Y","N"),"N"))</f>
        <v>N</v>
      </c>
      <c r="R1551" s="25" t="n">
        <f aca="false">IF(OR($H1551="",$H1551="EUR"),1,IFERROR(INDEX(FX_Rates!$D:$D,MATCH($H1551,FX_Rates!$A:$A,0)),""))</f>
        <v>1</v>
      </c>
      <c r="S1551" s="26" t="str">
        <f aca="false">IF(AND($I1551="",$J1551=""),"",IF($J1551&lt;&gt;"",$J1551,IF(OR($R1551="",$R1551=0),"",ROUND($I1551/$R1551,2))))</f>
        <v/>
      </c>
      <c r="T1551" s="24" t="str">
        <f aca="false">IF($N1551="","",IFERROR(INDEX(VAT_Codes!$C:$C,MATCH($N1551,VAT_Codes!$A:$A,0)),"")&amp;"")</f>
        <v/>
      </c>
      <c r="U1551" s="26" t="n">
        <f aca="false">IF(OR($S1551="",$T1551="",$T1551="None"),0,IF($T1551="Output",-$S1551,$S1551))</f>
        <v>0</v>
      </c>
      <c r="V1551" s="27" t="n">
        <f aca="false">IF($N1551="",0,IFERROR(INDEX(VAT_Codes!$D:$D,MATCH($N1551,VAT_Codes!$A:$A,0)),0))</f>
        <v>0</v>
      </c>
      <c r="W1551" s="26" t="n">
        <f aca="false">IF($U1551=0,0,IF(IFERROR(INDEX(VAT_Codes!$F:$F,MATCH($N1551,VAT_Codes!$A:$A,0)),"N")="Y",$U1551,IF($L1551&lt;&gt;"",ROUND(ABS($L1551)/IF(OR($R1551="",$R1551=0),1,$R1551),2)*SIGN($U1551),ROUND($U1551*$V1551,2))))</f>
        <v>0</v>
      </c>
      <c r="X1551" s="24" t="str">
        <f aca="false">IF($N1551="","",IFERROR(INDEX(VAT_Codes!$H:$H,MATCH($N1551,VAT_Codes!$A:$A,0)),"")&amp;"")</f>
        <v/>
      </c>
      <c r="Y1551" s="24" t="str">
        <f aca="false">IF($A1551="","",(YEAR($A1551)-YEAR(Settings!$C$8))*12+MONTH($A1551)-MONTH(Settings!$C$8)+1)</f>
        <v/>
      </c>
      <c r="Z1551" s="24" t="str">
        <f aca="false">IF(AND($C1551="",$I1551="",$J1551=""),"",IF($N1551="","NO VAT CODE",IF($T1551="","UNKNOWN VAT CODE",IF($S1551="","MISSING FX RATE",IF(OR($A1551&lt;Settings!$C$8,$A1551&gt;Settings!$C$9),"OUTSIDE PERIOD",IF(AND(IFERROR(INDEX(VAT_Codes!$E:$E,MATCH($N1551,VAT_Codes!$A:$A,0)),"ANY")&lt;&gt;"ANY",$P1551=""),"MISSING COUNTERPARTY COUNTRY",IF(AND(IFERROR(INDEX(VAT_Codes!$E:$E,MATCH($N1551,VAT_Codes!$A:$A,0)),"ANY")&lt;&gt;"ANY",$P1551&lt;&gt;IFERROR(INDEX(VAT_Codes!$E:$E,MATCH($N1551,VAT_Codes!$A:$A,0)),"ANY")),"REGION MISMATCH","OK")))))))</f>
        <v/>
      </c>
    </row>
    <row r="1552" customFormat="false" ht="15" hidden="false" customHeight="false" outlineLevel="0" collapsed="false">
      <c r="M1552" s="24" t="str">
        <f aca="false">IF($C1552="","",IFERROR(INDEX(Account_Mapping!$C:$C,MATCH($C1552&amp;"",Account_Mapping!$A:$A,0))&amp;"",""))</f>
        <v/>
      </c>
      <c r="N1552" s="24" t="str">
        <f aca="false">IF($K1552&lt;&gt;"",$K1552,$M1552)</f>
        <v/>
      </c>
      <c r="O1552" s="24" t="str">
        <f aca="false">IF($F1552="","",IFERROR(INDEX(Counterparties!$C:$C,MATCH($F1552&amp;"",Counterparties!$A:$A,0))&amp;"",""))</f>
        <v/>
      </c>
      <c r="P1552" s="24" t="str">
        <f aca="false">IF($O1552="","",IF($O1552="CY","CY",IF(ISNUMBER(MATCH($O1552,Lists!$A:$A,0)),"EU","3RD")))</f>
        <v/>
      </c>
      <c r="Q1552" s="24" t="str">
        <f aca="false">IF($F1552="","N",IFERROR(IF(INDEX(Counterparties!$E:$E,MATCH($F1552&amp;"",Counterparties!$A:$A,0))="Y","Y","N"),"N"))</f>
        <v>N</v>
      </c>
      <c r="R1552" s="25" t="n">
        <f aca="false">IF(OR($H1552="",$H1552="EUR"),1,IFERROR(INDEX(FX_Rates!$D:$D,MATCH($H1552,FX_Rates!$A:$A,0)),""))</f>
        <v>1</v>
      </c>
      <c r="S1552" s="26" t="str">
        <f aca="false">IF(AND($I1552="",$J1552=""),"",IF($J1552&lt;&gt;"",$J1552,IF(OR($R1552="",$R1552=0),"",ROUND($I1552/$R1552,2))))</f>
        <v/>
      </c>
      <c r="T1552" s="24" t="str">
        <f aca="false">IF($N1552="","",IFERROR(INDEX(VAT_Codes!$C:$C,MATCH($N1552,VAT_Codes!$A:$A,0)),"")&amp;"")</f>
        <v/>
      </c>
      <c r="U1552" s="26" t="n">
        <f aca="false">IF(OR($S1552="",$T1552="",$T1552="None"),0,IF($T1552="Output",-$S1552,$S1552))</f>
        <v>0</v>
      </c>
      <c r="V1552" s="27" t="n">
        <f aca="false">IF($N1552="",0,IFERROR(INDEX(VAT_Codes!$D:$D,MATCH($N1552,VAT_Codes!$A:$A,0)),0))</f>
        <v>0</v>
      </c>
      <c r="W1552" s="26" t="n">
        <f aca="false">IF($U1552=0,0,IF(IFERROR(INDEX(VAT_Codes!$F:$F,MATCH($N1552,VAT_Codes!$A:$A,0)),"N")="Y",$U1552,IF($L1552&lt;&gt;"",ROUND(ABS($L1552)/IF(OR($R1552="",$R1552=0),1,$R1552),2)*SIGN($U1552),ROUND($U1552*$V1552,2))))</f>
        <v>0</v>
      </c>
      <c r="X1552" s="24" t="str">
        <f aca="false">IF($N1552="","",IFERROR(INDEX(VAT_Codes!$H:$H,MATCH($N1552,VAT_Codes!$A:$A,0)),"")&amp;"")</f>
        <v/>
      </c>
      <c r="Y1552" s="24" t="str">
        <f aca="false">IF($A1552="","",(YEAR($A1552)-YEAR(Settings!$C$8))*12+MONTH($A1552)-MONTH(Settings!$C$8)+1)</f>
        <v/>
      </c>
      <c r="Z1552" s="24" t="str">
        <f aca="false">IF(AND($C1552="",$I1552="",$J1552=""),"",IF($N1552="","NO VAT CODE",IF($T1552="","UNKNOWN VAT CODE",IF($S1552="","MISSING FX RATE",IF(OR($A1552&lt;Settings!$C$8,$A1552&gt;Settings!$C$9),"OUTSIDE PERIOD",IF(AND(IFERROR(INDEX(VAT_Codes!$E:$E,MATCH($N1552,VAT_Codes!$A:$A,0)),"ANY")&lt;&gt;"ANY",$P1552=""),"MISSING COUNTERPARTY COUNTRY",IF(AND(IFERROR(INDEX(VAT_Codes!$E:$E,MATCH($N1552,VAT_Codes!$A:$A,0)),"ANY")&lt;&gt;"ANY",$P1552&lt;&gt;IFERROR(INDEX(VAT_Codes!$E:$E,MATCH($N1552,VAT_Codes!$A:$A,0)),"ANY")),"REGION MISMATCH","OK")))))))</f>
        <v/>
      </c>
    </row>
    <row r="1553" customFormat="false" ht="15" hidden="false" customHeight="false" outlineLevel="0" collapsed="false">
      <c r="M1553" s="24" t="str">
        <f aca="false">IF($C1553="","",IFERROR(INDEX(Account_Mapping!$C:$C,MATCH($C1553&amp;"",Account_Mapping!$A:$A,0))&amp;"",""))</f>
        <v/>
      </c>
      <c r="N1553" s="24" t="str">
        <f aca="false">IF($K1553&lt;&gt;"",$K1553,$M1553)</f>
        <v/>
      </c>
      <c r="O1553" s="24" t="str">
        <f aca="false">IF($F1553="","",IFERROR(INDEX(Counterparties!$C:$C,MATCH($F1553&amp;"",Counterparties!$A:$A,0))&amp;"",""))</f>
        <v/>
      </c>
      <c r="P1553" s="24" t="str">
        <f aca="false">IF($O1553="","",IF($O1553="CY","CY",IF(ISNUMBER(MATCH($O1553,Lists!$A:$A,0)),"EU","3RD")))</f>
        <v/>
      </c>
      <c r="Q1553" s="24" t="str">
        <f aca="false">IF($F1553="","N",IFERROR(IF(INDEX(Counterparties!$E:$E,MATCH($F1553&amp;"",Counterparties!$A:$A,0))="Y","Y","N"),"N"))</f>
        <v>N</v>
      </c>
      <c r="R1553" s="25" t="n">
        <f aca="false">IF(OR($H1553="",$H1553="EUR"),1,IFERROR(INDEX(FX_Rates!$D:$D,MATCH($H1553,FX_Rates!$A:$A,0)),""))</f>
        <v>1</v>
      </c>
      <c r="S1553" s="26" t="str">
        <f aca="false">IF(AND($I1553="",$J1553=""),"",IF($J1553&lt;&gt;"",$J1553,IF(OR($R1553="",$R1553=0),"",ROUND($I1553/$R1553,2))))</f>
        <v/>
      </c>
      <c r="T1553" s="24" t="str">
        <f aca="false">IF($N1553="","",IFERROR(INDEX(VAT_Codes!$C:$C,MATCH($N1553,VAT_Codes!$A:$A,0)),"")&amp;"")</f>
        <v/>
      </c>
      <c r="U1553" s="26" t="n">
        <f aca="false">IF(OR($S1553="",$T1553="",$T1553="None"),0,IF($T1553="Output",-$S1553,$S1553))</f>
        <v>0</v>
      </c>
      <c r="V1553" s="27" t="n">
        <f aca="false">IF($N1553="",0,IFERROR(INDEX(VAT_Codes!$D:$D,MATCH($N1553,VAT_Codes!$A:$A,0)),0))</f>
        <v>0</v>
      </c>
      <c r="W1553" s="26" t="n">
        <f aca="false">IF($U1553=0,0,IF(IFERROR(INDEX(VAT_Codes!$F:$F,MATCH($N1553,VAT_Codes!$A:$A,0)),"N")="Y",$U1553,IF($L1553&lt;&gt;"",ROUND(ABS($L1553)/IF(OR($R1553="",$R1553=0),1,$R1553),2)*SIGN($U1553),ROUND($U1553*$V1553,2))))</f>
        <v>0</v>
      </c>
      <c r="X1553" s="24" t="str">
        <f aca="false">IF($N1553="","",IFERROR(INDEX(VAT_Codes!$H:$H,MATCH($N1553,VAT_Codes!$A:$A,0)),"")&amp;"")</f>
        <v/>
      </c>
      <c r="Y1553" s="24" t="str">
        <f aca="false">IF($A1553="","",(YEAR($A1553)-YEAR(Settings!$C$8))*12+MONTH($A1553)-MONTH(Settings!$C$8)+1)</f>
        <v/>
      </c>
      <c r="Z1553" s="24" t="str">
        <f aca="false">IF(AND($C1553="",$I1553="",$J1553=""),"",IF($N1553="","NO VAT CODE",IF($T1553="","UNKNOWN VAT CODE",IF($S1553="","MISSING FX RATE",IF(OR($A1553&lt;Settings!$C$8,$A1553&gt;Settings!$C$9),"OUTSIDE PERIOD",IF(AND(IFERROR(INDEX(VAT_Codes!$E:$E,MATCH($N1553,VAT_Codes!$A:$A,0)),"ANY")&lt;&gt;"ANY",$P1553=""),"MISSING COUNTERPARTY COUNTRY",IF(AND(IFERROR(INDEX(VAT_Codes!$E:$E,MATCH($N1553,VAT_Codes!$A:$A,0)),"ANY")&lt;&gt;"ANY",$P1553&lt;&gt;IFERROR(INDEX(VAT_Codes!$E:$E,MATCH($N1553,VAT_Codes!$A:$A,0)),"ANY")),"REGION MISMATCH","OK")))))))</f>
        <v/>
      </c>
    </row>
    <row r="1554" customFormat="false" ht="15" hidden="false" customHeight="false" outlineLevel="0" collapsed="false">
      <c r="M1554" s="24" t="str">
        <f aca="false">IF($C1554="","",IFERROR(INDEX(Account_Mapping!$C:$C,MATCH($C1554&amp;"",Account_Mapping!$A:$A,0))&amp;"",""))</f>
        <v/>
      </c>
      <c r="N1554" s="24" t="str">
        <f aca="false">IF($K1554&lt;&gt;"",$K1554,$M1554)</f>
        <v/>
      </c>
      <c r="O1554" s="24" t="str">
        <f aca="false">IF($F1554="","",IFERROR(INDEX(Counterparties!$C:$C,MATCH($F1554&amp;"",Counterparties!$A:$A,0))&amp;"",""))</f>
        <v/>
      </c>
      <c r="P1554" s="24" t="str">
        <f aca="false">IF($O1554="","",IF($O1554="CY","CY",IF(ISNUMBER(MATCH($O1554,Lists!$A:$A,0)),"EU","3RD")))</f>
        <v/>
      </c>
      <c r="Q1554" s="24" t="str">
        <f aca="false">IF($F1554="","N",IFERROR(IF(INDEX(Counterparties!$E:$E,MATCH($F1554&amp;"",Counterparties!$A:$A,0))="Y","Y","N"),"N"))</f>
        <v>N</v>
      </c>
      <c r="R1554" s="25" t="n">
        <f aca="false">IF(OR($H1554="",$H1554="EUR"),1,IFERROR(INDEX(FX_Rates!$D:$D,MATCH($H1554,FX_Rates!$A:$A,0)),""))</f>
        <v>1</v>
      </c>
      <c r="S1554" s="26" t="str">
        <f aca="false">IF(AND($I1554="",$J1554=""),"",IF($J1554&lt;&gt;"",$J1554,IF(OR($R1554="",$R1554=0),"",ROUND($I1554/$R1554,2))))</f>
        <v/>
      </c>
      <c r="T1554" s="24" t="str">
        <f aca="false">IF($N1554="","",IFERROR(INDEX(VAT_Codes!$C:$C,MATCH($N1554,VAT_Codes!$A:$A,0)),"")&amp;"")</f>
        <v/>
      </c>
      <c r="U1554" s="26" t="n">
        <f aca="false">IF(OR($S1554="",$T1554="",$T1554="None"),0,IF($T1554="Output",-$S1554,$S1554))</f>
        <v>0</v>
      </c>
      <c r="V1554" s="27" t="n">
        <f aca="false">IF($N1554="",0,IFERROR(INDEX(VAT_Codes!$D:$D,MATCH($N1554,VAT_Codes!$A:$A,0)),0))</f>
        <v>0</v>
      </c>
      <c r="W1554" s="26" t="n">
        <f aca="false">IF($U1554=0,0,IF(IFERROR(INDEX(VAT_Codes!$F:$F,MATCH($N1554,VAT_Codes!$A:$A,0)),"N")="Y",$U1554,IF($L1554&lt;&gt;"",ROUND(ABS($L1554)/IF(OR($R1554="",$R1554=0),1,$R1554),2)*SIGN($U1554),ROUND($U1554*$V1554,2))))</f>
        <v>0</v>
      </c>
      <c r="X1554" s="24" t="str">
        <f aca="false">IF($N1554="","",IFERROR(INDEX(VAT_Codes!$H:$H,MATCH($N1554,VAT_Codes!$A:$A,0)),"")&amp;"")</f>
        <v/>
      </c>
      <c r="Y1554" s="24" t="str">
        <f aca="false">IF($A1554="","",(YEAR($A1554)-YEAR(Settings!$C$8))*12+MONTH($A1554)-MONTH(Settings!$C$8)+1)</f>
        <v/>
      </c>
      <c r="Z1554" s="24" t="str">
        <f aca="false">IF(AND($C1554="",$I1554="",$J1554=""),"",IF($N1554="","NO VAT CODE",IF($T1554="","UNKNOWN VAT CODE",IF($S1554="","MISSING FX RATE",IF(OR($A1554&lt;Settings!$C$8,$A1554&gt;Settings!$C$9),"OUTSIDE PERIOD",IF(AND(IFERROR(INDEX(VAT_Codes!$E:$E,MATCH($N1554,VAT_Codes!$A:$A,0)),"ANY")&lt;&gt;"ANY",$P1554=""),"MISSING COUNTERPARTY COUNTRY",IF(AND(IFERROR(INDEX(VAT_Codes!$E:$E,MATCH($N1554,VAT_Codes!$A:$A,0)),"ANY")&lt;&gt;"ANY",$P1554&lt;&gt;IFERROR(INDEX(VAT_Codes!$E:$E,MATCH($N1554,VAT_Codes!$A:$A,0)),"ANY")),"REGION MISMATCH","OK")))))))</f>
        <v/>
      </c>
    </row>
    <row r="1555" customFormat="false" ht="15" hidden="false" customHeight="false" outlineLevel="0" collapsed="false">
      <c r="M1555" s="24" t="str">
        <f aca="false">IF($C1555="","",IFERROR(INDEX(Account_Mapping!$C:$C,MATCH($C1555&amp;"",Account_Mapping!$A:$A,0))&amp;"",""))</f>
        <v/>
      </c>
      <c r="N1555" s="24" t="str">
        <f aca="false">IF($K1555&lt;&gt;"",$K1555,$M1555)</f>
        <v/>
      </c>
      <c r="O1555" s="24" t="str">
        <f aca="false">IF($F1555="","",IFERROR(INDEX(Counterparties!$C:$C,MATCH($F1555&amp;"",Counterparties!$A:$A,0))&amp;"",""))</f>
        <v/>
      </c>
      <c r="P1555" s="24" t="str">
        <f aca="false">IF($O1555="","",IF($O1555="CY","CY",IF(ISNUMBER(MATCH($O1555,Lists!$A:$A,0)),"EU","3RD")))</f>
        <v/>
      </c>
      <c r="Q1555" s="24" t="str">
        <f aca="false">IF($F1555="","N",IFERROR(IF(INDEX(Counterparties!$E:$E,MATCH($F1555&amp;"",Counterparties!$A:$A,0))="Y","Y","N"),"N"))</f>
        <v>N</v>
      </c>
      <c r="R1555" s="25" t="n">
        <f aca="false">IF(OR($H1555="",$H1555="EUR"),1,IFERROR(INDEX(FX_Rates!$D:$D,MATCH($H1555,FX_Rates!$A:$A,0)),""))</f>
        <v>1</v>
      </c>
      <c r="S1555" s="26" t="str">
        <f aca="false">IF(AND($I1555="",$J1555=""),"",IF($J1555&lt;&gt;"",$J1555,IF(OR($R1555="",$R1555=0),"",ROUND($I1555/$R1555,2))))</f>
        <v/>
      </c>
      <c r="T1555" s="24" t="str">
        <f aca="false">IF($N1555="","",IFERROR(INDEX(VAT_Codes!$C:$C,MATCH($N1555,VAT_Codes!$A:$A,0)),"")&amp;"")</f>
        <v/>
      </c>
      <c r="U1555" s="26" t="n">
        <f aca="false">IF(OR($S1555="",$T1555="",$T1555="None"),0,IF($T1555="Output",-$S1555,$S1555))</f>
        <v>0</v>
      </c>
      <c r="V1555" s="27" t="n">
        <f aca="false">IF($N1555="",0,IFERROR(INDEX(VAT_Codes!$D:$D,MATCH($N1555,VAT_Codes!$A:$A,0)),0))</f>
        <v>0</v>
      </c>
      <c r="W1555" s="26" t="n">
        <f aca="false">IF($U1555=0,0,IF(IFERROR(INDEX(VAT_Codes!$F:$F,MATCH($N1555,VAT_Codes!$A:$A,0)),"N")="Y",$U1555,IF($L1555&lt;&gt;"",ROUND(ABS($L1555)/IF(OR($R1555="",$R1555=0),1,$R1555),2)*SIGN($U1555),ROUND($U1555*$V1555,2))))</f>
        <v>0</v>
      </c>
      <c r="X1555" s="24" t="str">
        <f aca="false">IF($N1555="","",IFERROR(INDEX(VAT_Codes!$H:$H,MATCH($N1555,VAT_Codes!$A:$A,0)),"")&amp;"")</f>
        <v/>
      </c>
      <c r="Y1555" s="24" t="str">
        <f aca="false">IF($A1555="","",(YEAR($A1555)-YEAR(Settings!$C$8))*12+MONTH($A1555)-MONTH(Settings!$C$8)+1)</f>
        <v/>
      </c>
      <c r="Z1555" s="24" t="str">
        <f aca="false">IF(AND($C1555="",$I1555="",$J1555=""),"",IF($N1555="","NO VAT CODE",IF($T1555="","UNKNOWN VAT CODE",IF($S1555="","MISSING FX RATE",IF(OR($A1555&lt;Settings!$C$8,$A1555&gt;Settings!$C$9),"OUTSIDE PERIOD",IF(AND(IFERROR(INDEX(VAT_Codes!$E:$E,MATCH($N1555,VAT_Codes!$A:$A,0)),"ANY")&lt;&gt;"ANY",$P1555=""),"MISSING COUNTERPARTY COUNTRY",IF(AND(IFERROR(INDEX(VAT_Codes!$E:$E,MATCH($N1555,VAT_Codes!$A:$A,0)),"ANY")&lt;&gt;"ANY",$P1555&lt;&gt;IFERROR(INDEX(VAT_Codes!$E:$E,MATCH($N1555,VAT_Codes!$A:$A,0)),"ANY")),"REGION MISMATCH","OK")))))))</f>
        <v/>
      </c>
    </row>
    <row r="1556" customFormat="false" ht="15" hidden="false" customHeight="false" outlineLevel="0" collapsed="false">
      <c r="M1556" s="24" t="str">
        <f aca="false">IF($C1556="","",IFERROR(INDEX(Account_Mapping!$C:$C,MATCH($C1556&amp;"",Account_Mapping!$A:$A,0))&amp;"",""))</f>
        <v/>
      </c>
      <c r="N1556" s="24" t="str">
        <f aca="false">IF($K1556&lt;&gt;"",$K1556,$M1556)</f>
        <v/>
      </c>
      <c r="O1556" s="24" t="str">
        <f aca="false">IF($F1556="","",IFERROR(INDEX(Counterparties!$C:$C,MATCH($F1556&amp;"",Counterparties!$A:$A,0))&amp;"",""))</f>
        <v/>
      </c>
      <c r="P1556" s="24" t="str">
        <f aca="false">IF($O1556="","",IF($O1556="CY","CY",IF(ISNUMBER(MATCH($O1556,Lists!$A:$A,0)),"EU","3RD")))</f>
        <v/>
      </c>
      <c r="Q1556" s="24" t="str">
        <f aca="false">IF($F1556="","N",IFERROR(IF(INDEX(Counterparties!$E:$E,MATCH($F1556&amp;"",Counterparties!$A:$A,0))="Y","Y","N"),"N"))</f>
        <v>N</v>
      </c>
      <c r="R1556" s="25" t="n">
        <f aca="false">IF(OR($H1556="",$H1556="EUR"),1,IFERROR(INDEX(FX_Rates!$D:$D,MATCH($H1556,FX_Rates!$A:$A,0)),""))</f>
        <v>1</v>
      </c>
      <c r="S1556" s="26" t="str">
        <f aca="false">IF(AND($I1556="",$J1556=""),"",IF($J1556&lt;&gt;"",$J1556,IF(OR($R1556="",$R1556=0),"",ROUND($I1556/$R1556,2))))</f>
        <v/>
      </c>
      <c r="T1556" s="24" t="str">
        <f aca="false">IF($N1556="","",IFERROR(INDEX(VAT_Codes!$C:$C,MATCH($N1556,VAT_Codes!$A:$A,0)),"")&amp;"")</f>
        <v/>
      </c>
      <c r="U1556" s="26" t="n">
        <f aca="false">IF(OR($S1556="",$T1556="",$T1556="None"),0,IF($T1556="Output",-$S1556,$S1556))</f>
        <v>0</v>
      </c>
      <c r="V1556" s="27" t="n">
        <f aca="false">IF($N1556="",0,IFERROR(INDEX(VAT_Codes!$D:$D,MATCH($N1556,VAT_Codes!$A:$A,0)),0))</f>
        <v>0</v>
      </c>
      <c r="W1556" s="26" t="n">
        <f aca="false">IF($U1556=0,0,IF(IFERROR(INDEX(VAT_Codes!$F:$F,MATCH($N1556,VAT_Codes!$A:$A,0)),"N")="Y",$U1556,IF($L1556&lt;&gt;"",ROUND(ABS($L1556)/IF(OR($R1556="",$R1556=0),1,$R1556),2)*SIGN($U1556),ROUND($U1556*$V1556,2))))</f>
        <v>0</v>
      </c>
      <c r="X1556" s="24" t="str">
        <f aca="false">IF($N1556="","",IFERROR(INDEX(VAT_Codes!$H:$H,MATCH($N1556,VAT_Codes!$A:$A,0)),"")&amp;"")</f>
        <v/>
      </c>
      <c r="Y1556" s="24" t="str">
        <f aca="false">IF($A1556="","",(YEAR($A1556)-YEAR(Settings!$C$8))*12+MONTH($A1556)-MONTH(Settings!$C$8)+1)</f>
        <v/>
      </c>
      <c r="Z1556" s="24" t="str">
        <f aca="false">IF(AND($C1556="",$I1556="",$J1556=""),"",IF($N1556="","NO VAT CODE",IF($T1556="","UNKNOWN VAT CODE",IF($S1556="","MISSING FX RATE",IF(OR($A1556&lt;Settings!$C$8,$A1556&gt;Settings!$C$9),"OUTSIDE PERIOD",IF(AND(IFERROR(INDEX(VAT_Codes!$E:$E,MATCH($N1556,VAT_Codes!$A:$A,0)),"ANY")&lt;&gt;"ANY",$P1556=""),"MISSING COUNTERPARTY COUNTRY",IF(AND(IFERROR(INDEX(VAT_Codes!$E:$E,MATCH($N1556,VAT_Codes!$A:$A,0)),"ANY")&lt;&gt;"ANY",$P1556&lt;&gt;IFERROR(INDEX(VAT_Codes!$E:$E,MATCH($N1556,VAT_Codes!$A:$A,0)),"ANY")),"REGION MISMATCH","OK")))))))</f>
        <v/>
      </c>
    </row>
    <row r="1557" customFormat="false" ht="15" hidden="false" customHeight="false" outlineLevel="0" collapsed="false">
      <c r="M1557" s="24" t="str">
        <f aca="false">IF($C1557="","",IFERROR(INDEX(Account_Mapping!$C:$C,MATCH($C1557&amp;"",Account_Mapping!$A:$A,0))&amp;"",""))</f>
        <v/>
      </c>
      <c r="N1557" s="24" t="str">
        <f aca="false">IF($K1557&lt;&gt;"",$K1557,$M1557)</f>
        <v/>
      </c>
      <c r="O1557" s="24" t="str">
        <f aca="false">IF($F1557="","",IFERROR(INDEX(Counterparties!$C:$C,MATCH($F1557&amp;"",Counterparties!$A:$A,0))&amp;"",""))</f>
        <v/>
      </c>
      <c r="P1557" s="24" t="str">
        <f aca="false">IF($O1557="","",IF($O1557="CY","CY",IF(ISNUMBER(MATCH($O1557,Lists!$A:$A,0)),"EU","3RD")))</f>
        <v/>
      </c>
      <c r="Q1557" s="24" t="str">
        <f aca="false">IF($F1557="","N",IFERROR(IF(INDEX(Counterparties!$E:$E,MATCH($F1557&amp;"",Counterparties!$A:$A,0))="Y","Y","N"),"N"))</f>
        <v>N</v>
      </c>
      <c r="R1557" s="25" t="n">
        <f aca="false">IF(OR($H1557="",$H1557="EUR"),1,IFERROR(INDEX(FX_Rates!$D:$D,MATCH($H1557,FX_Rates!$A:$A,0)),""))</f>
        <v>1</v>
      </c>
      <c r="S1557" s="26" t="str">
        <f aca="false">IF(AND($I1557="",$J1557=""),"",IF($J1557&lt;&gt;"",$J1557,IF(OR($R1557="",$R1557=0),"",ROUND($I1557/$R1557,2))))</f>
        <v/>
      </c>
      <c r="T1557" s="24" t="str">
        <f aca="false">IF($N1557="","",IFERROR(INDEX(VAT_Codes!$C:$C,MATCH($N1557,VAT_Codes!$A:$A,0)),"")&amp;"")</f>
        <v/>
      </c>
      <c r="U1557" s="26" t="n">
        <f aca="false">IF(OR($S1557="",$T1557="",$T1557="None"),0,IF($T1557="Output",-$S1557,$S1557))</f>
        <v>0</v>
      </c>
      <c r="V1557" s="27" t="n">
        <f aca="false">IF($N1557="",0,IFERROR(INDEX(VAT_Codes!$D:$D,MATCH($N1557,VAT_Codes!$A:$A,0)),0))</f>
        <v>0</v>
      </c>
      <c r="W1557" s="26" t="n">
        <f aca="false">IF($U1557=0,0,IF(IFERROR(INDEX(VAT_Codes!$F:$F,MATCH($N1557,VAT_Codes!$A:$A,0)),"N")="Y",$U1557,IF($L1557&lt;&gt;"",ROUND(ABS($L1557)/IF(OR($R1557="",$R1557=0),1,$R1557),2)*SIGN($U1557),ROUND($U1557*$V1557,2))))</f>
        <v>0</v>
      </c>
      <c r="X1557" s="24" t="str">
        <f aca="false">IF($N1557="","",IFERROR(INDEX(VAT_Codes!$H:$H,MATCH($N1557,VAT_Codes!$A:$A,0)),"")&amp;"")</f>
        <v/>
      </c>
      <c r="Y1557" s="24" t="str">
        <f aca="false">IF($A1557="","",(YEAR($A1557)-YEAR(Settings!$C$8))*12+MONTH($A1557)-MONTH(Settings!$C$8)+1)</f>
        <v/>
      </c>
      <c r="Z1557" s="24" t="str">
        <f aca="false">IF(AND($C1557="",$I1557="",$J1557=""),"",IF($N1557="","NO VAT CODE",IF($T1557="","UNKNOWN VAT CODE",IF($S1557="","MISSING FX RATE",IF(OR($A1557&lt;Settings!$C$8,$A1557&gt;Settings!$C$9),"OUTSIDE PERIOD",IF(AND(IFERROR(INDEX(VAT_Codes!$E:$E,MATCH($N1557,VAT_Codes!$A:$A,0)),"ANY")&lt;&gt;"ANY",$P1557=""),"MISSING COUNTERPARTY COUNTRY",IF(AND(IFERROR(INDEX(VAT_Codes!$E:$E,MATCH($N1557,VAT_Codes!$A:$A,0)),"ANY")&lt;&gt;"ANY",$P1557&lt;&gt;IFERROR(INDEX(VAT_Codes!$E:$E,MATCH($N1557,VAT_Codes!$A:$A,0)),"ANY")),"REGION MISMATCH","OK")))))))</f>
        <v/>
      </c>
    </row>
    <row r="1558" customFormat="false" ht="15" hidden="false" customHeight="false" outlineLevel="0" collapsed="false">
      <c r="M1558" s="24" t="str">
        <f aca="false">IF($C1558="","",IFERROR(INDEX(Account_Mapping!$C:$C,MATCH($C1558&amp;"",Account_Mapping!$A:$A,0))&amp;"",""))</f>
        <v/>
      </c>
      <c r="N1558" s="24" t="str">
        <f aca="false">IF($K1558&lt;&gt;"",$K1558,$M1558)</f>
        <v/>
      </c>
      <c r="O1558" s="24" t="str">
        <f aca="false">IF($F1558="","",IFERROR(INDEX(Counterparties!$C:$C,MATCH($F1558&amp;"",Counterparties!$A:$A,0))&amp;"",""))</f>
        <v/>
      </c>
      <c r="P1558" s="24" t="str">
        <f aca="false">IF($O1558="","",IF($O1558="CY","CY",IF(ISNUMBER(MATCH($O1558,Lists!$A:$A,0)),"EU","3RD")))</f>
        <v/>
      </c>
      <c r="Q1558" s="24" t="str">
        <f aca="false">IF($F1558="","N",IFERROR(IF(INDEX(Counterparties!$E:$E,MATCH($F1558&amp;"",Counterparties!$A:$A,0))="Y","Y","N"),"N"))</f>
        <v>N</v>
      </c>
      <c r="R1558" s="25" t="n">
        <f aca="false">IF(OR($H1558="",$H1558="EUR"),1,IFERROR(INDEX(FX_Rates!$D:$D,MATCH($H1558,FX_Rates!$A:$A,0)),""))</f>
        <v>1</v>
      </c>
      <c r="S1558" s="26" t="str">
        <f aca="false">IF(AND($I1558="",$J1558=""),"",IF($J1558&lt;&gt;"",$J1558,IF(OR($R1558="",$R1558=0),"",ROUND($I1558/$R1558,2))))</f>
        <v/>
      </c>
      <c r="T1558" s="24" t="str">
        <f aca="false">IF($N1558="","",IFERROR(INDEX(VAT_Codes!$C:$C,MATCH($N1558,VAT_Codes!$A:$A,0)),"")&amp;"")</f>
        <v/>
      </c>
      <c r="U1558" s="26" t="n">
        <f aca="false">IF(OR($S1558="",$T1558="",$T1558="None"),0,IF($T1558="Output",-$S1558,$S1558))</f>
        <v>0</v>
      </c>
      <c r="V1558" s="27" t="n">
        <f aca="false">IF($N1558="",0,IFERROR(INDEX(VAT_Codes!$D:$D,MATCH($N1558,VAT_Codes!$A:$A,0)),0))</f>
        <v>0</v>
      </c>
      <c r="W1558" s="26" t="n">
        <f aca="false">IF($U1558=0,0,IF(IFERROR(INDEX(VAT_Codes!$F:$F,MATCH($N1558,VAT_Codes!$A:$A,0)),"N")="Y",$U1558,IF($L1558&lt;&gt;"",ROUND(ABS($L1558)/IF(OR($R1558="",$R1558=0),1,$R1558),2)*SIGN($U1558),ROUND($U1558*$V1558,2))))</f>
        <v>0</v>
      </c>
      <c r="X1558" s="24" t="str">
        <f aca="false">IF($N1558="","",IFERROR(INDEX(VAT_Codes!$H:$H,MATCH($N1558,VAT_Codes!$A:$A,0)),"")&amp;"")</f>
        <v/>
      </c>
      <c r="Y1558" s="24" t="str">
        <f aca="false">IF($A1558="","",(YEAR($A1558)-YEAR(Settings!$C$8))*12+MONTH($A1558)-MONTH(Settings!$C$8)+1)</f>
        <v/>
      </c>
      <c r="Z1558" s="24" t="str">
        <f aca="false">IF(AND($C1558="",$I1558="",$J1558=""),"",IF($N1558="","NO VAT CODE",IF($T1558="","UNKNOWN VAT CODE",IF($S1558="","MISSING FX RATE",IF(OR($A1558&lt;Settings!$C$8,$A1558&gt;Settings!$C$9),"OUTSIDE PERIOD",IF(AND(IFERROR(INDEX(VAT_Codes!$E:$E,MATCH($N1558,VAT_Codes!$A:$A,0)),"ANY")&lt;&gt;"ANY",$P1558=""),"MISSING COUNTERPARTY COUNTRY",IF(AND(IFERROR(INDEX(VAT_Codes!$E:$E,MATCH($N1558,VAT_Codes!$A:$A,0)),"ANY")&lt;&gt;"ANY",$P1558&lt;&gt;IFERROR(INDEX(VAT_Codes!$E:$E,MATCH($N1558,VAT_Codes!$A:$A,0)),"ANY")),"REGION MISMATCH","OK")))))))</f>
        <v/>
      </c>
    </row>
    <row r="1559" customFormat="false" ht="15" hidden="false" customHeight="false" outlineLevel="0" collapsed="false">
      <c r="M1559" s="24" t="str">
        <f aca="false">IF($C1559="","",IFERROR(INDEX(Account_Mapping!$C:$C,MATCH($C1559&amp;"",Account_Mapping!$A:$A,0))&amp;"",""))</f>
        <v/>
      </c>
      <c r="N1559" s="24" t="str">
        <f aca="false">IF($K1559&lt;&gt;"",$K1559,$M1559)</f>
        <v/>
      </c>
      <c r="O1559" s="24" t="str">
        <f aca="false">IF($F1559="","",IFERROR(INDEX(Counterparties!$C:$C,MATCH($F1559&amp;"",Counterparties!$A:$A,0))&amp;"",""))</f>
        <v/>
      </c>
      <c r="P1559" s="24" t="str">
        <f aca="false">IF($O1559="","",IF($O1559="CY","CY",IF(ISNUMBER(MATCH($O1559,Lists!$A:$A,0)),"EU","3RD")))</f>
        <v/>
      </c>
      <c r="Q1559" s="24" t="str">
        <f aca="false">IF($F1559="","N",IFERROR(IF(INDEX(Counterparties!$E:$E,MATCH($F1559&amp;"",Counterparties!$A:$A,0))="Y","Y","N"),"N"))</f>
        <v>N</v>
      </c>
      <c r="R1559" s="25" t="n">
        <f aca="false">IF(OR($H1559="",$H1559="EUR"),1,IFERROR(INDEX(FX_Rates!$D:$D,MATCH($H1559,FX_Rates!$A:$A,0)),""))</f>
        <v>1</v>
      </c>
      <c r="S1559" s="26" t="str">
        <f aca="false">IF(AND($I1559="",$J1559=""),"",IF($J1559&lt;&gt;"",$J1559,IF(OR($R1559="",$R1559=0),"",ROUND($I1559/$R1559,2))))</f>
        <v/>
      </c>
      <c r="T1559" s="24" t="str">
        <f aca="false">IF($N1559="","",IFERROR(INDEX(VAT_Codes!$C:$C,MATCH($N1559,VAT_Codes!$A:$A,0)),"")&amp;"")</f>
        <v/>
      </c>
      <c r="U1559" s="26" t="n">
        <f aca="false">IF(OR($S1559="",$T1559="",$T1559="None"),0,IF($T1559="Output",-$S1559,$S1559))</f>
        <v>0</v>
      </c>
      <c r="V1559" s="27" t="n">
        <f aca="false">IF($N1559="",0,IFERROR(INDEX(VAT_Codes!$D:$D,MATCH($N1559,VAT_Codes!$A:$A,0)),0))</f>
        <v>0</v>
      </c>
      <c r="W1559" s="26" t="n">
        <f aca="false">IF($U1559=0,0,IF(IFERROR(INDEX(VAT_Codes!$F:$F,MATCH($N1559,VAT_Codes!$A:$A,0)),"N")="Y",$U1559,IF($L1559&lt;&gt;"",ROUND(ABS($L1559)/IF(OR($R1559="",$R1559=0),1,$R1559),2)*SIGN($U1559),ROUND($U1559*$V1559,2))))</f>
        <v>0</v>
      </c>
      <c r="X1559" s="24" t="str">
        <f aca="false">IF($N1559="","",IFERROR(INDEX(VAT_Codes!$H:$H,MATCH($N1559,VAT_Codes!$A:$A,0)),"")&amp;"")</f>
        <v/>
      </c>
      <c r="Y1559" s="24" t="str">
        <f aca="false">IF($A1559="","",(YEAR($A1559)-YEAR(Settings!$C$8))*12+MONTH($A1559)-MONTH(Settings!$C$8)+1)</f>
        <v/>
      </c>
      <c r="Z1559" s="24" t="str">
        <f aca="false">IF(AND($C1559="",$I1559="",$J1559=""),"",IF($N1559="","NO VAT CODE",IF($T1559="","UNKNOWN VAT CODE",IF($S1559="","MISSING FX RATE",IF(OR($A1559&lt;Settings!$C$8,$A1559&gt;Settings!$C$9),"OUTSIDE PERIOD",IF(AND(IFERROR(INDEX(VAT_Codes!$E:$E,MATCH($N1559,VAT_Codes!$A:$A,0)),"ANY")&lt;&gt;"ANY",$P1559=""),"MISSING COUNTERPARTY COUNTRY",IF(AND(IFERROR(INDEX(VAT_Codes!$E:$E,MATCH($N1559,VAT_Codes!$A:$A,0)),"ANY")&lt;&gt;"ANY",$P1559&lt;&gt;IFERROR(INDEX(VAT_Codes!$E:$E,MATCH($N1559,VAT_Codes!$A:$A,0)),"ANY")),"REGION MISMATCH","OK")))))))</f>
        <v/>
      </c>
    </row>
    <row r="1560" customFormat="false" ht="15" hidden="false" customHeight="false" outlineLevel="0" collapsed="false">
      <c r="M1560" s="24" t="str">
        <f aca="false">IF($C1560="","",IFERROR(INDEX(Account_Mapping!$C:$C,MATCH($C1560&amp;"",Account_Mapping!$A:$A,0))&amp;"",""))</f>
        <v/>
      </c>
      <c r="N1560" s="24" t="str">
        <f aca="false">IF($K1560&lt;&gt;"",$K1560,$M1560)</f>
        <v/>
      </c>
      <c r="O1560" s="24" t="str">
        <f aca="false">IF($F1560="","",IFERROR(INDEX(Counterparties!$C:$C,MATCH($F1560&amp;"",Counterparties!$A:$A,0))&amp;"",""))</f>
        <v/>
      </c>
      <c r="P1560" s="24" t="str">
        <f aca="false">IF($O1560="","",IF($O1560="CY","CY",IF(ISNUMBER(MATCH($O1560,Lists!$A:$A,0)),"EU","3RD")))</f>
        <v/>
      </c>
      <c r="Q1560" s="24" t="str">
        <f aca="false">IF($F1560="","N",IFERROR(IF(INDEX(Counterparties!$E:$E,MATCH($F1560&amp;"",Counterparties!$A:$A,0))="Y","Y","N"),"N"))</f>
        <v>N</v>
      </c>
      <c r="R1560" s="25" t="n">
        <f aca="false">IF(OR($H1560="",$H1560="EUR"),1,IFERROR(INDEX(FX_Rates!$D:$D,MATCH($H1560,FX_Rates!$A:$A,0)),""))</f>
        <v>1</v>
      </c>
      <c r="S1560" s="26" t="str">
        <f aca="false">IF(AND($I1560="",$J1560=""),"",IF($J1560&lt;&gt;"",$J1560,IF(OR($R1560="",$R1560=0),"",ROUND($I1560/$R1560,2))))</f>
        <v/>
      </c>
      <c r="T1560" s="24" t="str">
        <f aca="false">IF($N1560="","",IFERROR(INDEX(VAT_Codes!$C:$C,MATCH($N1560,VAT_Codes!$A:$A,0)),"")&amp;"")</f>
        <v/>
      </c>
      <c r="U1560" s="26" t="n">
        <f aca="false">IF(OR($S1560="",$T1560="",$T1560="None"),0,IF($T1560="Output",-$S1560,$S1560))</f>
        <v>0</v>
      </c>
      <c r="V1560" s="27" t="n">
        <f aca="false">IF($N1560="",0,IFERROR(INDEX(VAT_Codes!$D:$D,MATCH($N1560,VAT_Codes!$A:$A,0)),0))</f>
        <v>0</v>
      </c>
      <c r="W1560" s="26" t="n">
        <f aca="false">IF($U1560=0,0,IF(IFERROR(INDEX(VAT_Codes!$F:$F,MATCH($N1560,VAT_Codes!$A:$A,0)),"N")="Y",$U1560,IF($L1560&lt;&gt;"",ROUND(ABS($L1560)/IF(OR($R1560="",$R1560=0),1,$R1560),2)*SIGN($U1560),ROUND($U1560*$V1560,2))))</f>
        <v>0</v>
      </c>
      <c r="X1560" s="24" t="str">
        <f aca="false">IF($N1560="","",IFERROR(INDEX(VAT_Codes!$H:$H,MATCH($N1560,VAT_Codes!$A:$A,0)),"")&amp;"")</f>
        <v/>
      </c>
      <c r="Y1560" s="24" t="str">
        <f aca="false">IF($A1560="","",(YEAR($A1560)-YEAR(Settings!$C$8))*12+MONTH($A1560)-MONTH(Settings!$C$8)+1)</f>
        <v/>
      </c>
      <c r="Z1560" s="24" t="str">
        <f aca="false">IF(AND($C1560="",$I1560="",$J1560=""),"",IF($N1560="","NO VAT CODE",IF($T1560="","UNKNOWN VAT CODE",IF($S1560="","MISSING FX RATE",IF(OR($A1560&lt;Settings!$C$8,$A1560&gt;Settings!$C$9),"OUTSIDE PERIOD",IF(AND(IFERROR(INDEX(VAT_Codes!$E:$E,MATCH($N1560,VAT_Codes!$A:$A,0)),"ANY")&lt;&gt;"ANY",$P1560=""),"MISSING COUNTERPARTY COUNTRY",IF(AND(IFERROR(INDEX(VAT_Codes!$E:$E,MATCH($N1560,VAT_Codes!$A:$A,0)),"ANY")&lt;&gt;"ANY",$P1560&lt;&gt;IFERROR(INDEX(VAT_Codes!$E:$E,MATCH($N1560,VAT_Codes!$A:$A,0)),"ANY")),"REGION MISMATCH","OK")))))))</f>
        <v/>
      </c>
    </row>
    <row r="1561" customFormat="false" ht="15" hidden="false" customHeight="false" outlineLevel="0" collapsed="false">
      <c r="M1561" s="24" t="str">
        <f aca="false">IF($C1561="","",IFERROR(INDEX(Account_Mapping!$C:$C,MATCH($C1561&amp;"",Account_Mapping!$A:$A,0))&amp;"",""))</f>
        <v/>
      </c>
      <c r="N1561" s="24" t="str">
        <f aca="false">IF($K1561&lt;&gt;"",$K1561,$M1561)</f>
        <v/>
      </c>
      <c r="O1561" s="24" t="str">
        <f aca="false">IF($F1561="","",IFERROR(INDEX(Counterparties!$C:$C,MATCH($F1561&amp;"",Counterparties!$A:$A,0))&amp;"",""))</f>
        <v/>
      </c>
      <c r="P1561" s="24" t="str">
        <f aca="false">IF($O1561="","",IF($O1561="CY","CY",IF(ISNUMBER(MATCH($O1561,Lists!$A:$A,0)),"EU","3RD")))</f>
        <v/>
      </c>
      <c r="Q1561" s="24" t="str">
        <f aca="false">IF($F1561="","N",IFERROR(IF(INDEX(Counterparties!$E:$E,MATCH($F1561&amp;"",Counterparties!$A:$A,0))="Y","Y","N"),"N"))</f>
        <v>N</v>
      </c>
      <c r="R1561" s="25" t="n">
        <f aca="false">IF(OR($H1561="",$H1561="EUR"),1,IFERROR(INDEX(FX_Rates!$D:$D,MATCH($H1561,FX_Rates!$A:$A,0)),""))</f>
        <v>1</v>
      </c>
      <c r="S1561" s="26" t="str">
        <f aca="false">IF(AND($I1561="",$J1561=""),"",IF($J1561&lt;&gt;"",$J1561,IF(OR($R1561="",$R1561=0),"",ROUND($I1561/$R1561,2))))</f>
        <v/>
      </c>
      <c r="T1561" s="24" t="str">
        <f aca="false">IF($N1561="","",IFERROR(INDEX(VAT_Codes!$C:$C,MATCH($N1561,VAT_Codes!$A:$A,0)),"")&amp;"")</f>
        <v/>
      </c>
      <c r="U1561" s="26" t="n">
        <f aca="false">IF(OR($S1561="",$T1561="",$T1561="None"),0,IF($T1561="Output",-$S1561,$S1561))</f>
        <v>0</v>
      </c>
      <c r="V1561" s="27" t="n">
        <f aca="false">IF($N1561="",0,IFERROR(INDEX(VAT_Codes!$D:$D,MATCH($N1561,VAT_Codes!$A:$A,0)),0))</f>
        <v>0</v>
      </c>
      <c r="W1561" s="26" t="n">
        <f aca="false">IF($U1561=0,0,IF(IFERROR(INDEX(VAT_Codes!$F:$F,MATCH($N1561,VAT_Codes!$A:$A,0)),"N")="Y",$U1561,IF($L1561&lt;&gt;"",ROUND(ABS($L1561)/IF(OR($R1561="",$R1561=0),1,$R1561),2)*SIGN($U1561),ROUND($U1561*$V1561,2))))</f>
        <v>0</v>
      </c>
      <c r="X1561" s="24" t="str">
        <f aca="false">IF($N1561="","",IFERROR(INDEX(VAT_Codes!$H:$H,MATCH($N1561,VAT_Codes!$A:$A,0)),"")&amp;"")</f>
        <v/>
      </c>
      <c r="Y1561" s="24" t="str">
        <f aca="false">IF($A1561="","",(YEAR($A1561)-YEAR(Settings!$C$8))*12+MONTH($A1561)-MONTH(Settings!$C$8)+1)</f>
        <v/>
      </c>
      <c r="Z1561" s="24" t="str">
        <f aca="false">IF(AND($C1561="",$I1561="",$J1561=""),"",IF($N1561="","NO VAT CODE",IF($T1561="","UNKNOWN VAT CODE",IF($S1561="","MISSING FX RATE",IF(OR($A1561&lt;Settings!$C$8,$A1561&gt;Settings!$C$9),"OUTSIDE PERIOD",IF(AND(IFERROR(INDEX(VAT_Codes!$E:$E,MATCH($N1561,VAT_Codes!$A:$A,0)),"ANY")&lt;&gt;"ANY",$P1561=""),"MISSING COUNTERPARTY COUNTRY",IF(AND(IFERROR(INDEX(VAT_Codes!$E:$E,MATCH($N1561,VAT_Codes!$A:$A,0)),"ANY")&lt;&gt;"ANY",$P1561&lt;&gt;IFERROR(INDEX(VAT_Codes!$E:$E,MATCH($N1561,VAT_Codes!$A:$A,0)),"ANY")),"REGION MISMATCH","OK")))))))</f>
        <v/>
      </c>
    </row>
    <row r="1562" customFormat="false" ht="15" hidden="false" customHeight="false" outlineLevel="0" collapsed="false">
      <c r="M1562" s="24" t="str">
        <f aca="false">IF($C1562="","",IFERROR(INDEX(Account_Mapping!$C:$C,MATCH($C1562&amp;"",Account_Mapping!$A:$A,0))&amp;"",""))</f>
        <v/>
      </c>
      <c r="N1562" s="24" t="str">
        <f aca="false">IF($K1562&lt;&gt;"",$K1562,$M1562)</f>
        <v/>
      </c>
      <c r="O1562" s="24" t="str">
        <f aca="false">IF($F1562="","",IFERROR(INDEX(Counterparties!$C:$C,MATCH($F1562&amp;"",Counterparties!$A:$A,0))&amp;"",""))</f>
        <v/>
      </c>
      <c r="P1562" s="24" t="str">
        <f aca="false">IF($O1562="","",IF($O1562="CY","CY",IF(ISNUMBER(MATCH($O1562,Lists!$A:$A,0)),"EU","3RD")))</f>
        <v/>
      </c>
      <c r="Q1562" s="24" t="str">
        <f aca="false">IF($F1562="","N",IFERROR(IF(INDEX(Counterparties!$E:$E,MATCH($F1562&amp;"",Counterparties!$A:$A,0))="Y","Y","N"),"N"))</f>
        <v>N</v>
      </c>
      <c r="R1562" s="25" t="n">
        <f aca="false">IF(OR($H1562="",$H1562="EUR"),1,IFERROR(INDEX(FX_Rates!$D:$D,MATCH($H1562,FX_Rates!$A:$A,0)),""))</f>
        <v>1</v>
      </c>
      <c r="S1562" s="26" t="str">
        <f aca="false">IF(AND($I1562="",$J1562=""),"",IF($J1562&lt;&gt;"",$J1562,IF(OR($R1562="",$R1562=0),"",ROUND($I1562/$R1562,2))))</f>
        <v/>
      </c>
      <c r="T1562" s="24" t="str">
        <f aca="false">IF($N1562="","",IFERROR(INDEX(VAT_Codes!$C:$C,MATCH($N1562,VAT_Codes!$A:$A,0)),"")&amp;"")</f>
        <v/>
      </c>
      <c r="U1562" s="26" t="n">
        <f aca="false">IF(OR($S1562="",$T1562="",$T1562="None"),0,IF($T1562="Output",-$S1562,$S1562))</f>
        <v>0</v>
      </c>
      <c r="V1562" s="27" t="n">
        <f aca="false">IF($N1562="",0,IFERROR(INDEX(VAT_Codes!$D:$D,MATCH($N1562,VAT_Codes!$A:$A,0)),0))</f>
        <v>0</v>
      </c>
      <c r="W1562" s="26" t="n">
        <f aca="false">IF($U1562=0,0,IF(IFERROR(INDEX(VAT_Codes!$F:$F,MATCH($N1562,VAT_Codes!$A:$A,0)),"N")="Y",$U1562,IF($L1562&lt;&gt;"",ROUND(ABS($L1562)/IF(OR($R1562="",$R1562=0),1,$R1562),2)*SIGN($U1562),ROUND($U1562*$V1562,2))))</f>
        <v>0</v>
      </c>
      <c r="X1562" s="24" t="str">
        <f aca="false">IF($N1562="","",IFERROR(INDEX(VAT_Codes!$H:$H,MATCH($N1562,VAT_Codes!$A:$A,0)),"")&amp;"")</f>
        <v/>
      </c>
      <c r="Y1562" s="24" t="str">
        <f aca="false">IF($A1562="","",(YEAR($A1562)-YEAR(Settings!$C$8))*12+MONTH($A1562)-MONTH(Settings!$C$8)+1)</f>
        <v/>
      </c>
      <c r="Z1562" s="24" t="str">
        <f aca="false">IF(AND($C1562="",$I1562="",$J1562=""),"",IF($N1562="","NO VAT CODE",IF($T1562="","UNKNOWN VAT CODE",IF($S1562="","MISSING FX RATE",IF(OR($A1562&lt;Settings!$C$8,$A1562&gt;Settings!$C$9),"OUTSIDE PERIOD",IF(AND(IFERROR(INDEX(VAT_Codes!$E:$E,MATCH($N1562,VAT_Codes!$A:$A,0)),"ANY")&lt;&gt;"ANY",$P1562=""),"MISSING COUNTERPARTY COUNTRY",IF(AND(IFERROR(INDEX(VAT_Codes!$E:$E,MATCH($N1562,VAT_Codes!$A:$A,0)),"ANY")&lt;&gt;"ANY",$P1562&lt;&gt;IFERROR(INDEX(VAT_Codes!$E:$E,MATCH($N1562,VAT_Codes!$A:$A,0)),"ANY")),"REGION MISMATCH","OK")))))))</f>
        <v/>
      </c>
    </row>
    <row r="1563" customFormat="false" ht="15" hidden="false" customHeight="false" outlineLevel="0" collapsed="false">
      <c r="M1563" s="24" t="str">
        <f aca="false">IF($C1563="","",IFERROR(INDEX(Account_Mapping!$C:$C,MATCH($C1563&amp;"",Account_Mapping!$A:$A,0))&amp;"",""))</f>
        <v/>
      </c>
      <c r="N1563" s="24" t="str">
        <f aca="false">IF($K1563&lt;&gt;"",$K1563,$M1563)</f>
        <v/>
      </c>
      <c r="O1563" s="24" t="str">
        <f aca="false">IF($F1563="","",IFERROR(INDEX(Counterparties!$C:$C,MATCH($F1563&amp;"",Counterparties!$A:$A,0))&amp;"",""))</f>
        <v/>
      </c>
      <c r="P1563" s="24" t="str">
        <f aca="false">IF($O1563="","",IF($O1563="CY","CY",IF(ISNUMBER(MATCH($O1563,Lists!$A:$A,0)),"EU","3RD")))</f>
        <v/>
      </c>
      <c r="Q1563" s="24" t="str">
        <f aca="false">IF($F1563="","N",IFERROR(IF(INDEX(Counterparties!$E:$E,MATCH($F1563&amp;"",Counterparties!$A:$A,0))="Y","Y","N"),"N"))</f>
        <v>N</v>
      </c>
      <c r="R1563" s="25" t="n">
        <f aca="false">IF(OR($H1563="",$H1563="EUR"),1,IFERROR(INDEX(FX_Rates!$D:$D,MATCH($H1563,FX_Rates!$A:$A,0)),""))</f>
        <v>1</v>
      </c>
      <c r="S1563" s="26" t="str">
        <f aca="false">IF(AND($I1563="",$J1563=""),"",IF($J1563&lt;&gt;"",$J1563,IF(OR($R1563="",$R1563=0),"",ROUND($I1563/$R1563,2))))</f>
        <v/>
      </c>
      <c r="T1563" s="24" t="str">
        <f aca="false">IF($N1563="","",IFERROR(INDEX(VAT_Codes!$C:$C,MATCH($N1563,VAT_Codes!$A:$A,0)),"")&amp;"")</f>
        <v/>
      </c>
      <c r="U1563" s="26" t="n">
        <f aca="false">IF(OR($S1563="",$T1563="",$T1563="None"),0,IF($T1563="Output",-$S1563,$S1563))</f>
        <v>0</v>
      </c>
      <c r="V1563" s="27" t="n">
        <f aca="false">IF($N1563="",0,IFERROR(INDEX(VAT_Codes!$D:$D,MATCH($N1563,VAT_Codes!$A:$A,0)),0))</f>
        <v>0</v>
      </c>
      <c r="W1563" s="26" t="n">
        <f aca="false">IF($U1563=0,0,IF(IFERROR(INDEX(VAT_Codes!$F:$F,MATCH($N1563,VAT_Codes!$A:$A,0)),"N")="Y",$U1563,IF($L1563&lt;&gt;"",ROUND(ABS($L1563)/IF(OR($R1563="",$R1563=0),1,$R1563),2)*SIGN($U1563),ROUND($U1563*$V1563,2))))</f>
        <v>0</v>
      </c>
      <c r="X1563" s="24" t="str">
        <f aca="false">IF($N1563="","",IFERROR(INDEX(VAT_Codes!$H:$H,MATCH($N1563,VAT_Codes!$A:$A,0)),"")&amp;"")</f>
        <v/>
      </c>
      <c r="Y1563" s="24" t="str">
        <f aca="false">IF($A1563="","",(YEAR($A1563)-YEAR(Settings!$C$8))*12+MONTH($A1563)-MONTH(Settings!$C$8)+1)</f>
        <v/>
      </c>
      <c r="Z1563" s="24" t="str">
        <f aca="false">IF(AND($C1563="",$I1563="",$J1563=""),"",IF($N1563="","NO VAT CODE",IF($T1563="","UNKNOWN VAT CODE",IF($S1563="","MISSING FX RATE",IF(OR($A1563&lt;Settings!$C$8,$A1563&gt;Settings!$C$9),"OUTSIDE PERIOD",IF(AND(IFERROR(INDEX(VAT_Codes!$E:$E,MATCH($N1563,VAT_Codes!$A:$A,0)),"ANY")&lt;&gt;"ANY",$P1563=""),"MISSING COUNTERPARTY COUNTRY",IF(AND(IFERROR(INDEX(VAT_Codes!$E:$E,MATCH($N1563,VAT_Codes!$A:$A,0)),"ANY")&lt;&gt;"ANY",$P1563&lt;&gt;IFERROR(INDEX(VAT_Codes!$E:$E,MATCH($N1563,VAT_Codes!$A:$A,0)),"ANY")),"REGION MISMATCH","OK")))))))</f>
        <v/>
      </c>
    </row>
    <row r="1564" customFormat="false" ht="15" hidden="false" customHeight="false" outlineLevel="0" collapsed="false">
      <c r="M1564" s="24" t="str">
        <f aca="false">IF($C1564="","",IFERROR(INDEX(Account_Mapping!$C:$C,MATCH($C1564&amp;"",Account_Mapping!$A:$A,0))&amp;"",""))</f>
        <v/>
      </c>
      <c r="N1564" s="24" t="str">
        <f aca="false">IF($K1564&lt;&gt;"",$K1564,$M1564)</f>
        <v/>
      </c>
      <c r="O1564" s="24" t="str">
        <f aca="false">IF($F1564="","",IFERROR(INDEX(Counterparties!$C:$C,MATCH($F1564&amp;"",Counterparties!$A:$A,0))&amp;"",""))</f>
        <v/>
      </c>
      <c r="P1564" s="24" t="str">
        <f aca="false">IF($O1564="","",IF($O1564="CY","CY",IF(ISNUMBER(MATCH($O1564,Lists!$A:$A,0)),"EU","3RD")))</f>
        <v/>
      </c>
      <c r="Q1564" s="24" t="str">
        <f aca="false">IF($F1564="","N",IFERROR(IF(INDEX(Counterparties!$E:$E,MATCH($F1564&amp;"",Counterparties!$A:$A,0))="Y","Y","N"),"N"))</f>
        <v>N</v>
      </c>
      <c r="R1564" s="25" t="n">
        <f aca="false">IF(OR($H1564="",$H1564="EUR"),1,IFERROR(INDEX(FX_Rates!$D:$D,MATCH($H1564,FX_Rates!$A:$A,0)),""))</f>
        <v>1</v>
      </c>
      <c r="S1564" s="26" t="str">
        <f aca="false">IF(AND($I1564="",$J1564=""),"",IF($J1564&lt;&gt;"",$J1564,IF(OR($R1564="",$R1564=0),"",ROUND($I1564/$R1564,2))))</f>
        <v/>
      </c>
      <c r="T1564" s="24" t="str">
        <f aca="false">IF($N1564="","",IFERROR(INDEX(VAT_Codes!$C:$C,MATCH($N1564,VAT_Codes!$A:$A,0)),"")&amp;"")</f>
        <v/>
      </c>
      <c r="U1564" s="26" t="n">
        <f aca="false">IF(OR($S1564="",$T1564="",$T1564="None"),0,IF($T1564="Output",-$S1564,$S1564))</f>
        <v>0</v>
      </c>
      <c r="V1564" s="27" t="n">
        <f aca="false">IF($N1564="",0,IFERROR(INDEX(VAT_Codes!$D:$D,MATCH($N1564,VAT_Codes!$A:$A,0)),0))</f>
        <v>0</v>
      </c>
      <c r="W1564" s="26" t="n">
        <f aca="false">IF($U1564=0,0,IF(IFERROR(INDEX(VAT_Codes!$F:$F,MATCH($N1564,VAT_Codes!$A:$A,0)),"N")="Y",$U1564,IF($L1564&lt;&gt;"",ROUND(ABS($L1564)/IF(OR($R1564="",$R1564=0),1,$R1564),2)*SIGN($U1564),ROUND($U1564*$V1564,2))))</f>
        <v>0</v>
      </c>
      <c r="X1564" s="24" t="str">
        <f aca="false">IF($N1564="","",IFERROR(INDEX(VAT_Codes!$H:$H,MATCH($N1564,VAT_Codes!$A:$A,0)),"")&amp;"")</f>
        <v/>
      </c>
      <c r="Y1564" s="24" t="str">
        <f aca="false">IF($A1564="","",(YEAR($A1564)-YEAR(Settings!$C$8))*12+MONTH($A1564)-MONTH(Settings!$C$8)+1)</f>
        <v/>
      </c>
      <c r="Z1564" s="24" t="str">
        <f aca="false">IF(AND($C1564="",$I1564="",$J1564=""),"",IF($N1564="","NO VAT CODE",IF($T1564="","UNKNOWN VAT CODE",IF($S1564="","MISSING FX RATE",IF(OR($A1564&lt;Settings!$C$8,$A1564&gt;Settings!$C$9),"OUTSIDE PERIOD",IF(AND(IFERROR(INDEX(VAT_Codes!$E:$E,MATCH($N1564,VAT_Codes!$A:$A,0)),"ANY")&lt;&gt;"ANY",$P1564=""),"MISSING COUNTERPARTY COUNTRY",IF(AND(IFERROR(INDEX(VAT_Codes!$E:$E,MATCH($N1564,VAT_Codes!$A:$A,0)),"ANY")&lt;&gt;"ANY",$P1564&lt;&gt;IFERROR(INDEX(VAT_Codes!$E:$E,MATCH($N1564,VAT_Codes!$A:$A,0)),"ANY")),"REGION MISMATCH","OK")))))))</f>
        <v/>
      </c>
    </row>
    <row r="1565" customFormat="false" ht="15" hidden="false" customHeight="false" outlineLevel="0" collapsed="false">
      <c r="M1565" s="24" t="str">
        <f aca="false">IF($C1565="","",IFERROR(INDEX(Account_Mapping!$C:$C,MATCH($C1565&amp;"",Account_Mapping!$A:$A,0))&amp;"",""))</f>
        <v/>
      </c>
      <c r="N1565" s="24" t="str">
        <f aca="false">IF($K1565&lt;&gt;"",$K1565,$M1565)</f>
        <v/>
      </c>
      <c r="O1565" s="24" t="str">
        <f aca="false">IF($F1565="","",IFERROR(INDEX(Counterparties!$C:$C,MATCH($F1565&amp;"",Counterparties!$A:$A,0))&amp;"",""))</f>
        <v/>
      </c>
      <c r="P1565" s="24" t="str">
        <f aca="false">IF($O1565="","",IF($O1565="CY","CY",IF(ISNUMBER(MATCH($O1565,Lists!$A:$A,0)),"EU","3RD")))</f>
        <v/>
      </c>
      <c r="Q1565" s="24" t="str">
        <f aca="false">IF($F1565="","N",IFERROR(IF(INDEX(Counterparties!$E:$E,MATCH($F1565&amp;"",Counterparties!$A:$A,0))="Y","Y","N"),"N"))</f>
        <v>N</v>
      </c>
      <c r="R1565" s="25" t="n">
        <f aca="false">IF(OR($H1565="",$H1565="EUR"),1,IFERROR(INDEX(FX_Rates!$D:$D,MATCH($H1565,FX_Rates!$A:$A,0)),""))</f>
        <v>1</v>
      </c>
      <c r="S1565" s="26" t="str">
        <f aca="false">IF(AND($I1565="",$J1565=""),"",IF($J1565&lt;&gt;"",$J1565,IF(OR($R1565="",$R1565=0),"",ROUND($I1565/$R1565,2))))</f>
        <v/>
      </c>
      <c r="T1565" s="24" t="str">
        <f aca="false">IF($N1565="","",IFERROR(INDEX(VAT_Codes!$C:$C,MATCH($N1565,VAT_Codes!$A:$A,0)),"")&amp;"")</f>
        <v/>
      </c>
      <c r="U1565" s="26" t="n">
        <f aca="false">IF(OR($S1565="",$T1565="",$T1565="None"),0,IF($T1565="Output",-$S1565,$S1565))</f>
        <v>0</v>
      </c>
      <c r="V1565" s="27" t="n">
        <f aca="false">IF($N1565="",0,IFERROR(INDEX(VAT_Codes!$D:$D,MATCH($N1565,VAT_Codes!$A:$A,0)),0))</f>
        <v>0</v>
      </c>
      <c r="W1565" s="26" t="n">
        <f aca="false">IF($U1565=0,0,IF(IFERROR(INDEX(VAT_Codes!$F:$F,MATCH($N1565,VAT_Codes!$A:$A,0)),"N")="Y",$U1565,IF($L1565&lt;&gt;"",ROUND(ABS($L1565)/IF(OR($R1565="",$R1565=0),1,$R1565),2)*SIGN($U1565),ROUND($U1565*$V1565,2))))</f>
        <v>0</v>
      </c>
      <c r="X1565" s="24" t="str">
        <f aca="false">IF($N1565="","",IFERROR(INDEX(VAT_Codes!$H:$H,MATCH($N1565,VAT_Codes!$A:$A,0)),"")&amp;"")</f>
        <v/>
      </c>
      <c r="Y1565" s="24" t="str">
        <f aca="false">IF($A1565="","",(YEAR($A1565)-YEAR(Settings!$C$8))*12+MONTH($A1565)-MONTH(Settings!$C$8)+1)</f>
        <v/>
      </c>
      <c r="Z1565" s="24" t="str">
        <f aca="false">IF(AND($C1565="",$I1565="",$J1565=""),"",IF($N1565="","NO VAT CODE",IF($T1565="","UNKNOWN VAT CODE",IF($S1565="","MISSING FX RATE",IF(OR($A1565&lt;Settings!$C$8,$A1565&gt;Settings!$C$9),"OUTSIDE PERIOD",IF(AND(IFERROR(INDEX(VAT_Codes!$E:$E,MATCH($N1565,VAT_Codes!$A:$A,0)),"ANY")&lt;&gt;"ANY",$P1565=""),"MISSING COUNTERPARTY COUNTRY",IF(AND(IFERROR(INDEX(VAT_Codes!$E:$E,MATCH($N1565,VAT_Codes!$A:$A,0)),"ANY")&lt;&gt;"ANY",$P1565&lt;&gt;IFERROR(INDEX(VAT_Codes!$E:$E,MATCH($N1565,VAT_Codes!$A:$A,0)),"ANY")),"REGION MISMATCH","OK")))))))</f>
        <v/>
      </c>
    </row>
    <row r="1566" customFormat="false" ht="15" hidden="false" customHeight="false" outlineLevel="0" collapsed="false">
      <c r="M1566" s="24" t="str">
        <f aca="false">IF($C1566="","",IFERROR(INDEX(Account_Mapping!$C:$C,MATCH($C1566&amp;"",Account_Mapping!$A:$A,0))&amp;"",""))</f>
        <v/>
      </c>
      <c r="N1566" s="24" t="str">
        <f aca="false">IF($K1566&lt;&gt;"",$K1566,$M1566)</f>
        <v/>
      </c>
      <c r="O1566" s="24" t="str">
        <f aca="false">IF($F1566="","",IFERROR(INDEX(Counterparties!$C:$C,MATCH($F1566&amp;"",Counterparties!$A:$A,0))&amp;"",""))</f>
        <v/>
      </c>
      <c r="P1566" s="24" t="str">
        <f aca="false">IF($O1566="","",IF($O1566="CY","CY",IF(ISNUMBER(MATCH($O1566,Lists!$A:$A,0)),"EU","3RD")))</f>
        <v/>
      </c>
      <c r="Q1566" s="24" t="str">
        <f aca="false">IF($F1566="","N",IFERROR(IF(INDEX(Counterparties!$E:$E,MATCH($F1566&amp;"",Counterparties!$A:$A,0))="Y","Y","N"),"N"))</f>
        <v>N</v>
      </c>
      <c r="R1566" s="25" t="n">
        <f aca="false">IF(OR($H1566="",$H1566="EUR"),1,IFERROR(INDEX(FX_Rates!$D:$D,MATCH($H1566,FX_Rates!$A:$A,0)),""))</f>
        <v>1</v>
      </c>
      <c r="S1566" s="26" t="str">
        <f aca="false">IF(AND($I1566="",$J1566=""),"",IF($J1566&lt;&gt;"",$J1566,IF(OR($R1566="",$R1566=0),"",ROUND($I1566/$R1566,2))))</f>
        <v/>
      </c>
      <c r="T1566" s="24" t="str">
        <f aca="false">IF($N1566="","",IFERROR(INDEX(VAT_Codes!$C:$C,MATCH($N1566,VAT_Codes!$A:$A,0)),"")&amp;"")</f>
        <v/>
      </c>
      <c r="U1566" s="26" t="n">
        <f aca="false">IF(OR($S1566="",$T1566="",$T1566="None"),0,IF($T1566="Output",-$S1566,$S1566))</f>
        <v>0</v>
      </c>
      <c r="V1566" s="27" t="n">
        <f aca="false">IF($N1566="",0,IFERROR(INDEX(VAT_Codes!$D:$D,MATCH($N1566,VAT_Codes!$A:$A,0)),0))</f>
        <v>0</v>
      </c>
      <c r="W1566" s="26" t="n">
        <f aca="false">IF($U1566=0,0,IF(IFERROR(INDEX(VAT_Codes!$F:$F,MATCH($N1566,VAT_Codes!$A:$A,0)),"N")="Y",$U1566,IF($L1566&lt;&gt;"",ROUND(ABS($L1566)/IF(OR($R1566="",$R1566=0),1,$R1566),2)*SIGN($U1566),ROUND($U1566*$V1566,2))))</f>
        <v>0</v>
      </c>
      <c r="X1566" s="24" t="str">
        <f aca="false">IF($N1566="","",IFERROR(INDEX(VAT_Codes!$H:$H,MATCH($N1566,VAT_Codes!$A:$A,0)),"")&amp;"")</f>
        <v/>
      </c>
      <c r="Y1566" s="24" t="str">
        <f aca="false">IF($A1566="","",(YEAR($A1566)-YEAR(Settings!$C$8))*12+MONTH($A1566)-MONTH(Settings!$C$8)+1)</f>
        <v/>
      </c>
      <c r="Z1566" s="24" t="str">
        <f aca="false">IF(AND($C1566="",$I1566="",$J1566=""),"",IF($N1566="","NO VAT CODE",IF($T1566="","UNKNOWN VAT CODE",IF($S1566="","MISSING FX RATE",IF(OR($A1566&lt;Settings!$C$8,$A1566&gt;Settings!$C$9),"OUTSIDE PERIOD",IF(AND(IFERROR(INDEX(VAT_Codes!$E:$E,MATCH($N1566,VAT_Codes!$A:$A,0)),"ANY")&lt;&gt;"ANY",$P1566=""),"MISSING COUNTERPARTY COUNTRY",IF(AND(IFERROR(INDEX(VAT_Codes!$E:$E,MATCH($N1566,VAT_Codes!$A:$A,0)),"ANY")&lt;&gt;"ANY",$P1566&lt;&gt;IFERROR(INDEX(VAT_Codes!$E:$E,MATCH($N1566,VAT_Codes!$A:$A,0)),"ANY")),"REGION MISMATCH","OK")))))))</f>
        <v/>
      </c>
    </row>
    <row r="1567" customFormat="false" ht="15" hidden="false" customHeight="false" outlineLevel="0" collapsed="false">
      <c r="M1567" s="24" t="str">
        <f aca="false">IF($C1567="","",IFERROR(INDEX(Account_Mapping!$C:$C,MATCH($C1567&amp;"",Account_Mapping!$A:$A,0))&amp;"",""))</f>
        <v/>
      </c>
      <c r="N1567" s="24" t="str">
        <f aca="false">IF($K1567&lt;&gt;"",$K1567,$M1567)</f>
        <v/>
      </c>
      <c r="O1567" s="24" t="str">
        <f aca="false">IF($F1567="","",IFERROR(INDEX(Counterparties!$C:$C,MATCH($F1567&amp;"",Counterparties!$A:$A,0))&amp;"",""))</f>
        <v/>
      </c>
      <c r="P1567" s="24" t="str">
        <f aca="false">IF($O1567="","",IF($O1567="CY","CY",IF(ISNUMBER(MATCH($O1567,Lists!$A:$A,0)),"EU","3RD")))</f>
        <v/>
      </c>
      <c r="Q1567" s="24" t="str">
        <f aca="false">IF($F1567="","N",IFERROR(IF(INDEX(Counterparties!$E:$E,MATCH($F1567&amp;"",Counterparties!$A:$A,0))="Y","Y","N"),"N"))</f>
        <v>N</v>
      </c>
      <c r="R1567" s="25" t="n">
        <f aca="false">IF(OR($H1567="",$H1567="EUR"),1,IFERROR(INDEX(FX_Rates!$D:$D,MATCH($H1567,FX_Rates!$A:$A,0)),""))</f>
        <v>1</v>
      </c>
      <c r="S1567" s="26" t="str">
        <f aca="false">IF(AND($I1567="",$J1567=""),"",IF($J1567&lt;&gt;"",$J1567,IF(OR($R1567="",$R1567=0),"",ROUND($I1567/$R1567,2))))</f>
        <v/>
      </c>
      <c r="T1567" s="24" t="str">
        <f aca="false">IF($N1567="","",IFERROR(INDEX(VAT_Codes!$C:$C,MATCH($N1567,VAT_Codes!$A:$A,0)),"")&amp;"")</f>
        <v/>
      </c>
      <c r="U1567" s="26" t="n">
        <f aca="false">IF(OR($S1567="",$T1567="",$T1567="None"),0,IF($T1567="Output",-$S1567,$S1567))</f>
        <v>0</v>
      </c>
      <c r="V1567" s="27" t="n">
        <f aca="false">IF($N1567="",0,IFERROR(INDEX(VAT_Codes!$D:$D,MATCH($N1567,VAT_Codes!$A:$A,0)),0))</f>
        <v>0</v>
      </c>
      <c r="W1567" s="26" t="n">
        <f aca="false">IF($U1567=0,0,IF(IFERROR(INDEX(VAT_Codes!$F:$F,MATCH($N1567,VAT_Codes!$A:$A,0)),"N")="Y",$U1567,IF($L1567&lt;&gt;"",ROUND(ABS($L1567)/IF(OR($R1567="",$R1567=0),1,$R1567),2)*SIGN($U1567),ROUND($U1567*$V1567,2))))</f>
        <v>0</v>
      </c>
      <c r="X1567" s="24" t="str">
        <f aca="false">IF($N1567="","",IFERROR(INDEX(VAT_Codes!$H:$H,MATCH($N1567,VAT_Codes!$A:$A,0)),"")&amp;"")</f>
        <v/>
      </c>
      <c r="Y1567" s="24" t="str">
        <f aca="false">IF($A1567="","",(YEAR($A1567)-YEAR(Settings!$C$8))*12+MONTH($A1567)-MONTH(Settings!$C$8)+1)</f>
        <v/>
      </c>
      <c r="Z1567" s="24" t="str">
        <f aca="false">IF(AND($C1567="",$I1567="",$J1567=""),"",IF($N1567="","NO VAT CODE",IF($T1567="","UNKNOWN VAT CODE",IF($S1567="","MISSING FX RATE",IF(OR($A1567&lt;Settings!$C$8,$A1567&gt;Settings!$C$9),"OUTSIDE PERIOD",IF(AND(IFERROR(INDEX(VAT_Codes!$E:$E,MATCH($N1567,VAT_Codes!$A:$A,0)),"ANY")&lt;&gt;"ANY",$P1567=""),"MISSING COUNTERPARTY COUNTRY",IF(AND(IFERROR(INDEX(VAT_Codes!$E:$E,MATCH($N1567,VAT_Codes!$A:$A,0)),"ANY")&lt;&gt;"ANY",$P1567&lt;&gt;IFERROR(INDEX(VAT_Codes!$E:$E,MATCH($N1567,VAT_Codes!$A:$A,0)),"ANY")),"REGION MISMATCH","OK")))))))</f>
        <v/>
      </c>
    </row>
    <row r="1568" customFormat="false" ht="15" hidden="false" customHeight="false" outlineLevel="0" collapsed="false">
      <c r="M1568" s="24" t="str">
        <f aca="false">IF($C1568="","",IFERROR(INDEX(Account_Mapping!$C:$C,MATCH($C1568&amp;"",Account_Mapping!$A:$A,0))&amp;"",""))</f>
        <v/>
      </c>
      <c r="N1568" s="24" t="str">
        <f aca="false">IF($K1568&lt;&gt;"",$K1568,$M1568)</f>
        <v/>
      </c>
      <c r="O1568" s="24" t="str">
        <f aca="false">IF($F1568="","",IFERROR(INDEX(Counterparties!$C:$C,MATCH($F1568&amp;"",Counterparties!$A:$A,0))&amp;"",""))</f>
        <v/>
      </c>
      <c r="P1568" s="24" t="str">
        <f aca="false">IF($O1568="","",IF($O1568="CY","CY",IF(ISNUMBER(MATCH($O1568,Lists!$A:$A,0)),"EU","3RD")))</f>
        <v/>
      </c>
      <c r="Q1568" s="24" t="str">
        <f aca="false">IF($F1568="","N",IFERROR(IF(INDEX(Counterparties!$E:$E,MATCH($F1568&amp;"",Counterparties!$A:$A,0))="Y","Y","N"),"N"))</f>
        <v>N</v>
      </c>
      <c r="R1568" s="25" t="n">
        <f aca="false">IF(OR($H1568="",$H1568="EUR"),1,IFERROR(INDEX(FX_Rates!$D:$D,MATCH($H1568,FX_Rates!$A:$A,0)),""))</f>
        <v>1</v>
      </c>
      <c r="S1568" s="26" t="str">
        <f aca="false">IF(AND($I1568="",$J1568=""),"",IF($J1568&lt;&gt;"",$J1568,IF(OR($R1568="",$R1568=0),"",ROUND($I1568/$R1568,2))))</f>
        <v/>
      </c>
      <c r="T1568" s="24" t="str">
        <f aca="false">IF($N1568="","",IFERROR(INDEX(VAT_Codes!$C:$C,MATCH($N1568,VAT_Codes!$A:$A,0)),"")&amp;"")</f>
        <v/>
      </c>
      <c r="U1568" s="26" t="n">
        <f aca="false">IF(OR($S1568="",$T1568="",$T1568="None"),0,IF($T1568="Output",-$S1568,$S1568))</f>
        <v>0</v>
      </c>
      <c r="V1568" s="27" t="n">
        <f aca="false">IF($N1568="",0,IFERROR(INDEX(VAT_Codes!$D:$D,MATCH($N1568,VAT_Codes!$A:$A,0)),0))</f>
        <v>0</v>
      </c>
      <c r="W1568" s="26" t="n">
        <f aca="false">IF($U1568=0,0,IF(IFERROR(INDEX(VAT_Codes!$F:$F,MATCH($N1568,VAT_Codes!$A:$A,0)),"N")="Y",$U1568,IF($L1568&lt;&gt;"",ROUND(ABS($L1568)/IF(OR($R1568="",$R1568=0),1,$R1568),2)*SIGN($U1568),ROUND($U1568*$V1568,2))))</f>
        <v>0</v>
      </c>
      <c r="X1568" s="24" t="str">
        <f aca="false">IF($N1568="","",IFERROR(INDEX(VAT_Codes!$H:$H,MATCH($N1568,VAT_Codes!$A:$A,0)),"")&amp;"")</f>
        <v/>
      </c>
      <c r="Y1568" s="24" t="str">
        <f aca="false">IF($A1568="","",(YEAR($A1568)-YEAR(Settings!$C$8))*12+MONTH($A1568)-MONTH(Settings!$C$8)+1)</f>
        <v/>
      </c>
      <c r="Z1568" s="24" t="str">
        <f aca="false">IF(AND($C1568="",$I1568="",$J1568=""),"",IF($N1568="","NO VAT CODE",IF($T1568="","UNKNOWN VAT CODE",IF($S1568="","MISSING FX RATE",IF(OR($A1568&lt;Settings!$C$8,$A1568&gt;Settings!$C$9),"OUTSIDE PERIOD",IF(AND(IFERROR(INDEX(VAT_Codes!$E:$E,MATCH($N1568,VAT_Codes!$A:$A,0)),"ANY")&lt;&gt;"ANY",$P1568=""),"MISSING COUNTERPARTY COUNTRY",IF(AND(IFERROR(INDEX(VAT_Codes!$E:$E,MATCH($N1568,VAT_Codes!$A:$A,0)),"ANY")&lt;&gt;"ANY",$P1568&lt;&gt;IFERROR(INDEX(VAT_Codes!$E:$E,MATCH($N1568,VAT_Codes!$A:$A,0)),"ANY")),"REGION MISMATCH","OK")))))))</f>
        <v/>
      </c>
    </row>
    <row r="1569" customFormat="false" ht="15" hidden="false" customHeight="false" outlineLevel="0" collapsed="false">
      <c r="M1569" s="24" t="str">
        <f aca="false">IF($C1569="","",IFERROR(INDEX(Account_Mapping!$C:$C,MATCH($C1569&amp;"",Account_Mapping!$A:$A,0))&amp;"",""))</f>
        <v/>
      </c>
      <c r="N1569" s="24" t="str">
        <f aca="false">IF($K1569&lt;&gt;"",$K1569,$M1569)</f>
        <v/>
      </c>
      <c r="O1569" s="24" t="str">
        <f aca="false">IF($F1569="","",IFERROR(INDEX(Counterparties!$C:$C,MATCH($F1569&amp;"",Counterparties!$A:$A,0))&amp;"",""))</f>
        <v/>
      </c>
      <c r="P1569" s="24" t="str">
        <f aca="false">IF($O1569="","",IF($O1569="CY","CY",IF(ISNUMBER(MATCH($O1569,Lists!$A:$A,0)),"EU","3RD")))</f>
        <v/>
      </c>
      <c r="Q1569" s="24" t="str">
        <f aca="false">IF($F1569="","N",IFERROR(IF(INDEX(Counterparties!$E:$E,MATCH($F1569&amp;"",Counterparties!$A:$A,0))="Y","Y","N"),"N"))</f>
        <v>N</v>
      </c>
      <c r="R1569" s="25" t="n">
        <f aca="false">IF(OR($H1569="",$H1569="EUR"),1,IFERROR(INDEX(FX_Rates!$D:$D,MATCH($H1569,FX_Rates!$A:$A,0)),""))</f>
        <v>1</v>
      </c>
      <c r="S1569" s="26" t="str">
        <f aca="false">IF(AND($I1569="",$J1569=""),"",IF($J1569&lt;&gt;"",$J1569,IF(OR($R1569="",$R1569=0),"",ROUND($I1569/$R1569,2))))</f>
        <v/>
      </c>
      <c r="T1569" s="24" t="str">
        <f aca="false">IF($N1569="","",IFERROR(INDEX(VAT_Codes!$C:$C,MATCH($N1569,VAT_Codes!$A:$A,0)),"")&amp;"")</f>
        <v/>
      </c>
      <c r="U1569" s="26" t="n">
        <f aca="false">IF(OR($S1569="",$T1569="",$T1569="None"),0,IF($T1569="Output",-$S1569,$S1569))</f>
        <v>0</v>
      </c>
      <c r="V1569" s="27" t="n">
        <f aca="false">IF($N1569="",0,IFERROR(INDEX(VAT_Codes!$D:$D,MATCH($N1569,VAT_Codes!$A:$A,0)),0))</f>
        <v>0</v>
      </c>
      <c r="W1569" s="26" t="n">
        <f aca="false">IF($U1569=0,0,IF(IFERROR(INDEX(VAT_Codes!$F:$F,MATCH($N1569,VAT_Codes!$A:$A,0)),"N")="Y",$U1569,IF($L1569&lt;&gt;"",ROUND(ABS($L1569)/IF(OR($R1569="",$R1569=0),1,$R1569),2)*SIGN($U1569),ROUND($U1569*$V1569,2))))</f>
        <v>0</v>
      </c>
      <c r="X1569" s="24" t="str">
        <f aca="false">IF($N1569="","",IFERROR(INDEX(VAT_Codes!$H:$H,MATCH($N1569,VAT_Codes!$A:$A,0)),"")&amp;"")</f>
        <v/>
      </c>
      <c r="Y1569" s="24" t="str">
        <f aca="false">IF($A1569="","",(YEAR($A1569)-YEAR(Settings!$C$8))*12+MONTH($A1569)-MONTH(Settings!$C$8)+1)</f>
        <v/>
      </c>
      <c r="Z1569" s="24" t="str">
        <f aca="false">IF(AND($C1569="",$I1569="",$J1569=""),"",IF($N1569="","NO VAT CODE",IF($T1569="","UNKNOWN VAT CODE",IF($S1569="","MISSING FX RATE",IF(OR($A1569&lt;Settings!$C$8,$A1569&gt;Settings!$C$9),"OUTSIDE PERIOD",IF(AND(IFERROR(INDEX(VAT_Codes!$E:$E,MATCH($N1569,VAT_Codes!$A:$A,0)),"ANY")&lt;&gt;"ANY",$P1569=""),"MISSING COUNTERPARTY COUNTRY",IF(AND(IFERROR(INDEX(VAT_Codes!$E:$E,MATCH($N1569,VAT_Codes!$A:$A,0)),"ANY")&lt;&gt;"ANY",$P1569&lt;&gt;IFERROR(INDEX(VAT_Codes!$E:$E,MATCH($N1569,VAT_Codes!$A:$A,0)),"ANY")),"REGION MISMATCH","OK")))))))</f>
        <v/>
      </c>
    </row>
    <row r="1570" customFormat="false" ht="15" hidden="false" customHeight="false" outlineLevel="0" collapsed="false">
      <c r="M1570" s="24" t="str">
        <f aca="false">IF($C1570="","",IFERROR(INDEX(Account_Mapping!$C:$C,MATCH($C1570&amp;"",Account_Mapping!$A:$A,0))&amp;"",""))</f>
        <v/>
      </c>
      <c r="N1570" s="24" t="str">
        <f aca="false">IF($K1570&lt;&gt;"",$K1570,$M1570)</f>
        <v/>
      </c>
      <c r="O1570" s="24" t="str">
        <f aca="false">IF($F1570="","",IFERROR(INDEX(Counterparties!$C:$C,MATCH($F1570&amp;"",Counterparties!$A:$A,0))&amp;"",""))</f>
        <v/>
      </c>
      <c r="P1570" s="24" t="str">
        <f aca="false">IF($O1570="","",IF($O1570="CY","CY",IF(ISNUMBER(MATCH($O1570,Lists!$A:$A,0)),"EU","3RD")))</f>
        <v/>
      </c>
      <c r="Q1570" s="24" t="str">
        <f aca="false">IF($F1570="","N",IFERROR(IF(INDEX(Counterparties!$E:$E,MATCH($F1570&amp;"",Counterparties!$A:$A,0))="Y","Y","N"),"N"))</f>
        <v>N</v>
      </c>
      <c r="R1570" s="25" t="n">
        <f aca="false">IF(OR($H1570="",$H1570="EUR"),1,IFERROR(INDEX(FX_Rates!$D:$D,MATCH($H1570,FX_Rates!$A:$A,0)),""))</f>
        <v>1</v>
      </c>
      <c r="S1570" s="26" t="str">
        <f aca="false">IF(AND($I1570="",$J1570=""),"",IF($J1570&lt;&gt;"",$J1570,IF(OR($R1570="",$R1570=0),"",ROUND($I1570/$R1570,2))))</f>
        <v/>
      </c>
      <c r="T1570" s="24" t="str">
        <f aca="false">IF($N1570="","",IFERROR(INDEX(VAT_Codes!$C:$C,MATCH($N1570,VAT_Codes!$A:$A,0)),"")&amp;"")</f>
        <v/>
      </c>
      <c r="U1570" s="26" t="n">
        <f aca="false">IF(OR($S1570="",$T1570="",$T1570="None"),0,IF($T1570="Output",-$S1570,$S1570))</f>
        <v>0</v>
      </c>
      <c r="V1570" s="27" t="n">
        <f aca="false">IF($N1570="",0,IFERROR(INDEX(VAT_Codes!$D:$D,MATCH($N1570,VAT_Codes!$A:$A,0)),0))</f>
        <v>0</v>
      </c>
      <c r="W1570" s="26" t="n">
        <f aca="false">IF($U1570=0,0,IF(IFERROR(INDEX(VAT_Codes!$F:$F,MATCH($N1570,VAT_Codes!$A:$A,0)),"N")="Y",$U1570,IF($L1570&lt;&gt;"",ROUND(ABS($L1570)/IF(OR($R1570="",$R1570=0),1,$R1570),2)*SIGN($U1570),ROUND($U1570*$V1570,2))))</f>
        <v>0</v>
      </c>
      <c r="X1570" s="24" t="str">
        <f aca="false">IF($N1570="","",IFERROR(INDEX(VAT_Codes!$H:$H,MATCH($N1570,VAT_Codes!$A:$A,0)),"")&amp;"")</f>
        <v/>
      </c>
      <c r="Y1570" s="24" t="str">
        <f aca="false">IF($A1570="","",(YEAR($A1570)-YEAR(Settings!$C$8))*12+MONTH($A1570)-MONTH(Settings!$C$8)+1)</f>
        <v/>
      </c>
      <c r="Z1570" s="24" t="str">
        <f aca="false">IF(AND($C1570="",$I1570="",$J1570=""),"",IF($N1570="","NO VAT CODE",IF($T1570="","UNKNOWN VAT CODE",IF($S1570="","MISSING FX RATE",IF(OR($A1570&lt;Settings!$C$8,$A1570&gt;Settings!$C$9),"OUTSIDE PERIOD",IF(AND(IFERROR(INDEX(VAT_Codes!$E:$E,MATCH($N1570,VAT_Codes!$A:$A,0)),"ANY")&lt;&gt;"ANY",$P1570=""),"MISSING COUNTERPARTY COUNTRY",IF(AND(IFERROR(INDEX(VAT_Codes!$E:$E,MATCH($N1570,VAT_Codes!$A:$A,0)),"ANY")&lt;&gt;"ANY",$P1570&lt;&gt;IFERROR(INDEX(VAT_Codes!$E:$E,MATCH($N1570,VAT_Codes!$A:$A,0)),"ANY")),"REGION MISMATCH","OK")))))))</f>
        <v/>
      </c>
    </row>
    <row r="1571" customFormat="false" ht="15" hidden="false" customHeight="false" outlineLevel="0" collapsed="false">
      <c r="M1571" s="24" t="str">
        <f aca="false">IF($C1571="","",IFERROR(INDEX(Account_Mapping!$C:$C,MATCH($C1571&amp;"",Account_Mapping!$A:$A,0))&amp;"",""))</f>
        <v/>
      </c>
      <c r="N1571" s="24" t="str">
        <f aca="false">IF($K1571&lt;&gt;"",$K1571,$M1571)</f>
        <v/>
      </c>
      <c r="O1571" s="24" t="str">
        <f aca="false">IF($F1571="","",IFERROR(INDEX(Counterparties!$C:$C,MATCH($F1571&amp;"",Counterparties!$A:$A,0))&amp;"",""))</f>
        <v/>
      </c>
      <c r="P1571" s="24" t="str">
        <f aca="false">IF($O1571="","",IF($O1571="CY","CY",IF(ISNUMBER(MATCH($O1571,Lists!$A:$A,0)),"EU","3RD")))</f>
        <v/>
      </c>
      <c r="Q1571" s="24" t="str">
        <f aca="false">IF($F1571="","N",IFERROR(IF(INDEX(Counterparties!$E:$E,MATCH($F1571&amp;"",Counterparties!$A:$A,0))="Y","Y","N"),"N"))</f>
        <v>N</v>
      </c>
      <c r="R1571" s="25" t="n">
        <f aca="false">IF(OR($H1571="",$H1571="EUR"),1,IFERROR(INDEX(FX_Rates!$D:$D,MATCH($H1571,FX_Rates!$A:$A,0)),""))</f>
        <v>1</v>
      </c>
      <c r="S1571" s="26" t="str">
        <f aca="false">IF(AND($I1571="",$J1571=""),"",IF($J1571&lt;&gt;"",$J1571,IF(OR($R1571="",$R1571=0),"",ROUND($I1571/$R1571,2))))</f>
        <v/>
      </c>
      <c r="T1571" s="24" t="str">
        <f aca="false">IF($N1571="","",IFERROR(INDEX(VAT_Codes!$C:$C,MATCH($N1571,VAT_Codes!$A:$A,0)),"")&amp;"")</f>
        <v/>
      </c>
      <c r="U1571" s="26" t="n">
        <f aca="false">IF(OR($S1571="",$T1571="",$T1571="None"),0,IF($T1571="Output",-$S1571,$S1571))</f>
        <v>0</v>
      </c>
      <c r="V1571" s="27" t="n">
        <f aca="false">IF($N1571="",0,IFERROR(INDEX(VAT_Codes!$D:$D,MATCH($N1571,VAT_Codes!$A:$A,0)),0))</f>
        <v>0</v>
      </c>
      <c r="W1571" s="26" t="n">
        <f aca="false">IF($U1571=0,0,IF(IFERROR(INDEX(VAT_Codes!$F:$F,MATCH($N1571,VAT_Codes!$A:$A,0)),"N")="Y",$U1571,IF($L1571&lt;&gt;"",ROUND(ABS($L1571)/IF(OR($R1571="",$R1571=0),1,$R1571),2)*SIGN($U1571),ROUND($U1571*$V1571,2))))</f>
        <v>0</v>
      </c>
      <c r="X1571" s="24" t="str">
        <f aca="false">IF($N1571="","",IFERROR(INDEX(VAT_Codes!$H:$H,MATCH($N1571,VAT_Codes!$A:$A,0)),"")&amp;"")</f>
        <v/>
      </c>
      <c r="Y1571" s="24" t="str">
        <f aca="false">IF($A1571="","",(YEAR($A1571)-YEAR(Settings!$C$8))*12+MONTH($A1571)-MONTH(Settings!$C$8)+1)</f>
        <v/>
      </c>
      <c r="Z1571" s="24" t="str">
        <f aca="false">IF(AND($C1571="",$I1571="",$J1571=""),"",IF($N1571="","NO VAT CODE",IF($T1571="","UNKNOWN VAT CODE",IF($S1571="","MISSING FX RATE",IF(OR($A1571&lt;Settings!$C$8,$A1571&gt;Settings!$C$9),"OUTSIDE PERIOD",IF(AND(IFERROR(INDEX(VAT_Codes!$E:$E,MATCH($N1571,VAT_Codes!$A:$A,0)),"ANY")&lt;&gt;"ANY",$P1571=""),"MISSING COUNTERPARTY COUNTRY",IF(AND(IFERROR(INDEX(VAT_Codes!$E:$E,MATCH($N1571,VAT_Codes!$A:$A,0)),"ANY")&lt;&gt;"ANY",$P1571&lt;&gt;IFERROR(INDEX(VAT_Codes!$E:$E,MATCH($N1571,VAT_Codes!$A:$A,0)),"ANY")),"REGION MISMATCH","OK")))))))</f>
        <v/>
      </c>
    </row>
    <row r="1572" customFormat="false" ht="15" hidden="false" customHeight="false" outlineLevel="0" collapsed="false">
      <c r="M1572" s="24" t="str">
        <f aca="false">IF($C1572="","",IFERROR(INDEX(Account_Mapping!$C:$C,MATCH($C1572&amp;"",Account_Mapping!$A:$A,0))&amp;"",""))</f>
        <v/>
      </c>
      <c r="N1572" s="24" t="str">
        <f aca="false">IF($K1572&lt;&gt;"",$K1572,$M1572)</f>
        <v/>
      </c>
      <c r="O1572" s="24" t="str">
        <f aca="false">IF($F1572="","",IFERROR(INDEX(Counterparties!$C:$C,MATCH($F1572&amp;"",Counterparties!$A:$A,0))&amp;"",""))</f>
        <v/>
      </c>
      <c r="P1572" s="24" t="str">
        <f aca="false">IF($O1572="","",IF($O1572="CY","CY",IF(ISNUMBER(MATCH($O1572,Lists!$A:$A,0)),"EU","3RD")))</f>
        <v/>
      </c>
      <c r="Q1572" s="24" t="str">
        <f aca="false">IF($F1572="","N",IFERROR(IF(INDEX(Counterparties!$E:$E,MATCH($F1572&amp;"",Counterparties!$A:$A,0))="Y","Y","N"),"N"))</f>
        <v>N</v>
      </c>
      <c r="R1572" s="25" t="n">
        <f aca="false">IF(OR($H1572="",$H1572="EUR"),1,IFERROR(INDEX(FX_Rates!$D:$D,MATCH($H1572,FX_Rates!$A:$A,0)),""))</f>
        <v>1</v>
      </c>
      <c r="S1572" s="26" t="str">
        <f aca="false">IF(AND($I1572="",$J1572=""),"",IF($J1572&lt;&gt;"",$J1572,IF(OR($R1572="",$R1572=0),"",ROUND($I1572/$R1572,2))))</f>
        <v/>
      </c>
      <c r="T1572" s="24" t="str">
        <f aca="false">IF($N1572="","",IFERROR(INDEX(VAT_Codes!$C:$C,MATCH($N1572,VAT_Codes!$A:$A,0)),"")&amp;"")</f>
        <v/>
      </c>
      <c r="U1572" s="26" t="n">
        <f aca="false">IF(OR($S1572="",$T1572="",$T1572="None"),0,IF($T1572="Output",-$S1572,$S1572))</f>
        <v>0</v>
      </c>
      <c r="V1572" s="27" t="n">
        <f aca="false">IF($N1572="",0,IFERROR(INDEX(VAT_Codes!$D:$D,MATCH($N1572,VAT_Codes!$A:$A,0)),0))</f>
        <v>0</v>
      </c>
      <c r="W1572" s="26" t="n">
        <f aca="false">IF($U1572=0,0,IF(IFERROR(INDEX(VAT_Codes!$F:$F,MATCH($N1572,VAT_Codes!$A:$A,0)),"N")="Y",$U1572,IF($L1572&lt;&gt;"",ROUND(ABS($L1572)/IF(OR($R1572="",$R1572=0),1,$R1572),2)*SIGN($U1572),ROUND($U1572*$V1572,2))))</f>
        <v>0</v>
      </c>
      <c r="X1572" s="24" t="str">
        <f aca="false">IF($N1572="","",IFERROR(INDEX(VAT_Codes!$H:$H,MATCH($N1572,VAT_Codes!$A:$A,0)),"")&amp;"")</f>
        <v/>
      </c>
      <c r="Y1572" s="24" t="str">
        <f aca="false">IF($A1572="","",(YEAR($A1572)-YEAR(Settings!$C$8))*12+MONTH($A1572)-MONTH(Settings!$C$8)+1)</f>
        <v/>
      </c>
      <c r="Z1572" s="24" t="str">
        <f aca="false">IF(AND($C1572="",$I1572="",$J1572=""),"",IF($N1572="","NO VAT CODE",IF($T1572="","UNKNOWN VAT CODE",IF($S1572="","MISSING FX RATE",IF(OR($A1572&lt;Settings!$C$8,$A1572&gt;Settings!$C$9),"OUTSIDE PERIOD",IF(AND(IFERROR(INDEX(VAT_Codes!$E:$E,MATCH($N1572,VAT_Codes!$A:$A,0)),"ANY")&lt;&gt;"ANY",$P1572=""),"MISSING COUNTERPARTY COUNTRY",IF(AND(IFERROR(INDEX(VAT_Codes!$E:$E,MATCH($N1572,VAT_Codes!$A:$A,0)),"ANY")&lt;&gt;"ANY",$P1572&lt;&gt;IFERROR(INDEX(VAT_Codes!$E:$E,MATCH($N1572,VAT_Codes!$A:$A,0)),"ANY")),"REGION MISMATCH","OK")))))))</f>
        <v/>
      </c>
    </row>
    <row r="1573" customFormat="false" ht="15" hidden="false" customHeight="false" outlineLevel="0" collapsed="false">
      <c r="M1573" s="24" t="str">
        <f aca="false">IF($C1573="","",IFERROR(INDEX(Account_Mapping!$C:$C,MATCH($C1573&amp;"",Account_Mapping!$A:$A,0))&amp;"",""))</f>
        <v/>
      </c>
      <c r="N1573" s="24" t="str">
        <f aca="false">IF($K1573&lt;&gt;"",$K1573,$M1573)</f>
        <v/>
      </c>
      <c r="O1573" s="24" t="str">
        <f aca="false">IF($F1573="","",IFERROR(INDEX(Counterparties!$C:$C,MATCH($F1573&amp;"",Counterparties!$A:$A,0))&amp;"",""))</f>
        <v/>
      </c>
      <c r="P1573" s="24" t="str">
        <f aca="false">IF($O1573="","",IF($O1573="CY","CY",IF(ISNUMBER(MATCH($O1573,Lists!$A:$A,0)),"EU","3RD")))</f>
        <v/>
      </c>
      <c r="Q1573" s="24" t="str">
        <f aca="false">IF($F1573="","N",IFERROR(IF(INDEX(Counterparties!$E:$E,MATCH($F1573&amp;"",Counterparties!$A:$A,0))="Y","Y","N"),"N"))</f>
        <v>N</v>
      </c>
      <c r="R1573" s="25" t="n">
        <f aca="false">IF(OR($H1573="",$H1573="EUR"),1,IFERROR(INDEX(FX_Rates!$D:$D,MATCH($H1573,FX_Rates!$A:$A,0)),""))</f>
        <v>1</v>
      </c>
      <c r="S1573" s="26" t="str">
        <f aca="false">IF(AND($I1573="",$J1573=""),"",IF($J1573&lt;&gt;"",$J1573,IF(OR($R1573="",$R1573=0),"",ROUND($I1573/$R1573,2))))</f>
        <v/>
      </c>
      <c r="T1573" s="24" t="str">
        <f aca="false">IF($N1573="","",IFERROR(INDEX(VAT_Codes!$C:$C,MATCH($N1573,VAT_Codes!$A:$A,0)),"")&amp;"")</f>
        <v/>
      </c>
      <c r="U1573" s="26" t="n">
        <f aca="false">IF(OR($S1573="",$T1573="",$T1573="None"),0,IF($T1573="Output",-$S1573,$S1573))</f>
        <v>0</v>
      </c>
      <c r="V1573" s="27" t="n">
        <f aca="false">IF($N1573="",0,IFERROR(INDEX(VAT_Codes!$D:$D,MATCH($N1573,VAT_Codes!$A:$A,0)),0))</f>
        <v>0</v>
      </c>
      <c r="W1573" s="26" t="n">
        <f aca="false">IF($U1573=0,0,IF(IFERROR(INDEX(VAT_Codes!$F:$F,MATCH($N1573,VAT_Codes!$A:$A,0)),"N")="Y",$U1573,IF($L1573&lt;&gt;"",ROUND(ABS($L1573)/IF(OR($R1573="",$R1573=0),1,$R1573),2)*SIGN($U1573),ROUND($U1573*$V1573,2))))</f>
        <v>0</v>
      </c>
      <c r="X1573" s="24" t="str">
        <f aca="false">IF($N1573="","",IFERROR(INDEX(VAT_Codes!$H:$H,MATCH($N1573,VAT_Codes!$A:$A,0)),"")&amp;"")</f>
        <v/>
      </c>
      <c r="Y1573" s="24" t="str">
        <f aca="false">IF($A1573="","",(YEAR($A1573)-YEAR(Settings!$C$8))*12+MONTH($A1573)-MONTH(Settings!$C$8)+1)</f>
        <v/>
      </c>
      <c r="Z1573" s="24" t="str">
        <f aca="false">IF(AND($C1573="",$I1573="",$J1573=""),"",IF($N1573="","NO VAT CODE",IF($T1573="","UNKNOWN VAT CODE",IF($S1573="","MISSING FX RATE",IF(OR($A1573&lt;Settings!$C$8,$A1573&gt;Settings!$C$9),"OUTSIDE PERIOD",IF(AND(IFERROR(INDEX(VAT_Codes!$E:$E,MATCH($N1573,VAT_Codes!$A:$A,0)),"ANY")&lt;&gt;"ANY",$P1573=""),"MISSING COUNTERPARTY COUNTRY",IF(AND(IFERROR(INDEX(VAT_Codes!$E:$E,MATCH($N1573,VAT_Codes!$A:$A,0)),"ANY")&lt;&gt;"ANY",$P1573&lt;&gt;IFERROR(INDEX(VAT_Codes!$E:$E,MATCH($N1573,VAT_Codes!$A:$A,0)),"ANY")),"REGION MISMATCH","OK")))))))</f>
        <v/>
      </c>
    </row>
    <row r="1574" customFormat="false" ht="15" hidden="false" customHeight="false" outlineLevel="0" collapsed="false">
      <c r="M1574" s="24" t="str">
        <f aca="false">IF($C1574="","",IFERROR(INDEX(Account_Mapping!$C:$C,MATCH($C1574&amp;"",Account_Mapping!$A:$A,0))&amp;"",""))</f>
        <v/>
      </c>
      <c r="N1574" s="24" t="str">
        <f aca="false">IF($K1574&lt;&gt;"",$K1574,$M1574)</f>
        <v/>
      </c>
      <c r="O1574" s="24" t="str">
        <f aca="false">IF($F1574="","",IFERROR(INDEX(Counterparties!$C:$C,MATCH($F1574&amp;"",Counterparties!$A:$A,0))&amp;"",""))</f>
        <v/>
      </c>
      <c r="P1574" s="24" t="str">
        <f aca="false">IF($O1574="","",IF($O1574="CY","CY",IF(ISNUMBER(MATCH($O1574,Lists!$A:$A,0)),"EU","3RD")))</f>
        <v/>
      </c>
      <c r="Q1574" s="24" t="str">
        <f aca="false">IF($F1574="","N",IFERROR(IF(INDEX(Counterparties!$E:$E,MATCH($F1574&amp;"",Counterparties!$A:$A,0))="Y","Y","N"),"N"))</f>
        <v>N</v>
      </c>
      <c r="R1574" s="25" t="n">
        <f aca="false">IF(OR($H1574="",$H1574="EUR"),1,IFERROR(INDEX(FX_Rates!$D:$D,MATCH($H1574,FX_Rates!$A:$A,0)),""))</f>
        <v>1</v>
      </c>
      <c r="S1574" s="26" t="str">
        <f aca="false">IF(AND($I1574="",$J1574=""),"",IF($J1574&lt;&gt;"",$J1574,IF(OR($R1574="",$R1574=0),"",ROUND($I1574/$R1574,2))))</f>
        <v/>
      </c>
      <c r="T1574" s="24" t="str">
        <f aca="false">IF($N1574="","",IFERROR(INDEX(VAT_Codes!$C:$C,MATCH($N1574,VAT_Codes!$A:$A,0)),"")&amp;"")</f>
        <v/>
      </c>
      <c r="U1574" s="26" t="n">
        <f aca="false">IF(OR($S1574="",$T1574="",$T1574="None"),0,IF($T1574="Output",-$S1574,$S1574))</f>
        <v>0</v>
      </c>
      <c r="V1574" s="27" t="n">
        <f aca="false">IF($N1574="",0,IFERROR(INDEX(VAT_Codes!$D:$D,MATCH($N1574,VAT_Codes!$A:$A,0)),0))</f>
        <v>0</v>
      </c>
      <c r="W1574" s="26" t="n">
        <f aca="false">IF($U1574=0,0,IF(IFERROR(INDEX(VAT_Codes!$F:$F,MATCH($N1574,VAT_Codes!$A:$A,0)),"N")="Y",$U1574,IF($L1574&lt;&gt;"",ROUND(ABS($L1574)/IF(OR($R1574="",$R1574=0),1,$R1574),2)*SIGN($U1574),ROUND($U1574*$V1574,2))))</f>
        <v>0</v>
      </c>
      <c r="X1574" s="24" t="str">
        <f aca="false">IF($N1574="","",IFERROR(INDEX(VAT_Codes!$H:$H,MATCH($N1574,VAT_Codes!$A:$A,0)),"")&amp;"")</f>
        <v/>
      </c>
      <c r="Y1574" s="24" t="str">
        <f aca="false">IF($A1574="","",(YEAR($A1574)-YEAR(Settings!$C$8))*12+MONTH($A1574)-MONTH(Settings!$C$8)+1)</f>
        <v/>
      </c>
      <c r="Z1574" s="24" t="str">
        <f aca="false">IF(AND($C1574="",$I1574="",$J1574=""),"",IF($N1574="","NO VAT CODE",IF($T1574="","UNKNOWN VAT CODE",IF($S1574="","MISSING FX RATE",IF(OR($A1574&lt;Settings!$C$8,$A1574&gt;Settings!$C$9),"OUTSIDE PERIOD",IF(AND(IFERROR(INDEX(VAT_Codes!$E:$E,MATCH($N1574,VAT_Codes!$A:$A,0)),"ANY")&lt;&gt;"ANY",$P1574=""),"MISSING COUNTERPARTY COUNTRY",IF(AND(IFERROR(INDEX(VAT_Codes!$E:$E,MATCH($N1574,VAT_Codes!$A:$A,0)),"ANY")&lt;&gt;"ANY",$P1574&lt;&gt;IFERROR(INDEX(VAT_Codes!$E:$E,MATCH($N1574,VAT_Codes!$A:$A,0)),"ANY")),"REGION MISMATCH","OK")))))))</f>
        <v/>
      </c>
    </row>
    <row r="1575" customFormat="false" ht="15" hidden="false" customHeight="false" outlineLevel="0" collapsed="false">
      <c r="M1575" s="24" t="str">
        <f aca="false">IF($C1575="","",IFERROR(INDEX(Account_Mapping!$C:$C,MATCH($C1575&amp;"",Account_Mapping!$A:$A,0))&amp;"",""))</f>
        <v/>
      </c>
      <c r="N1575" s="24" t="str">
        <f aca="false">IF($K1575&lt;&gt;"",$K1575,$M1575)</f>
        <v/>
      </c>
      <c r="O1575" s="24" t="str">
        <f aca="false">IF($F1575="","",IFERROR(INDEX(Counterparties!$C:$C,MATCH($F1575&amp;"",Counterparties!$A:$A,0))&amp;"",""))</f>
        <v/>
      </c>
      <c r="P1575" s="24" t="str">
        <f aca="false">IF($O1575="","",IF($O1575="CY","CY",IF(ISNUMBER(MATCH($O1575,Lists!$A:$A,0)),"EU","3RD")))</f>
        <v/>
      </c>
      <c r="Q1575" s="24" t="str">
        <f aca="false">IF($F1575="","N",IFERROR(IF(INDEX(Counterparties!$E:$E,MATCH($F1575&amp;"",Counterparties!$A:$A,0))="Y","Y","N"),"N"))</f>
        <v>N</v>
      </c>
      <c r="R1575" s="25" t="n">
        <f aca="false">IF(OR($H1575="",$H1575="EUR"),1,IFERROR(INDEX(FX_Rates!$D:$D,MATCH($H1575,FX_Rates!$A:$A,0)),""))</f>
        <v>1</v>
      </c>
      <c r="S1575" s="26" t="str">
        <f aca="false">IF(AND($I1575="",$J1575=""),"",IF($J1575&lt;&gt;"",$J1575,IF(OR($R1575="",$R1575=0),"",ROUND($I1575/$R1575,2))))</f>
        <v/>
      </c>
      <c r="T1575" s="24" t="str">
        <f aca="false">IF($N1575="","",IFERROR(INDEX(VAT_Codes!$C:$C,MATCH($N1575,VAT_Codes!$A:$A,0)),"")&amp;"")</f>
        <v/>
      </c>
      <c r="U1575" s="26" t="n">
        <f aca="false">IF(OR($S1575="",$T1575="",$T1575="None"),0,IF($T1575="Output",-$S1575,$S1575))</f>
        <v>0</v>
      </c>
      <c r="V1575" s="27" t="n">
        <f aca="false">IF($N1575="",0,IFERROR(INDEX(VAT_Codes!$D:$D,MATCH($N1575,VAT_Codes!$A:$A,0)),0))</f>
        <v>0</v>
      </c>
      <c r="W1575" s="26" t="n">
        <f aca="false">IF($U1575=0,0,IF(IFERROR(INDEX(VAT_Codes!$F:$F,MATCH($N1575,VAT_Codes!$A:$A,0)),"N")="Y",$U1575,IF($L1575&lt;&gt;"",ROUND(ABS($L1575)/IF(OR($R1575="",$R1575=0),1,$R1575),2)*SIGN($U1575),ROUND($U1575*$V1575,2))))</f>
        <v>0</v>
      </c>
      <c r="X1575" s="24" t="str">
        <f aca="false">IF($N1575="","",IFERROR(INDEX(VAT_Codes!$H:$H,MATCH($N1575,VAT_Codes!$A:$A,0)),"")&amp;"")</f>
        <v/>
      </c>
      <c r="Y1575" s="24" t="str">
        <f aca="false">IF($A1575="","",(YEAR($A1575)-YEAR(Settings!$C$8))*12+MONTH($A1575)-MONTH(Settings!$C$8)+1)</f>
        <v/>
      </c>
      <c r="Z1575" s="24" t="str">
        <f aca="false">IF(AND($C1575="",$I1575="",$J1575=""),"",IF($N1575="","NO VAT CODE",IF($T1575="","UNKNOWN VAT CODE",IF($S1575="","MISSING FX RATE",IF(OR($A1575&lt;Settings!$C$8,$A1575&gt;Settings!$C$9),"OUTSIDE PERIOD",IF(AND(IFERROR(INDEX(VAT_Codes!$E:$E,MATCH($N1575,VAT_Codes!$A:$A,0)),"ANY")&lt;&gt;"ANY",$P1575=""),"MISSING COUNTERPARTY COUNTRY",IF(AND(IFERROR(INDEX(VAT_Codes!$E:$E,MATCH($N1575,VAT_Codes!$A:$A,0)),"ANY")&lt;&gt;"ANY",$P1575&lt;&gt;IFERROR(INDEX(VAT_Codes!$E:$E,MATCH($N1575,VAT_Codes!$A:$A,0)),"ANY")),"REGION MISMATCH","OK")))))))</f>
        <v/>
      </c>
    </row>
    <row r="1576" customFormat="false" ht="15" hidden="false" customHeight="false" outlineLevel="0" collapsed="false">
      <c r="M1576" s="24" t="str">
        <f aca="false">IF($C1576="","",IFERROR(INDEX(Account_Mapping!$C:$C,MATCH($C1576&amp;"",Account_Mapping!$A:$A,0))&amp;"",""))</f>
        <v/>
      </c>
      <c r="N1576" s="24" t="str">
        <f aca="false">IF($K1576&lt;&gt;"",$K1576,$M1576)</f>
        <v/>
      </c>
      <c r="O1576" s="24" t="str">
        <f aca="false">IF($F1576="","",IFERROR(INDEX(Counterparties!$C:$C,MATCH($F1576&amp;"",Counterparties!$A:$A,0))&amp;"",""))</f>
        <v/>
      </c>
      <c r="P1576" s="24" t="str">
        <f aca="false">IF($O1576="","",IF($O1576="CY","CY",IF(ISNUMBER(MATCH($O1576,Lists!$A:$A,0)),"EU","3RD")))</f>
        <v/>
      </c>
      <c r="Q1576" s="24" t="str">
        <f aca="false">IF($F1576="","N",IFERROR(IF(INDEX(Counterparties!$E:$E,MATCH($F1576&amp;"",Counterparties!$A:$A,0))="Y","Y","N"),"N"))</f>
        <v>N</v>
      </c>
      <c r="R1576" s="25" t="n">
        <f aca="false">IF(OR($H1576="",$H1576="EUR"),1,IFERROR(INDEX(FX_Rates!$D:$D,MATCH($H1576,FX_Rates!$A:$A,0)),""))</f>
        <v>1</v>
      </c>
      <c r="S1576" s="26" t="str">
        <f aca="false">IF(AND($I1576="",$J1576=""),"",IF($J1576&lt;&gt;"",$J1576,IF(OR($R1576="",$R1576=0),"",ROUND($I1576/$R1576,2))))</f>
        <v/>
      </c>
      <c r="T1576" s="24" t="str">
        <f aca="false">IF($N1576="","",IFERROR(INDEX(VAT_Codes!$C:$C,MATCH($N1576,VAT_Codes!$A:$A,0)),"")&amp;"")</f>
        <v/>
      </c>
      <c r="U1576" s="26" t="n">
        <f aca="false">IF(OR($S1576="",$T1576="",$T1576="None"),0,IF($T1576="Output",-$S1576,$S1576))</f>
        <v>0</v>
      </c>
      <c r="V1576" s="27" t="n">
        <f aca="false">IF($N1576="",0,IFERROR(INDEX(VAT_Codes!$D:$D,MATCH($N1576,VAT_Codes!$A:$A,0)),0))</f>
        <v>0</v>
      </c>
      <c r="W1576" s="26" t="n">
        <f aca="false">IF($U1576=0,0,IF(IFERROR(INDEX(VAT_Codes!$F:$F,MATCH($N1576,VAT_Codes!$A:$A,0)),"N")="Y",$U1576,IF($L1576&lt;&gt;"",ROUND(ABS($L1576)/IF(OR($R1576="",$R1576=0),1,$R1576),2)*SIGN($U1576),ROUND($U1576*$V1576,2))))</f>
        <v>0</v>
      </c>
      <c r="X1576" s="24" t="str">
        <f aca="false">IF($N1576="","",IFERROR(INDEX(VAT_Codes!$H:$H,MATCH($N1576,VAT_Codes!$A:$A,0)),"")&amp;"")</f>
        <v/>
      </c>
      <c r="Y1576" s="24" t="str">
        <f aca="false">IF($A1576="","",(YEAR($A1576)-YEAR(Settings!$C$8))*12+MONTH($A1576)-MONTH(Settings!$C$8)+1)</f>
        <v/>
      </c>
      <c r="Z1576" s="24" t="str">
        <f aca="false">IF(AND($C1576="",$I1576="",$J1576=""),"",IF($N1576="","NO VAT CODE",IF($T1576="","UNKNOWN VAT CODE",IF($S1576="","MISSING FX RATE",IF(OR($A1576&lt;Settings!$C$8,$A1576&gt;Settings!$C$9),"OUTSIDE PERIOD",IF(AND(IFERROR(INDEX(VAT_Codes!$E:$E,MATCH($N1576,VAT_Codes!$A:$A,0)),"ANY")&lt;&gt;"ANY",$P1576=""),"MISSING COUNTERPARTY COUNTRY",IF(AND(IFERROR(INDEX(VAT_Codes!$E:$E,MATCH($N1576,VAT_Codes!$A:$A,0)),"ANY")&lt;&gt;"ANY",$P1576&lt;&gt;IFERROR(INDEX(VAT_Codes!$E:$E,MATCH($N1576,VAT_Codes!$A:$A,0)),"ANY")),"REGION MISMATCH","OK")))))))</f>
        <v/>
      </c>
    </row>
    <row r="1577" customFormat="false" ht="15" hidden="false" customHeight="false" outlineLevel="0" collapsed="false">
      <c r="M1577" s="24" t="str">
        <f aca="false">IF($C1577="","",IFERROR(INDEX(Account_Mapping!$C:$C,MATCH($C1577&amp;"",Account_Mapping!$A:$A,0))&amp;"",""))</f>
        <v/>
      </c>
      <c r="N1577" s="24" t="str">
        <f aca="false">IF($K1577&lt;&gt;"",$K1577,$M1577)</f>
        <v/>
      </c>
      <c r="O1577" s="24" t="str">
        <f aca="false">IF($F1577="","",IFERROR(INDEX(Counterparties!$C:$C,MATCH($F1577&amp;"",Counterparties!$A:$A,0))&amp;"",""))</f>
        <v/>
      </c>
      <c r="P1577" s="24" t="str">
        <f aca="false">IF($O1577="","",IF($O1577="CY","CY",IF(ISNUMBER(MATCH($O1577,Lists!$A:$A,0)),"EU","3RD")))</f>
        <v/>
      </c>
      <c r="Q1577" s="24" t="str">
        <f aca="false">IF($F1577="","N",IFERROR(IF(INDEX(Counterparties!$E:$E,MATCH($F1577&amp;"",Counterparties!$A:$A,0))="Y","Y","N"),"N"))</f>
        <v>N</v>
      </c>
      <c r="R1577" s="25" t="n">
        <f aca="false">IF(OR($H1577="",$H1577="EUR"),1,IFERROR(INDEX(FX_Rates!$D:$D,MATCH($H1577,FX_Rates!$A:$A,0)),""))</f>
        <v>1</v>
      </c>
      <c r="S1577" s="26" t="str">
        <f aca="false">IF(AND($I1577="",$J1577=""),"",IF($J1577&lt;&gt;"",$J1577,IF(OR($R1577="",$R1577=0),"",ROUND($I1577/$R1577,2))))</f>
        <v/>
      </c>
      <c r="T1577" s="24" t="str">
        <f aca="false">IF($N1577="","",IFERROR(INDEX(VAT_Codes!$C:$C,MATCH($N1577,VAT_Codes!$A:$A,0)),"")&amp;"")</f>
        <v/>
      </c>
      <c r="U1577" s="26" t="n">
        <f aca="false">IF(OR($S1577="",$T1577="",$T1577="None"),0,IF($T1577="Output",-$S1577,$S1577))</f>
        <v>0</v>
      </c>
      <c r="V1577" s="27" t="n">
        <f aca="false">IF($N1577="",0,IFERROR(INDEX(VAT_Codes!$D:$D,MATCH($N1577,VAT_Codes!$A:$A,0)),0))</f>
        <v>0</v>
      </c>
      <c r="W1577" s="26" t="n">
        <f aca="false">IF($U1577=0,0,IF(IFERROR(INDEX(VAT_Codes!$F:$F,MATCH($N1577,VAT_Codes!$A:$A,0)),"N")="Y",$U1577,IF($L1577&lt;&gt;"",ROUND(ABS($L1577)/IF(OR($R1577="",$R1577=0),1,$R1577),2)*SIGN($U1577),ROUND($U1577*$V1577,2))))</f>
        <v>0</v>
      </c>
      <c r="X1577" s="24" t="str">
        <f aca="false">IF($N1577="","",IFERROR(INDEX(VAT_Codes!$H:$H,MATCH($N1577,VAT_Codes!$A:$A,0)),"")&amp;"")</f>
        <v/>
      </c>
      <c r="Y1577" s="24" t="str">
        <f aca="false">IF($A1577="","",(YEAR($A1577)-YEAR(Settings!$C$8))*12+MONTH($A1577)-MONTH(Settings!$C$8)+1)</f>
        <v/>
      </c>
      <c r="Z1577" s="24" t="str">
        <f aca="false">IF(AND($C1577="",$I1577="",$J1577=""),"",IF($N1577="","NO VAT CODE",IF($T1577="","UNKNOWN VAT CODE",IF($S1577="","MISSING FX RATE",IF(OR($A1577&lt;Settings!$C$8,$A1577&gt;Settings!$C$9),"OUTSIDE PERIOD",IF(AND(IFERROR(INDEX(VAT_Codes!$E:$E,MATCH($N1577,VAT_Codes!$A:$A,0)),"ANY")&lt;&gt;"ANY",$P1577=""),"MISSING COUNTERPARTY COUNTRY",IF(AND(IFERROR(INDEX(VAT_Codes!$E:$E,MATCH($N1577,VAT_Codes!$A:$A,0)),"ANY")&lt;&gt;"ANY",$P1577&lt;&gt;IFERROR(INDEX(VAT_Codes!$E:$E,MATCH($N1577,VAT_Codes!$A:$A,0)),"ANY")),"REGION MISMATCH","OK")))))))</f>
        <v/>
      </c>
    </row>
    <row r="1578" customFormat="false" ht="15" hidden="false" customHeight="false" outlineLevel="0" collapsed="false">
      <c r="M1578" s="24" t="str">
        <f aca="false">IF($C1578="","",IFERROR(INDEX(Account_Mapping!$C:$C,MATCH($C1578&amp;"",Account_Mapping!$A:$A,0))&amp;"",""))</f>
        <v/>
      </c>
      <c r="N1578" s="24" t="str">
        <f aca="false">IF($K1578&lt;&gt;"",$K1578,$M1578)</f>
        <v/>
      </c>
      <c r="O1578" s="24" t="str">
        <f aca="false">IF($F1578="","",IFERROR(INDEX(Counterparties!$C:$C,MATCH($F1578&amp;"",Counterparties!$A:$A,0))&amp;"",""))</f>
        <v/>
      </c>
      <c r="P1578" s="24" t="str">
        <f aca="false">IF($O1578="","",IF($O1578="CY","CY",IF(ISNUMBER(MATCH($O1578,Lists!$A:$A,0)),"EU","3RD")))</f>
        <v/>
      </c>
      <c r="Q1578" s="24" t="str">
        <f aca="false">IF($F1578="","N",IFERROR(IF(INDEX(Counterparties!$E:$E,MATCH($F1578&amp;"",Counterparties!$A:$A,0))="Y","Y","N"),"N"))</f>
        <v>N</v>
      </c>
      <c r="R1578" s="25" t="n">
        <f aca="false">IF(OR($H1578="",$H1578="EUR"),1,IFERROR(INDEX(FX_Rates!$D:$D,MATCH($H1578,FX_Rates!$A:$A,0)),""))</f>
        <v>1</v>
      </c>
      <c r="S1578" s="26" t="str">
        <f aca="false">IF(AND($I1578="",$J1578=""),"",IF($J1578&lt;&gt;"",$J1578,IF(OR($R1578="",$R1578=0),"",ROUND($I1578/$R1578,2))))</f>
        <v/>
      </c>
      <c r="T1578" s="24" t="str">
        <f aca="false">IF($N1578="","",IFERROR(INDEX(VAT_Codes!$C:$C,MATCH($N1578,VAT_Codes!$A:$A,0)),"")&amp;"")</f>
        <v/>
      </c>
      <c r="U1578" s="26" t="n">
        <f aca="false">IF(OR($S1578="",$T1578="",$T1578="None"),0,IF($T1578="Output",-$S1578,$S1578))</f>
        <v>0</v>
      </c>
      <c r="V1578" s="27" t="n">
        <f aca="false">IF($N1578="",0,IFERROR(INDEX(VAT_Codes!$D:$D,MATCH($N1578,VAT_Codes!$A:$A,0)),0))</f>
        <v>0</v>
      </c>
      <c r="W1578" s="26" t="n">
        <f aca="false">IF($U1578=0,0,IF(IFERROR(INDEX(VAT_Codes!$F:$F,MATCH($N1578,VAT_Codes!$A:$A,0)),"N")="Y",$U1578,IF($L1578&lt;&gt;"",ROUND(ABS($L1578)/IF(OR($R1578="",$R1578=0),1,$R1578),2)*SIGN($U1578),ROUND($U1578*$V1578,2))))</f>
        <v>0</v>
      </c>
      <c r="X1578" s="24" t="str">
        <f aca="false">IF($N1578="","",IFERROR(INDEX(VAT_Codes!$H:$H,MATCH($N1578,VAT_Codes!$A:$A,0)),"")&amp;"")</f>
        <v/>
      </c>
      <c r="Y1578" s="24" t="str">
        <f aca="false">IF($A1578="","",(YEAR($A1578)-YEAR(Settings!$C$8))*12+MONTH($A1578)-MONTH(Settings!$C$8)+1)</f>
        <v/>
      </c>
      <c r="Z1578" s="24" t="str">
        <f aca="false">IF(AND($C1578="",$I1578="",$J1578=""),"",IF($N1578="","NO VAT CODE",IF($T1578="","UNKNOWN VAT CODE",IF($S1578="","MISSING FX RATE",IF(OR($A1578&lt;Settings!$C$8,$A1578&gt;Settings!$C$9),"OUTSIDE PERIOD",IF(AND(IFERROR(INDEX(VAT_Codes!$E:$E,MATCH($N1578,VAT_Codes!$A:$A,0)),"ANY")&lt;&gt;"ANY",$P1578=""),"MISSING COUNTERPARTY COUNTRY",IF(AND(IFERROR(INDEX(VAT_Codes!$E:$E,MATCH($N1578,VAT_Codes!$A:$A,0)),"ANY")&lt;&gt;"ANY",$P1578&lt;&gt;IFERROR(INDEX(VAT_Codes!$E:$E,MATCH($N1578,VAT_Codes!$A:$A,0)),"ANY")),"REGION MISMATCH","OK")))))))</f>
        <v/>
      </c>
    </row>
    <row r="1579" customFormat="false" ht="15" hidden="false" customHeight="false" outlineLevel="0" collapsed="false">
      <c r="M1579" s="24" t="str">
        <f aca="false">IF($C1579="","",IFERROR(INDEX(Account_Mapping!$C:$C,MATCH($C1579&amp;"",Account_Mapping!$A:$A,0))&amp;"",""))</f>
        <v/>
      </c>
      <c r="N1579" s="24" t="str">
        <f aca="false">IF($K1579&lt;&gt;"",$K1579,$M1579)</f>
        <v/>
      </c>
      <c r="O1579" s="24" t="str">
        <f aca="false">IF($F1579="","",IFERROR(INDEX(Counterparties!$C:$C,MATCH($F1579&amp;"",Counterparties!$A:$A,0))&amp;"",""))</f>
        <v/>
      </c>
      <c r="P1579" s="24" t="str">
        <f aca="false">IF($O1579="","",IF($O1579="CY","CY",IF(ISNUMBER(MATCH($O1579,Lists!$A:$A,0)),"EU","3RD")))</f>
        <v/>
      </c>
      <c r="Q1579" s="24" t="str">
        <f aca="false">IF($F1579="","N",IFERROR(IF(INDEX(Counterparties!$E:$E,MATCH($F1579&amp;"",Counterparties!$A:$A,0))="Y","Y","N"),"N"))</f>
        <v>N</v>
      </c>
      <c r="R1579" s="25" t="n">
        <f aca="false">IF(OR($H1579="",$H1579="EUR"),1,IFERROR(INDEX(FX_Rates!$D:$D,MATCH($H1579,FX_Rates!$A:$A,0)),""))</f>
        <v>1</v>
      </c>
      <c r="S1579" s="26" t="str">
        <f aca="false">IF(AND($I1579="",$J1579=""),"",IF($J1579&lt;&gt;"",$J1579,IF(OR($R1579="",$R1579=0),"",ROUND($I1579/$R1579,2))))</f>
        <v/>
      </c>
      <c r="T1579" s="24" t="str">
        <f aca="false">IF($N1579="","",IFERROR(INDEX(VAT_Codes!$C:$C,MATCH($N1579,VAT_Codes!$A:$A,0)),"")&amp;"")</f>
        <v/>
      </c>
      <c r="U1579" s="26" t="n">
        <f aca="false">IF(OR($S1579="",$T1579="",$T1579="None"),0,IF($T1579="Output",-$S1579,$S1579))</f>
        <v>0</v>
      </c>
      <c r="V1579" s="27" t="n">
        <f aca="false">IF($N1579="",0,IFERROR(INDEX(VAT_Codes!$D:$D,MATCH($N1579,VAT_Codes!$A:$A,0)),0))</f>
        <v>0</v>
      </c>
      <c r="W1579" s="26" t="n">
        <f aca="false">IF($U1579=0,0,IF(IFERROR(INDEX(VAT_Codes!$F:$F,MATCH($N1579,VAT_Codes!$A:$A,0)),"N")="Y",$U1579,IF($L1579&lt;&gt;"",ROUND(ABS($L1579)/IF(OR($R1579="",$R1579=0),1,$R1579),2)*SIGN($U1579),ROUND($U1579*$V1579,2))))</f>
        <v>0</v>
      </c>
      <c r="X1579" s="24" t="str">
        <f aca="false">IF($N1579="","",IFERROR(INDEX(VAT_Codes!$H:$H,MATCH($N1579,VAT_Codes!$A:$A,0)),"")&amp;"")</f>
        <v/>
      </c>
      <c r="Y1579" s="24" t="str">
        <f aca="false">IF($A1579="","",(YEAR($A1579)-YEAR(Settings!$C$8))*12+MONTH($A1579)-MONTH(Settings!$C$8)+1)</f>
        <v/>
      </c>
      <c r="Z1579" s="24" t="str">
        <f aca="false">IF(AND($C1579="",$I1579="",$J1579=""),"",IF($N1579="","NO VAT CODE",IF($T1579="","UNKNOWN VAT CODE",IF($S1579="","MISSING FX RATE",IF(OR($A1579&lt;Settings!$C$8,$A1579&gt;Settings!$C$9),"OUTSIDE PERIOD",IF(AND(IFERROR(INDEX(VAT_Codes!$E:$E,MATCH($N1579,VAT_Codes!$A:$A,0)),"ANY")&lt;&gt;"ANY",$P1579=""),"MISSING COUNTERPARTY COUNTRY",IF(AND(IFERROR(INDEX(VAT_Codes!$E:$E,MATCH($N1579,VAT_Codes!$A:$A,0)),"ANY")&lt;&gt;"ANY",$P1579&lt;&gt;IFERROR(INDEX(VAT_Codes!$E:$E,MATCH($N1579,VAT_Codes!$A:$A,0)),"ANY")),"REGION MISMATCH","OK")))))))</f>
        <v/>
      </c>
    </row>
    <row r="1580" customFormat="false" ht="15" hidden="false" customHeight="false" outlineLevel="0" collapsed="false">
      <c r="M1580" s="24" t="str">
        <f aca="false">IF($C1580="","",IFERROR(INDEX(Account_Mapping!$C:$C,MATCH($C1580&amp;"",Account_Mapping!$A:$A,0))&amp;"",""))</f>
        <v/>
      </c>
      <c r="N1580" s="24" t="str">
        <f aca="false">IF($K1580&lt;&gt;"",$K1580,$M1580)</f>
        <v/>
      </c>
      <c r="O1580" s="24" t="str">
        <f aca="false">IF($F1580="","",IFERROR(INDEX(Counterparties!$C:$C,MATCH($F1580&amp;"",Counterparties!$A:$A,0))&amp;"",""))</f>
        <v/>
      </c>
      <c r="P1580" s="24" t="str">
        <f aca="false">IF($O1580="","",IF($O1580="CY","CY",IF(ISNUMBER(MATCH($O1580,Lists!$A:$A,0)),"EU","3RD")))</f>
        <v/>
      </c>
      <c r="Q1580" s="24" t="str">
        <f aca="false">IF($F1580="","N",IFERROR(IF(INDEX(Counterparties!$E:$E,MATCH($F1580&amp;"",Counterparties!$A:$A,0))="Y","Y","N"),"N"))</f>
        <v>N</v>
      </c>
      <c r="R1580" s="25" t="n">
        <f aca="false">IF(OR($H1580="",$H1580="EUR"),1,IFERROR(INDEX(FX_Rates!$D:$D,MATCH($H1580,FX_Rates!$A:$A,0)),""))</f>
        <v>1</v>
      </c>
      <c r="S1580" s="26" t="str">
        <f aca="false">IF(AND($I1580="",$J1580=""),"",IF($J1580&lt;&gt;"",$J1580,IF(OR($R1580="",$R1580=0),"",ROUND($I1580/$R1580,2))))</f>
        <v/>
      </c>
      <c r="T1580" s="24" t="str">
        <f aca="false">IF($N1580="","",IFERROR(INDEX(VAT_Codes!$C:$C,MATCH($N1580,VAT_Codes!$A:$A,0)),"")&amp;"")</f>
        <v/>
      </c>
      <c r="U1580" s="26" t="n">
        <f aca="false">IF(OR($S1580="",$T1580="",$T1580="None"),0,IF($T1580="Output",-$S1580,$S1580))</f>
        <v>0</v>
      </c>
      <c r="V1580" s="27" t="n">
        <f aca="false">IF($N1580="",0,IFERROR(INDEX(VAT_Codes!$D:$D,MATCH($N1580,VAT_Codes!$A:$A,0)),0))</f>
        <v>0</v>
      </c>
      <c r="W1580" s="26" t="n">
        <f aca="false">IF($U1580=0,0,IF(IFERROR(INDEX(VAT_Codes!$F:$F,MATCH($N1580,VAT_Codes!$A:$A,0)),"N")="Y",$U1580,IF($L1580&lt;&gt;"",ROUND(ABS($L1580)/IF(OR($R1580="",$R1580=0),1,$R1580),2)*SIGN($U1580),ROUND($U1580*$V1580,2))))</f>
        <v>0</v>
      </c>
      <c r="X1580" s="24" t="str">
        <f aca="false">IF($N1580="","",IFERROR(INDEX(VAT_Codes!$H:$H,MATCH($N1580,VAT_Codes!$A:$A,0)),"")&amp;"")</f>
        <v/>
      </c>
      <c r="Y1580" s="24" t="str">
        <f aca="false">IF($A1580="","",(YEAR($A1580)-YEAR(Settings!$C$8))*12+MONTH($A1580)-MONTH(Settings!$C$8)+1)</f>
        <v/>
      </c>
      <c r="Z1580" s="24" t="str">
        <f aca="false">IF(AND($C1580="",$I1580="",$J1580=""),"",IF($N1580="","NO VAT CODE",IF($T1580="","UNKNOWN VAT CODE",IF($S1580="","MISSING FX RATE",IF(OR($A1580&lt;Settings!$C$8,$A1580&gt;Settings!$C$9),"OUTSIDE PERIOD",IF(AND(IFERROR(INDEX(VAT_Codes!$E:$E,MATCH($N1580,VAT_Codes!$A:$A,0)),"ANY")&lt;&gt;"ANY",$P1580=""),"MISSING COUNTERPARTY COUNTRY",IF(AND(IFERROR(INDEX(VAT_Codes!$E:$E,MATCH($N1580,VAT_Codes!$A:$A,0)),"ANY")&lt;&gt;"ANY",$P1580&lt;&gt;IFERROR(INDEX(VAT_Codes!$E:$E,MATCH($N1580,VAT_Codes!$A:$A,0)),"ANY")),"REGION MISMATCH","OK")))))))</f>
        <v/>
      </c>
    </row>
    <row r="1581" customFormat="false" ht="15" hidden="false" customHeight="false" outlineLevel="0" collapsed="false">
      <c r="M1581" s="24" t="str">
        <f aca="false">IF($C1581="","",IFERROR(INDEX(Account_Mapping!$C:$C,MATCH($C1581&amp;"",Account_Mapping!$A:$A,0))&amp;"",""))</f>
        <v/>
      </c>
      <c r="N1581" s="24" t="str">
        <f aca="false">IF($K1581&lt;&gt;"",$K1581,$M1581)</f>
        <v/>
      </c>
      <c r="O1581" s="24" t="str">
        <f aca="false">IF($F1581="","",IFERROR(INDEX(Counterparties!$C:$C,MATCH($F1581&amp;"",Counterparties!$A:$A,0))&amp;"",""))</f>
        <v/>
      </c>
      <c r="P1581" s="24" t="str">
        <f aca="false">IF($O1581="","",IF($O1581="CY","CY",IF(ISNUMBER(MATCH($O1581,Lists!$A:$A,0)),"EU","3RD")))</f>
        <v/>
      </c>
      <c r="Q1581" s="24" t="str">
        <f aca="false">IF($F1581="","N",IFERROR(IF(INDEX(Counterparties!$E:$E,MATCH($F1581&amp;"",Counterparties!$A:$A,0))="Y","Y","N"),"N"))</f>
        <v>N</v>
      </c>
      <c r="R1581" s="25" t="n">
        <f aca="false">IF(OR($H1581="",$H1581="EUR"),1,IFERROR(INDEX(FX_Rates!$D:$D,MATCH($H1581,FX_Rates!$A:$A,0)),""))</f>
        <v>1</v>
      </c>
      <c r="S1581" s="26" t="str">
        <f aca="false">IF(AND($I1581="",$J1581=""),"",IF($J1581&lt;&gt;"",$J1581,IF(OR($R1581="",$R1581=0),"",ROUND($I1581/$R1581,2))))</f>
        <v/>
      </c>
      <c r="T1581" s="24" t="str">
        <f aca="false">IF($N1581="","",IFERROR(INDEX(VAT_Codes!$C:$C,MATCH($N1581,VAT_Codes!$A:$A,0)),"")&amp;"")</f>
        <v/>
      </c>
      <c r="U1581" s="26" t="n">
        <f aca="false">IF(OR($S1581="",$T1581="",$T1581="None"),0,IF($T1581="Output",-$S1581,$S1581))</f>
        <v>0</v>
      </c>
      <c r="V1581" s="27" t="n">
        <f aca="false">IF($N1581="",0,IFERROR(INDEX(VAT_Codes!$D:$D,MATCH($N1581,VAT_Codes!$A:$A,0)),0))</f>
        <v>0</v>
      </c>
      <c r="W1581" s="26" t="n">
        <f aca="false">IF($U1581=0,0,IF(IFERROR(INDEX(VAT_Codes!$F:$F,MATCH($N1581,VAT_Codes!$A:$A,0)),"N")="Y",$U1581,IF($L1581&lt;&gt;"",ROUND(ABS($L1581)/IF(OR($R1581="",$R1581=0),1,$R1581),2)*SIGN($U1581),ROUND($U1581*$V1581,2))))</f>
        <v>0</v>
      </c>
      <c r="X1581" s="24" t="str">
        <f aca="false">IF($N1581="","",IFERROR(INDEX(VAT_Codes!$H:$H,MATCH($N1581,VAT_Codes!$A:$A,0)),"")&amp;"")</f>
        <v/>
      </c>
      <c r="Y1581" s="24" t="str">
        <f aca="false">IF($A1581="","",(YEAR($A1581)-YEAR(Settings!$C$8))*12+MONTH($A1581)-MONTH(Settings!$C$8)+1)</f>
        <v/>
      </c>
      <c r="Z1581" s="24" t="str">
        <f aca="false">IF(AND($C1581="",$I1581="",$J1581=""),"",IF($N1581="","NO VAT CODE",IF($T1581="","UNKNOWN VAT CODE",IF($S1581="","MISSING FX RATE",IF(OR($A1581&lt;Settings!$C$8,$A1581&gt;Settings!$C$9),"OUTSIDE PERIOD",IF(AND(IFERROR(INDEX(VAT_Codes!$E:$E,MATCH($N1581,VAT_Codes!$A:$A,0)),"ANY")&lt;&gt;"ANY",$P1581=""),"MISSING COUNTERPARTY COUNTRY",IF(AND(IFERROR(INDEX(VAT_Codes!$E:$E,MATCH($N1581,VAT_Codes!$A:$A,0)),"ANY")&lt;&gt;"ANY",$P1581&lt;&gt;IFERROR(INDEX(VAT_Codes!$E:$E,MATCH($N1581,VAT_Codes!$A:$A,0)),"ANY")),"REGION MISMATCH","OK")))))))</f>
        <v/>
      </c>
    </row>
    <row r="1582" customFormat="false" ht="15" hidden="false" customHeight="false" outlineLevel="0" collapsed="false">
      <c r="M1582" s="24" t="str">
        <f aca="false">IF($C1582="","",IFERROR(INDEX(Account_Mapping!$C:$C,MATCH($C1582&amp;"",Account_Mapping!$A:$A,0))&amp;"",""))</f>
        <v/>
      </c>
      <c r="N1582" s="24" t="str">
        <f aca="false">IF($K1582&lt;&gt;"",$K1582,$M1582)</f>
        <v/>
      </c>
      <c r="O1582" s="24" t="str">
        <f aca="false">IF($F1582="","",IFERROR(INDEX(Counterparties!$C:$C,MATCH($F1582&amp;"",Counterparties!$A:$A,0))&amp;"",""))</f>
        <v/>
      </c>
      <c r="P1582" s="24" t="str">
        <f aca="false">IF($O1582="","",IF($O1582="CY","CY",IF(ISNUMBER(MATCH($O1582,Lists!$A:$A,0)),"EU","3RD")))</f>
        <v/>
      </c>
      <c r="Q1582" s="24" t="str">
        <f aca="false">IF($F1582="","N",IFERROR(IF(INDEX(Counterparties!$E:$E,MATCH($F1582&amp;"",Counterparties!$A:$A,0))="Y","Y","N"),"N"))</f>
        <v>N</v>
      </c>
      <c r="R1582" s="25" t="n">
        <f aca="false">IF(OR($H1582="",$H1582="EUR"),1,IFERROR(INDEX(FX_Rates!$D:$D,MATCH($H1582,FX_Rates!$A:$A,0)),""))</f>
        <v>1</v>
      </c>
      <c r="S1582" s="26" t="str">
        <f aca="false">IF(AND($I1582="",$J1582=""),"",IF($J1582&lt;&gt;"",$J1582,IF(OR($R1582="",$R1582=0),"",ROUND($I1582/$R1582,2))))</f>
        <v/>
      </c>
      <c r="T1582" s="24" t="str">
        <f aca="false">IF($N1582="","",IFERROR(INDEX(VAT_Codes!$C:$C,MATCH($N1582,VAT_Codes!$A:$A,0)),"")&amp;"")</f>
        <v/>
      </c>
      <c r="U1582" s="26" t="n">
        <f aca="false">IF(OR($S1582="",$T1582="",$T1582="None"),0,IF($T1582="Output",-$S1582,$S1582))</f>
        <v>0</v>
      </c>
      <c r="V1582" s="27" t="n">
        <f aca="false">IF($N1582="",0,IFERROR(INDEX(VAT_Codes!$D:$D,MATCH($N1582,VAT_Codes!$A:$A,0)),0))</f>
        <v>0</v>
      </c>
      <c r="W1582" s="26" t="n">
        <f aca="false">IF($U1582=0,0,IF(IFERROR(INDEX(VAT_Codes!$F:$F,MATCH($N1582,VAT_Codes!$A:$A,0)),"N")="Y",$U1582,IF($L1582&lt;&gt;"",ROUND(ABS($L1582)/IF(OR($R1582="",$R1582=0),1,$R1582),2)*SIGN($U1582),ROUND($U1582*$V1582,2))))</f>
        <v>0</v>
      </c>
      <c r="X1582" s="24" t="str">
        <f aca="false">IF($N1582="","",IFERROR(INDEX(VAT_Codes!$H:$H,MATCH($N1582,VAT_Codes!$A:$A,0)),"")&amp;"")</f>
        <v/>
      </c>
      <c r="Y1582" s="24" t="str">
        <f aca="false">IF($A1582="","",(YEAR($A1582)-YEAR(Settings!$C$8))*12+MONTH($A1582)-MONTH(Settings!$C$8)+1)</f>
        <v/>
      </c>
      <c r="Z1582" s="24" t="str">
        <f aca="false">IF(AND($C1582="",$I1582="",$J1582=""),"",IF($N1582="","NO VAT CODE",IF($T1582="","UNKNOWN VAT CODE",IF($S1582="","MISSING FX RATE",IF(OR($A1582&lt;Settings!$C$8,$A1582&gt;Settings!$C$9),"OUTSIDE PERIOD",IF(AND(IFERROR(INDEX(VAT_Codes!$E:$E,MATCH($N1582,VAT_Codes!$A:$A,0)),"ANY")&lt;&gt;"ANY",$P1582=""),"MISSING COUNTERPARTY COUNTRY",IF(AND(IFERROR(INDEX(VAT_Codes!$E:$E,MATCH($N1582,VAT_Codes!$A:$A,0)),"ANY")&lt;&gt;"ANY",$P1582&lt;&gt;IFERROR(INDEX(VAT_Codes!$E:$E,MATCH($N1582,VAT_Codes!$A:$A,0)),"ANY")),"REGION MISMATCH","OK")))))))</f>
        <v/>
      </c>
    </row>
    <row r="1583" customFormat="false" ht="15" hidden="false" customHeight="false" outlineLevel="0" collapsed="false">
      <c r="M1583" s="24" t="str">
        <f aca="false">IF($C1583="","",IFERROR(INDEX(Account_Mapping!$C:$C,MATCH($C1583&amp;"",Account_Mapping!$A:$A,0))&amp;"",""))</f>
        <v/>
      </c>
      <c r="N1583" s="24" t="str">
        <f aca="false">IF($K1583&lt;&gt;"",$K1583,$M1583)</f>
        <v/>
      </c>
      <c r="O1583" s="24" t="str">
        <f aca="false">IF($F1583="","",IFERROR(INDEX(Counterparties!$C:$C,MATCH($F1583&amp;"",Counterparties!$A:$A,0))&amp;"",""))</f>
        <v/>
      </c>
      <c r="P1583" s="24" t="str">
        <f aca="false">IF($O1583="","",IF($O1583="CY","CY",IF(ISNUMBER(MATCH($O1583,Lists!$A:$A,0)),"EU","3RD")))</f>
        <v/>
      </c>
      <c r="Q1583" s="24" t="str">
        <f aca="false">IF($F1583="","N",IFERROR(IF(INDEX(Counterparties!$E:$E,MATCH($F1583&amp;"",Counterparties!$A:$A,0))="Y","Y","N"),"N"))</f>
        <v>N</v>
      </c>
      <c r="R1583" s="25" t="n">
        <f aca="false">IF(OR($H1583="",$H1583="EUR"),1,IFERROR(INDEX(FX_Rates!$D:$D,MATCH($H1583,FX_Rates!$A:$A,0)),""))</f>
        <v>1</v>
      </c>
      <c r="S1583" s="26" t="str">
        <f aca="false">IF(AND($I1583="",$J1583=""),"",IF($J1583&lt;&gt;"",$J1583,IF(OR($R1583="",$R1583=0),"",ROUND($I1583/$R1583,2))))</f>
        <v/>
      </c>
      <c r="T1583" s="24" t="str">
        <f aca="false">IF($N1583="","",IFERROR(INDEX(VAT_Codes!$C:$C,MATCH($N1583,VAT_Codes!$A:$A,0)),"")&amp;"")</f>
        <v/>
      </c>
      <c r="U1583" s="26" t="n">
        <f aca="false">IF(OR($S1583="",$T1583="",$T1583="None"),0,IF($T1583="Output",-$S1583,$S1583))</f>
        <v>0</v>
      </c>
      <c r="V1583" s="27" t="n">
        <f aca="false">IF($N1583="",0,IFERROR(INDEX(VAT_Codes!$D:$D,MATCH($N1583,VAT_Codes!$A:$A,0)),0))</f>
        <v>0</v>
      </c>
      <c r="W1583" s="26" t="n">
        <f aca="false">IF($U1583=0,0,IF(IFERROR(INDEX(VAT_Codes!$F:$F,MATCH($N1583,VAT_Codes!$A:$A,0)),"N")="Y",$U1583,IF($L1583&lt;&gt;"",ROUND(ABS($L1583)/IF(OR($R1583="",$R1583=0),1,$R1583),2)*SIGN($U1583),ROUND($U1583*$V1583,2))))</f>
        <v>0</v>
      </c>
      <c r="X1583" s="24" t="str">
        <f aca="false">IF($N1583="","",IFERROR(INDEX(VAT_Codes!$H:$H,MATCH($N1583,VAT_Codes!$A:$A,0)),"")&amp;"")</f>
        <v/>
      </c>
      <c r="Y1583" s="24" t="str">
        <f aca="false">IF($A1583="","",(YEAR($A1583)-YEAR(Settings!$C$8))*12+MONTH($A1583)-MONTH(Settings!$C$8)+1)</f>
        <v/>
      </c>
      <c r="Z1583" s="24" t="str">
        <f aca="false">IF(AND($C1583="",$I1583="",$J1583=""),"",IF($N1583="","NO VAT CODE",IF($T1583="","UNKNOWN VAT CODE",IF($S1583="","MISSING FX RATE",IF(OR($A1583&lt;Settings!$C$8,$A1583&gt;Settings!$C$9),"OUTSIDE PERIOD",IF(AND(IFERROR(INDEX(VAT_Codes!$E:$E,MATCH($N1583,VAT_Codes!$A:$A,0)),"ANY")&lt;&gt;"ANY",$P1583=""),"MISSING COUNTERPARTY COUNTRY",IF(AND(IFERROR(INDEX(VAT_Codes!$E:$E,MATCH($N1583,VAT_Codes!$A:$A,0)),"ANY")&lt;&gt;"ANY",$P1583&lt;&gt;IFERROR(INDEX(VAT_Codes!$E:$E,MATCH($N1583,VAT_Codes!$A:$A,0)),"ANY")),"REGION MISMATCH","OK")))))))</f>
        <v/>
      </c>
    </row>
    <row r="1584" customFormat="false" ht="15" hidden="false" customHeight="false" outlineLevel="0" collapsed="false">
      <c r="M1584" s="24" t="str">
        <f aca="false">IF($C1584="","",IFERROR(INDEX(Account_Mapping!$C:$C,MATCH($C1584&amp;"",Account_Mapping!$A:$A,0))&amp;"",""))</f>
        <v/>
      </c>
      <c r="N1584" s="24" t="str">
        <f aca="false">IF($K1584&lt;&gt;"",$K1584,$M1584)</f>
        <v/>
      </c>
      <c r="O1584" s="24" t="str">
        <f aca="false">IF($F1584="","",IFERROR(INDEX(Counterparties!$C:$C,MATCH($F1584&amp;"",Counterparties!$A:$A,0))&amp;"",""))</f>
        <v/>
      </c>
      <c r="P1584" s="24" t="str">
        <f aca="false">IF($O1584="","",IF($O1584="CY","CY",IF(ISNUMBER(MATCH($O1584,Lists!$A:$A,0)),"EU","3RD")))</f>
        <v/>
      </c>
      <c r="Q1584" s="24" t="str">
        <f aca="false">IF($F1584="","N",IFERROR(IF(INDEX(Counterparties!$E:$E,MATCH($F1584&amp;"",Counterparties!$A:$A,0))="Y","Y","N"),"N"))</f>
        <v>N</v>
      </c>
      <c r="R1584" s="25" t="n">
        <f aca="false">IF(OR($H1584="",$H1584="EUR"),1,IFERROR(INDEX(FX_Rates!$D:$D,MATCH($H1584,FX_Rates!$A:$A,0)),""))</f>
        <v>1</v>
      </c>
      <c r="S1584" s="26" t="str">
        <f aca="false">IF(AND($I1584="",$J1584=""),"",IF($J1584&lt;&gt;"",$J1584,IF(OR($R1584="",$R1584=0),"",ROUND($I1584/$R1584,2))))</f>
        <v/>
      </c>
      <c r="T1584" s="24" t="str">
        <f aca="false">IF($N1584="","",IFERROR(INDEX(VAT_Codes!$C:$C,MATCH($N1584,VAT_Codes!$A:$A,0)),"")&amp;"")</f>
        <v/>
      </c>
      <c r="U1584" s="26" t="n">
        <f aca="false">IF(OR($S1584="",$T1584="",$T1584="None"),0,IF($T1584="Output",-$S1584,$S1584))</f>
        <v>0</v>
      </c>
      <c r="V1584" s="27" t="n">
        <f aca="false">IF($N1584="",0,IFERROR(INDEX(VAT_Codes!$D:$D,MATCH($N1584,VAT_Codes!$A:$A,0)),0))</f>
        <v>0</v>
      </c>
      <c r="W1584" s="26" t="n">
        <f aca="false">IF($U1584=0,0,IF(IFERROR(INDEX(VAT_Codes!$F:$F,MATCH($N1584,VAT_Codes!$A:$A,0)),"N")="Y",$U1584,IF($L1584&lt;&gt;"",ROUND(ABS($L1584)/IF(OR($R1584="",$R1584=0),1,$R1584),2)*SIGN($U1584),ROUND($U1584*$V1584,2))))</f>
        <v>0</v>
      </c>
      <c r="X1584" s="24" t="str">
        <f aca="false">IF($N1584="","",IFERROR(INDEX(VAT_Codes!$H:$H,MATCH($N1584,VAT_Codes!$A:$A,0)),"")&amp;"")</f>
        <v/>
      </c>
      <c r="Y1584" s="24" t="str">
        <f aca="false">IF($A1584="","",(YEAR($A1584)-YEAR(Settings!$C$8))*12+MONTH($A1584)-MONTH(Settings!$C$8)+1)</f>
        <v/>
      </c>
      <c r="Z1584" s="24" t="str">
        <f aca="false">IF(AND($C1584="",$I1584="",$J1584=""),"",IF($N1584="","NO VAT CODE",IF($T1584="","UNKNOWN VAT CODE",IF($S1584="","MISSING FX RATE",IF(OR($A1584&lt;Settings!$C$8,$A1584&gt;Settings!$C$9),"OUTSIDE PERIOD",IF(AND(IFERROR(INDEX(VAT_Codes!$E:$E,MATCH($N1584,VAT_Codes!$A:$A,0)),"ANY")&lt;&gt;"ANY",$P1584=""),"MISSING COUNTERPARTY COUNTRY",IF(AND(IFERROR(INDEX(VAT_Codes!$E:$E,MATCH($N1584,VAT_Codes!$A:$A,0)),"ANY")&lt;&gt;"ANY",$P1584&lt;&gt;IFERROR(INDEX(VAT_Codes!$E:$E,MATCH($N1584,VAT_Codes!$A:$A,0)),"ANY")),"REGION MISMATCH","OK")))))))</f>
        <v/>
      </c>
    </row>
    <row r="1585" customFormat="false" ht="15" hidden="false" customHeight="false" outlineLevel="0" collapsed="false">
      <c r="M1585" s="24" t="str">
        <f aca="false">IF($C1585="","",IFERROR(INDEX(Account_Mapping!$C:$C,MATCH($C1585&amp;"",Account_Mapping!$A:$A,0))&amp;"",""))</f>
        <v/>
      </c>
      <c r="N1585" s="24" t="str">
        <f aca="false">IF($K1585&lt;&gt;"",$K1585,$M1585)</f>
        <v/>
      </c>
      <c r="O1585" s="24" t="str">
        <f aca="false">IF($F1585="","",IFERROR(INDEX(Counterparties!$C:$C,MATCH($F1585&amp;"",Counterparties!$A:$A,0))&amp;"",""))</f>
        <v/>
      </c>
      <c r="P1585" s="24" t="str">
        <f aca="false">IF($O1585="","",IF($O1585="CY","CY",IF(ISNUMBER(MATCH($O1585,Lists!$A:$A,0)),"EU","3RD")))</f>
        <v/>
      </c>
      <c r="Q1585" s="24" t="str">
        <f aca="false">IF($F1585="","N",IFERROR(IF(INDEX(Counterparties!$E:$E,MATCH($F1585&amp;"",Counterparties!$A:$A,0))="Y","Y","N"),"N"))</f>
        <v>N</v>
      </c>
      <c r="R1585" s="25" t="n">
        <f aca="false">IF(OR($H1585="",$H1585="EUR"),1,IFERROR(INDEX(FX_Rates!$D:$D,MATCH($H1585,FX_Rates!$A:$A,0)),""))</f>
        <v>1</v>
      </c>
      <c r="S1585" s="26" t="str">
        <f aca="false">IF(AND($I1585="",$J1585=""),"",IF($J1585&lt;&gt;"",$J1585,IF(OR($R1585="",$R1585=0),"",ROUND($I1585/$R1585,2))))</f>
        <v/>
      </c>
      <c r="T1585" s="24" t="str">
        <f aca="false">IF($N1585="","",IFERROR(INDEX(VAT_Codes!$C:$C,MATCH($N1585,VAT_Codes!$A:$A,0)),"")&amp;"")</f>
        <v/>
      </c>
      <c r="U1585" s="26" t="n">
        <f aca="false">IF(OR($S1585="",$T1585="",$T1585="None"),0,IF($T1585="Output",-$S1585,$S1585))</f>
        <v>0</v>
      </c>
      <c r="V1585" s="27" t="n">
        <f aca="false">IF($N1585="",0,IFERROR(INDEX(VAT_Codes!$D:$D,MATCH($N1585,VAT_Codes!$A:$A,0)),0))</f>
        <v>0</v>
      </c>
      <c r="W1585" s="26" t="n">
        <f aca="false">IF($U1585=0,0,IF(IFERROR(INDEX(VAT_Codes!$F:$F,MATCH($N1585,VAT_Codes!$A:$A,0)),"N")="Y",$U1585,IF($L1585&lt;&gt;"",ROUND(ABS($L1585)/IF(OR($R1585="",$R1585=0),1,$R1585),2)*SIGN($U1585),ROUND($U1585*$V1585,2))))</f>
        <v>0</v>
      </c>
      <c r="X1585" s="24" t="str">
        <f aca="false">IF($N1585="","",IFERROR(INDEX(VAT_Codes!$H:$H,MATCH($N1585,VAT_Codes!$A:$A,0)),"")&amp;"")</f>
        <v/>
      </c>
      <c r="Y1585" s="24" t="str">
        <f aca="false">IF($A1585="","",(YEAR($A1585)-YEAR(Settings!$C$8))*12+MONTH($A1585)-MONTH(Settings!$C$8)+1)</f>
        <v/>
      </c>
      <c r="Z1585" s="24" t="str">
        <f aca="false">IF(AND($C1585="",$I1585="",$J1585=""),"",IF($N1585="","NO VAT CODE",IF($T1585="","UNKNOWN VAT CODE",IF($S1585="","MISSING FX RATE",IF(OR($A1585&lt;Settings!$C$8,$A1585&gt;Settings!$C$9),"OUTSIDE PERIOD",IF(AND(IFERROR(INDEX(VAT_Codes!$E:$E,MATCH($N1585,VAT_Codes!$A:$A,0)),"ANY")&lt;&gt;"ANY",$P1585=""),"MISSING COUNTERPARTY COUNTRY",IF(AND(IFERROR(INDEX(VAT_Codes!$E:$E,MATCH($N1585,VAT_Codes!$A:$A,0)),"ANY")&lt;&gt;"ANY",$P1585&lt;&gt;IFERROR(INDEX(VAT_Codes!$E:$E,MATCH($N1585,VAT_Codes!$A:$A,0)),"ANY")),"REGION MISMATCH","OK")))))))</f>
        <v/>
      </c>
    </row>
    <row r="1586" customFormat="false" ht="15" hidden="false" customHeight="false" outlineLevel="0" collapsed="false">
      <c r="M1586" s="24" t="str">
        <f aca="false">IF($C1586="","",IFERROR(INDEX(Account_Mapping!$C:$C,MATCH($C1586&amp;"",Account_Mapping!$A:$A,0))&amp;"",""))</f>
        <v/>
      </c>
      <c r="N1586" s="24" t="str">
        <f aca="false">IF($K1586&lt;&gt;"",$K1586,$M1586)</f>
        <v/>
      </c>
      <c r="O1586" s="24" t="str">
        <f aca="false">IF($F1586="","",IFERROR(INDEX(Counterparties!$C:$C,MATCH($F1586&amp;"",Counterparties!$A:$A,0))&amp;"",""))</f>
        <v/>
      </c>
      <c r="P1586" s="24" t="str">
        <f aca="false">IF($O1586="","",IF($O1586="CY","CY",IF(ISNUMBER(MATCH($O1586,Lists!$A:$A,0)),"EU","3RD")))</f>
        <v/>
      </c>
      <c r="Q1586" s="24" t="str">
        <f aca="false">IF($F1586="","N",IFERROR(IF(INDEX(Counterparties!$E:$E,MATCH($F1586&amp;"",Counterparties!$A:$A,0))="Y","Y","N"),"N"))</f>
        <v>N</v>
      </c>
      <c r="R1586" s="25" t="n">
        <f aca="false">IF(OR($H1586="",$H1586="EUR"),1,IFERROR(INDEX(FX_Rates!$D:$D,MATCH($H1586,FX_Rates!$A:$A,0)),""))</f>
        <v>1</v>
      </c>
      <c r="S1586" s="26" t="str">
        <f aca="false">IF(AND($I1586="",$J1586=""),"",IF($J1586&lt;&gt;"",$J1586,IF(OR($R1586="",$R1586=0),"",ROUND($I1586/$R1586,2))))</f>
        <v/>
      </c>
      <c r="T1586" s="24" t="str">
        <f aca="false">IF($N1586="","",IFERROR(INDEX(VAT_Codes!$C:$C,MATCH($N1586,VAT_Codes!$A:$A,0)),"")&amp;"")</f>
        <v/>
      </c>
      <c r="U1586" s="26" t="n">
        <f aca="false">IF(OR($S1586="",$T1586="",$T1586="None"),0,IF($T1586="Output",-$S1586,$S1586))</f>
        <v>0</v>
      </c>
      <c r="V1586" s="27" t="n">
        <f aca="false">IF($N1586="",0,IFERROR(INDEX(VAT_Codes!$D:$D,MATCH($N1586,VAT_Codes!$A:$A,0)),0))</f>
        <v>0</v>
      </c>
      <c r="W1586" s="26" t="n">
        <f aca="false">IF($U1586=0,0,IF(IFERROR(INDEX(VAT_Codes!$F:$F,MATCH($N1586,VAT_Codes!$A:$A,0)),"N")="Y",$U1586,IF($L1586&lt;&gt;"",ROUND(ABS($L1586)/IF(OR($R1586="",$R1586=0),1,$R1586),2)*SIGN($U1586),ROUND($U1586*$V1586,2))))</f>
        <v>0</v>
      </c>
      <c r="X1586" s="24" t="str">
        <f aca="false">IF($N1586="","",IFERROR(INDEX(VAT_Codes!$H:$H,MATCH($N1586,VAT_Codes!$A:$A,0)),"")&amp;"")</f>
        <v/>
      </c>
      <c r="Y1586" s="24" t="str">
        <f aca="false">IF($A1586="","",(YEAR($A1586)-YEAR(Settings!$C$8))*12+MONTH($A1586)-MONTH(Settings!$C$8)+1)</f>
        <v/>
      </c>
      <c r="Z1586" s="24" t="str">
        <f aca="false">IF(AND($C1586="",$I1586="",$J1586=""),"",IF($N1586="","NO VAT CODE",IF($T1586="","UNKNOWN VAT CODE",IF($S1586="","MISSING FX RATE",IF(OR($A1586&lt;Settings!$C$8,$A1586&gt;Settings!$C$9),"OUTSIDE PERIOD",IF(AND(IFERROR(INDEX(VAT_Codes!$E:$E,MATCH($N1586,VAT_Codes!$A:$A,0)),"ANY")&lt;&gt;"ANY",$P1586=""),"MISSING COUNTERPARTY COUNTRY",IF(AND(IFERROR(INDEX(VAT_Codes!$E:$E,MATCH($N1586,VAT_Codes!$A:$A,0)),"ANY")&lt;&gt;"ANY",$P1586&lt;&gt;IFERROR(INDEX(VAT_Codes!$E:$E,MATCH($N1586,VAT_Codes!$A:$A,0)),"ANY")),"REGION MISMATCH","OK")))))))</f>
        <v/>
      </c>
    </row>
    <row r="1587" customFormat="false" ht="15" hidden="false" customHeight="false" outlineLevel="0" collapsed="false">
      <c r="M1587" s="24" t="str">
        <f aca="false">IF($C1587="","",IFERROR(INDEX(Account_Mapping!$C:$C,MATCH($C1587&amp;"",Account_Mapping!$A:$A,0))&amp;"",""))</f>
        <v/>
      </c>
      <c r="N1587" s="24" t="str">
        <f aca="false">IF($K1587&lt;&gt;"",$K1587,$M1587)</f>
        <v/>
      </c>
      <c r="O1587" s="24" t="str">
        <f aca="false">IF($F1587="","",IFERROR(INDEX(Counterparties!$C:$C,MATCH($F1587&amp;"",Counterparties!$A:$A,0))&amp;"",""))</f>
        <v/>
      </c>
      <c r="P1587" s="24" t="str">
        <f aca="false">IF($O1587="","",IF($O1587="CY","CY",IF(ISNUMBER(MATCH($O1587,Lists!$A:$A,0)),"EU","3RD")))</f>
        <v/>
      </c>
      <c r="Q1587" s="24" t="str">
        <f aca="false">IF($F1587="","N",IFERROR(IF(INDEX(Counterparties!$E:$E,MATCH($F1587&amp;"",Counterparties!$A:$A,0))="Y","Y","N"),"N"))</f>
        <v>N</v>
      </c>
      <c r="R1587" s="25" t="n">
        <f aca="false">IF(OR($H1587="",$H1587="EUR"),1,IFERROR(INDEX(FX_Rates!$D:$D,MATCH($H1587,FX_Rates!$A:$A,0)),""))</f>
        <v>1</v>
      </c>
      <c r="S1587" s="26" t="str">
        <f aca="false">IF(AND($I1587="",$J1587=""),"",IF($J1587&lt;&gt;"",$J1587,IF(OR($R1587="",$R1587=0),"",ROUND($I1587/$R1587,2))))</f>
        <v/>
      </c>
      <c r="T1587" s="24" t="str">
        <f aca="false">IF($N1587="","",IFERROR(INDEX(VAT_Codes!$C:$C,MATCH($N1587,VAT_Codes!$A:$A,0)),"")&amp;"")</f>
        <v/>
      </c>
      <c r="U1587" s="26" t="n">
        <f aca="false">IF(OR($S1587="",$T1587="",$T1587="None"),0,IF($T1587="Output",-$S1587,$S1587))</f>
        <v>0</v>
      </c>
      <c r="V1587" s="27" t="n">
        <f aca="false">IF($N1587="",0,IFERROR(INDEX(VAT_Codes!$D:$D,MATCH($N1587,VAT_Codes!$A:$A,0)),0))</f>
        <v>0</v>
      </c>
      <c r="W1587" s="26" t="n">
        <f aca="false">IF($U1587=0,0,IF(IFERROR(INDEX(VAT_Codes!$F:$F,MATCH($N1587,VAT_Codes!$A:$A,0)),"N")="Y",$U1587,IF($L1587&lt;&gt;"",ROUND(ABS($L1587)/IF(OR($R1587="",$R1587=0),1,$R1587),2)*SIGN($U1587),ROUND($U1587*$V1587,2))))</f>
        <v>0</v>
      </c>
      <c r="X1587" s="24" t="str">
        <f aca="false">IF($N1587="","",IFERROR(INDEX(VAT_Codes!$H:$H,MATCH($N1587,VAT_Codes!$A:$A,0)),"")&amp;"")</f>
        <v/>
      </c>
      <c r="Y1587" s="24" t="str">
        <f aca="false">IF($A1587="","",(YEAR($A1587)-YEAR(Settings!$C$8))*12+MONTH($A1587)-MONTH(Settings!$C$8)+1)</f>
        <v/>
      </c>
      <c r="Z1587" s="24" t="str">
        <f aca="false">IF(AND($C1587="",$I1587="",$J1587=""),"",IF($N1587="","NO VAT CODE",IF($T1587="","UNKNOWN VAT CODE",IF($S1587="","MISSING FX RATE",IF(OR($A1587&lt;Settings!$C$8,$A1587&gt;Settings!$C$9),"OUTSIDE PERIOD",IF(AND(IFERROR(INDEX(VAT_Codes!$E:$E,MATCH($N1587,VAT_Codes!$A:$A,0)),"ANY")&lt;&gt;"ANY",$P1587=""),"MISSING COUNTERPARTY COUNTRY",IF(AND(IFERROR(INDEX(VAT_Codes!$E:$E,MATCH($N1587,VAT_Codes!$A:$A,0)),"ANY")&lt;&gt;"ANY",$P1587&lt;&gt;IFERROR(INDEX(VAT_Codes!$E:$E,MATCH($N1587,VAT_Codes!$A:$A,0)),"ANY")),"REGION MISMATCH","OK")))))))</f>
        <v/>
      </c>
    </row>
    <row r="1588" customFormat="false" ht="15" hidden="false" customHeight="false" outlineLevel="0" collapsed="false">
      <c r="M1588" s="24" t="str">
        <f aca="false">IF($C1588="","",IFERROR(INDEX(Account_Mapping!$C:$C,MATCH($C1588&amp;"",Account_Mapping!$A:$A,0))&amp;"",""))</f>
        <v/>
      </c>
      <c r="N1588" s="24" t="str">
        <f aca="false">IF($K1588&lt;&gt;"",$K1588,$M1588)</f>
        <v/>
      </c>
      <c r="O1588" s="24" t="str">
        <f aca="false">IF($F1588="","",IFERROR(INDEX(Counterparties!$C:$C,MATCH($F1588&amp;"",Counterparties!$A:$A,0))&amp;"",""))</f>
        <v/>
      </c>
      <c r="P1588" s="24" t="str">
        <f aca="false">IF($O1588="","",IF($O1588="CY","CY",IF(ISNUMBER(MATCH($O1588,Lists!$A:$A,0)),"EU","3RD")))</f>
        <v/>
      </c>
      <c r="Q1588" s="24" t="str">
        <f aca="false">IF($F1588="","N",IFERROR(IF(INDEX(Counterparties!$E:$E,MATCH($F1588&amp;"",Counterparties!$A:$A,0))="Y","Y","N"),"N"))</f>
        <v>N</v>
      </c>
      <c r="R1588" s="25" t="n">
        <f aca="false">IF(OR($H1588="",$H1588="EUR"),1,IFERROR(INDEX(FX_Rates!$D:$D,MATCH($H1588,FX_Rates!$A:$A,0)),""))</f>
        <v>1</v>
      </c>
      <c r="S1588" s="26" t="str">
        <f aca="false">IF(AND($I1588="",$J1588=""),"",IF($J1588&lt;&gt;"",$J1588,IF(OR($R1588="",$R1588=0),"",ROUND($I1588/$R1588,2))))</f>
        <v/>
      </c>
      <c r="T1588" s="24" t="str">
        <f aca="false">IF($N1588="","",IFERROR(INDEX(VAT_Codes!$C:$C,MATCH($N1588,VAT_Codes!$A:$A,0)),"")&amp;"")</f>
        <v/>
      </c>
      <c r="U1588" s="26" t="n">
        <f aca="false">IF(OR($S1588="",$T1588="",$T1588="None"),0,IF($T1588="Output",-$S1588,$S1588))</f>
        <v>0</v>
      </c>
      <c r="V1588" s="27" t="n">
        <f aca="false">IF($N1588="",0,IFERROR(INDEX(VAT_Codes!$D:$D,MATCH($N1588,VAT_Codes!$A:$A,0)),0))</f>
        <v>0</v>
      </c>
      <c r="W1588" s="26" t="n">
        <f aca="false">IF($U1588=0,0,IF(IFERROR(INDEX(VAT_Codes!$F:$F,MATCH($N1588,VAT_Codes!$A:$A,0)),"N")="Y",$U1588,IF($L1588&lt;&gt;"",ROUND(ABS($L1588)/IF(OR($R1588="",$R1588=0),1,$R1588),2)*SIGN($U1588),ROUND($U1588*$V1588,2))))</f>
        <v>0</v>
      </c>
      <c r="X1588" s="24" t="str">
        <f aca="false">IF($N1588="","",IFERROR(INDEX(VAT_Codes!$H:$H,MATCH($N1588,VAT_Codes!$A:$A,0)),"")&amp;"")</f>
        <v/>
      </c>
      <c r="Y1588" s="24" t="str">
        <f aca="false">IF($A1588="","",(YEAR($A1588)-YEAR(Settings!$C$8))*12+MONTH($A1588)-MONTH(Settings!$C$8)+1)</f>
        <v/>
      </c>
      <c r="Z1588" s="24" t="str">
        <f aca="false">IF(AND($C1588="",$I1588="",$J1588=""),"",IF($N1588="","NO VAT CODE",IF($T1588="","UNKNOWN VAT CODE",IF($S1588="","MISSING FX RATE",IF(OR($A1588&lt;Settings!$C$8,$A1588&gt;Settings!$C$9),"OUTSIDE PERIOD",IF(AND(IFERROR(INDEX(VAT_Codes!$E:$E,MATCH($N1588,VAT_Codes!$A:$A,0)),"ANY")&lt;&gt;"ANY",$P1588=""),"MISSING COUNTERPARTY COUNTRY",IF(AND(IFERROR(INDEX(VAT_Codes!$E:$E,MATCH($N1588,VAT_Codes!$A:$A,0)),"ANY")&lt;&gt;"ANY",$P1588&lt;&gt;IFERROR(INDEX(VAT_Codes!$E:$E,MATCH($N1588,VAT_Codes!$A:$A,0)),"ANY")),"REGION MISMATCH","OK")))))))</f>
        <v/>
      </c>
    </row>
    <row r="1589" customFormat="false" ht="15" hidden="false" customHeight="false" outlineLevel="0" collapsed="false">
      <c r="M1589" s="24" t="str">
        <f aca="false">IF($C1589="","",IFERROR(INDEX(Account_Mapping!$C:$C,MATCH($C1589&amp;"",Account_Mapping!$A:$A,0))&amp;"",""))</f>
        <v/>
      </c>
      <c r="N1589" s="24" t="str">
        <f aca="false">IF($K1589&lt;&gt;"",$K1589,$M1589)</f>
        <v/>
      </c>
      <c r="O1589" s="24" t="str">
        <f aca="false">IF($F1589="","",IFERROR(INDEX(Counterparties!$C:$C,MATCH($F1589&amp;"",Counterparties!$A:$A,0))&amp;"",""))</f>
        <v/>
      </c>
      <c r="P1589" s="24" t="str">
        <f aca="false">IF($O1589="","",IF($O1589="CY","CY",IF(ISNUMBER(MATCH($O1589,Lists!$A:$A,0)),"EU","3RD")))</f>
        <v/>
      </c>
      <c r="Q1589" s="24" t="str">
        <f aca="false">IF($F1589="","N",IFERROR(IF(INDEX(Counterparties!$E:$E,MATCH($F1589&amp;"",Counterparties!$A:$A,0))="Y","Y","N"),"N"))</f>
        <v>N</v>
      </c>
      <c r="R1589" s="25" t="n">
        <f aca="false">IF(OR($H1589="",$H1589="EUR"),1,IFERROR(INDEX(FX_Rates!$D:$D,MATCH($H1589,FX_Rates!$A:$A,0)),""))</f>
        <v>1</v>
      </c>
      <c r="S1589" s="26" t="str">
        <f aca="false">IF(AND($I1589="",$J1589=""),"",IF($J1589&lt;&gt;"",$J1589,IF(OR($R1589="",$R1589=0),"",ROUND($I1589/$R1589,2))))</f>
        <v/>
      </c>
      <c r="T1589" s="24" t="str">
        <f aca="false">IF($N1589="","",IFERROR(INDEX(VAT_Codes!$C:$C,MATCH($N1589,VAT_Codes!$A:$A,0)),"")&amp;"")</f>
        <v/>
      </c>
      <c r="U1589" s="26" t="n">
        <f aca="false">IF(OR($S1589="",$T1589="",$T1589="None"),0,IF($T1589="Output",-$S1589,$S1589))</f>
        <v>0</v>
      </c>
      <c r="V1589" s="27" t="n">
        <f aca="false">IF($N1589="",0,IFERROR(INDEX(VAT_Codes!$D:$D,MATCH($N1589,VAT_Codes!$A:$A,0)),0))</f>
        <v>0</v>
      </c>
      <c r="W1589" s="26" t="n">
        <f aca="false">IF($U1589=0,0,IF(IFERROR(INDEX(VAT_Codes!$F:$F,MATCH($N1589,VAT_Codes!$A:$A,0)),"N")="Y",$U1589,IF($L1589&lt;&gt;"",ROUND(ABS($L1589)/IF(OR($R1589="",$R1589=0),1,$R1589),2)*SIGN($U1589),ROUND($U1589*$V1589,2))))</f>
        <v>0</v>
      </c>
      <c r="X1589" s="24" t="str">
        <f aca="false">IF($N1589="","",IFERROR(INDEX(VAT_Codes!$H:$H,MATCH($N1589,VAT_Codes!$A:$A,0)),"")&amp;"")</f>
        <v/>
      </c>
      <c r="Y1589" s="24" t="str">
        <f aca="false">IF($A1589="","",(YEAR($A1589)-YEAR(Settings!$C$8))*12+MONTH($A1589)-MONTH(Settings!$C$8)+1)</f>
        <v/>
      </c>
      <c r="Z1589" s="24" t="str">
        <f aca="false">IF(AND($C1589="",$I1589="",$J1589=""),"",IF($N1589="","NO VAT CODE",IF($T1589="","UNKNOWN VAT CODE",IF($S1589="","MISSING FX RATE",IF(OR($A1589&lt;Settings!$C$8,$A1589&gt;Settings!$C$9),"OUTSIDE PERIOD",IF(AND(IFERROR(INDEX(VAT_Codes!$E:$E,MATCH($N1589,VAT_Codes!$A:$A,0)),"ANY")&lt;&gt;"ANY",$P1589=""),"MISSING COUNTERPARTY COUNTRY",IF(AND(IFERROR(INDEX(VAT_Codes!$E:$E,MATCH($N1589,VAT_Codes!$A:$A,0)),"ANY")&lt;&gt;"ANY",$P1589&lt;&gt;IFERROR(INDEX(VAT_Codes!$E:$E,MATCH($N1589,VAT_Codes!$A:$A,0)),"ANY")),"REGION MISMATCH","OK")))))))</f>
        <v/>
      </c>
    </row>
    <row r="1590" customFormat="false" ht="15" hidden="false" customHeight="false" outlineLevel="0" collapsed="false">
      <c r="M1590" s="24" t="str">
        <f aca="false">IF($C1590="","",IFERROR(INDEX(Account_Mapping!$C:$C,MATCH($C1590&amp;"",Account_Mapping!$A:$A,0))&amp;"",""))</f>
        <v/>
      </c>
      <c r="N1590" s="24" t="str">
        <f aca="false">IF($K1590&lt;&gt;"",$K1590,$M1590)</f>
        <v/>
      </c>
      <c r="O1590" s="24" t="str">
        <f aca="false">IF($F1590="","",IFERROR(INDEX(Counterparties!$C:$C,MATCH($F1590&amp;"",Counterparties!$A:$A,0))&amp;"",""))</f>
        <v/>
      </c>
      <c r="P1590" s="24" t="str">
        <f aca="false">IF($O1590="","",IF($O1590="CY","CY",IF(ISNUMBER(MATCH($O1590,Lists!$A:$A,0)),"EU","3RD")))</f>
        <v/>
      </c>
      <c r="Q1590" s="24" t="str">
        <f aca="false">IF($F1590="","N",IFERROR(IF(INDEX(Counterparties!$E:$E,MATCH($F1590&amp;"",Counterparties!$A:$A,0))="Y","Y","N"),"N"))</f>
        <v>N</v>
      </c>
      <c r="R1590" s="25" t="n">
        <f aca="false">IF(OR($H1590="",$H1590="EUR"),1,IFERROR(INDEX(FX_Rates!$D:$D,MATCH($H1590,FX_Rates!$A:$A,0)),""))</f>
        <v>1</v>
      </c>
      <c r="S1590" s="26" t="str">
        <f aca="false">IF(AND($I1590="",$J1590=""),"",IF($J1590&lt;&gt;"",$J1590,IF(OR($R1590="",$R1590=0),"",ROUND($I1590/$R1590,2))))</f>
        <v/>
      </c>
      <c r="T1590" s="24" t="str">
        <f aca="false">IF($N1590="","",IFERROR(INDEX(VAT_Codes!$C:$C,MATCH($N1590,VAT_Codes!$A:$A,0)),"")&amp;"")</f>
        <v/>
      </c>
      <c r="U1590" s="26" t="n">
        <f aca="false">IF(OR($S1590="",$T1590="",$T1590="None"),0,IF($T1590="Output",-$S1590,$S1590))</f>
        <v>0</v>
      </c>
      <c r="V1590" s="27" t="n">
        <f aca="false">IF($N1590="",0,IFERROR(INDEX(VAT_Codes!$D:$D,MATCH($N1590,VAT_Codes!$A:$A,0)),0))</f>
        <v>0</v>
      </c>
      <c r="W1590" s="26" t="n">
        <f aca="false">IF($U1590=0,0,IF(IFERROR(INDEX(VAT_Codes!$F:$F,MATCH($N1590,VAT_Codes!$A:$A,0)),"N")="Y",$U1590,IF($L1590&lt;&gt;"",ROUND(ABS($L1590)/IF(OR($R1590="",$R1590=0),1,$R1590),2)*SIGN($U1590),ROUND($U1590*$V1590,2))))</f>
        <v>0</v>
      </c>
      <c r="X1590" s="24" t="str">
        <f aca="false">IF($N1590="","",IFERROR(INDEX(VAT_Codes!$H:$H,MATCH($N1590,VAT_Codes!$A:$A,0)),"")&amp;"")</f>
        <v/>
      </c>
      <c r="Y1590" s="24" t="str">
        <f aca="false">IF($A1590="","",(YEAR($A1590)-YEAR(Settings!$C$8))*12+MONTH($A1590)-MONTH(Settings!$C$8)+1)</f>
        <v/>
      </c>
      <c r="Z1590" s="24" t="str">
        <f aca="false">IF(AND($C1590="",$I1590="",$J1590=""),"",IF($N1590="","NO VAT CODE",IF($T1590="","UNKNOWN VAT CODE",IF($S1590="","MISSING FX RATE",IF(OR($A1590&lt;Settings!$C$8,$A1590&gt;Settings!$C$9),"OUTSIDE PERIOD",IF(AND(IFERROR(INDEX(VAT_Codes!$E:$E,MATCH($N1590,VAT_Codes!$A:$A,0)),"ANY")&lt;&gt;"ANY",$P1590=""),"MISSING COUNTERPARTY COUNTRY",IF(AND(IFERROR(INDEX(VAT_Codes!$E:$E,MATCH($N1590,VAT_Codes!$A:$A,0)),"ANY")&lt;&gt;"ANY",$P1590&lt;&gt;IFERROR(INDEX(VAT_Codes!$E:$E,MATCH($N1590,VAT_Codes!$A:$A,0)),"ANY")),"REGION MISMATCH","OK")))))))</f>
        <v/>
      </c>
    </row>
    <row r="1591" customFormat="false" ht="15" hidden="false" customHeight="false" outlineLevel="0" collapsed="false">
      <c r="M1591" s="24" t="str">
        <f aca="false">IF($C1591="","",IFERROR(INDEX(Account_Mapping!$C:$C,MATCH($C1591&amp;"",Account_Mapping!$A:$A,0))&amp;"",""))</f>
        <v/>
      </c>
      <c r="N1591" s="24" t="str">
        <f aca="false">IF($K1591&lt;&gt;"",$K1591,$M1591)</f>
        <v/>
      </c>
      <c r="O1591" s="24" t="str">
        <f aca="false">IF($F1591="","",IFERROR(INDEX(Counterparties!$C:$C,MATCH($F1591&amp;"",Counterparties!$A:$A,0))&amp;"",""))</f>
        <v/>
      </c>
      <c r="P1591" s="24" t="str">
        <f aca="false">IF($O1591="","",IF($O1591="CY","CY",IF(ISNUMBER(MATCH($O1591,Lists!$A:$A,0)),"EU","3RD")))</f>
        <v/>
      </c>
      <c r="Q1591" s="24" t="str">
        <f aca="false">IF($F1591="","N",IFERROR(IF(INDEX(Counterparties!$E:$E,MATCH($F1591&amp;"",Counterparties!$A:$A,0))="Y","Y","N"),"N"))</f>
        <v>N</v>
      </c>
      <c r="R1591" s="25" t="n">
        <f aca="false">IF(OR($H1591="",$H1591="EUR"),1,IFERROR(INDEX(FX_Rates!$D:$D,MATCH($H1591,FX_Rates!$A:$A,0)),""))</f>
        <v>1</v>
      </c>
      <c r="S1591" s="26" t="str">
        <f aca="false">IF(AND($I1591="",$J1591=""),"",IF($J1591&lt;&gt;"",$J1591,IF(OR($R1591="",$R1591=0),"",ROUND($I1591/$R1591,2))))</f>
        <v/>
      </c>
      <c r="T1591" s="24" t="str">
        <f aca="false">IF($N1591="","",IFERROR(INDEX(VAT_Codes!$C:$C,MATCH($N1591,VAT_Codes!$A:$A,0)),"")&amp;"")</f>
        <v/>
      </c>
      <c r="U1591" s="26" t="n">
        <f aca="false">IF(OR($S1591="",$T1591="",$T1591="None"),0,IF($T1591="Output",-$S1591,$S1591))</f>
        <v>0</v>
      </c>
      <c r="V1591" s="27" t="n">
        <f aca="false">IF($N1591="",0,IFERROR(INDEX(VAT_Codes!$D:$D,MATCH($N1591,VAT_Codes!$A:$A,0)),0))</f>
        <v>0</v>
      </c>
      <c r="W1591" s="26" t="n">
        <f aca="false">IF($U1591=0,0,IF(IFERROR(INDEX(VAT_Codes!$F:$F,MATCH($N1591,VAT_Codes!$A:$A,0)),"N")="Y",$U1591,IF($L1591&lt;&gt;"",ROUND(ABS($L1591)/IF(OR($R1591="",$R1591=0),1,$R1591),2)*SIGN($U1591),ROUND($U1591*$V1591,2))))</f>
        <v>0</v>
      </c>
      <c r="X1591" s="24" t="str">
        <f aca="false">IF($N1591="","",IFERROR(INDEX(VAT_Codes!$H:$H,MATCH($N1591,VAT_Codes!$A:$A,0)),"")&amp;"")</f>
        <v/>
      </c>
      <c r="Y1591" s="24" t="str">
        <f aca="false">IF($A1591="","",(YEAR($A1591)-YEAR(Settings!$C$8))*12+MONTH($A1591)-MONTH(Settings!$C$8)+1)</f>
        <v/>
      </c>
      <c r="Z1591" s="24" t="str">
        <f aca="false">IF(AND($C1591="",$I1591="",$J1591=""),"",IF($N1591="","NO VAT CODE",IF($T1591="","UNKNOWN VAT CODE",IF($S1591="","MISSING FX RATE",IF(OR($A1591&lt;Settings!$C$8,$A1591&gt;Settings!$C$9),"OUTSIDE PERIOD",IF(AND(IFERROR(INDEX(VAT_Codes!$E:$E,MATCH($N1591,VAT_Codes!$A:$A,0)),"ANY")&lt;&gt;"ANY",$P1591=""),"MISSING COUNTERPARTY COUNTRY",IF(AND(IFERROR(INDEX(VAT_Codes!$E:$E,MATCH($N1591,VAT_Codes!$A:$A,0)),"ANY")&lt;&gt;"ANY",$P1591&lt;&gt;IFERROR(INDEX(VAT_Codes!$E:$E,MATCH($N1591,VAT_Codes!$A:$A,0)),"ANY")),"REGION MISMATCH","OK")))))))</f>
        <v/>
      </c>
    </row>
    <row r="1592" customFormat="false" ht="15" hidden="false" customHeight="false" outlineLevel="0" collapsed="false">
      <c r="M1592" s="24" t="str">
        <f aca="false">IF($C1592="","",IFERROR(INDEX(Account_Mapping!$C:$C,MATCH($C1592&amp;"",Account_Mapping!$A:$A,0))&amp;"",""))</f>
        <v/>
      </c>
      <c r="N1592" s="24" t="str">
        <f aca="false">IF($K1592&lt;&gt;"",$K1592,$M1592)</f>
        <v/>
      </c>
      <c r="O1592" s="24" t="str">
        <f aca="false">IF($F1592="","",IFERROR(INDEX(Counterparties!$C:$C,MATCH($F1592&amp;"",Counterparties!$A:$A,0))&amp;"",""))</f>
        <v/>
      </c>
      <c r="P1592" s="24" t="str">
        <f aca="false">IF($O1592="","",IF($O1592="CY","CY",IF(ISNUMBER(MATCH($O1592,Lists!$A:$A,0)),"EU","3RD")))</f>
        <v/>
      </c>
      <c r="Q1592" s="24" t="str">
        <f aca="false">IF($F1592="","N",IFERROR(IF(INDEX(Counterparties!$E:$E,MATCH($F1592&amp;"",Counterparties!$A:$A,0))="Y","Y","N"),"N"))</f>
        <v>N</v>
      </c>
      <c r="R1592" s="25" t="n">
        <f aca="false">IF(OR($H1592="",$H1592="EUR"),1,IFERROR(INDEX(FX_Rates!$D:$D,MATCH($H1592,FX_Rates!$A:$A,0)),""))</f>
        <v>1</v>
      </c>
      <c r="S1592" s="26" t="str">
        <f aca="false">IF(AND($I1592="",$J1592=""),"",IF($J1592&lt;&gt;"",$J1592,IF(OR($R1592="",$R1592=0),"",ROUND($I1592/$R1592,2))))</f>
        <v/>
      </c>
      <c r="T1592" s="24" t="str">
        <f aca="false">IF($N1592="","",IFERROR(INDEX(VAT_Codes!$C:$C,MATCH($N1592,VAT_Codes!$A:$A,0)),"")&amp;"")</f>
        <v/>
      </c>
      <c r="U1592" s="26" t="n">
        <f aca="false">IF(OR($S1592="",$T1592="",$T1592="None"),0,IF($T1592="Output",-$S1592,$S1592))</f>
        <v>0</v>
      </c>
      <c r="V1592" s="27" t="n">
        <f aca="false">IF($N1592="",0,IFERROR(INDEX(VAT_Codes!$D:$D,MATCH($N1592,VAT_Codes!$A:$A,0)),0))</f>
        <v>0</v>
      </c>
      <c r="W1592" s="26" t="n">
        <f aca="false">IF($U1592=0,0,IF(IFERROR(INDEX(VAT_Codes!$F:$F,MATCH($N1592,VAT_Codes!$A:$A,0)),"N")="Y",$U1592,IF($L1592&lt;&gt;"",ROUND(ABS($L1592)/IF(OR($R1592="",$R1592=0),1,$R1592),2)*SIGN($U1592),ROUND($U1592*$V1592,2))))</f>
        <v>0</v>
      </c>
      <c r="X1592" s="24" t="str">
        <f aca="false">IF($N1592="","",IFERROR(INDEX(VAT_Codes!$H:$H,MATCH($N1592,VAT_Codes!$A:$A,0)),"")&amp;"")</f>
        <v/>
      </c>
      <c r="Y1592" s="24" t="str">
        <f aca="false">IF($A1592="","",(YEAR($A1592)-YEAR(Settings!$C$8))*12+MONTH($A1592)-MONTH(Settings!$C$8)+1)</f>
        <v/>
      </c>
      <c r="Z1592" s="24" t="str">
        <f aca="false">IF(AND($C1592="",$I1592="",$J1592=""),"",IF($N1592="","NO VAT CODE",IF($T1592="","UNKNOWN VAT CODE",IF($S1592="","MISSING FX RATE",IF(OR($A1592&lt;Settings!$C$8,$A1592&gt;Settings!$C$9),"OUTSIDE PERIOD",IF(AND(IFERROR(INDEX(VAT_Codes!$E:$E,MATCH($N1592,VAT_Codes!$A:$A,0)),"ANY")&lt;&gt;"ANY",$P1592=""),"MISSING COUNTERPARTY COUNTRY",IF(AND(IFERROR(INDEX(VAT_Codes!$E:$E,MATCH($N1592,VAT_Codes!$A:$A,0)),"ANY")&lt;&gt;"ANY",$P1592&lt;&gt;IFERROR(INDEX(VAT_Codes!$E:$E,MATCH($N1592,VAT_Codes!$A:$A,0)),"ANY")),"REGION MISMATCH","OK")))))))</f>
        <v/>
      </c>
    </row>
    <row r="1593" customFormat="false" ht="15" hidden="false" customHeight="false" outlineLevel="0" collapsed="false">
      <c r="M1593" s="24" t="str">
        <f aca="false">IF($C1593="","",IFERROR(INDEX(Account_Mapping!$C:$C,MATCH($C1593&amp;"",Account_Mapping!$A:$A,0))&amp;"",""))</f>
        <v/>
      </c>
      <c r="N1593" s="24" t="str">
        <f aca="false">IF($K1593&lt;&gt;"",$K1593,$M1593)</f>
        <v/>
      </c>
      <c r="O1593" s="24" t="str">
        <f aca="false">IF($F1593="","",IFERROR(INDEX(Counterparties!$C:$C,MATCH($F1593&amp;"",Counterparties!$A:$A,0))&amp;"",""))</f>
        <v/>
      </c>
      <c r="P1593" s="24" t="str">
        <f aca="false">IF($O1593="","",IF($O1593="CY","CY",IF(ISNUMBER(MATCH($O1593,Lists!$A:$A,0)),"EU","3RD")))</f>
        <v/>
      </c>
      <c r="Q1593" s="24" t="str">
        <f aca="false">IF($F1593="","N",IFERROR(IF(INDEX(Counterparties!$E:$E,MATCH($F1593&amp;"",Counterparties!$A:$A,0))="Y","Y","N"),"N"))</f>
        <v>N</v>
      </c>
      <c r="R1593" s="25" t="n">
        <f aca="false">IF(OR($H1593="",$H1593="EUR"),1,IFERROR(INDEX(FX_Rates!$D:$D,MATCH($H1593,FX_Rates!$A:$A,0)),""))</f>
        <v>1</v>
      </c>
      <c r="S1593" s="26" t="str">
        <f aca="false">IF(AND($I1593="",$J1593=""),"",IF($J1593&lt;&gt;"",$J1593,IF(OR($R1593="",$R1593=0),"",ROUND($I1593/$R1593,2))))</f>
        <v/>
      </c>
      <c r="T1593" s="24" t="str">
        <f aca="false">IF($N1593="","",IFERROR(INDEX(VAT_Codes!$C:$C,MATCH($N1593,VAT_Codes!$A:$A,0)),"")&amp;"")</f>
        <v/>
      </c>
      <c r="U1593" s="26" t="n">
        <f aca="false">IF(OR($S1593="",$T1593="",$T1593="None"),0,IF($T1593="Output",-$S1593,$S1593))</f>
        <v>0</v>
      </c>
      <c r="V1593" s="27" t="n">
        <f aca="false">IF($N1593="",0,IFERROR(INDEX(VAT_Codes!$D:$D,MATCH($N1593,VAT_Codes!$A:$A,0)),0))</f>
        <v>0</v>
      </c>
      <c r="W1593" s="26" t="n">
        <f aca="false">IF($U1593=0,0,IF(IFERROR(INDEX(VAT_Codes!$F:$F,MATCH($N1593,VAT_Codes!$A:$A,0)),"N")="Y",$U1593,IF($L1593&lt;&gt;"",ROUND(ABS($L1593)/IF(OR($R1593="",$R1593=0),1,$R1593),2)*SIGN($U1593),ROUND($U1593*$V1593,2))))</f>
        <v>0</v>
      </c>
      <c r="X1593" s="24" t="str">
        <f aca="false">IF($N1593="","",IFERROR(INDEX(VAT_Codes!$H:$H,MATCH($N1593,VAT_Codes!$A:$A,0)),"")&amp;"")</f>
        <v/>
      </c>
      <c r="Y1593" s="24" t="str">
        <f aca="false">IF($A1593="","",(YEAR($A1593)-YEAR(Settings!$C$8))*12+MONTH($A1593)-MONTH(Settings!$C$8)+1)</f>
        <v/>
      </c>
      <c r="Z1593" s="24" t="str">
        <f aca="false">IF(AND($C1593="",$I1593="",$J1593=""),"",IF($N1593="","NO VAT CODE",IF($T1593="","UNKNOWN VAT CODE",IF($S1593="","MISSING FX RATE",IF(OR($A1593&lt;Settings!$C$8,$A1593&gt;Settings!$C$9),"OUTSIDE PERIOD",IF(AND(IFERROR(INDEX(VAT_Codes!$E:$E,MATCH($N1593,VAT_Codes!$A:$A,0)),"ANY")&lt;&gt;"ANY",$P1593=""),"MISSING COUNTERPARTY COUNTRY",IF(AND(IFERROR(INDEX(VAT_Codes!$E:$E,MATCH($N1593,VAT_Codes!$A:$A,0)),"ANY")&lt;&gt;"ANY",$P1593&lt;&gt;IFERROR(INDEX(VAT_Codes!$E:$E,MATCH($N1593,VAT_Codes!$A:$A,0)),"ANY")),"REGION MISMATCH","OK")))))))</f>
        <v/>
      </c>
    </row>
    <row r="1594" customFormat="false" ht="15" hidden="false" customHeight="false" outlineLevel="0" collapsed="false">
      <c r="M1594" s="24" t="str">
        <f aca="false">IF($C1594="","",IFERROR(INDEX(Account_Mapping!$C:$C,MATCH($C1594&amp;"",Account_Mapping!$A:$A,0))&amp;"",""))</f>
        <v/>
      </c>
      <c r="N1594" s="24" t="str">
        <f aca="false">IF($K1594&lt;&gt;"",$K1594,$M1594)</f>
        <v/>
      </c>
      <c r="O1594" s="24" t="str">
        <f aca="false">IF($F1594="","",IFERROR(INDEX(Counterparties!$C:$C,MATCH($F1594&amp;"",Counterparties!$A:$A,0))&amp;"",""))</f>
        <v/>
      </c>
      <c r="P1594" s="24" t="str">
        <f aca="false">IF($O1594="","",IF($O1594="CY","CY",IF(ISNUMBER(MATCH($O1594,Lists!$A:$A,0)),"EU","3RD")))</f>
        <v/>
      </c>
      <c r="Q1594" s="24" t="str">
        <f aca="false">IF($F1594="","N",IFERROR(IF(INDEX(Counterparties!$E:$E,MATCH($F1594&amp;"",Counterparties!$A:$A,0))="Y","Y","N"),"N"))</f>
        <v>N</v>
      </c>
      <c r="R1594" s="25" t="n">
        <f aca="false">IF(OR($H1594="",$H1594="EUR"),1,IFERROR(INDEX(FX_Rates!$D:$D,MATCH($H1594,FX_Rates!$A:$A,0)),""))</f>
        <v>1</v>
      </c>
      <c r="S1594" s="26" t="str">
        <f aca="false">IF(AND($I1594="",$J1594=""),"",IF($J1594&lt;&gt;"",$J1594,IF(OR($R1594="",$R1594=0),"",ROUND($I1594/$R1594,2))))</f>
        <v/>
      </c>
      <c r="T1594" s="24" t="str">
        <f aca="false">IF($N1594="","",IFERROR(INDEX(VAT_Codes!$C:$C,MATCH($N1594,VAT_Codes!$A:$A,0)),"")&amp;"")</f>
        <v/>
      </c>
      <c r="U1594" s="26" t="n">
        <f aca="false">IF(OR($S1594="",$T1594="",$T1594="None"),0,IF($T1594="Output",-$S1594,$S1594))</f>
        <v>0</v>
      </c>
      <c r="V1594" s="27" t="n">
        <f aca="false">IF($N1594="",0,IFERROR(INDEX(VAT_Codes!$D:$D,MATCH($N1594,VAT_Codes!$A:$A,0)),0))</f>
        <v>0</v>
      </c>
      <c r="W1594" s="26" t="n">
        <f aca="false">IF($U1594=0,0,IF(IFERROR(INDEX(VAT_Codes!$F:$F,MATCH($N1594,VAT_Codes!$A:$A,0)),"N")="Y",$U1594,IF($L1594&lt;&gt;"",ROUND(ABS($L1594)/IF(OR($R1594="",$R1594=0),1,$R1594),2)*SIGN($U1594),ROUND($U1594*$V1594,2))))</f>
        <v>0</v>
      </c>
      <c r="X1594" s="24" t="str">
        <f aca="false">IF($N1594="","",IFERROR(INDEX(VAT_Codes!$H:$H,MATCH($N1594,VAT_Codes!$A:$A,0)),"")&amp;"")</f>
        <v/>
      </c>
      <c r="Y1594" s="24" t="str">
        <f aca="false">IF($A1594="","",(YEAR($A1594)-YEAR(Settings!$C$8))*12+MONTH($A1594)-MONTH(Settings!$C$8)+1)</f>
        <v/>
      </c>
      <c r="Z1594" s="24" t="str">
        <f aca="false">IF(AND($C1594="",$I1594="",$J1594=""),"",IF($N1594="","NO VAT CODE",IF($T1594="","UNKNOWN VAT CODE",IF($S1594="","MISSING FX RATE",IF(OR($A1594&lt;Settings!$C$8,$A1594&gt;Settings!$C$9),"OUTSIDE PERIOD",IF(AND(IFERROR(INDEX(VAT_Codes!$E:$E,MATCH($N1594,VAT_Codes!$A:$A,0)),"ANY")&lt;&gt;"ANY",$P1594=""),"MISSING COUNTERPARTY COUNTRY",IF(AND(IFERROR(INDEX(VAT_Codes!$E:$E,MATCH($N1594,VAT_Codes!$A:$A,0)),"ANY")&lt;&gt;"ANY",$P1594&lt;&gt;IFERROR(INDEX(VAT_Codes!$E:$E,MATCH($N1594,VAT_Codes!$A:$A,0)),"ANY")),"REGION MISMATCH","OK")))))))</f>
        <v/>
      </c>
    </row>
    <row r="1595" customFormat="false" ht="15" hidden="false" customHeight="false" outlineLevel="0" collapsed="false">
      <c r="M1595" s="24" t="str">
        <f aca="false">IF($C1595="","",IFERROR(INDEX(Account_Mapping!$C:$C,MATCH($C1595&amp;"",Account_Mapping!$A:$A,0))&amp;"",""))</f>
        <v/>
      </c>
      <c r="N1595" s="24" t="str">
        <f aca="false">IF($K1595&lt;&gt;"",$K1595,$M1595)</f>
        <v/>
      </c>
      <c r="O1595" s="24" t="str">
        <f aca="false">IF($F1595="","",IFERROR(INDEX(Counterparties!$C:$C,MATCH($F1595&amp;"",Counterparties!$A:$A,0))&amp;"",""))</f>
        <v/>
      </c>
      <c r="P1595" s="24" t="str">
        <f aca="false">IF($O1595="","",IF($O1595="CY","CY",IF(ISNUMBER(MATCH($O1595,Lists!$A:$A,0)),"EU","3RD")))</f>
        <v/>
      </c>
      <c r="Q1595" s="24" t="str">
        <f aca="false">IF($F1595="","N",IFERROR(IF(INDEX(Counterparties!$E:$E,MATCH($F1595&amp;"",Counterparties!$A:$A,0))="Y","Y","N"),"N"))</f>
        <v>N</v>
      </c>
      <c r="R1595" s="25" t="n">
        <f aca="false">IF(OR($H1595="",$H1595="EUR"),1,IFERROR(INDEX(FX_Rates!$D:$D,MATCH($H1595,FX_Rates!$A:$A,0)),""))</f>
        <v>1</v>
      </c>
      <c r="S1595" s="26" t="str">
        <f aca="false">IF(AND($I1595="",$J1595=""),"",IF($J1595&lt;&gt;"",$J1595,IF(OR($R1595="",$R1595=0),"",ROUND($I1595/$R1595,2))))</f>
        <v/>
      </c>
      <c r="T1595" s="24" t="str">
        <f aca="false">IF($N1595="","",IFERROR(INDEX(VAT_Codes!$C:$C,MATCH($N1595,VAT_Codes!$A:$A,0)),"")&amp;"")</f>
        <v/>
      </c>
      <c r="U1595" s="26" t="n">
        <f aca="false">IF(OR($S1595="",$T1595="",$T1595="None"),0,IF($T1595="Output",-$S1595,$S1595))</f>
        <v>0</v>
      </c>
      <c r="V1595" s="27" t="n">
        <f aca="false">IF($N1595="",0,IFERROR(INDEX(VAT_Codes!$D:$D,MATCH($N1595,VAT_Codes!$A:$A,0)),0))</f>
        <v>0</v>
      </c>
      <c r="W1595" s="26" t="n">
        <f aca="false">IF($U1595=0,0,IF(IFERROR(INDEX(VAT_Codes!$F:$F,MATCH($N1595,VAT_Codes!$A:$A,0)),"N")="Y",$U1595,IF($L1595&lt;&gt;"",ROUND(ABS($L1595)/IF(OR($R1595="",$R1595=0),1,$R1595),2)*SIGN($U1595),ROUND($U1595*$V1595,2))))</f>
        <v>0</v>
      </c>
      <c r="X1595" s="24" t="str">
        <f aca="false">IF($N1595="","",IFERROR(INDEX(VAT_Codes!$H:$H,MATCH($N1595,VAT_Codes!$A:$A,0)),"")&amp;"")</f>
        <v/>
      </c>
      <c r="Y1595" s="24" t="str">
        <f aca="false">IF($A1595="","",(YEAR($A1595)-YEAR(Settings!$C$8))*12+MONTH($A1595)-MONTH(Settings!$C$8)+1)</f>
        <v/>
      </c>
      <c r="Z1595" s="24" t="str">
        <f aca="false">IF(AND($C1595="",$I1595="",$J1595=""),"",IF($N1595="","NO VAT CODE",IF($T1595="","UNKNOWN VAT CODE",IF($S1595="","MISSING FX RATE",IF(OR($A1595&lt;Settings!$C$8,$A1595&gt;Settings!$C$9),"OUTSIDE PERIOD",IF(AND(IFERROR(INDEX(VAT_Codes!$E:$E,MATCH($N1595,VAT_Codes!$A:$A,0)),"ANY")&lt;&gt;"ANY",$P1595=""),"MISSING COUNTERPARTY COUNTRY",IF(AND(IFERROR(INDEX(VAT_Codes!$E:$E,MATCH($N1595,VAT_Codes!$A:$A,0)),"ANY")&lt;&gt;"ANY",$P1595&lt;&gt;IFERROR(INDEX(VAT_Codes!$E:$E,MATCH($N1595,VAT_Codes!$A:$A,0)),"ANY")),"REGION MISMATCH","OK")))))))</f>
        <v/>
      </c>
    </row>
    <row r="1596" customFormat="false" ht="15" hidden="false" customHeight="false" outlineLevel="0" collapsed="false">
      <c r="M1596" s="24" t="str">
        <f aca="false">IF($C1596="","",IFERROR(INDEX(Account_Mapping!$C:$C,MATCH($C1596&amp;"",Account_Mapping!$A:$A,0))&amp;"",""))</f>
        <v/>
      </c>
      <c r="N1596" s="24" t="str">
        <f aca="false">IF($K1596&lt;&gt;"",$K1596,$M1596)</f>
        <v/>
      </c>
      <c r="O1596" s="24" t="str">
        <f aca="false">IF($F1596="","",IFERROR(INDEX(Counterparties!$C:$C,MATCH($F1596&amp;"",Counterparties!$A:$A,0))&amp;"",""))</f>
        <v/>
      </c>
      <c r="P1596" s="24" t="str">
        <f aca="false">IF($O1596="","",IF($O1596="CY","CY",IF(ISNUMBER(MATCH($O1596,Lists!$A:$A,0)),"EU","3RD")))</f>
        <v/>
      </c>
      <c r="Q1596" s="24" t="str">
        <f aca="false">IF($F1596="","N",IFERROR(IF(INDEX(Counterparties!$E:$E,MATCH($F1596&amp;"",Counterparties!$A:$A,0))="Y","Y","N"),"N"))</f>
        <v>N</v>
      </c>
      <c r="R1596" s="25" t="n">
        <f aca="false">IF(OR($H1596="",$H1596="EUR"),1,IFERROR(INDEX(FX_Rates!$D:$D,MATCH($H1596,FX_Rates!$A:$A,0)),""))</f>
        <v>1</v>
      </c>
      <c r="S1596" s="26" t="str">
        <f aca="false">IF(AND($I1596="",$J1596=""),"",IF($J1596&lt;&gt;"",$J1596,IF(OR($R1596="",$R1596=0),"",ROUND($I1596/$R1596,2))))</f>
        <v/>
      </c>
      <c r="T1596" s="24" t="str">
        <f aca="false">IF($N1596="","",IFERROR(INDEX(VAT_Codes!$C:$C,MATCH($N1596,VAT_Codes!$A:$A,0)),"")&amp;"")</f>
        <v/>
      </c>
      <c r="U1596" s="26" t="n">
        <f aca="false">IF(OR($S1596="",$T1596="",$T1596="None"),0,IF($T1596="Output",-$S1596,$S1596))</f>
        <v>0</v>
      </c>
      <c r="V1596" s="27" t="n">
        <f aca="false">IF($N1596="",0,IFERROR(INDEX(VAT_Codes!$D:$D,MATCH($N1596,VAT_Codes!$A:$A,0)),0))</f>
        <v>0</v>
      </c>
      <c r="W1596" s="26" t="n">
        <f aca="false">IF($U1596=0,0,IF(IFERROR(INDEX(VAT_Codes!$F:$F,MATCH($N1596,VAT_Codes!$A:$A,0)),"N")="Y",$U1596,IF($L1596&lt;&gt;"",ROUND(ABS($L1596)/IF(OR($R1596="",$R1596=0),1,$R1596),2)*SIGN($U1596),ROUND($U1596*$V1596,2))))</f>
        <v>0</v>
      </c>
      <c r="X1596" s="24" t="str">
        <f aca="false">IF($N1596="","",IFERROR(INDEX(VAT_Codes!$H:$H,MATCH($N1596,VAT_Codes!$A:$A,0)),"")&amp;"")</f>
        <v/>
      </c>
      <c r="Y1596" s="24" t="str">
        <f aca="false">IF($A1596="","",(YEAR($A1596)-YEAR(Settings!$C$8))*12+MONTH($A1596)-MONTH(Settings!$C$8)+1)</f>
        <v/>
      </c>
      <c r="Z1596" s="24" t="str">
        <f aca="false">IF(AND($C1596="",$I1596="",$J1596=""),"",IF($N1596="","NO VAT CODE",IF($T1596="","UNKNOWN VAT CODE",IF($S1596="","MISSING FX RATE",IF(OR($A1596&lt;Settings!$C$8,$A1596&gt;Settings!$C$9),"OUTSIDE PERIOD",IF(AND(IFERROR(INDEX(VAT_Codes!$E:$E,MATCH($N1596,VAT_Codes!$A:$A,0)),"ANY")&lt;&gt;"ANY",$P1596=""),"MISSING COUNTERPARTY COUNTRY",IF(AND(IFERROR(INDEX(VAT_Codes!$E:$E,MATCH($N1596,VAT_Codes!$A:$A,0)),"ANY")&lt;&gt;"ANY",$P1596&lt;&gt;IFERROR(INDEX(VAT_Codes!$E:$E,MATCH($N1596,VAT_Codes!$A:$A,0)),"ANY")),"REGION MISMATCH","OK")))))))</f>
        <v/>
      </c>
    </row>
    <row r="1597" customFormat="false" ht="15" hidden="false" customHeight="false" outlineLevel="0" collapsed="false">
      <c r="M1597" s="24" t="str">
        <f aca="false">IF($C1597="","",IFERROR(INDEX(Account_Mapping!$C:$C,MATCH($C1597&amp;"",Account_Mapping!$A:$A,0))&amp;"",""))</f>
        <v/>
      </c>
      <c r="N1597" s="24" t="str">
        <f aca="false">IF($K1597&lt;&gt;"",$K1597,$M1597)</f>
        <v/>
      </c>
      <c r="O1597" s="24" t="str">
        <f aca="false">IF($F1597="","",IFERROR(INDEX(Counterparties!$C:$C,MATCH($F1597&amp;"",Counterparties!$A:$A,0))&amp;"",""))</f>
        <v/>
      </c>
      <c r="P1597" s="24" t="str">
        <f aca="false">IF($O1597="","",IF($O1597="CY","CY",IF(ISNUMBER(MATCH($O1597,Lists!$A:$A,0)),"EU","3RD")))</f>
        <v/>
      </c>
      <c r="Q1597" s="24" t="str">
        <f aca="false">IF($F1597="","N",IFERROR(IF(INDEX(Counterparties!$E:$E,MATCH($F1597&amp;"",Counterparties!$A:$A,0))="Y","Y","N"),"N"))</f>
        <v>N</v>
      </c>
      <c r="R1597" s="25" t="n">
        <f aca="false">IF(OR($H1597="",$H1597="EUR"),1,IFERROR(INDEX(FX_Rates!$D:$D,MATCH($H1597,FX_Rates!$A:$A,0)),""))</f>
        <v>1</v>
      </c>
      <c r="S1597" s="26" t="str">
        <f aca="false">IF(AND($I1597="",$J1597=""),"",IF($J1597&lt;&gt;"",$J1597,IF(OR($R1597="",$R1597=0),"",ROUND($I1597/$R1597,2))))</f>
        <v/>
      </c>
      <c r="T1597" s="24" t="str">
        <f aca="false">IF($N1597="","",IFERROR(INDEX(VAT_Codes!$C:$C,MATCH($N1597,VAT_Codes!$A:$A,0)),"")&amp;"")</f>
        <v/>
      </c>
      <c r="U1597" s="26" t="n">
        <f aca="false">IF(OR($S1597="",$T1597="",$T1597="None"),0,IF($T1597="Output",-$S1597,$S1597))</f>
        <v>0</v>
      </c>
      <c r="V1597" s="27" t="n">
        <f aca="false">IF($N1597="",0,IFERROR(INDEX(VAT_Codes!$D:$D,MATCH($N1597,VAT_Codes!$A:$A,0)),0))</f>
        <v>0</v>
      </c>
      <c r="W1597" s="26" t="n">
        <f aca="false">IF($U1597=0,0,IF(IFERROR(INDEX(VAT_Codes!$F:$F,MATCH($N1597,VAT_Codes!$A:$A,0)),"N")="Y",$U1597,IF($L1597&lt;&gt;"",ROUND(ABS($L1597)/IF(OR($R1597="",$R1597=0),1,$R1597),2)*SIGN($U1597),ROUND($U1597*$V1597,2))))</f>
        <v>0</v>
      </c>
      <c r="X1597" s="24" t="str">
        <f aca="false">IF($N1597="","",IFERROR(INDEX(VAT_Codes!$H:$H,MATCH($N1597,VAT_Codes!$A:$A,0)),"")&amp;"")</f>
        <v/>
      </c>
      <c r="Y1597" s="24" t="str">
        <f aca="false">IF($A1597="","",(YEAR($A1597)-YEAR(Settings!$C$8))*12+MONTH($A1597)-MONTH(Settings!$C$8)+1)</f>
        <v/>
      </c>
      <c r="Z1597" s="24" t="str">
        <f aca="false">IF(AND($C1597="",$I1597="",$J1597=""),"",IF($N1597="","NO VAT CODE",IF($T1597="","UNKNOWN VAT CODE",IF($S1597="","MISSING FX RATE",IF(OR($A1597&lt;Settings!$C$8,$A1597&gt;Settings!$C$9),"OUTSIDE PERIOD",IF(AND(IFERROR(INDEX(VAT_Codes!$E:$E,MATCH($N1597,VAT_Codes!$A:$A,0)),"ANY")&lt;&gt;"ANY",$P1597=""),"MISSING COUNTERPARTY COUNTRY",IF(AND(IFERROR(INDEX(VAT_Codes!$E:$E,MATCH($N1597,VAT_Codes!$A:$A,0)),"ANY")&lt;&gt;"ANY",$P1597&lt;&gt;IFERROR(INDEX(VAT_Codes!$E:$E,MATCH($N1597,VAT_Codes!$A:$A,0)),"ANY")),"REGION MISMATCH","OK")))))))</f>
        <v/>
      </c>
    </row>
    <row r="1598" customFormat="false" ht="15" hidden="false" customHeight="false" outlineLevel="0" collapsed="false">
      <c r="M1598" s="24" t="str">
        <f aca="false">IF($C1598="","",IFERROR(INDEX(Account_Mapping!$C:$C,MATCH($C1598&amp;"",Account_Mapping!$A:$A,0))&amp;"",""))</f>
        <v/>
      </c>
      <c r="N1598" s="24" t="str">
        <f aca="false">IF($K1598&lt;&gt;"",$K1598,$M1598)</f>
        <v/>
      </c>
      <c r="O1598" s="24" t="str">
        <f aca="false">IF($F1598="","",IFERROR(INDEX(Counterparties!$C:$C,MATCH($F1598&amp;"",Counterparties!$A:$A,0))&amp;"",""))</f>
        <v/>
      </c>
      <c r="P1598" s="24" t="str">
        <f aca="false">IF($O1598="","",IF($O1598="CY","CY",IF(ISNUMBER(MATCH($O1598,Lists!$A:$A,0)),"EU","3RD")))</f>
        <v/>
      </c>
      <c r="Q1598" s="24" t="str">
        <f aca="false">IF($F1598="","N",IFERROR(IF(INDEX(Counterparties!$E:$E,MATCH($F1598&amp;"",Counterparties!$A:$A,0))="Y","Y","N"),"N"))</f>
        <v>N</v>
      </c>
      <c r="R1598" s="25" t="n">
        <f aca="false">IF(OR($H1598="",$H1598="EUR"),1,IFERROR(INDEX(FX_Rates!$D:$D,MATCH($H1598,FX_Rates!$A:$A,0)),""))</f>
        <v>1</v>
      </c>
      <c r="S1598" s="26" t="str">
        <f aca="false">IF(AND($I1598="",$J1598=""),"",IF($J1598&lt;&gt;"",$J1598,IF(OR($R1598="",$R1598=0),"",ROUND($I1598/$R1598,2))))</f>
        <v/>
      </c>
      <c r="T1598" s="24" t="str">
        <f aca="false">IF($N1598="","",IFERROR(INDEX(VAT_Codes!$C:$C,MATCH($N1598,VAT_Codes!$A:$A,0)),"")&amp;"")</f>
        <v/>
      </c>
      <c r="U1598" s="26" t="n">
        <f aca="false">IF(OR($S1598="",$T1598="",$T1598="None"),0,IF($T1598="Output",-$S1598,$S1598))</f>
        <v>0</v>
      </c>
      <c r="V1598" s="27" t="n">
        <f aca="false">IF($N1598="",0,IFERROR(INDEX(VAT_Codes!$D:$D,MATCH($N1598,VAT_Codes!$A:$A,0)),0))</f>
        <v>0</v>
      </c>
      <c r="W1598" s="26" t="n">
        <f aca="false">IF($U1598=0,0,IF(IFERROR(INDEX(VAT_Codes!$F:$F,MATCH($N1598,VAT_Codes!$A:$A,0)),"N")="Y",$U1598,IF($L1598&lt;&gt;"",ROUND(ABS($L1598)/IF(OR($R1598="",$R1598=0),1,$R1598),2)*SIGN($U1598),ROUND($U1598*$V1598,2))))</f>
        <v>0</v>
      </c>
      <c r="X1598" s="24" t="str">
        <f aca="false">IF($N1598="","",IFERROR(INDEX(VAT_Codes!$H:$H,MATCH($N1598,VAT_Codes!$A:$A,0)),"")&amp;"")</f>
        <v/>
      </c>
      <c r="Y1598" s="24" t="str">
        <f aca="false">IF($A1598="","",(YEAR($A1598)-YEAR(Settings!$C$8))*12+MONTH($A1598)-MONTH(Settings!$C$8)+1)</f>
        <v/>
      </c>
      <c r="Z1598" s="24" t="str">
        <f aca="false">IF(AND($C1598="",$I1598="",$J1598=""),"",IF($N1598="","NO VAT CODE",IF($T1598="","UNKNOWN VAT CODE",IF($S1598="","MISSING FX RATE",IF(OR($A1598&lt;Settings!$C$8,$A1598&gt;Settings!$C$9),"OUTSIDE PERIOD",IF(AND(IFERROR(INDEX(VAT_Codes!$E:$E,MATCH($N1598,VAT_Codes!$A:$A,0)),"ANY")&lt;&gt;"ANY",$P1598=""),"MISSING COUNTERPARTY COUNTRY",IF(AND(IFERROR(INDEX(VAT_Codes!$E:$E,MATCH($N1598,VAT_Codes!$A:$A,0)),"ANY")&lt;&gt;"ANY",$P1598&lt;&gt;IFERROR(INDEX(VAT_Codes!$E:$E,MATCH($N1598,VAT_Codes!$A:$A,0)),"ANY")),"REGION MISMATCH","OK")))))))</f>
        <v/>
      </c>
    </row>
    <row r="1599" customFormat="false" ht="15" hidden="false" customHeight="false" outlineLevel="0" collapsed="false">
      <c r="M1599" s="24" t="str">
        <f aca="false">IF($C1599="","",IFERROR(INDEX(Account_Mapping!$C:$C,MATCH($C1599&amp;"",Account_Mapping!$A:$A,0))&amp;"",""))</f>
        <v/>
      </c>
      <c r="N1599" s="24" t="str">
        <f aca="false">IF($K1599&lt;&gt;"",$K1599,$M1599)</f>
        <v/>
      </c>
      <c r="O1599" s="24" t="str">
        <f aca="false">IF($F1599="","",IFERROR(INDEX(Counterparties!$C:$C,MATCH($F1599&amp;"",Counterparties!$A:$A,0))&amp;"",""))</f>
        <v/>
      </c>
      <c r="P1599" s="24" t="str">
        <f aca="false">IF($O1599="","",IF($O1599="CY","CY",IF(ISNUMBER(MATCH($O1599,Lists!$A:$A,0)),"EU","3RD")))</f>
        <v/>
      </c>
      <c r="Q1599" s="24" t="str">
        <f aca="false">IF($F1599="","N",IFERROR(IF(INDEX(Counterparties!$E:$E,MATCH($F1599&amp;"",Counterparties!$A:$A,0))="Y","Y","N"),"N"))</f>
        <v>N</v>
      </c>
      <c r="R1599" s="25" t="n">
        <f aca="false">IF(OR($H1599="",$H1599="EUR"),1,IFERROR(INDEX(FX_Rates!$D:$D,MATCH($H1599,FX_Rates!$A:$A,0)),""))</f>
        <v>1</v>
      </c>
      <c r="S1599" s="26" t="str">
        <f aca="false">IF(AND($I1599="",$J1599=""),"",IF($J1599&lt;&gt;"",$J1599,IF(OR($R1599="",$R1599=0),"",ROUND($I1599/$R1599,2))))</f>
        <v/>
      </c>
      <c r="T1599" s="24" t="str">
        <f aca="false">IF($N1599="","",IFERROR(INDEX(VAT_Codes!$C:$C,MATCH($N1599,VAT_Codes!$A:$A,0)),"")&amp;"")</f>
        <v/>
      </c>
      <c r="U1599" s="26" t="n">
        <f aca="false">IF(OR($S1599="",$T1599="",$T1599="None"),0,IF($T1599="Output",-$S1599,$S1599))</f>
        <v>0</v>
      </c>
      <c r="V1599" s="27" t="n">
        <f aca="false">IF($N1599="",0,IFERROR(INDEX(VAT_Codes!$D:$D,MATCH($N1599,VAT_Codes!$A:$A,0)),0))</f>
        <v>0</v>
      </c>
      <c r="W1599" s="26" t="n">
        <f aca="false">IF($U1599=0,0,IF(IFERROR(INDEX(VAT_Codes!$F:$F,MATCH($N1599,VAT_Codes!$A:$A,0)),"N")="Y",$U1599,IF($L1599&lt;&gt;"",ROUND(ABS($L1599)/IF(OR($R1599="",$R1599=0),1,$R1599),2)*SIGN($U1599),ROUND($U1599*$V1599,2))))</f>
        <v>0</v>
      </c>
      <c r="X1599" s="24" t="str">
        <f aca="false">IF($N1599="","",IFERROR(INDEX(VAT_Codes!$H:$H,MATCH($N1599,VAT_Codes!$A:$A,0)),"")&amp;"")</f>
        <v/>
      </c>
      <c r="Y1599" s="24" t="str">
        <f aca="false">IF($A1599="","",(YEAR($A1599)-YEAR(Settings!$C$8))*12+MONTH($A1599)-MONTH(Settings!$C$8)+1)</f>
        <v/>
      </c>
      <c r="Z1599" s="24" t="str">
        <f aca="false">IF(AND($C1599="",$I1599="",$J1599=""),"",IF($N1599="","NO VAT CODE",IF($T1599="","UNKNOWN VAT CODE",IF($S1599="","MISSING FX RATE",IF(OR($A1599&lt;Settings!$C$8,$A1599&gt;Settings!$C$9),"OUTSIDE PERIOD",IF(AND(IFERROR(INDEX(VAT_Codes!$E:$E,MATCH($N1599,VAT_Codes!$A:$A,0)),"ANY")&lt;&gt;"ANY",$P1599=""),"MISSING COUNTERPARTY COUNTRY",IF(AND(IFERROR(INDEX(VAT_Codes!$E:$E,MATCH($N1599,VAT_Codes!$A:$A,0)),"ANY")&lt;&gt;"ANY",$P1599&lt;&gt;IFERROR(INDEX(VAT_Codes!$E:$E,MATCH($N1599,VAT_Codes!$A:$A,0)),"ANY")),"REGION MISMATCH","OK")))))))</f>
        <v/>
      </c>
    </row>
    <row r="1600" customFormat="false" ht="15" hidden="false" customHeight="false" outlineLevel="0" collapsed="false">
      <c r="M1600" s="24" t="str">
        <f aca="false">IF($C1600="","",IFERROR(INDEX(Account_Mapping!$C:$C,MATCH($C1600&amp;"",Account_Mapping!$A:$A,0))&amp;"",""))</f>
        <v/>
      </c>
      <c r="N1600" s="24" t="str">
        <f aca="false">IF($K1600&lt;&gt;"",$K1600,$M1600)</f>
        <v/>
      </c>
      <c r="O1600" s="24" t="str">
        <f aca="false">IF($F1600="","",IFERROR(INDEX(Counterparties!$C:$C,MATCH($F1600&amp;"",Counterparties!$A:$A,0))&amp;"",""))</f>
        <v/>
      </c>
      <c r="P1600" s="24" t="str">
        <f aca="false">IF($O1600="","",IF($O1600="CY","CY",IF(ISNUMBER(MATCH($O1600,Lists!$A:$A,0)),"EU","3RD")))</f>
        <v/>
      </c>
      <c r="Q1600" s="24" t="str">
        <f aca="false">IF($F1600="","N",IFERROR(IF(INDEX(Counterparties!$E:$E,MATCH($F1600&amp;"",Counterparties!$A:$A,0))="Y","Y","N"),"N"))</f>
        <v>N</v>
      </c>
      <c r="R1600" s="25" t="n">
        <f aca="false">IF(OR($H1600="",$H1600="EUR"),1,IFERROR(INDEX(FX_Rates!$D:$D,MATCH($H1600,FX_Rates!$A:$A,0)),""))</f>
        <v>1</v>
      </c>
      <c r="S1600" s="26" t="str">
        <f aca="false">IF(AND($I1600="",$J1600=""),"",IF($J1600&lt;&gt;"",$J1600,IF(OR($R1600="",$R1600=0),"",ROUND($I1600/$R1600,2))))</f>
        <v/>
      </c>
      <c r="T1600" s="24" t="str">
        <f aca="false">IF($N1600="","",IFERROR(INDEX(VAT_Codes!$C:$C,MATCH($N1600,VAT_Codes!$A:$A,0)),"")&amp;"")</f>
        <v/>
      </c>
      <c r="U1600" s="26" t="n">
        <f aca="false">IF(OR($S1600="",$T1600="",$T1600="None"),0,IF($T1600="Output",-$S1600,$S1600))</f>
        <v>0</v>
      </c>
      <c r="V1600" s="27" t="n">
        <f aca="false">IF($N1600="",0,IFERROR(INDEX(VAT_Codes!$D:$D,MATCH($N1600,VAT_Codes!$A:$A,0)),0))</f>
        <v>0</v>
      </c>
      <c r="W1600" s="26" t="n">
        <f aca="false">IF($U1600=0,0,IF(IFERROR(INDEX(VAT_Codes!$F:$F,MATCH($N1600,VAT_Codes!$A:$A,0)),"N")="Y",$U1600,IF($L1600&lt;&gt;"",ROUND(ABS($L1600)/IF(OR($R1600="",$R1600=0),1,$R1600),2)*SIGN($U1600),ROUND($U1600*$V1600,2))))</f>
        <v>0</v>
      </c>
      <c r="X1600" s="24" t="str">
        <f aca="false">IF($N1600="","",IFERROR(INDEX(VAT_Codes!$H:$H,MATCH($N1600,VAT_Codes!$A:$A,0)),"")&amp;"")</f>
        <v/>
      </c>
      <c r="Y1600" s="24" t="str">
        <f aca="false">IF($A1600="","",(YEAR($A1600)-YEAR(Settings!$C$8))*12+MONTH($A1600)-MONTH(Settings!$C$8)+1)</f>
        <v/>
      </c>
      <c r="Z1600" s="24" t="str">
        <f aca="false">IF(AND($C1600="",$I1600="",$J1600=""),"",IF($N1600="","NO VAT CODE",IF($T1600="","UNKNOWN VAT CODE",IF($S1600="","MISSING FX RATE",IF(OR($A1600&lt;Settings!$C$8,$A1600&gt;Settings!$C$9),"OUTSIDE PERIOD",IF(AND(IFERROR(INDEX(VAT_Codes!$E:$E,MATCH($N1600,VAT_Codes!$A:$A,0)),"ANY")&lt;&gt;"ANY",$P1600=""),"MISSING COUNTERPARTY COUNTRY",IF(AND(IFERROR(INDEX(VAT_Codes!$E:$E,MATCH($N1600,VAT_Codes!$A:$A,0)),"ANY")&lt;&gt;"ANY",$P1600&lt;&gt;IFERROR(INDEX(VAT_Codes!$E:$E,MATCH($N1600,VAT_Codes!$A:$A,0)),"ANY")),"REGION MISMATCH","OK")))))))</f>
        <v/>
      </c>
    </row>
    <row r="1601" customFormat="false" ht="15" hidden="false" customHeight="false" outlineLevel="0" collapsed="false">
      <c r="M1601" s="24" t="str">
        <f aca="false">IF($C1601="","",IFERROR(INDEX(Account_Mapping!$C:$C,MATCH($C1601&amp;"",Account_Mapping!$A:$A,0))&amp;"",""))</f>
        <v/>
      </c>
      <c r="N1601" s="24" t="str">
        <f aca="false">IF($K1601&lt;&gt;"",$K1601,$M1601)</f>
        <v/>
      </c>
      <c r="O1601" s="24" t="str">
        <f aca="false">IF($F1601="","",IFERROR(INDEX(Counterparties!$C:$C,MATCH($F1601&amp;"",Counterparties!$A:$A,0))&amp;"",""))</f>
        <v/>
      </c>
      <c r="P1601" s="24" t="str">
        <f aca="false">IF($O1601="","",IF($O1601="CY","CY",IF(ISNUMBER(MATCH($O1601,Lists!$A:$A,0)),"EU","3RD")))</f>
        <v/>
      </c>
      <c r="Q1601" s="24" t="str">
        <f aca="false">IF($F1601="","N",IFERROR(IF(INDEX(Counterparties!$E:$E,MATCH($F1601&amp;"",Counterparties!$A:$A,0))="Y","Y","N"),"N"))</f>
        <v>N</v>
      </c>
      <c r="R1601" s="25" t="n">
        <f aca="false">IF(OR($H1601="",$H1601="EUR"),1,IFERROR(INDEX(FX_Rates!$D:$D,MATCH($H1601,FX_Rates!$A:$A,0)),""))</f>
        <v>1</v>
      </c>
      <c r="S1601" s="26" t="str">
        <f aca="false">IF(AND($I1601="",$J1601=""),"",IF($J1601&lt;&gt;"",$J1601,IF(OR($R1601="",$R1601=0),"",ROUND($I1601/$R1601,2))))</f>
        <v/>
      </c>
      <c r="T1601" s="24" t="str">
        <f aca="false">IF($N1601="","",IFERROR(INDEX(VAT_Codes!$C:$C,MATCH($N1601,VAT_Codes!$A:$A,0)),"")&amp;"")</f>
        <v/>
      </c>
      <c r="U1601" s="26" t="n">
        <f aca="false">IF(OR($S1601="",$T1601="",$T1601="None"),0,IF($T1601="Output",-$S1601,$S1601))</f>
        <v>0</v>
      </c>
      <c r="V1601" s="27" t="n">
        <f aca="false">IF($N1601="",0,IFERROR(INDEX(VAT_Codes!$D:$D,MATCH($N1601,VAT_Codes!$A:$A,0)),0))</f>
        <v>0</v>
      </c>
      <c r="W1601" s="26" t="n">
        <f aca="false">IF($U1601=0,0,IF(IFERROR(INDEX(VAT_Codes!$F:$F,MATCH($N1601,VAT_Codes!$A:$A,0)),"N")="Y",$U1601,IF($L1601&lt;&gt;"",ROUND(ABS($L1601)/IF(OR($R1601="",$R1601=0),1,$R1601),2)*SIGN($U1601),ROUND($U1601*$V1601,2))))</f>
        <v>0</v>
      </c>
      <c r="X1601" s="24" t="str">
        <f aca="false">IF($N1601="","",IFERROR(INDEX(VAT_Codes!$H:$H,MATCH($N1601,VAT_Codes!$A:$A,0)),"")&amp;"")</f>
        <v/>
      </c>
      <c r="Y1601" s="24" t="str">
        <f aca="false">IF($A1601="","",(YEAR($A1601)-YEAR(Settings!$C$8))*12+MONTH($A1601)-MONTH(Settings!$C$8)+1)</f>
        <v/>
      </c>
      <c r="Z1601" s="24" t="str">
        <f aca="false">IF(AND($C1601="",$I1601="",$J1601=""),"",IF($N1601="","NO VAT CODE",IF($T1601="","UNKNOWN VAT CODE",IF($S1601="","MISSING FX RATE",IF(OR($A1601&lt;Settings!$C$8,$A1601&gt;Settings!$C$9),"OUTSIDE PERIOD",IF(AND(IFERROR(INDEX(VAT_Codes!$E:$E,MATCH($N1601,VAT_Codes!$A:$A,0)),"ANY")&lt;&gt;"ANY",$P1601=""),"MISSING COUNTERPARTY COUNTRY",IF(AND(IFERROR(INDEX(VAT_Codes!$E:$E,MATCH($N1601,VAT_Codes!$A:$A,0)),"ANY")&lt;&gt;"ANY",$P1601&lt;&gt;IFERROR(INDEX(VAT_Codes!$E:$E,MATCH($N1601,VAT_Codes!$A:$A,0)),"ANY")),"REGION MISMATCH","OK")))))))</f>
        <v/>
      </c>
    </row>
    <row r="1602" customFormat="false" ht="15" hidden="false" customHeight="false" outlineLevel="0" collapsed="false">
      <c r="M1602" s="24" t="str">
        <f aca="false">IF($C1602="","",IFERROR(INDEX(Account_Mapping!$C:$C,MATCH($C1602&amp;"",Account_Mapping!$A:$A,0))&amp;"",""))</f>
        <v/>
      </c>
      <c r="N1602" s="24" t="str">
        <f aca="false">IF($K1602&lt;&gt;"",$K1602,$M1602)</f>
        <v/>
      </c>
      <c r="O1602" s="24" t="str">
        <f aca="false">IF($F1602="","",IFERROR(INDEX(Counterparties!$C:$C,MATCH($F1602&amp;"",Counterparties!$A:$A,0))&amp;"",""))</f>
        <v/>
      </c>
      <c r="P1602" s="24" t="str">
        <f aca="false">IF($O1602="","",IF($O1602="CY","CY",IF(ISNUMBER(MATCH($O1602,Lists!$A:$A,0)),"EU","3RD")))</f>
        <v/>
      </c>
      <c r="Q1602" s="24" t="str">
        <f aca="false">IF($F1602="","N",IFERROR(IF(INDEX(Counterparties!$E:$E,MATCH($F1602&amp;"",Counterparties!$A:$A,0))="Y","Y","N"),"N"))</f>
        <v>N</v>
      </c>
      <c r="R1602" s="25" t="n">
        <f aca="false">IF(OR($H1602="",$H1602="EUR"),1,IFERROR(INDEX(FX_Rates!$D:$D,MATCH($H1602,FX_Rates!$A:$A,0)),""))</f>
        <v>1</v>
      </c>
      <c r="S1602" s="26" t="str">
        <f aca="false">IF(AND($I1602="",$J1602=""),"",IF($J1602&lt;&gt;"",$J1602,IF(OR($R1602="",$R1602=0),"",ROUND($I1602/$R1602,2))))</f>
        <v/>
      </c>
      <c r="T1602" s="24" t="str">
        <f aca="false">IF($N1602="","",IFERROR(INDEX(VAT_Codes!$C:$C,MATCH($N1602,VAT_Codes!$A:$A,0)),"")&amp;"")</f>
        <v/>
      </c>
      <c r="U1602" s="26" t="n">
        <f aca="false">IF(OR($S1602="",$T1602="",$T1602="None"),0,IF($T1602="Output",-$S1602,$S1602))</f>
        <v>0</v>
      </c>
      <c r="V1602" s="27" t="n">
        <f aca="false">IF($N1602="",0,IFERROR(INDEX(VAT_Codes!$D:$D,MATCH($N1602,VAT_Codes!$A:$A,0)),0))</f>
        <v>0</v>
      </c>
      <c r="W1602" s="26" t="n">
        <f aca="false">IF($U1602=0,0,IF(IFERROR(INDEX(VAT_Codes!$F:$F,MATCH($N1602,VAT_Codes!$A:$A,0)),"N")="Y",$U1602,IF($L1602&lt;&gt;"",ROUND(ABS($L1602)/IF(OR($R1602="",$R1602=0),1,$R1602),2)*SIGN($U1602),ROUND($U1602*$V1602,2))))</f>
        <v>0</v>
      </c>
      <c r="X1602" s="24" t="str">
        <f aca="false">IF($N1602="","",IFERROR(INDEX(VAT_Codes!$H:$H,MATCH($N1602,VAT_Codes!$A:$A,0)),"")&amp;"")</f>
        <v/>
      </c>
      <c r="Y1602" s="24" t="str">
        <f aca="false">IF($A1602="","",(YEAR($A1602)-YEAR(Settings!$C$8))*12+MONTH($A1602)-MONTH(Settings!$C$8)+1)</f>
        <v/>
      </c>
      <c r="Z1602" s="24" t="str">
        <f aca="false">IF(AND($C1602="",$I1602="",$J1602=""),"",IF($N1602="","NO VAT CODE",IF($T1602="","UNKNOWN VAT CODE",IF($S1602="","MISSING FX RATE",IF(OR($A1602&lt;Settings!$C$8,$A1602&gt;Settings!$C$9),"OUTSIDE PERIOD",IF(AND(IFERROR(INDEX(VAT_Codes!$E:$E,MATCH($N1602,VAT_Codes!$A:$A,0)),"ANY")&lt;&gt;"ANY",$P1602=""),"MISSING COUNTERPARTY COUNTRY",IF(AND(IFERROR(INDEX(VAT_Codes!$E:$E,MATCH($N1602,VAT_Codes!$A:$A,0)),"ANY")&lt;&gt;"ANY",$P1602&lt;&gt;IFERROR(INDEX(VAT_Codes!$E:$E,MATCH($N1602,VAT_Codes!$A:$A,0)),"ANY")),"REGION MISMATCH","OK")))))))</f>
        <v/>
      </c>
    </row>
    <row r="1603" customFormat="false" ht="15" hidden="false" customHeight="false" outlineLevel="0" collapsed="false">
      <c r="M1603" s="24" t="str">
        <f aca="false">IF($C1603="","",IFERROR(INDEX(Account_Mapping!$C:$C,MATCH($C1603&amp;"",Account_Mapping!$A:$A,0))&amp;"",""))</f>
        <v/>
      </c>
      <c r="N1603" s="24" t="str">
        <f aca="false">IF($K1603&lt;&gt;"",$K1603,$M1603)</f>
        <v/>
      </c>
      <c r="O1603" s="24" t="str">
        <f aca="false">IF($F1603="","",IFERROR(INDEX(Counterparties!$C:$C,MATCH($F1603&amp;"",Counterparties!$A:$A,0))&amp;"",""))</f>
        <v/>
      </c>
      <c r="P1603" s="24" t="str">
        <f aca="false">IF($O1603="","",IF($O1603="CY","CY",IF(ISNUMBER(MATCH($O1603,Lists!$A:$A,0)),"EU","3RD")))</f>
        <v/>
      </c>
      <c r="Q1603" s="24" t="str">
        <f aca="false">IF($F1603="","N",IFERROR(IF(INDEX(Counterparties!$E:$E,MATCH($F1603&amp;"",Counterparties!$A:$A,0))="Y","Y","N"),"N"))</f>
        <v>N</v>
      </c>
      <c r="R1603" s="25" t="n">
        <f aca="false">IF(OR($H1603="",$H1603="EUR"),1,IFERROR(INDEX(FX_Rates!$D:$D,MATCH($H1603,FX_Rates!$A:$A,0)),""))</f>
        <v>1</v>
      </c>
      <c r="S1603" s="26" t="str">
        <f aca="false">IF(AND($I1603="",$J1603=""),"",IF($J1603&lt;&gt;"",$J1603,IF(OR($R1603="",$R1603=0),"",ROUND($I1603/$R1603,2))))</f>
        <v/>
      </c>
      <c r="T1603" s="24" t="str">
        <f aca="false">IF($N1603="","",IFERROR(INDEX(VAT_Codes!$C:$C,MATCH($N1603,VAT_Codes!$A:$A,0)),"")&amp;"")</f>
        <v/>
      </c>
      <c r="U1603" s="26" t="n">
        <f aca="false">IF(OR($S1603="",$T1603="",$T1603="None"),0,IF($T1603="Output",-$S1603,$S1603))</f>
        <v>0</v>
      </c>
      <c r="V1603" s="27" t="n">
        <f aca="false">IF($N1603="",0,IFERROR(INDEX(VAT_Codes!$D:$D,MATCH($N1603,VAT_Codes!$A:$A,0)),0))</f>
        <v>0</v>
      </c>
      <c r="W1603" s="26" t="n">
        <f aca="false">IF($U1603=0,0,IF(IFERROR(INDEX(VAT_Codes!$F:$F,MATCH($N1603,VAT_Codes!$A:$A,0)),"N")="Y",$U1603,IF($L1603&lt;&gt;"",ROUND(ABS($L1603)/IF(OR($R1603="",$R1603=0),1,$R1603),2)*SIGN($U1603),ROUND($U1603*$V1603,2))))</f>
        <v>0</v>
      </c>
      <c r="X1603" s="24" t="str">
        <f aca="false">IF($N1603="","",IFERROR(INDEX(VAT_Codes!$H:$H,MATCH($N1603,VAT_Codes!$A:$A,0)),"")&amp;"")</f>
        <v/>
      </c>
      <c r="Y1603" s="24" t="str">
        <f aca="false">IF($A1603="","",(YEAR($A1603)-YEAR(Settings!$C$8))*12+MONTH($A1603)-MONTH(Settings!$C$8)+1)</f>
        <v/>
      </c>
      <c r="Z1603" s="24" t="str">
        <f aca="false">IF(AND($C1603="",$I1603="",$J1603=""),"",IF($N1603="","NO VAT CODE",IF($T1603="","UNKNOWN VAT CODE",IF($S1603="","MISSING FX RATE",IF(OR($A1603&lt;Settings!$C$8,$A1603&gt;Settings!$C$9),"OUTSIDE PERIOD",IF(AND(IFERROR(INDEX(VAT_Codes!$E:$E,MATCH($N1603,VAT_Codes!$A:$A,0)),"ANY")&lt;&gt;"ANY",$P1603=""),"MISSING COUNTERPARTY COUNTRY",IF(AND(IFERROR(INDEX(VAT_Codes!$E:$E,MATCH($N1603,VAT_Codes!$A:$A,0)),"ANY")&lt;&gt;"ANY",$P1603&lt;&gt;IFERROR(INDEX(VAT_Codes!$E:$E,MATCH($N1603,VAT_Codes!$A:$A,0)),"ANY")),"REGION MISMATCH","OK")))))))</f>
        <v/>
      </c>
    </row>
    <row r="1604" customFormat="false" ht="15" hidden="false" customHeight="false" outlineLevel="0" collapsed="false">
      <c r="M1604" s="24" t="str">
        <f aca="false">IF($C1604="","",IFERROR(INDEX(Account_Mapping!$C:$C,MATCH($C1604&amp;"",Account_Mapping!$A:$A,0))&amp;"",""))</f>
        <v/>
      </c>
      <c r="N1604" s="24" t="str">
        <f aca="false">IF($K1604&lt;&gt;"",$K1604,$M1604)</f>
        <v/>
      </c>
      <c r="O1604" s="24" t="str">
        <f aca="false">IF($F1604="","",IFERROR(INDEX(Counterparties!$C:$C,MATCH($F1604&amp;"",Counterparties!$A:$A,0))&amp;"",""))</f>
        <v/>
      </c>
      <c r="P1604" s="24" t="str">
        <f aca="false">IF($O1604="","",IF($O1604="CY","CY",IF(ISNUMBER(MATCH($O1604,Lists!$A:$A,0)),"EU","3RD")))</f>
        <v/>
      </c>
      <c r="Q1604" s="24" t="str">
        <f aca="false">IF($F1604="","N",IFERROR(IF(INDEX(Counterparties!$E:$E,MATCH($F1604&amp;"",Counterparties!$A:$A,0))="Y","Y","N"),"N"))</f>
        <v>N</v>
      </c>
      <c r="R1604" s="25" t="n">
        <f aca="false">IF(OR($H1604="",$H1604="EUR"),1,IFERROR(INDEX(FX_Rates!$D:$D,MATCH($H1604,FX_Rates!$A:$A,0)),""))</f>
        <v>1</v>
      </c>
      <c r="S1604" s="26" t="str">
        <f aca="false">IF(AND($I1604="",$J1604=""),"",IF($J1604&lt;&gt;"",$J1604,IF(OR($R1604="",$R1604=0),"",ROUND($I1604/$R1604,2))))</f>
        <v/>
      </c>
      <c r="T1604" s="24" t="str">
        <f aca="false">IF($N1604="","",IFERROR(INDEX(VAT_Codes!$C:$C,MATCH($N1604,VAT_Codes!$A:$A,0)),"")&amp;"")</f>
        <v/>
      </c>
      <c r="U1604" s="26" t="n">
        <f aca="false">IF(OR($S1604="",$T1604="",$T1604="None"),0,IF($T1604="Output",-$S1604,$S1604))</f>
        <v>0</v>
      </c>
      <c r="V1604" s="27" t="n">
        <f aca="false">IF($N1604="",0,IFERROR(INDEX(VAT_Codes!$D:$D,MATCH($N1604,VAT_Codes!$A:$A,0)),0))</f>
        <v>0</v>
      </c>
      <c r="W1604" s="26" t="n">
        <f aca="false">IF($U1604=0,0,IF(IFERROR(INDEX(VAT_Codes!$F:$F,MATCH($N1604,VAT_Codes!$A:$A,0)),"N")="Y",$U1604,IF($L1604&lt;&gt;"",ROUND(ABS($L1604)/IF(OR($R1604="",$R1604=0),1,$R1604),2)*SIGN($U1604),ROUND($U1604*$V1604,2))))</f>
        <v>0</v>
      </c>
      <c r="X1604" s="24" t="str">
        <f aca="false">IF($N1604="","",IFERROR(INDEX(VAT_Codes!$H:$H,MATCH($N1604,VAT_Codes!$A:$A,0)),"")&amp;"")</f>
        <v/>
      </c>
      <c r="Y1604" s="24" t="str">
        <f aca="false">IF($A1604="","",(YEAR($A1604)-YEAR(Settings!$C$8))*12+MONTH($A1604)-MONTH(Settings!$C$8)+1)</f>
        <v/>
      </c>
      <c r="Z1604" s="24" t="str">
        <f aca="false">IF(AND($C1604="",$I1604="",$J1604=""),"",IF($N1604="","NO VAT CODE",IF($T1604="","UNKNOWN VAT CODE",IF($S1604="","MISSING FX RATE",IF(OR($A1604&lt;Settings!$C$8,$A1604&gt;Settings!$C$9),"OUTSIDE PERIOD",IF(AND(IFERROR(INDEX(VAT_Codes!$E:$E,MATCH($N1604,VAT_Codes!$A:$A,0)),"ANY")&lt;&gt;"ANY",$P1604=""),"MISSING COUNTERPARTY COUNTRY",IF(AND(IFERROR(INDEX(VAT_Codes!$E:$E,MATCH($N1604,VAT_Codes!$A:$A,0)),"ANY")&lt;&gt;"ANY",$P1604&lt;&gt;IFERROR(INDEX(VAT_Codes!$E:$E,MATCH($N1604,VAT_Codes!$A:$A,0)),"ANY")),"REGION MISMATCH","OK")))))))</f>
        <v/>
      </c>
    </row>
    <row r="1605" customFormat="false" ht="15" hidden="false" customHeight="false" outlineLevel="0" collapsed="false">
      <c r="M1605" s="24" t="str">
        <f aca="false">IF($C1605="","",IFERROR(INDEX(Account_Mapping!$C:$C,MATCH($C1605&amp;"",Account_Mapping!$A:$A,0))&amp;"",""))</f>
        <v/>
      </c>
      <c r="N1605" s="24" t="str">
        <f aca="false">IF($K1605&lt;&gt;"",$K1605,$M1605)</f>
        <v/>
      </c>
      <c r="O1605" s="24" t="str">
        <f aca="false">IF($F1605="","",IFERROR(INDEX(Counterparties!$C:$C,MATCH($F1605&amp;"",Counterparties!$A:$A,0))&amp;"",""))</f>
        <v/>
      </c>
      <c r="P1605" s="24" t="str">
        <f aca="false">IF($O1605="","",IF($O1605="CY","CY",IF(ISNUMBER(MATCH($O1605,Lists!$A:$A,0)),"EU","3RD")))</f>
        <v/>
      </c>
      <c r="Q1605" s="24" t="str">
        <f aca="false">IF($F1605="","N",IFERROR(IF(INDEX(Counterparties!$E:$E,MATCH($F1605&amp;"",Counterparties!$A:$A,0))="Y","Y","N"),"N"))</f>
        <v>N</v>
      </c>
      <c r="R1605" s="25" t="n">
        <f aca="false">IF(OR($H1605="",$H1605="EUR"),1,IFERROR(INDEX(FX_Rates!$D:$D,MATCH($H1605,FX_Rates!$A:$A,0)),""))</f>
        <v>1</v>
      </c>
      <c r="S1605" s="26" t="str">
        <f aca="false">IF(AND($I1605="",$J1605=""),"",IF($J1605&lt;&gt;"",$J1605,IF(OR($R1605="",$R1605=0),"",ROUND($I1605/$R1605,2))))</f>
        <v/>
      </c>
      <c r="T1605" s="24" t="str">
        <f aca="false">IF($N1605="","",IFERROR(INDEX(VAT_Codes!$C:$C,MATCH($N1605,VAT_Codes!$A:$A,0)),"")&amp;"")</f>
        <v/>
      </c>
      <c r="U1605" s="26" t="n">
        <f aca="false">IF(OR($S1605="",$T1605="",$T1605="None"),0,IF($T1605="Output",-$S1605,$S1605))</f>
        <v>0</v>
      </c>
      <c r="V1605" s="27" t="n">
        <f aca="false">IF($N1605="",0,IFERROR(INDEX(VAT_Codes!$D:$D,MATCH($N1605,VAT_Codes!$A:$A,0)),0))</f>
        <v>0</v>
      </c>
      <c r="W1605" s="26" t="n">
        <f aca="false">IF($U1605=0,0,IF(IFERROR(INDEX(VAT_Codes!$F:$F,MATCH($N1605,VAT_Codes!$A:$A,0)),"N")="Y",$U1605,IF($L1605&lt;&gt;"",ROUND(ABS($L1605)/IF(OR($R1605="",$R1605=0),1,$R1605),2)*SIGN($U1605),ROUND($U1605*$V1605,2))))</f>
        <v>0</v>
      </c>
      <c r="X1605" s="24" t="str">
        <f aca="false">IF($N1605="","",IFERROR(INDEX(VAT_Codes!$H:$H,MATCH($N1605,VAT_Codes!$A:$A,0)),"")&amp;"")</f>
        <v/>
      </c>
      <c r="Y1605" s="24" t="str">
        <f aca="false">IF($A1605="","",(YEAR($A1605)-YEAR(Settings!$C$8))*12+MONTH($A1605)-MONTH(Settings!$C$8)+1)</f>
        <v/>
      </c>
      <c r="Z1605" s="24" t="str">
        <f aca="false">IF(AND($C1605="",$I1605="",$J1605=""),"",IF($N1605="","NO VAT CODE",IF($T1605="","UNKNOWN VAT CODE",IF($S1605="","MISSING FX RATE",IF(OR($A1605&lt;Settings!$C$8,$A1605&gt;Settings!$C$9),"OUTSIDE PERIOD",IF(AND(IFERROR(INDEX(VAT_Codes!$E:$E,MATCH($N1605,VAT_Codes!$A:$A,0)),"ANY")&lt;&gt;"ANY",$P1605=""),"MISSING COUNTERPARTY COUNTRY",IF(AND(IFERROR(INDEX(VAT_Codes!$E:$E,MATCH($N1605,VAT_Codes!$A:$A,0)),"ANY")&lt;&gt;"ANY",$P1605&lt;&gt;IFERROR(INDEX(VAT_Codes!$E:$E,MATCH($N1605,VAT_Codes!$A:$A,0)),"ANY")),"REGION MISMATCH","OK")))))))</f>
        <v/>
      </c>
    </row>
    <row r="1606" customFormat="false" ht="15" hidden="false" customHeight="false" outlineLevel="0" collapsed="false">
      <c r="M1606" s="24" t="str">
        <f aca="false">IF($C1606="","",IFERROR(INDEX(Account_Mapping!$C:$C,MATCH($C1606&amp;"",Account_Mapping!$A:$A,0))&amp;"",""))</f>
        <v/>
      </c>
      <c r="N1606" s="24" t="str">
        <f aca="false">IF($K1606&lt;&gt;"",$K1606,$M1606)</f>
        <v/>
      </c>
      <c r="O1606" s="24" t="str">
        <f aca="false">IF($F1606="","",IFERROR(INDEX(Counterparties!$C:$C,MATCH($F1606&amp;"",Counterparties!$A:$A,0))&amp;"",""))</f>
        <v/>
      </c>
      <c r="P1606" s="24" t="str">
        <f aca="false">IF($O1606="","",IF($O1606="CY","CY",IF(ISNUMBER(MATCH($O1606,Lists!$A:$A,0)),"EU","3RD")))</f>
        <v/>
      </c>
      <c r="Q1606" s="24" t="str">
        <f aca="false">IF($F1606="","N",IFERROR(IF(INDEX(Counterparties!$E:$E,MATCH($F1606&amp;"",Counterparties!$A:$A,0))="Y","Y","N"),"N"))</f>
        <v>N</v>
      </c>
      <c r="R1606" s="25" t="n">
        <f aca="false">IF(OR($H1606="",$H1606="EUR"),1,IFERROR(INDEX(FX_Rates!$D:$D,MATCH($H1606,FX_Rates!$A:$A,0)),""))</f>
        <v>1</v>
      </c>
      <c r="S1606" s="26" t="str">
        <f aca="false">IF(AND($I1606="",$J1606=""),"",IF($J1606&lt;&gt;"",$J1606,IF(OR($R1606="",$R1606=0),"",ROUND($I1606/$R1606,2))))</f>
        <v/>
      </c>
      <c r="T1606" s="24" t="str">
        <f aca="false">IF($N1606="","",IFERROR(INDEX(VAT_Codes!$C:$C,MATCH($N1606,VAT_Codes!$A:$A,0)),"")&amp;"")</f>
        <v/>
      </c>
      <c r="U1606" s="26" t="n">
        <f aca="false">IF(OR($S1606="",$T1606="",$T1606="None"),0,IF($T1606="Output",-$S1606,$S1606))</f>
        <v>0</v>
      </c>
      <c r="V1606" s="27" t="n">
        <f aca="false">IF($N1606="",0,IFERROR(INDEX(VAT_Codes!$D:$D,MATCH($N1606,VAT_Codes!$A:$A,0)),0))</f>
        <v>0</v>
      </c>
      <c r="W1606" s="26" t="n">
        <f aca="false">IF($U1606=0,0,IF(IFERROR(INDEX(VAT_Codes!$F:$F,MATCH($N1606,VAT_Codes!$A:$A,0)),"N")="Y",$U1606,IF($L1606&lt;&gt;"",ROUND(ABS($L1606)/IF(OR($R1606="",$R1606=0),1,$R1606),2)*SIGN($U1606),ROUND($U1606*$V1606,2))))</f>
        <v>0</v>
      </c>
      <c r="X1606" s="24" t="str">
        <f aca="false">IF($N1606="","",IFERROR(INDEX(VAT_Codes!$H:$H,MATCH($N1606,VAT_Codes!$A:$A,0)),"")&amp;"")</f>
        <v/>
      </c>
      <c r="Y1606" s="24" t="str">
        <f aca="false">IF($A1606="","",(YEAR($A1606)-YEAR(Settings!$C$8))*12+MONTH($A1606)-MONTH(Settings!$C$8)+1)</f>
        <v/>
      </c>
      <c r="Z1606" s="24" t="str">
        <f aca="false">IF(AND($C1606="",$I1606="",$J1606=""),"",IF($N1606="","NO VAT CODE",IF($T1606="","UNKNOWN VAT CODE",IF($S1606="","MISSING FX RATE",IF(OR($A1606&lt;Settings!$C$8,$A1606&gt;Settings!$C$9),"OUTSIDE PERIOD",IF(AND(IFERROR(INDEX(VAT_Codes!$E:$E,MATCH($N1606,VAT_Codes!$A:$A,0)),"ANY")&lt;&gt;"ANY",$P1606=""),"MISSING COUNTERPARTY COUNTRY",IF(AND(IFERROR(INDEX(VAT_Codes!$E:$E,MATCH($N1606,VAT_Codes!$A:$A,0)),"ANY")&lt;&gt;"ANY",$P1606&lt;&gt;IFERROR(INDEX(VAT_Codes!$E:$E,MATCH($N1606,VAT_Codes!$A:$A,0)),"ANY")),"REGION MISMATCH","OK")))))))</f>
        <v/>
      </c>
    </row>
    <row r="1607" customFormat="false" ht="15" hidden="false" customHeight="false" outlineLevel="0" collapsed="false">
      <c r="M1607" s="24" t="str">
        <f aca="false">IF($C1607="","",IFERROR(INDEX(Account_Mapping!$C:$C,MATCH($C1607&amp;"",Account_Mapping!$A:$A,0))&amp;"",""))</f>
        <v/>
      </c>
      <c r="N1607" s="24" t="str">
        <f aca="false">IF($K1607&lt;&gt;"",$K1607,$M1607)</f>
        <v/>
      </c>
      <c r="O1607" s="24" t="str">
        <f aca="false">IF($F1607="","",IFERROR(INDEX(Counterparties!$C:$C,MATCH($F1607&amp;"",Counterparties!$A:$A,0))&amp;"",""))</f>
        <v/>
      </c>
      <c r="P1607" s="24" t="str">
        <f aca="false">IF($O1607="","",IF($O1607="CY","CY",IF(ISNUMBER(MATCH($O1607,Lists!$A:$A,0)),"EU","3RD")))</f>
        <v/>
      </c>
      <c r="Q1607" s="24" t="str">
        <f aca="false">IF($F1607="","N",IFERROR(IF(INDEX(Counterparties!$E:$E,MATCH($F1607&amp;"",Counterparties!$A:$A,0))="Y","Y","N"),"N"))</f>
        <v>N</v>
      </c>
      <c r="R1607" s="25" t="n">
        <f aca="false">IF(OR($H1607="",$H1607="EUR"),1,IFERROR(INDEX(FX_Rates!$D:$D,MATCH($H1607,FX_Rates!$A:$A,0)),""))</f>
        <v>1</v>
      </c>
      <c r="S1607" s="26" t="str">
        <f aca="false">IF(AND($I1607="",$J1607=""),"",IF($J1607&lt;&gt;"",$J1607,IF(OR($R1607="",$R1607=0),"",ROUND($I1607/$R1607,2))))</f>
        <v/>
      </c>
      <c r="T1607" s="24" t="str">
        <f aca="false">IF($N1607="","",IFERROR(INDEX(VAT_Codes!$C:$C,MATCH($N1607,VAT_Codes!$A:$A,0)),"")&amp;"")</f>
        <v/>
      </c>
      <c r="U1607" s="26" t="n">
        <f aca="false">IF(OR($S1607="",$T1607="",$T1607="None"),0,IF($T1607="Output",-$S1607,$S1607))</f>
        <v>0</v>
      </c>
      <c r="V1607" s="27" t="n">
        <f aca="false">IF($N1607="",0,IFERROR(INDEX(VAT_Codes!$D:$D,MATCH($N1607,VAT_Codes!$A:$A,0)),0))</f>
        <v>0</v>
      </c>
      <c r="W1607" s="26" t="n">
        <f aca="false">IF($U1607=0,0,IF(IFERROR(INDEX(VAT_Codes!$F:$F,MATCH($N1607,VAT_Codes!$A:$A,0)),"N")="Y",$U1607,IF($L1607&lt;&gt;"",ROUND(ABS($L1607)/IF(OR($R1607="",$R1607=0),1,$R1607),2)*SIGN($U1607),ROUND($U1607*$V1607,2))))</f>
        <v>0</v>
      </c>
      <c r="X1607" s="24" t="str">
        <f aca="false">IF($N1607="","",IFERROR(INDEX(VAT_Codes!$H:$H,MATCH($N1607,VAT_Codes!$A:$A,0)),"")&amp;"")</f>
        <v/>
      </c>
      <c r="Y1607" s="24" t="str">
        <f aca="false">IF($A1607="","",(YEAR($A1607)-YEAR(Settings!$C$8))*12+MONTH($A1607)-MONTH(Settings!$C$8)+1)</f>
        <v/>
      </c>
      <c r="Z1607" s="24" t="str">
        <f aca="false">IF(AND($C1607="",$I1607="",$J1607=""),"",IF($N1607="","NO VAT CODE",IF($T1607="","UNKNOWN VAT CODE",IF($S1607="","MISSING FX RATE",IF(OR($A1607&lt;Settings!$C$8,$A1607&gt;Settings!$C$9),"OUTSIDE PERIOD",IF(AND(IFERROR(INDEX(VAT_Codes!$E:$E,MATCH($N1607,VAT_Codes!$A:$A,0)),"ANY")&lt;&gt;"ANY",$P1607=""),"MISSING COUNTERPARTY COUNTRY",IF(AND(IFERROR(INDEX(VAT_Codes!$E:$E,MATCH($N1607,VAT_Codes!$A:$A,0)),"ANY")&lt;&gt;"ANY",$P1607&lt;&gt;IFERROR(INDEX(VAT_Codes!$E:$E,MATCH($N1607,VAT_Codes!$A:$A,0)),"ANY")),"REGION MISMATCH","OK")))))))</f>
        <v/>
      </c>
    </row>
    <row r="1608" customFormat="false" ht="15" hidden="false" customHeight="false" outlineLevel="0" collapsed="false">
      <c r="M1608" s="24" t="str">
        <f aca="false">IF($C1608="","",IFERROR(INDEX(Account_Mapping!$C:$C,MATCH($C1608&amp;"",Account_Mapping!$A:$A,0))&amp;"",""))</f>
        <v/>
      </c>
      <c r="N1608" s="24" t="str">
        <f aca="false">IF($K1608&lt;&gt;"",$K1608,$M1608)</f>
        <v/>
      </c>
      <c r="O1608" s="24" t="str">
        <f aca="false">IF($F1608="","",IFERROR(INDEX(Counterparties!$C:$C,MATCH($F1608&amp;"",Counterparties!$A:$A,0))&amp;"",""))</f>
        <v/>
      </c>
      <c r="P1608" s="24" t="str">
        <f aca="false">IF($O1608="","",IF($O1608="CY","CY",IF(ISNUMBER(MATCH($O1608,Lists!$A:$A,0)),"EU","3RD")))</f>
        <v/>
      </c>
      <c r="Q1608" s="24" t="str">
        <f aca="false">IF($F1608="","N",IFERROR(IF(INDEX(Counterparties!$E:$E,MATCH($F1608&amp;"",Counterparties!$A:$A,0))="Y","Y","N"),"N"))</f>
        <v>N</v>
      </c>
      <c r="R1608" s="25" t="n">
        <f aca="false">IF(OR($H1608="",$H1608="EUR"),1,IFERROR(INDEX(FX_Rates!$D:$D,MATCH($H1608,FX_Rates!$A:$A,0)),""))</f>
        <v>1</v>
      </c>
      <c r="S1608" s="26" t="str">
        <f aca="false">IF(AND($I1608="",$J1608=""),"",IF($J1608&lt;&gt;"",$J1608,IF(OR($R1608="",$R1608=0),"",ROUND($I1608/$R1608,2))))</f>
        <v/>
      </c>
      <c r="T1608" s="24" t="str">
        <f aca="false">IF($N1608="","",IFERROR(INDEX(VAT_Codes!$C:$C,MATCH($N1608,VAT_Codes!$A:$A,0)),"")&amp;"")</f>
        <v/>
      </c>
      <c r="U1608" s="26" t="n">
        <f aca="false">IF(OR($S1608="",$T1608="",$T1608="None"),0,IF($T1608="Output",-$S1608,$S1608))</f>
        <v>0</v>
      </c>
      <c r="V1608" s="27" t="n">
        <f aca="false">IF($N1608="",0,IFERROR(INDEX(VAT_Codes!$D:$D,MATCH($N1608,VAT_Codes!$A:$A,0)),0))</f>
        <v>0</v>
      </c>
      <c r="W1608" s="26" t="n">
        <f aca="false">IF($U1608=0,0,IF(IFERROR(INDEX(VAT_Codes!$F:$F,MATCH($N1608,VAT_Codes!$A:$A,0)),"N")="Y",$U1608,IF($L1608&lt;&gt;"",ROUND(ABS($L1608)/IF(OR($R1608="",$R1608=0),1,$R1608),2)*SIGN($U1608),ROUND($U1608*$V1608,2))))</f>
        <v>0</v>
      </c>
      <c r="X1608" s="24" t="str">
        <f aca="false">IF($N1608="","",IFERROR(INDEX(VAT_Codes!$H:$H,MATCH($N1608,VAT_Codes!$A:$A,0)),"")&amp;"")</f>
        <v/>
      </c>
      <c r="Y1608" s="24" t="str">
        <f aca="false">IF($A1608="","",(YEAR($A1608)-YEAR(Settings!$C$8))*12+MONTH($A1608)-MONTH(Settings!$C$8)+1)</f>
        <v/>
      </c>
      <c r="Z1608" s="24" t="str">
        <f aca="false">IF(AND($C1608="",$I1608="",$J1608=""),"",IF($N1608="","NO VAT CODE",IF($T1608="","UNKNOWN VAT CODE",IF($S1608="","MISSING FX RATE",IF(OR($A1608&lt;Settings!$C$8,$A1608&gt;Settings!$C$9),"OUTSIDE PERIOD",IF(AND(IFERROR(INDEX(VAT_Codes!$E:$E,MATCH($N1608,VAT_Codes!$A:$A,0)),"ANY")&lt;&gt;"ANY",$P1608=""),"MISSING COUNTERPARTY COUNTRY",IF(AND(IFERROR(INDEX(VAT_Codes!$E:$E,MATCH($N1608,VAT_Codes!$A:$A,0)),"ANY")&lt;&gt;"ANY",$P1608&lt;&gt;IFERROR(INDEX(VAT_Codes!$E:$E,MATCH($N1608,VAT_Codes!$A:$A,0)),"ANY")),"REGION MISMATCH","OK")))))))</f>
        <v/>
      </c>
    </row>
    <row r="1609" customFormat="false" ht="15" hidden="false" customHeight="false" outlineLevel="0" collapsed="false">
      <c r="M1609" s="24" t="str">
        <f aca="false">IF($C1609="","",IFERROR(INDEX(Account_Mapping!$C:$C,MATCH($C1609&amp;"",Account_Mapping!$A:$A,0))&amp;"",""))</f>
        <v/>
      </c>
      <c r="N1609" s="24" t="str">
        <f aca="false">IF($K1609&lt;&gt;"",$K1609,$M1609)</f>
        <v/>
      </c>
      <c r="O1609" s="24" t="str">
        <f aca="false">IF($F1609="","",IFERROR(INDEX(Counterparties!$C:$C,MATCH($F1609&amp;"",Counterparties!$A:$A,0))&amp;"",""))</f>
        <v/>
      </c>
      <c r="P1609" s="24" t="str">
        <f aca="false">IF($O1609="","",IF($O1609="CY","CY",IF(ISNUMBER(MATCH($O1609,Lists!$A:$A,0)),"EU","3RD")))</f>
        <v/>
      </c>
      <c r="Q1609" s="24" t="str">
        <f aca="false">IF($F1609="","N",IFERROR(IF(INDEX(Counterparties!$E:$E,MATCH($F1609&amp;"",Counterparties!$A:$A,0))="Y","Y","N"),"N"))</f>
        <v>N</v>
      </c>
      <c r="R1609" s="25" t="n">
        <f aca="false">IF(OR($H1609="",$H1609="EUR"),1,IFERROR(INDEX(FX_Rates!$D:$D,MATCH($H1609,FX_Rates!$A:$A,0)),""))</f>
        <v>1</v>
      </c>
      <c r="S1609" s="26" t="str">
        <f aca="false">IF(AND($I1609="",$J1609=""),"",IF($J1609&lt;&gt;"",$J1609,IF(OR($R1609="",$R1609=0),"",ROUND($I1609/$R1609,2))))</f>
        <v/>
      </c>
      <c r="T1609" s="24" t="str">
        <f aca="false">IF($N1609="","",IFERROR(INDEX(VAT_Codes!$C:$C,MATCH($N1609,VAT_Codes!$A:$A,0)),"")&amp;"")</f>
        <v/>
      </c>
      <c r="U1609" s="26" t="n">
        <f aca="false">IF(OR($S1609="",$T1609="",$T1609="None"),0,IF($T1609="Output",-$S1609,$S1609))</f>
        <v>0</v>
      </c>
      <c r="V1609" s="27" t="n">
        <f aca="false">IF($N1609="",0,IFERROR(INDEX(VAT_Codes!$D:$D,MATCH($N1609,VAT_Codes!$A:$A,0)),0))</f>
        <v>0</v>
      </c>
      <c r="W1609" s="26" t="n">
        <f aca="false">IF($U1609=0,0,IF(IFERROR(INDEX(VAT_Codes!$F:$F,MATCH($N1609,VAT_Codes!$A:$A,0)),"N")="Y",$U1609,IF($L1609&lt;&gt;"",ROUND(ABS($L1609)/IF(OR($R1609="",$R1609=0),1,$R1609),2)*SIGN($U1609),ROUND($U1609*$V1609,2))))</f>
        <v>0</v>
      </c>
      <c r="X1609" s="24" t="str">
        <f aca="false">IF($N1609="","",IFERROR(INDEX(VAT_Codes!$H:$H,MATCH($N1609,VAT_Codes!$A:$A,0)),"")&amp;"")</f>
        <v/>
      </c>
      <c r="Y1609" s="24" t="str">
        <f aca="false">IF($A1609="","",(YEAR($A1609)-YEAR(Settings!$C$8))*12+MONTH($A1609)-MONTH(Settings!$C$8)+1)</f>
        <v/>
      </c>
      <c r="Z1609" s="24" t="str">
        <f aca="false">IF(AND($C1609="",$I1609="",$J1609=""),"",IF($N1609="","NO VAT CODE",IF($T1609="","UNKNOWN VAT CODE",IF($S1609="","MISSING FX RATE",IF(OR($A1609&lt;Settings!$C$8,$A1609&gt;Settings!$C$9),"OUTSIDE PERIOD",IF(AND(IFERROR(INDEX(VAT_Codes!$E:$E,MATCH($N1609,VAT_Codes!$A:$A,0)),"ANY")&lt;&gt;"ANY",$P1609=""),"MISSING COUNTERPARTY COUNTRY",IF(AND(IFERROR(INDEX(VAT_Codes!$E:$E,MATCH($N1609,VAT_Codes!$A:$A,0)),"ANY")&lt;&gt;"ANY",$P1609&lt;&gt;IFERROR(INDEX(VAT_Codes!$E:$E,MATCH($N1609,VAT_Codes!$A:$A,0)),"ANY")),"REGION MISMATCH","OK")))))))</f>
        <v/>
      </c>
    </row>
    <row r="1610" customFormat="false" ht="15" hidden="false" customHeight="false" outlineLevel="0" collapsed="false">
      <c r="M1610" s="24" t="str">
        <f aca="false">IF($C1610="","",IFERROR(INDEX(Account_Mapping!$C:$C,MATCH($C1610&amp;"",Account_Mapping!$A:$A,0))&amp;"",""))</f>
        <v/>
      </c>
      <c r="N1610" s="24" t="str">
        <f aca="false">IF($K1610&lt;&gt;"",$K1610,$M1610)</f>
        <v/>
      </c>
      <c r="O1610" s="24" t="str">
        <f aca="false">IF($F1610="","",IFERROR(INDEX(Counterparties!$C:$C,MATCH($F1610&amp;"",Counterparties!$A:$A,0))&amp;"",""))</f>
        <v/>
      </c>
      <c r="P1610" s="24" t="str">
        <f aca="false">IF($O1610="","",IF($O1610="CY","CY",IF(ISNUMBER(MATCH($O1610,Lists!$A:$A,0)),"EU","3RD")))</f>
        <v/>
      </c>
      <c r="Q1610" s="24" t="str">
        <f aca="false">IF($F1610="","N",IFERROR(IF(INDEX(Counterparties!$E:$E,MATCH($F1610&amp;"",Counterparties!$A:$A,0))="Y","Y","N"),"N"))</f>
        <v>N</v>
      </c>
      <c r="R1610" s="25" t="n">
        <f aca="false">IF(OR($H1610="",$H1610="EUR"),1,IFERROR(INDEX(FX_Rates!$D:$D,MATCH($H1610,FX_Rates!$A:$A,0)),""))</f>
        <v>1</v>
      </c>
      <c r="S1610" s="26" t="str">
        <f aca="false">IF(AND($I1610="",$J1610=""),"",IF($J1610&lt;&gt;"",$J1610,IF(OR($R1610="",$R1610=0),"",ROUND($I1610/$R1610,2))))</f>
        <v/>
      </c>
      <c r="T1610" s="24" t="str">
        <f aca="false">IF($N1610="","",IFERROR(INDEX(VAT_Codes!$C:$C,MATCH($N1610,VAT_Codes!$A:$A,0)),"")&amp;"")</f>
        <v/>
      </c>
      <c r="U1610" s="26" t="n">
        <f aca="false">IF(OR($S1610="",$T1610="",$T1610="None"),0,IF($T1610="Output",-$S1610,$S1610))</f>
        <v>0</v>
      </c>
      <c r="V1610" s="27" t="n">
        <f aca="false">IF($N1610="",0,IFERROR(INDEX(VAT_Codes!$D:$D,MATCH($N1610,VAT_Codes!$A:$A,0)),0))</f>
        <v>0</v>
      </c>
      <c r="W1610" s="26" t="n">
        <f aca="false">IF($U1610=0,0,IF(IFERROR(INDEX(VAT_Codes!$F:$F,MATCH($N1610,VAT_Codes!$A:$A,0)),"N")="Y",$U1610,IF($L1610&lt;&gt;"",ROUND(ABS($L1610)/IF(OR($R1610="",$R1610=0),1,$R1610),2)*SIGN($U1610),ROUND($U1610*$V1610,2))))</f>
        <v>0</v>
      </c>
      <c r="X1610" s="24" t="str">
        <f aca="false">IF($N1610="","",IFERROR(INDEX(VAT_Codes!$H:$H,MATCH($N1610,VAT_Codes!$A:$A,0)),"")&amp;"")</f>
        <v/>
      </c>
      <c r="Y1610" s="24" t="str">
        <f aca="false">IF($A1610="","",(YEAR($A1610)-YEAR(Settings!$C$8))*12+MONTH($A1610)-MONTH(Settings!$C$8)+1)</f>
        <v/>
      </c>
      <c r="Z1610" s="24" t="str">
        <f aca="false">IF(AND($C1610="",$I1610="",$J1610=""),"",IF($N1610="","NO VAT CODE",IF($T1610="","UNKNOWN VAT CODE",IF($S1610="","MISSING FX RATE",IF(OR($A1610&lt;Settings!$C$8,$A1610&gt;Settings!$C$9),"OUTSIDE PERIOD",IF(AND(IFERROR(INDEX(VAT_Codes!$E:$E,MATCH($N1610,VAT_Codes!$A:$A,0)),"ANY")&lt;&gt;"ANY",$P1610=""),"MISSING COUNTERPARTY COUNTRY",IF(AND(IFERROR(INDEX(VAT_Codes!$E:$E,MATCH($N1610,VAT_Codes!$A:$A,0)),"ANY")&lt;&gt;"ANY",$P1610&lt;&gt;IFERROR(INDEX(VAT_Codes!$E:$E,MATCH($N1610,VAT_Codes!$A:$A,0)),"ANY")),"REGION MISMATCH","OK")))))))</f>
        <v/>
      </c>
    </row>
    <row r="1611" customFormat="false" ht="15" hidden="false" customHeight="false" outlineLevel="0" collapsed="false">
      <c r="M1611" s="24" t="str">
        <f aca="false">IF($C1611="","",IFERROR(INDEX(Account_Mapping!$C:$C,MATCH($C1611&amp;"",Account_Mapping!$A:$A,0))&amp;"",""))</f>
        <v/>
      </c>
      <c r="N1611" s="24" t="str">
        <f aca="false">IF($K1611&lt;&gt;"",$K1611,$M1611)</f>
        <v/>
      </c>
      <c r="O1611" s="24" t="str">
        <f aca="false">IF($F1611="","",IFERROR(INDEX(Counterparties!$C:$C,MATCH($F1611&amp;"",Counterparties!$A:$A,0))&amp;"",""))</f>
        <v/>
      </c>
      <c r="P1611" s="24" t="str">
        <f aca="false">IF($O1611="","",IF($O1611="CY","CY",IF(ISNUMBER(MATCH($O1611,Lists!$A:$A,0)),"EU","3RD")))</f>
        <v/>
      </c>
      <c r="Q1611" s="24" t="str">
        <f aca="false">IF($F1611="","N",IFERROR(IF(INDEX(Counterparties!$E:$E,MATCH($F1611&amp;"",Counterparties!$A:$A,0))="Y","Y","N"),"N"))</f>
        <v>N</v>
      </c>
      <c r="R1611" s="25" t="n">
        <f aca="false">IF(OR($H1611="",$H1611="EUR"),1,IFERROR(INDEX(FX_Rates!$D:$D,MATCH($H1611,FX_Rates!$A:$A,0)),""))</f>
        <v>1</v>
      </c>
      <c r="S1611" s="26" t="str">
        <f aca="false">IF(AND($I1611="",$J1611=""),"",IF($J1611&lt;&gt;"",$J1611,IF(OR($R1611="",$R1611=0),"",ROUND($I1611/$R1611,2))))</f>
        <v/>
      </c>
      <c r="T1611" s="24" t="str">
        <f aca="false">IF($N1611="","",IFERROR(INDEX(VAT_Codes!$C:$C,MATCH($N1611,VAT_Codes!$A:$A,0)),"")&amp;"")</f>
        <v/>
      </c>
      <c r="U1611" s="26" t="n">
        <f aca="false">IF(OR($S1611="",$T1611="",$T1611="None"),0,IF($T1611="Output",-$S1611,$S1611))</f>
        <v>0</v>
      </c>
      <c r="V1611" s="27" t="n">
        <f aca="false">IF($N1611="",0,IFERROR(INDEX(VAT_Codes!$D:$D,MATCH($N1611,VAT_Codes!$A:$A,0)),0))</f>
        <v>0</v>
      </c>
      <c r="W1611" s="26" t="n">
        <f aca="false">IF($U1611=0,0,IF(IFERROR(INDEX(VAT_Codes!$F:$F,MATCH($N1611,VAT_Codes!$A:$A,0)),"N")="Y",$U1611,IF($L1611&lt;&gt;"",ROUND(ABS($L1611)/IF(OR($R1611="",$R1611=0),1,$R1611),2)*SIGN($U1611),ROUND($U1611*$V1611,2))))</f>
        <v>0</v>
      </c>
      <c r="X1611" s="24" t="str">
        <f aca="false">IF($N1611="","",IFERROR(INDEX(VAT_Codes!$H:$H,MATCH($N1611,VAT_Codes!$A:$A,0)),"")&amp;"")</f>
        <v/>
      </c>
      <c r="Y1611" s="24" t="str">
        <f aca="false">IF($A1611="","",(YEAR($A1611)-YEAR(Settings!$C$8))*12+MONTH($A1611)-MONTH(Settings!$C$8)+1)</f>
        <v/>
      </c>
      <c r="Z1611" s="24" t="str">
        <f aca="false">IF(AND($C1611="",$I1611="",$J1611=""),"",IF($N1611="","NO VAT CODE",IF($T1611="","UNKNOWN VAT CODE",IF($S1611="","MISSING FX RATE",IF(OR($A1611&lt;Settings!$C$8,$A1611&gt;Settings!$C$9),"OUTSIDE PERIOD",IF(AND(IFERROR(INDEX(VAT_Codes!$E:$E,MATCH($N1611,VAT_Codes!$A:$A,0)),"ANY")&lt;&gt;"ANY",$P1611=""),"MISSING COUNTERPARTY COUNTRY",IF(AND(IFERROR(INDEX(VAT_Codes!$E:$E,MATCH($N1611,VAT_Codes!$A:$A,0)),"ANY")&lt;&gt;"ANY",$P1611&lt;&gt;IFERROR(INDEX(VAT_Codes!$E:$E,MATCH($N1611,VAT_Codes!$A:$A,0)),"ANY")),"REGION MISMATCH","OK")))))))</f>
        <v/>
      </c>
    </row>
    <row r="1612" customFormat="false" ht="15" hidden="false" customHeight="false" outlineLevel="0" collapsed="false">
      <c r="M1612" s="24" t="str">
        <f aca="false">IF($C1612="","",IFERROR(INDEX(Account_Mapping!$C:$C,MATCH($C1612&amp;"",Account_Mapping!$A:$A,0))&amp;"",""))</f>
        <v/>
      </c>
      <c r="N1612" s="24" t="str">
        <f aca="false">IF($K1612&lt;&gt;"",$K1612,$M1612)</f>
        <v/>
      </c>
      <c r="O1612" s="24" t="str">
        <f aca="false">IF($F1612="","",IFERROR(INDEX(Counterparties!$C:$C,MATCH($F1612&amp;"",Counterparties!$A:$A,0))&amp;"",""))</f>
        <v/>
      </c>
      <c r="P1612" s="24" t="str">
        <f aca="false">IF($O1612="","",IF($O1612="CY","CY",IF(ISNUMBER(MATCH($O1612,Lists!$A:$A,0)),"EU","3RD")))</f>
        <v/>
      </c>
      <c r="Q1612" s="24" t="str">
        <f aca="false">IF($F1612="","N",IFERROR(IF(INDEX(Counterparties!$E:$E,MATCH($F1612&amp;"",Counterparties!$A:$A,0))="Y","Y","N"),"N"))</f>
        <v>N</v>
      </c>
      <c r="R1612" s="25" t="n">
        <f aca="false">IF(OR($H1612="",$H1612="EUR"),1,IFERROR(INDEX(FX_Rates!$D:$D,MATCH($H1612,FX_Rates!$A:$A,0)),""))</f>
        <v>1</v>
      </c>
      <c r="S1612" s="26" t="str">
        <f aca="false">IF(AND($I1612="",$J1612=""),"",IF($J1612&lt;&gt;"",$J1612,IF(OR($R1612="",$R1612=0),"",ROUND($I1612/$R1612,2))))</f>
        <v/>
      </c>
      <c r="T1612" s="24" t="str">
        <f aca="false">IF($N1612="","",IFERROR(INDEX(VAT_Codes!$C:$C,MATCH($N1612,VAT_Codes!$A:$A,0)),"")&amp;"")</f>
        <v/>
      </c>
      <c r="U1612" s="26" t="n">
        <f aca="false">IF(OR($S1612="",$T1612="",$T1612="None"),0,IF($T1612="Output",-$S1612,$S1612))</f>
        <v>0</v>
      </c>
      <c r="V1612" s="27" t="n">
        <f aca="false">IF($N1612="",0,IFERROR(INDEX(VAT_Codes!$D:$D,MATCH($N1612,VAT_Codes!$A:$A,0)),0))</f>
        <v>0</v>
      </c>
      <c r="W1612" s="26" t="n">
        <f aca="false">IF($U1612=0,0,IF(IFERROR(INDEX(VAT_Codes!$F:$F,MATCH($N1612,VAT_Codes!$A:$A,0)),"N")="Y",$U1612,IF($L1612&lt;&gt;"",ROUND(ABS($L1612)/IF(OR($R1612="",$R1612=0),1,$R1612),2)*SIGN($U1612),ROUND($U1612*$V1612,2))))</f>
        <v>0</v>
      </c>
      <c r="X1612" s="24" t="str">
        <f aca="false">IF($N1612="","",IFERROR(INDEX(VAT_Codes!$H:$H,MATCH($N1612,VAT_Codes!$A:$A,0)),"")&amp;"")</f>
        <v/>
      </c>
      <c r="Y1612" s="24" t="str">
        <f aca="false">IF($A1612="","",(YEAR($A1612)-YEAR(Settings!$C$8))*12+MONTH($A1612)-MONTH(Settings!$C$8)+1)</f>
        <v/>
      </c>
      <c r="Z1612" s="24" t="str">
        <f aca="false">IF(AND($C1612="",$I1612="",$J1612=""),"",IF($N1612="","NO VAT CODE",IF($T1612="","UNKNOWN VAT CODE",IF($S1612="","MISSING FX RATE",IF(OR($A1612&lt;Settings!$C$8,$A1612&gt;Settings!$C$9),"OUTSIDE PERIOD",IF(AND(IFERROR(INDEX(VAT_Codes!$E:$E,MATCH($N1612,VAT_Codes!$A:$A,0)),"ANY")&lt;&gt;"ANY",$P1612=""),"MISSING COUNTERPARTY COUNTRY",IF(AND(IFERROR(INDEX(VAT_Codes!$E:$E,MATCH($N1612,VAT_Codes!$A:$A,0)),"ANY")&lt;&gt;"ANY",$P1612&lt;&gt;IFERROR(INDEX(VAT_Codes!$E:$E,MATCH($N1612,VAT_Codes!$A:$A,0)),"ANY")),"REGION MISMATCH","OK")))))))</f>
        <v/>
      </c>
    </row>
    <row r="1613" customFormat="false" ht="15" hidden="false" customHeight="false" outlineLevel="0" collapsed="false">
      <c r="M1613" s="24" t="str">
        <f aca="false">IF($C1613="","",IFERROR(INDEX(Account_Mapping!$C:$C,MATCH($C1613&amp;"",Account_Mapping!$A:$A,0))&amp;"",""))</f>
        <v/>
      </c>
      <c r="N1613" s="24" t="str">
        <f aca="false">IF($K1613&lt;&gt;"",$K1613,$M1613)</f>
        <v/>
      </c>
      <c r="O1613" s="24" t="str">
        <f aca="false">IF($F1613="","",IFERROR(INDEX(Counterparties!$C:$C,MATCH($F1613&amp;"",Counterparties!$A:$A,0))&amp;"",""))</f>
        <v/>
      </c>
      <c r="P1613" s="24" t="str">
        <f aca="false">IF($O1613="","",IF($O1613="CY","CY",IF(ISNUMBER(MATCH($O1613,Lists!$A:$A,0)),"EU","3RD")))</f>
        <v/>
      </c>
      <c r="Q1613" s="24" t="str">
        <f aca="false">IF($F1613="","N",IFERROR(IF(INDEX(Counterparties!$E:$E,MATCH($F1613&amp;"",Counterparties!$A:$A,0))="Y","Y","N"),"N"))</f>
        <v>N</v>
      </c>
      <c r="R1613" s="25" t="n">
        <f aca="false">IF(OR($H1613="",$H1613="EUR"),1,IFERROR(INDEX(FX_Rates!$D:$D,MATCH($H1613,FX_Rates!$A:$A,0)),""))</f>
        <v>1</v>
      </c>
      <c r="S1613" s="26" t="str">
        <f aca="false">IF(AND($I1613="",$J1613=""),"",IF($J1613&lt;&gt;"",$J1613,IF(OR($R1613="",$R1613=0),"",ROUND($I1613/$R1613,2))))</f>
        <v/>
      </c>
      <c r="T1613" s="24" t="str">
        <f aca="false">IF($N1613="","",IFERROR(INDEX(VAT_Codes!$C:$C,MATCH($N1613,VAT_Codes!$A:$A,0)),"")&amp;"")</f>
        <v/>
      </c>
      <c r="U1613" s="26" t="n">
        <f aca="false">IF(OR($S1613="",$T1613="",$T1613="None"),0,IF($T1613="Output",-$S1613,$S1613))</f>
        <v>0</v>
      </c>
      <c r="V1613" s="27" t="n">
        <f aca="false">IF($N1613="",0,IFERROR(INDEX(VAT_Codes!$D:$D,MATCH($N1613,VAT_Codes!$A:$A,0)),0))</f>
        <v>0</v>
      </c>
      <c r="W1613" s="26" t="n">
        <f aca="false">IF($U1613=0,0,IF(IFERROR(INDEX(VAT_Codes!$F:$F,MATCH($N1613,VAT_Codes!$A:$A,0)),"N")="Y",$U1613,IF($L1613&lt;&gt;"",ROUND(ABS($L1613)/IF(OR($R1613="",$R1613=0),1,$R1613),2)*SIGN($U1613),ROUND($U1613*$V1613,2))))</f>
        <v>0</v>
      </c>
      <c r="X1613" s="24" t="str">
        <f aca="false">IF($N1613="","",IFERROR(INDEX(VAT_Codes!$H:$H,MATCH($N1613,VAT_Codes!$A:$A,0)),"")&amp;"")</f>
        <v/>
      </c>
      <c r="Y1613" s="24" t="str">
        <f aca="false">IF($A1613="","",(YEAR($A1613)-YEAR(Settings!$C$8))*12+MONTH($A1613)-MONTH(Settings!$C$8)+1)</f>
        <v/>
      </c>
      <c r="Z1613" s="24" t="str">
        <f aca="false">IF(AND($C1613="",$I1613="",$J1613=""),"",IF($N1613="","NO VAT CODE",IF($T1613="","UNKNOWN VAT CODE",IF($S1613="","MISSING FX RATE",IF(OR($A1613&lt;Settings!$C$8,$A1613&gt;Settings!$C$9),"OUTSIDE PERIOD",IF(AND(IFERROR(INDEX(VAT_Codes!$E:$E,MATCH($N1613,VAT_Codes!$A:$A,0)),"ANY")&lt;&gt;"ANY",$P1613=""),"MISSING COUNTERPARTY COUNTRY",IF(AND(IFERROR(INDEX(VAT_Codes!$E:$E,MATCH($N1613,VAT_Codes!$A:$A,0)),"ANY")&lt;&gt;"ANY",$P1613&lt;&gt;IFERROR(INDEX(VAT_Codes!$E:$E,MATCH($N1613,VAT_Codes!$A:$A,0)),"ANY")),"REGION MISMATCH","OK")))))))</f>
        <v/>
      </c>
    </row>
    <row r="1614" customFormat="false" ht="15" hidden="false" customHeight="false" outlineLevel="0" collapsed="false">
      <c r="M1614" s="24" t="str">
        <f aca="false">IF($C1614="","",IFERROR(INDEX(Account_Mapping!$C:$C,MATCH($C1614&amp;"",Account_Mapping!$A:$A,0))&amp;"",""))</f>
        <v/>
      </c>
      <c r="N1614" s="24" t="str">
        <f aca="false">IF($K1614&lt;&gt;"",$K1614,$M1614)</f>
        <v/>
      </c>
      <c r="O1614" s="24" t="str">
        <f aca="false">IF($F1614="","",IFERROR(INDEX(Counterparties!$C:$C,MATCH($F1614&amp;"",Counterparties!$A:$A,0))&amp;"",""))</f>
        <v/>
      </c>
      <c r="P1614" s="24" t="str">
        <f aca="false">IF($O1614="","",IF($O1614="CY","CY",IF(ISNUMBER(MATCH($O1614,Lists!$A:$A,0)),"EU","3RD")))</f>
        <v/>
      </c>
      <c r="Q1614" s="24" t="str">
        <f aca="false">IF($F1614="","N",IFERROR(IF(INDEX(Counterparties!$E:$E,MATCH($F1614&amp;"",Counterparties!$A:$A,0))="Y","Y","N"),"N"))</f>
        <v>N</v>
      </c>
      <c r="R1614" s="25" t="n">
        <f aca="false">IF(OR($H1614="",$H1614="EUR"),1,IFERROR(INDEX(FX_Rates!$D:$D,MATCH($H1614,FX_Rates!$A:$A,0)),""))</f>
        <v>1</v>
      </c>
      <c r="S1614" s="26" t="str">
        <f aca="false">IF(AND($I1614="",$J1614=""),"",IF($J1614&lt;&gt;"",$J1614,IF(OR($R1614="",$R1614=0),"",ROUND($I1614/$R1614,2))))</f>
        <v/>
      </c>
      <c r="T1614" s="24" t="str">
        <f aca="false">IF($N1614="","",IFERROR(INDEX(VAT_Codes!$C:$C,MATCH($N1614,VAT_Codes!$A:$A,0)),"")&amp;"")</f>
        <v/>
      </c>
      <c r="U1614" s="26" t="n">
        <f aca="false">IF(OR($S1614="",$T1614="",$T1614="None"),0,IF($T1614="Output",-$S1614,$S1614))</f>
        <v>0</v>
      </c>
      <c r="V1614" s="27" t="n">
        <f aca="false">IF($N1614="",0,IFERROR(INDEX(VAT_Codes!$D:$D,MATCH($N1614,VAT_Codes!$A:$A,0)),0))</f>
        <v>0</v>
      </c>
      <c r="W1614" s="26" t="n">
        <f aca="false">IF($U1614=0,0,IF(IFERROR(INDEX(VAT_Codes!$F:$F,MATCH($N1614,VAT_Codes!$A:$A,0)),"N")="Y",$U1614,IF($L1614&lt;&gt;"",ROUND(ABS($L1614)/IF(OR($R1614="",$R1614=0),1,$R1614),2)*SIGN($U1614),ROUND($U1614*$V1614,2))))</f>
        <v>0</v>
      </c>
      <c r="X1614" s="24" t="str">
        <f aca="false">IF($N1614="","",IFERROR(INDEX(VAT_Codes!$H:$H,MATCH($N1614,VAT_Codes!$A:$A,0)),"")&amp;"")</f>
        <v/>
      </c>
      <c r="Y1614" s="24" t="str">
        <f aca="false">IF($A1614="","",(YEAR($A1614)-YEAR(Settings!$C$8))*12+MONTH($A1614)-MONTH(Settings!$C$8)+1)</f>
        <v/>
      </c>
      <c r="Z1614" s="24" t="str">
        <f aca="false">IF(AND($C1614="",$I1614="",$J1614=""),"",IF($N1614="","NO VAT CODE",IF($T1614="","UNKNOWN VAT CODE",IF($S1614="","MISSING FX RATE",IF(OR($A1614&lt;Settings!$C$8,$A1614&gt;Settings!$C$9),"OUTSIDE PERIOD",IF(AND(IFERROR(INDEX(VAT_Codes!$E:$E,MATCH($N1614,VAT_Codes!$A:$A,0)),"ANY")&lt;&gt;"ANY",$P1614=""),"MISSING COUNTERPARTY COUNTRY",IF(AND(IFERROR(INDEX(VAT_Codes!$E:$E,MATCH($N1614,VAT_Codes!$A:$A,0)),"ANY")&lt;&gt;"ANY",$P1614&lt;&gt;IFERROR(INDEX(VAT_Codes!$E:$E,MATCH($N1614,VAT_Codes!$A:$A,0)),"ANY")),"REGION MISMATCH","OK")))))))</f>
        <v/>
      </c>
    </row>
    <row r="1615" customFormat="false" ht="15" hidden="false" customHeight="false" outlineLevel="0" collapsed="false">
      <c r="M1615" s="24" t="str">
        <f aca="false">IF($C1615="","",IFERROR(INDEX(Account_Mapping!$C:$C,MATCH($C1615&amp;"",Account_Mapping!$A:$A,0))&amp;"",""))</f>
        <v/>
      </c>
      <c r="N1615" s="24" t="str">
        <f aca="false">IF($K1615&lt;&gt;"",$K1615,$M1615)</f>
        <v/>
      </c>
      <c r="O1615" s="24" t="str">
        <f aca="false">IF($F1615="","",IFERROR(INDEX(Counterparties!$C:$C,MATCH($F1615&amp;"",Counterparties!$A:$A,0))&amp;"",""))</f>
        <v/>
      </c>
      <c r="P1615" s="24" t="str">
        <f aca="false">IF($O1615="","",IF($O1615="CY","CY",IF(ISNUMBER(MATCH($O1615,Lists!$A:$A,0)),"EU","3RD")))</f>
        <v/>
      </c>
      <c r="Q1615" s="24" t="str">
        <f aca="false">IF($F1615="","N",IFERROR(IF(INDEX(Counterparties!$E:$E,MATCH($F1615&amp;"",Counterparties!$A:$A,0))="Y","Y","N"),"N"))</f>
        <v>N</v>
      </c>
      <c r="R1615" s="25" t="n">
        <f aca="false">IF(OR($H1615="",$H1615="EUR"),1,IFERROR(INDEX(FX_Rates!$D:$D,MATCH($H1615,FX_Rates!$A:$A,0)),""))</f>
        <v>1</v>
      </c>
      <c r="S1615" s="26" t="str">
        <f aca="false">IF(AND($I1615="",$J1615=""),"",IF($J1615&lt;&gt;"",$J1615,IF(OR($R1615="",$R1615=0),"",ROUND($I1615/$R1615,2))))</f>
        <v/>
      </c>
      <c r="T1615" s="24" t="str">
        <f aca="false">IF($N1615="","",IFERROR(INDEX(VAT_Codes!$C:$C,MATCH($N1615,VAT_Codes!$A:$A,0)),"")&amp;"")</f>
        <v/>
      </c>
      <c r="U1615" s="26" t="n">
        <f aca="false">IF(OR($S1615="",$T1615="",$T1615="None"),0,IF($T1615="Output",-$S1615,$S1615))</f>
        <v>0</v>
      </c>
      <c r="V1615" s="27" t="n">
        <f aca="false">IF($N1615="",0,IFERROR(INDEX(VAT_Codes!$D:$D,MATCH($N1615,VAT_Codes!$A:$A,0)),0))</f>
        <v>0</v>
      </c>
      <c r="W1615" s="26" t="n">
        <f aca="false">IF($U1615=0,0,IF(IFERROR(INDEX(VAT_Codes!$F:$F,MATCH($N1615,VAT_Codes!$A:$A,0)),"N")="Y",$U1615,IF($L1615&lt;&gt;"",ROUND(ABS($L1615)/IF(OR($R1615="",$R1615=0),1,$R1615),2)*SIGN($U1615),ROUND($U1615*$V1615,2))))</f>
        <v>0</v>
      </c>
      <c r="X1615" s="24" t="str">
        <f aca="false">IF($N1615="","",IFERROR(INDEX(VAT_Codes!$H:$H,MATCH($N1615,VAT_Codes!$A:$A,0)),"")&amp;"")</f>
        <v/>
      </c>
      <c r="Y1615" s="24" t="str">
        <f aca="false">IF($A1615="","",(YEAR($A1615)-YEAR(Settings!$C$8))*12+MONTH($A1615)-MONTH(Settings!$C$8)+1)</f>
        <v/>
      </c>
      <c r="Z1615" s="24" t="str">
        <f aca="false">IF(AND($C1615="",$I1615="",$J1615=""),"",IF($N1615="","NO VAT CODE",IF($T1615="","UNKNOWN VAT CODE",IF($S1615="","MISSING FX RATE",IF(OR($A1615&lt;Settings!$C$8,$A1615&gt;Settings!$C$9),"OUTSIDE PERIOD",IF(AND(IFERROR(INDEX(VAT_Codes!$E:$E,MATCH($N1615,VAT_Codes!$A:$A,0)),"ANY")&lt;&gt;"ANY",$P1615=""),"MISSING COUNTERPARTY COUNTRY",IF(AND(IFERROR(INDEX(VAT_Codes!$E:$E,MATCH($N1615,VAT_Codes!$A:$A,0)),"ANY")&lt;&gt;"ANY",$P1615&lt;&gt;IFERROR(INDEX(VAT_Codes!$E:$E,MATCH($N1615,VAT_Codes!$A:$A,0)),"ANY")),"REGION MISMATCH","OK")))))))</f>
        <v/>
      </c>
    </row>
    <row r="1616" customFormat="false" ht="15" hidden="false" customHeight="false" outlineLevel="0" collapsed="false">
      <c r="M1616" s="24" t="str">
        <f aca="false">IF($C1616="","",IFERROR(INDEX(Account_Mapping!$C:$C,MATCH($C1616&amp;"",Account_Mapping!$A:$A,0))&amp;"",""))</f>
        <v/>
      </c>
      <c r="N1616" s="24" t="str">
        <f aca="false">IF($K1616&lt;&gt;"",$K1616,$M1616)</f>
        <v/>
      </c>
      <c r="O1616" s="24" t="str">
        <f aca="false">IF($F1616="","",IFERROR(INDEX(Counterparties!$C:$C,MATCH($F1616&amp;"",Counterparties!$A:$A,0))&amp;"",""))</f>
        <v/>
      </c>
      <c r="P1616" s="24" t="str">
        <f aca="false">IF($O1616="","",IF($O1616="CY","CY",IF(ISNUMBER(MATCH($O1616,Lists!$A:$A,0)),"EU","3RD")))</f>
        <v/>
      </c>
      <c r="Q1616" s="24" t="str">
        <f aca="false">IF($F1616="","N",IFERROR(IF(INDEX(Counterparties!$E:$E,MATCH($F1616&amp;"",Counterparties!$A:$A,0))="Y","Y","N"),"N"))</f>
        <v>N</v>
      </c>
      <c r="R1616" s="25" t="n">
        <f aca="false">IF(OR($H1616="",$H1616="EUR"),1,IFERROR(INDEX(FX_Rates!$D:$D,MATCH($H1616,FX_Rates!$A:$A,0)),""))</f>
        <v>1</v>
      </c>
      <c r="S1616" s="26" t="str">
        <f aca="false">IF(AND($I1616="",$J1616=""),"",IF($J1616&lt;&gt;"",$J1616,IF(OR($R1616="",$R1616=0),"",ROUND($I1616/$R1616,2))))</f>
        <v/>
      </c>
      <c r="T1616" s="24" t="str">
        <f aca="false">IF($N1616="","",IFERROR(INDEX(VAT_Codes!$C:$C,MATCH($N1616,VAT_Codes!$A:$A,0)),"")&amp;"")</f>
        <v/>
      </c>
      <c r="U1616" s="26" t="n">
        <f aca="false">IF(OR($S1616="",$T1616="",$T1616="None"),0,IF($T1616="Output",-$S1616,$S1616))</f>
        <v>0</v>
      </c>
      <c r="V1616" s="27" t="n">
        <f aca="false">IF($N1616="",0,IFERROR(INDEX(VAT_Codes!$D:$D,MATCH($N1616,VAT_Codes!$A:$A,0)),0))</f>
        <v>0</v>
      </c>
      <c r="W1616" s="26" t="n">
        <f aca="false">IF($U1616=0,0,IF(IFERROR(INDEX(VAT_Codes!$F:$F,MATCH($N1616,VAT_Codes!$A:$A,0)),"N")="Y",$U1616,IF($L1616&lt;&gt;"",ROUND(ABS($L1616)/IF(OR($R1616="",$R1616=0),1,$R1616),2)*SIGN($U1616),ROUND($U1616*$V1616,2))))</f>
        <v>0</v>
      </c>
      <c r="X1616" s="24" t="str">
        <f aca="false">IF($N1616="","",IFERROR(INDEX(VAT_Codes!$H:$H,MATCH($N1616,VAT_Codes!$A:$A,0)),"")&amp;"")</f>
        <v/>
      </c>
      <c r="Y1616" s="24" t="str">
        <f aca="false">IF($A1616="","",(YEAR($A1616)-YEAR(Settings!$C$8))*12+MONTH($A1616)-MONTH(Settings!$C$8)+1)</f>
        <v/>
      </c>
      <c r="Z1616" s="24" t="str">
        <f aca="false">IF(AND($C1616="",$I1616="",$J1616=""),"",IF($N1616="","NO VAT CODE",IF($T1616="","UNKNOWN VAT CODE",IF($S1616="","MISSING FX RATE",IF(OR($A1616&lt;Settings!$C$8,$A1616&gt;Settings!$C$9),"OUTSIDE PERIOD",IF(AND(IFERROR(INDEX(VAT_Codes!$E:$E,MATCH($N1616,VAT_Codes!$A:$A,0)),"ANY")&lt;&gt;"ANY",$P1616=""),"MISSING COUNTERPARTY COUNTRY",IF(AND(IFERROR(INDEX(VAT_Codes!$E:$E,MATCH($N1616,VAT_Codes!$A:$A,0)),"ANY")&lt;&gt;"ANY",$P1616&lt;&gt;IFERROR(INDEX(VAT_Codes!$E:$E,MATCH($N1616,VAT_Codes!$A:$A,0)),"ANY")),"REGION MISMATCH","OK")))))))</f>
        <v/>
      </c>
    </row>
    <row r="1617" customFormat="false" ht="15" hidden="false" customHeight="false" outlineLevel="0" collapsed="false">
      <c r="M1617" s="24" t="str">
        <f aca="false">IF($C1617="","",IFERROR(INDEX(Account_Mapping!$C:$C,MATCH($C1617&amp;"",Account_Mapping!$A:$A,0))&amp;"",""))</f>
        <v/>
      </c>
      <c r="N1617" s="24" t="str">
        <f aca="false">IF($K1617&lt;&gt;"",$K1617,$M1617)</f>
        <v/>
      </c>
      <c r="O1617" s="24" t="str">
        <f aca="false">IF($F1617="","",IFERROR(INDEX(Counterparties!$C:$C,MATCH($F1617&amp;"",Counterparties!$A:$A,0))&amp;"",""))</f>
        <v/>
      </c>
      <c r="P1617" s="24" t="str">
        <f aca="false">IF($O1617="","",IF($O1617="CY","CY",IF(ISNUMBER(MATCH($O1617,Lists!$A:$A,0)),"EU","3RD")))</f>
        <v/>
      </c>
      <c r="Q1617" s="24" t="str">
        <f aca="false">IF($F1617="","N",IFERROR(IF(INDEX(Counterparties!$E:$E,MATCH($F1617&amp;"",Counterparties!$A:$A,0))="Y","Y","N"),"N"))</f>
        <v>N</v>
      </c>
      <c r="R1617" s="25" t="n">
        <f aca="false">IF(OR($H1617="",$H1617="EUR"),1,IFERROR(INDEX(FX_Rates!$D:$D,MATCH($H1617,FX_Rates!$A:$A,0)),""))</f>
        <v>1</v>
      </c>
      <c r="S1617" s="26" t="str">
        <f aca="false">IF(AND($I1617="",$J1617=""),"",IF($J1617&lt;&gt;"",$J1617,IF(OR($R1617="",$R1617=0),"",ROUND($I1617/$R1617,2))))</f>
        <v/>
      </c>
      <c r="T1617" s="24" t="str">
        <f aca="false">IF($N1617="","",IFERROR(INDEX(VAT_Codes!$C:$C,MATCH($N1617,VAT_Codes!$A:$A,0)),"")&amp;"")</f>
        <v/>
      </c>
      <c r="U1617" s="26" t="n">
        <f aca="false">IF(OR($S1617="",$T1617="",$T1617="None"),0,IF($T1617="Output",-$S1617,$S1617))</f>
        <v>0</v>
      </c>
      <c r="V1617" s="27" t="n">
        <f aca="false">IF($N1617="",0,IFERROR(INDEX(VAT_Codes!$D:$D,MATCH($N1617,VAT_Codes!$A:$A,0)),0))</f>
        <v>0</v>
      </c>
      <c r="W1617" s="26" t="n">
        <f aca="false">IF($U1617=0,0,IF(IFERROR(INDEX(VAT_Codes!$F:$F,MATCH($N1617,VAT_Codes!$A:$A,0)),"N")="Y",$U1617,IF($L1617&lt;&gt;"",ROUND(ABS($L1617)/IF(OR($R1617="",$R1617=0),1,$R1617),2)*SIGN($U1617),ROUND($U1617*$V1617,2))))</f>
        <v>0</v>
      </c>
      <c r="X1617" s="24" t="str">
        <f aca="false">IF($N1617="","",IFERROR(INDEX(VAT_Codes!$H:$H,MATCH($N1617,VAT_Codes!$A:$A,0)),"")&amp;"")</f>
        <v/>
      </c>
      <c r="Y1617" s="24" t="str">
        <f aca="false">IF($A1617="","",(YEAR($A1617)-YEAR(Settings!$C$8))*12+MONTH($A1617)-MONTH(Settings!$C$8)+1)</f>
        <v/>
      </c>
      <c r="Z1617" s="24" t="str">
        <f aca="false">IF(AND($C1617="",$I1617="",$J1617=""),"",IF($N1617="","NO VAT CODE",IF($T1617="","UNKNOWN VAT CODE",IF($S1617="","MISSING FX RATE",IF(OR($A1617&lt;Settings!$C$8,$A1617&gt;Settings!$C$9),"OUTSIDE PERIOD",IF(AND(IFERROR(INDEX(VAT_Codes!$E:$E,MATCH($N1617,VAT_Codes!$A:$A,0)),"ANY")&lt;&gt;"ANY",$P1617=""),"MISSING COUNTERPARTY COUNTRY",IF(AND(IFERROR(INDEX(VAT_Codes!$E:$E,MATCH($N1617,VAT_Codes!$A:$A,0)),"ANY")&lt;&gt;"ANY",$P1617&lt;&gt;IFERROR(INDEX(VAT_Codes!$E:$E,MATCH($N1617,VAT_Codes!$A:$A,0)),"ANY")),"REGION MISMATCH","OK")))))))</f>
        <v/>
      </c>
    </row>
    <row r="1618" customFormat="false" ht="15" hidden="false" customHeight="false" outlineLevel="0" collapsed="false">
      <c r="M1618" s="24" t="str">
        <f aca="false">IF($C1618="","",IFERROR(INDEX(Account_Mapping!$C:$C,MATCH($C1618&amp;"",Account_Mapping!$A:$A,0))&amp;"",""))</f>
        <v/>
      </c>
      <c r="N1618" s="24" t="str">
        <f aca="false">IF($K1618&lt;&gt;"",$K1618,$M1618)</f>
        <v/>
      </c>
      <c r="O1618" s="24" t="str">
        <f aca="false">IF($F1618="","",IFERROR(INDEX(Counterparties!$C:$C,MATCH($F1618&amp;"",Counterparties!$A:$A,0))&amp;"",""))</f>
        <v/>
      </c>
      <c r="P1618" s="24" t="str">
        <f aca="false">IF($O1618="","",IF($O1618="CY","CY",IF(ISNUMBER(MATCH($O1618,Lists!$A:$A,0)),"EU","3RD")))</f>
        <v/>
      </c>
      <c r="Q1618" s="24" t="str">
        <f aca="false">IF($F1618="","N",IFERROR(IF(INDEX(Counterparties!$E:$E,MATCH($F1618&amp;"",Counterparties!$A:$A,0))="Y","Y","N"),"N"))</f>
        <v>N</v>
      </c>
      <c r="R1618" s="25" t="n">
        <f aca="false">IF(OR($H1618="",$H1618="EUR"),1,IFERROR(INDEX(FX_Rates!$D:$D,MATCH($H1618,FX_Rates!$A:$A,0)),""))</f>
        <v>1</v>
      </c>
      <c r="S1618" s="26" t="str">
        <f aca="false">IF(AND($I1618="",$J1618=""),"",IF($J1618&lt;&gt;"",$J1618,IF(OR($R1618="",$R1618=0),"",ROUND($I1618/$R1618,2))))</f>
        <v/>
      </c>
      <c r="T1618" s="24" t="str">
        <f aca="false">IF($N1618="","",IFERROR(INDEX(VAT_Codes!$C:$C,MATCH($N1618,VAT_Codes!$A:$A,0)),"")&amp;"")</f>
        <v/>
      </c>
      <c r="U1618" s="26" t="n">
        <f aca="false">IF(OR($S1618="",$T1618="",$T1618="None"),0,IF($T1618="Output",-$S1618,$S1618))</f>
        <v>0</v>
      </c>
      <c r="V1618" s="27" t="n">
        <f aca="false">IF($N1618="",0,IFERROR(INDEX(VAT_Codes!$D:$D,MATCH($N1618,VAT_Codes!$A:$A,0)),0))</f>
        <v>0</v>
      </c>
      <c r="W1618" s="26" t="n">
        <f aca="false">IF($U1618=0,0,IF(IFERROR(INDEX(VAT_Codes!$F:$F,MATCH($N1618,VAT_Codes!$A:$A,0)),"N")="Y",$U1618,IF($L1618&lt;&gt;"",ROUND(ABS($L1618)/IF(OR($R1618="",$R1618=0),1,$R1618),2)*SIGN($U1618),ROUND($U1618*$V1618,2))))</f>
        <v>0</v>
      </c>
      <c r="X1618" s="24" t="str">
        <f aca="false">IF($N1618="","",IFERROR(INDEX(VAT_Codes!$H:$H,MATCH($N1618,VAT_Codes!$A:$A,0)),"")&amp;"")</f>
        <v/>
      </c>
      <c r="Y1618" s="24" t="str">
        <f aca="false">IF($A1618="","",(YEAR($A1618)-YEAR(Settings!$C$8))*12+MONTH($A1618)-MONTH(Settings!$C$8)+1)</f>
        <v/>
      </c>
      <c r="Z1618" s="24" t="str">
        <f aca="false">IF(AND($C1618="",$I1618="",$J1618=""),"",IF($N1618="","NO VAT CODE",IF($T1618="","UNKNOWN VAT CODE",IF($S1618="","MISSING FX RATE",IF(OR($A1618&lt;Settings!$C$8,$A1618&gt;Settings!$C$9),"OUTSIDE PERIOD",IF(AND(IFERROR(INDEX(VAT_Codes!$E:$E,MATCH($N1618,VAT_Codes!$A:$A,0)),"ANY")&lt;&gt;"ANY",$P1618=""),"MISSING COUNTERPARTY COUNTRY",IF(AND(IFERROR(INDEX(VAT_Codes!$E:$E,MATCH($N1618,VAT_Codes!$A:$A,0)),"ANY")&lt;&gt;"ANY",$P1618&lt;&gt;IFERROR(INDEX(VAT_Codes!$E:$E,MATCH($N1618,VAT_Codes!$A:$A,0)),"ANY")),"REGION MISMATCH","OK")))))))</f>
        <v/>
      </c>
    </row>
    <row r="1619" customFormat="false" ht="15" hidden="false" customHeight="false" outlineLevel="0" collapsed="false">
      <c r="M1619" s="24" t="str">
        <f aca="false">IF($C1619="","",IFERROR(INDEX(Account_Mapping!$C:$C,MATCH($C1619&amp;"",Account_Mapping!$A:$A,0))&amp;"",""))</f>
        <v/>
      </c>
      <c r="N1619" s="24" t="str">
        <f aca="false">IF($K1619&lt;&gt;"",$K1619,$M1619)</f>
        <v/>
      </c>
      <c r="O1619" s="24" t="str">
        <f aca="false">IF($F1619="","",IFERROR(INDEX(Counterparties!$C:$C,MATCH($F1619&amp;"",Counterparties!$A:$A,0))&amp;"",""))</f>
        <v/>
      </c>
      <c r="P1619" s="24" t="str">
        <f aca="false">IF($O1619="","",IF($O1619="CY","CY",IF(ISNUMBER(MATCH($O1619,Lists!$A:$A,0)),"EU","3RD")))</f>
        <v/>
      </c>
      <c r="Q1619" s="24" t="str">
        <f aca="false">IF($F1619="","N",IFERROR(IF(INDEX(Counterparties!$E:$E,MATCH($F1619&amp;"",Counterparties!$A:$A,0))="Y","Y","N"),"N"))</f>
        <v>N</v>
      </c>
      <c r="R1619" s="25" t="n">
        <f aca="false">IF(OR($H1619="",$H1619="EUR"),1,IFERROR(INDEX(FX_Rates!$D:$D,MATCH($H1619,FX_Rates!$A:$A,0)),""))</f>
        <v>1</v>
      </c>
      <c r="S1619" s="26" t="str">
        <f aca="false">IF(AND($I1619="",$J1619=""),"",IF($J1619&lt;&gt;"",$J1619,IF(OR($R1619="",$R1619=0),"",ROUND($I1619/$R1619,2))))</f>
        <v/>
      </c>
      <c r="T1619" s="24" t="str">
        <f aca="false">IF($N1619="","",IFERROR(INDEX(VAT_Codes!$C:$C,MATCH($N1619,VAT_Codes!$A:$A,0)),"")&amp;"")</f>
        <v/>
      </c>
      <c r="U1619" s="26" t="n">
        <f aca="false">IF(OR($S1619="",$T1619="",$T1619="None"),0,IF($T1619="Output",-$S1619,$S1619))</f>
        <v>0</v>
      </c>
      <c r="V1619" s="27" t="n">
        <f aca="false">IF($N1619="",0,IFERROR(INDEX(VAT_Codes!$D:$D,MATCH($N1619,VAT_Codes!$A:$A,0)),0))</f>
        <v>0</v>
      </c>
      <c r="W1619" s="26" t="n">
        <f aca="false">IF($U1619=0,0,IF(IFERROR(INDEX(VAT_Codes!$F:$F,MATCH($N1619,VAT_Codes!$A:$A,0)),"N")="Y",$U1619,IF($L1619&lt;&gt;"",ROUND(ABS($L1619)/IF(OR($R1619="",$R1619=0),1,$R1619),2)*SIGN($U1619),ROUND($U1619*$V1619,2))))</f>
        <v>0</v>
      </c>
      <c r="X1619" s="24" t="str">
        <f aca="false">IF($N1619="","",IFERROR(INDEX(VAT_Codes!$H:$H,MATCH($N1619,VAT_Codes!$A:$A,0)),"")&amp;"")</f>
        <v/>
      </c>
      <c r="Y1619" s="24" t="str">
        <f aca="false">IF($A1619="","",(YEAR($A1619)-YEAR(Settings!$C$8))*12+MONTH($A1619)-MONTH(Settings!$C$8)+1)</f>
        <v/>
      </c>
      <c r="Z1619" s="24" t="str">
        <f aca="false">IF(AND($C1619="",$I1619="",$J1619=""),"",IF($N1619="","NO VAT CODE",IF($T1619="","UNKNOWN VAT CODE",IF($S1619="","MISSING FX RATE",IF(OR($A1619&lt;Settings!$C$8,$A1619&gt;Settings!$C$9),"OUTSIDE PERIOD",IF(AND(IFERROR(INDEX(VAT_Codes!$E:$E,MATCH($N1619,VAT_Codes!$A:$A,0)),"ANY")&lt;&gt;"ANY",$P1619=""),"MISSING COUNTERPARTY COUNTRY",IF(AND(IFERROR(INDEX(VAT_Codes!$E:$E,MATCH($N1619,VAT_Codes!$A:$A,0)),"ANY")&lt;&gt;"ANY",$P1619&lt;&gt;IFERROR(INDEX(VAT_Codes!$E:$E,MATCH($N1619,VAT_Codes!$A:$A,0)),"ANY")),"REGION MISMATCH","OK")))))))</f>
        <v/>
      </c>
    </row>
    <row r="1620" customFormat="false" ht="15" hidden="false" customHeight="false" outlineLevel="0" collapsed="false">
      <c r="M1620" s="24" t="str">
        <f aca="false">IF($C1620="","",IFERROR(INDEX(Account_Mapping!$C:$C,MATCH($C1620&amp;"",Account_Mapping!$A:$A,0))&amp;"",""))</f>
        <v/>
      </c>
      <c r="N1620" s="24" t="str">
        <f aca="false">IF($K1620&lt;&gt;"",$K1620,$M1620)</f>
        <v/>
      </c>
      <c r="O1620" s="24" t="str">
        <f aca="false">IF($F1620="","",IFERROR(INDEX(Counterparties!$C:$C,MATCH($F1620&amp;"",Counterparties!$A:$A,0))&amp;"",""))</f>
        <v/>
      </c>
      <c r="P1620" s="24" t="str">
        <f aca="false">IF($O1620="","",IF($O1620="CY","CY",IF(ISNUMBER(MATCH($O1620,Lists!$A:$A,0)),"EU","3RD")))</f>
        <v/>
      </c>
      <c r="Q1620" s="24" t="str">
        <f aca="false">IF($F1620="","N",IFERROR(IF(INDEX(Counterparties!$E:$E,MATCH($F1620&amp;"",Counterparties!$A:$A,0))="Y","Y","N"),"N"))</f>
        <v>N</v>
      </c>
      <c r="R1620" s="25" t="n">
        <f aca="false">IF(OR($H1620="",$H1620="EUR"),1,IFERROR(INDEX(FX_Rates!$D:$D,MATCH($H1620,FX_Rates!$A:$A,0)),""))</f>
        <v>1</v>
      </c>
      <c r="S1620" s="26" t="str">
        <f aca="false">IF(AND($I1620="",$J1620=""),"",IF($J1620&lt;&gt;"",$J1620,IF(OR($R1620="",$R1620=0),"",ROUND($I1620/$R1620,2))))</f>
        <v/>
      </c>
      <c r="T1620" s="24" t="str">
        <f aca="false">IF($N1620="","",IFERROR(INDEX(VAT_Codes!$C:$C,MATCH($N1620,VAT_Codes!$A:$A,0)),"")&amp;"")</f>
        <v/>
      </c>
      <c r="U1620" s="26" t="n">
        <f aca="false">IF(OR($S1620="",$T1620="",$T1620="None"),0,IF($T1620="Output",-$S1620,$S1620))</f>
        <v>0</v>
      </c>
      <c r="V1620" s="27" t="n">
        <f aca="false">IF($N1620="",0,IFERROR(INDEX(VAT_Codes!$D:$D,MATCH($N1620,VAT_Codes!$A:$A,0)),0))</f>
        <v>0</v>
      </c>
      <c r="W1620" s="26" t="n">
        <f aca="false">IF($U1620=0,0,IF(IFERROR(INDEX(VAT_Codes!$F:$F,MATCH($N1620,VAT_Codes!$A:$A,0)),"N")="Y",$U1620,IF($L1620&lt;&gt;"",ROUND(ABS($L1620)/IF(OR($R1620="",$R1620=0),1,$R1620),2)*SIGN($U1620),ROUND($U1620*$V1620,2))))</f>
        <v>0</v>
      </c>
      <c r="X1620" s="24" t="str">
        <f aca="false">IF($N1620="","",IFERROR(INDEX(VAT_Codes!$H:$H,MATCH($N1620,VAT_Codes!$A:$A,0)),"")&amp;"")</f>
        <v/>
      </c>
      <c r="Y1620" s="24" t="str">
        <f aca="false">IF($A1620="","",(YEAR($A1620)-YEAR(Settings!$C$8))*12+MONTH($A1620)-MONTH(Settings!$C$8)+1)</f>
        <v/>
      </c>
      <c r="Z1620" s="24" t="str">
        <f aca="false">IF(AND($C1620="",$I1620="",$J1620=""),"",IF($N1620="","NO VAT CODE",IF($T1620="","UNKNOWN VAT CODE",IF($S1620="","MISSING FX RATE",IF(OR($A1620&lt;Settings!$C$8,$A1620&gt;Settings!$C$9),"OUTSIDE PERIOD",IF(AND(IFERROR(INDEX(VAT_Codes!$E:$E,MATCH($N1620,VAT_Codes!$A:$A,0)),"ANY")&lt;&gt;"ANY",$P1620=""),"MISSING COUNTERPARTY COUNTRY",IF(AND(IFERROR(INDEX(VAT_Codes!$E:$E,MATCH($N1620,VAT_Codes!$A:$A,0)),"ANY")&lt;&gt;"ANY",$P1620&lt;&gt;IFERROR(INDEX(VAT_Codes!$E:$E,MATCH($N1620,VAT_Codes!$A:$A,0)),"ANY")),"REGION MISMATCH","OK")))))))</f>
        <v/>
      </c>
    </row>
    <row r="1621" customFormat="false" ht="15" hidden="false" customHeight="false" outlineLevel="0" collapsed="false">
      <c r="M1621" s="24" t="str">
        <f aca="false">IF($C1621="","",IFERROR(INDEX(Account_Mapping!$C:$C,MATCH($C1621&amp;"",Account_Mapping!$A:$A,0))&amp;"",""))</f>
        <v/>
      </c>
      <c r="N1621" s="24" t="str">
        <f aca="false">IF($K1621&lt;&gt;"",$K1621,$M1621)</f>
        <v/>
      </c>
      <c r="O1621" s="24" t="str">
        <f aca="false">IF($F1621="","",IFERROR(INDEX(Counterparties!$C:$C,MATCH($F1621&amp;"",Counterparties!$A:$A,0))&amp;"",""))</f>
        <v/>
      </c>
      <c r="P1621" s="24" t="str">
        <f aca="false">IF($O1621="","",IF($O1621="CY","CY",IF(ISNUMBER(MATCH($O1621,Lists!$A:$A,0)),"EU","3RD")))</f>
        <v/>
      </c>
      <c r="Q1621" s="24" t="str">
        <f aca="false">IF($F1621="","N",IFERROR(IF(INDEX(Counterparties!$E:$E,MATCH($F1621&amp;"",Counterparties!$A:$A,0))="Y","Y","N"),"N"))</f>
        <v>N</v>
      </c>
      <c r="R1621" s="25" t="n">
        <f aca="false">IF(OR($H1621="",$H1621="EUR"),1,IFERROR(INDEX(FX_Rates!$D:$D,MATCH($H1621,FX_Rates!$A:$A,0)),""))</f>
        <v>1</v>
      </c>
      <c r="S1621" s="26" t="str">
        <f aca="false">IF(AND($I1621="",$J1621=""),"",IF($J1621&lt;&gt;"",$J1621,IF(OR($R1621="",$R1621=0),"",ROUND($I1621/$R1621,2))))</f>
        <v/>
      </c>
      <c r="T1621" s="24" t="str">
        <f aca="false">IF($N1621="","",IFERROR(INDEX(VAT_Codes!$C:$C,MATCH($N1621,VAT_Codes!$A:$A,0)),"")&amp;"")</f>
        <v/>
      </c>
      <c r="U1621" s="26" t="n">
        <f aca="false">IF(OR($S1621="",$T1621="",$T1621="None"),0,IF($T1621="Output",-$S1621,$S1621))</f>
        <v>0</v>
      </c>
      <c r="V1621" s="27" t="n">
        <f aca="false">IF($N1621="",0,IFERROR(INDEX(VAT_Codes!$D:$D,MATCH($N1621,VAT_Codes!$A:$A,0)),0))</f>
        <v>0</v>
      </c>
      <c r="W1621" s="26" t="n">
        <f aca="false">IF($U1621=0,0,IF(IFERROR(INDEX(VAT_Codes!$F:$F,MATCH($N1621,VAT_Codes!$A:$A,0)),"N")="Y",$U1621,IF($L1621&lt;&gt;"",ROUND(ABS($L1621)/IF(OR($R1621="",$R1621=0),1,$R1621),2)*SIGN($U1621),ROUND($U1621*$V1621,2))))</f>
        <v>0</v>
      </c>
      <c r="X1621" s="24" t="str">
        <f aca="false">IF($N1621="","",IFERROR(INDEX(VAT_Codes!$H:$H,MATCH($N1621,VAT_Codes!$A:$A,0)),"")&amp;"")</f>
        <v/>
      </c>
      <c r="Y1621" s="24" t="str">
        <f aca="false">IF($A1621="","",(YEAR($A1621)-YEAR(Settings!$C$8))*12+MONTH($A1621)-MONTH(Settings!$C$8)+1)</f>
        <v/>
      </c>
      <c r="Z1621" s="24" t="str">
        <f aca="false">IF(AND($C1621="",$I1621="",$J1621=""),"",IF($N1621="","NO VAT CODE",IF($T1621="","UNKNOWN VAT CODE",IF($S1621="","MISSING FX RATE",IF(OR($A1621&lt;Settings!$C$8,$A1621&gt;Settings!$C$9),"OUTSIDE PERIOD",IF(AND(IFERROR(INDEX(VAT_Codes!$E:$E,MATCH($N1621,VAT_Codes!$A:$A,0)),"ANY")&lt;&gt;"ANY",$P1621=""),"MISSING COUNTERPARTY COUNTRY",IF(AND(IFERROR(INDEX(VAT_Codes!$E:$E,MATCH($N1621,VAT_Codes!$A:$A,0)),"ANY")&lt;&gt;"ANY",$P1621&lt;&gt;IFERROR(INDEX(VAT_Codes!$E:$E,MATCH($N1621,VAT_Codes!$A:$A,0)),"ANY")),"REGION MISMATCH","OK")))))))</f>
        <v/>
      </c>
    </row>
    <row r="1622" customFormat="false" ht="15" hidden="false" customHeight="false" outlineLevel="0" collapsed="false">
      <c r="M1622" s="24" t="str">
        <f aca="false">IF($C1622="","",IFERROR(INDEX(Account_Mapping!$C:$C,MATCH($C1622&amp;"",Account_Mapping!$A:$A,0))&amp;"",""))</f>
        <v/>
      </c>
      <c r="N1622" s="24" t="str">
        <f aca="false">IF($K1622&lt;&gt;"",$K1622,$M1622)</f>
        <v/>
      </c>
      <c r="O1622" s="24" t="str">
        <f aca="false">IF($F1622="","",IFERROR(INDEX(Counterparties!$C:$C,MATCH($F1622&amp;"",Counterparties!$A:$A,0))&amp;"",""))</f>
        <v/>
      </c>
      <c r="P1622" s="24" t="str">
        <f aca="false">IF($O1622="","",IF($O1622="CY","CY",IF(ISNUMBER(MATCH($O1622,Lists!$A:$A,0)),"EU","3RD")))</f>
        <v/>
      </c>
      <c r="Q1622" s="24" t="str">
        <f aca="false">IF($F1622="","N",IFERROR(IF(INDEX(Counterparties!$E:$E,MATCH($F1622&amp;"",Counterparties!$A:$A,0))="Y","Y","N"),"N"))</f>
        <v>N</v>
      </c>
      <c r="R1622" s="25" t="n">
        <f aca="false">IF(OR($H1622="",$H1622="EUR"),1,IFERROR(INDEX(FX_Rates!$D:$D,MATCH($H1622,FX_Rates!$A:$A,0)),""))</f>
        <v>1</v>
      </c>
      <c r="S1622" s="26" t="str">
        <f aca="false">IF(AND($I1622="",$J1622=""),"",IF($J1622&lt;&gt;"",$J1622,IF(OR($R1622="",$R1622=0),"",ROUND($I1622/$R1622,2))))</f>
        <v/>
      </c>
      <c r="T1622" s="24" t="str">
        <f aca="false">IF($N1622="","",IFERROR(INDEX(VAT_Codes!$C:$C,MATCH($N1622,VAT_Codes!$A:$A,0)),"")&amp;"")</f>
        <v/>
      </c>
      <c r="U1622" s="26" t="n">
        <f aca="false">IF(OR($S1622="",$T1622="",$T1622="None"),0,IF($T1622="Output",-$S1622,$S1622))</f>
        <v>0</v>
      </c>
      <c r="V1622" s="27" t="n">
        <f aca="false">IF($N1622="",0,IFERROR(INDEX(VAT_Codes!$D:$D,MATCH($N1622,VAT_Codes!$A:$A,0)),0))</f>
        <v>0</v>
      </c>
      <c r="W1622" s="26" t="n">
        <f aca="false">IF($U1622=0,0,IF(IFERROR(INDEX(VAT_Codes!$F:$F,MATCH($N1622,VAT_Codes!$A:$A,0)),"N")="Y",$U1622,IF($L1622&lt;&gt;"",ROUND(ABS($L1622)/IF(OR($R1622="",$R1622=0),1,$R1622),2)*SIGN($U1622),ROUND($U1622*$V1622,2))))</f>
        <v>0</v>
      </c>
      <c r="X1622" s="24" t="str">
        <f aca="false">IF($N1622="","",IFERROR(INDEX(VAT_Codes!$H:$H,MATCH($N1622,VAT_Codes!$A:$A,0)),"")&amp;"")</f>
        <v/>
      </c>
      <c r="Y1622" s="24" t="str">
        <f aca="false">IF($A1622="","",(YEAR($A1622)-YEAR(Settings!$C$8))*12+MONTH($A1622)-MONTH(Settings!$C$8)+1)</f>
        <v/>
      </c>
      <c r="Z1622" s="24" t="str">
        <f aca="false">IF(AND($C1622="",$I1622="",$J1622=""),"",IF($N1622="","NO VAT CODE",IF($T1622="","UNKNOWN VAT CODE",IF($S1622="","MISSING FX RATE",IF(OR($A1622&lt;Settings!$C$8,$A1622&gt;Settings!$C$9),"OUTSIDE PERIOD",IF(AND(IFERROR(INDEX(VAT_Codes!$E:$E,MATCH($N1622,VAT_Codes!$A:$A,0)),"ANY")&lt;&gt;"ANY",$P1622=""),"MISSING COUNTERPARTY COUNTRY",IF(AND(IFERROR(INDEX(VAT_Codes!$E:$E,MATCH($N1622,VAT_Codes!$A:$A,0)),"ANY")&lt;&gt;"ANY",$P1622&lt;&gt;IFERROR(INDEX(VAT_Codes!$E:$E,MATCH($N1622,VAT_Codes!$A:$A,0)),"ANY")),"REGION MISMATCH","OK")))))))</f>
        <v/>
      </c>
    </row>
    <row r="1623" customFormat="false" ht="15" hidden="false" customHeight="false" outlineLevel="0" collapsed="false">
      <c r="M1623" s="24" t="str">
        <f aca="false">IF($C1623="","",IFERROR(INDEX(Account_Mapping!$C:$C,MATCH($C1623&amp;"",Account_Mapping!$A:$A,0))&amp;"",""))</f>
        <v/>
      </c>
      <c r="N1623" s="24" t="str">
        <f aca="false">IF($K1623&lt;&gt;"",$K1623,$M1623)</f>
        <v/>
      </c>
      <c r="O1623" s="24" t="str">
        <f aca="false">IF($F1623="","",IFERROR(INDEX(Counterparties!$C:$C,MATCH($F1623&amp;"",Counterparties!$A:$A,0))&amp;"",""))</f>
        <v/>
      </c>
      <c r="P1623" s="24" t="str">
        <f aca="false">IF($O1623="","",IF($O1623="CY","CY",IF(ISNUMBER(MATCH($O1623,Lists!$A:$A,0)),"EU","3RD")))</f>
        <v/>
      </c>
      <c r="Q1623" s="24" t="str">
        <f aca="false">IF($F1623="","N",IFERROR(IF(INDEX(Counterparties!$E:$E,MATCH($F1623&amp;"",Counterparties!$A:$A,0))="Y","Y","N"),"N"))</f>
        <v>N</v>
      </c>
      <c r="R1623" s="25" t="n">
        <f aca="false">IF(OR($H1623="",$H1623="EUR"),1,IFERROR(INDEX(FX_Rates!$D:$D,MATCH($H1623,FX_Rates!$A:$A,0)),""))</f>
        <v>1</v>
      </c>
      <c r="S1623" s="26" t="str">
        <f aca="false">IF(AND($I1623="",$J1623=""),"",IF($J1623&lt;&gt;"",$J1623,IF(OR($R1623="",$R1623=0),"",ROUND($I1623/$R1623,2))))</f>
        <v/>
      </c>
      <c r="T1623" s="24" t="str">
        <f aca="false">IF($N1623="","",IFERROR(INDEX(VAT_Codes!$C:$C,MATCH($N1623,VAT_Codes!$A:$A,0)),"")&amp;"")</f>
        <v/>
      </c>
      <c r="U1623" s="26" t="n">
        <f aca="false">IF(OR($S1623="",$T1623="",$T1623="None"),0,IF($T1623="Output",-$S1623,$S1623))</f>
        <v>0</v>
      </c>
      <c r="V1623" s="27" t="n">
        <f aca="false">IF($N1623="",0,IFERROR(INDEX(VAT_Codes!$D:$D,MATCH($N1623,VAT_Codes!$A:$A,0)),0))</f>
        <v>0</v>
      </c>
      <c r="W1623" s="26" t="n">
        <f aca="false">IF($U1623=0,0,IF(IFERROR(INDEX(VAT_Codes!$F:$F,MATCH($N1623,VAT_Codes!$A:$A,0)),"N")="Y",$U1623,IF($L1623&lt;&gt;"",ROUND(ABS($L1623)/IF(OR($R1623="",$R1623=0),1,$R1623),2)*SIGN($U1623),ROUND($U1623*$V1623,2))))</f>
        <v>0</v>
      </c>
      <c r="X1623" s="24" t="str">
        <f aca="false">IF($N1623="","",IFERROR(INDEX(VAT_Codes!$H:$H,MATCH($N1623,VAT_Codes!$A:$A,0)),"")&amp;"")</f>
        <v/>
      </c>
      <c r="Y1623" s="24" t="str">
        <f aca="false">IF($A1623="","",(YEAR($A1623)-YEAR(Settings!$C$8))*12+MONTH($A1623)-MONTH(Settings!$C$8)+1)</f>
        <v/>
      </c>
      <c r="Z1623" s="24" t="str">
        <f aca="false">IF(AND($C1623="",$I1623="",$J1623=""),"",IF($N1623="","NO VAT CODE",IF($T1623="","UNKNOWN VAT CODE",IF($S1623="","MISSING FX RATE",IF(OR($A1623&lt;Settings!$C$8,$A1623&gt;Settings!$C$9),"OUTSIDE PERIOD",IF(AND(IFERROR(INDEX(VAT_Codes!$E:$E,MATCH($N1623,VAT_Codes!$A:$A,0)),"ANY")&lt;&gt;"ANY",$P1623=""),"MISSING COUNTERPARTY COUNTRY",IF(AND(IFERROR(INDEX(VAT_Codes!$E:$E,MATCH($N1623,VAT_Codes!$A:$A,0)),"ANY")&lt;&gt;"ANY",$P1623&lt;&gt;IFERROR(INDEX(VAT_Codes!$E:$E,MATCH($N1623,VAT_Codes!$A:$A,0)),"ANY")),"REGION MISMATCH","OK")))))))</f>
        <v/>
      </c>
    </row>
    <row r="1624" customFormat="false" ht="15" hidden="false" customHeight="false" outlineLevel="0" collapsed="false">
      <c r="M1624" s="24" t="str">
        <f aca="false">IF($C1624="","",IFERROR(INDEX(Account_Mapping!$C:$C,MATCH($C1624&amp;"",Account_Mapping!$A:$A,0))&amp;"",""))</f>
        <v/>
      </c>
      <c r="N1624" s="24" t="str">
        <f aca="false">IF($K1624&lt;&gt;"",$K1624,$M1624)</f>
        <v/>
      </c>
      <c r="O1624" s="24" t="str">
        <f aca="false">IF($F1624="","",IFERROR(INDEX(Counterparties!$C:$C,MATCH($F1624&amp;"",Counterparties!$A:$A,0))&amp;"",""))</f>
        <v/>
      </c>
      <c r="P1624" s="24" t="str">
        <f aca="false">IF($O1624="","",IF($O1624="CY","CY",IF(ISNUMBER(MATCH($O1624,Lists!$A:$A,0)),"EU","3RD")))</f>
        <v/>
      </c>
      <c r="Q1624" s="24" t="str">
        <f aca="false">IF($F1624="","N",IFERROR(IF(INDEX(Counterparties!$E:$E,MATCH($F1624&amp;"",Counterparties!$A:$A,0))="Y","Y","N"),"N"))</f>
        <v>N</v>
      </c>
      <c r="R1624" s="25" t="n">
        <f aca="false">IF(OR($H1624="",$H1624="EUR"),1,IFERROR(INDEX(FX_Rates!$D:$D,MATCH($H1624,FX_Rates!$A:$A,0)),""))</f>
        <v>1</v>
      </c>
      <c r="S1624" s="26" t="str">
        <f aca="false">IF(AND($I1624="",$J1624=""),"",IF($J1624&lt;&gt;"",$J1624,IF(OR($R1624="",$R1624=0),"",ROUND($I1624/$R1624,2))))</f>
        <v/>
      </c>
      <c r="T1624" s="24" t="str">
        <f aca="false">IF($N1624="","",IFERROR(INDEX(VAT_Codes!$C:$C,MATCH($N1624,VAT_Codes!$A:$A,0)),"")&amp;"")</f>
        <v/>
      </c>
      <c r="U1624" s="26" t="n">
        <f aca="false">IF(OR($S1624="",$T1624="",$T1624="None"),0,IF($T1624="Output",-$S1624,$S1624))</f>
        <v>0</v>
      </c>
      <c r="V1624" s="27" t="n">
        <f aca="false">IF($N1624="",0,IFERROR(INDEX(VAT_Codes!$D:$D,MATCH($N1624,VAT_Codes!$A:$A,0)),0))</f>
        <v>0</v>
      </c>
      <c r="W1624" s="26" t="n">
        <f aca="false">IF($U1624=0,0,IF(IFERROR(INDEX(VAT_Codes!$F:$F,MATCH($N1624,VAT_Codes!$A:$A,0)),"N")="Y",$U1624,IF($L1624&lt;&gt;"",ROUND(ABS($L1624)/IF(OR($R1624="",$R1624=0),1,$R1624),2)*SIGN($U1624),ROUND($U1624*$V1624,2))))</f>
        <v>0</v>
      </c>
      <c r="X1624" s="24" t="str">
        <f aca="false">IF($N1624="","",IFERROR(INDEX(VAT_Codes!$H:$H,MATCH($N1624,VAT_Codes!$A:$A,0)),"")&amp;"")</f>
        <v/>
      </c>
      <c r="Y1624" s="24" t="str">
        <f aca="false">IF($A1624="","",(YEAR($A1624)-YEAR(Settings!$C$8))*12+MONTH($A1624)-MONTH(Settings!$C$8)+1)</f>
        <v/>
      </c>
      <c r="Z1624" s="24" t="str">
        <f aca="false">IF(AND($C1624="",$I1624="",$J1624=""),"",IF($N1624="","NO VAT CODE",IF($T1624="","UNKNOWN VAT CODE",IF($S1624="","MISSING FX RATE",IF(OR($A1624&lt;Settings!$C$8,$A1624&gt;Settings!$C$9),"OUTSIDE PERIOD",IF(AND(IFERROR(INDEX(VAT_Codes!$E:$E,MATCH($N1624,VAT_Codes!$A:$A,0)),"ANY")&lt;&gt;"ANY",$P1624=""),"MISSING COUNTERPARTY COUNTRY",IF(AND(IFERROR(INDEX(VAT_Codes!$E:$E,MATCH($N1624,VAT_Codes!$A:$A,0)),"ANY")&lt;&gt;"ANY",$P1624&lt;&gt;IFERROR(INDEX(VAT_Codes!$E:$E,MATCH($N1624,VAT_Codes!$A:$A,0)),"ANY")),"REGION MISMATCH","OK")))))))</f>
        <v/>
      </c>
    </row>
    <row r="1625" customFormat="false" ht="15" hidden="false" customHeight="false" outlineLevel="0" collapsed="false">
      <c r="M1625" s="24" t="str">
        <f aca="false">IF($C1625="","",IFERROR(INDEX(Account_Mapping!$C:$C,MATCH($C1625&amp;"",Account_Mapping!$A:$A,0))&amp;"",""))</f>
        <v/>
      </c>
      <c r="N1625" s="24" t="str">
        <f aca="false">IF($K1625&lt;&gt;"",$K1625,$M1625)</f>
        <v/>
      </c>
      <c r="O1625" s="24" t="str">
        <f aca="false">IF($F1625="","",IFERROR(INDEX(Counterparties!$C:$C,MATCH($F1625&amp;"",Counterparties!$A:$A,0))&amp;"",""))</f>
        <v/>
      </c>
      <c r="P1625" s="24" t="str">
        <f aca="false">IF($O1625="","",IF($O1625="CY","CY",IF(ISNUMBER(MATCH($O1625,Lists!$A:$A,0)),"EU","3RD")))</f>
        <v/>
      </c>
      <c r="Q1625" s="24" t="str">
        <f aca="false">IF($F1625="","N",IFERROR(IF(INDEX(Counterparties!$E:$E,MATCH($F1625&amp;"",Counterparties!$A:$A,0))="Y","Y","N"),"N"))</f>
        <v>N</v>
      </c>
      <c r="R1625" s="25" t="n">
        <f aca="false">IF(OR($H1625="",$H1625="EUR"),1,IFERROR(INDEX(FX_Rates!$D:$D,MATCH($H1625,FX_Rates!$A:$A,0)),""))</f>
        <v>1</v>
      </c>
      <c r="S1625" s="26" t="str">
        <f aca="false">IF(AND($I1625="",$J1625=""),"",IF($J1625&lt;&gt;"",$J1625,IF(OR($R1625="",$R1625=0),"",ROUND($I1625/$R1625,2))))</f>
        <v/>
      </c>
      <c r="T1625" s="24" t="str">
        <f aca="false">IF($N1625="","",IFERROR(INDEX(VAT_Codes!$C:$C,MATCH($N1625,VAT_Codes!$A:$A,0)),"")&amp;"")</f>
        <v/>
      </c>
      <c r="U1625" s="26" t="n">
        <f aca="false">IF(OR($S1625="",$T1625="",$T1625="None"),0,IF($T1625="Output",-$S1625,$S1625))</f>
        <v>0</v>
      </c>
      <c r="V1625" s="27" t="n">
        <f aca="false">IF($N1625="",0,IFERROR(INDEX(VAT_Codes!$D:$D,MATCH($N1625,VAT_Codes!$A:$A,0)),0))</f>
        <v>0</v>
      </c>
      <c r="W1625" s="26" t="n">
        <f aca="false">IF($U1625=0,0,IF(IFERROR(INDEX(VAT_Codes!$F:$F,MATCH($N1625,VAT_Codes!$A:$A,0)),"N")="Y",$U1625,IF($L1625&lt;&gt;"",ROUND(ABS($L1625)/IF(OR($R1625="",$R1625=0),1,$R1625),2)*SIGN($U1625),ROUND($U1625*$V1625,2))))</f>
        <v>0</v>
      </c>
      <c r="X1625" s="24" t="str">
        <f aca="false">IF($N1625="","",IFERROR(INDEX(VAT_Codes!$H:$H,MATCH($N1625,VAT_Codes!$A:$A,0)),"")&amp;"")</f>
        <v/>
      </c>
      <c r="Y1625" s="24" t="str">
        <f aca="false">IF($A1625="","",(YEAR($A1625)-YEAR(Settings!$C$8))*12+MONTH($A1625)-MONTH(Settings!$C$8)+1)</f>
        <v/>
      </c>
      <c r="Z1625" s="24" t="str">
        <f aca="false">IF(AND($C1625="",$I1625="",$J1625=""),"",IF($N1625="","NO VAT CODE",IF($T1625="","UNKNOWN VAT CODE",IF($S1625="","MISSING FX RATE",IF(OR($A1625&lt;Settings!$C$8,$A1625&gt;Settings!$C$9),"OUTSIDE PERIOD",IF(AND(IFERROR(INDEX(VAT_Codes!$E:$E,MATCH($N1625,VAT_Codes!$A:$A,0)),"ANY")&lt;&gt;"ANY",$P1625=""),"MISSING COUNTERPARTY COUNTRY",IF(AND(IFERROR(INDEX(VAT_Codes!$E:$E,MATCH($N1625,VAT_Codes!$A:$A,0)),"ANY")&lt;&gt;"ANY",$P1625&lt;&gt;IFERROR(INDEX(VAT_Codes!$E:$E,MATCH($N1625,VAT_Codes!$A:$A,0)),"ANY")),"REGION MISMATCH","OK")))))))</f>
        <v/>
      </c>
    </row>
    <row r="1626" customFormat="false" ht="15" hidden="false" customHeight="false" outlineLevel="0" collapsed="false">
      <c r="M1626" s="24" t="str">
        <f aca="false">IF($C1626="","",IFERROR(INDEX(Account_Mapping!$C:$C,MATCH($C1626&amp;"",Account_Mapping!$A:$A,0))&amp;"",""))</f>
        <v/>
      </c>
      <c r="N1626" s="24" t="str">
        <f aca="false">IF($K1626&lt;&gt;"",$K1626,$M1626)</f>
        <v/>
      </c>
      <c r="O1626" s="24" t="str">
        <f aca="false">IF($F1626="","",IFERROR(INDEX(Counterparties!$C:$C,MATCH($F1626&amp;"",Counterparties!$A:$A,0))&amp;"",""))</f>
        <v/>
      </c>
      <c r="P1626" s="24" t="str">
        <f aca="false">IF($O1626="","",IF($O1626="CY","CY",IF(ISNUMBER(MATCH($O1626,Lists!$A:$A,0)),"EU","3RD")))</f>
        <v/>
      </c>
      <c r="Q1626" s="24" t="str">
        <f aca="false">IF($F1626="","N",IFERROR(IF(INDEX(Counterparties!$E:$E,MATCH($F1626&amp;"",Counterparties!$A:$A,0))="Y","Y","N"),"N"))</f>
        <v>N</v>
      </c>
      <c r="R1626" s="25" t="n">
        <f aca="false">IF(OR($H1626="",$H1626="EUR"),1,IFERROR(INDEX(FX_Rates!$D:$D,MATCH($H1626,FX_Rates!$A:$A,0)),""))</f>
        <v>1</v>
      </c>
      <c r="S1626" s="26" t="str">
        <f aca="false">IF(AND($I1626="",$J1626=""),"",IF($J1626&lt;&gt;"",$J1626,IF(OR($R1626="",$R1626=0),"",ROUND($I1626/$R1626,2))))</f>
        <v/>
      </c>
      <c r="T1626" s="24" t="str">
        <f aca="false">IF($N1626="","",IFERROR(INDEX(VAT_Codes!$C:$C,MATCH($N1626,VAT_Codes!$A:$A,0)),"")&amp;"")</f>
        <v/>
      </c>
      <c r="U1626" s="26" t="n">
        <f aca="false">IF(OR($S1626="",$T1626="",$T1626="None"),0,IF($T1626="Output",-$S1626,$S1626))</f>
        <v>0</v>
      </c>
      <c r="V1626" s="27" t="n">
        <f aca="false">IF($N1626="",0,IFERROR(INDEX(VAT_Codes!$D:$D,MATCH($N1626,VAT_Codes!$A:$A,0)),0))</f>
        <v>0</v>
      </c>
      <c r="W1626" s="26" t="n">
        <f aca="false">IF($U1626=0,0,IF(IFERROR(INDEX(VAT_Codes!$F:$F,MATCH($N1626,VAT_Codes!$A:$A,0)),"N")="Y",$U1626,IF($L1626&lt;&gt;"",ROUND(ABS($L1626)/IF(OR($R1626="",$R1626=0),1,$R1626),2)*SIGN($U1626),ROUND($U1626*$V1626,2))))</f>
        <v>0</v>
      </c>
      <c r="X1626" s="24" t="str">
        <f aca="false">IF($N1626="","",IFERROR(INDEX(VAT_Codes!$H:$H,MATCH($N1626,VAT_Codes!$A:$A,0)),"")&amp;"")</f>
        <v/>
      </c>
      <c r="Y1626" s="24" t="str">
        <f aca="false">IF($A1626="","",(YEAR($A1626)-YEAR(Settings!$C$8))*12+MONTH($A1626)-MONTH(Settings!$C$8)+1)</f>
        <v/>
      </c>
      <c r="Z1626" s="24" t="str">
        <f aca="false">IF(AND($C1626="",$I1626="",$J1626=""),"",IF($N1626="","NO VAT CODE",IF($T1626="","UNKNOWN VAT CODE",IF($S1626="","MISSING FX RATE",IF(OR($A1626&lt;Settings!$C$8,$A1626&gt;Settings!$C$9),"OUTSIDE PERIOD",IF(AND(IFERROR(INDEX(VAT_Codes!$E:$E,MATCH($N1626,VAT_Codes!$A:$A,0)),"ANY")&lt;&gt;"ANY",$P1626=""),"MISSING COUNTERPARTY COUNTRY",IF(AND(IFERROR(INDEX(VAT_Codes!$E:$E,MATCH($N1626,VAT_Codes!$A:$A,0)),"ANY")&lt;&gt;"ANY",$P1626&lt;&gt;IFERROR(INDEX(VAT_Codes!$E:$E,MATCH($N1626,VAT_Codes!$A:$A,0)),"ANY")),"REGION MISMATCH","OK")))))))</f>
        <v/>
      </c>
    </row>
    <row r="1627" customFormat="false" ht="15" hidden="false" customHeight="false" outlineLevel="0" collapsed="false">
      <c r="M1627" s="24" t="str">
        <f aca="false">IF($C1627="","",IFERROR(INDEX(Account_Mapping!$C:$C,MATCH($C1627&amp;"",Account_Mapping!$A:$A,0))&amp;"",""))</f>
        <v/>
      </c>
      <c r="N1627" s="24" t="str">
        <f aca="false">IF($K1627&lt;&gt;"",$K1627,$M1627)</f>
        <v/>
      </c>
      <c r="O1627" s="24" t="str">
        <f aca="false">IF($F1627="","",IFERROR(INDEX(Counterparties!$C:$C,MATCH($F1627&amp;"",Counterparties!$A:$A,0))&amp;"",""))</f>
        <v/>
      </c>
      <c r="P1627" s="24" t="str">
        <f aca="false">IF($O1627="","",IF($O1627="CY","CY",IF(ISNUMBER(MATCH($O1627,Lists!$A:$A,0)),"EU","3RD")))</f>
        <v/>
      </c>
      <c r="Q1627" s="24" t="str">
        <f aca="false">IF($F1627="","N",IFERROR(IF(INDEX(Counterparties!$E:$E,MATCH($F1627&amp;"",Counterparties!$A:$A,0))="Y","Y","N"),"N"))</f>
        <v>N</v>
      </c>
      <c r="R1627" s="25" t="n">
        <f aca="false">IF(OR($H1627="",$H1627="EUR"),1,IFERROR(INDEX(FX_Rates!$D:$D,MATCH($H1627,FX_Rates!$A:$A,0)),""))</f>
        <v>1</v>
      </c>
      <c r="S1627" s="26" t="str">
        <f aca="false">IF(AND($I1627="",$J1627=""),"",IF($J1627&lt;&gt;"",$J1627,IF(OR($R1627="",$R1627=0),"",ROUND($I1627/$R1627,2))))</f>
        <v/>
      </c>
      <c r="T1627" s="24" t="str">
        <f aca="false">IF($N1627="","",IFERROR(INDEX(VAT_Codes!$C:$C,MATCH($N1627,VAT_Codes!$A:$A,0)),"")&amp;"")</f>
        <v/>
      </c>
      <c r="U1627" s="26" t="n">
        <f aca="false">IF(OR($S1627="",$T1627="",$T1627="None"),0,IF($T1627="Output",-$S1627,$S1627))</f>
        <v>0</v>
      </c>
      <c r="V1627" s="27" t="n">
        <f aca="false">IF($N1627="",0,IFERROR(INDEX(VAT_Codes!$D:$D,MATCH($N1627,VAT_Codes!$A:$A,0)),0))</f>
        <v>0</v>
      </c>
      <c r="W1627" s="26" t="n">
        <f aca="false">IF($U1627=0,0,IF(IFERROR(INDEX(VAT_Codes!$F:$F,MATCH($N1627,VAT_Codes!$A:$A,0)),"N")="Y",$U1627,IF($L1627&lt;&gt;"",ROUND(ABS($L1627)/IF(OR($R1627="",$R1627=0),1,$R1627),2)*SIGN($U1627),ROUND($U1627*$V1627,2))))</f>
        <v>0</v>
      </c>
      <c r="X1627" s="24" t="str">
        <f aca="false">IF($N1627="","",IFERROR(INDEX(VAT_Codes!$H:$H,MATCH($N1627,VAT_Codes!$A:$A,0)),"")&amp;"")</f>
        <v/>
      </c>
      <c r="Y1627" s="24" t="str">
        <f aca="false">IF($A1627="","",(YEAR($A1627)-YEAR(Settings!$C$8))*12+MONTH($A1627)-MONTH(Settings!$C$8)+1)</f>
        <v/>
      </c>
      <c r="Z1627" s="24" t="str">
        <f aca="false">IF(AND($C1627="",$I1627="",$J1627=""),"",IF($N1627="","NO VAT CODE",IF($T1627="","UNKNOWN VAT CODE",IF($S1627="","MISSING FX RATE",IF(OR($A1627&lt;Settings!$C$8,$A1627&gt;Settings!$C$9),"OUTSIDE PERIOD",IF(AND(IFERROR(INDEX(VAT_Codes!$E:$E,MATCH($N1627,VAT_Codes!$A:$A,0)),"ANY")&lt;&gt;"ANY",$P1627=""),"MISSING COUNTERPARTY COUNTRY",IF(AND(IFERROR(INDEX(VAT_Codes!$E:$E,MATCH($N1627,VAT_Codes!$A:$A,0)),"ANY")&lt;&gt;"ANY",$P1627&lt;&gt;IFERROR(INDEX(VAT_Codes!$E:$E,MATCH($N1627,VAT_Codes!$A:$A,0)),"ANY")),"REGION MISMATCH","OK")))))))</f>
        <v/>
      </c>
    </row>
    <row r="1628" customFormat="false" ht="15" hidden="false" customHeight="false" outlineLevel="0" collapsed="false">
      <c r="M1628" s="24" t="str">
        <f aca="false">IF($C1628="","",IFERROR(INDEX(Account_Mapping!$C:$C,MATCH($C1628&amp;"",Account_Mapping!$A:$A,0))&amp;"",""))</f>
        <v/>
      </c>
      <c r="N1628" s="24" t="str">
        <f aca="false">IF($K1628&lt;&gt;"",$K1628,$M1628)</f>
        <v/>
      </c>
      <c r="O1628" s="24" t="str">
        <f aca="false">IF($F1628="","",IFERROR(INDEX(Counterparties!$C:$C,MATCH($F1628&amp;"",Counterparties!$A:$A,0))&amp;"",""))</f>
        <v/>
      </c>
      <c r="P1628" s="24" t="str">
        <f aca="false">IF($O1628="","",IF($O1628="CY","CY",IF(ISNUMBER(MATCH($O1628,Lists!$A:$A,0)),"EU","3RD")))</f>
        <v/>
      </c>
      <c r="Q1628" s="24" t="str">
        <f aca="false">IF($F1628="","N",IFERROR(IF(INDEX(Counterparties!$E:$E,MATCH($F1628&amp;"",Counterparties!$A:$A,0))="Y","Y","N"),"N"))</f>
        <v>N</v>
      </c>
      <c r="R1628" s="25" t="n">
        <f aca="false">IF(OR($H1628="",$H1628="EUR"),1,IFERROR(INDEX(FX_Rates!$D:$D,MATCH($H1628,FX_Rates!$A:$A,0)),""))</f>
        <v>1</v>
      </c>
      <c r="S1628" s="26" t="str">
        <f aca="false">IF(AND($I1628="",$J1628=""),"",IF($J1628&lt;&gt;"",$J1628,IF(OR($R1628="",$R1628=0),"",ROUND($I1628/$R1628,2))))</f>
        <v/>
      </c>
      <c r="T1628" s="24" t="str">
        <f aca="false">IF($N1628="","",IFERROR(INDEX(VAT_Codes!$C:$C,MATCH($N1628,VAT_Codes!$A:$A,0)),"")&amp;"")</f>
        <v/>
      </c>
      <c r="U1628" s="26" t="n">
        <f aca="false">IF(OR($S1628="",$T1628="",$T1628="None"),0,IF($T1628="Output",-$S1628,$S1628))</f>
        <v>0</v>
      </c>
      <c r="V1628" s="27" t="n">
        <f aca="false">IF($N1628="",0,IFERROR(INDEX(VAT_Codes!$D:$D,MATCH($N1628,VAT_Codes!$A:$A,0)),0))</f>
        <v>0</v>
      </c>
      <c r="W1628" s="26" t="n">
        <f aca="false">IF($U1628=0,0,IF(IFERROR(INDEX(VAT_Codes!$F:$F,MATCH($N1628,VAT_Codes!$A:$A,0)),"N")="Y",$U1628,IF($L1628&lt;&gt;"",ROUND(ABS($L1628)/IF(OR($R1628="",$R1628=0),1,$R1628),2)*SIGN($U1628),ROUND($U1628*$V1628,2))))</f>
        <v>0</v>
      </c>
      <c r="X1628" s="24" t="str">
        <f aca="false">IF($N1628="","",IFERROR(INDEX(VAT_Codes!$H:$H,MATCH($N1628,VAT_Codes!$A:$A,0)),"")&amp;"")</f>
        <v/>
      </c>
      <c r="Y1628" s="24" t="str">
        <f aca="false">IF($A1628="","",(YEAR($A1628)-YEAR(Settings!$C$8))*12+MONTH($A1628)-MONTH(Settings!$C$8)+1)</f>
        <v/>
      </c>
      <c r="Z1628" s="24" t="str">
        <f aca="false">IF(AND($C1628="",$I1628="",$J1628=""),"",IF($N1628="","NO VAT CODE",IF($T1628="","UNKNOWN VAT CODE",IF($S1628="","MISSING FX RATE",IF(OR($A1628&lt;Settings!$C$8,$A1628&gt;Settings!$C$9),"OUTSIDE PERIOD",IF(AND(IFERROR(INDEX(VAT_Codes!$E:$E,MATCH($N1628,VAT_Codes!$A:$A,0)),"ANY")&lt;&gt;"ANY",$P1628=""),"MISSING COUNTERPARTY COUNTRY",IF(AND(IFERROR(INDEX(VAT_Codes!$E:$E,MATCH($N1628,VAT_Codes!$A:$A,0)),"ANY")&lt;&gt;"ANY",$P1628&lt;&gt;IFERROR(INDEX(VAT_Codes!$E:$E,MATCH($N1628,VAT_Codes!$A:$A,0)),"ANY")),"REGION MISMATCH","OK")))))))</f>
        <v/>
      </c>
    </row>
    <row r="1629" customFormat="false" ht="15" hidden="false" customHeight="false" outlineLevel="0" collapsed="false">
      <c r="M1629" s="24" t="str">
        <f aca="false">IF($C1629="","",IFERROR(INDEX(Account_Mapping!$C:$C,MATCH($C1629&amp;"",Account_Mapping!$A:$A,0))&amp;"",""))</f>
        <v/>
      </c>
      <c r="N1629" s="24" t="str">
        <f aca="false">IF($K1629&lt;&gt;"",$K1629,$M1629)</f>
        <v/>
      </c>
      <c r="O1629" s="24" t="str">
        <f aca="false">IF($F1629="","",IFERROR(INDEX(Counterparties!$C:$C,MATCH($F1629&amp;"",Counterparties!$A:$A,0))&amp;"",""))</f>
        <v/>
      </c>
      <c r="P1629" s="24" t="str">
        <f aca="false">IF($O1629="","",IF($O1629="CY","CY",IF(ISNUMBER(MATCH($O1629,Lists!$A:$A,0)),"EU","3RD")))</f>
        <v/>
      </c>
      <c r="Q1629" s="24" t="str">
        <f aca="false">IF($F1629="","N",IFERROR(IF(INDEX(Counterparties!$E:$E,MATCH($F1629&amp;"",Counterparties!$A:$A,0))="Y","Y","N"),"N"))</f>
        <v>N</v>
      </c>
      <c r="R1629" s="25" t="n">
        <f aca="false">IF(OR($H1629="",$H1629="EUR"),1,IFERROR(INDEX(FX_Rates!$D:$D,MATCH($H1629,FX_Rates!$A:$A,0)),""))</f>
        <v>1</v>
      </c>
      <c r="S1629" s="26" t="str">
        <f aca="false">IF(AND($I1629="",$J1629=""),"",IF($J1629&lt;&gt;"",$J1629,IF(OR($R1629="",$R1629=0),"",ROUND($I1629/$R1629,2))))</f>
        <v/>
      </c>
      <c r="T1629" s="24" t="str">
        <f aca="false">IF($N1629="","",IFERROR(INDEX(VAT_Codes!$C:$C,MATCH($N1629,VAT_Codes!$A:$A,0)),"")&amp;"")</f>
        <v/>
      </c>
      <c r="U1629" s="26" t="n">
        <f aca="false">IF(OR($S1629="",$T1629="",$T1629="None"),0,IF($T1629="Output",-$S1629,$S1629))</f>
        <v>0</v>
      </c>
      <c r="V1629" s="27" t="n">
        <f aca="false">IF($N1629="",0,IFERROR(INDEX(VAT_Codes!$D:$D,MATCH($N1629,VAT_Codes!$A:$A,0)),0))</f>
        <v>0</v>
      </c>
      <c r="W1629" s="26" t="n">
        <f aca="false">IF($U1629=0,0,IF(IFERROR(INDEX(VAT_Codes!$F:$F,MATCH($N1629,VAT_Codes!$A:$A,0)),"N")="Y",$U1629,IF($L1629&lt;&gt;"",ROUND(ABS($L1629)/IF(OR($R1629="",$R1629=0),1,$R1629),2)*SIGN($U1629),ROUND($U1629*$V1629,2))))</f>
        <v>0</v>
      </c>
      <c r="X1629" s="24" t="str">
        <f aca="false">IF($N1629="","",IFERROR(INDEX(VAT_Codes!$H:$H,MATCH($N1629,VAT_Codes!$A:$A,0)),"")&amp;"")</f>
        <v/>
      </c>
      <c r="Y1629" s="24" t="str">
        <f aca="false">IF($A1629="","",(YEAR($A1629)-YEAR(Settings!$C$8))*12+MONTH($A1629)-MONTH(Settings!$C$8)+1)</f>
        <v/>
      </c>
      <c r="Z1629" s="24" t="str">
        <f aca="false">IF(AND($C1629="",$I1629="",$J1629=""),"",IF($N1629="","NO VAT CODE",IF($T1629="","UNKNOWN VAT CODE",IF($S1629="","MISSING FX RATE",IF(OR($A1629&lt;Settings!$C$8,$A1629&gt;Settings!$C$9),"OUTSIDE PERIOD",IF(AND(IFERROR(INDEX(VAT_Codes!$E:$E,MATCH($N1629,VAT_Codes!$A:$A,0)),"ANY")&lt;&gt;"ANY",$P1629=""),"MISSING COUNTERPARTY COUNTRY",IF(AND(IFERROR(INDEX(VAT_Codes!$E:$E,MATCH($N1629,VAT_Codes!$A:$A,0)),"ANY")&lt;&gt;"ANY",$P1629&lt;&gt;IFERROR(INDEX(VAT_Codes!$E:$E,MATCH($N1629,VAT_Codes!$A:$A,0)),"ANY")),"REGION MISMATCH","OK")))))))</f>
        <v/>
      </c>
    </row>
    <row r="1630" customFormat="false" ht="15" hidden="false" customHeight="false" outlineLevel="0" collapsed="false">
      <c r="M1630" s="24" t="str">
        <f aca="false">IF($C1630="","",IFERROR(INDEX(Account_Mapping!$C:$C,MATCH($C1630&amp;"",Account_Mapping!$A:$A,0))&amp;"",""))</f>
        <v/>
      </c>
      <c r="N1630" s="24" t="str">
        <f aca="false">IF($K1630&lt;&gt;"",$K1630,$M1630)</f>
        <v/>
      </c>
      <c r="O1630" s="24" t="str">
        <f aca="false">IF($F1630="","",IFERROR(INDEX(Counterparties!$C:$C,MATCH($F1630&amp;"",Counterparties!$A:$A,0))&amp;"",""))</f>
        <v/>
      </c>
      <c r="P1630" s="24" t="str">
        <f aca="false">IF($O1630="","",IF($O1630="CY","CY",IF(ISNUMBER(MATCH($O1630,Lists!$A:$A,0)),"EU","3RD")))</f>
        <v/>
      </c>
      <c r="Q1630" s="24" t="str">
        <f aca="false">IF($F1630="","N",IFERROR(IF(INDEX(Counterparties!$E:$E,MATCH($F1630&amp;"",Counterparties!$A:$A,0))="Y","Y","N"),"N"))</f>
        <v>N</v>
      </c>
      <c r="R1630" s="25" t="n">
        <f aca="false">IF(OR($H1630="",$H1630="EUR"),1,IFERROR(INDEX(FX_Rates!$D:$D,MATCH($H1630,FX_Rates!$A:$A,0)),""))</f>
        <v>1</v>
      </c>
      <c r="S1630" s="26" t="str">
        <f aca="false">IF(AND($I1630="",$J1630=""),"",IF($J1630&lt;&gt;"",$J1630,IF(OR($R1630="",$R1630=0),"",ROUND($I1630/$R1630,2))))</f>
        <v/>
      </c>
      <c r="T1630" s="24" t="str">
        <f aca="false">IF($N1630="","",IFERROR(INDEX(VAT_Codes!$C:$C,MATCH($N1630,VAT_Codes!$A:$A,0)),"")&amp;"")</f>
        <v/>
      </c>
      <c r="U1630" s="26" t="n">
        <f aca="false">IF(OR($S1630="",$T1630="",$T1630="None"),0,IF($T1630="Output",-$S1630,$S1630))</f>
        <v>0</v>
      </c>
      <c r="V1630" s="27" t="n">
        <f aca="false">IF($N1630="",0,IFERROR(INDEX(VAT_Codes!$D:$D,MATCH($N1630,VAT_Codes!$A:$A,0)),0))</f>
        <v>0</v>
      </c>
      <c r="W1630" s="26" t="n">
        <f aca="false">IF($U1630=0,0,IF(IFERROR(INDEX(VAT_Codes!$F:$F,MATCH($N1630,VAT_Codes!$A:$A,0)),"N")="Y",$U1630,IF($L1630&lt;&gt;"",ROUND(ABS($L1630)/IF(OR($R1630="",$R1630=0),1,$R1630),2)*SIGN($U1630),ROUND($U1630*$V1630,2))))</f>
        <v>0</v>
      </c>
      <c r="X1630" s="24" t="str">
        <f aca="false">IF($N1630="","",IFERROR(INDEX(VAT_Codes!$H:$H,MATCH($N1630,VAT_Codes!$A:$A,0)),"")&amp;"")</f>
        <v/>
      </c>
      <c r="Y1630" s="24" t="str">
        <f aca="false">IF($A1630="","",(YEAR($A1630)-YEAR(Settings!$C$8))*12+MONTH($A1630)-MONTH(Settings!$C$8)+1)</f>
        <v/>
      </c>
      <c r="Z1630" s="24" t="str">
        <f aca="false">IF(AND($C1630="",$I1630="",$J1630=""),"",IF($N1630="","NO VAT CODE",IF($T1630="","UNKNOWN VAT CODE",IF($S1630="","MISSING FX RATE",IF(OR($A1630&lt;Settings!$C$8,$A1630&gt;Settings!$C$9),"OUTSIDE PERIOD",IF(AND(IFERROR(INDEX(VAT_Codes!$E:$E,MATCH($N1630,VAT_Codes!$A:$A,0)),"ANY")&lt;&gt;"ANY",$P1630=""),"MISSING COUNTERPARTY COUNTRY",IF(AND(IFERROR(INDEX(VAT_Codes!$E:$E,MATCH($N1630,VAT_Codes!$A:$A,0)),"ANY")&lt;&gt;"ANY",$P1630&lt;&gt;IFERROR(INDEX(VAT_Codes!$E:$E,MATCH($N1630,VAT_Codes!$A:$A,0)),"ANY")),"REGION MISMATCH","OK")))))))</f>
        <v/>
      </c>
    </row>
    <row r="1631" customFormat="false" ht="15" hidden="false" customHeight="false" outlineLevel="0" collapsed="false">
      <c r="M1631" s="24" t="str">
        <f aca="false">IF($C1631="","",IFERROR(INDEX(Account_Mapping!$C:$C,MATCH($C1631&amp;"",Account_Mapping!$A:$A,0))&amp;"",""))</f>
        <v/>
      </c>
      <c r="N1631" s="24" t="str">
        <f aca="false">IF($K1631&lt;&gt;"",$K1631,$M1631)</f>
        <v/>
      </c>
      <c r="O1631" s="24" t="str">
        <f aca="false">IF($F1631="","",IFERROR(INDEX(Counterparties!$C:$C,MATCH($F1631&amp;"",Counterparties!$A:$A,0))&amp;"",""))</f>
        <v/>
      </c>
      <c r="P1631" s="24" t="str">
        <f aca="false">IF($O1631="","",IF($O1631="CY","CY",IF(ISNUMBER(MATCH($O1631,Lists!$A:$A,0)),"EU","3RD")))</f>
        <v/>
      </c>
      <c r="Q1631" s="24" t="str">
        <f aca="false">IF($F1631="","N",IFERROR(IF(INDEX(Counterparties!$E:$E,MATCH($F1631&amp;"",Counterparties!$A:$A,0))="Y","Y","N"),"N"))</f>
        <v>N</v>
      </c>
      <c r="R1631" s="25" t="n">
        <f aca="false">IF(OR($H1631="",$H1631="EUR"),1,IFERROR(INDEX(FX_Rates!$D:$D,MATCH($H1631,FX_Rates!$A:$A,0)),""))</f>
        <v>1</v>
      </c>
      <c r="S1631" s="26" t="str">
        <f aca="false">IF(AND($I1631="",$J1631=""),"",IF($J1631&lt;&gt;"",$J1631,IF(OR($R1631="",$R1631=0),"",ROUND($I1631/$R1631,2))))</f>
        <v/>
      </c>
      <c r="T1631" s="24" t="str">
        <f aca="false">IF($N1631="","",IFERROR(INDEX(VAT_Codes!$C:$C,MATCH($N1631,VAT_Codes!$A:$A,0)),"")&amp;"")</f>
        <v/>
      </c>
      <c r="U1631" s="26" t="n">
        <f aca="false">IF(OR($S1631="",$T1631="",$T1631="None"),0,IF($T1631="Output",-$S1631,$S1631))</f>
        <v>0</v>
      </c>
      <c r="V1631" s="27" t="n">
        <f aca="false">IF($N1631="",0,IFERROR(INDEX(VAT_Codes!$D:$D,MATCH($N1631,VAT_Codes!$A:$A,0)),0))</f>
        <v>0</v>
      </c>
      <c r="W1631" s="26" t="n">
        <f aca="false">IF($U1631=0,0,IF(IFERROR(INDEX(VAT_Codes!$F:$F,MATCH($N1631,VAT_Codes!$A:$A,0)),"N")="Y",$U1631,IF($L1631&lt;&gt;"",ROUND(ABS($L1631)/IF(OR($R1631="",$R1631=0),1,$R1631),2)*SIGN($U1631),ROUND($U1631*$V1631,2))))</f>
        <v>0</v>
      </c>
      <c r="X1631" s="24" t="str">
        <f aca="false">IF($N1631="","",IFERROR(INDEX(VAT_Codes!$H:$H,MATCH($N1631,VAT_Codes!$A:$A,0)),"")&amp;"")</f>
        <v/>
      </c>
      <c r="Y1631" s="24" t="str">
        <f aca="false">IF($A1631="","",(YEAR($A1631)-YEAR(Settings!$C$8))*12+MONTH($A1631)-MONTH(Settings!$C$8)+1)</f>
        <v/>
      </c>
      <c r="Z1631" s="24" t="str">
        <f aca="false">IF(AND($C1631="",$I1631="",$J1631=""),"",IF($N1631="","NO VAT CODE",IF($T1631="","UNKNOWN VAT CODE",IF($S1631="","MISSING FX RATE",IF(OR($A1631&lt;Settings!$C$8,$A1631&gt;Settings!$C$9),"OUTSIDE PERIOD",IF(AND(IFERROR(INDEX(VAT_Codes!$E:$E,MATCH($N1631,VAT_Codes!$A:$A,0)),"ANY")&lt;&gt;"ANY",$P1631=""),"MISSING COUNTERPARTY COUNTRY",IF(AND(IFERROR(INDEX(VAT_Codes!$E:$E,MATCH($N1631,VAT_Codes!$A:$A,0)),"ANY")&lt;&gt;"ANY",$P1631&lt;&gt;IFERROR(INDEX(VAT_Codes!$E:$E,MATCH($N1631,VAT_Codes!$A:$A,0)),"ANY")),"REGION MISMATCH","OK")))))))</f>
        <v/>
      </c>
    </row>
    <row r="1632" customFormat="false" ht="15" hidden="false" customHeight="false" outlineLevel="0" collapsed="false">
      <c r="M1632" s="24" t="str">
        <f aca="false">IF($C1632="","",IFERROR(INDEX(Account_Mapping!$C:$C,MATCH($C1632&amp;"",Account_Mapping!$A:$A,0))&amp;"",""))</f>
        <v/>
      </c>
      <c r="N1632" s="24" t="str">
        <f aca="false">IF($K1632&lt;&gt;"",$K1632,$M1632)</f>
        <v/>
      </c>
      <c r="O1632" s="24" t="str">
        <f aca="false">IF($F1632="","",IFERROR(INDEX(Counterparties!$C:$C,MATCH($F1632&amp;"",Counterparties!$A:$A,0))&amp;"",""))</f>
        <v/>
      </c>
      <c r="P1632" s="24" t="str">
        <f aca="false">IF($O1632="","",IF($O1632="CY","CY",IF(ISNUMBER(MATCH($O1632,Lists!$A:$A,0)),"EU","3RD")))</f>
        <v/>
      </c>
      <c r="Q1632" s="24" t="str">
        <f aca="false">IF($F1632="","N",IFERROR(IF(INDEX(Counterparties!$E:$E,MATCH($F1632&amp;"",Counterparties!$A:$A,0))="Y","Y","N"),"N"))</f>
        <v>N</v>
      </c>
      <c r="R1632" s="25" t="n">
        <f aca="false">IF(OR($H1632="",$H1632="EUR"),1,IFERROR(INDEX(FX_Rates!$D:$D,MATCH($H1632,FX_Rates!$A:$A,0)),""))</f>
        <v>1</v>
      </c>
      <c r="S1632" s="26" t="str">
        <f aca="false">IF(AND($I1632="",$J1632=""),"",IF($J1632&lt;&gt;"",$J1632,IF(OR($R1632="",$R1632=0),"",ROUND($I1632/$R1632,2))))</f>
        <v/>
      </c>
      <c r="T1632" s="24" t="str">
        <f aca="false">IF($N1632="","",IFERROR(INDEX(VAT_Codes!$C:$C,MATCH($N1632,VAT_Codes!$A:$A,0)),"")&amp;"")</f>
        <v/>
      </c>
      <c r="U1632" s="26" t="n">
        <f aca="false">IF(OR($S1632="",$T1632="",$T1632="None"),0,IF($T1632="Output",-$S1632,$S1632))</f>
        <v>0</v>
      </c>
      <c r="V1632" s="27" t="n">
        <f aca="false">IF($N1632="",0,IFERROR(INDEX(VAT_Codes!$D:$D,MATCH($N1632,VAT_Codes!$A:$A,0)),0))</f>
        <v>0</v>
      </c>
      <c r="W1632" s="26" t="n">
        <f aca="false">IF($U1632=0,0,IF(IFERROR(INDEX(VAT_Codes!$F:$F,MATCH($N1632,VAT_Codes!$A:$A,0)),"N")="Y",$U1632,IF($L1632&lt;&gt;"",ROUND(ABS($L1632)/IF(OR($R1632="",$R1632=0),1,$R1632),2)*SIGN($U1632),ROUND($U1632*$V1632,2))))</f>
        <v>0</v>
      </c>
      <c r="X1632" s="24" t="str">
        <f aca="false">IF($N1632="","",IFERROR(INDEX(VAT_Codes!$H:$H,MATCH($N1632,VAT_Codes!$A:$A,0)),"")&amp;"")</f>
        <v/>
      </c>
      <c r="Y1632" s="24" t="str">
        <f aca="false">IF($A1632="","",(YEAR($A1632)-YEAR(Settings!$C$8))*12+MONTH($A1632)-MONTH(Settings!$C$8)+1)</f>
        <v/>
      </c>
      <c r="Z1632" s="24" t="str">
        <f aca="false">IF(AND($C1632="",$I1632="",$J1632=""),"",IF($N1632="","NO VAT CODE",IF($T1632="","UNKNOWN VAT CODE",IF($S1632="","MISSING FX RATE",IF(OR($A1632&lt;Settings!$C$8,$A1632&gt;Settings!$C$9),"OUTSIDE PERIOD",IF(AND(IFERROR(INDEX(VAT_Codes!$E:$E,MATCH($N1632,VAT_Codes!$A:$A,0)),"ANY")&lt;&gt;"ANY",$P1632=""),"MISSING COUNTERPARTY COUNTRY",IF(AND(IFERROR(INDEX(VAT_Codes!$E:$E,MATCH($N1632,VAT_Codes!$A:$A,0)),"ANY")&lt;&gt;"ANY",$P1632&lt;&gt;IFERROR(INDEX(VAT_Codes!$E:$E,MATCH($N1632,VAT_Codes!$A:$A,0)),"ANY")),"REGION MISMATCH","OK")))))))</f>
        <v/>
      </c>
    </row>
    <row r="1633" customFormat="false" ht="15" hidden="false" customHeight="false" outlineLevel="0" collapsed="false">
      <c r="M1633" s="24" t="str">
        <f aca="false">IF($C1633="","",IFERROR(INDEX(Account_Mapping!$C:$C,MATCH($C1633&amp;"",Account_Mapping!$A:$A,0))&amp;"",""))</f>
        <v/>
      </c>
      <c r="N1633" s="24" t="str">
        <f aca="false">IF($K1633&lt;&gt;"",$K1633,$M1633)</f>
        <v/>
      </c>
      <c r="O1633" s="24" t="str">
        <f aca="false">IF($F1633="","",IFERROR(INDEX(Counterparties!$C:$C,MATCH($F1633&amp;"",Counterparties!$A:$A,0))&amp;"",""))</f>
        <v/>
      </c>
      <c r="P1633" s="24" t="str">
        <f aca="false">IF($O1633="","",IF($O1633="CY","CY",IF(ISNUMBER(MATCH($O1633,Lists!$A:$A,0)),"EU","3RD")))</f>
        <v/>
      </c>
      <c r="Q1633" s="24" t="str">
        <f aca="false">IF($F1633="","N",IFERROR(IF(INDEX(Counterparties!$E:$E,MATCH($F1633&amp;"",Counterparties!$A:$A,0))="Y","Y","N"),"N"))</f>
        <v>N</v>
      </c>
      <c r="R1633" s="25" t="n">
        <f aca="false">IF(OR($H1633="",$H1633="EUR"),1,IFERROR(INDEX(FX_Rates!$D:$D,MATCH($H1633,FX_Rates!$A:$A,0)),""))</f>
        <v>1</v>
      </c>
      <c r="S1633" s="26" t="str">
        <f aca="false">IF(AND($I1633="",$J1633=""),"",IF($J1633&lt;&gt;"",$J1633,IF(OR($R1633="",$R1633=0),"",ROUND($I1633/$R1633,2))))</f>
        <v/>
      </c>
      <c r="T1633" s="24" t="str">
        <f aca="false">IF($N1633="","",IFERROR(INDEX(VAT_Codes!$C:$C,MATCH($N1633,VAT_Codes!$A:$A,0)),"")&amp;"")</f>
        <v/>
      </c>
      <c r="U1633" s="26" t="n">
        <f aca="false">IF(OR($S1633="",$T1633="",$T1633="None"),0,IF($T1633="Output",-$S1633,$S1633))</f>
        <v>0</v>
      </c>
      <c r="V1633" s="27" t="n">
        <f aca="false">IF($N1633="",0,IFERROR(INDEX(VAT_Codes!$D:$D,MATCH($N1633,VAT_Codes!$A:$A,0)),0))</f>
        <v>0</v>
      </c>
      <c r="W1633" s="26" t="n">
        <f aca="false">IF($U1633=0,0,IF(IFERROR(INDEX(VAT_Codes!$F:$F,MATCH($N1633,VAT_Codes!$A:$A,0)),"N")="Y",$U1633,IF($L1633&lt;&gt;"",ROUND(ABS($L1633)/IF(OR($R1633="",$R1633=0),1,$R1633),2)*SIGN($U1633),ROUND($U1633*$V1633,2))))</f>
        <v>0</v>
      </c>
      <c r="X1633" s="24" t="str">
        <f aca="false">IF($N1633="","",IFERROR(INDEX(VAT_Codes!$H:$H,MATCH($N1633,VAT_Codes!$A:$A,0)),"")&amp;"")</f>
        <v/>
      </c>
      <c r="Y1633" s="24" t="str">
        <f aca="false">IF($A1633="","",(YEAR($A1633)-YEAR(Settings!$C$8))*12+MONTH($A1633)-MONTH(Settings!$C$8)+1)</f>
        <v/>
      </c>
      <c r="Z1633" s="24" t="str">
        <f aca="false">IF(AND($C1633="",$I1633="",$J1633=""),"",IF($N1633="","NO VAT CODE",IF($T1633="","UNKNOWN VAT CODE",IF($S1633="","MISSING FX RATE",IF(OR($A1633&lt;Settings!$C$8,$A1633&gt;Settings!$C$9),"OUTSIDE PERIOD",IF(AND(IFERROR(INDEX(VAT_Codes!$E:$E,MATCH($N1633,VAT_Codes!$A:$A,0)),"ANY")&lt;&gt;"ANY",$P1633=""),"MISSING COUNTERPARTY COUNTRY",IF(AND(IFERROR(INDEX(VAT_Codes!$E:$E,MATCH($N1633,VAT_Codes!$A:$A,0)),"ANY")&lt;&gt;"ANY",$P1633&lt;&gt;IFERROR(INDEX(VAT_Codes!$E:$E,MATCH($N1633,VAT_Codes!$A:$A,0)),"ANY")),"REGION MISMATCH","OK")))))))</f>
        <v/>
      </c>
    </row>
    <row r="1634" customFormat="false" ht="15" hidden="false" customHeight="false" outlineLevel="0" collapsed="false">
      <c r="M1634" s="24" t="str">
        <f aca="false">IF($C1634="","",IFERROR(INDEX(Account_Mapping!$C:$C,MATCH($C1634&amp;"",Account_Mapping!$A:$A,0))&amp;"",""))</f>
        <v/>
      </c>
      <c r="N1634" s="24" t="str">
        <f aca="false">IF($K1634&lt;&gt;"",$K1634,$M1634)</f>
        <v/>
      </c>
      <c r="O1634" s="24" t="str">
        <f aca="false">IF($F1634="","",IFERROR(INDEX(Counterparties!$C:$C,MATCH($F1634&amp;"",Counterparties!$A:$A,0))&amp;"",""))</f>
        <v/>
      </c>
      <c r="P1634" s="24" t="str">
        <f aca="false">IF($O1634="","",IF($O1634="CY","CY",IF(ISNUMBER(MATCH($O1634,Lists!$A:$A,0)),"EU","3RD")))</f>
        <v/>
      </c>
      <c r="Q1634" s="24" t="str">
        <f aca="false">IF($F1634="","N",IFERROR(IF(INDEX(Counterparties!$E:$E,MATCH($F1634&amp;"",Counterparties!$A:$A,0))="Y","Y","N"),"N"))</f>
        <v>N</v>
      </c>
      <c r="R1634" s="25" t="n">
        <f aca="false">IF(OR($H1634="",$H1634="EUR"),1,IFERROR(INDEX(FX_Rates!$D:$D,MATCH($H1634,FX_Rates!$A:$A,0)),""))</f>
        <v>1</v>
      </c>
      <c r="S1634" s="26" t="str">
        <f aca="false">IF(AND($I1634="",$J1634=""),"",IF($J1634&lt;&gt;"",$J1634,IF(OR($R1634="",$R1634=0),"",ROUND($I1634/$R1634,2))))</f>
        <v/>
      </c>
      <c r="T1634" s="24" t="str">
        <f aca="false">IF($N1634="","",IFERROR(INDEX(VAT_Codes!$C:$C,MATCH($N1634,VAT_Codes!$A:$A,0)),"")&amp;"")</f>
        <v/>
      </c>
      <c r="U1634" s="26" t="n">
        <f aca="false">IF(OR($S1634="",$T1634="",$T1634="None"),0,IF($T1634="Output",-$S1634,$S1634))</f>
        <v>0</v>
      </c>
      <c r="V1634" s="27" t="n">
        <f aca="false">IF($N1634="",0,IFERROR(INDEX(VAT_Codes!$D:$D,MATCH($N1634,VAT_Codes!$A:$A,0)),0))</f>
        <v>0</v>
      </c>
      <c r="W1634" s="26" t="n">
        <f aca="false">IF($U1634=0,0,IF(IFERROR(INDEX(VAT_Codes!$F:$F,MATCH($N1634,VAT_Codes!$A:$A,0)),"N")="Y",$U1634,IF($L1634&lt;&gt;"",ROUND(ABS($L1634)/IF(OR($R1634="",$R1634=0),1,$R1634),2)*SIGN($U1634),ROUND($U1634*$V1634,2))))</f>
        <v>0</v>
      </c>
      <c r="X1634" s="24" t="str">
        <f aca="false">IF($N1634="","",IFERROR(INDEX(VAT_Codes!$H:$H,MATCH($N1634,VAT_Codes!$A:$A,0)),"")&amp;"")</f>
        <v/>
      </c>
      <c r="Y1634" s="24" t="str">
        <f aca="false">IF($A1634="","",(YEAR($A1634)-YEAR(Settings!$C$8))*12+MONTH($A1634)-MONTH(Settings!$C$8)+1)</f>
        <v/>
      </c>
      <c r="Z1634" s="24" t="str">
        <f aca="false">IF(AND($C1634="",$I1634="",$J1634=""),"",IF($N1634="","NO VAT CODE",IF($T1634="","UNKNOWN VAT CODE",IF($S1634="","MISSING FX RATE",IF(OR($A1634&lt;Settings!$C$8,$A1634&gt;Settings!$C$9),"OUTSIDE PERIOD",IF(AND(IFERROR(INDEX(VAT_Codes!$E:$E,MATCH($N1634,VAT_Codes!$A:$A,0)),"ANY")&lt;&gt;"ANY",$P1634=""),"MISSING COUNTERPARTY COUNTRY",IF(AND(IFERROR(INDEX(VAT_Codes!$E:$E,MATCH($N1634,VAT_Codes!$A:$A,0)),"ANY")&lt;&gt;"ANY",$P1634&lt;&gt;IFERROR(INDEX(VAT_Codes!$E:$E,MATCH($N1634,VAT_Codes!$A:$A,0)),"ANY")),"REGION MISMATCH","OK")))))))</f>
        <v/>
      </c>
    </row>
    <row r="1635" customFormat="false" ht="15" hidden="false" customHeight="false" outlineLevel="0" collapsed="false">
      <c r="M1635" s="24" t="str">
        <f aca="false">IF($C1635="","",IFERROR(INDEX(Account_Mapping!$C:$C,MATCH($C1635&amp;"",Account_Mapping!$A:$A,0))&amp;"",""))</f>
        <v/>
      </c>
      <c r="N1635" s="24" t="str">
        <f aca="false">IF($K1635&lt;&gt;"",$K1635,$M1635)</f>
        <v/>
      </c>
      <c r="O1635" s="24" t="str">
        <f aca="false">IF($F1635="","",IFERROR(INDEX(Counterparties!$C:$C,MATCH($F1635&amp;"",Counterparties!$A:$A,0))&amp;"",""))</f>
        <v/>
      </c>
      <c r="P1635" s="24" t="str">
        <f aca="false">IF($O1635="","",IF($O1635="CY","CY",IF(ISNUMBER(MATCH($O1635,Lists!$A:$A,0)),"EU","3RD")))</f>
        <v/>
      </c>
      <c r="Q1635" s="24" t="str">
        <f aca="false">IF($F1635="","N",IFERROR(IF(INDEX(Counterparties!$E:$E,MATCH($F1635&amp;"",Counterparties!$A:$A,0))="Y","Y","N"),"N"))</f>
        <v>N</v>
      </c>
      <c r="R1635" s="25" t="n">
        <f aca="false">IF(OR($H1635="",$H1635="EUR"),1,IFERROR(INDEX(FX_Rates!$D:$D,MATCH($H1635,FX_Rates!$A:$A,0)),""))</f>
        <v>1</v>
      </c>
      <c r="S1635" s="26" t="str">
        <f aca="false">IF(AND($I1635="",$J1635=""),"",IF($J1635&lt;&gt;"",$J1635,IF(OR($R1635="",$R1635=0),"",ROUND($I1635/$R1635,2))))</f>
        <v/>
      </c>
      <c r="T1635" s="24" t="str">
        <f aca="false">IF($N1635="","",IFERROR(INDEX(VAT_Codes!$C:$C,MATCH($N1635,VAT_Codes!$A:$A,0)),"")&amp;"")</f>
        <v/>
      </c>
      <c r="U1635" s="26" t="n">
        <f aca="false">IF(OR($S1635="",$T1635="",$T1635="None"),0,IF($T1635="Output",-$S1635,$S1635))</f>
        <v>0</v>
      </c>
      <c r="V1635" s="27" t="n">
        <f aca="false">IF($N1635="",0,IFERROR(INDEX(VAT_Codes!$D:$D,MATCH($N1635,VAT_Codes!$A:$A,0)),0))</f>
        <v>0</v>
      </c>
      <c r="W1635" s="26" t="n">
        <f aca="false">IF($U1635=0,0,IF(IFERROR(INDEX(VAT_Codes!$F:$F,MATCH($N1635,VAT_Codes!$A:$A,0)),"N")="Y",$U1635,IF($L1635&lt;&gt;"",ROUND(ABS($L1635)/IF(OR($R1635="",$R1635=0),1,$R1635),2)*SIGN($U1635),ROUND($U1635*$V1635,2))))</f>
        <v>0</v>
      </c>
      <c r="X1635" s="24" t="str">
        <f aca="false">IF($N1635="","",IFERROR(INDEX(VAT_Codes!$H:$H,MATCH($N1635,VAT_Codes!$A:$A,0)),"")&amp;"")</f>
        <v/>
      </c>
      <c r="Y1635" s="24" t="str">
        <f aca="false">IF($A1635="","",(YEAR($A1635)-YEAR(Settings!$C$8))*12+MONTH($A1635)-MONTH(Settings!$C$8)+1)</f>
        <v/>
      </c>
      <c r="Z1635" s="24" t="str">
        <f aca="false">IF(AND($C1635="",$I1635="",$J1635=""),"",IF($N1635="","NO VAT CODE",IF($T1635="","UNKNOWN VAT CODE",IF($S1635="","MISSING FX RATE",IF(OR($A1635&lt;Settings!$C$8,$A1635&gt;Settings!$C$9),"OUTSIDE PERIOD",IF(AND(IFERROR(INDEX(VAT_Codes!$E:$E,MATCH($N1635,VAT_Codes!$A:$A,0)),"ANY")&lt;&gt;"ANY",$P1635=""),"MISSING COUNTERPARTY COUNTRY",IF(AND(IFERROR(INDEX(VAT_Codes!$E:$E,MATCH($N1635,VAT_Codes!$A:$A,0)),"ANY")&lt;&gt;"ANY",$P1635&lt;&gt;IFERROR(INDEX(VAT_Codes!$E:$E,MATCH($N1635,VAT_Codes!$A:$A,0)),"ANY")),"REGION MISMATCH","OK")))))))</f>
        <v/>
      </c>
    </row>
    <row r="1636" customFormat="false" ht="15" hidden="false" customHeight="false" outlineLevel="0" collapsed="false">
      <c r="M1636" s="24" t="str">
        <f aca="false">IF($C1636="","",IFERROR(INDEX(Account_Mapping!$C:$C,MATCH($C1636&amp;"",Account_Mapping!$A:$A,0))&amp;"",""))</f>
        <v/>
      </c>
      <c r="N1636" s="24" t="str">
        <f aca="false">IF($K1636&lt;&gt;"",$K1636,$M1636)</f>
        <v/>
      </c>
      <c r="O1636" s="24" t="str">
        <f aca="false">IF($F1636="","",IFERROR(INDEX(Counterparties!$C:$C,MATCH($F1636&amp;"",Counterparties!$A:$A,0))&amp;"",""))</f>
        <v/>
      </c>
      <c r="P1636" s="24" t="str">
        <f aca="false">IF($O1636="","",IF($O1636="CY","CY",IF(ISNUMBER(MATCH($O1636,Lists!$A:$A,0)),"EU","3RD")))</f>
        <v/>
      </c>
      <c r="Q1636" s="24" t="str">
        <f aca="false">IF($F1636="","N",IFERROR(IF(INDEX(Counterparties!$E:$E,MATCH($F1636&amp;"",Counterparties!$A:$A,0))="Y","Y","N"),"N"))</f>
        <v>N</v>
      </c>
      <c r="R1636" s="25" t="n">
        <f aca="false">IF(OR($H1636="",$H1636="EUR"),1,IFERROR(INDEX(FX_Rates!$D:$D,MATCH($H1636,FX_Rates!$A:$A,0)),""))</f>
        <v>1</v>
      </c>
      <c r="S1636" s="26" t="str">
        <f aca="false">IF(AND($I1636="",$J1636=""),"",IF($J1636&lt;&gt;"",$J1636,IF(OR($R1636="",$R1636=0),"",ROUND($I1636/$R1636,2))))</f>
        <v/>
      </c>
      <c r="T1636" s="24" t="str">
        <f aca="false">IF($N1636="","",IFERROR(INDEX(VAT_Codes!$C:$C,MATCH($N1636,VAT_Codes!$A:$A,0)),"")&amp;"")</f>
        <v/>
      </c>
      <c r="U1636" s="26" t="n">
        <f aca="false">IF(OR($S1636="",$T1636="",$T1636="None"),0,IF($T1636="Output",-$S1636,$S1636))</f>
        <v>0</v>
      </c>
      <c r="V1636" s="27" t="n">
        <f aca="false">IF($N1636="",0,IFERROR(INDEX(VAT_Codes!$D:$D,MATCH($N1636,VAT_Codes!$A:$A,0)),0))</f>
        <v>0</v>
      </c>
      <c r="W1636" s="26" t="n">
        <f aca="false">IF($U1636=0,0,IF(IFERROR(INDEX(VAT_Codes!$F:$F,MATCH($N1636,VAT_Codes!$A:$A,0)),"N")="Y",$U1636,IF($L1636&lt;&gt;"",ROUND(ABS($L1636)/IF(OR($R1636="",$R1636=0),1,$R1636),2)*SIGN($U1636),ROUND($U1636*$V1636,2))))</f>
        <v>0</v>
      </c>
      <c r="X1636" s="24" t="str">
        <f aca="false">IF($N1636="","",IFERROR(INDEX(VAT_Codes!$H:$H,MATCH($N1636,VAT_Codes!$A:$A,0)),"")&amp;"")</f>
        <v/>
      </c>
      <c r="Y1636" s="24" t="str">
        <f aca="false">IF($A1636="","",(YEAR($A1636)-YEAR(Settings!$C$8))*12+MONTH($A1636)-MONTH(Settings!$C$8)+1)</f>
        <v/>
      </c>
      <c r="Z1636" s="24" t="str">
        <f aca="false">IF(AND($C1636="",$I1636="",$J1636=""),"",IF($N1636="","NO VAT CODE",IF($T1636="","UNKNOWN VAT CODE",IF($S1636="","MISSING FX RATE",IF(OR($A1636&lt;Settings!$C$8,$A1636&gt;Settings!$C$9),"OUTSIDE PERIOD",IF(AND(IFERROR(INDEX(VAT_Codes!$E:$E,MATCH($N1636,VAT_Codes!$A:$A,0)),"ANY")&lt;&gt;"ANY",$P1636=""),"MISSING COUNTERPARTY COUNTRY",IF(AND(IFERROR(INDEX(VAT_Codes!$E:$E,MATCH($N1636,VAT_Codes!$A:$A,0)),"ANY")&lt;&gt;"ANY",$P1636&lt;&gt;IFERROR(INDEX(VAT_Codes!$E:$E,MATCH($N1636,VAT_Codes!$A:$A,0)),"ANY")),"REGION MISMATCH","OK")))))))</f>
        <v/>
      </c>
    </row>
    <row r="1637" customFormat="false" ht="15" hidden="false" customHeight="false" outlineLevel="0" collapsed="false">
      <c r="M1637" s="24" t="str">
        <f aca="false">IF($C1637="","",IFERROR(INDEX(Account_Mapping!$C:$C,MATCH($C1637&amp;"",Account_Mapping!$A:$A,0))&amp;"",""))</f>
        <v/>
      </c>
      <c r="N1637" s="24" t="str">
        <f aca="false">IF($K1637&lt;&gt;"",$K1637,$M1637)</f>
        <v/>
      </c>
      <c r="O1637" s="24" t="str">
        <f aca="false">IF($F1637="","",IFERROR(INDEX(Counterparties!$C:$C,MATCH($F1637&amp;"",Counterparties!$A:$A,0))&amp;"",""))</f>
        <v/>
      </c>
      <c r="P1637" s="24" t="str">
        <f aca="false">IF($O1637="","",IF($O1637="CY","CY",IF(ISNUMBER(MATCH($O1637,Lists!$A:$A,0)),"EU","3RD")))</f>
        <v/>
      </c>
      <c r="Q1637" s="24" t="str">
        <f aca="false">IF($F1637="","N",IFERROR(IF(INDEX(Counterparties!$E:$E,MATCH($F1637&amp;"",Counterparties!$A:$A,0))="Y","Y","N"),"N"))</f>
        <v>N</v>
      </c>
      <c r="R1637" s="25" t="n">
        <f aca="false">IF(OR($H1637="",$H1637="EUR"),1,IFERROR(INDEX(FX_Rates!$D:$D,MATCH($H1637,FX_Rates!$A:$A,0)),""))</f>
        <v>1</v>
      </c>
      <c r="S1637" s="26" t="str">
        <f aca="false">IF(AND($I1637="",$J1637=""),"",IF($J1637&lt;&gt;"",$J1637,IF(OR($R1637="",$R1637=0),"",ROUND($I1637/$R1637,2))))</f>
        <v/>
      </c>
      <c r="T1637" s="24" t="str">
        <f aca="false">IF($N1637="","",IFERROR(INDEX(VAT_Codes!$C:$C,MATCH($N1637,VAT_Codes!$A:$A,0)),"")&amp;"")</f>
        <v/>
      </c>
      <c r="U1637" s="26" t="n">
        <f aca="false">IF(OR($S1637="",$T1637="",$T1637="None"),0,IF($T1637="Output",-$S1637,$S1637))</f>
        <v>0</v>
      </c>
      <c r="V1637" s="27" t="n">
        <f aca="false">IF($N1637="",0,IFERROR(INDEX(VAT_Codes!$D:$D,MATCH($N1637,VAT_Codes!$A:$A,0)),0))</f>
        <v>0</v>
      </c>
      <c r="W1637" s="26" t="n">
        <f aca="false">IF($U1637=0,0,IF(IFERROR(INDEX(VAT_Codes!$F:$F,MATCH($N1637,VAT_Codes!$A:$A,0)),"N")="Y",$U1637,IF($L1637&lt;&gt;"",ROUND(ABS($L1637)/IF(OR($R1637="",$R1637=0),1,$R1637),2)*SIGN($U1637),ROUND($U1637*$V1637,2))))</f>
        <v>0</v>
      </c>
      <c r="X1637" s="24" t="str">
        <f aca="false">IF($N1637="","",IFERROR(INDEX(VAT_Codes!$H:$H,MATCH($N1637,VAT_Codes!$A:$A,0)),"")&amp;"")</f>
        <v/>
      </c>
      <c r="Y1637" s="24" t="str">
        <f aca="false">IF($A1637="","",(YEAR($A1637)-YEAR(Settings!$C$8))*12+MONTH($A1637)-MONTH(Settings!$C$8)+1)</f>
        <v/>
      </c>
      <c r="Z1637" s="24" t="str">
        <f aca="false">IF(AND($C1637="",$I1637="",$J1637=""),"",IF($N1637="","NO VAT CODE",IF($T1637="","UNKNOWN VAT CODE",IF($S1637="","MISSING FX RATE",IF(OR($A1637&lt;Settings!$C$8,$A1637&gt;Settings!$C$9),"OUTSIDE PERIOD",IF(AND(IFERROR(INDEX(VAT_Codes!$E:$E,MATCH($N1637,VAT_Codes!$A:$A,0)),"ANY")&lt;&gt;"ANY",$P1637=""),"MISSING COUNTERPARTY COUNTRY",IF(AND(IFERROR(INDEX(VAT_Codes!$E:$E,MATCH($N1637,VAT_Codes!$A:$A,0)),"ANY")&lt;&gt;"ANY",$P1637&lt;&gt;IFERROR(INDEX(VAT_Codes!$E:$E,MATCH($N1637,VAT_Codes!$A:$A,0)),"ANY")),"REGION MISMATCH","OK")))))))</f>
        <v/>
      </c>
    </row>
    <row r="1638" customFormat="false" ht="15" hidden="false" customHeight="false" outlineLevel="0" collapsed="false">
      <c r="M1638" s="24" t="str">
        <f aca="false">IF($C1638="","",IFERROR(INDEX(Account_Mapping!$C:$C,MATCH($C1638&amp;"",Account_Mapping!$A:$A,0))&amp;"",""))</f>
        <v/>
      </c>
      <c r="N1638" s="24" t="str">
        <f aca="false">IF($K1638&lt;&gt;"",$K1638,$M1638)</f>
        <v/>
      </c>
      <c r="O1638" s="24" t="str">
        <f aca="false">IF($F1638="","",IFERROR(INDEX(Counterparties!$C:$C,MATCH($F1638&amp;"",Counterparties!$A:$A,0))&amp;"",""))</f>
        <v/>
      </c>
      <c r="P1638" s="24" t="str">
        <f aca="false">IF($O1638="","",IF($O1638="CY","CY",IF(ISNUMBER(MATCH($O1638,Lists!$A:$A,0)),"EU","3RD")))</f>
        <v/>
      </c>
      <c r="Q1638" s="24" t="str">
        <f aca="false">IF($F1638="","N",IFERROR(IF(INDEX(Counterparties!$E:$E,MATCH($F1638&amp;"",Counterparties!$A:$A,0))="Y","Y","N"),"N"))</f>
        <v>N</v>
      </c>
      <c r="R1638" s="25" t="n">
        <f aca="false">IF(OR($H1638="",$H1638="EUR"),1,IFERROR(INDEX(FX_Rates!$D:$D,MATCH($H1638,FX_Rates!$A:$A,0)),""))</f>
        <v>1</v>
      </c>
      <c r="S1638" s="26" t="str">
        <f aca="false">IF(AND($I1638="",$J1638=""),"",IF($J1638&lt;&gt;"",$J1638,IF(OR($R1638="",$R1638=0),"",ROUND($I1638/$R1638,2))))</f>
        <v/>
      </c>
      <c r="T1638" s="24" t="str">
        <f aca="false">IF($N1638="","",IFERROR(INDEX(VAT_Codes!$C:$C,MATCH($N1638,VAT_Codes!$A:$A,0)),"")&amp;"")</f>
        <v/>
      </c>
      <c r="U1638" s="26" t="n">
        <f aca="false">IF(OR($S1638="",$T1638="",$T1638="None"),0,IF($T1638="Output",-$S1638,$S1638))</f>
        <v>0</v>
      </c>
      <c r="V1638" s="27" t="n">
        <f aca="false">IF($N1638="",0,IFERROR(INDEX(VAT_Codes!$D:$D,MATCH($N1638,VAT_Codes!$A:$A,0)),0))</f>
        <v>0</v>
      </c>
      <c r="W1638" s="26" t="n">
        <f aca="false">IF($U1638=0,0,IF(IFERROR(INDEX(VAT_Codes!$F:$F,MATCH($N1638,VAT_Codes!$A:$A,0)),"N")="Y",$U1638,IF($L1638&lt;&gt;"",ROUND(ABS($L1638)/IF(OR($R1638="",$R1638=0),1,$R1638),2)*SIGN($U1638),ROUND($U1638*$V1638,2))))</f>
        <v>0</v>
      </c>
      <c r="X1638" s="24" t="str">
        <f aca="false">IF($N1638="","",IFERROR(INDEX(VAT_Codes!$H:$H,MATCH($N1638,VAT_Codes!$A:$A,0)),"")&amp;"")</f>
        <v/>
      </c>
      <c r="Y1638" s="24" t="str">
        <f aca="false">IF($A1638="","",(YEAR($A1638)-YEAR(Settings!$C$8))*12+MONTH($A1638)-MONTH(Settings!$C$8)+1)</f>
        <v/>
      </c>
      <c r="Z1638" s="24" t="str">
        <f aca="false">IF(AND($C1638="",$I1638="",$J1638=""),"",IF($N1638="","NO VAT CODE",IF($T1638="","UNKNOWN VAT CODE",IF($S1638="","MISSING FX RATE",IF(OR($A1638&lt;Settings!$C$8,$A1638&gt;Settings!$C$9),"OUTSIDE PERIOD",IF(AND(IFERROR(INDEX(VAT_Codes!$E:$E,MATCH($N1638,VAT_Codes!$A:$A,0)),"ANY")&lt;&gt;"ANY",$P1638=""),"MISSING COUNTERPARTY COUNTRY",IF(AND(IFERROR(INDEX(VAT_Codes!$E:$E,MATCH($N1638,VAT_Codes!$A:$A,0)),"ANY")&lt;&gt;"ANY",$P1638&lt;&gt;IFERROR(INDEX(VAT_Codes!$E:$E,MATCH($N1638,VAT_Codes!$A:$A,0)),"ANY")),"REGION MISMATCH","OK")))))))</f>
        <v/>
      </c>
    </row>
    <row r="1639" customFormat="false" ht="15" hidden="false" customHeight="false" outlineLevel="0" collapsed="false">
      <c r="M1639" s="24" t="str">
        <f aca="false">IF($C1639="","",IFERROR(INDEX(Account_Mapping!$C:$C,MATCH($C1639&amp;"",Account_Mapping!$A:$A,0))&amp;"",""))</f>
        <v/>
      </c>
      <c r="N1639" s="24" t="str">
        <f aca="false">IF($K1639&lt;&gt;"",$K1639,$M1639)</f>
        <v/>
      </c>
      <c r="O1639" s="24" t="str">
        <f aca="false">IF($F1639="","",IFERROR(INDEX(Counterparties!$C:$C,MATCH($F1639&amp;"",Counterparties!$A:$A,0))&amp;"",""))</f>
        <v/>
      </c>
      <c r="P1639" s="24" t="str">
        <f aca="false">IF($O1639="","",IF($O1639="CY","CY",IF(ISNUMBER(MATCH($O1639,Lists!$A:$A,0)),"EU","3RD")))</f>
        <v/>
      </c>
      <c r="Q1639" s="24" t="str">
        <f aca="false">IF($F1639="","N",IFERROR(IF(INDEX(Counterparties!$E:$E,MATCH($F1639&amp;"",Counterparties!$A:$A,0))="Y","Y","N"),"N"))</f>
        <v>N</v>
      </c>
      <c r="R1639" s="25" t="n">
        <f aca="false">IF(OR($H1639="",$H1639="EUR"),1,IFERROR(INDEX(FX_Rates!$D:$D,MATCH($H1639,FX_Rates!$A:$A,0)),""))</f>
        <v>1</v>
      </c>
      <c r="S1639" s="26" t="str">
        <f aca="false">IF(AND($I1639="",$J1639=""),"",IF($J1639&lt;&gt;"",$J1639,IF(OR($R1639="",$R1639=0),"",ROUND($I1639/$R1639,2))))</f>
        <v/>
      </c>
      <c r="T1639" s="24" t="str">
        <f aca="false">IF($N1639="","",IFERROR(INDEX(VAT_Codes!$C:$C,MATCH($N1639,VAT_Codes!$A:$A,0)),"")&amp;"")</f>
        <v/>
      </c>
      <c r="U1639" s="26" t="n">
        <f aca="false">IF(OR($S1639="",$T1639="",$T1639="None"),0,IF($T1639="Output",-$S1639,$S1639))</f>
        <v>0</v>
      </c>
      <c r="V1639" s="27" t="n">
        <f aca="false">IF($N1639="",0,IFERROR(INDEX(VAT_Codes!$D:$D,MATCH($N1639,VAT_Codes!$A:$A,0)),0))</f>
        <v>0</v>
      </c>
      <c r="W1639" s="26" t="n">
        <f aca="false">IF($U1639=0,0,IF(IFERROR(INDEX(VAT_Codes!$F:$F,MATCH($N1639,VAT_Codes!$A:$A,0)),"N")="Y",$U1639,IF($L1639&lt;&gt;"",ROUND(ABS($L1639)/IF(OR($R1639="",$R1639=0),1,$R1639),2)*SIGN($U1639),ROUND($U1639*$V1639,2))))</f>
        <v>0</v>
      </c>
      <c r="X1639" s="24" t="str">
        <f aca="false">IF($N1639="","",IFERROR(INDEX(VAT_Codes!$H:$H,MATCH($N1639,VAT_Codes!$A:$A,0)),"")&amp;"")</f>
        <v/>
      </c>
      <c r="Y1639" s="24" t="str">
        <f aca="false">IF($A1639="","",(YEAR($A1639)-YEAR(Settings!$C$8))*12+MONTH($A1639)-MONTH(Settings!$C$8)+1)</f>
        <v/>
      </c>
      <c r="Z1639" s="24" t="str">
        <f aca="false">IF(AND($C1639="",$I1639="",$J1639=""),"",IF($N1639="","NO VAT CODE",IF($T1639="","UNKNOWN VAT CODE",IF($S1639="","MISSING FX RATE",IF(OR($A1639&lt;Settings!$C$8,$A1639&gt;Settings!$C$9),"OUTSIDE PERIOD",IF(AND(IFERROR(INDEX(VAT_Codes!$E:$E,MATCH($N1639,VAT_Codes!$A:$A,0)),"ANY")&lt;&gt;"ANY",$P1639=""),"MISSING COUNTERPARTY COUNTRY",IF(AND(IFERROR(INDEX(VAT_Codes!$E:$E,MATCH($N1639,VAT_Codes!$A:$A,0)),"ANY")&lt;&gt;"ANY",$P1639&lt;&gt;IFERROR(INDEX(VAT_Codes!$E:$E,MATCH($N1639,VAT_Codes!$A:$A,0)),"ANY")),"REGION MISMATCH","OK")))))))</f>
        <v/>
      </c>
    </row>
    <row r="1640" customFormat="false" ht="15" hidden="false" customHeight="false" outlineLevel="0" collapsed="false">
      <c r="M1640" s="24" t="str">
        <f aca="false">IF($C1640="","",IFERROR(INDEX(Account_Mapping!$C:$C,MATCH($C1640&amp;"",Account_Mapping!$A:$A,0))&amp;"",""))</f>
        <v/>
      </c>
      <c r="N1640" s="24" t="str">
        <f aca="false">IF($K1640&lt;&gt;"",$K1640,$M1640)</f>
        <v/>
      </c>
      <c r="O1640" s="24" t="str">
        <f aca="false">IF($F1640="","",IFERROR(INDEX(Counterparties!$C:$C,MATCH($F1640&amp;"",Counterparties!$A:$A,0))&amp;"",""))</f>
        <v/>
      </c>
      <c r="P1640" s="24" t="str">
        <f aca="false">IF($O1640="","",IF($O1640="CY","CY",IF(ISNUMBER(MATCH($O1640,Lists!$A:$A,0)),"EU","3RD")))</f>
        <v/>
      </c>
      <c r="Q1640" s="24" t="str">
        <f aca="false">IF($F1640="","N",IFERROR(IF(INDEX(Counterparties!$E:$E,MATCH($F1640&amp;"",Counterparties!$A:$A,0))="Y","Y","N"),"N"))</f>
        <v>N</v>
      </c>
      <c r="R1640" s="25" t="n">
        <f aca="false">IF(OR($H1640="",$H1640="EUR"),1,IFERROR(INDEX(FX_Rates!$D:$D,MATCH($H1640,FX_Rates!$A:$A,0)),""))</f>
        <v>1</v>
      </c>
      <c r="S1640" s="26" t="str">
        <f aca="false">IF(AND($I1640="",$J1640=""),"",IF($J1640&lt;&gt;"",$J1640,IF(OR($R1640="",$R1640=0),"",ROUND($I1640/$R1640,2))))</f>
        <v/>
      </c>
      <c r="T1640" s="24" t="str">
        <f aca="false">IF($N1640="","",IFERROR(INDEX(VAT_Codes!$C:$C,MATCH($N1640,VAT_Codes!$A:$A,0)),"")&amp;"")</f>
        <v/>
      </c>
      <c r="U1640" s="26" t="n">
        <f aca="false">IF(OR($S1640="",$T1640="",$T1640="None"),0,IF($T1640="Output",-$S1640,$S1640))</f>
        <v>0</v>
      </c>
      <c r="V1640" s="27" t="n">
        <f aca="false">IF($N1640="",0,IFERROR(INDEX(VAT_Codes!$D:$D,MATCH($N1640,VAT_Codes!$A:$A,0)),0))</f>
        <v>0</v>
      </c>
      <c r="W1640" s="26" t="n">
        <f aca="false">IF($U1640=0,0,IF(IFERROR(INDEX(VAT_Codes!$F:$F,MATCH($N1640,VAT_Codes!$A:$A,0)),"N")="Y",$U1640,IF($L1640&lt;&gt;"",ROUND(ABS($L1640)/IF(OR($R1640="",$R1640=0),1,$R1640),2)*SIGN($U1640),ROUND($U1640*$V1640,2))))</f>
        <v>0</v>
      </c>
      <c r="X1640" s="24" t="str">
        <f aca="false">IF($N1640="","",IFERROR(INDEX(VAT_Codes!$H:$H,MATCH($N1640,VAT_Codes!$A:$A,0)),"")&amp;"")</f>
        <v/>
      </c>
      <c r="Y1640" s="24" t="str">
        <f aca="false">IF($A1640="","",(YEAR($A1640)-YEAR(Settings!$C$8))*12+MONTH($A1640)-MONTH(Settings!$C$8)+1)</f>
        <v/>
      </c>
      <c r="Z1640" s="24" t="str">
        <f aca="false">IF(AND($C1640="",$I1640="",$J1640=""),"",IF($N1640="","NO VAT CODE",IF($T1640="","UNKNOWN VAT CODE",IF($S1640="","MISSING FX RATE",IF(OR($A1640&lt;Settings!$C$8,$A1640&gt;Settings!$C$9),"OUTSIDE PERIOD",IF(AND(IFERROR(INDEX(VAT_Codes!$E:$E,MATCH($N1640,VAT_Codes!$A:$A,0)),"ANY")&lt;&gt;"ANY",$P1640=""),"MISSING COUNTERPARTY COUNTRY",IF(AND(IFERROR(INDEX(VAT_Codes!$E:$E,MATCH($N1640,VAT_Codes!$A:$A,0)),"ANY")&lt;&gt;"ANY",$P1640&lt;&gt;IFERROR(INDEX(VAT_Codes!$E:$E,MATCH($N1640,VAT_Codes!$A:$A,0)),"ANY")),"REGION MISMATCH","OK")))))))</f>
        <v/>
      </c>
    </row>
    <row r="1641" customFormat="false" ht="15" hidden="false" customHeight="false" outlineLevel="0" collapsed="false">
      <c r="M1641" s="24" t="str">
        <f aca="false">IF($C1641="","",IFERROR(INDEX(Account_Mapping!$C:$C,MATCH($C1641&amp;"",Account_Mapping!$A:$A,0))&amp;"",""))</f>
        <v/>
      </c>
      <c r="N1641" s="24" t="str">
        <f aca="false">IF($K1641&lt;&gt;"",$K1641,$M1641)</f>
        <v/>
      </c>
      <c r="O1641" s="24" t="str">
        <f aca="false">IF($F1641="","",IFERROR(INDEX(Counterparties!$C:$C,MATCH($F1641&amp;"",Counterparties!$A:$A,0))&amp;"",""))</f>
        <v/>
      </c>
      <c r="P1641" s="24" t="str">
        <f aca="false">IF($O1641="","",IF($O1641="CY","CY",IF(ISNUMBER(MATCH($O1641,Lists!$A:$A,0)),"EU","3RD")))</f>
        <v/>
      </c>
      <c r="Q1641" s="24" t="str">
        <f aca="false">IF($F1641="","N",IFERROR(IF(INDEX(Counterparties!$E:$E,MATCH($F1641&amp;"",Counterparties!$A:$A,0))="Y","Y","N"),"N"))</f>
        <v>N</v>
      </c>
      <c r="R1641" s="25" t="n">
        <f aca="false">IF(OR($H1641="",$H1641="EUR"),1,IFERROR(INDEX(FX_Rates!$D:$D,MATCH($H1641,FX_Rates!$A:$A,0)),""))</f>
        <v>1</v>
      </c>
      <c r="S1641" s="26" t="str">
        <f aca="false">IF(AND($I1641="",$J1641=""),"",IF($J1641&lt;&gt;"",$J1641,IF(OR($R1641="",$R1641=0),"",ROUND($I1641/$R1641,2))))</f>
        <v/>
      </c>
      <c r="T1641" s="24" t="str">
        <f aca="false">IF($N1641="","",IFERROR(INDEX(VAT_Codes!$C:$C,MATCH($N1641,VAT_Codes!$A:$A,0)),"")&amp;"")</f>
        <v/>
      </c>
      <c r="U1641" s="26" t="n">
        <f aca="false">IF(OR($S1641="",$T1641="",$T1641="None"),0,IF($T1641="Output",-$S1641,$S1641))</f>
        <v>0</v>
      </c>
      <c r="V1641" s="27" t="n">
        <f aca="false">IF($N1641="",0,IFERROR(INDEX(VAT_Codes!$D:$D,MATCH($N1641,VAT_Codes!$A:$A,0)),0))</f>
        <v>0</v>
      </c>
      <c r="W1641" s="26" t="n">
        <f aca="false">IF($U1641=0,0,IF(IFERROR(INDEX(VAT_Codes!$F:$F,MATCH($N1641,VAT_Codes!$A:$A,0)),"N")="Y",$U1641,IF($L1641&lt;&gt;"",ROUND(ABS($L1641)/IF(OR($R1641="",$R1641=0),1,$R1641),2)*SIGN($U1641),ROUND($U1641*$V1641,2))))</f>
        <v>0</v>
      </c>
      <c r="X1641" s="24" t="str">
        <f aca="false">IF($N1641="","",IFERROR(INDEX(VAT_Codes!$H:$H,MATCH($N1641,VAT_Codes!$A:$A,0)),"")&amp;"")</f>
        <v/>
      </c>
      <c r="Y1641" s="24" t="str">
        <f aca="false">IF($A1641="","",(YEAR($A1641)-YEAR(Settings!$C$8))*12+MONTH($A1641)-MONTH(Settings!$C$8)+1)</f>
        <v/>
      </c>
      <c r="Z1641" s="24" t="str">
        <f aca="false">IF(AND($C1641="",$I1641="",$J1641=""),"",IF($N1641="","NO VAT CODE",IF($T1641="","UNKNOWN VAT CODE",IF($S1641="","MISSING FX RATE",IF(OR($A1641&lt;Settings!$C$8,$A1641&gt;Settings!$C$9),"OUTSIDE PERIOD",IF(AND(IFERROR(INDEX(VAT_Codes!$E:$E,MATCH($N1641,VAT_Codes!$A:$A,0)),"ANY")&lt;&gt;"ANY",$P1641=""),"MISSING COUNTERPARTY COUNTRY",IF(AND(IFERROR(INDEX(VAT_Codes!$E:$E,MATCH($N1641,VAT_Codes!$A:$A,0)),"ANY")&lt;&gt;"ANY",$P1641&lt;&gt;IFERROR(INDEX(VAT_Codes!$E:$E,MATCH($N1641,VAT_Codes!$A:$A,0)),"ANY")),"REGION MISMATCH","OK")))))))</f>
        <v/>
      </c>
    </row>
    <row r="1642" customFormat="false" ht="15" hidden="false" customHeight="false" outlineLevel="0" collapsed="false">
      <c r="M1642" s="24" t="str">
        <f aca="false">IF($C1642="","",IFERROR(INDEX(Account_Mapping!$C:$C,MATCH($C1642&amp;"",Account_Mapping!$A:$A,0))&amp;"",""))</f>
        <v/>
      </c>
      <c r="N1642" s="24" t="str">
        <f aca="false">IF($K1642&lt;&gt;"",$K1642,$M1642)</f>
        <v/>
      </c>
      <c r="O1642" s="24" t="str">
        <f aca="false">IF($F1642="","",IFERROR(INDEX(Counterparties!$C:$C,MATCH($F1642&amp;"",Counterparties!$A:$A,0))&amp;"",""))</f>
        <v/>
      </c>
      <c r="P1642" s="24" t="str">
        <f aca="false">IF($O1642="","",IF($O1642="CY","CY",IF(ISNUMBER(MATCH($O1642,Lists!$A:$A,0)),"EU","3RD")))</f>
        <v/>
      </c>
      <c r="Q1642" s="24" t="str">
        <f aca="false">IF($F1642="","N",IFERROR(IF(INDEX(Counterparties!$E:$E,MATCH($F1642&amp;"",Counterparties!$A:$A,0))="Y","Y","N"),"N"))</f>
        <v>N</v>
      </c>
      <c r="R1642" s="25" t="n">
        <f aca="false">IF(OR($H1642="",$H1642="EUR"),1,IFERROR(INDEX(FX_Rates!$D:$D,MATCH($H1642,FX_Rates!$A:$A,0)),""))</f>
        <v>1</v>
      </c>
      <c r="S1642" s="26" t="str">
        <f aca="false">IF(AND($I1642="",$J1642=""),"",IF($J1642&lt;&gt;"",$J1642,IF(OR($R1642="",$R1642=0),"",ROUND($I1642/$R1642,2))))</f>
        <v/>
      </c>
      <c r="T1642" s="24" t="str">
        <f aca="false">IF($N1642="","",IFERROR(INDEX(VAT_Codes!$C:$C,MATCH($N1642,VAT_Codes!$A:$A,0)),"")&amp;"")</f>
        <v/>
      </c>
      <c r="U1642" s="26" t="n">
        <f aca="false">IF(OR($S1642="",$T1642="",$T1642="None"),0,IF($T1642="Output",-$S1642,$S1642))</f>
        <v>0</v>
      </c>
      <c r="V1642" s="27" t="n">
        <f aca="false">IF($N1642="",0,IFERROR(INDEX(VAT_Codes!$D:$D,MATCH($N1642,VAT_Codes!$A:$A,0)),0))</f>
        <v>0</v>
      </c>
      <c r="W1642" s="26" t="n">
        <f aca="false">IF($U1642=0,0,IF(IFERROR(INDEX(VAT_Codes!$F:$F,MATCH($N1642,VAT_Codes!$A:$A,0)),"N")="Y",$U1642,IF($L1642&lt;&gt;"",ROUND(ABS($L1642)/IF(OR($R1642="",$R1642=0),1,$R1642),2)*SIGN($U1642),ROUND($U1642*$V1642,2))))</f>
        <v>0</v>
      </c>
      <c r="X1642" s="24" t="str">
        <f aca="false">IF($N1642="","",IFERROR(INDEX(VAT_Codes!$H:$H,MATCH($N1642,VAT_Codes!$A:$A,0)),"")&amp;"")</f>
        <v/>
      </c>
      <c r="Y1642" s="24" t="str">
        <f aca="false">IF($A1642="","",(YEAR($A1642)-YEAR(Settings!$C$8))*12+MONTH($A1642)-MONTH(Settings!$C$8)+1)</f>
        <v/>
      </c>
      <c r="Z1642" s="24" t="str">
        <f aca="false">IF(AND($C1642="",$I1642="",$J1642=""),"",IF($N1642="","NO VAT CODE",IF($T1642="","UNKNOWN VAT CODE",IF($S1642="","MISSING FX RATE",IF(OR($A1642&lt;Settings!$C$8,$A1642&gt;Settings!$C$9),"OUTSIDE PERIOD",IF(AND(IFERROR(INDEX(VAT_Codes!$E:$E,MATCH($N1642,VAT_Codes!$A:$A,0)),"ANY")&lt;&gt;"ANY",$P1642=""),"MISSING COUNTERPARTY COUNTRY",IF(AND(IFERROR(INDEX(VAT_Codes!$E:$E,MATCH($N1642,VAT_Codes!$A:$A,0)),"ANY")&lt;&gt;"ANY",$P1642&lt;&gt;IFERROR(INDEX(VAT_Codes!$E:$E,MATCH($N1642,VAT_Codes!$A:$A,0)),"ANY")),"REGION MISMATCH","OK")))))))</f>
        <v/>
      </c>
    </row>
    <row r="1643" customFormat="false" ht="15" hidden="false" customHeight="false" outlineLevel="0" collapsed="false">
      <c r="M1643" s="24" t="str">
        <f aca="false">IF($C1643="","",IFERROR(INDEX(Account_Mapping!$C:$C,MATCH($C1643&amp;"",Account_Mapping!$A:$A,0))&amp;"",""))</f>
        <v/>
      </c>
      <c r="N1643" s="24" t="str">
        <f aca="false">IF($K1643&lt;&gt;"",$K1643,$M1643)</f>
        <v/>
      </c>
      <c r="O1643" s="24" t="str">
        <f aca="false">IF($F1643="","",IFERROR(INDEX(Counterparties!$C:$C,MATCH($F1643&amp;"",Counterparties!$A:$A,0))&amp;"",""))</f>
        <v/>
      </c>
      <c r="P1643" s="24" t="str">
        <f aca="false">IF($O1643="","",IF($O1643="CY","CY",IF(ISNUMBER(MATCH($O1643,Lists!$A:$A,0)),"EU","3RD")))</f>
        <v/>
      </c>
      <c r="Q1643" s="24" t="str">
        <f aca="false">IF($F1643="","N",IFERROR(IF(INDEX(Counterparties!$E:$E,MATCH($F1643&amp;"",Counterparties!$A:$A,0))="Y","Y","N"),"N"))</f>
        <v>N</v>
      </c>
      <c r="R1643" s="25" t="n">
        <f aca="false">IF(OR($H1643="",$H1643="EUR"),1,IFERROR(INDEX(FX_Rates!$D:$D,MATCH($H1643,FX_Rates!$A:$A,0)),""))</f>
        <v>1</v>
      </c>
      <c r="S1643" s="26" t="str">
        <f aca="false">IF(AND($I1643="",$J1643=""),"",IF($J1643&lt;&gt;"",$J1643,IF(OR($R1643="",$R1643=0),"",ROUND($I1643/$R1643,2))))</f>
        <v/>
      </c>
      <c r="T1643" s="24" t="str">
        <f aca="false">IF($N1643="","",IFERROR(INDEX(VAT_Codes!$C:$C,MATCH($N1643,VAT_Codes!$A:$A,0)),"")&amp;"")</f>
        <v/>
      </c>
      <c r="U1643" s="26" t="n">
        <f aca="false">IF(OR($S1643="",$T1643="",$T1643="None"),0,IF($T1643="Output",-$S1643,$S1643))</f>
        <v>0</v>
      </c>
      <c r="V1643" s="27" t="n">
        <f aca="false">IF($N1643="",0,IFERROR(INDEX(VAT_Codes!$D:$D,MATCH($N1643,VAT_Codes!$A:$A,0)),0))</f>
        <v>0</v>
      </c>
      <c r="W1643" s="26" t="n">
        <f aca="false">IF($U1643=0,0,IF(IFERROR(INDEX(VAT_Codes!$F:$F,MATCH($N1643,VAT_Codes!$A:$A,0)),"N")="Y",$U1643,IF($L1643&lt;&gt;"",ROUND(ABS($L1643)/IF(OR($R1643="",$R1643=0),1,$R1643),2)*SIGN($U1643),ROUND($U1643*$V1643,2))))</f>
        <v>0</v>
      </c>
      <c r="X1643" s="24" t="str">
        <f aca="false">IF($N1643="","",IFERROR(INDEX(VAT_Codes!$H:$H,MATCH($N1643,VAT_Codes!$A:$A,0)),"")&amp;"")</f>
        <v/>
      </c>
      <c r="Y1643" s="24" t="str">
        <f aca="false">IF($A1643="","",(YEAR($A1643)-YEAR(Settings!$C$8))*12+MONTH($A1643)-MONTH(Settings!$C$8)+1)</f>
        <v/>
      </c>
      <c r="Z1643" s="24" t="str">
        <f aca="false">IF(AND($C1643="",$I1643="",$J1643=""),"",IF($N1643="","NO VAT CODE",IF($T1643="","UNKNOWN VAT CODE",IF($S1643="","MISSING FX RATE",IF(OR($A1643&lt;Settings!$C$8,$A1643&gt;Settings!$C$9),"OUTSIDE PERIOD",IF(AND(IFERROR(INDEX(VAT_Codes!$E:$E,MATCH($N1643,VAT_Codes!$A:$A,0)),"ANY")&lt;&gt;"ANY",$P1643=""),"MISSING COUNTERPARTY COUNTRY",IF(AND(IFERROR(INDEX(VAT_Codes!$E:$E,MATCH($N1643,VAT_Codes!$A:$A,0)),"ANY")&lt;&gt;"ANY",$P1643&lt;&gt;IFERROR(INDEX(VAT_Codes!$E:$E,MATCH($N1643,VAT_Codes!$A:$A,0)),"ANY")),"REGION MISMATCH","OK")))))))</f>
        <v/>
      </c>
    </row>
    <row r="1644" customFormat="false" ht="15" hidden="false" customHeight="false" outlineLevel="0" collapsed="false">
      <c r="M1644" s="24" t="str">
        <f aca="false">IF($C1644="","",IFERROR(INDEX(Account_Mapping!$C:$C,MATCH($C1644&amp;"",Account_Mapping!$A:$A,0))&amp;"",""))</f>
        <v/>
      </c>
      <c r="N1644" s="24" t="str">
        <f aca="false">IF($K1644&lt;&gt;"",$K1644,$M1644)</f>
        <v/>
      </c>
      <c r="O1644" s="24" t="str">
        <f aca="false">IF($F1644="","",IFERROR(INDEX(Counterparties!$C:$C,MATCH($F1644&amp;"",Counterparties!$A:$A,0))&amp;"",""))</f>
        <v/>
      </c>
      <c r="P1644" s="24" t="str">
        <f aca="false">IF($O1644="","",IF($O1644="CY","CY",IF(ISNUMBER(MATCH($O1644,Lists!$A:$A,0)),"EU","3RD")))</f>
        <v/>
      </c>
      <c r="Q1644" s="24" t="str">
        <f aca="false">IF($F1644="","N",IFERROR(IF(INDEX(Counterparties!$E:$E,MATCH($F1644&amp;"",Counterparties!$A:$A,0))="Y","Y","N"),"N"))</f>
        <v>N</v>
      </c>
      <c r="R1644" s="25" t="n">
        <f aca="false">IF(OR($H1644="",$H1644="EUR"),1,IFERROR(INDEX(FX_Rates!$D:$D,MATCH($H1644,FX_Rates!$A:$A,0)),""))</f>
        <v>1</v>
      </c>
      <c r="S1644" s="26" t="str">
        <f aca="false">IF(AND($I1644="",$J1644=""),"",IF($J1644&lt;&gt;"",$J1644,IF(OR($R1644="",$R1644=0),"",ROUND($I1644/$R1644,2))))</f>
        <v/>
      </c>
      <c r="T1644" s="24" t="str">
        <f aca="false">IF($N1644="","",IFERROR(INDEX(VAT_Codes!$C:$C,MATCH($N1644,VAT_Codes!$A:$A,0)),"")&amp;"")</f>
        <v/>
      </c>
      <c r="U1644" s="26" t="n">
        <f aca="false">IF(OR($S1644="",$T1644="",$T1644="None"),0,IF($T1644="Output",-$S1644,$S1644))</f>
        <v>0</v>
      </c>
      <c r="V1644" s="27" t="n">
        <f aca="false">IF($N1644="",0,IFERROR(INDEX(VAT_Codes!$D:$D,MATCH($N1644,VAT_Codes!$A:$A,0)),0))</f>
        <v>0</v>
      </c>
      <c r="W1644" s="26" t="n">
        <f aca="false">IF($U1644=0,0,IF(IFERROR(INDEX(VAT_Codes!$F:$F,MATCH($N1644,VAT_Codes!$A:$A,0)),"N")="Y",$U1644,IF($L1644&lt;&gt;"",ROUND(ABS($L1644)/IF(OR($R1644="",$R1644=0),1,$R1644),2)*SIGN($U1644),ROUND($U1644*$V1644,2))))</f>
        <v>0</v>
      </c>
      <c r="X1644" s="24" t="str">
        <f aca="false">IF($N1644="","",IFERROR(INDEX(VAT_Codes!$H:$H,MATCH($N1644,VAT_Codes!$A:$A,0)),"")&amp;"")</f>
        <v/>
      </c>
      <c r="Y1644" s="24" t="str">
        <f aca="false">IF($A1644="","",(YEAR($A1644)-YEAR(Settings!$C$8))*12+MONTH($A1644)-MONTH(Settings!$C$8)+1)</f>
        <v/>
      </c>
      <c r="Z1644" s="24" t="str">
        <f aca="false">IF(AND($C1644="",$I1644="",$J1644=""),"",IF($N1644="","NO VAT CODE",IF($T1644="","UNKNOWN VAT CODE",IF($S1644="","MISSING FX RATE",IF(OR($A1644&lt;Settings!$C$8,$A1644&gt;Settings!$C$9),"OUTSIDE PERIOD",IF(AND(IFERROR(INDEX(VAT_Codes!$E:$E,MATCH($N1644,VAT_Codes!$A:$A,0)),"ANY")&lt;&gt;"ANY",$P1644=""),"MISSING COUNTERPARTY COUNTRY",IF(AND(IFERROR(INDEX(VAT_Codes!$E:$E,MATCH($N1644,VAT_Codes!$A:$A,0)),"ANY")&lt;&gt;"ANY",$P1644&lt;&gt;IFERROR(INDEX(VAT_Codes!$E:$E,MATCH($N1644,VAT_Codes!$A:$A,0)),"ANY")),"REGION MISMATCH","OK")))))))</f>
        <v/>
      </c>
    </row>
    <row r="1645" customFormat="false" ht="15" hidden="false" customHeight="false" outlineLevel="0" collapsed="false">
      <c r="M1645" s="24" t="str">
        <f aca="false">IF($C1645="","",IFERROR(INDEX(Account_Mapping!$C:$C,MATCH($C1645&amp;"",Account_Mapping!$A:$A,0))&amp;"",""))</f>
        <v/>
      </c>
      <c r="N1645" s="24" t="str">
        <f aca="false">IF($K1645&lt;&gt;"",$K1645,$M1645)</f>
        <v/>
      </c>
      <c r="O1645" s="24" t="str">
        <f aca="false">IF($F1645="","",IFERROR(INDEX(Counterparties!$C:$C,MATCH($F1645&amp;"",Counterparties!$A:$A,0))&amp;"",""))</f>
        <v/>
      </c>
      <c r="P1645" s="24" t="str">
        <f aca="false">IF($O1645="","",IF($O1645="CY","CY",IF(ISNUMBER(MATCH($O1645,Lists!$A:$A,0)),"EU","3RD")))</f>
        <v/>
      </c>
      <c r="Q1645" s="24" t="str">
        <f aca="false">IF($F1645="","N",IFERROR(IF(INDEX(Counterparties!$E:$E,MATCH($F1645&amp;"",Counterparties!$A:$A,0))="Y","Y","N"),"N"))</f>
        <v>N</v>
      </c>
      <c r="R1645" s="25" t="n">
        <f aca="false">IF(OR($H1645="",$H1645="EUR"),1,IFERROR(INDEX(FX_Rates!$D:$D,MATCH($H1645,FX_Rates!$A:$A,0)),""))</f>
        <v>1</v>
      </c>
      <c r="S1645" s="26" t="str">
        <f aca="false">IF(AND($I1645="",$J1645=""),"",IF($J1645&lt;&gt;"",$J1645,IF(OR($R1645="",$R1645=0),"",ROUND($I1645/$R1645,2))))</f>
        <v/>
      </c>
      <c r="T1645" s="24" t="str">
        <f aca="false">IF($N1645="","",IFERROR(INDEX(VAT_Codes!$C:$C,MATCH($N1645,VAT_Codes!$A:$A,0)),"")&amp;"")</f>
        <v/>
      </c>
      <c r="U1645" s="26" t="n">
        <f aca="false">IF(OR($S1645="",$T1645="",$T1645="None"),0,IF($T1645="Output",-$S1645,$S1645))</f>
        <v>0</v>
      </c>
      <c r="V1645" s="27" t="n">
        <f aca="false">IF($N1645="",0,IFERROR(INDEX(VAT_Codes!$D:$D,MATCH($N1645,VAT_Codes!$A:$A,0)),0))</f>
        <v>0</v>
      </c>
      <c r="W1645" s="26" t="n">
        <f aca="false">IF($U1645=0,0,IF(IFERROR(INDEX(VAT_Codes!$F:$F,MATCH($N1645,VAT_Codes!$A:$A,0)),"N")="Y",$U1645,IF($L1645&lt;&gt;"",ROUND(ABS($L1645)/IF(OR($R1645="",$R1645=0),1,$R1645),2)*SIGN($U1645),ROUND($U1645*$V1645,2))))</f>
        <v>0</v>
      </c>
      <c r="X1645" s="24" t="str">
        <f aca="false">IF($N1645="","",IFERROR(INDEX(VAT_Codes!$H:$H,MATCH($N1645,VAT_Codes!$A:$A,0)),"")&amp;"")</f>
        <v/>
      </c>
      <c r="Y1645" s="24" t="str">
        <f aca="false">IF($A1645="","",(YEAR($A1645)-YEAR(Settings!$C$8))*12+MONTH($A1645)-MONTH(Settings!$C$8)+1)</f>
        <v/>
      </c>
      <c r="Z1645" s="24" t="str">
        <f aca="false">IF(AND($C1645="",$I1645="",$J1645=""),"",IF($N1645="","NO VAT CODE",IF($T1645="","UNKNOWN VAT CODE",IF($S1645="","MISSING FX RATE",IF(OR($A1645&lt;Settings!$C$8,$A1645&gt;Settings!$C$9),"OUTSIDE PERIOD",IF(AND(IFERROR(INDEX(VAT_Codes!$E:$E,MATCH($N1645,VAT_Codes!$A:$A,0)),"ANY")&lt;&gt;"ANY",$P1645=""),"MISSING COUNTERPARTY COUNTRY",IF(AND(IFERROR(INDEX(VAT_Codes!$E:$E,MATCH($N1645,VAT_Codes!$A:$A,0)),"ANY")&lt;&gt;"ANY",$P1645&lt;&gt;IFERROR(INDEX(VAT_Codes!$E:$E,MATCH($N1645,VAT_Codes!$A:$A,0)),"ANY")),"REGION MISMATCH","OK")))))))</f>
        <v/>
      </c>
    </row>
    <row r="1646" customFormat="false" ht="15" hidden="false" customHeight="false" outlineLevel="0" collapsed="false">
      <c r="M1646" s="24" t="str">
        <f aca="false">IF($C1646="","",IFERROR(INDEX(Account_Mapping!$C:$C,MATCH($C1646&amp;"",Account_Mapping!$A:$A,0))&amp;"",""))</f>
        <v/>
      </c>
      <c r="N1646" s="24" t="str">
        <f aca="false">IF($K1646&lt;&gt;"",$K1646,$M1646)</f>
        <v/>
      </c>
      <c r="O1646" s="24" t="str">
        <f aca="false">IF($F1646="","",IFERROR(INDEX(Counterparties!$C:$C,MATCH($F1646&amp;"",Counterparties!$A:$A,0))&amp;"",""))</f>
        <v/>
      </c>
      <c r="P1646" s="24" t="str">
        <f aca="false">IF($O1646="","",IF($O1646="CY","CY",IF(ISNUMBER(MATCH($O1646,Lists!$A:$A,0)),"EU","3RD")))</f>
        <v/>
      </c>
      <c r="Q1646" s="24" t="str">
        <f aca="false">IF($F1646="","N",IFERROR(IF(INDEX(Counterparties!$E:$E,MATCH($F1646&amp;"",Counterparties!$A:$A,0))="Y","Y","N"),"N"))</f>
        <v>N</v>
      </c>
      <c r="R1646" s="25" t="n">
        <f aca="false">IF(OR($H1646="",$H1646="EUR"),1,IFERROR(INDEX(FX_Rates!$D:$D,MATCH($H1646,FX_Rates!$A:$A,0)),""))</f>
        <v>1</v>
      </c>
      <c r="S1646" s="26" t="str">
        <f aca="false">IF(AND($I1646="",$J1646=""),"",IF($J1646&lt;&gt;"",$J1646,IF(OR($R1646="",$R1646=0),"",ROUND($I1646/$R1646,2))))</f>
        <v/>
      </c>
      <c r="T1646" s="24" t="str">
        <f aca="false">IF($N1646="","",IFERROR(INDEX(VAT_Codes!$C:$C,MATCH($N1646,VAT_Codes!$A:$A,0)),"")&amp;"")</f>
        <v/>
      </c>
      <c r="U1646" s="26" t="n">
        <f aca="false">IF(OR($S1646="",$T1646="",$T1646="None"),0,IF($T1646="Output",-$S1646,$S1646))</f>
        <v>0</v>
      </c>
      <c r="V1646" s="27" t="n">
        <f aca="false">IF($N1646="",0,IFERROR(INDEX(VAT_Codes!$D:$D,MATCH($N1646,VAT_Codes!$A:$A,0)),0))</f>
        <v>0</v>
      </c>
      <c r="W1646" s="26" t="n">
        <f aca="false">IF($U1646=0,0,IF(IFERROR(INDEX(VAT_Codes!$F:$F,MATCH($N1646,VAT_Codes!$A:$A,0)),"N")="Y",$U1646,IF($L1646&lt;&gt;"",ROUND(ABS($L1646)/IF(OR($R1646="",$R1646=0),1,$R1646),2)*SIGN($U1646),ROUND($U1646*$V1646,2))))</f>
        <v>0</v>
      </c>
      <c r="X1646" s="24" t="str">
        <f aca="false">IF($N1646="","",IFERROR(INDEX(VAT_Codes!$H:$H,MATCH($N1646,VAT_Codes!$A:$A,0)),"")&amp;"")</f>
        <v/>
      </c>
      <c r="Y1646" s="24" t="str">
        <f aca="false">IF($A1646="","",(YEAR($A1646)-YEAR(Settings!$C$8))*12+MONTH($A1646)-MONTH(Settings!$C$8)+1)</f>
        <v/>
      </c>
      <c r="Z1646" s="24" t="str">
        <f aca="false">IF(AND($C1646="",$I1646="",$J1646=""),"",IF($N1646="","NO VAT CODE",IF($T1646="","UNKNOWN VAT CODE",IF($S1646="","MISSING FX RATE",IF(OR($A1646&lt;Settings!$C$8,$A1646&gt;Settings!$C$9),"OUTSIDE PERIOD",IF(AND(IFERROR(INDEX(VAT_Codes!$E:$E,MATCH($N1646,VAT_Codes!$A:$A,0)),"ANY")&lt;&gt;"ANY",$P1646=""),"MISSING COUNTERPARTY COUNTRY",IF(AND(IFERROR(INDEX(VAT_Codes!$E:$E,MATCH($N1646,VAT_Codes!$A:$A,0)),"ANY")&lt;&gt;"ANY",$P1646&lt;&gt;IFERROR(INDEX(VAT_Codes!$E:$E,MATCH($N1646,VAT_Codes!$A:$A,0)),"ANY")),"REGION MISMATCH","OK")))))))</f>
        <v/>
      </c>
    </row>
    <row r="1647" customFormat="false" ht="15" hidden="false" customHeight="false" outlineLevel="0" collapsed="false">
      <c r="M1647" s="24" t="str">
        <f aca="false">IF($C1647="","",IFERROR(INDEX(Account_Mapping!$C:$C,MATCH($C1647&amp;"",Account_Mapping!$A:$A,0))&amp;"",""))</f>
        <v/>
      </c>
      <c r="N1647" s="24" t="str">
        <f aca="false">IF($K1647&lt;&gt;"",$K1647,$M1647)</f>
        <v/>
      </c>
      <c r="O1647" s="24" t="str">
        <f aca="false">IF($F1647="","",IFERROR(INDEX(Counterparties!$C:$C,MATCH($F1647&amp;"",Counterparties!$A:$A,0))&amp;"",""))</f>
        <v/>
      </c>
      <c r="P1647" s="24" t="str">
        <f aca="false">IF($O1647="","",IF($O1647="CY","CY",IF(ISNUMBER(MATCH($O1647,Lists!$A:$A,0)),"EU","3RD")))</f>
        <v/>
      </c>
      <c r="Q1647" s="24" t="str">
        <f aca="false">IF($F1647="","N",IFERROR(IF(INDEX(Counterparties!$E:$E,MATCH($F1647&amp;"",Counterparties!$A:$A,0))="Y","Y","N"),"N"))</f>
        <v>N</v>
      </c>
      <c r="R1647" s="25" t="n">
        <f aca="false">IF(OR($H1647="",$H1647="EUR"),1,IFERROR(INDEX(FX_Rates!$D:$D,MATCH($H1647,FX_Rates!$A:$A,0)),""))</f>
        <v>1</v>
      </c>
      <c r="S1647" s="26" t="str">
        <f aca="false">IF(AND($I1647="",$J1647=""),"",IF($J1647&lt;&gt;"",$J1647,IF(OR($R1647="",$R1647=0),"",ROUND($I1647/$R1647,2))))</f>
        <v/>
      </c>
      <c r="T1647" s="24" t="str">
        <f aca="false">IF($N1647="","",IFERROR(INDEX(VAT_Codes!$C:$C,MATCH($N1647,VAT_Codes!$A:$A,0)),"")&amp;"")</f>
        <v/>
      </c>
      <c r="U1647" s="26" t="n">
        <f aca="false">IF(OR($S1647="",$T1647="",$T1647="None"),0,IF($T1647="Output",-$S1647,$S1647))</f>
        <v>0</v>
      </c>
      <c r="V1647" s="27" t="n">
        <f aca="false">IF($N1647="",0,IFERROR(INDEX(VAT_Codes!$D:$D,MATCH($N1647,VAT_Codes!$A:$A,0)),0))</f>
        <v>0</v>
      </c>
      <c r="W1647" s="26" t="n">
        <f aca="false">IF($U1647=0,0,IF(IFERROR(INDEX(VAT_Codes!$F:$F,MATCH($N1647,VAT_Codes!$A:$A,0)),"N")="Y",$U1647,IF($L1647&lt;&gt;"",ROUND(ABS($L1647)/IF(OR($R1647="",$R1647=0),1,$R1647),2)*SIGN($U1647),ROUND($U1647*$V1647,2))))</f>
        <v>0</v>
      </c>
      <c r="X1647" s="24" t="str">
        <f aca="false">IF($N1647="","",IFERROR(INDEX(VAT_Codes!$H:$H,MATCH($N1647,VAT_Codes!$A:$A,0)),"")&amp;"")</f>
        <v/>
      </c>
      <c r="Y1647" s="24" t="str">
        <f aca="false">IF($A1647="","",(YEAR($A1647)-YEAR(Settings!$C$8))*12+MONTH($A1647)-MONTH(Settings!$C$8)+1)</f>
        <v/>
      </c>
      <c r="Z1647" s="24" t="str">
        <f aca="false">IF(AND($C1647="",$I1647="",$J1647=""),"",IF($N1647="","NO VAT CODE",IF($T1647="","UNKNOWN VAT CODE",IF($S1647="","MISSING FX RATE",IF(OR($A1647&lt;Settings!$C$8,$A1647&gt;Settings!$C$9),"OUTSIDE PERIOD",IF(AND(IFERROR(INDEX(VAT_Codes!$E:$E,MATCH($N1647,VAT_Codes!$A:$A,0)),"ANY")&lt;&gt;"ANY",$P1647=""),"MISSING COUNTERPARTY COUNTRY",IF(AND(IFERROR(INDEX(VAT_Codes!$E:$E,MATCH($N1647,VAT_Codes!$A:$A,0)),"ANY")&lt;&gt;"ANY",$P1647&lt;&gt;IFERROR(INDEX(VAT_Codes!$E:$E,MATCH($N1647,VAT_Codes!$A:$A,0)),"ANY")),"REGION MISMATCH","OK")))))))</f>
        <v/>
      </c>
    </row>
    <row r="1648" customFormat="false" ht="15" hidden="false" customHeight="false" outlineLevel="0" collapsed="false">
      <c r="M1648" s="24" t="str">
        <f aca="false">IF($C1648="","",IFERROR(INDEX(Account_Mapping!$C:$C,MATCH($C1648&amp;"",Account_Mapping!$A:$A,0))&amp;"",""))</f>
        <v/>
      </c>
      <c r="N1648" s="24" t="str">
        <f aca="false">IF($K1648&lt;&gt;"",$K1648,$M1648)</f>
        <v/>
      </c>
      <c r="O1648" s="24" t="str">
        <f aca="false">IF($F1648="","",IFERROR(INDEX(Counterparties!$C:$C,MATCH($F1648&amp;"",Counterparties!$A:$A,0))&amp;"",""))</f>
        <v/>
      </c>
      <c r="P1648" s="24" t="str">
        <f aca="false">IF($O1648="","",IF($O1648="CY","CY",IF(ISNUMBER(MATCH($O1648,Lists!$A:$A,0)),"EU","3RD")))</f>
        <v/>
      </c>
      <c r="Q1648" s="24" t="str">
        <f aca="false">IF($F1648="","N",IFERROR(IF(INDEX(Counterparties!$E:$E,MATCH($F1648&amp;"",Counterparties!$A:$A,0))="Y","Y","N"),"N"))</f>
        <v>N</v>
      </c>
      <c r="R1648" s="25" t="n">
        <f aca="false">IF(OR($H1648="",$H1648="EUR"),1,IFERROR(INDEX(FX_Rates!$D:$D,MATCH($H1648,FX_Rates!$A:$A,0)),""))</f>
        <v>1</v>
      </c>
      <c r="S1648" s="26" t="str">
        <f aca="false">IF(AND($I1648="",$J1648=""),"",IF($J1648&lt;&gt;"",$J1648,IF(OR($R1648="",$R1648=0),"",ROUND($I1648/$R1648,2))))</f>
        <v/>
      </c>
      <c r="T1648" s="24" t="str">
        <f aca="false">IF($N1648="","",IFERROR(INDEX(VAT_Codes!$C:$C,MATCH($N1648,VAT_Codes!$A:$A,0)),"")&amp;"")</f>
        <v/>
      </c>
      <c r="U1648" s="26" t="n">
        <f aca="false">IF(OR($S1648="",$T1648="",$T1648="None"),0,IF($T1648="Output",-$S1648,$S1648))</f>
        <v>0</v>
      </c>
      <c r="V1648" s="27" t="n">
        <f aca="false">IF($N1648="",0,IFERROR(INDEX(VAT_Codes!$D:$D,MATCH($N1648,VAT_Codes!$A:$A,0)),0))</f>
        <v>0</v>
      </c>
      <c r="W1648" s="26" t="n">
        <f aca="false">IF($U1648=0,0,IF(IFERROR(INDEX(VAT_Codes!$F:$F,MATCH($N1648,VAT_Codes!$A:$A,0)),"N")="Y",$U1648,IF($L1648&lt;&gt;"",ROUND(ABS($L1648)/IF(OR($R1648="",$R1648=0),1,$R1648),2)*SIGN($U1648),ROUND($U1648*$V1648,2))))</f>
        <v>0</v>
      </c>
      <c r="X1648" s="24" t="str">
        <f aca="false">IF($N1648="","",IFERROR(INDEX(VAT_Codes!$H:$H,MATCH($N1648,VAT_Codes!$A:$A,0)),"")&amp;"")</f>
        <v/>
      </c>
      <c r="Y1648" s="24" t="str">
        <f aca="false">IF($A1648="","",(YEAR($A1648)-YEAR(Settings!$C$8))*12+MONTH($A1648)-MONTH(Settings!$C$8)+1)</f>
        <v/>
      </c>
      <c r="Z1648" s="24" t="str">
        <f aca="false">IF(AND($C1648="",$I1648="",$J1648=""),"",IF($N1648="","NO VAT CODE",IF($T1648="","UNKNOWN VAT CODE",IF($S1648="","MISSING FX RATE",IF(OR($A1648&lt;Settings!$C$8,$A1648&gt;Settings!$C$9),"OUTSIDE PERIOD",IF(AND(IFERROR(INDEX(VAT_Codes!$E:$E,MATCH($N1648,VAT_Codes!$A:$A,0)),"ANY")&lt;&gt;"ANY",$P1648=""),"MISSING COUNTERPARTY COUNTRY",IF(AND(IFERROR(INDEX(VAT_Codes!$E:$E,MATCH($N1648,VAT_Codes!$A:$A,0)),"ANY")&lt;&gt;"ANY",$P1648&lt;&gt;IFERROR(INDEX(VAT_Codes!$E:$E,MATCH($N1648,VAT_Codes!$A:$A,0)),"ANY")),"REGION MISMATCH","OK")))))))</f>
        <v/>
      </c>
    </row>
    <row r="1649" customFormat="false" ht="15" hidden="false" customHeight="false" outlineLevel="0" collapsed="false">
      <c r="M1649" s="24" t="str">
        <f aca="false">IF($C1649="","",IFERROR(INDEX(Account_Mapping!$C:$C,MATCH($C1649&amp;"",Account_Mapping!$A:$A,0))&amp;"",""))</f>
        <v/>
      </c>
      <c r="N1649" s="24" t="str">
        <f aca="false">IF($K1649&lt;&gt;"",$K1649,$M1649)</f>
        <v/>
      </c>
      <c r="O1649" s="24" t="str">
        <f aca="false">IF($F1649="","",IFERROR(INDEX(Counterparties!$C:$C,MATCH($F1649&amp;"",Counterparties!$A:$A,0))&amp;"",""))</f>
        <v/>
      </c>
      <c r="P1649" s="24" t="str">
        <f aca="false">IF($O1649="","",IF($O1649="CY","CY",IF(ISNUMBER(MATCH($O1649,Lists!$A:$A,0)),"EU","3RD")))</f>
        <v/>
      </c>
      <c r="Q1649" s="24" t="str">
        <f aca="false">IF($F1649="","N",IFERROR(IF(INDEX(Counterparties!$E:$E,MATCH($F1649&amp;"",Counterparties!$A:$A,0))="Y","Y","N"),"N"))</f>
        <v>N</v>
      </c>
      <c r="R1649" s="25" t="n">
        <f aca="false">IF(OR($H1649="",$H1649="EUR"),1,IFERROR(INDEX(FX_Rates!$D:$D,MATCH($H1649,FX_Rates!$A:$A,0)),""))</f>
        <v>1</v>
      </c>
      <c r="S1649" s="26" t="str">
        <f aca="false">IF(AND($I1649="",$J1649=""),"",IF($J1649&lt;&gt;"",$J1649,IF(OR($R1649="",$R1649=0),"",ROUND($I1649/$R1649,2))))</f>
        <v/>
      </c>
      <c r="T1649" s="24" t="str">
        <f aca="false">IF($N1649="","",IFERROR(INDEX(VAT_Codes!$C:$C,MATCH($N1649,VAT_Codes!$A:$A,0)),"")&amp;"")</f>
        <v/>
      </c>
      <c r="U1649" s="26" t="n">
        <f aca="false">IF(OR($S1649="",$T1649="",$T1649="None"),0,IF($T1649="Output",-$S1649,$S1649))</f>
        <v>0</v>
      </c>
      <c r="V1649" s="27" t="n">
        <f aca="false">IF($N1649="",0,IFERROR(INDEX(VAT_Codes!$D:$D,MATCH($N1649,VAT_Codes!$A:$A,0)),0))</f>
        <v>0</v>
      </c>
      <c r="W1649" s="26" t="n">
        <f aca="false">IF($U1649=0,0,IF(IFERROR(INDEX(VAT_Codes!$F:$F,MATCH($N1649,VAT_Codes!$A:$A,0)),"N")="Y",$U1649,IF($L1649&lt;&gt;"",ROUND(ABS($L1649)/IF(OR($R1649="",$R1649=0),1,$R1649),2)*SIGN($U1649),ROUND($U1649*$V1649,2))))</f>
        <v>0</v>
      </c>
      <c r="X1649" s="24" t="str">
        <f aca="false">IF($N1649="","",IFERROR(INDEX(VAT_Codes!$H:$H,MATCH($N1649,VAT_Codes!$A:$A,0)),"")&amp;"")</f>
        <v/>
      </c>
      <c r="Y1649" s="24" t="str">
        <f aca="false">IF($A1649="","",(YEAR($A1649)-YEAR(Settings!$C$8))*12+MONTH($A1649)-MONTH(Settings!$C$8)+1)</f>
        <v/>
      </c>
      <c r="Z1649" s="24" t="str">
        <f aca="false">IF(AND($C1649="",$I1649="",$J1649=""),"",IF($N1649="","NO VAT CODE",IF($T1649="","UNKNOWN VAT CODE",IF($S1649="","MISSING FX RATE",IF(OR($A1649&lt;Settings!$C$8,$A1649&gt;Settings!$C$9),"OUTSIDE PERIOD",IF(AND(IFERROR(INDEX(VAT_Codes!$E:$E,MATCH($N1649,VAT_Codes!$A:$A,0)),"ANY")&lt;&gt;"ANY",$P1649=""),"MISSING COUNTERPARTY COUNTRY",IF(AND(IFERROR(INDEX(VAT_Codes!$E:$E,MATCH($N1649,VAT_Codes!$A:$A,0)),"ANY")&lt;&gt;"ANY",$P1649&lt;&gt;IFERROR(INDEX(VAT_Codes!$E:$E,MATCH($N1649,VAT_Codes!$A:$A,0)),"ANY")),"REGION MISMATCH","OK")))))))</f>
        <v/>
      </c>
    </row>
    <row r="1650" customFormat="false" ht="15" hidden="false" customHeight="false" outlineLevel="0" collapsed="false">
      <c r="M1650" s="24" t="str">
        <f aca="false">IF($C1650="","",IFERROR(INDEX(Account_Mapping!$C:$C,MATCH($C1650&amp;"",Account_Mapping!$A:$A,0))&amp;"",""))</f>
        <v/>
      </c>
      <c r="N1650" s="24" t="str">
        <f aca="false">IF($K1650&lt;&gt;"",$K1650,$M1650)</f>
        <v/>
      </c>
      <c r="O1650" s="24" t="str">
        <f aca="false">IF($F1650="","",IFERROR(INDEX(Counterparties!$C:$C,MATCH($F1650&amp;"",Counterparties!$A:$A,0))&amp;"",""))</f>
        <v/>
      </c>
      <c r="P1650" s="24" t="str">
        <f aca="false">IF($O1650="","",IF($O1650="CY","CY",IF(ISNUMBER(MATCH($O1650,Lists!$A:$A,0)),"EU","3RD")))</f>
        <v/>
      </c>
      <c r="Q1650" s="24" t="str">
        <f aca="false">IF($F1650="","N",IFERROR(IF(INDEX(Counterparties!$E:$E,MATCH($F1650&amp;"",Counterparties!$A:$A,0))="Y","Y","N"),"N"))</f>
        <v>N</v>
      </c>
      <c r="R1650" s="25" t="n">
        <f aca="false">IF(OR($H1650="",$H1650="EUR"),1,IFERROR(INDEX(FX_Rates!$D:$D,MATCH($H1650,FX_Rates!$A:$A,0)),""))</f>
        <v>1</v>
      </c>
      <c r="S1650" s="26" t="str">
        <f aca="false">IF(AND($I1650="",$J1650=""),"",IF($J1650&lt;&gt;"",$J1650,IF(OR($R1650="",$R1650=0),"",ROUND($I1650/$R1650,2))))</f>
        <v/>
      </c>
      <c r="T1650" s="24" t="str">
        <f aca="false">IF($N1650="","",IFERROR(INDEX(VAT_Codes!$C:$C,MATCH($N1650,VAT_Codes!$A:$A,0)),"")&amp;"")</f>
        <v/>
      </c>
      <c r="U1650" s="26" t="n">
        <f aca="false">IF(OR($S1650="",$T1650="",$T1650="None"),0,IF($T1650="Output",-$S1650,$S1650))</f>
        <v>0</v>
      </c>
      <c r="V1650" s="27" t="n">
        <f aca="false">IF($N1650="",0,IFERROR(INDEX(VAT_Codes!$D:$D,MATCH($N1650,VAT_Codes!$A:$A,0)),0))</f>
        <v>0</v>
      </c>
      <c r="W1650" s="26" t="n">
        <f aca="false">IF($U1650=0,0,IF(IFERROR(INDEX(VAT_Codes!$F:$F,MATCH($N1650,VAT_Codes!$A:$A,0)),"N")="Y",$U1650,IF($L1650&lt;&gt;"",ROUND(ABS($L1650)/IF(OR($R1650="",$R1650=0),1,$R1650),2)*SIGN($U1650),ROUND($U1650*$V1650,2))))</f>
        <v>0</v>
      </c>
      <c r="X1650" s="24" t="str">
        <f aca="false">IF($N1650="","",IFERROR(INDEX(VAT_Codes!$H:$H,MATCH($N1650,VAT_Codes!$A:$A,0)),"")&amp;"")</f>
        <v/>
      </c>
      <c r="Y1650" s="24" t="str">
        <f aca="false">IF($A1650="","",(YEAR($A1650)-YEAR(Settings!$C$8))*12+MONTH($A1650)-MONTH(Settings!$C$8)+1)</f>
        <v/>
      </c>
      <c r="Z1650" s="24" t="str">
        <f aca="false">IF(AND($C1650="",$I1650="",$J1650=""),"",IF($N1650="","NO VAT CODE",IF($T1650="","UNKNOWN VAT CODE",IF($S1650="","MISSING FX RATE",IF(OR($A1650&lt;Settings!$C$8,$A1650&gt;Settings!$C$9),"OUTSIDE PERIOD",IF(AND(IFERROR(INDEX(VAT_Codes!$E:$E,MATCH($N1650,VAT_Codes!$A:$A,0)),"ANY")&lt;&gt;"ANY",$P1650=""),"MISSING COUNTERPARTY COUNTRY",IF(AND(IFERROR(INDEX(VAT_Codes!$E:$E,MATCH($N1650,VAT_Codes!$A:$A,0)),"ANY")&lt;&gt;"ANY",$P1650&lt;&gt;IFERROR(INDEX(VAT_Codes!$E:$E,MATCH($N1650,VAT_Codes!$A:$A,0)),"ANY")),"REGION MISMATCH","OK")))))))</f>
        <v/>
      </c>
    </row>
    <row r="1651" customFormat="false" ht="15" hidden="false" customHeight="false" outlineLevel="0" collapsed="false">
      <c r="M1651" s="24" t="str">
        <f aca="false">IF($C1651="","",IFERROR(INDEX(Account_Mapping!$C:$C,MATCH($C1651&amp;"",Account_Mapping!$A:$A,0))&amp;"",""))</f>
        <v/>
      </c>
      <c r="N1651" s="24" t="str">
        <f aca="false">IF($K1651&lt;&gt;"",$K1651,$M1651)</f>
        <v/>
      </c>
      <c r="O1651" s="24" t="str">
        <f aca="false">IF($F1651="","",IFERROR(INDEX(Counterparties!$C:$C,MATCH($F1651&amp;"",Counterparties!$A:$A,0))&amp;"",""))</f>
        <v/>
      </c>
      <c r="P1651" s="24" t="str">
        <f aca="false">IF($O1651="","",IF($O1651="CY","CY",IF(ISNUMBER(MATCH($O1651,Lists!$A:$A,0)),"EU","3RD")))</f>
        <v/>
      </c>
      <c r="Q1651" s="24" t="str">
        <f aca="false">IF($F1651="","N",IFERROR(IF(INDEX(Counterparties!$E:$E,MATCH($F1651&amp;"",Counterparties!$A:$A,0))="Y","Y","N"),"N"))</f>
        <v>N</v>
      </c>
      <c r="R1651" s="25" t="n">
        <f aca="false">IF(OR($H1651="",$H1651="EUR"),1,IFERROR(INDEX(FX_Rates!$D:$D,MATCH($H1651,FX_Rates!$A:$A,0)),""))</f>
        <v>1</v>
      </c>
      <c r="S1651" s="26" t="str">
        <f aca="false">IF(AND($I1651="",$J1651=""),"",IF($J1651&lt;&gt;"",$J1651,IF(OR($R1651="",$R1651=0),"",ROUND($I1651/$R1651,2))))</f>
        <v/>
      </c>
      <c r="T1651" s="24" t="str">
        <f aca="false">IF($N1651="","",IFERROR(INDEX(VAT_Codes!$C:$C,MATCH($N1651,VAT_Codes!$A:$A,0)),"")&amp;"")</f>
        <v/>
      </c>
      <c r="U1651" s="26" t="n">
        <f aca="false">IF(OR($S1651="",$T1651="",$T1651="None"),0,IF($T1651="Output",-$S1651,$S1651))</f>
        <v>0</v>
      </c>
      <c r="V1651" s="27" t="n">
        <f aca="false">IF($N1651="",0,IFERROR(INDEX(VAT_Codes!$D:$D,MATCH($N1651,VAT_Codes!$A:$A,0)),0))</f>
        <v>0</v>
      </c>
      <c r="W1651" s="26" t="n">
        <f aca="false">IF($U1651=0,0,IF(IFERROR(INDEX(VAT_Codes!$F:$F,MATCH($N1651,VAT_Codes!$A:$A,0)),"N")="Y",$U1651,IF($L1651&lt;&gt;"",ROUND(ABS($L1651)/IF(OR($R1651="",$R1651=0),1,$R1651),2)*SIGN($U1651),ROUND($U1651*$V1651,2))))</f>
        <v>0</v>
      </c>
      <c r="X1651" s="24" t="str">
        <f aca="false">IF($N1651="","",IFERROR(INDEX(VAT_Codes!$H:$H,MATCH($N1651,VAT_Codes!$A:$A,0)),"")&amp;"")</f>
        <v/>
      </c>
      <c r="Y1651" s="24" t="str">
        <f aca="false">IF($A1651="","",(YEAR($A1651)-YEAR(Settings!$C$8))*12+MONTH($A1651)-MONTH(Settings!$C$8)+1)</f>
        <v/>
      </c>
      <c r="Z1651" s="24" t="str">
        <f aca="false">IF(AND($C1651="",$I1651="",$J1651=""),"",IF($N1651="","NO VAT CODE",IF($T1651="","UNKNOWN VAT CODE",IF($S1651="","MISSING FX RATE",IF(OR($A1651&lt;Settings!$C$8,$A1651&gt;Settings!$C$9),"OUTSIDE PERIOD",IF(AND(IFERROR(INDEX(VAT_Codes!$E:$E,MATCH($N1651,VAT_Codes!$A:$A,0)),"ANY")&lt;&gt;"ANY",$P1651=""),"MISSING COUNTERPARTY COUNTRY",IF(AND(IFERROR(INDEX(VAT_Codes!$E:$E,MATCH($N1651,VAT_Codes!$A:$A,0)),"ANY")&lt;&gt;"ANY",$P1651&lt;&gt;IFERROR(INDEX(VAT_Codes!$E:$E,MATCH($N1651,VAT_Codes!$A:$A,0)),"ANY")),"REGION MISMATCH","OK")))))))</f>
        <v/>
      </c>
    </row>
    <row r="1652" customFormat="false" ht="15" hidden="false" customHeight="false" outlineLevel="0" collapsed="false">
      <c r="M1652" s="24" t="str">
        <f aca="false">IF($C1652="","",IFERROR(INDEX(Account_Mapping!$C:$C,MATCH($C1652&amp;"",Account_Mapping!$A:$A,0))&amp;"",""))</f>
        <v/>
      </c>
      <c r="N1652" s="24" t="str">
        <f aca="false">IF($K1652&lt;&gt;"",$K1652,$M1652)</f>
        <v/>
      </c>
      <c r="O1652" s="24" t="str">
        <f aca="false">IF($F1652="","",IFERROR(INDEX(Counterparties!$C:$C,MATCH($F1652&amp;"",Counterparties!$A:$A,0))&amp;"",""))</f>
        <v/>
      </c>
      <c r="P1652" s="24" t="str">
        <f aca="false">IF($O1652="","",IF($O1652="CY","CY",IF(ISNUMBER(MATCH($O1652,Lists!$A:$A,0)),"EU","3RD")))</f>
        <v/>
      </c>
      <c r="Q1652" s="24" t="str">
        <f aca="false">IF($F1652="","N",IFERROR(IF(INDEX(Counterparties!$E:$E,MATCH($F1652&amp;"",Counterparties!$A:$A,0))="Y","Y","N"),"N"))</f>
        <v>N</v>
      </c>
      <c r="R1652" s="25" t="n">
        <f aca="false">IF(OR($H1652="",$H1652="EUR"),1,IFERROR(INDEX(FX_Rates!$D:$D,MATCH($H1652,FX_Rates!$A:$A,0)),""))</f>
        <v>1</v>
      </c>
      <c r="S1652" s="26" t="str">
        <f aca="false">IF(AND($I1652="",$J1652=""),"",IF($J1652&lt;&gt;"",$J1652,IF(OR($R1652="",$R1652=0),"",ROUND($I1652/$R1652,2))))</f>
        <v/>
      </c>
      <c r="T1652" s="24" t="str">
        <f aca="false">IF($N1652="","",IFERROR(INDEX(VAT_Codes!$C:$C,MATCH($N1652,VAT_Codes!$A:$A,0)),"")&amp;"")</f>
        <v/>
      </c>
      <c r="U1652" s="26" t="n">
        <f aca="false">IF(OR($S1652="",$T1652="",$T1652="None"),0,IF($T1652="Output",-$S1652,$S1652))</f>
        <v>0</v>
      </c>
      <c r="V1652" s="27" t="n">
        <f aca="false">IF($N1652="",0,IFERROR(INDEX(VAT_Codes!$D:$D,MATCH($N1652,VAT_Codes!$A:$A,0)),0))</f>
        <v>0</v>
      </c>
      <c r="W1652" s="26" t="n">
        <f aca="false">IF($U1652=0,0,IF(IFERROR(INDEX(VAT_Codes!$F:$F,MATCH($N1652,VAT_Codes!$A:$A,0)),"N")="Y",$U1652,IF($L1652&lt;&gt;"",ROUND(ABS($L1652)/IF(OR($R1652="",$R1652=0),1,$R1652),2)*SIGN($U1652),ROUND($U1652*$V1652,2))))</f>
        <v>0</v>
      </c>
      <c r="X1652" s="24" t="str">
        <f aca="false">IF($N1652="","",IFERROR(INDEX(VAT_Codes!$H:$H,MATCH($N1652,VAT_Codes!$A:$A,0)),"")&amp;"")</f>
        <v/>
      </c>
      <c r="Y1652" s="24" t="str">
        <f aca="false">IF($A1652="","",(YEAR($A1652)-YEAR(Settings!$C$8))*12+MONTH($A1652)-MONTH(Settings!$C$8)+1)</f>
        <v/>
      </c>
      <c r="Z1652" s="24" t="str">
        <f aca="false">IF(AND($C1652="",$I1652="",$J1652=""),"",IF($N1652="","NO VAT CODE",IF($T1652="","UNKNOWN VAT CODE",IF($S1652="","MISSING FX RATE",IF(OR($A1652&lt;Settings!$C$8,$A1652&gt;Settings!$C$9),"OUTSIDE PERIOD",IF(AND(IFERROR(INDEX(VAT_Codes!$E:$E,MATCH($N1652,VAT_Codes!$A:$A,0)),"ANY")&lt;&gt;"ANY",$P1652=""),"MISSING COUNTERPARTY COUNTRY",IF(AND(IFERROR(INDEX(VAT_Codes!$E:$E,MATCH($N1652,VAT_Codes!$A:$A,0)),"ANY")&lt;&gt;"ANY",$P1652&lt;&gt;IFERROR(INDEX(VAT_Codes!$E:$E,MATCH($N1652,VAT_Codes!$A:$A,0)),"ANY")),"REGION MISMATCH","OK")))))))</f>
        <v/>
      </c>
    </row>
    <row r="1653" customFormat="false" ht="15" hidden="false" customHeight="false" outlineLevel="0" collapsed="false">
      <c r="M1653" s="24" t="str">
        <f aca="false">IF($C1653="","",IFERROR(INDEX(Account_Mapping!$C:$C,MATCH($C1653&amp;"",Account_Mapping!$A:$A,0))&amp;"",""))</f>
        <v/>
      </c>
      <c r="N1653" s="24" t="str">
        <f aca="false">IF($K1653&lt;&gt;"",$K1653,$M1653)</f>
        <v/>
      </c>
      <c r="O1653" s="24" t="str">
        <f aca="false">IF($F1653="","",IFERROR(INDEX(Counterparties!$C:$C,MATCH($F1653&amp;"",Counterparties!$A:$A,0))&amp;"",""))</f>
        <v/>
      </c>
      <c r="P1653" s="24" t="str">
        <f aca="false">IF($O1653="","",IF($O1653="CY","CY",IF(ISNUMBER(MATCH($O1653,Lists!$A:$A,0)),"EU","3RD")))</f>
        <v/>
      </c>
      <c r="Q1653" s="24" t="str">
        <f aca="false">IF($F1653="","N",IFERROR(IF(INDEX(Counterparties!$E:$E,MATCH($F1653&amp;"",Counterparties!$A:$A,0))="Y","Y","N"),"N"))</f>
        <v>N</v>
      </c>
      <c r="R1653" s="25" t="n">
        <f aca="false">IF(OR($H1653="",$H1653="EUR"),1,IFERROR(INDEX(FX_Rates!$D:$D,MATCH($H1653,FX_Rates!$A:$A,0)),""))</f>
        <v>1</v>
      </c>
      <c r="S1653" s="26" t="str">
        <f aca="false">IF(AND($I1653="",$J1653=""),"",IF($J1653&lt;&gt;"",$J1653,IF(OR($R1653="",$R1653=0),"",ROUND($I1653/$R1653,2))))</f>
        <v/>
      </c>
      <c r="T1653" s="24" t="str">
        <f aca="false">IF($N1653="","",IFERROR(INDEX(VAT_Codes!$C:$C,MATCH($N1653,VAT_Codes!$A:$A,0)),"")&amp;"")</f>
        <v/>
      </c>
      <c r="U1653" s="26" t="n">
        <f aca="false">IF(OR($S1653="",$T1653="",$T1653="None"),0,IF($T1653="Output",-$S1653,$S1653))</f>
        <v>0</v>
      </c>
      <c r="V1653" s="27" t="n">
        <f aca="false">IF($N1653="",0,IFERROR(INDEX(VAT_Codes!$D:$D,MATCH($N1653,VAT_Codes!$A:$A,0)),0))</f>
        <v>0</v>
      </c>
      <c r="W1653" s="26" t="n">
        <f aca="false">IF($U1653=0,0,IF(IFERROR(INDEX(VAT_Codes!$F:$F,MATCH($N1653,VAT_Codes!$A:$A,0)),"N")="Y",$U1653,IF($L1653&lt;&gt;"",ROUND(ABS($L1653)/IF(OR($R1653="",$R1653=0),1,$R1653),2)*SIGN($U1653),ROUND($U1653*$V1653,2))))</f>
        <v>0</v>
      </c>
      <c r="X1653" s="24" t="str">
        <f aca="false">IF($N1653="","",IFERROR(INDEX(VAT_Codes!$H:$H,MATCH($N1653,VAT_Codes!$A:$A,0)),"")&amp;"")</f>
        <v/>
      </c>
      <c r="Y1653" s="24" t="str">
        <f aca="false">IF($A1653="","",(YEAR($A1653)-YEAR(Settings!$C$8))*12+MONTH($A1653)-MONTH(Settings!$C$8)+1)</f>
        <v/>
      </c>
      <c r="Z1653" s="24" t="str">
        <f aca="false">IF(AND($C1653="",$I1653="",$J1653=""),"",IF($N1653="","NO VAT CODE",IF($T1653="","UNKNOWN VAT CODE",IF($S1653="","MISSING FX RATE",IF(OR($A1653&lt;Settings!$C$8,$A1653&gt;Settings!$C$9),"OUTSIDE PERIOD",IF(AND(IFERROR(INDEX(VAT_Codes!$E:$E,MATCH($N1653,VAT_Codes!$A:$A,0)),"ANY")&lt;&gt;"ANY",$P1653=""),"MISSING COUNTERPARTY COUNTRY",IF(AND(IFERROR(INDEX(VAT_Codes!$E:$E,MATCH($N1653,VAT_Codes!$A:$A,0)),"ANY")&lt;&gt;"ANY",$P1653&lt;&gt;IFERROR(INDEX(VAT_Codes!$E:$E,MATCH($N1653,VAT_Codes!$A:$A,0)),"ANY")),"REGION MISMATCH","OK")))))))</f>
        <v/>
      </c>
    </row>
    <row r="1654" customFormat="false" ht="15" hidden="false" customHeight="false" outlineLevel="0" collapsed="false">
      <c r="M1654" s="24" t="str">
        <f aca="false">IF($C1654="","",IFERROR(INDEX(Account_Mapping!$C:$C,MATCH($C1654&amp;"",Account_Mapping!$A:$A,0))&amp;"",""))</f>
        <v/>
      </c>
      <c r="N1654" s="24" t="str">
        <f aca="false">IF($K1654&lt;&gt;"",$K1654,$M1654)</f>
        <v/>
      </c>
      <c r="O1654" s="24" t="str">
        <f aca="false">IF($F1654="","",IFERROR(INDEX(Counterparties!$C:$C,MATCH($F1654&amp;"",Counterparties!$A:$A,0))&amp;"",""))</f>
        <v/>
      </c>
      <c r="P1654" s="24" t="str">
        <f aca="false">IF($O1654="","",IF($O1654="CY","CY",IF(ISNUMBER(MATCH($O1654,Lists!$A:$A,0)),"EU","3RD")))</f>
        <v/>
      </c>
      <c r="Q1654" s="24" t="str">
        <f aca="false">IF($F1654="","N",IFERROR(IF(INDEX(Counterparties!$E:$E,MATCH($F1654&amp;"",Counterparties!$A:$A,0))="Y","Y","N"),"N"))</f>
        <v>N</v>
      </c>
      <c r="R1654" s="25" t="n">
        <f aca="false">IF(OR($H1654="",$H1654="EUR"),1,IFERROR(INDEX(FX_Rates!$D:$D,MATCH($H1654,FX_Rates!$A:$A,0)),""))</f>
        <v>1</v>
      </c>
      <c r="S1654" s="26" t="str">
        <f aca="false">IF(AND($I1654="",$J1654=""),"",IF($J1654&lt;&gt;"",$J1654,IF(OR($R1654="",$R1654=0),"",ROUND($I1654/$R1654,2))))</f>
        <v/>
      </c>
      <c r="T1654" s="24" t="str">
        <f aca="false">IF($N1654="","",IFERROR(INDEX(VAT_Codes!$C:$C,MATCH($N1654,VAT_Codes!$A:$A,0)),"")&amp;"")</f>
        <v/>
      </c>
      <c r="U1654" s="26" t="n">
        <f aca="false">IF(OR($S1654="",$T1654="",$T1654="None"),0,IF($T1654="Output",-$S1654,$S1654))</f>
        <v>0</v>
      </c>
      <c r="V1654" s="27" t="n">
        <f aca="false">IF($N1654="",0,IFERROR(INDEX(VAT_Codes!$D:$D,MATCH($N1654,VAT_Codes!$A:$A,0)),0))</f>
        <v>0</v>
      </c>
      <c r="W1654" s="26" t="n">
        <f aca="false">IF($U1654=0,0,IF(IFERROR(INDEX(VAT_Codes!$F:$F,MATCH($N1654,VAT_Codes!$A:$A,0)),"N")="Y",$U1654,IF($L1654&lt;&gt;"",ROUND(ABS($L1654)/IF(OR($R1654="",$R1654=0),1,$R1654),2)*SIGN($U1654),ROUND($U1654*$V1654,2))))</f>
        <v>0</v>
      </c>
      <c r="X1654" s="24" t="str">
        <f aca="false">IF($N1654="","",IFERROR(INDEX(VAT_Codes!$H:$H,MATCH($N1654,VAT_Codes!$A:$A,0)),"")&amp;"")</f>
        <v/>
      </c>
      <c r="Y1654" s="24" t="str">
        <f aca="false">IF($A1654="","",(YEAR($A1654)-YEAR(Settings!$C$8))*12+MONTH($A1654)-MONTH(Settings!$C$8)+1)</f>
        <v/>
      </c>
      <c r="Z1654" s="24" t="str">
        <f aca="false">IF(AND($C1654="",$I1654="",$J1654=""),"",IF($N1654="","NO VAT CODE",IF($T1654="","UNKNOWN VAT CODE",IF($S1654="","MISSING FX RATE",IF(OR($A1654&lt;Settings!$C$8,$A1654&gt;Settings!$C$9),"OUTSIDE PERIOD",IF(AND(IFERROR(INDEX(VAT_Codes!$E:$E,MATCH($N1654,VAT_Codes!$A:$A,0)),"ANY")&lt;&gt;"ANY",$P1654=""),"MISSING COUNTERPARTY COUNTRY",IF(AND(IFERROR(INDEX(VAT_Codes!$E:$E,MATCH($N1654,VAT_Codes!$A:$A,0)),"ANY")&lt;&gt;"ANY",$P1654&lt;&gt;IFERROR(INDEX(VAT_Codes!$E:$E,MATCH($N1654,VAT_Codes!$A:$A,0)),"ANY")),"REGION MISMATCH","OK")))))))</f>
        <v/>
      </c>
    </row>
    <row r="1655" customFormat="false" ht="15" hidden="false" customHeight="false" outlineLevel="0" collapsed="false">
      <c r="M1655" s="24" t="str">
        <f aca="false">IF($C1655="","",IFERROR(INDEX(Account_Mapping!$C:$C,MATCH($C1655&amp;"",Account_Mapping!$A:$A,0))&amp;"",""))</f>
        <v/>
      </c>
      <c r="N1655" s="24" t="str">
        <f aca="false">IF($K1655&lt;&gt;"",$K1655,$M1655)</f>
        <v/>
      </c>
      <c r="O1655" s="24" t="str">
        <f aca="false">IF($F1655="","",IFERROR(INDEX(Counterparties!$C:$C,MATCH($F1655&amp;"",Counterparties!$A:$A,0))&amp;"",""))</f>
        <v/>
      </c>
      <c r="P1655" s="24" t="str">
        <f aca="false">IF($O1655="","",IF($O1655="CY","CY",IF(ISNUMBER(MATCH($O1655,Lists!$A:$A,0)),"EU","3RD")))</f>
        <v/>
      </c>
      <c r="Q1655" s="24" t="str">
        <f aca="false">IF($F1655="","N",IFERROR(IF(INDEX(Counterparties!$E:$E,MATCH($F1655&amp;"",Counterparties!$A:$A,0))="Y","Y","N"),"N"))</f>
        <v>N</v>
      </c>
      <c r="R1655" s="25" t="n">
        <f aca="false">IF(OR($H1655="",$H1655="EUR"),1,IFERROR(INDEX(FX_Rates!$D:$D,MATCH($H1655,FX_Rates!$A:$A,0)),""))</f>
        <v>1</v>
      </c>
      <c r="S1655" s="26" t="str">
        <f aca="false">IF(AND($I1655="",$J1655=""),"",IF($J1655&lt;&gt;"",$J1655,IF(OR($R1655="",$R1655=0),"",ROUND($I1655/$R1655,2))))</f>
        <v/>
      </c>
      <c r="T1655" s="24" t="str">
        <f aca="false">IF($N1655="","",IFERROR(INDEX(VAT_Codes!$C:$C,MATCH($N1655,VAT_Codes!$A:$A,0)),"")&amp;"")</f>
        <v/>
      </c>
      <c r="U1655" s="26" t="n">
        <f aca="false">IF(OR($S1655="",$T1655="",$T1655="None"),0,IF($T1655="Output",-$S1655,$S1655))</f>
        <v>0</v>
      </c>
      <c r="V1655" s="27" t="n">
        <f aca="false">IF($N1655="",0,IFERROR(INDEX(VAT_Codes!$D:$D,MATCH($N1655,VAT_Codes!$A:$A,0)),0))</f>
        <v>0</v>
      </c>
      <c r="W1655" s="26" t="n">
        <f aca="false">IF($U1655=0,0,IF(IFERROR(INDEX(VAT_Codes!$F:$F,MATCH($N1655,VAT_Codes!$A:$A,0)),"N")="Y",$U1655,IF($L1655&lt;&gt;"",ROUND(ABS($L1655)/IF(OR($R1655="",$R1655=0),1,$R1655),2)*SIGN($U1655),ROUND($U1655*$V1655,2))))</f>
        <v>0</v>
      </c>
      <c r="X1655" s="24" t="str">
        <f aca="false">IF($N1655="","",IFERROR(INDEX(VAT_Codes!$H:$H,MATCH($N1655,VAT_Codes!$A:$A,0)),"")&amp;"")</f>
        <v/>
      </c>
      <c r="Y1655" s="24" t="str">
        <f aca="false">IF($A1655="","",(YEAR($A1655)-YEAR(Settings!$C$8))*12+MONTH($A1655)-MONTH(Settings!$C$8)+1)</f>
        <v/>
      </c>
      <c r="Z1655" s="24" t="str">
        <f aca="false">IF(AND($C1655="",$I1655="",$J1655=""),"",IF($N1655="","NO VAT CODE",IF($T1655="","UNKNOWN VAT CODE",IF($S1655="","MISSING FX RATE",IF(OR($A1655&lt;Settings!$C$8,$A1655&gt;Settings!$C$9),"OUTSIDE PERIOD",IF(AND(IFERROR(INDEX(VAT_Codes!$E:$E,MATCH($N1655,VAT_Codes!$A:$A,0)),"ANY")&lt;&gt;"ANY",$P1655=""),"MISSING COUNTERPARTY COUNTRY",IF(AND(IFERROR(INDEX(VAT_Codes!$E:$E,MATCH($N1655,VAT_Codes!$A:$A,0)),"ANY")&lt;&gt;"ANY",$P1655&lt;&gt;IFERROR(INDEX(VAT_Codes!$E:$E,MATCH($N1655,VAT_Codes!$A:$A,0)),"ANY")),"REGION MISMATCH","OK")))))))</f>
        <v/>
      </c>
    </row>
    <row r="1656" customFormat="false" ht="15" hidden="false" customHeight="false" outlineLevel="0" collapsed="false">
      <c r="M1656" s="24" t="str">
        <f aca="false">IF($C1656="","",IFERROR(INDEX(Account_Mapping!$C:$C,MATCH($C1656&amp;"",Account_Mapping!$A:$A,0))&amp;"",""))</f>
        <v/>
      </c>
      <c r="N1656" s="24" t="str">
        <f aca="false">IF($K1656&lt;&gt;"",$K1656,$M1656)</f>
        <v/>
      </c>
      <c r="O1656" s="24" t="str">
        <f aca="false">IF($F1656="","",IFERROR(INDEX(Counterparties!$C:$C,MATCH($F1656&amp;"",Counterparties!$A:$A,0))&amp;"",""))</f>
        <v/>
      </c>
      <c r="P1656" s="24" t="str">
        <f aca="false">IF($O1656="","",IF($O1656="CY","CY",IF(ISNUMBER(MATCH($O1656,Lists!$A:$A,0)),"EU","3RD")))</f>
        <v/>
      </c>
      <c r="Q1656" s="24" t="str">
        <f aca="false">IF($F1656="","N",IFERROR(IF(INDEX(Counterparties!$E:$E,MATCH($F1656&amp;"",Counterparties!$A:$A,0))="Y","Y","N"),"N"))</f>
        <v>N</v>
      </c>
      <c r="R1656" s="25" t="n">
        <f aca="false">IF(OR($H1656="",$H1656="EUR"),1,IFERROR(INDEX(FX_Rates!$D:$D,MATCH($H1656,FX_Rates!$A:$A,0)),""))</f>
        <v>1</v>
      </c>
      <c r="S1656" s="26" t="str">
        <f aca="false">IF(AND($I1656="",$J1656=""),"",IF($J1656&lt;&gt;"",$J1656,IF(OR($R1656="",$R1656=0),"",ROUND($I1656/$R1656,2))))</f>
        <v/>
      </c>
      <c r="T1656" s="24" t="str">
        <f aca="false">IF($N1656="","",IFERROR(INDEX(VAT_Codes!$C:$C,MATCH($N1656,VAT_Codes!$A:$A,0)),"")&amp;"")</f>
        <v/>
      </c>
      <c r="U1656" s="26" t="n">
        <f aca="false">IF(OR($S1656="",$T1656="",$T1656="None"),0,IF($T1656="Output",-$S1656,$S1656))</f>
        <v>0</v>
      </c>
      <c r="V1656" s="27" t="n">
        <f aca="false">IF($N1656="",0,IFERROR(INDEX(VAT_Codes!$D:$D,MATCH($N1656,VAT_Codes!$A:$A,0)),0))</f>
        <v>0</v>
      </c>
      <c r="W1656" s="26" t="n">
        <f aca="false">IF($U1656=0,0,IF(IFERROR(INDEX(VAT_Codes!$F:$F,MATCH($N1656,VAT_Codes!$A:$A,0)),"N")="Y",$U1656,IF($L1656&lt;&gt;"",ROUND(ABS($L1656)/IF(OR($R1656="",$R1656=0),1,$R1656),2)*SIGN($U1656),ROUND($U1656*$V1656,2))))</f>
        <v>0</v>
      </c>
      <c r="X1656" s="24" t="str">
        <f aca="false">IF($N1656="","",IFERROR(INDEX(VAT_Codes!$H:$H,MATCH($N1656,VAT_Codes!$A:$A,0)),"")&amp;"")</f>
        <v/>
      </c>
      <c r="Y1656" s="24" t="str">
        <f aca="false">IF($A1656="","",(YEAR($A1656)-YEAR(Settings!$C$8))*12+MONTH($A1656)-MONTH(Settings!$C$8)+1)</f>
        <v/>
      </c>
      <c r="Z1656" s="24" t="str">
        <f aca="false">IF(AND($C1656="",$I1656="",$J1656=""),"",IF($N1656="","NO VAT CODE",IF($T1656="","UNKNOWN VAT CODE",IF($S1656="","MISSING FX RATE",IF(OR($A1656&lt;Settings!$C$8,$A1656&gt;Settings!$C$9),"OUTSIDE PERIOD",IF(AND(IFERROR(INDEX(VAT_Codes!$E:$E,MATCH($N1656,VAT_Codes!$A:$A,0)),"ANY")&lt;&gt;"ANY",$P1656=""),"MISSING COUNTERPARTY COUNTRY",IF(AND(IFERROR(INDEX(VAT_Codes!$E:$E,MATCH($N1656,VAT_Codes!$A:$A,0)),"ANY")&lt;&gt;"ANY",$P1656&lt;&gt;IFERROR(INDEX(VAT_Codes!$E:$E,MATCH($N1656,VAT_Codes!$A:$A,0)),"ANY")),"REGION MISMATCH","OK")))))))</f>
        <v/>
      </c>
    </row>
    <row r="1657" customFormat="false" ht="15" hidden="false" customHeight="false" outlineLevel="0" collapsed="false">
      <c r="M1657" s="24" t="str">
        <f aca="false">IF($C1657="","",IFERROR(INDEX(Account_Mapping!$C:$C,MATCH($C1657&amp;"",Account_Mapping!$A:$A,0))&amp;"",""))</f>
        <v/>
      </c>
      <c r="N1657" s="24" t="str">
        <f aca="false">IF($K1657&lt;&gt;"",$K1657,$M1657)</f>
        <v/>
      </c>
      <c r="O1657" s="24" t="str">
        <f aca="false">IF($F1657="","",IFERROR(INDEX(Counterparties!$C:$C,MATCH($F1657&amp;"",Counterparties!$A:$A,0))&amp;"",""))</f>
        <v/>
      </c>
      <c r="P1657" s="24" t="str">
        <f aca="false">IF($O1657="","",IF($O1657="CY","CY",IF(ISNUMBER(MATCH($O1657,Lists!$A:$A,0)),"EU","3RD")))</f>
        <v/>
      </c>
      <c r="Q1657" s="24" t="str">
        <f aca="false">IF($F1657="","N",IFERROR(IF(INDEX(Counterparties!$E:$E,MATCH($F1657&amp;"",Counterparties!$A:$A,0))="Y","Y","N"),"N"))</f>
        <v>N</v>
      </c>
      <c r="R1657" s="25" t="n">
        <f aca="false">IF(OR($H1657="",$H1657="EUR"),1,IFERROR(INDEX(FX_Rates!$D:$D,MATCH($H1657,FX_Rates!$A:$A,0)),""))</f>
        <v>1</v>
      </c>
      <c r="S1657" s="26" t="str">
        <f aca="false">IF(AND($I1657="",$J1657=""),"",IF($J1657&lt;&gt;"",$J1657,IF(OR($R1657="",$R1657=0),"",ROUND($I1657/$R1657,2))))</f>
        <v/>
      </c>
      <c r="T1657" s="24" t="str">
        <f aca="false">IF($N1657="","",IFERROR(INDEX(VAT_Codes!$C:$C,MATCH($N1657,VAT_Codes!$A:$A,0)),"")&amp;"")</f>
        <v/>
      </c>
      <c r="U1657" s="26" t="n">
        <f aca="false">IF(OR($S1657="",$T1657="",$T1657="None"),0,IF($T1657="Output",-$S1657,$S1657))</f>
        <v>0</v>
      </c>
      <c r="V1657" s="27" t="n">
        <f aca="false">IF($N1657="",0,IFERROR(INDEX(VAT_Codes!$D:$D,MATCH($N1657,VAT_Codes!$A:$A,0)),0))</f>
        <v>0</v>
      </c>
      <c r="W1657" s="26" t="n">
        <f aca="false">IF($U1657=0,0,IF(IFERROR(INDEX(VAT_Codes!$F:$F,MATCH($N1657,VAT_Codes!$A:$A,0)),"N")="Y",$U1657,IF($L1657&lt;&gt;"",ROUND(ABS($L1657)/IF(OR($R1657="",$R1657=0),1,$R1657),2)*SIGN($U1657),ROUND($U1657*$V1657,2))))</f>
        <v>0</v>
      </c>
      <c r="X1657" s="24" t="str">
        <f aca="false">IF($N1657="","",IFERROR(INDEX(VAT_Codes!$H:$H,MATCH($N1657,VAT_Codes!$A:$A,0)),"")&amp;"")</f>
        <v/>
      </c>
      <c r="Y1657" s="24" t="str">
        <f aca="false">IF($A1657="","",(YEAR($A1657)-YEAR(Settings!$C$8))*12+MONTH($A1657)-MONTH(Settings!$C$8)+1)</f>
        <v/>
      </c>
      <c r="Z1657" s="24" t="str">
        <f aca="false">IF(AND($C1657="",$I1657="",$J1657=""),"",IF($N1657="","NO VAT CODE",IF($T1657="","UNKNOWN VAT CODE",IF($S1657="","MISSING FX RATE",IF(OR($A1657&lt;Settings!$C$8,$A1657&gt;Settings!$C$9),"OUTSIDE PERIOD",IF(AND(IFERROR(INDEX(VAT_Codes!$E:$E,MATCH($N1657,VAT_Codes!$A:$A,0)),"ANY")&lt;&gt;"ANY",$P1657=""),"MISSING COUNTERPARTY COUNTRY",IF(AND(IFERROR(INDEX(VAT_Codes!$E:$E,MATCH($N1657,VAT_Codes!$A:$A,0)),"ANY")&lt;&gt;"ANY",$P1657&lt;&gt;IFERROR(INDEX(VAT_Codes!$E:$E,MATCH($N1657,VAT_Codes!$A:$A,0)),"ANY")),"REGION MISMATCH","OK")))))))</f>
        <v/>
      </c>
    </row>
    <row r="1658" customFormat="false" ht="15" hidden="false" customHeight="false" outlineLevel="0" collapsed="false">
      <c r="M1658" s="24" t="str">
        <f aca="false">IF($C1658="","",IFERROR(INDEX(Account_Mapping!$C:$C,MATCH($C1658&amp;"",Account_Mapping!$A:$A,0))&amp;"",""))</f>
        <v/>
      </c>
      <c r="N1658" s="24" t="str">
        <f aca="false">IF($K1658&lt;&gt;"",$K1658,$M1658)</f>
        <v/>
      </c>
      <c r="O1658" s="24" t="str">
        <f aca="false">IF($F1658="","",IFERROR(INDEX(Counterparties!$C:$C,MATCH($F1658&amp;"",Counterparties!$A:$A,0))&amp;"",""))</f>
        <v/>
      </c>
      <c r="P1658" s="24" t="str">
        <f aca="false">IF($O1658="","",IF($O1658="CY","CY",IF(ISNUMBER(MATCH($O1658,Lists!$A:$A,0)),"EU","3RD")))</f>
        <v/>
      </c>
      <c r="Q1658" s="24" t="str">
        <f aca="false">IF($F1658="","N",IFERROR(IF(INDEX(Counterparties!$E:$E,MATCH($F1658&amp;"",Counterparties!$A:$A,0))="Y","Y","N"),"N"))</f>
        <v>N</v>
      </c>
      <c r="R1658" s="25" t="n">
        <f aca="false">IF(OR($H1658="",$H1658="EUR"),1,IFERROR(INDEX(FX_Rates!$D:$D,MATCH($H1658,FX_Rates!$A:$A,0)),""))</f>
        <v>1</v>
      </c>
      <c r="S1658" s="26" t="str">
        <f aca="false">IF(AND($I1658="",$J1658=""),"",IF($J1658&lt;&gt;"",$J1658,IF(OR($R1658="",$R1658=0),"",ROUND($I1658/$R1658,2))))</f>
        <v/>
      </c>
      <c r="T1658" s="24" t="str">
        <f aca="false">IF($N1658="","",IFERROR(INDEX(VAT_Codes!$C:$C,MATCH($N1658,VAT_Codes!$A:$A,0)),"")&amp;"")</f>
        <v/>
      </c>
      <c r="U1658" s="26" t="n">
        <f aca="false">IF(OR($S1658="",$T1658="",$T1658="None"),0,IF($T1658="Output",-$S1658,$S1658))</f>
        <v>0</v>
      </c>
      <c r="V1658" s="27" t="n">
        <f aca="false">IF($N1658="",0,IFERROR(INDEX(VAT_Codes!$D:$D,MATCH($N1658,VAT_Codes!$A:$A,0)),0))</f>
        <v>0</v>
      </c>
      <c r="W1658" s="26" t="n">
        <f aca="false">IF($U1658=0,0,IF(IFERROR(INDEX(VAT_Codes!$F:$F,MATCH($N1658,VAT_Codes!$A:$A,0)),"N")="Y",$U1658,IF($L1658&lt;&gt;"",ROUND(ABS($L1658)/IF(OR($R1658="",$R1658=0),1,$R1658),2)*SIGN($U1658),ROUND($U1658*$V1658,2))))</f>
        <v>0</v>
      </c>
      <c r="X1658" s="24" t="str">
        <f aca="false">IF($N1658="","",IFERROR(INDEX(VAT_Codes!$H:$H,MATCH($N1658,VAT_Codes!$A:$A,0)),"")&amp;"")</f>
        <v/>
      </c>
      <c r="Y1658" s="24" t="str">
        <f aca="false">IF($A1658="","",(YEAR($A1658)-YEAR(Settings!$C$8))*12+MONTH($A1658)-MONTH(Settings!$C$8)+1)</f>
        <v/>
      </c>
      <c r="Z1658" s="24" t="str">
        <f aca="false">IF(AND($C1658="",$I1658="",$J1658=""),"",IF($N1658="","NO VAT CODE",IF($T1658="","UNKNOWN VAT CODE",IF($S1658="","MISSING FX RATE",IF(OR($A1658&lt;Settings!$C$8,$A1658&gt;Settings!$C$9),"OUTSIDE PERIOD",IF(AND(IFERROR(INDEX(VAT_Codes!$E:$E,MATCH($N1658,VAT_Codes!$A:$A,0)),"ANY")&lt;&gt;"ANY",$P1658=""),"MISSING COUNTERPARTY COUNTRY",IF(AND(IFERROR(INDEX(VAT_Codes!$E:$E,MATCH($N1658,VAT_Codes!$A:$A,0)),"ANY")&lt;&gt;"ANY",$P1658&lt;&gt;IFERROR(INDEX(VAT_Codes!$E:$E,MATCH($N1658,VAT_Codes!$A:$A,0)),"ANY")),"REGION MISMATCH","OK")))))))</f>
        <v/>
      </c>
    </row>
    <row r="1659" customFormat="false" ht="15" hidden="false" customHeight="false" outlineLevel="0" collapsed="false">
      <c r="M1659" s="24" t="str">
        <f aca="false">IF($C1659="","",IFERROR(INDEX(Account_Mapping!$C:$C,MATCH($C1659&amp;"",Account_Mapping!$A:$A,0))&amp;"",""))</f>
        <v/>
      </c>
      <c r="N1659" s="24" t="str">
        <f aca="false">IF($K1659&lt;&gt;"",$K1659,$M1659)</f>
        <v/>
      </c>
      <c r="O1659" s="24" t="str">
        <f aca="false">IF($F1659="","",IFERROR(INDEX(Counterparties!$C:$C,MATCH($F1659&amp;"",Counterparties!$A:$A,0))&amp;"",""))</f>
        <v/>
      </c>
      <c r="P1659" s="24" t="str">
        <f aca="false">IF($O1659="","",IF($O1659="CY","CY",IF(ISNUMBER(MATCH($O1659,Lists!$A:$A,0)),"EU","3RD")))</f>
        <v/>
      </c>
      <c r="Q1659" s="24" t="str">
        <f aca="false">IF($F1659="","N",IFERROR(IF(INDEX(Counterparties!$E:$E,MATCH($F1659&amp;"",Counterparties!$A:$A,0))="Y","Y","N"),"N"))</f>
        <v>N</v>
      </c>
      <c r="R1659" s="25" t="n">
        <f aca="false">IF(OR($H1659="",$H1659="EUR"),1,IFERROR(INDEX(FX_Rates!$D:$D,MATCH($H1659,FX_Rates!$A:$A,0)),""))</f>
        <v>1</v>
      </c>
      <c r="S1659" s="26" t="str">
        <f aca="false">IF(AND($I1659="",$J1659=""),"",IF($J1659&lt;&gt;"",$J1659,IF(OR($R1659="",$R1659=0),"",ROUND($I1659/$R1659,2))))</f>
        <v/>
      </c>
      <c r="T1659" s="24" t="str">
        <f aca="false">IF($N1659="","",IFERROR(INDEX(VAT_Codes!$C:$C,MATCH($N1659,VAT_Codes!$A:$A,0)),"")&amp;"")</f>
        <v/>
      </c>
      <c r="U1659" s="26" t="n">
        <f aca="false">IF(OR($S1659="",$T1659="",$T1659="None"),0,IF($T1659="Output",-$S1659,$S1659))</f>
        <v>0</v>
      </c>
      <c r="V1659" s="27" t="n">
        <f aca="false">IF($N1659="",0,IFERROR(INDEX(VAT_Codes!$D:$D,MATCH($N1659,VAT_Codes!$A:$A,0)),0))</f>
        <v>0</v>
      </c>
      <c r="W1659" s="26" t="n">
        <f aca="false">IF($U1659=0,0,IF(IFERROR(INDEX(VAT_Codes!$F:$F,MATCH($N1659,VAT_Codes!$A:$A,0)),"N")="Y",$U1659,IF($L1659&lt;&gt;"",ROUND(ABS($L1659)/IF(OR($R1659="",$R1659=0),1,$R1659),2)*SIGN($U1659),ROUND($U1659*$V1659,2))))</f>
        <v>0</v>
      </c>
      <c r="X1659" s="24" t="str">
        <f aca="false">IF($N1659="","",IFERROR(INDEX(VAT_Codes!$H:$H,MATCH($N1659,VAT_Codes!$A:$A,0)),"")&amp;"")</f>
        <v/>
      </c>
      <c r="Y1659" s="24" t="str">
        <f aca="false">IF($A1659="","",(YEAR($A1659)-YEAR(Settings!$C$8))*12+MONTH($A1659)-MONTH(Settings!$C$8)+1)</f>
        <v/>
      </c>
      <c r="Z1659" s="24" t="str">
        <f aca="false">IF(AND($C1659="",$I1659="",$J1659=""),"",IF($N1659="","NO VAT CODE",IF($T1659="","UNKNOWN VAT CODE",IF($S1659="","MISSING FX RATE",IF(OR($A1659&lt;Settings!$C$8,$A1659&gt;Settings!$C$9),"OUTSIDE PERIOD",IF(AND(IFERROR(INDEX(VAT_Codes!$E:$E,MATCH($N1659,VAT_Codes!$A:$A,0)),"ANY")&lt;&gt;"ANY",$P1659=""),"MISSING COUNTERPARTY COUNTRY",IF(AND(IFERROR(INDEX(VAT_Codes!$E:$E,MATCH($N1659,VAT_Codes!$A:$A,0)),"ANY")&lt;&gt;"ANY",$P1659&lt;&gt;IFERROR(INDEX(VAT_Codes!$E:$E,MATCH($N1659,VAT_Codes!$A:$A,0)),"ANY")),"REGION MISMATCH","OK")))))))</f>
        <v/>
      </c>
    </row>
    <row r="1660" customFormat="false" ht="15" hidden="false" customHeight="false" outlineLevel="0" collapsed="false">
      <c r="M1660" s="24" t="str">
        <f aca="false">IF($C1660="","",IFERROR(INDEX(Account_Mapping!$C:$C,MATCH($C1660&amp;"",Account_Mapping!$A:$A,0))&amp;"",""))</f>
        <v/>
      </c>
      <c r="N1660" s="24" t="str">
        <f aca="false">IF($K1660&lt;&gt;"",$K1660,$M1660)</f>
        <v/>
      </c>
      <c r="O1660" s="24" t="str">
        <f aca="false">IF($F1660="","",IFERROR(INDEX(Counterparties!$C:$C,MATCH($F1660&amp;"",Counterparties!$A:$A,0))&amp;"",""))</f>
        <v/>
      </c>
      <c r="P1660" s="24" t="str">
        <f aca="false">IF($O1660="","",IF($O1660="CY","CY",IF(ISNUMBER(MATCH($O1660,Lists!$A:$A,0)),"EU","3RD")))</f>
        <v/>
      </c>
      <c r="Q1660" s="24" t="str">
        <f aca="false">IF($F1660="","N",IFERROR(IF(INDEX(Counterparties!$E:$E,MATCH($F1660&amp;"",Counterparties!$A:$A,0))="Y","Y","N"),"N"))</f>
        <v>N</v>
      </c>
      <c r="R1660" s="25" t="n">
        <f aca="false">IF(OR($H1660="",$H1660="EUR"),1,IFERROR(INDEX(FX_Rates!$D:$D,MATCH($H1660,FX_Rates!$A:$A,0)),""))</f>
        <v>1</v>
      </c>
      <c r="S1660" s="26" t="str">
        <f aca="false">IF(AND($I1660="",$J1660=""),"",IF($J1660&lt;&gt;"",$J1660,IF(OR($R1660="",$R1660=0),"",ROUND($I1660/$R1660,2))))</f>
        <v/>
      </c>
      <c r="T1660" s="24" t="str">
        <f aca="false">IF($N1660="","",IFERROR(INDEX(VAT_Codes!$C:$C,MATCH($N1660,VAT_Codes!$A:$A,0)),"")&amp;"")</f>
        <v/>
      </c>
      <c r="U1660" s="26" t="n">
        <f aca="false">IF(OR($S1660="",$T1660="",$T1660="None"),0,IF($T1660="Output",-$S1660,$S1660))</f>
        <v>0</v>
      </c>
      <c r="V1660" s="27" t="n">
        <f aca="false">IF($N1660="",0,IFERROR(INDEX(VAT_Codes!$D:$D,MATCH($N1660,VAT_Codes!$A:$A,0)),0))</f>
        <v>0</v>
      </c>
      <c r="W1660" s="26" t="n">
        <f aca="false">IF($U1660=0,0,IF(IFERROR(INDEX(VAT_Codes!$F:$F,MATCH($N1660,VAT_Codes!$A:$A,0)),"N")="Y",$U1660,IF($L1660&lt;&gt;"",ROUND(ABS($L1660)/IF(OR($R1660="",$R1660=0),1,$R1660),2)*SIGN($U1660),ROUND($U1660*$V1660,2))))</f>
        <v>0</v>
      </c>
      <c r="X1660" s="24" t="str">
        <f aca="false">IF($N1660="","",IFERROR(INDEX(VAT_Codes!$H:$H,MATCH($N1660,VAT_Codes!$A:$A,0)),"")&amp;"")</f>
        <v/>
      </c>
      <c r="Y1660" s="24" t="str">
        <f aca="false">IF($A1660="","",(YEAR($A1660)-YEAR(Settings!$C$8))*12+MONTH($A1660)-MONTH(Settings!$C$8)+1)</f>
        <v/>
      </c>
      <c r="Z1660" s="24" t="str">
        <f aca="false">IF(AND($C1660="",$I1660="",$J1660=""),"",IF($N1660="","NO VAT CODE",IF($T1660="","UNKNOWN VAT CODE",IF($S1660="","MISSING FX RATE",IF(OR($A1660&lt;Settings!$C$8,$A1660&gt;Settings!$C$9),"OUTSIDE PERIOD",IF(AND(IFERROR(INDEX(VAT_Codes!$E:$E,MATCH($N1660,VAT_Codes!$A:$A,0)),"ANY")&lt;&gt;"ANY",$P1660=""),"MISSING COUNTERPARTY COUNTRY",IF(AND(IFERROR(INDEX(VAT_Codes!$E:$E,MATCH($N1660,VAT_Codes!$A:$A,0)),"ANY")&lt;&gt;"ANY",$P1660&lt;&gt;IFERROR(INDEX(VAT_Codes!$E:$E,MATCH($N1660,VAT_Codes!$A:$A,0)),"ANY")),"REGION MISMATCH","OK")))))))</f>
        <v/>
      </c>
    </row>
    <row r="1661" customFormat="false" ht="15" hidden="false" customHeight="false" outlineLevel="0" collapsed="false">
      <c r="M1661" s="24" t="str">
        <f aca="false">IF($C1661="","",IFERROR(INDEX(Account_Mapping!$C:$C,MATCH($C1661&amp;"",Account_Mapping!$A:$A,0))&amp;"",""))</f>
        <v/>
      </c>
      <c r="N1661" s="24" t="str">
        <f aca="false">IF($K1661&lt;&gt;"",$K1661,$M1661)</f>
        <v/>
      </c>
      <c r="O1661" s="24" t="str">
        <f aca="false">IF($F1661="","",IFERROR(INDEX(Counterparties!$C:$C,MATCH($F1661&amp;"",Counterparties!$A:$A,0))&amp;"",""))</f>
        <v/>
      </c>
      <c r="P1661" s="24" t="str">
        <f aca="false">IF($O1661="","",IF($O1661="CY","CY",IF(ISNUMBER(MATCH($O1661,Lists!$A:$A,0)),"EU","3RD")))</f>
        <v/>
      </c>
      <c r="Q1661" s="24" t="str">
        <f aca="false">IF($F1661="","N",IFERROR(IF(INDEX(Counterparties!$E:$E,MATCH($F1661&amp;"",Counterparties!$A:$A,0))="Y","Y","N"),"N"))</f>
        <v>N</v>
      </c>
      <c r="R1661" s="25" t="n">
        <f aca="false">IF(OR($H1661="",$H1661="EUR"),1,IFERROR(INDEX(FX_Rates!$D:$D,MATCH($H1661,FX_Rates!$A:$A,0)),""))</f>
        <v>1</v>
      </c>
      <c r="S1661" s="26" t="str">
        <f aca="false">IF(AND($I1661="",$J1661=""),"",IF($J1661&lt;&gt;"",$J1661,IF(OR($R1661="",$R1661=0),"",ROUND($I1661/$R1661,2))))</f>
        <v/>
      </c>
      <c r="T1661" s="24" t="str">
        <f aca="false">IF($N1661="","",IFERROR(INDEX(VAT_Codes!$C:$C,MATCH($N1661,VAT_Codes!$A:$A,0)),"")&amp;"")</f>
        <v/>
      </c>
      <c r="U1661" s="26" t="n">
        <f aca="false">IF(OR($S1661="",$T1661="",$T1661="None"),0,IF($T1661="Output",-$S1661,$S1661))</f>
        <v>0</v>
      </c>
      <c r="V1661" s="27" t="n">
        <f aca="false">IF($N1661="",0,IFERROR(INDEX(VAT_Codes!$D:$D,MATCH($N1661,VAT_Codes!$A:$A,0)),0))</f>
        <v>0</v>
      </c>
      <c r="W1661" s="26" t="n">
        <f aca="false">IF($U1661=0,0,IF(IFERROR(INDEX(VAT_Codes!$F:$F,MATCH($N1661,VAT_Codes!$A:$A,0)),"N")="Y",$U1661,IF($L1661&lt;&gt;"",ROUND(ABS($L1661)/IF(OR($R1661="",$R1661=0),1,$R1661),2)*SIGN($U1661),ROUND($U1661*$V1661,2))))</f>
        <v>0</v>
      </c>
      <c r="X1661" s="24" t="str">
        <f aca="false">IF($N1661="","",IFERROR(INDEX(VAT_Codes!$H:$H,MATCH($N1661,VAT_Codes!$A:$A,0)),"")&amp;"")</f>
        <v/>
      </c>
      <c r="Y1661" s="24" t="str">
        <f aca="false">IF($A1661="","",(YEAR($A1661)-YEAR(Settings!$C$8))*12+MONTH($A1661)-MONTH(Settings!$C$8)+1)</f>
        <v/>
      </c>
      <c r="Z1661" s="24" t="str">
        <f aca="false">IF(AND($C1661="",$I1661="",$J1661=""),"",IF($N1661="","NO VAT CODE",IF($T1661="","UNKNOWN VAT CODE",IF($S1661="","MISSING FX RATE",IF(OR($A1661&lt;Settings!$C$8,$A1661&gt;Settings!$C$9),"OUTSIDE PERIOD",IF(AND(IFERROR(INDEX(VAT_Codes!$E:$E,MATCH($N1661,VAT_Codes!$A:$A,0)),"ANY")&lt;&gt;"ANY",$P1661=""),"MISSING COUNTERPARTY COUNTRY",IF(AND(IFERROR(INDEX(VAT_Codes!$E:$E,MATCH($N1661,VAT_Codes!$A:$A,0)),"ANY")&lt;&gt;"ANY",$P1661&lt;&gt;IFERROR(INDEX(VAT_Codes!$E:$E,MATCH($N1661,VAT_Codes!$A:$A,0)),"ANY")),"REGION MISMATCH","OK")))))))</f>
        <v/>
      </c>
    </row>
    <row r="1662" customFormat="false" ht="15" hidden="false" customHeight="false" outlineLevel="0" collapsed="false">
      <c r="M1662" s="24" t="str">
        <f aca="false">IF($C1662="","",IFERROR(INDEX(Account_Mapping!$C:$C,MATCH($C1662&amp;"",Account_Mapping!$A:$A,0))&amp;"",""))</f>
        <v/>
      </c>
      <c r="N1662" s="24" t="str">
        <f aca="false">IF($K1662&lt;&gt;"",$K1662,$M1662)</f>
        <v/>
      </c>
      <c r="O1662" s="24" t="str">
        <f aca="false">IF($F1662="","",IFERROR(INDEX(Counterparties!$C:$C,MATCH($F1662&amp;"",Counterparties!$A:$A,0))&amp;"",""))</f>
        <v/>
      </c>
      <c r="P1662" s="24" t="str">
        <f aca="false">IF($O1662="","",IF($O1662="CY","CY",IF(ISNUMBER(MATCH($O1662,Lists!$A:$A,0)),"EU","3RD")))</f>
        <v/>
      </c>
      <c r="Q1662" s="24" t="str">
        <f aca="false">IF($F1662="","N",IFERROR(IF(INDEX(Counterparties!$E:$E,MATCH($F1662&amp;"",Counterparties!$A:$A,0))="Y","Y","N"),"N"))</f>
        <v>N</v>
      </c>
      <c r="R1662" s="25" t="n">
        <f aca="false">IF(OR($H1662="",$H1662="EUR"),1,IFERROR(INDEX(FX_Rates!$D:$D,MATCH($H1662,FX_Rates!$A:$A,0)),""))</f>
        <v>1</v>
      </c>
      <c r="S1662" s="26" t="str">
        <f aca="false">IF(AND($I1662="",$J1662=""),"",IF($J1662&lt;&gt;"",$J1662,IF(OR($R1662="",$R1662=0),"",ROUND($I1662/$R1662,2))))</f>
        <v/>
      </c>
      <c r="T1662" s="24" t="str">
        <f aca="false">IF($N1662="","",IFERROR(INDEX(VAT_Codes!$C:$C,MATCH($N1662,VAT_Codes!$A:$A,0)),"")&amp;"")</f>
        <v/>
      </c>
      <c r="U1662" s="26" t="n">
        <f aca="false">IF(OR($S1662="",$T1662="",$T1662="None"),0,IF($T1662="Output",-$S1662,$S1662))</f>
        <v>0</v>
      </c>
      <c r="V1662" s="27" t="n">
        <f aca="false">IF($N1662="",0,IFERROR(INDEX(VAT_Codes!$D:$D,MATCH($N1662,VAT_Codes!$A:$A,0)),0))</f>
        <v>0</v>
      </c>
      <c r="W1662" s="26" t="n">
        <f aca="false">IF($U1662=0,0,IF(IFERROR(INDEX(VAT_Codes!$F:$F,MATCH($N1662,VAT_Codes!$A:$A,0)),"N")="Y",$U1662,IF($L1662&lt;&gt;"",ROUND(ABS($L1662)/IF(OR($R1662="",$R1662=0),1,$R1662),2)*SIGN($U1662),ROUND($U1662*$V1662,2))))</f>
        <v>0</v>
      </c>
      <c r="X1662" s="24" t="str">
        <f aca="false">IF($N1662="","",IFERROR(INDEX(VAT_Codes!$H:$H,MATCH($N1662,VAT_Codes!$A:$A,0)),"")&amp;"")</f>
        <v/>
      </c>
      <c r="Y1662" s="24" t="str">
        <f aca="false">IF($A1662="","",(YEAR($A1662)-YEAR(Settings!$C$8))*12+MONTH($A1662)-MONTH(Settings!$C$8)+1)</f>
        <v/>
      </c>
      <c r="Z1662" s="24" t="str">
        <f aca="false">IF(AND($C1662="",$I1662="",$J1662=""),"",IF($N1662="","NO VAT CODE",IF($T1662="","UNKNOWN VAT CODE",IF($S1662="","MISSING FX RATE",IF(OR($A1662&lt;Settings!$C$8,$A1662&gt;Settings!$C$9),"OUTSIDE PERIOD",IF(AND(IFERROR(INDEX(VAT_Codes!$E:$E,MATCH($N1662,VAT_Codes!$A:$A,0)),"ANY")&lt;&gt;"ANY",$P1662=""),"MISSING COUNTERPARTY COUNTRY",IF(AND(IFERROR(INDEX(VAT_Codes!$E:$E,MATCH($N1662,VAT_Codes!$A:$A,0)),"ANY")&lt;&gt;"ANY",$P1662&lt;&gt;IFERROR(INDEX(VAT_Codes!$E:$E,MATCH($N1662,VAT_Codes!$A:$A,0)),"ANY")),"REGION MISMATCH","OK")))))))</f>
        <v/>
      </c>
    </row>
    <row r="1663" customFormat="false" ht="15" hidden="false" customHeight="false" outlineLevel="0" collapsed="false">
      <c r="M1663" s="24" t="str">
        <f aca="false">IF($C1663="","",IFERROR(INDEX(Account_Mapping!$C:$C,MATCH($C1663&amp;"",Account_Mapping!$A:$A,0))&amp;"",""))</f>
        <v/>
      </c>
      <c r="N1663" s="24" t="str">
        <f aca="false">IF($K1663&lt;&gt;"",$K1663,$M1663)</f>
        <v/>
      </c>
      <c r="O1663" s="24" t="str">
        <f aca="false">IF($F1663="","",IFERROR(INDEX(Counterparties!$C:$C,MATCH($F1663&amp;"",Counterparties!$A:$A,0))&amp;"",""))</f>
        <v/>
      </c>
      <c r="P1663" s="24" t="str">
        <f aca="false">IF($O1663="","",IF($O1663="CY","CY",IF(ISNUMBER(MATCH($O1663,Lists!$A:$A,0)),"EU","3RD")))</f>
        <v/>
      </c>
      <c r="Q1663" s="24" t="str">
        <f aca="false">IF($F1663="","N",IFERROR(IF(INDEX(Counterparties!$E:$E,MATCH($F1663&amp;"",Counterparties!$A:$A,0))="Y","Y","N"),"N"))</f>
        <v>N</v>
      </c>
      <c r="R1663" s="25" t="n">
        <f aca="false">IF(OR($H1663="",$H1663="EUR"),1,IFERROR(INDEX(FX_Rates!$D:$D,MATCH($H1663,FX_Rates!$A:$A,0)),""))</f>
        <v>1</v>
      </c>
      <c r="S1663" s="26" t="str">
        <f aca="false">IF(AND($I1663="",$J1663=""),"",IF($J1663&lt;&gt;"",$J1663,IF(OR($R1663="",$R1663=0),"",ROUND($I1663/$R1663,2))))</f>
        <v/>
      </c>
      <c r="T1663" s="24" t="str">
        <f aca="false">IF($N1663="","",IFERROR(INDEX(VAT_Codes!$C:$C,MATCH($N1663,VAT_Codes!$A:$A,0)),"")&amp;"")</f>
        <v/>
      </c>
      <c r="U1663" s="26" t="n">
        <f aca="false">IF(OR($S1663="",$T1663="",$T1663="None"),0,IF($T1663="Output",-$S1663,$S1663))</f>
        <v>0</v>
      </c>
      <c r="V1663" s="27" t="n">
        <f aca="false">IF($N1663="",0,IFERROR(INDEX(VAT_Codes!$D:$D,MATCH($N1663,VAT_Codes!$A:$A,0)),0))</f>
        <v>0</v>
      </c>
      <c r="W1663" s="26" t="n">
        <f aca="false">IF($U1663=0,0,IF(IFERROR(INDEX(VAT_Codes!$F:$F,MATCH($N1663,VAT_Codes!$A:$A,0)),"N")="Y",$U1663,IF($L1663&lt;&gt;"",ROUND(ABS($L1663)/IF(OR($R1663="",$R1663=0),1,$R1663),2)*SIGN($U1663),ROUND($U1663*$V1663,2))))</f>
        <v>0</v>
      </c>
      <c r="X1663" s="24" t="str">
        <f aca="false">IF($N1663="","",IFERROR(INDEX(VAT_Codes!$H:$H,MATCH($N1663,VAT_Codes!$A:$A,0)),"")&amp;"")</f>
        <v/>
      </c>
      <c r="Y1663" s="24" t="str">
        <f aca="false">IF($A1663="","",(YEAR($A1663)-YEAR(Settings!$C$8))*12+MONTH($A1663)-MONTH(Settings!$C$8)+1)</f>
        <v/>
      </c>
      <c r="Z1663" s="24" t="str">
        <f aca="false">IF(AND($C1663="",$I1663="",$J1663=""),"",IF($N1663="","NO VAT CODE",IF($T1663="","UNKNOWN VAT CODE",IF($S1663="","MISSING FX RATE",IF(OR($A1663&lt;Settings!$C$8,$A1663&gt;Settings!$C$9),"OUTSIDE PERIOD",IF(AND(IFERROR(INDEX(VAT_Codes!$E:$E,MATCH($N1663,VAT_Codes!$A:$A,0)),"ANY")&lt;&gt;"ANY",$P1663=""),"MISSING COUNTERPARTY COUNTRY",IF(AND(IFERROR(INDEX(VAT_Codes!$E:$E,MATCH($N1663,VAT_Codes!$A:$A,0)),"ANY")&lt;&gt;"ANY",$P1663&lt;&gt;IFERROR(INDEX(VAT_Codes!$E:$E,MATCH($N1663,VAT_Codes!$A:$A,0)),"ANY")),"REGION MISMATCH","OK")))))))</f>
        <v/>
      </c>
    </row>
    <row r="1664" customFormat="false" ht="15" hidden="false" customHeight="false" outlineLevel="0" collapsed="false">
      <c r="M1664" s="24" t="str">
        <f aca="false">IF($C1664="","",IFERROR(INDEX(Account_Mapping!$C:$C,MATCH($C1664&amp;"",Account_Mapping!$A:$A,0))&amp;"",""))</f>
        <v/>
      </c>
      <c r="N1664" s="24" t="str">
        <f aca="false">IF($K1664&lt;&gt;"",$K1664,$M1664)</f>
        <v/>
      </c>
      <c r="O1664" s="24" t="str">
        <f aca="false">IF($F1664="","",IFERROR(INDEX(Counterparties!$C:$C,MATCH($F1664&amp;"",Counterparties!$A:$A,0))&amp;"",""))</f>
        <v/>
      </c>
      <c r="P1664" s="24" t="str">
        <f aca="false">IF($O1664="","",IF($O1664="CY","CY",IF(ISNUMBER(MATCH($O1664,Lists!$A:$A,0)),"EU","3RD")))</f>
        <v/>
      </c>
      <c r="Q1664" s="24" t="str">
        <f aca="false">IF($F1664="","N",IFERROR(IF(INDEX(Counterparties!$E:$E,MATCH($F1664&amp;"",Counterparties!$A:$A,0))="Y","Y","N"),"N"))</f>
        <v>N</v>
      </c>
      <c r="R1664" s="25" t="n">
        <f aca="false">IF(OR($H1664="",$H1664="EUR"),1,IFERROR(INDEX(FX_Rates!$D:$D,MATCH($H1664,FX_Rates!$A:$A,0)),""))</f>
        <v>1</v>
      </c>
      <c r="S1664" s="26" t="str">
        <f aca="false">IF(AND($I1664="",$J1664=""),"",IF($J1664&lt;&gt;"",$J1664,IF(OR($R1664="",$R1664=0),"",ROUND($I1664/$R1664,2))))</f>
        <v/>
      </c>
      <c r="T1664" s="24" t="str">
        <f aca="false">IF($N1664="","",IFERROR(INDEX(VAT_Codes!$C:$C,MATCH($N1664,VAT_Codes!$A:$A,0)),"")&amp;"")</f>
        <v/>
      </c>
      <c r="U1664" s="26" t="n">
        <f aca="false">IF(OR($S1664="",$T1664="",$T1664="None"),0,IF($T1664="Output",-$S1664,$S1664))</f>
        <v>0</v>
      </c>
      <c r="V1664" s="27" t="n">
        <f aca="false">IF($N1664="",0,IFERROR(INDEX(VAT_Codes!$D:$D,MATCH($N1664,VAT_Codes!$A:$A,0)),0))</f>
        <v>0</v>
      </c>
      <c r="W1664" s="26" t="n">
        <f aca="false">IF($U1664=0,0,IF(IFERROR(INDEX(VAT_Codes!$F:$F,MATCH($N1664,VAT_Codes!$A:$A,0)),"N")="Y",$U1664,IF($L1664&lt;&gt;"",ROUND(ABS($L1664)/IF(OR($R1664="",$R1664=0),1,$R1664),2)*SIGN($U1664),ROUND($U1664*$V1664,2))))</f>
        <v>0</v>
      </c>
      <c r="X1664" s="24" t="str">
        <f aca="false">IF($N1664="","",IFERROR(INDEX(VAT_Codes!$H:$H,MATCH($N1664,VAT_Codes!$A:$A,0)),"")&amp;"")</f>
        <v/>
      </c>
      <c r="Y1664" s="24" t="str">
        <f aca="false">IF($A1664="","",(YEAR($A1664)-YEAR(Settings!$C$8))*12+MONTH($A1664)-MONTH(Settings!$C$8)+1)</f>
        <v/>
      </c>
      <c r="Z1664" s="24" t="str">
        <f aca="false">IF(AND($C1664="",$I1664="",$J1664=""),"",IF($N1664="","NO VAT CODE",IF($T1664="","UNKNOWN VAT CODE",IF($S1664="","MISSING FX RATE",IF(OR($A1664&lt;Settings!$C$8,$A1664&gt;Settings!$C$9),"OUTSIDE PERIOD",IF(AND(IFERROR(INDEX(VAT_Codes!$E:$E,MATCH($N1664,VAT_Codes!$A:$A,0)),"ANY")&lt;&gt;"ANY",$P1664=""),"MISSING COUNTERPARTY COUNTRY",IF(AND(IFERROR(INDEX(VAT_Codes!$E:$E,MATCH($N1664,VAT_Codes!$A:$A,0)),"ANY")&lt;&gt;"ANY",$P1664&lt;&gt;IFERROR(INDEX(VAT_Codes!$E:$E,MATCH($N1664,VAT_Codes!$A:$A,0)),"ANY")),"REGION MISMATCH","OK")))))))</f>
        <v/>
      </c>
    </row>
    <row r="1665" customFormat="false" ht="15" hidden="false" customHeight="false" outlineLevel="0" collapsed="false">
      <c r="M1665" s="24" t="str">
        <f aca="false">IF($C1665="","",IFERROR(INDEX(Account_Mapping!$C:$C,MATCH($C1665&amp;"",Account_Mapping!$A:$A,0))&amp;"",""))</f>
        <v/>
      </c>
      <c r="N1665" s="24" t="str">
        <f aca="false">IF($K1665&lt;&gt;"",$K1665,$M1665)</f>
        <v/>
      </c>
      <c r="O1665" s="24" t="str">
        <f aca="false">IF($F1665="","",IFERROR(INDEX(Counterparties!$C:$C,MATCH($F1665&amp;"",Counterparties!$A:$A,0))&amp;"",""))</f>
        <v/>
      </c>
      <c r="P1665" s="24" t="str">
        <f aca="false">IF($O1665="","",IF($O1665="CY","CY",IF(ISNUMBER(MATCH($O1665,Lists!$A:$A,0)),"EU","3RD")))</f>
        <v/>
      </c>
      <c r="Q1665" s="24" t="str">
        <f aca="false">IF($F1665="","N",IFERROR(IF(INDEX(Counterparties!$E:$E,MATCH($F1665&amp;"",Counterparties!$A:$A,0))="Y","Y","N"),"N"))</f>
        <v>N</v>
      </c>
      <c r="R1665" s="25" t="n">
        <f aca="false">IF(OR($H1665="",$H1665="EUR"),1,IFERROR(INDEX(FX_Rates!$D:$D,MATCH($H1665,FX_Rates!$A:$A,0)),""))</f>
        <v>1</v>
      </c>
      <c r="S1665" s="26" t="str">
        <f aca="false">IF(AND($I1665="",$J1665=""),"",IF($J1665&lt;&gt;"",$J1665,IF(OR($R1665="",$R1665=0),"",ROUND($I1665/$R1665,2))))</f>
        <v/>
      </c>
      <c r="T1665" s="24" t="str">
        <f aca="false">IF($N1665="","",IFERROR(INDEX(VAT_Codes!$C:$C,MATCH($N1665,VAT_Codes!$A:$A,0)),"")&amp;"")</f>
        <v/>
      </c>
      <c r="U1665" s="26" t="n">
        <f aca="false">IF(OR($S1665="",$T1665="",$T1665="None"),0,IF($T1665="Output",-$S1665,$S1665))</f>
        <v>0</v>
      </c>
      <c r="V1665" s="27" t="n">
        <f aca="false">IF($N1665="",0,IFERROR(INDEX(VAT_Codes!$D:$D,MATCH($N1665,VAT_Codes!$A:$A,0)),0))</f>
        <v>0</v>
      </c>
      <c r="W1665" s="26" t="n">
        <f aca="false">IF($U1665=0,0,IF(IFERROR(INDEX(VAT_Codes!$F:$F,MATCH($N1665,VAT_Codes!$A:$A,0)),"N")="Y",$U1665,IF($L1665&lt;&gt;"",ROUND(ABS($L1665)/IF(OR($R1665="",$R1665=0),1,$R1665),2)*SIGN($U1665),ROUND($U1665*$V1665,2))))</f>
        <v>0</v>
      </c>
      <c r="X1665" s="24" t="str">
        <f aca="false">IF($N1665="","",IFERROR(INDEX(VAT_Codes!$H:$H,MATCH($N1665,VAT_Codes!$A:$A,0)),"")&amp;"")</f>
        <v/>
      </c>
      <c r="Y1665" s="24" t="str">
        <f aca="false">IF($A1665="","",(YEAR($A1665)-YEAR(Settings!$C$8))*12+MONTH($A1665)-MONTH(Settings!$C$8)+1)</f>
        <v/>
      </c>
      <c r="Z1665" s="24" t="str">
        <f aca="false">IF(AND($C1665="",$I1665="",$J1665=""),"",IF($N1665="","NO VAT CODE",IF($T1665="","UNKNOWN VAT CODE",IF($S1665="","MISSING FX RATE",IF(OR($A1665&lt;Settings!$C$8,$A1665&gt;Settings!$C$9),"OUTSIDE PERIOD",IF(AND(IFERROR(INDEX(VAT_Codes!$E:$E,MATCH($N1665,VAT_Codes!$A:$A,0)),"ANY")&lt;&gt;"ANY",$P1665=""),"MISSING COUNTERPARTY COUNTRY",IF(AND(IFERROR(INDEX(VAT_Codes!$E:$E,MATCH($N1665,VAT_Codes!$A:$A,0)),"ANY")&lt;&gt;"ANY",$P1665&lt;&gt;IFERROR(INDEX(VAT_Codes!$E:$E,MATCH($N1665,VAT_Codes!$A:$A,0)),"ANY")),"REGION MISMATCH","OK")))))))</f>
        <v/>
      </c>
    </row>
    <row r="1666" customFormat="false" ht="15" hidden="false" customHeight="false" outlineLevel="0" collapsed="false">
      <c r="M1666" s="24" t="str">
        <f aca="false">IF($C1666="","",IFERROR(INDEX(Account_Mapping!$C:$C,MATCH($C1666&amp;"",Account_Mapping!$A:$A,0))&amp;"",""))</f>
        <v/>
      </c>
      <c r="N1666" s="24" t="str">
        <f aca="false">IF($K1666&lt;&gt;"",$K1666,$M1666)</f>
        <v/>
      </c>
      <c r="O1666" s="24" t="str">
        <f aca="false">IF($F1666="","",IFERROR(INDEX(Counterparties!$C:$C,MATCH($F1666&amp;"",Counterparties!$A:$A,0))&amp;"",""))</f>
        <v/>
      </c>
      <c r="P1666" s="24" t="str">
        <f aca="false">IF($O1666="","",IF($O1666="CY","CY",IF(ISNUMBER(MATCH($O1666,Lists!$A:$A,0)),"EU","3RD")))</f>
        <v/>
      </c>
      <c r="Q1666" s="24" t="str">
        <f aca="false">IF($F1666="","N",IFERROR(IF(INDEX(Counterparties!$E:$E,MATCH($F1666&amp;"",Counterparties!$A:$A,0))="Y","Y","N"),"N"))</f>
        <v>N</v>
      </c>
      <c r="R1666" s="25" t="n">
        <f aca="false">IF(OR($H1666="",$H1666="EUR"),1,IFERROR(INDEX(FX_Rates!$D:$D,MATCH($H1666,FX_Rates!$A:$A,0)),""))</f>
        <v>1</v>
      </c>
      <c r="S1666" s="26" t="str">
        <f aca="false">IF(AND($I1666="",$J1666=""),"",IF($J1666&lt;&gt;"",$J1666,IF(OR($R1666="",$R1666=0),"",ROUND($I1666/$R1666,2))))</f>
        <v/>
      </c>
      <c r="T1666" s="24" t="str">
        <f aca="false">IF($N1666="","",IFERROR(INDEX(VAT_Codes!$C:$C,MATCH($N1666,VAT_Codes!$A:$A,0)),"")&amp;"")</f>
        <v/>
      </c>
      <c r="U1666" s="26" t="n">
        <f aca="false">IF(OR($S1666="",$T1666="",$T1666="None"),0,IF($T1666="Output",-$S1666,$S1666))</f>
        <v>0</v>
      </c>
      <c r="V1666" s="27" t="n">
        <f aca="false">IF($N1666="",0,IFERROR(INDEX(VAT_Codes!$D:$D,MATCH($N1666,VAT_Codes!$A:$A,0)),0))</f>
        <v>0</v>
      </c>
      <c r="W1666" s="26" t="n">
        <f aca="false">IF($U1666=0,0,IF(IFERROR(INDEX(VAT_Codes!$F:$F,MATCH($N1666,VAT_Codes!$A:$A,0)),"N")="Y",$U1666,IF($L1666&lt;&gt;"",ROUND(ABS($L1666)/IF(OR($R1666="",$R1666=0),1,$R1666),2)*SIGN($U1666),ROUND($U1666*$V1666,2))))</f>
        <v>0</v>
      </c>
      <c r="X1666" s="24" t="str">
        <f aca="false">IF($N1666="","",IFERROR(INDEX(VAT_Codes!$H:$H,MATCH($N1666,VAT_Codes!$A:$A,0)),"")&amp;"")</f>
        <v/>
      </c>
      <c r="Y1666" s="24" t="str">
        <f aca="false">IF($A1666="","",(YEAR($A1666)-YEAR(Settings!$C$8))*12+MONTH($A1666)-MONTH(Settings!$C$8)+1)</f>
        <v/>
      </c>
      <c r="Z1666" s="24" t="str">
        <f aca="false">IF(AND($C1666="",$I1666="",$J1666=""),"",IF($N1666="","NO VAT CODE",IF($T1666="","UNKNOWN VAT CODE",IF($S1666="","MISSING FX RATE",IF(OR($A1666&lt;Settings!$C$8,$A1666&gt;Settings!$C$9),"OUTSIDE PERIOD",IF(AND(IFERROR(INDEX(VAT_Codes!$E:$E,MATCH($N1666,VAT_Codes!$A:$A,0)),"ANY")&lt;&gt;"ANY",$P1666=""),"MISSING COUNTERPARTY COUNTRY",IF(AND(IFERROR(INDEX(VAT_Codes!$E:$E,MATCH($N1666,VAT_Codes!$A:$A,0)),"ANY")&lt;&gt;"ANY",$P1666&lt;&gt;IFERROR(INDEX(VAT_Codes!$E:$E,MATCH($N1666,VAT_Codes!$A:$A,0)),"ANY")),"REGION MISMATCH","OK")))))))</f>
        <v/>
      </c>
    </row>
    <row r="1667" customFormat="false" ht="15" hidden="false" customHeight="false" outlineLevel="0" collapsed="false">
      <c r="M1667" s="24" t="str">
        <f aca="false">IF($C1667="","",IFERROR(INDEX(Account_Mapping!$C:$C,MATCH($C1667&amp;"",Account_Mapping!$A:$A,0))&amp;"",""))</f>
        <v/>
      </c>
      <c r="N1667" s="24" t="str">
        <f aca="false">IF($K1667&lt;&gt;"",$K1667,$M1667)</f>
        <v/>
      </c>
      <c r="O1667" s="24" t="str">
        <f aca="false">IF($F1667="","",IFERROR(INDEX(Counterparties!$C:$C,MATCH($F1667&amp;"",Counterparties!$A:$A,0))&amp;"",""))</f>
        <v/>
      </c>
      <c r="P1667" s="24" t="str">
        <f aca="false">IF($O1667="","",IF($O1667="CY","CY",IF(ISNUMBER(MATCH($O1667,Lists!$A:$A,0)),"EU","3RD")))</f>
        <v/>
      </c>
      <c r="Q1667" s="24" t="str">
        <f aca="false">IF($F1667="","N",IFERROR(IF(INDEX(Counterparties!$E:$E,MATCH($F1667&amp;"",Counterparties!$A:$A,0))="Y","Y","N"),"N"))</f>
        <v>N</v>
      </c>
      <c r="R1667" s="25" t="n">
        <f aca="false">IF(OR($H1667="",$H1667="EUR"),1,IFERROR(INDEX(FX_Rates!$D:$D,MATCH($H1667,FX_Rates!$A:$A,0)),""))</f>
        <v>1</v>
      </c>
      <c r="S1667" s="26" t="str">
        <f aca="false">IF(AND($I1667="",$J1667=""),"",IF($J1667&lt;&gt;"",$J1667,IF(OR($R1667="",$R1667=0),"",ROUND($I1667/$R1667,2))))</f>
        <v/>
      </c>
      <c r="T1667" s="24" t="str">
        <f aca="false">IF($N1667="","",IFERROR(INDEX(VAT_Codes!$C:$C,MATCH($N1667,VAT_Codes!$A:$A,0)),"")&amp;"")</f>
        <v/>
      </c>
      <c r="U1667" s="26" t="n">
        <f aca="false">IF(OR($S1667="",$T1667="",$T1667="None"),0,IF($T1667="Output",-$S1667,$S1667))</f>
        <v>0</v>
      </c>
      <c r="V1667" s="27" t="n">
        <f aca="false">IF($N1667="",0,IFERROR(INDEX(VAT_Codes!$D:$D,MATCH($N1667,VAT_Codes!$A:$A,0)),0))</f>
        <v>0</v>
      </c>
      <c r="W1667" s="26" t="n">
        <f aca="false">IF($U1667=0,0,IF(IFERROR(INDEX(VAT_Codes!$F:$F,MATCH($N1667,VAT_Codes!$A:$A,0)),"N")="Y",$U1667,IF($L1667&lt;&gt;"",ROUND(ABS($L1667)/IF(OR($R1667="",$R1667=0),1,$R1667),2)*SIGN($U1667),ROUND($U1667*$V1667,2))))</f>
        <v>0</v>
      </c>
      <c r="X1667" s="24" t="str">
        <f aca="false">IF($N1667="","",IFERROR(INDEX(VAT_Codes!$H:$H,MATCH($N1667,VAT_Codes!$A:$A,0)),"")&amp;"")</f>
        <v/>
      </c>
      <c r="Y1667" s="24" t="str">
        <f aca="false">IF($A1667="","",(YEAR($A1667)-YEAR(Settings!$C$8))*12+MONTH($A1667)-MONTH(Settings!$C$8)+1)</f>
        <v/>
      </c>
      <c r="Z1667" s="24" t="str">
        <f aca="false">IF(AND($C1667="",$I1667="",$J1667=""),"",IF($N1667="","NO VAT CODE",IF($T1667="","UNKNOWN VAT CODE",IF($S1667="","MISSING FX RATE",IF(OR($A1667&lt;Settings!$C$8,$A1667&gt;Settings!$C$9),"OUTSIDE PERIOD",IF(AND(IFERROR(INDEX(VAT_Codes!$E:$E,MATCH($N1667,VAT_Codes!$A:$A,0)),"ANY")&lt;&gt;"ANY",$P1667=""),"MISSING COUNTERPARTY COUNTRY",IF(AND(IFERROR(INDEX(VAT_Codes!$E:$E,MATCH($N1667,VAT_Codes!$A:$A,0)),"ANY")&lt;&gt;"ANY",$P1667&lt;&gt;IFERROR(INDEX(VAT_Codes!$E:$E,MATCH($N1667,VAT_Codes!$A:$A,0)),"ANY")),"REGION MISMATCH","OK")))))))</f>
        <v/>
      </c>
    </row>
    <row r="1668" customFormat="false" ht="15" hidden="false" customHeight="false" outlineLevel="0" collapsed="false">
      <c r="M1668" s="24" t="str">
        <f aca="false">IF($C1668="","",IFERROR(INDEX(Account_Mapping!$C:$C,MATCH($C1668&amp;"",Account_Mapping!$A:$A,0))&amp;"",""))</f>
        <v/>
      </c>
      <c r="N1668" s="24" t="str">
        <f aca="false">IF($K1668&lt;&gt;"",$K1668,$M1668)</f>
        <v/>
      </c>
      <c r="O1668" s="24" t="str">
        <f aca="false">IF($F1668="","",IFERROR(INDEX(Counterparties!$C:$C,MATCH($F1668&amp;"",Counterparties!$A:$A,0))&amp;"",""))</f>
        <v/>
      </c>
      <c r="P1668" s="24" t="str">
        <f aca="false">IF($O1668="","",IF($O1668="CY","CY",IF(ISNUMBER(MATCH($O1668,Lists!$A:$A,0)),"EU","3RD")))</f>
        <v/>
      </c>
      <c r="Q1668" s="24" t="str">
        <f aca="false">IF($F1668="","N",IFERROR(IF(INDEX(Counterparties!$E:$E,MATCH($F1668&amp;"",Counterparties!$A:$A,0))="Y","Y","N"),"N"))</f>
        <v>N</v>
      </c>
      <c r="R1668" s="25" t="n">
        <f aca="false">IF(OR($H1668="",$H1668="EUR"),1,IFERROR(INDEX(FX_Rates!$D:$D,MATCH($H1668,FX_Rates!$A:$A,0)),""))</f>
        <v>1</v>
      </c>
      <c r="S1668" s="26" t="str">
        <f aca="false">IF(AND($I1668="",$J1668=""),"",IF($J1668&lt;&gt;"",$J1668,IF(OR($R1668="",$R1668=0),"",ROUND($I1668/$R1668,2))))</f>
        <v/>
      </c>
      <c r="T1668" s="24" t="str">
        <f aca="false">IF($N1668="","",IFERROR(INDEX(VAT_Codes!$C:$C,MATCH($N1668,VAT_Codes!$A:$A,0)),"")&amp;"")</f>
        <v/>
      </c>
      <c r="U1668" s="26" t="n">
        <f aca="false">IF(OR($S1668="",$T1668="",$T1668="None"),0,IF($T1668="Output",-$S1668,$S1668))</f>
        <v>0</v>
      </c>
      <c r="V1668" s="27" t="n">
        <f aca="false">IF($N1668="",0,IFERROR(INDEX(VAT_Codes!$D:$D,MATCH($N1668,VAT_Codes!$A:$A,0)),0))</f>
        <v>0</v>
      </c>
      <c r="W1668" s="26" t="n">
        <f aca="false">IF($U1668=0,0,IF(IFERROR(INDEX(VAT_Codes!$F:$F,MATCH($N1668,VAT_Codes!$A:$A,0)),"N")="Y",$U1668,IF($L1668&lt;&gt;"",ROUND(ABS($L1668)/IF(OR($R1668="",$R1668=0),1,$R1668),2)*SIGN($U1668),ROUND($U1668*$V1668,2))))</f>
        <v>0</v>
      </c>
      <c r="X1668" s="24" t="str">
        <f aca="false">IF($N1668="","",IFERROR(INDEX(VAT_Codes!$H:$H,MATCH($N1668,VAT_Codes!$A:$A,0)),"")&amp;"")</f>
        <v/>
      </c>
      <c r="Y1668" s="24" t="str">
        <f aca="false">IF($A1668="","",(YEAR($A1668)-YEAR(Settings!$C$8))*12+MONTH($A1668)-MONTH(Settings!$C$8)+1)</f>
        <v/>
      </c>
      <c r="Z1668" s="24" t="str">
        <f aca="false">IF(AND($C1668="",$I1668="",$J1668=""),"",IF($N1668="","NO VAT CODE",IF($T1668="","UNKNOWN VAT CODE",IF($S1668="","MISSING FX RATE",IF(OR($A1668&lt;Settings!$C$8,$A1668&gt;Settings!$C$9),"OUTSIDE PERIOD",IF(AND(IFERROR(INDEX(VAT_Codes!$E:$E,MATCH($N1668,VAT_Codes!$A:$A,0)),"ANY")&lt;&gt;"ANY",$P1668=""),"MISSING COUNTERPARTY COUNTRY",IF(AND(IFERROR(INDEX(VAT_Codes!$E:$E,MATCH($N1668,VAT_Codes!$A:$A,0)),"ANY")&lt;&gt;"ANY",$P1668&lt;&gt;IFERROR(INDEX(VAT_Codes!$E:$E,MATCH($N1668,VAT_Codes!$A:$A,0)),"ANY")),"REGION MISMATCH","OK")))))))</f>
        <v/>
      </c>
    </row>
    <row r="1669" customFormat="false" ht="15" hidden="false" customHeight="false" outlineLevel="0" collapsed="false">
      <c r="M1669" s="24" t="str">
        <f aca="false">IF($C1669="","",IFERROR(INDEX(Account_Mapping!$C:$C,MATCH($C1669&amp;"",Account_Mapping!$A:$A,0))&amp;"",""))</f>
        <v/>
      </c>
      <c r="N1669" s="24" t="str">
        <f aca="false">IF($K1669&lt;&gt;"",$K1669,$M1669)</f>
        <v/>
      </c>
      <c r="O1669" s="24" t="str">
        <f aca="false">IF($F1669="","",IFERROR(INDEX(Counterparties!$C:$C,MATCH($F1669&amp;"",Counterparties!$A:$A,0))&amp;"",""))</f>
        <v/>
      </c>
      <c r="P1669" s="24" t="str">
        <f aca="false">IF($O1669="","",IF($O1669="CY","CY",IF(ISNUMBER(MATCH($O1669,Lists!$A:$A,0)),"EU","3RD")))</f>
        <v/>
      </c>
      <c r="Q1669" s="24" t="str">
        <f aca="false">IF($F1669="","N",IFERROR(IF(INDEX(Counterparties!$E:$E,MATCH($F1669&amp;"",Counterparties!$A:$A,0))="Y","Y","N"),"N"))</f>
        <v>N</v>
      </c>
      <c r="R1669" s="25" t="n">
        <f aca="false">IF(OR($H1669="",$H1669="EUR"),1,IFERROR(INDEX(FX_Rates!$D:$D,MATCH($H1669,FX_Rates!$A:$A,0)),""))</f>
        <v>1</v>
      </c>
      <c r="S1669" s="26" t="str">
        <f aca="false">IF(AND($I1669="",$J1669=""),"",IF($J1669&lt;&gt;"",$J1669,IF(OR($R1669="",$R1669=0),"",ROUND($I1669/$R1669,2))))</f>
        <v/>
      </c>
      <c r="T1669" s="24" t="str">
        <f aca="false">IF($N1669="","",IFERROR(INDEX(VAT_Codes!$C:$C,MATCH($N1669,VAT_Codes!$A:$A,0)),"")&amp;"")</f>
        <v/>
      </c>
      <c r="U1669" s="26" t="n">
        <f aca="false">IF(OR($S1669="",$T1669="",$T1669="None"),0,IF($T1669="Output",-$S1669,$S1669))</f>
        <v>0</v>
      </c>
      <c r="V1669" s="27" t="n">
        <f aca="false">IF($N1669="",0,IFERROR(INDEX(VAT_Codes!$D:$D,MATCH($N1669,VAT_Codes!$A:$A,0)),0))</f>
        <v>0</v>
      </c>
      <c r="W1669" s="26" t="n">
        <f aca="false">IF($U1669=0,0,IF(IFERROR(INDEX(VAT_Codes!$F:$F,MATCH($N1669,VAT_Codes!$A:$A,0)),"N")="Y",$U1669,IF($L1669&lt;&gt;"",ROUND(ABS($L1669)/IF(OR($R1669="",$R1669=0),1,$R1669),2)*SIGN($U1669),ROUND($U1669*$V1669,2))))</f>
        <v>0</v>
      </c>
      <c r="X1669" s="24" t="str">
        <f aca="false">IF($N1669="","",IFERROR(INDEX(VAT_Codes!$H:$H,MATCH($N1669,VAT_Codes!$A:$A,0)),"")&amp;"")</f>
        <v/>
      </c>
      <c r="Y1669" s="24" t="str">
        <f aca="false">IF($A1669="","",(YEAR($A1669)-YEAR(Settings!$C$8))*12+MONTH($A1669)-MONTH(Settings!$C$8)+1)</f>
        <v/>
      </c>
      <c r="Z1669" s="24" t="str">
        <f aca="false">IF(AND($C1669="",$I1669="",$J1669=""),"",IF($N1669="","NO VAT CODE",IF($T1669="","UNKNOWN VAT CODE",IF($S1669="","MISSING FX RATE",IF(OR($A1669&lt;Settings!$C$8,$A1669&gt;Settings!$C$9),"OUTSIDE PERIOD",IF(AND(IFERROR(INDEX(VAT_Codes!$E:$E,MATCH($N1669,VAT_Codes!$A:$A,0)),"ANY")&lt;&gt;"ANY",$P1669=""),"MISSING COUNTERPARTY COUNTRY",IF(AND(IFERROR(INDEX(VAT_Codes!$E:$E,MATCH($N1669,VAT_Codes!$A:$A,0)),"ANY")&lt;&gt;"ANY",$P1669&lt;&gt;IFERROR(INDEX(VAT_Codes!$E:$E,MATCH($N1669,VAT_Codes!$A:$A,0)),"ANY")),"REGION MISMATCH","OK")))))))</f>
        <v/>
      </c>
    </row>
    <row r="1670" customFormat="false" ht="15" hidden="false" customHeight="false" outlineLevel="0" collapsed="false">
      <c r="M1670" s="24" t="str">
        <f aca="false">IF($C1670="","",IFERROR(INDEX(Account_Mapping!$C:$C,MATCH($C1670&amp;"",Account_Mapping!$A:$A,0))&amp;"",""))</f>
        <v/>
      </c>
      <c r="N1670" s="24" t="str">
        <f aca="false">IF($K1670&lt;&gt;"",$K1670,$M1670)</f>
        <v/>
      </c>
      <c r="O1670" s="24" t="str">
        <f aca="false">IF($F1670="","",IFERROR(INDEX(Counterparties!$C:$C,MATCH($F1670&amp;"",Counterparties!$A:$A,0))&amp;"",""))</f>
        <v/>
      </c>
      <c r="P1670" s="24" t="str">
        <f aca="false">IF($O1670="","",IF($O1670="CY","CY",IF(ISNUMBER(MATCH($O1670,Lists!$A:$A,0)),"EU","3RD")))</f>
        <v/>
      </c>
      <c r="Q1670" s="24" t="str">
        <f aca="false">IF($F1670="","N",IFERROR(IF(INDEX(Counterparties!$E:$E,MATCH($F1670&amp;"",Counterparties!$A:$A,0))="Y","Y","N"),"N"))</f>
        <v>N</v>
      </c>
      <c r="R1670" s="25" t="n">
        <f aca="false">IF(OR($H1670="",$H1670="EUR"),1,IFERROR(INDEX(FX_Rates!$D:$D,MATCH($H1670,FX_Rates!$A:$A,0)),""))</f>
        <v>1</v>
      </c>
      <c r="S1670" s="26" t="str">
        <f aca="false">IF(AND($I1670="",$J1670=""),"",IF($J1670&lt;&gt;"",$J1670,IF(OR($R1670="",$R1670=0),"",ROUND($I1670/$R1670,2))))</f>
        <v/>
      </c>
      <c r="T1670" s="24" t="str">
        <f aca="false">IF($N1670="","",IFERROR(INDEX(VAT_Codes!$C:$C,MATCH($N1670,VAT_Codes!$A:$A,0)),"")&amp;"")</f>
        <v/>
      </c>
      <c r="U1670" s="26" t="n">
        <f aca="false">IF(OR($S1670="",$T1670="",$T1670="None"),0,IF($T1670="Output",-$S1670,$S1670))</f>
        <v>0</v>
      </c>
      <c r="V1670" s="27" t="n">
        <f aca="false">IF($N1670="",0,IFERROR(INDEX(VAT_Codes!$D:$D,MATCH($N1670,VAT_Codes!$A:$A,0)),0))</f>
        <v>0</v>
      </c>
      <c r="W1670" s="26" t="n">
        <f aca="false">IF($U1670=0,0,IF(IFERROR(INDEX(VAT_Codes!$F:$F,MATCH($N1670,VAT_Codes!$A:$A,0)),"N")="Y",$U1670,IF($L1670&lt;&gt;"",ROUND(ABS($L1670)/IF(OR($R1670="",$R1670=0),1,$R1670),2)*SIGN($U1670),ROUND($U1670*$V1670,2))))</f>
        <v>0</v>
      </c>
      <c r="X1670" s="24" t="str">
        <f aca="false">IF($N1670="","",IFERROR(INDEX(VAT_Codes!$H:$H,MATCH($N1670,VAT_Codes!$A:$A,0)),"")&amp;"")</f>
        <v/>
      </c>
      <c r="Y1670" s="24" t="str">
        <f aca="false">IF($A1670="","",(YEAR($A1670)-YEAR(Settings!$C$8))*12+MONTH($A1670)-MONTH(Settings!$C$8)+1)</f>
        <v/>
      </c>
      <c r="Z1670" s="24" t="str">
        <f aca="false">IF(AND($C1670="",$I1670="",$J1670=""),"",IF($N1670="","NO VAT CODE",IF($T1670="","UNKNOWN VAT CODE",IF($S1670="","MISSING FX RATE",IF(OR($A1670&lt;Settings!$C$8,$A1670&gt;Settings!$C$9),"OUTSIDE PERIOD",IF(AND(IFERROR(INDEX(VAT_Codes!$E:$E,MATCH($N1670,VAT_Codes!$A:$A,0)),"ANY")&lt;&gt;"ANY",$P1670=""),"MISSING COUNTERPARTY COUNTRY",IF(AND(IFERROR(INDEX(VAT_Codes!$E:$E,MATCH($N1670,VAT_Codes!$A:$A,0)),"ANY")&lt;&gt;"ANY",$P1670&lt;&gt;IFERROR(INDEX(VAT_Codes!$E:$E,MATCH($N1670,VAT_Codes!$A:$A,0)),"ANY")),"REGION MISMATCH","OK")))))))</f>
        <v/>
      </c>
    </row>
    <row r="1671" customFormat="false" ht="15" hidden="false" customHeight="false" outlineLevel="0" collapsed="false">
      <c r="M1671" s="24" t="str">
        <f aca="false">IF($C1671="","",IFERROR(INDEX(Account_Mapping!$C:$C,MATCH($C1671&amp;"",Account_Mapping!$A:$A,0))&amp;"",""))</f>
        <v/>
      </c>
      <c r="N1671" s="24" t="str">
        <f aca="false">IF($K1671&lt;&gt;"",$K1671,$M1671)</f>
        <v/>
      </c>
      <c r="O1671" s="24" t="str">
        <f aca="false">IF($F1671="","",IFERROR(INDEX(Counterparties!$C:$C,MATCH($F1671&amp;"",Counterparties!$A:$A,0))&amp;"",""))</f>
        <v/>
      </c>
      <c r="P1671" s="24" t="str">
        <f aca="false">IF($O1671="","",IF($O1671="CY","CY",IF(ISNUMBER(MATCH($O1671,Lists!$A:$A,0)),"EU","3RD")))</f>
        <v/>
      </c>
      <c r="Q1671" s="24" t="str">
        <f aca="false">IF($F1671="","N",IFERROR(IF(INDEX(Counterparties!$E:$E,MATCH($F1671&amp;"",Counterparties!$A:$A,0))="Y","Y","N"),"N"))</f>
        <v>N</v>
      </c>
      <c r="R1671" s="25" t="n">
        <f aca="false">IF(OR($H1671="",$H1671="EUR"),1,IFERROR(INDEX(FX_Rates!$D:$D,MATCH($H1671,FX_Rates!$A:$A,0)),""))</f>
        <v>1</v>
      </c>
      <c r="S1671" s="26" t="str">
        <f aca="false">IF(AND($I1671="",$J1671=""),"",IF($J1671&lt;&gt;"",$J1671,IF(OR($R1671="",$R1671=0),"",ROUND($I1671/$R1671,2))))</f>
        <v/>
      </c>
      <c r="T1671" s="24" t="str">
        <f aca="false">IF($N1671="","",IFERROR(INDEX(VAT_Codes!$C:$C,MATCH($N1671,VAT_Codes!$A:$A,0)),"")&amp;"")</f>
        <v/>
      </c>
      <c r="U1671" s="26" t="n">
        <f aca="false">IF(OR($S1671="",$T1671="",$T1671="None"),0,IF($T1671="Output",-$S1671,$S1671))</f>
        <v>0</v>
      </c>
      <c r="V1671" s="27" t="n">
        <f aca="false">IF($N1671="",0,IFERROR(INDEX(VAT_Codes!$D:$D,MATCH($N1671,VAT_Codes!$A:$A,0)),0))</f>
        <v>0</v>
      </c>
      <c r="W1671" s="26" t="n">
        <f aca="false">IF($U1671=0,0,IF(IFERROR(INDEX(VAT_Codes!$F:$F,MATCH($N1671,VAT_Codes!$A:$A,0)),"N")="Y",$U1671,IF($L1671&lt;&gt;"",ROUND(ABS($L1671)/IF(OR($R1671="",$R1671=0),1,$R1671),2)*SIGN($U1671),ROUND($U1671*$V1671,2))))</f>
        <v>0</v>
      </c>
      <c r="X1671" s="24" t="str">
        <f aca="false">IF($N1671="","",IFERROR(INDEX(VAT_Codes!$H:$H,MATCH($N1671,VAT_Codes!$A:$A,0)),"")&amp;"")</f>
        <v/>
      </c>
      <c r="Y1671" s="24" t="str">
        <f aca="false">IF($A1671="","",(YEAR($A1671)-YEAR(Settings!$C$8))*12+MONTH($A1671)-MONTH(Settings!$C$8)+1)</f>
        <v/>
      </c>
      <c r="Z1671" s="24" t="str">
        <f aca="false">IF(AND($C1671="",$I1671="",$J1671=""),"",IF($N1671="","NO VAT CODE",IF($T1671="","UNKNOWN VAT CODE",IF($S1671="","MISSING FX RATE",IF(OR($A1671&lt;Settings!$C$8,$A1671&gt;Settings!$C$9),"OUTSIDE PERIOD",IF(AND(IFERROR(INDEX(VAT_Codes!$E:$E,MATCH($N1671,VAT_Codes!$A:$A,0)),"ANY")&lt;&gt;"ANY",$P1671=""),"MISSING COUNTERPARTY COUNTRY",IF(AND(IFERROR(INDEX(VAT_Codes!$E:$E,MATCH($N1671,VAT_Codes!$A:$A,0)),"ANY")&lt;&gt;"ANY",$P1671&lt;&gt;IFERROR(INDEX(VAT_Codes!$E:$E,MATCH($N1671,VAT_Codes!$A:$A,0)),"ANY")),"REGION MISMATCH","OK")))))))</f>
        <v/>
      </c>
    </row>
    <row r="1672" customFormat="false" ht="15" hidden="false" customHeight="false" outlineLevel="0" collapsed="false">
      <c r="M1672" s="24" t="str">
        <f aca="false">IF($C1672="","",IFERROR(INDEX(Account_Mapping!$C:$C,MATCH($C1672&amp;"",Account_Mapping!$A:$A,0))&amp;"",""))</f>
        <v/>
      </c>
      <c r="N1672" s="24" t="str">
        <f aca="false">IF($K1672&lt;&gt;"",$K1672,$M1672)</f>
        <v/>
      </c>
      <c r="O1672" s="24" t="str">
        <f aca="false">IF($F1672="","",IFERROR(INDEX(Counterparties!$C:$C,MATCH($F1672&amp;"",Counterparties!$A:$A,0))&amp;"",""))</f>
        <v/>
      </c>
      <c r="P1672" s="24" t="str">
        <f aca="false">IF($O1672="","",IF($O1672="CY","CY",IF(ISNUMBER(MATCH($O1672,Lists!$A:$A,0)),"EU","3RD")))</f>
        <v/>
      </c>
      <c r="Q1672" s="24" t="str">
        <f aca="false">IF($F1672="","N",IFERROR(IF(INDEX(Counterparties!$E:$E,MATCH($F1672&amp;"",Counterparties!$A:$A,0))="Y","Y","N"),"N"))</f>
        <v>N</v>
      </c>
      <c r="R1672" s="25" t="n">
        <f aca="false">IF(OR($H1672="",$H1672="EUR"),1,IFERROR(INDEX(FX_Rates!$D:$D,MATCH($H1672,FX_Rates!$A:$A,0)),""))</f>
        <v>1</v>
      </c>
      <c r="S1672" s="26" t="str">
        <f aca="false">IF(AND($I1672="",$J1672=""),"",IF($J1672&lt;&gt;"",$J1672,IF(OR($R1672="",$R1672=0),"",ROUND($I1672/$R1672,2))))</f>
        <v/>
      </c>
      <c r="T1672" s="24" t="str">
        <f aca="false">IF($N1672="","",IFERROR(INDEX(VAT_Codes!$C:$C,MATCH($N1672,VAT_Codes!$A:$A,0)),"")&amp;"")</f>
        <v/>
      </c>
      <c r="U1672" s="26" t="n">
        <f aca="false">IF(OR($S1672="",$T1672="",$T1672="None"),0,IF($T1672="Output",-$S1672,$S1672))</f>
        <v>0</v>
      </c>
      <c r="V1672" s="27" t="n">
        <f aca="false">IF($N1672="",0,IFERROR(INDEX(VAT_Codes!$D:$D,MATCH($N1672,VAT_Codes!$A:$A,0)),0))</f>
        <v>0</v>
      </c>
      <c r="W1672" s="26" t="n">
        <f aca="false">IF($U1672=0,0,IF(IFERROR(INDEX(VAT_Codes!$F:$F,MATCH($N1672,VAT_Codes!$A:$A,0)),"N")="Y",$U1672,IF($L1672&lt;&gt;"",ROUND(ABS($L1672)/IF(OR($R1672="",$R1672=0),1,$R1672),2)*SIGN($U1672),ROUND($U1672*$V1672,2))))</f>
        <v>0</v>
      </c>
      <c r="X1672" s="24" t="str">
        <f aca="false">IF($N1672="","",IFERROR(INDEX(VAT_Codes!$H:$H,MATCH($N1672,VAT_Codes!$A:$A,0)),"")&amp;"")</f>
        <v/>
      </c>
      <c r="Y1672" s="24" t="str">
        <f aca="false">IF($A1672="","",(YEAR($A1672)-YEAR(Settings!$C$8))*12+MONTH($A1672)-MONTH(Settings!$C$8)+1)</f>
        <v/>
      </c>
      <c r="Z1672" s="24" t="str">
        <f aca="false">IF(AND($C1672="",$I1672="",$J1672=""),"",IF($N1672="","NO VAT CODE",IF($T1672="","UNKNOWN VAT CODE",IF($S1672="","MISSING FX RATE",IF(OR($A1672&lt;Settings!$C$8,$A1672&gt;Settings!$C$9),"OUTSIDE PERIOD",IF(AND(IFERROR(INDEX(VAT_Codes!$E:$E,MATCH($N1672,VAT_Codes!$A:$A,0)),"ANY")&lt;&gt;"ANY",$P1672=""),"MISSING COUNTERPARTY COUNTRY",IF(AND(IFERROR(INDEX(VAT_Codes!$E:$E,MATCH($N1672,VAT_Codes!$A:$A,0)),"ANY")&lt;&gt;"ANY",$P1672&lt;&gt;IFERROR(INDEX(VAT_Codes!$E:$E,MATCH($N1672,VAT_Codes!$A:$A,0)),"ANY")),"REGION MISMATCH","OK")))))))</f>
        <v/>
      </c>
    </row>
    <row r="1673" customFormat="false" ht="15" hidden="false" customHeight="false" outlineLevel="0" collapsed="false">
      <c r="M1673" s="24" t="str">
        <f aca="false">IF($C1673="","",IFERROR(INDEX(Account_Mapping!$C:$C,MATCH($C1673&amp;"",Account_Mapping!$A:$A,0))&amp;"",""))</f>
        <v/>
      </c>
      <c r="N1673" s="24" t="str">
        <f aca="false">IF($K1673&lt;&gt;"",$K1673,$M1673)</f>
        <v/>
      </c>
      <c r="O1673" s="24" t="str">
        <f aca="false">IF($F1673="","",IFERROR(INDEX(Counterparties!$C:$C,MATCH($F1673&amp;"",Counterparties!$A:$A,0))&amp;"",""))</f>
        <v/>
      </c>
      <c r="P1673" s="24" t="str">
        <f aca="false">IF($O1673="","",IF($O1673="CY","CY",IF(ISNUMBER(MATCH($O1673,Lists!$A:$A,0)),"EU","3RD")))</f>
        <v/>
      </c>
      <c r="Q1673" s="24" t="str">
        <f aca="false">IF($F1673="","N",IFERROR(IF(INDEX(Counterparties!$E:$E,MATCH($F1673&amp;"",Counterparties!$A:$A,0))="Y","Y","N"),"N"))</f>
        <v>N</v>
      </c>
      <c r="R1673" s="25" t="n">
        <f aca="false">IF(OR($H1673="",$H1673="EUR"),1,IFERROR(INDEX(FX_Rates!$D:$D,MATCH($H1673,FX_Rates!$A:$A,0)),""))</f>
        <v>1</v>
      </c>
      <c r="S1673" s="26" t="str">
        <f aca="false">IF(AND($I1673="",$J1673=""),"",IF($J1673&lt;&gt;"",$J1673,IF(OR($R1673="",$R1673=0),"",ROUND($I1673/$R1673,2))))</f>
        <v/>
      </c>
      <c r="T1673" s="24" t="str">
        <f aca="false">IF($N1673="","",IFERROR(INDEX(VAT_Codes!$C:$C,MATCH($N1673,VAT_Codes!$A:$A,0)),"")&amp;"")</f>
        <v/>
      </c>
      <c r="U1673" s="26" t="n">
        <f aca="false">IF(OR($S1673="",$T1673="",$T1673="None"),0,IF($T1673="Output",-$S1673,$S1673))</f>
        <v>0</v>
      </c>
      <c r="V1673" s="27" t="n">
        <f aca="false">IF($N1673="",0,IFERROR(INDEX(VAT_Codes!$D:$D,MATCH($N1673,VAT_Codes!$A:$A,0)),0))</f>
        <v>0</v>
      </c>
      <c r="W1673" s="26" t="n">
        <f aca="false">IF($U1673=0,0,IF(IFERROR(INDEX(VAT_Codes!$F:$F,MATCH($N1673,VAT_Codes!$A:$A,0)),"N")="Y",$U1673,IF($L1673&lt;&gt;"",ROUND(ABS($L1673)/IF(OR($R1673="",$R1673=0),1,$R1673),2)*SIGN($U1673),ROUND($U1673*$V1673,2))))</f>
        <v>0</v>
      </c>
      <c r="X1673" s="24" t="str">
        <f aca="false">IF($N1673="","",IFERROR(INDEX(VAT_Codes!$H:$H,MATCH($N1673,VAT_Codes!$A:$A,0)),"")&amp;"")</f>
        <v/>
      </c>
      <c r="Y1673" s="24" t="str">
        <f aca="false">IF($A1673="","",(YEAR($A1673)-YEAR(Settings!$C$8))*12+MONTH($A1673)-MONTH(Settings!$C$8)+1)</f>
        <v/>
      </c>
      <c r="Z1673" s="24" t="str">
        <f aca="false">IF(AND($C1673="",$I1673="",$J1673=""),"",IF($N1673="","NO VAT CODE",IF($T1673="","UNKNOWN VAT CODE",IF($S1673="","MISSING FX RATE",IF(OR($A1673&lt;Settings!$C$8,$A1673&gt;Settings!$C$9),"OUTSIDE PERIOD",IF(AND(IFERROR(INDEX(VAT_Codes!$E:$E,MATCH($N1673,VAT_Codes!$A:$A,0)),"ANY")&lt;&gt;"ANY",$P1673=""),"MISSING COUNTERPARTY COUNTRY",IF(AND(IFERROR(INDEX(VAT_Codes!$E:$E,MATCH($N1673,VAT_Codes!$A:$A,0)),"ANY")&lt;&gt;"ANY",$P1673&lt;&gt;IFERROR(INDEX(VAT_Codes!$E:$E,MATCH($N1673,VAT_Codes!$A:$A,0)),"ANY")),"REGION MISMATCH","OK")))))))</f>
        <v/>
      </c>
    </row>
    <row r="1674" customFormat="false" ht="15" hidden="false" customHeight="false" outlineLevel="0" collapsed="false">
      <c r="M1674" s="24" t="str">
        <f aca="false">IF($C1674="","",IFERROR(INDEX(Account_Mapping!$C:$C,MATCH($C1674&amp;"",Account_Mapping!$A:$A,0))&amp;"",""))</f>
        <v/>
      </c>
      <c r="N1674" s="24" t="str">
        <f aca="false">IF($K1674&lt;&gt;"",$K1674,$M1674)</f>
        <v/>
      </c>
      <c r="O1674" s="24" t="str">
        <f aca="false">IF($F1674="","",IFERROR(INDEX(Counterparties!$C:$C,MATCH($F1674&amp;"",Counterparties!$A:$A,0))&amp;"",""))</f>
        <v/>
      </c>
      <c r="P1674" s="24" t="str">
        <f aca="false">IF($O1674="","",IF($O1674="CY","CY",IF(ISNUMBER(MATCH($O1674,Lists!$A:$A,0)),"EU","3RD")))</f>
        <v/>
      </c>
      <c r="Q1674" s="24" t="str">
        <f aca="false">IF($F1674="","N",IFERROR(IF(INDEX(Counterparties!$E:$E,MATCH($F1674&amp;"",Counterparties!$A:$A,0))="Y","Y","N"),"N"))</f>
        <v>N</v>
      </c>
      <c r="R1674" s="25" t="n">
        <f aca="false">IF(OR($H1674="",$H1674="EUR"),1,IFERROR(INDEX(FX_Rates!$D:$D,MATCH($H1674,FX_Rates!$A:$A,0)),""))</f>
        <v>1</v>
      </c>
      <c r="S1674" s="26" t="str">
        <f aca="false">IF(AND($I1674="",$J1674=""),"",IF($J1674&lt;&gt;"",$J1674,IF(OR($R1674="",$R1674=0),"",ROUND($I1674/$R1674,2))))</f>
        <v/>
      </c>
      <c r="T1674" s="24" t="str">
        <f aca="false">IF($N1674="","",IFERROR(INDEX(VAT_Codes!$C:$C,MATCH($N1674,VAT_Codes!$A:$A,0)),"")&amp;"")</f>
        <v/>
      </c>
      <c r="U1674" s="26" t="n">
        <f aca="false">IF(OR($S1674="",$T1674="",$T1674="None"),0,IF($T1674="Output",-$S1674,$S1674))</f>
        <v>0</v>
      </c>
      <c r="V1674" s="27" t="n">
        <f aca="false">IF($N1674="",0,IFERROR(INDEX(VAT_Codes!$D:$D,MATCH($N1674,VAT_Codes!$A:$A,0)),0))</f>
        <v>0</v>
      </c>
      <c r="W1674" s="26" t="n">
        <f aca="false">IF($U1674=0,0,IF(IFERROR(INDEX(VAT_Codes!$F:$F,MATCH($N1674,VAT_Codes!$A:$A,0)),"N")="Y",$U1674,IF($L1674&lt;&gt;"",ROUND(ABS($L1674)/IF(OR($R1674="",$R1674=0),1,$R1674),2)*SIGN($U1674),ROUND($U1674*$V1674,2))))</f>
        <v>0</v>
      </c>
      <c r="X1674" s="24" t="str">
        <f aca="false">IF($N1674="","",IFERROR(INDEX(VAT_Codes!$H:$H,MATCH($N1674,VAT_Codes!$A:$A,0)),"")&amp;"")</f>
        <v/>
      </c>
      <c r="Y1674" s="24" t="str">
        <f aca="false">IF($A1674="","",(YEAR($A1674)-YEAR(Settings!$C$8))*12+MONTH($A1674)-MONTH(Settings!$C$8)+1)</f>
        <v/>
      </c>
      <c r="Z1674" s="24" t="str">
        <f aca="false">IF(AND($C1674="",$I1674="",$J1674=""),"",IF($N1674="","NO VAT CODE",IF($T1674="","UNKNOWN VAT CODE",IF($S1674="","MISSING FX RATE",IF(OR($A1674&lt;Settings!$C$8,$A1674&gt;Settings!$C$9),"OUTSIDE PERIOD",IF(AND(IFERROR(INDEX(VAT_Codes!$E:$E,MATCH($N1674,VAT_Codes!$A:$A,0)),"ANY")&lt;&gt;"ANY",$P1674=""),"MISSING COUNTERPARTY COUNTRY",IF(AND(IFERROR(INDEX(VAT_Codes!$E:$E,MATCH($N1674,VAT_Codes!$A:$A,0)),"ANY")&lt;&gt;"ANY",$P1674&lt;&gt;IFERROR(INDEX(VAT_Codes!$E:$E,MATCH($N1674,VAT_Codes!$A:$A,0)),"ANY")),"REGION MISMATCH","OK")))))))</f>
        <v/>
      </c>
    </row>
    <row r="1675" customFormat="false" ht="15" hidden="false" customHeight="false" outlineLevel="0" collapsed="false">
      <c r="M1675" s="24" t="str">
        <f aca="false">IF($C1675="","",IFERROR(INDEX(Account_Mapping!$C:$C,MATCH($C1675&amp;"",Account_Mapping!$A:$A,0))&amp;"",""))</f>
        <v/>
      </c>
      <c r="N1675" s="24" t="str">
        <f aca="false">IF($K1675&lt;&gt;"",$K1675,$M1675)</f>
        <v/>
      </c>
      <c r="O1675" s="24" t="str">
        <f aca="false">IF($F1675="","",IFERROR(INDEX(Counterparties!$C:$C,MATCH($F1675&amp;"",Counterparties!$A:$A,0))&amp;"",""))</f>
        <v/>
      </c>
      <c r="P1675" s="24" t="str">
        <f aca="false">IF($O1675="","",IF($O1675="CY","CY",IF(ISNUMBER(MATCH($O1675,Lists!$A:$A,0)),"EU","3RD")))</f>
        <v/>
      </c>
      <c r="Q1675" s="24" t="str">
        <f aca="false">IF($F1675="","N",IFERROR(IF(INDEX(Counterparties!$E:$E,MATCH($F1675&amp;"",Counterparties!$A:$A,0))="Y","Y","N"),"N"))</f>
        <v>N</v>
      </c>
      <c r="R1675" s="25" t="n">
        <f aca="false">IF(OR($H1675="",$H1675="EUR"),1,IFERROR(INDEX(FX_Rates!$D:$D,MATCH($H1675,FX_Rates!$A:$A,0)),""))</f>
        <v>1</v>
      </c>
      <c r="S1675" s="26" t="str">
        <f aca="false">IF(AND($I1675="",$J1675=""),"",IF($J1675&lt;&gt;"",$J1675,IF(OR($R1675="",$R1675=0),"",ROUND($I1675/$R1675,2))))</f>
        <v/>
      </c>
      <c r="T1675" s="24" t="str">
        <f aca="false">IF($N1675="","",IFERROR(INDEX(VAT_Codes!$C:$C,MATCH($N1675,VAT_Codes!$A:$A,0)),"")&amp;"")</f>
        <v/>
      </c>
      <c r="U1675" s="26" t="n">
        <f aca="false">IF(OR($S1675="",$T1675="",$T1675="None"),0,IF($T1675="Output",-$S1675,$S1675))</f>
        <v>0</v>
      </c>
      <c r="V1675" s="27" t="n">
        <f aca="false">IF($N1675="",0,IFERROR(INDEX(VAT_Codes!$D:$D,MATCH($N1675,VAT_Codes!$A:$A,0)),0))</f>
        <v>0</v>
      </c>
      <c r="W1675" s="26" t="n">
        <f aca="false">IF($U1675=0,0,IF(IFERROR(INDEX(VAT_Codes!$F:$F,MATCH($N1675,VAT_Codes!$A:$A,0)),"N")="Y",$U1675,IF($L1675&lt;&gt;"",ROUND(ABS($L1675)/IF(OR($R1675="",$R1675=0),1,$R1675),2)*SIGN($U1675),ROUND($U1675*$V1675,2))))</f>
        <v>0</v>
      </c>
      <c r="X1675" s="24" t="str">
        <f aca="false">IF($N1675="","",IFERROR(INDEX(VAT_Codes!$H:$H,MATCH($N1675,VAT_Codes!$A:$A,0)),"")&amp;"")</f>
        <v/>
      </c>
      <c r="Y1675" s="24" t="str">
        <f aca="false">IF($A1675="","",(YEAR($A1675)-YEAR(Settings!$C$8))*12+MONTH($A1675)-MONTH(Settings!$C$8)+1)</f>
        <v/>
      </c>
      <c r="Z1675" s="24" t="str">
        <f aca="false">IF(AND($C1675="",$I1675="",$J1675=""),"",IF($N1675="","NO VAT CODE",IF($T1675="","UNKNOWN VAT CODE",IF($S1675="","MISSING FX RATE",IF(OR($A1675&lt;Settings!$C$8,$A1675&gt;Settings!$C$9),"OUTSIDE PERIOD",IF(AND(IFERROR(INDEX(VAT_Codes!$E:$E,MATCH($N1675,VAT_Codes!$A:$A,0)),"ANY")&lt;&gt;"ANY",$P1675=""),"MISSING COUNTERPARTY COUNTRY",IF(AND(IFERROR(INDEX(VAT_Codes!$E:$E,MATCH($N1675,VAT_Codes!$A:$A,0)),"ANY")&lt;&gt;"ANY",$P1675&lt;&gt;IFERROR(INDEX(VAT_Codes!$E:$E,MATCH($N1675,VAT_Codes!$A:$A,0)),"ANY")),"REGION MISMATCH","OK")))))))</f>
        <v/>
      </c>
    </row>
    <row r="1676" customFormat="false" ht="15" hidden="false" customHeight="false" outlineLevel="0" collapsed="false">
      <c r="M1676" s="24" t="str">
        <f aca="false">IF($C1676="","",IFERROR(INDEX(Account_Mapping!$C:$C,MATCH($C1676&amp;"",Account_Mapping!$A:$A,0))&amp;"",""))</f>
        <v/>
      </c>
      <c r="N1676" s="24" t="str">
        <f aca="false">IF($K1676&lt;&gt;"",$K1676,$M1676)</f>
        <v/>
      </c>
      <c r="O1676" s="24" t="str">
        <f aca="false">IF($F1676="","",IFERROR(INDEX(Counterparties!$C:$C,MATCH($F1676&amp;"",Counterparties!$A:$A,0))&amp;"",""))</f>
        <v/>
      </c>
      <c r="P1676" s="24" t="str">
        <f aca="false">IF($O1676="","",IF($O1676="CY","CY",IF(ISNUMBER(MATCH($O1676,Lists!$A:$A,0)),"EU","3RD")))</f>
        <v/>
      </c>
      <c r="Q1676" s="24" t="str">
        <f aca="false">IF($F1676="","N",IFERROR(IF(INDEX(Counterparties!$E:$E,MATCH($F1676&amp;"",Counterparties!$A:$A,0))="Y","Y","N"),"N"))</f>
        <v>N</v>
      </c>
      <c r="R1676" s="25" t="n">
        <f aca="false">IF(OR($H1676="",$H1676="EUR"),1,IFERROR(INDEX(FX_Rates!$D:$D,MATCH($H1676,FX_Rates!$A:$A,0)),""))</f>
        <v>1</v>
      </c>
      <c r="S1676" s="26" t="str">
        <f aca="false">IF(AND($I1676="",$J1676=""),"",IF($J1676&lt;&gt;"",$J1676,IF(OR($R1676="",$R1676=0),"",ROUND($I1676/$R1676,2))))</f>
        <v/>
      </c>
      <c r="T1676" s="24" t="str">
        <f aca="false">IF($N1676="","",IFERROR(INDEX(VAT_Codes!$C:$C,MATCH($N1676,VAT_Codes!$A:$A,0)),"")&amp;"")</f>
        <v/>
      </c>
      <c r="U1676" s="26" t="n">
        <f aca="false">IF(OR($S1676="",$T1676="",$T1676="None"),0,IF($T1676="Output",-$S1676,$S1676))</f>
        <v>0</v>
      </c>
      <c r="V1676" s="27" t="n">
        <f aca="false">IF($N1676="",0,IFERROR(INDEX(VAT_Codes!$D:$D,MATCH($N1676,VAT_Codes!$A:$A,0)),0))</f>
        <v>0</v>
      </c>
      <c r="W1676" s="26" t="n">
        <f aca="false">IF($U1676=0,0,IF(IFERROR(INDEX(VAT_Codes!$F:$F,MATCH($N1676,VAT_Codes!$A:$A,0)),"N")="Y",$U1676,IF($L1676&lt;&gt;"",ROUND(ABS($L1676)/IF(OR($R1676="",$R1676=0),1,$R1676),2)*SIGN($U1676),ROUND($U1676*$V1676,2))))</f>
        <v>0</v>
      </c>
      <c r="X1676" s="24" t="str">
        <f aca="false">IF($N1676="","",IFERROR(INDEX(VAT_Codes!$H:$H,MATCH($N1676,VAT_Codes!$A:$A,0)),"")&amp;"")</f>
        <v/>
      </c>
      <c r="Y1676" s="24" t="str">
        <f aca="false">IF($A1676="","",(YEAR($A1676)-YEAR(Settings!$C$8))*12+MONTH($A1676)-MONTH(Settings!$C$8)+1)</f>
        <v/>
      </c>
      <c r="Z1676" s="24" t="str">
        <f aca="false">IF(AND($C1676="",$I1676="",$J1676=""),"",IF($N1676="","NO VAT CODE",IF($T1676="","UNKNOWN VAT CODE",IF($S1676="","MISSING FX RATE",IF(OR($A1676&lt;Settings!$C$8,$A1676&gt;Settings!$C$9),"OUTSIDE PERIOD",IF(AND(IFERROR(INDEX(VAT_Codes!$E:$E,MATCH($N1676,VAT_Codes!$A:$A,0)),"ANY")&lt;&gt;"ANY",$P1676=""),"MISSING COUNTERPARTY COUNTRY",IF(AND(IFERROR(INDEX(VAT_Codes!$E:$E,MATCH($N1676,VAT_Codes!$A:$A,0)),"ANY")&lt;&gt;"ANY",$P1676&lt;&gt;IFERROR(INDEX(VAT_Codes!$E:$E,MATCH($N1676,VAT_Codes!$A:$A,0)),"ANY")),"REGION MISMATCH","OK")))))))</f>
        <v/>
      </c>
    </row>
    <row r="1677" customFormat="false" ht="15" hidden="false" customHeight="false" outlineLevel="0" collapsed="false">
      <c r="M1677" s="24" t="str">
        <f aca="false">IF($C1677="","",IFERROR(INDEX(Account_Mapping!$C:$C,MATCH($C1677&amp;"",Account_Mapping!$A:$A,0))&amp;"",""))</f>
        <v/>
      </c>
      <c r="N1677" s="24" t="str">
        <f aca="false">IF($K1677&lt;&gt;"",$K1677,$M1677)</f>
        <v/>
      </c>
      <c r="O1677" s="24" t="str">
        <f aca="false">IF($F1677="","",IFERROR(INDEX(Counterparties!$C:$C,MATCH($F1677&amp;"",Counterparties!$A:$A,0))&amp;"",""))</f>
        <v/>
      </c>
      <c r="P1677" s="24" t="str">
        <f aca="false">IF($O1677="","",IF($O1677="CY","CY",IF(ISNUMBER(MATCH($O1677,Lists!$A:$A,0)),"EU","3RD")))</f>
        <v/>
      </c>
      <c r="Q1677" s="24" t="str">
        <f aca="false">IF($F1677="","N",IFERROR(IF(INDEX(Counterparties!$E:$E,MATCH($F1677&amp;"",Counterparties!$A:$A,0))="Y","Y","N"),"N"))</f>
        <v>N</v>
      </c>
      <c r="R1677" s="25" t="n">
        <f aca="false">IF(OR($H1677="",$H1677="EUR"),1,IFERROR(INDEX(FX_Rates!$D:$D,MATCH($H1677,FX_Rates!$A:$A,0)),""))</f>
        <v>1</v>
      </c>
      <c r="S1677" s="26" t="str">
        <f aca="false">IF(AND($I1677="",$J1677=""),"",IF($J1677&lt;&gt;"",$J1677,IF(OR($R1677="",$R1677=0),"",ROUND($I1677/$R1677,2))))</f>
        <v/>
      </c>
      <c r="T1677" s="24" t="str">
        <f aca="false">IF($N1677="","",IFERROR(INDEX(VAT_Codes!$C:$C,MATCH($N1677,VAT_Codes!$A:$A,0)),"")&amp;"")</f>
        <v/>
      </c>
      <c r="U1677" s="26" t="n">
        <f aca="false">IF(OR($S1677="",$T1677="",$T1677="None"),0,IF($T1677="Output",-$S1677,$S1677))</f>
        <v>0</v>
      </c>
      <c r="V1677" s="27" t="n">
        <f aca="false">IF($N1677="",0,IFERROR(INDEX(VAT_Codes!$D:$D,MATCH($N1677,VAT_Codes!$A:$A,0)),0))</f>
        <v>0</v>
      </c>
      <c r="W1677" s="26" t="n">
        <f aca="false">IF($U1677=0,0,IF(IFERROR(INDEX(VAT_Codes!$F:$F,MATCH($N1677,VAT_Codes!$A:$A,0)),"N")="Y",$U1677,IF($L1677&lt;&gt;"",ROUND(ABS($L1677)/IF(OR($R1677="",$R1677=0),1,$R1677),2)*SIGN($U1677),ROUND($U1677*$V1677,2))))</f>
        <v>0</v>
      </c>
      <c r="X1677" s="24" t="str">
        <f aca="false">IF($N1677="","",IFERROR(INDEX(VAT_Codes!$H:$H,MATCH($N1677,VAT_Codes!$A:$A,0)),"")&amp;"")</f>
        <v/>
      </c>
      <c r="Y1677" s="24" t="str">
        <f aca="false">IF($A1677="","",(YEAR($A1677)-YEAR(Settings!$C$8))*12+MONTH($A1677)-MONTH(Settings!$C$8)+1)</f>
        <v/>
      </c>
      <c r="Z1677" s="24" t="str">
        <f aca="false">IF(AND($C1677="",$I1677="",$J1677=""),"",IF($N1677="","NO VAT CODE",IF($T1677="","UNKNOWN VAT CODE",IF($S1677="","MISSING FX RATE",IF(OR($A1677&lt;Settings!$C$8,$A1677&gt;Settings!$C$9),"OUTSIDE PERIOD",IF(AND(IFERROR(INDEX(VAT_Codes!$E:$E,MATCH($N1677,VAT_Codes!$A:$A,0)),"ANY")&lt;&gt;"ANY",$P1677=""),"MISSING COUNTERPARTY COUNTRY",IF(AND(IFERROR(INDEX(VAT_Codes!$E:$E,MATCH($N1677,VAT_Codes!$A:$A,0)),"ANY")&lt;&gt;"ANY",$P1677&lt;&gt;IFERROR(INDEX(VAT_Codes!$E:$E,MATCH($N1677,VAT_Codes!$A:$A,0)),"ANY")),"REGION MISMATCH","OK")))))))</f>
        <v/>
      </c>
    </row>
    <row r="1678" customFormat="false" ht="15" hidden="false" customHeight="false" outlineLevel="0" collapsed="false">
      <c r="M1678" s="24" t="str">
        <f aca="false">IF($C1678="","",IFERROR(INDEX(Account_Mapping!$C:$C,MATCH($C1678&amp;"",Account_Mapping!$A:$A,0))&amp;"",""))</f>
        <v/>
      </c>
      <c r="N1678" s="24" t="str">
        <f aca="false">IF($K1678&lt;&gt;"",$K1678,$M1678)</f>
        <v/>
      </c>
      <c r="O1678" s="24" t="str">
        <f aca="false">IF($F1678="","",IFERROR(INDEX(Counterparties!$C:$C,MATCH($F1678&amp;"",Counterparties!$A:$A,0))&amp;"",""))</f>
        <v/>
      </c>
      <c r="P1678" s="24" t="str">
        <f aca="false">IF($O1678="","",IF($O1678="CY","CY",IF(ISNUMBER(MATCH($O1678,Lists!$A:$A,0)),"EU","3RD")))</f>
        <v/>
      </c>
      <c r="Q1678" s="24" t="str">
        <f aca="false">IF($F1678="","N",IFERROR(IF(INDEX(Counterparties!$E:$E,MATCH($F1678&amp;"",Counterparties!$A:$A,0))="Y","Y","N"),"N"))</f>
        <v>N</v>
      </c>
      <c r="R1678" s="25" t="n">
        <f aca="false">IF(OR($H1678="",$H1678="EUR"),1,IFERROR(INDEX(FX_Rates!$D:$D,MATCH($H1678,FX_Rates!$A:$A,0)),""))</f>
        <v>1</v>
      </c>
      <c r="S1678" s="26" t="str">
        <f aca="false">IF(AND($I1678="",$J1678=""),"",IF($J1678&lt;&gt;"",$J1678,IF(OR($R1678="",$R1678=0),"",ROUND($I1678/$R1678,2))))</f>
        <v/>
      </c>
      <c r="T1678" s="24" t="str">
        <f aca="false">IF($N1678="","",IFERROR(INDEX(VAT_Codes!$C:$C,MATCH($N1678,VAT_Codes!$A:$A,0)),"")&amp;"")</f>
        <v/>
      </c>
      <c r="U1678" s="26" t="n">
        <f aca="false">IF(OR($S1678="",$T1678="",$T1678="None"),0,IF($T1678="Output",-$S1678,$S1678))</f>
        <v>0</v>
      </c>
      <c r="V1678" s="27" t="n">
        <f aca="false">IF($N1678="",0,IFERROR(INDEX(VAT_Codes!$D:$D,MATCH($N1678,VAT_Codes!$A:$A,0)),0))</f>
        <v>0</v>
      </c>
      <c r="W1678" s="26" t="n">
        <f aca="false">IF($U1678=0,0,IF(IFERROR(INDEX(VAT_Codes!$F:$F,MATCH($N1678,VAT_Codes!$A:$A,0)),"N")="Y",$U1678,IF($L1678&lt;&gt;"",ROUND(ABS($L1678)/IF(OR($R1678="",$R1678=0),1,$R1678),2)*SIGN($U1678),ROUND($U1678*$V1678,2))))</f>
        <v>0</v>
      </c>
      <c r="X1678" s="24" t="str">
        <f aca="false">IF($N1678="","",IFERROR(INDEX(VAT_Codes!$H:$H,MATCH($N1678,VAT_Codes!$A:$A,0)),"")&amp;"")</f>
        <v/>
      </c>
      <c r="Y1678" s="24" t="str">
        <f aca="false">IF($A1678="","",(YEAR($A1678)-YEAR(Settings!$C$8))*12+MONTH($A1678)-MONTH(Settings!$C$8)+1)</f>
        <v/>
      </c>
      <c r="Z1678" s="24" t="str">
        <f aca="false">IF(AND($C1678="",$I1678="",$J1678=""),"",IF($N1678="","NO VAT CODE",IF($T1678="","UNKNOWN VAT CODE",IF($S1678="","MISSING FX RATE",IF(OR($A1678&lt;Settings!$C$8,$A1678&gt;Settings!$C$9),"OUTSIDE PERIOD",IF(AND(IFERROR(INDEX(VAT_Codes!$E:$E,MATCH($N1678,VAT_Codes!$A:$A,0)),"ANY")&lt;&gt;"ANY",$P1678=""),"MISSING COUNTERPARTY COUNTRY",IF(AND(IFERROR(INDEX(VAT_Codes!$E:$E,MATCH($N1678,VAT_Codes!$A:$A,0)),"ANY")&lt;&gt;"ANY",$P1678&lt;&gt;IFERROR(INDEX(VAT_Codes!$E:$E,MATCH($N1678,VAT_Codes!$A:$A,0)),"ANY")),"REGION MISMATCH","OK")))))))</f>
        <v/>
      </c>
    </row>
    <row r="1679" customFormat="false" ht="15" hidden="false" customHeight="false" outlineLevel="0" collapsed="false">
      <c r="M1679" s="24" t="str">
        <f aca="false">IF($C1679="","",IFERROR(INDEX(Account_Mapping!$C:$C,MATCH($C1679&amp;"",Account_Mapping!$A:$A,0))&amp;"",""))</f>
        <v/>
      </c>
      <c r="N1679" s="24" t="str">
        <f aca="false">IF($K1679&lt;&gt;"",$K1679,$M1679)</f>
        <v/>
      </c>
      <c r="O1679" s="24" t="str">
        <f aca="false">IF($F1679="","",IFERROR(INDEX(Counterparties!$C:$C,MATCH($F1679&amp;"",Counterparties!$A:$A,0))&amp;"",""))</f>
        <v/>
      </c>
      <c r="P1679" s="24" t="str">
        <f aca="false">IF($O1679="","",IF($O1679="CY","CY",IF(ISNUMBER(MATCH($O1679,Lists!$A:$A,0)),"EU","3RD")))</f>
        <v/>
      </c>
      <c r="Q1679" s="24" t="str">
        <f aca="false">IF($F1679="","N",IFERROR(IF(INDEX(Counterparties!$E:$E,MATCH($F1679&amp;"",Counterparties!$A:$A,0))="Y","Y","N"),"N"))</f>
        <v>N</v>
      </c>
      <c r="R1679" s="25" t="n">
        <f aca="false">IF(OR($H1679="",$H1679="EUR"),1,IFERROR(INDEX(FX_Rates!$D:$D,MATCH($H1679,FX_Rates!$A:$A,0)),""))</f>
        <v>1</v>
      </c>
      <c r="S1679" s="26" t="str">
        <f aca="false">IF(AND($I1679="",$J1679=""),"",IF($J1679&lt;&gt;"",$J1679,IF(OR($R1679="",$R1679=0),"",ROUND($I1679/$R1679,2))))</f>
        <v/>
      </c>
      <c r="T1679" s="24" t="str">
        <f aca="false">IF($N1679="","",IFERROR(INDEX(VAT_Codes!$C:$C,MATCH($N1679,VAT_Codes!$A:$A,0)),"")&amp;"")</f>
        <v/>
      </c>
      <c r="U1679" s="26" t="n">
        <f aca="false">IF(OR($S1679="",$T1679="",$T1679="None"),0,IF($T1679="Output",-$S1679,$S1679))</f>
        <v>0</v>
      </c>
      <c r="V1679" s="27" t="n">
        <f aca="false">IF($N1679="",0,IFERROR(INDEX(VAT_Codes!$D:$D,MATCH($N1679,VAT_Codes!$A:$A,0)),0))</f>
        <v>0</v>
      </c>
      <c r="W1679" s="26" t="n">
        <f aca="false">IF($U1679=0,0,IF(IFERROR(INDEX(VAT_Codes!$F:$F,MATCH($N1679,VAT_Codes!$A:$A,0)),"N")="Y",$U1679,IF($L1679&lt;&gt;"",ROUND(ABS($L1679)/IF(OR($R1679="",$R1679=0),1,$R1679),2)*SIGN($U1679),ROUND($U1679*$V1679,2))))</f>
        <v>0</v>
      </c>
      <c r="X1679" s="24" t="str">
        <f aca="false">IF($N1679="","",IFERROR(INDEX(VAT_Codes!$H:$H,MATCH($N1679,VAT_Codes!$A:$A,0)),"")&amp;"")</f>
        <v/>
      </c>
      <c r="Y1679" s="24" t="str">
        <f aca="false">IF($A1679="","",(YEAR($A1679)-YEAR(Settings!$C$8))*12+MONTH($A1679)-MONTH(Settings!$C$8)+1)</f>
        <v/>
      </c>
      <c r="Z1679" s="24" t="str">
        <f aca="false">IF(AND($C1679="",$I1679="",$J1679=""),"",IF($N1679="","NO VAT CODE",IF($T1679="","UNKNOWN VAT CODE",IF($S1679="","MISSING FX RATE",IF(OR($A1679&lt;Settings!$C$8,$A1679&gt;Settings!$C$9),"OUTSIDE PERIOD",IF(AND(IFERROR(INDEX(VAT_Codes!$E:$E,MATCH($N1679,VAT_Codes!$A:$A,0)),"ANY")&lt;&gt;"ANY",$P1679=""),"MISSING COUNTERPARTY COUNTRY",IF(AND(IFERROR(INDEX(VAT_Codes!$E:$E,MATCH($N1679,VAT_Codes!$A:$A,0)),"ANY")&lt;&gt;"ANY",$P1679&lt;&gt;IFERROR(INDEX(VAT_Codes!$E:$E,MATCH($N1679,VAT_Codes!$A:$A,0)),"ANY")),"REGION MISMATCH","OK")))))))</f>
        <v/>
      </c>
    </row>
    <row r="1680" customFormat="false" ht="15" hidden="false" customHeight="false" outlineLevel="0" collapsed="false">
      <c r="M1680" s="24" t="str">
        <f aca="false">IF($C1680="","",IFERROR(INDEX(Account_Mapping!$C:$C,MATCH($C1680&amp;"",Account_Mapping!$A:$A,0))&amp;"",""))</f>
        <v/>
      </c>
      <c r="N1680" s="24" t="str">
        <f aca="false">IF($K1680&lt;&gt;"",$K1680,$M1680)</f>
        <v/>
      </c>
      <c r="O1680" s="24" t="str">
        <f aca="false">IF($F1680="","",IFERROR(INDEX(Counterparties!$C:$C,MATCH($F1680&amp;"",Counterparties!$A:$A,0))&amp;"",""))</f>
        <v/>
      </c>
      <c r="P1680" s="24" t="str">
        <f aca="false">IF($O1680="","",IF($O1680="CY","CY",IF(ISNUMBER(MATCH($O1680,Lists!$A:$A,0)),"EU","3RD")))</f>
        <v/>
      </c>
      <c r="Q1680" s="24" t="str">
        <f aca="false">IF($F1680="","N",IFERROR(IF(INDEX(Counterparties!$E:$E,MATCH($F1680&amp;"",Counterparties!$A:$A,0))="Y","Y","N"),"N"))</f>
        <v>N</v>
      </c>
      <c r="R1680" s="25" t="n">
        <f aca="false">IF(OR($H1680="",$H1680="EUR"),1,IFERROR(INDEX(FX_Rates!$D:$D,MATCH($H1680,FX_Rates!$A:$A,0)),""))</f>
        <v>1</v>
      </c>
      <c r="S1680" s="26" t="str">
        <f aca="false">IF(AND($I1680="",$J1680=""),"",IF($J1680&lt;&gt;"",$J1680,IF(OR($R1680="",$R1680=0),"",ROUND($I1680/$R1680,2))))</f>
        <v/>
      </c>
      <c r="T1680" s="24" t="str">
        <f aca="false">IF($N1680="","",IFERROR(INDEX(VAT_Codes!$C:$C,MATCH($N1680,VAT_Codes!$A:$A,0)),"")&amp;"")</f>
        <v/>
      </c>
      <c r="U1680" s="26" t="n">
        <f aca="false">IF(OR($S1680="",$T1680="",$T1680="None"),0,IF($T1680="Output",-$S1680,$S1680))</f>
        <v>0</v>
      </c>
      <c r="V1680" s="27" t="n">
        <f aca="false">IF($N1680="",0,IFERROR(INDEX(VAT_Codes!$D:$D,MATCH($N1680,VAT_Codes!$A:$A,0)),0))</f>
        <v>0</v>
      </c>
      <c r="W1680" s="26" t="n">
        <f aca="false">IF($U1680=0,0,IF(IFERROR(INDEX(VAT_Codes!$F:$F,MATCH($N1680,VAT_Codes!$A:$A,0)),"N")="Y",$U1680,IF($L1680&lt;&gt;"",ROUND(ABS($L1680)/IF(OR($R1680="",$R1680=0),1,$R1680),2)*SIGN($U1680),ROUND($U1680*$V1680,2))))</f>
        <v>0</v>
      </c>
      <c r="X1680" s="24" t="str">
        <f aca="false">IF($N1680="","",IFERROR(INDEX(VAT_Codes!$H:$H,MATCH($N1680,VAT_Codes!$A:$A,0)),"")&amp;"")</f>
        <v/>
      </c>
      <c r="Y1680" s="24" t="str">
        <f aca="false">IF($A1680="","",(YEAR($A1680)-YEAR(Settings!$C$8))*12+MONTH($A1680)-MONTH(Settings!$C$8)+1)</f>
        <v/>
      </c>
      <c r="Z1680" s="24" t="str">
        <f aca="false">IF(AND($C1680="",$I1680="",$J1680=""),"",IF($N1680="","NO VAT CODE",IF($T1680="","UNKNOWN VAT CODE",IF($S1680="","MISSING FX RATE",IF(OR($A1680&lt;Settings!$C$8,$A1680&gt;Settings!$C$9),"OUTSIDE PERIOD",IF(AND(IFERROR(INDEX(VAT_Codes!$E:$E,MATCH($N1680,VAT_Codes!$A:$A,0)),"ANY")&lt;&gt;"ANY",$P1680=""),"MISSING COUNTERPARTY COUNTRY",IF(AND(IFERROR(INDEX(VAT_Codes!$E:$E,MATCH($N1680,VAT_Codes!$A:$A,0)),"ANY")&lt;&gt;"ANY",$P1680&lt;&gt;IFERROR(INDEX(VAT_Codes!$E:$E,MATCH($N1680,VAT_Codes!$A:$A,0)),"ANY")),"REGION MISMATCH","OK")))))))</f>
        <v/>
      </c>
    </row>
    <row r="1681" customFormat="false" ht="15" hidden="false" customHeight="false" outlineLevel="0" collapsed="false">
      <c r="M1681" s="24" t="str">
        <f aca="false">IF($C1681="","",IFERROR(INDEX(Account_Mapping!$C:$C,MATCH($C1681&amp;"",Account_Mapping!$A:$A,0))&amp;"",""))</f>
        <v/>
      </c>
      <c r="N1681" s="24" t="str">
        <f aca="false">IF($K1681&lt;&gt;"",$K1681,$M1681)</f>
        <v/>
      </c>
      <c r="O1681" s="24" t="str">
        <f aca="false">IF($F1681="","",IFERROR(INDEX(Counterparties!$C:$C,MATCH($F1681&amp;"",Counterparties!$A:$A,0))&amp;"",""))</f>
        <v/>
      </c>
      <c r="P1681" s="24" t="str">
        <f aca="false">IF($O1681="","",IF($O1681="CY","CY",IF(ISNUMBER(MATCH($O1681,Lists!$A:$A,0)),"EU","3RD")))</f>
        <v/>
      </c>
      <c r="Q1681" s="24" t="str">
        <f aca="false">IF($F1681="","N",IFERROR(IF(INDEX(Counterparties!$E:$E,MATCH($F1681&amp;"",Counterparties!$A:$A,0))="Y","Y","N"),"N"))</f>
        <v>N</v>
      </c>
      <c r="R1681" s="25" t="n">
        <f aca="false">IF(OR($H1681="",$H1681="EUR"),1,IFERROR(INDEX(FX_Rates!$D:$D,MATCH($H1681,FX_Rates!$A:$A,0)),""))</f>
        <v>1</v>
      </c>
      <c r="S1681" s="26" t="str">
        <f aca="false">IF(AND($I1681="",$J1681=""),"",IF($J1681&lt;&gt;"",$J1681,IF(OR($R1681="",$R1681=0),"",ROUND($I1681/$R1681,2))))</f>
        <v/>
      </c>
      <c r="T1681" s="24" t="str">
        <f aca="false">IF($N1681="","",IFERROR(INDEX(VAT_Codes!$C:$C,MATCH($N1681,VAT_Codes!$A:$A,0)),"")&amp;"")</f>
        <v/>
      </c>
      <c r="U1681" s="26" t="n">
        <f aca="false">IF(OR($S1681="",$T1681="",$T1681="None"),0,IF($T1681="Output",-$S1681,$S1681))</f>
        <v>0</v>
      </c>
      <c r="V1681" s="27" t="n">
        <f aca="false">IF($N1681="",0,IFERROR(INDEX(VAT_Codes!$D:$D,MATCH($N1681,VAT_Codes!$A:$A,0)),0))</f>
        <v>0</v>
      </c>
      <c r="W1681" s="26" t="n">
        <f aca="false">IF($U1681=0,0,IF(IFERROR(INDEX(VAT_Codes!$F:$F,MATCH($N1681,VAT_Codes!$A:$A,0)),"N")="Y",$U1681,IF($L1681&lt;&gt;"",ROUND(ABS($L1681)/IF(OR($R1681="",$R1681=0),1,$R1681),2)*SIGN($U1681),ROUND($U1681*$V1681,2))))</f>
        <v>0</v>
      </c>
      <c r="X1681" s="24" t="str">
        <f aca="false">IF($N1681="","",IFERROR(INDEX(VAT_Codes!$H:$H,MATCH($N1681,VAT_Codes!$A:$A,0)),"")&amp;"")</f>
        <v/>
      </c>
      <c r="Y1681" s="24" t="str">
        <f aca="false">IF($A1681="","",(YEAR($A1681)-YEAR(Settings!$C$8))*12+MONTH($A1681)-MONTH(Settings!$C$8)+1)</f>
        <v/>
      </c>
      <c r="Z1681" s="24" t="str">
        <f aca="false">IF(AND($C1681="",$I1681="",$J1681=""),"",IF($N1681="","NO VAT CODE",IF($T1681="","UNKNOWN VAT CODE",IF($S1681="","MISSING FX RATE",IF(OR($A1681&lt;Settings!$C$8,$A1681&gt;Settings!$C$9),"OUTSIDE PERIOD",IF(AND(IFERROR(INDEX(VAT_Codes!$E:$E,MATCH($N1681,VAT_Codes!$A:$A,0)),"ANY")&lt;&gt;"ANY",$P1681=""),"MISSING COUNTERPARTY COUNTRY",IF(AND(IFERROR(INDEX(VAT_Codes!$E:$E,MATCH($N1681,VAT_Codes!$A:$A,0)),"ANY")&lt;&gt;"ANY",$P1681&lt;&gt;IFERROR(INDEX(VAT_Codes!$E:$E,MATCH($N1681,VAT_Codes!$A:$A,0)),"ANY")),"REGION MISMATCH","OK")))))))</f>
        <v/>
      </c>
    </row>
    <row r="1682" customFormat="false" ht="15" hidden="false" customHeight="false" outlineLevel="0" collapsed="false">
      <c r="M1682" s="24" t="str">
        <f aca="false">IF($C1682="","",IFERROR(INDEX(Account_Mapping!$C:$C,MATCH($C1682&amp;"",Account_Mapping!$A:$A,0))&amp;"",""))</f>
        <v/>
      </c>
      <c r="N1682" s="24" t="str">
        <f aca="false">IF($K1682&lt;&gt;"",$K1682,$M1682)</f>
        <v/>
      </c>
      <c r="O1682" s="24" t="str">
        <f aca="false">IF($F1682="","",IFERROR(INDEX(Counterparties!$C:$C,MATCH($F1682&amp;"",Counterparties!$A:$A,0))&amp;"",""))</f>
        <v/>
      </c>
      <c r="P1682" s="24" t="str">
        <f aca="false">IF($O1682="","",IF($O1682="CY","CY",IF(ISNUMBER(MATCH($O1682,Lists!$A:$A,0)),"EU","3RD")))</f>
        <v/>
      </c>
      <c r="Q1682" s="24" t="str">
        <f aca="false">IF($F1682="","N",IFERROR(IF(INDEX(Counterparties!$E:$E,MATCH($F1682&amp;"",Counterparties!$A:$A,0))="Y","Y","N"),"N"))</f>
        <v>N</v>
      </c>
      <c r="R1682" s="25" t="n">
        <f aca="false">IF(OR($H1682="",$H1682="EUR"),1,IFERROR(INDEX(FX_Rates!$D:$D,MATCH($H1682,FX_Rates!$A:$A,0)),""))</f>
        <v>1</v>
      </c>
      <c r="S1682" s="26" t="str">
        <f aca="false">IF(AND($I1682="",$J1682=""),"",IF($J1682&lt;&gt;"",$J1682,IF(OR($R1682="",$R1682=0),"",ROUND($I1682/$R1682,2))))</f>
        <v/>
      </c>
      <c r="T1682" s="24" t="str">
        <f aca="false">IF($N1682="","",IFERROR(INDEX(VAT_Codes!$C:$C,MATCH($N1682,VAT_Codes!$A:$A,0)),"")&amp;"")</f>
        <v/>
      </c>
      <c r="U1682" s="26" t="n">
        <f aca="false">IF(OR($S1682="",$T1682="",$T1682="None"),0,IF($T1682="Output",-$S1682,$S1682))</f>
        <v>0</v>
      </c>
      <c r="V1682" s="27" t="n">
        <f aca="false">IF($N1682="",0,IFERROR(INDEX(VAT_Codes!$D:$D,MATCH($N1682,VAT_Codes!$A:$A,0)),0))</f>
        <v>0</v>
      </c>
      <c r="W1682" s="26" t="n">
        <f aca="false">IF($U1682=0,0,IF(IFERROR(INDEX(VAT_Codes!$F:$F,MATCH($N1682,VAT_Codes!$A:$A,0)),"N")="Y",$U1682,IF($L1682&lt;&gt;"",ROUND(ABS($L1682)/IF(OR($R1682="",$R1682=0),1,$R1682),2)*SIGN($U1682),ROUND($U1682*$V1682,2))))</f>
        <v>0</v>
      </c>
      <c r="X1682" s="24" t="str">
        <f aca="false">IF($N1682="","",IFERROR(INDEX(VAT_Codes!$H:$H,MATCH($N1682,VAT_Codes!$A:$A,0)),"")&amp;"")</f>
        <v/>
      </c>
      <c r="Y1682" s="24" t="str">
        <f aca="false">IF($A1682="","",(YEAR($A1682)-YEAR(Settings!$C$8))*12+MONTH($A1682)-MONTH(Settings!$C$8)+1)</f>
        <v/>
      </c>
      <c r="Z1682" s="24" t="str">
        <f aca="false">IF(AND($C1682="",$I1682="",$J1682=""),"",IF($N1682="","NO VAT CODE",IF($T1682="","UNKNOWN VAT CODE",IF($S1682="","MISSING FX RATE",IF(OR($A1682&lt;Settings!$C$8,$A1682&gt;Settings!$C$9),"OUTSIDE PERIOD",IF(AND(IFERROR(INDEX(VAT_Codes!$E:$E,MATCH($N1682,VAT_Codes!$A:$A,0)),"ANY")&lt;&gt;"ANY",$P1682=""),"MISSING COUNTERPARTY COUNTRY",IF(AND(IFERROR(INDEX(VAT_Codes!$E:$E,MATCH($N1682,VAT_Codes!$A:$A,0)),"ANY")&lt;&gt;"ANY",$P1682&lt;&gt;IFERROR(INDEX(VAT_Codes!$E:$E,MATCH($N1682,VAT_Codes!$A:$A,0)),"ANY")),"REGION MISMATCH","OK")))))))</f>
        <v/>
      </c>
    </row>
    <row r="1683" customFormat="false" ht="15" hidden="false" customHeight="false" outlineLevel="0" collapsed="false">
      <c r="M1683" s="24" t="str">
        <f aca="false">IF($C1683="","",IFERROR(INDEX(Account_Mapping!$C:$C,MATCH($C1683&amp;"",Account_Mapping!$A:$A,0))&amp;"",""))</f>
        <v/>
      </c>
      <c r="N1683" s="24" t="str">
        <f aca="false">IF($K1683&lt;&gt;"",$K1683,$M1683)</f>
        <v/>
      </c>
      <c r="O1683" s="24" t="str">
        <f aca="false">IF($F1683="","",IFERROR(INDEX(Counterparties!$C:$C,MATCH($F1683&amp;"",Counterparties!$A:$A,0))&amp;"",""))</f>
        <v/>
      </c>
      <c r="P1683" s="24" t="str">
        <f aca="false">IF($O1683="","",IF($O1683="CY","CY",IF(ISNUMBER(MATCH($O1683,Lists!$A:$A,0)),"EU","3RD")))</f>
        <v/>
      </c>
      <c r="Q1683" s="24" t="str">
        <f aca="false">IF($F1683="","N",IFERROR(IF(INDEX(Counterparties!$E:$E,MATCH($F1683&amp;"",Counterparties!$A:$A,0))="Y","Y","N"),"N"))</f>
        <v>N</v>
      </c>
      <c r="R1683" s="25" t="n">
        <f aca="false">IF(OR($H1683="",$H1683="EUR"),1,IFERROR(INDEX(FX_Rates!$D:$D,MATCH($H1683,FX_Rates!$A:$A,0)),""))</f>
        <v>1</v>
      </c>
      <c r="S1683" s="26" t="str">
        <f aca="false">IF(AND($I1683="",$J1683=""),"",IF($J1683&lt;&gt;"",$J1683,IF(OR($R1683="",$R1683=0),"",ROUND($I1683/$R1683,2))))</f>
        <v/>
      </c>
      <c r="T1683" s="24" t="str">
        <f aca="false">IF($N1683="","",IFERROR(INDEX(VAT_Codes!$C:$C,MATCH($N1683,VAT_Codes!$A:$A,0)),"")&amp;"")</f>
        <v/>
      </c>
      <c r="U1683" s="26" t="n">
        <f aca="false">IF(OR($S1683="",$T1683="",$T1683="None"),0,IF($T1683="Output",-$S1683,$S1683))</f>
        <v>0</v>
      </c>
      <c r="V1683" s="27" t="n">
        <f aca="false">IF($N1683="",0,IFERROR(INDEX(VAT_Codes!$D:$D,MATCH($N1683,VAT_Codes!$A:$A,0)),0))</f>
        <v>0</v>
      </c>
      <c r="W1683" s="26" t="n">
        <f aca="false">IF($U1683=0,0,IF(IFERROR(INDEX(VAT_Codes!$F:$F,MATCH($N1683,VAT_Codes!$A:$A,0)),"N")="Y",$U1683,IF($L1683&lt;&gt;"",ROUND(ABS($L1683)/IF(OR($R1683="",$R1683=0),1,$R1683),2)*SIGN($U1683),ROUND($U1683*$V1683,2))))</f>
        <v>0</v>
      </c>
      <c r="X1683" s="24" t="str">
        <f aca="false">IF($N1683="","",IFERROR(INDEX(VAT_Codes!$H:$H,MATCH($N1683,VAT_Codes!$A:$A,0)),"")&amp;"")</f>
        <v/>
      </c>
      <c r="Y1683" s="24" t="str">
        <f aca="false">IF($A1683="","",(YEAR($A1683)-YEAR(Settings!$C$8))*12+MONTH($A1683)-MONTH(Settings!$C$8)+1)</f>
        <v/>
      </c>
      <c r="Z1683" s="24" t="str">
        <f aca="false">IF(AND($C1683="",$I1683="",$J1683=""),"",IF($N1683="","NO VAT CODE",IF($T1683="","UNKNOWN VAT CODE",IF($S1683="","MISSING FX RATE",IF(OR($A1683&lt;Settings!$C$8,$A1683&gt;Settings!$C$9),"OUTSIDE PERIOD",IF(AND(IFERROR(INDEX(VAT_Codes!$E:$E,MATCH($N1683,VAT_Codes!$A:$A,0)),"ANY")&lt;&gt;"ANY",$P1683=""),"MISSING COUNTERPARTY COUNTRY",IF(AND(IFERROR(INDEX(VAT_Codes!$E:$E,MATCH($N1683,VAT_Codes!$A:$A,0)),"ANY")&lt;&gt;"ANY",$P1683&lt;&gt;IFERROR(INDEX(VAT_Codes!$E:$E,MATCH($N1683,VAT_Codes!$A:$A,0)),"ANY")),"REGION MISMATCH","OK")))))))</f>
        <v/>
      </c>
    </row>
    <row r="1684" customFormat="false" ht="15" hidden="false" customHeight="false" outlineLevel="0" collapsed="false">
      <c r="M1684" s="24" t="str">
        <f aca="false">IF($C1684="","",IFERROR(INDEX(Account_Mapping!$C:$C,MATCH($C1684&amp;"",Account_Mapping!$A:$A,0))&amp;"",""))</f>
        <v/>
      </c>
      <c r="N1684" s="24" t="str">
        <f aca="false">IF($K1684&lt;&gt;"",$K1684,$M1684)</f>
        <v/>
      </c>
      <c r="O1684" s="24" t="str">
        <f aca="false">IF($F1684="","",IFERROR(INDEX(Counterparties!$C:$C,MATCH($F1684&amp;"",Counterparties!$A:$A,0))&amp;"",""))</f>
        <v/>
      </c>
      <c r="P1684" s="24" t="str">
        <f aca="false">IF($O1684="","",IF($O1684="CY","CY",IF(ISNUMBER(MATCH($O1684,Lists!$A:$A,0)),"EU","3RD")))</f>
        <v/>
      </c>
      <c r="Q1684" s="24" t="str">
        <f aca="false">IF($F1684="","N",IFERROR(IF(INDEX(Counterparties!$E:$E,MATCH($F1684&amp;"",Counterparties!$A:$A,0))="Y","Y","N"),"N"))</f>
        <v>N</v>
      </c>
      <c r="R1684" s="25" t="n">
        <f aca="false">IF(OR($H1684="",$H1684="EUR"),1,IFERROR(INDEX(FX_Rates!$D:$D,MATCH($H1684,FX_Rates!$A:$A,0)),""))</f>
        <v>1</v>
      </c>
      <c r="S1684" s="26" t="str">
        <f aca="false">IF(AND($I1684="",$J1684=""),"",IF($J1684&lt;&gt;"",$J1684,IF(OR($R1684="",$R1684=0),"",ROUND($I1684/$R1684,2))))</f>
        <v/>
      </c>
      <c r="T1684" s="24" t="str">
        <f aca="false">IF($N1684="","",IFERROR(INDEX(VAT_Codes!$C:$C,MATCH($N1684,VAT_Codes!$A:$A,0)),"")&amp;"")</f>
        <v/>
      </c>
      <c r="U1684" s="26" t="n">
        <f aca="false">IF(OR($S1684="",$T1684="",$T1684="None"),0,IF($T1684="Output",-$S1684,$S1684))</f>
        <v>0</v>
      </c>
      <c r="V1684" s="27" t="n">
        <f aca="false">IF($N1684="",0,IFERROR(INDEX(VAT_Codes!$D:$D,MATCH($N1684,VAT_Codes!$A:$A,0)),0))</f>
        <v>0</v>
      </c>
      <c r="W1684" s="26" t="n">
        <f aca="false">IF($U1684=0,0,IF(IFERROR(INDEX(VAT_Codes!$F:$F,MATCH($N1684,VAT_Codes!$A:$A,0)),"N")="Y",$U1684,IF($L1684&lt;&gt;"",ROUND(ABS($L1684)/IF(OR($R1684="",$R1684=0),1,$R1684),2)*SIGN($U1684),ROUND($U1684*$V1684,2))))</f>
        <v>0</v>
      </c>
      <c r="X1684" s="24" t="str">
        <f aca="false">IF($N1684="","",IFERROR(INDEX(VAT_Codes!$H:$H,MATCH($N1684,VAT_Codes!$A:$A,0)),"")&amp;"")</f>
        <v/>
      </c>
      <c r="Y1684" s="24" t="str">
        <f aca="false">IF($A1684="","",(YEAR($A1684)-YEAR(Settings!$C$8))*12+MONTH($A1684)-MONTH(Settings!$C$8)+1)</f>
        <v/>
      </c>
      <c r="Z1684" s="24" t="str">
        <f aca="false">IF(AND($C1684="",$I1684="",$J1684=""),"",IF($N1684="","NO VAT CODE",IF($T1684="","UNKNOWN VAT CODE",IF($S1684="","MISSING FX RATE",IF(OR($A1684&lt;Settings!$C$8,$A1684&gt;Settings!$C$9),"OUTSIDE PERIOD",IF(AND(IFERROR(INDEX(VAT_Codes!$E:$E,MATCH($N1684,VAT_Codes!$A:$A,0)),"ANY")&lt;&gt;"ANY",$P1684=""),"MISSING COUNTERPARTY COUNTRY",IF(AND(IFERROR(INDEX(VAT_Codes!$E:$E,MATCH($N1684,VAT_Codes!$A:$A,0)),"ANY")&lt;&gt;"ANY",$P1684&lt;&gt;IFERROR(INDEX(VAT_Codes!$E:$E,MATCH($N1684,VAT_Codes!$A:$A,0)),"ANY")),"REGION MISMATCH","OK")))))))</f>
        <v/>
      </c>
    </row>
    <row r="1685" customFormat="false" ht="15" hidden="false" customHeight="false" outlineLevel="0" collapsed="false">
      <c r="M1685" s="24" t="str">
        <f aca="false">IF($C1685="","",IFERROR(INDEX(Account_Mapping!$C:$C,MATCH($C1685&amp;"",Account_Mapping!$A:$A,0))&amp;"",""))</f>
        <v/>
      </c>
      <c r="N1685" s="24" t="str">
        <f aca="false">IF($K1685&lt;&gt;"",$K1685,$M1685)</f>
        <v/>
      </c>
      <c r="O1685" s="24" t="str">
        <f aca="false">IF($F1685="","",IFERROR(INDEX(Counterparties!$C:$C,MATCH($F1685&amp;"",Counterparties!$A:$A,0))&amp;"",""))</f>
        <v/>
      </c>
      <c r="P1685" s="24" t="str">
        <f aca="false">IF($O1685="","",IF($O1685="CY","CY",IF(ISNUMBER(MATCH($O1685,Lists!$A:$A,0)),"EU","3RD")))</f>
        <v/>
      </c>
      <c r="Q1685" s="24" t="str">
        <f aca="false">IF($F1685="","N",IFERROR(IF(INDEX(Counterparties!$E:$E,MATCH($F1685&amp;"",Counterparties!$A:$A,0))="Y","Y","N"),"N"))</f>
        <v>N</v>
      </c>
      <c r="R1685" s="25" t="n">
        <f aca="false">IF(OR($H1685="",$H1685="EUR"),1,IFERROR(INDEX(FX_Rates!$D:$D,MATCH($H1685,FX_Rates!$A:$A,0)),""))</f>
        <v>1</v>
      </c>
      <c r="S1685" s="26" t="str">
        <f aca="false">IF(AND($I1685="",$J1685=""),"",IF($J1685&lt;&gt;"",$J1685,IF(OR($R1685="",$R1685=0),"",ROUND($I1685/$R1685,2))))</f>
        <v/>
      </c>
      <c r="T1685" s="24" t="str">
        <f aca="false">IF($N1685="","",IFERROR(INDEX(VAT_Codes!$C:$C,MATCH($N1685,VAT_Codes!$A:$A,0)),"")&amp;"")</f>
        <v/>
      </c>
      <c r="U1685" s="26" t="n">
        <f aca="false">IF(OR($S1685="",$T1685="",$T1685="None"),0,IF($T1685="Output",-$S1685,$S1685))</f>
        <v>0</v>
      </c>
      <c r="V1685" s="27" t="n">
        <f aca="false">IF($N1685="",0,IFERROR(INDEX(VAT_Codes!$D:$D,MATCH($N1685,VAT_Codes!$A:$A,0)),0))</f>
        <v>0</v>
      </c>
      <c r="W1685" s="26" t="n">
        <f aca="false">IF($U1685=0,0,IF(IFERROR(INDEX(VAT_Codes!$F:$F,MATCH($N1685,VAT_Codes!$A:$A,0)),"N")="Y",$U1685,IF($L1685&lt;&gt;"",ROUND(ABS($L1685)/IF(OR($R1685="",$R1685=0),1,$R1685),2)*SIGN($U1685),ROUND($U1685*$V1685,2))))</f>
        <v>0</v>
      </c>
      <c r="X1685" s="24" t="str">
        <f aca="false">IF($N1685="","",IFERROR(INDEX(VAT_Codes!$H:$H,MATCH($N1685,VAT_Codes!$A:$A,0)),"")&amp;"")</f>
        <v/>
      </c>
      <c r="Y1685" s="24" t="str">
        <f aca="false">IF($A1685="","",(YEAR($A1685)-YEAR(Settings!$C$8))*12+MONTH($A1685)-MONTH(Settings!$C$8)+1)</f>
        <v/>
      </c>
      <c r="Z1685" s="24" t="str">
        <f aca="false">IF(AND($C1685="",$I1685="",$J1685=""),"",IF($N1685="","NO VAT CODE",IF($T1685="","UNKNOWN VAT CODE",IF($S1685="","MISSING FX RATE",IF(OR($A1685&lt;Settings!$C$8,$A1685&gt;Settings!$C$9),"OUTSIDE PERIOD",IF(AND(IFERROR(INDEX(VAT_Codes!$E:$E,MATCH($N1685,VAT_Codes!$A:$A,0)),"ANY")&lt;&gt;"ANY",$P1685=""),"MISSING COUNTERPARTY COUNTRY",IF(AND(IFERROR(INDEX(VAT_Codes!$E:$E,MATCH($N1685,VAT_Codes!$A:$A,0)),"ANY")&lt;&gt;"ANY",$P1685&lt;&gt;IFERROR(INDEX(VAT_Codes!$E:$E,MATCH($N1685,VAT_Codes!$A:$A,0)),"ANY")),"REGION MISMATCH","OK")))))))</f>
        <v/>
      </c>
    </row>
    <row r="1686" customFormat="false" ht="15" hidden="false" customHeight="false" outlineLevel="0" collapsed="false">
      <c r="M1686" s="24" t="str">
        <f aca="false">IF($C1686="","",IFERROR(INDEX(Account_Mapping!$C:$C,MATCH($C1686&amp;"",Account_Mapping!$A:$A,0))&amp;"",""))</f>
        <v/>
      </c>
      <c r="N1686" s="24" t="str">
        <f aca="false">IF($K1686&lt;&gt;"",$K1686,$M1686)</f>
        <v/>
      </c>
      <c r="O1686" s="24" t="str">
        <f aca="false">IF($F1686="","",IFERROR(INDEX(Counterparties!$C:$C,MATCH($F1686&amp;"",Counterparties!$A:$A,0))&amp;"",""))</f>
        <v/>
      </c>
      <c r="P1686" s="24" t="str">
        <f aca="false">IF($O1686="","",IF($O1686="CY","CY",IF(ISNUMBER(MATCH($O1686,Lists!$A:$A,0)),"EU","3RD")))</f>
        <v/>
      </c>
      <c r="Q1686" s="24" t="str">
        <f aca="false">IF($F1686="","N",IFERROR(IF(INDEX(Counterparties!$E:$E,MATCH($F1686&amp;"",Counterparties!$A:$A,0))="Y","Y","N"),"N"))</f>
        <v>N</v>
      </c>
      <c r="R1686" s="25" t="n">
        <f aca="false">IF(OR($H1686="",$H1686="EUR"),1,IFERROR(INDEX(FX_Rates!$D:$D,MATCH($H1686,FX_Rates!$A:$A,0)),""))</f>
        <v>1</v>
      </c>
      <c r="S1686" s="26" t="str">
        <f aca="false">IF(AND($I1686="",$J1686=""),"",IF($J1686&lt;&gt;"",$J1686,IF(OR($R1686="",$R1686=0),"",ROUND($I1686/$R1686,2))))</f>
        <v/>
      </c>
      <c r="T1686" s="24" t="str">
        <f aca="false">IF($N1686="","",IFERROR(INDEX(VAT_Codes!$C:$C,MATCH($N1686,VAT_Codes!$A:$A,0)),"")&amp;"")</f>
        <v/>
      </c>
      <c r="U1686" s="26" t="n">
        <f aca="false">IF(OR($S1686="",$T1686="",$T1686="None"),0,IF($T1686="Output",-$S1686,$S1686))</f>
        <v>0</v>
      </c>
      <c r="V1686" s="27" t="n">
        <f aca="false">IF($N1686="",0,IFERROR(INDEX(VAT_Codes!$D:$D,MATCH($N1686,VAT_Codes!$A:$A,0)),0))</f>
        <v>0</v>
      </c>
      <c r="W1686" s="26" t="n">
        <f aca="false">IF($U1686=0,0,IF(IFERROR(INDEX(VAT_Codes!$F:$F,MATCH($N1686,VAT_Codes!$A:$A,0)),"N")="Y",$U1686,IF($L1686&lt;&gt;"",ROUND(ABS($L1686)/IF(OR($R1686="",$R1686=0),1,$R1686),2)*SIGN($U1686),ROUND($U1686*$V1686,2))))</f>
        <v>0</v>
      </c>
      <c r="X1686" s="24" t="str">
        <f aca="false">IF($N1686="","",IFERROR(INDEX(VAT_Codes!$H:$H,MATCH($N1686,VAT_Codes!$A:$A,0)),"")&amp;"")</f>
        <v/>
      </c>
      <c r="Y1686" s="24" t="str">
        <f aca="false">IF($A1686="","",(YEAR($A1686)-YEAR(Settings!$C$8))*12+MONTH($A1686)-MONTH(Settings!$C$8)+1)</f>
        <v/>
      </c>
      <c r="Z1686" s="24" t="str">
        <f aca="false">IF(AND($C1686="",$I1686="",$J1686=""),"",IF($N1686="","NO VAT CODE",IF($T1686="","UNKNOWN VAT CODE",IF($S1686="","MISSING FX RATE",IF(OR($A1686&lt;Settings!$C$8,$A1686&gt;Settings!$C$9),"OUTSIDE PERIOD",IF(AND(IFERROR(INDEX(VAT_Codes!$E:$E,MATCH($N1686,VAT_Codes!$A:$A,0)),"ANY")&lt;&gt;"ANY",$P1686=""),"MISSING COUNTERPARTY COUNTRY",IF(AND(IFERROR(INDEX(VAT_Codes!$E:$E,MATCH($N1686,VAT_Codes!$A:$A,0)),"ANY")&lt;&gt;"ANY",$P1686&lt;&gt;IFERROR(INDEX(VAT_Codes!$E:$E,MATCH($N1686,VAT_Codes!$A:$A,0)),"ANY")),"REGION MISMATCH","OK")))))))</f>
        <v/>
      </c>
    </row>
    <row r="1687" customFormat="false" ht="15" hidden="false" customHeight="false" outlineLevel="0" collapsed="false">
      <c r="M1687" s="24" t="str">
        <f aca="false">IF($C1687="","",IFERROR(INDEX(Account_Mapping!$C:$C,MATCH($C1687&amp;"",Account_Mapping!$A:$A,0))&amp;"",""))</f>
        <v/>
      </c>
      <c r="N1687" s="24" t="str">
        <f aca="false">IF($K1687&lt;&gt;"",$K1687,$M1687)</f>
        <v/>
      </c>
      <c r="O1687" s="24" t="str">
        <f aca="false">IF($F1687="","",IFERROR(INDEX(Counterparties!$C:$C,MATCH($F1687&amp;"",Counterparties!$A:$A,0))&amp;"",""))</f>
        <v/>
      </c>
      <c r="P1687" s="24" t="str">
        <f aca="false">IF($O1687="","",IF($O1687="CY","CY",IF(ISNUMBER(MATCH($O1687,Lists!$A:$A,0)),"EU","3RD")))</f>
        <v/>
      </c>
      <c r="Q1687" s="24" t="str">
        <f aca="false">IF($F1687="","N",IFERROR(IF(INDEX(Counterparties!$E:$E,MATCH($F1687&amp;"",Counterparties!$A:$A,0))="Y","Y","N"),"N"))</f>
        <v>N</v>
      </c>
      <c r="R1687" s="25" t="n">
        <f aca="false">IF(OR($H1687="",$H1687="EUR"),1,IFERROR(INDEX(FX_Rates!$D:$D,MATCH($H1687,FX_Rates!$A:$A,0)),""))</f>
        <v>1</v>
      </c>
      <c r="S1687" s="26" t="str">
        <f aca="false">IF(AND($I1687="",$J1687=""),"",IF($J1687&lt;&gt;"",$J1687,IF(OR($R1687="",$R1687=0),"",ROUND($I1687/$R1687,2))))</f>
        <v/>
      </c>
      <c r="T1687" s="24" t="str">
        <f aca="false">IF($N1687="","",IFERROR(INDEX(VAT_Codes!$C:$C,MATCH($N1687,VAT_Codes!$A:$A,0)),"")&amp;"")</f>
        <v/>
      </c>
      <c r="U1687" s="26" t="n">
        <f aca="false">IF(OR($S1687="",$T1687="",$T1687="None"),0,IF($T1687="Output",-$S1687,$S1687))</f>
        <v>0</v>
      </c>
      <c r="V1687" s="27" t="n">
        <f aca="false">IF($N1687="",0,IFERROR(INDEX(VAT_Codes!$D:$D,MATCH($N1687,VAT_Codes!$A:$A,0)),0))</f>
        <v>0</v>
      </c>
      <c r="W1687" s="26" t="n">
        <f aca="false">IF($U1687=0,0,IF(IFERROR(INDEX(VAT_Codes!$F:$F,MATCH($N1687,VAT_Codes!$A:$A,0)),"N")="Y",$U1687,IF($L1687&lt;&gt;"",ROUND(ABS($L1687)/IF(OR($R1687="",$R1687=0),1,$R1687),2)*SIGN($U1687),ROUND($U1687*$V1687,2))))</f>
        <v>0</v>
      </c>
      <c r="X1687" s="24" t="str">
        <f aca="false">IF($N1687="","",IFERROR(INDEX(VAT_Codes!$H:$H,MATCH($N1687,VAT_Codes!$A:$A,0)),"")&amp;"")</f>
        <v/>
      </c>
      <c r="Y1687" s="24" t="str">
        <f aca="false">IF($A1687="","",(YEAR($A1687)-YEAR(Settings!$C$8))*12+MONTH($A1687)-MONTH(Settings!$C$8)+1)</f>
        <v/>
      </c>
      <c r="Z1687" s="24" t="str">
        <f aca="false">IF(AND($C1687="",$I1687="",$J1687=""),"",IF($N1687="","NO VAT CODE",IF($T1687="","UNKNOWN VAT CODE",IF($S1687="","MISSING FX RATE",IF(OR($A1687&lt;Settings!$C$8,$A1687&gt;Settings!$C$9),"OUTSIDE PERIOD",IF(AND(IFERROR(INDEX(VAT_Codes!$E:$E,MATCH($N1687,VAT_Codes!$A:$A,0)),"ANY")&lt;&gt;"ANY",$P1687=""),"MISSING COUNTERPARTY COUNTRY",IF(AND(IFERROR(INDEX(VAT_Codes!$E:$E,MATCH($N1687,VAT_Codes!$A:$A,0)),"ANY")&lt;&gt;"ANY",$P1687&lt;&gt;IFERROR(INDEX(VAT_Codes!$E:$E,MATCH($N1687,VAT_Codes!$A:$A,0)),"ANY")),"REGION MISMATCH","OK")))))))</f>
        <v/>
      </c>
    </row>
    <row r="1688" customFormat="false" ht="15" hidden="false" customHeight="false" outlineLevel="0" collapsed="false">
      <c r="M1688" s="24" t="str">
        <f aca="false">IF($C1688="","",IFERROR(INDEX(Account_Mapping!$C:$C,MATCH($C1688&amp;"",Account_Mapping!$A:$A,0))&amp;"",""))</f>
        <v/>
      </c>
      <c r="N1688" s="24" t="str">
        <f aca="false">IF($K1688&lt;&gt;"",$K1688,$M1688)</f>
        <v/>
      </c>
      <c r="O1688" s="24" t="str">
        <f aca="false">IF($F1688="","",IFERROR(INDEX(Counterparties!$C:$C,MATCH($F1688&amp;"",Counterparties!$A:$A,0))&amp;"",""))</f>
        <v/>
      </c>
      <c r="P1688" s="24" t="str">
        <f aca="false">IF($O1688="","",IF($O1688="CY","CY",IF(ISNUMBER(MATCH($O1688,Lists!$A:$A,0)),"EU","3RD")))</f>
        <v/>
      </c>
      <c r="Q1688" s="24" t="str">
        <f aca="false">IF($F1688="","N",IFERROR(IF(INDEX(Counterparties!$E:$E,MATCH($F1688&amp;"",Counterparties!$A:$A,0))="Y","Y","N"),"N"))</f>
        <v>N</v>
      </c>
      <c r="R1688" s="25" t="n">
        <f aca="false">IF(OR($H1688="",$H1688="EUR"),1,IFERROR(INDEX(FX_Rates!$D:$D,MATCH($H1688,FX_Rates!$A:$A,0)),""))</f>
        <v>1</v>
      </c>
      <c r="S1688" s="26" t="str">
        <f aca="false">IF(AND($I1688="",$J1688=""),"",IF($J1688&lt;&gt;"",$J1688,IF(OR($R1688="",$R1688=0),"",ROUND($I1688/$R1688,2))))</f>
        <v/>
      </c>
      <c r="T1688" s="24" t="str">
        <f aca="false">IF($N1688="","",IFERROR(INDEX(VAT_Codes!$C:$C,MATCH($N1688,VAT_Codes!$A:$A,0)),"")&amp;"")</f>
        <v/>
      </c>
      <c r="U1688" s="26" t="n">
        <f aca="false">IF(OR($S1688="",$T1688="",$T1688="None"),0,IF($T1688="Output",-$S1688,$S1688))</f>
        <v>0</v>
      </c>
      <c r="V1688" s="27" t="n">
        <f aca="false">IF($N1688="",0,IFERROR(INDEX(VAT_Codes!$D:$D,MATCH($N1688,VAT_Codes!$A:$A,0)),0))</f>
        <v>0</v>
      </c>
      <c r="W1688" s="26" t="n">
        <f aca="false">IF($U1688=0,0,IF(IFERROR(INDEX(VAT_Codes!$F:$F,MATCH($N1688,VAT_Codes!$A:$A,0)),"N")="Y",$U1688,IF($L1688&lt;&gt;"",ROUND(ABS($L1688)/IF(OR($R1688="",$R1688=0),1,$R1688),2)*SIGN($U1688),ROUND($U1688*$V1688,2))))</f>
        <v>0</v>
      </c>
      <c r="X1688" s="24" t="str">
        <f aca="false">IF($N1688="","",IFERROR(INDEX(VAT_Codes!$H:$H,MATCH($N1688,VAT_Codes!$A:$A,0)),"")&amp;"")</f>
        <v/>
      </c>
      <c r="Y1688" s="24" t="str">
        <f aca="false">IF($A1688="","",(YEAR($A1688)-YEAR(Settings!$C$8))*12+MONTH($A1688)-MONTH(Settings!$C$8)+1)</f>
        <v/>
      </c>
      <c r="Z1688" s="24" t="str">
        <f aca="false">IF(AND($C1688="",$I1688="",$J1688=""),"",IF($N1688="","NO VAT CODE",IF($T1688="","UNKNOWN VAT CODE",IF($S1688="","MISSING FX RATE",IF(OR($A1688&lt;Settings!$C$8,$A1688&gt;Settings!$C$9),"OUTSIDE PERIOD",IF(AND(IFERROR(INDEX(VAT_Codes!$E:$E,MATCH($N1688,VAT_Codes!$A:$A,0)),"ANY")&lt;&gt;"ANY",$P1688=""),"MISSING COUNTERPARTY COUNTRY",IF(AND(IFERROR(INDEX(VAT_Codes!$E:$E,MATCH($N1688,VAT_Codes!$A:$A,0)),"ANY")&lt;&gt;"ANY",$P1688&lt;&gt;IFERROR(INDEX(VAT_Codes!$E:$E,MATCH($N1688,VAT_Codes!$A:$A,0)),"ANY")),"REGION MISMATCH","OK")))))))</f>
        <v/>
      </c>
    </row>
    <row r="1689" customFormat="false" ht="15" hidden="false" customHeight="false" outlineLevel="0" collapsed="false">
      <c r="M1689" s="24" t="str">
        <f aca="false">IF($C1689="","",IFERROR(INDEX(Account_Mapping!$C:$C,MATCH($C1689&amp;"",Account_Mapping!$A:$A,0))&amp;"",""))</f>
        <v/>
      </c>
      <c r="N1689" s="24" t="str">
        <f aca="false">IF($K1689&lt;&gt;"",$K1689,$M1689)</f>
        <v/>
      </c>
      <c r="O1689" s="24" t="str">
        <f aca="false">IF($F1689="","",IFERROR(INDEX(Counterparties!$C:$C,MATCH($F1689&amp;"",Counterparties!$A:$A,0))&amp;"",""))</f>
        <v/>
      </c>
      <c r="P1689" s="24" t="str">
        <f aca="false">IF($O1689="","",IF($O1689="CY","CY",IF(ISNUMBER(MATCH($O1689,Lists!$A:$A,0)),"EU","3RD")))</f>
        <v/>
      </c>
      <c r="Q1689" s="24" t="str">
        <f aca="false">IF($F1689="","N",IFERROR(IF(INDEX(Counterparties!$E:$E,MATCH($F1689&amp;"",Counterparties!$A:$A,0))="Y","Y","N"),"N"))</f>
        <v>N</v>
      </c>
      <c r="R1689" s="25" t="n">
        <f aca="false">IF(OR($H1689="",$H1689="EUR"),1,IFERROR(INDEX(FX_Rates!$D:$D,MATCH($H1689,FX_Rates!$A:$A,0)),""))</f>
        <v>1</v>
      </c>
      <c r="S1689" s="26" t="str">
        <f aca="false">IF(AND($I1689="",$J1689=""),"",IF($J1689&lt;&gt;"",$J1689,IF(OR($R1689="",$R1689=0),"",ROUND($I1689/$R1689,2))))</f>
        <v/>
      </c>
      <c r="T1689" s="24" t="str">
        <f aca="false">IF($N1689="","",IFERROR(INDEX(VAT_Codes!$C:$C,MATCH($N1689,VAT_Codes!$A:$A,0)),"")&amp;"")</f>
        <v/>
      </c>
      <c r="U1689" s="26" t="n">
        <f aca="false">IF(OR($S1689="",$T1689="",$T1689="None"),0,IF($T1689="Output",-$S1689,$S1689))</f>
        <v>0</v>
      </c>
      <c r="V1689" s="27" t="n">
        <f aca="false">IF($N1689="",0,IFERROR(INDEX(VAT_Codes!$D:$D,MATCH($N1689,VAT_Codes!$A:$A,0)),0))</f>
        <v>0</v>
      </c>
      <c r="W1689" s="26" t="n">
        <f aca="false">IF($U1689=0,0,IF(IFERROR(INDEX(VAT_Codes!$F:$F,MATCH($N1689,VAT_Codes!$A:$A,0)),"N")="Y",$U1689,IF($L1689&lt;&gt;"",ROUND(ABS($L1689)/IF(OR($R1689="",$R1689=0),1,$R1689),2)*SIGN($U1689),ROUND($U1689*$V1689,2))))</f>
        <v>0</v>
      </c>
      <c r="X1689" s="24" t="str">
        <f aca="false">IF($N1689="","",IFERROR(INDEX(VAT_Codes!$H:$H,MATCH($N1689,VAT_Codes!$A:$A,0)),"")&amp;"")</f>
        <v/>
      </c>
      <c r="Y1689" s="24" t="str">
        <f aca="false">IF($A1689="","",(YEAR($A1689)-YEAR(Settings!$C$8))*12+MONTH($A1689)-MONTH(Settings!$C$8)+1)</f>
        <v/>
      </c>
      <c r="Z1689" s="24" t="str">
        <f aca="false">IF(AND($C1689="",$I1689="",$J1689=""),"",IF($N1689="","NO VAT CODE",IF($T1689="","UNKNOWN VAT CODE",IF($S1689="","MISSING FX RATE",IF(OR($A1689&lt;Settings!$C$8,$A1689&gt;Settings!$C$9),"OUTSIDE PERIOD",IF(AND(IFERROR(INDEX(VAT_Codes!$E:$E,MATCH($N1689,VAT_Codes!$A:$A,0)),"ANY")&lt;&gt;"ANY",$P1689=""),"MISSING COUNTERPARTY COUNTRY",IF(AND(IFERROR(INDEX(VAT_Codes!$E:$E,MATCH($N1689,VAT_Codes!$A:$A,0)),"ANY")&lt;&gt;"ANY",$P1689&lt;&gt;IFERROR(INDEX(VAT_Codes!$E:$E,MATCH($N1689,VAT_Codes!$A:$A,0)),"ANY")),"REGION MISMATCH","OK")))))))</f>
        <v/>
      </c>
    </row>
    <row r="1690" customFormat="false" ht="15" hidden="false" customHeight="false" outlineLevel="0" collapsed="false">
      <c r="M1690" s="24" t="str">
        <f aca="false">IF($C1690="","",IFERROR(INDEX(Account_Mapping!$C:$C,MATCH($C1690&amp;"",Account_Mapping!$A:$A,0))&amp;"",""))</f>
        <v/>
      </c>
      <c r="N1690" s="24" t="str">
        <f aca="false">IF($K1690&lt;&gt;"",$K1690,$M1690)</f>
        <v/>
      </c>
      <c r="O1690" s="24" t="str">
        <f aca="false">IF($F1690="","",IFERROR(INDEX(Counterparties!$C:$C,MATCH($F1690&amp;"",Counterparties!$A:$A,0))&amp;"",""))</f>
        <v/>
      </c>
      <c r="P1690" s="24" t="str">
        <f aca="false">IF($O1690="","",IF($O1690="CY","CY",IF(ISNUMBER(MATCH($O1690,Lists!$A:$A,0)),"EU","3RD")))</f>
        <v/>
      </c>
      <c r="Q1690" s="24" t="str">
        <f aca="false">IF($F1690="","N",IFERROR(IF(INDEX(Counterparties!$E:$E,MATCH($F1690&amp;"",Counterparties!$A:$A,0))="Y","Y","N"),"N"))</f>
        <v>N</v>
      </c>
      <c r="R1690" s="25" t="n">
        <f aca="false">IF(OR($H1690="",$H1690="EUR"),1,IFERROR(INDEX(FX_Rates!$D:$D,MATCH($H1690,FX_Rates!$A:$A,0)),""))</f>
        <v>1</v>
      </c>
      <c r="S1690" s="26" t="str">
        <f aca="false">IF(AND($I1690="",$J1690=""),"",IF($J1690&lt;&gt;"",$J1690,IF(OR($R1690="",$R1690=0),"",ROUND($I1690/$R1690,2))))</f>
        <v/>
      </c>
      <c r="T1690" s="24" t="str">
        <f aca="false">IF($N1690="","",IFERROR(INDEX(VAT_Codes!$C:$C,MATCH($N1690,VAT_Codes!$A:$A,0)),"")&amp;"")</f>
        <v/>
      </c>
      <c r="U1690" s="26" t="n">
        <f aca="false">IF(OR($S1690="",$T1690="",$T1690="None"),0,IF($T1690="Output",-$S1690,$S1690))</f>
        <v>0</v>
      </c>
      <c r="V1690" s="27" t="n">
        <f aca="false">IF($N1690="",0,IFERROR(INDEX(VAT_Codes!$D:$D,MATCH($N1690,VAT_Codes!$A:$A,0)),0))</f>
        <v>0</v>
      </c>
      <c r="W1690" s="26" t="n">
        <f aca="false">IF($U1690=0,0,IF(IFERROR(INDEX(VAT_Codes!$F:$F,MATCH($N1690,VAT_Codes!$A:$A,0)),"N")="Y",$U1690,IF($L1690&lt;&gt;"",ROUND(ABS($L1690)/IF(OR($R1690="",$R1690=0),1,$R1690),2)*SIGN($U1690),ROUND($U1690*$V1690,2))))</f>
        <v>0</v>
      </c>
      <c r="X1690" s="24" t="str">
        <f aca="false">IF($N1690="","",IFERROR(INDEX(VAT_Codes!$H:$H,MATCH($N1690,VAT_Codes!$A:$A,0)),"")&amp;"")</f>
        <v/>
      </c>
      <c r="Y1690" s="24" t="str">
        <f aca="false">IF($A1690="","",(YEAR($A1690)-YEAR(Settings!$C$8))*12+MONTH($A1690)-MONTH(Settings!$C$8)+1)</f>
        <v/>
      </c>
      <c r="Z1690" s="24" t="str">
        <f aca="false">IF(AND($C1690="",$I1690="",$J1690=""),"",IF($N1690="","NO VAT CODE",IF($T1690="","UNKNOWN VAT CODE",IF($S1690="","MISSING FX RATE",IF(OR($A1690&lt;Settings!$C$8,$A1690&gt;Settings!$C$9),"OUTSIDE PERIOD",IF(AND(IFERROR(INDEX(VAT_Codes!$E:$E,MATCH($N1690,VAT_Codes!$A:$A,0)),"ANY")&lt;&gt;"ANY",$P1690=""),"MISSING COUNTERPARTY COUNTRY",IF(AND(IFERROR(INDEX(VAT_Codes!$E:$E,MATCH($N1690,VAT_Codes!$A:$A,0)),"ANY")&lt;&gt;"ANY",$P1690&lt;&gt;IFERROR(INDEX(VAT_Codes!$E:$E,MATCH($N1690,VAT_Codes!$A:$A,0)),"ANY")),"REGION MISMATCH","OK")))))))</f>
        <v/>
      </c>
    </row>
    <row r="1691" customFormat="false" ht="15" hidden="false" customHeight="false" outlineLevel="0" collapsed="false">
      <c r="M1691" s="24" t="str">
        <f aca="false">IF($C1691="","",IFERROR(INDEX(Account_Mapping!$C:$C,MATCH($C1691&amp;"",Account_Mapping!$A:$A,0))&amp;"",""))</f>
        <v/>
      </c>
      <c r="N1691" s="24" t="str">
        <f aca="false">IF($K1691&lt;&gt;"",$K1691,$M1691)</f>
        <v/>
      </c>
      <c r="O1691" s="24" t="str">
        <f aca="false">IF($F1691="","",IFERROR(INDEX(Counterparties!$C:$C,MATCH($F1691&amp;"",Counterparties!$A:$A,0))&amp;"",""))</f>
        <v/>
      </c>
      <c r="P1691" s="24" t="str">
        <f aca="false">IF($O1691="","",IF($O1691="CY","CY",IF(ISNUMBER(MATCH($O1691,Lists!$A:$A,0)),"EU","3RD")))</f>
        <v/>
      </c>
      <c r="Q1691" s="24" t="str">
        <f aca="false">IF($F1691="","N",IFERROR(IF(INDEX(Counterparties!$E:$E,MATCH($F1691&amp;"",Counterparties!$A:$A,0))="Y","Y","N"),"N"))</f>
        <v>N</v>
      </c>
      <c r="R1691" s="25" t="n">
        <f aca="false">IF(OR($H1691="",$H1691="EUR"),1,IFERROR(INDEX(FX_Rates!$D:$D,MATCH($H1691,FX_Rates!$A:$A,0)),""))</f>
        <v>1</v>
      </c>
      <c r="S1691" s="26" t="str">
        <f aca="false">IF(AND($I1691="",$J1691=""),"",IF($J1691&lt;&gt;"",$J1691,IF(OR($R1691="",$R1691=0),"",ROUND($I1691/$R1691,2))))</f>
        <v/>
      </c>
      <c r="T1691" s="24" t="str">
        <f aca="false">IF($N1691="","",IFERROR(INDEX(VAT_Codes!$C:$C,MATCH($N1691,VAT_Codes!$A:$A,0)),"")&amp;"")</f>
        <v/>
      </c>
      <c r="U1691" s="26" t="n">
        <f aca="false">IF(OR($S1691="",$T1691="",$T1691="None"),0,IF($T1691="Output",-$S1691,$S1691))</f>
        <v>0</v>
      </c>
      <c r="V1691" s="27" t="n">
        <f aca="false">IF($N1691="",0,IFERROR(INDEX(VAT_Codes!$D:$D,MATCH($N1691,VAT_Codes!$A:$A,0)),0))</f>
        <v>0</v>
      </c>
      <c r="W1691" s="26" t="n">
        <f aca="false">IF($U1691=0,0,IF(IFERROR(INDEX(VAT_Codes!$F:$F,MATCH($N1691,VAT_Codes!$A:$A,0)),"N")="Y",$U1691,IF($L1691&lt;&gt;"",ROUND(ABS($L1691)/IF(OR($R1691="",$R1691=0),1,$R1691),2)*SIGN($U1691),ROUND($U1691*$V1691,2))))</f>
        <v>0</v>
      </c>
      <c r="X1691" s="24" t="str">
        <f aca="false">IF($N1691="","",IFERROR(INDEX(VAT_Codes!$H:$H,MATCH($N1691,VAT_Codes!$A:$A,0)),"")&amp;"")</f>
        <v/>
      </c>
      <c r="Y1691" s="24" t="str">
        <f aca="false">IF($A1691="","",(YEAR($A1691)-YEAR(Settings!$C$8))*12+MONTH($A1691)-MONTH(Settings!$C$8)+1)</f>
        <v/>
      </c>
      <c r="Z1691" s="24" t="str">
        <f aca="false">IF(AND($C1691="",$I1691="",$J1691=""),"",IF($N1691="","NO VAT CODE",IF($T1691="","UNKNOWN VAT CODE",IF($S1691="","MISSING FX RATE",IF(OR($A1691&lt;Settings!$C$8,$A1691&gt;Settings!$C$9),"OUTSIDE PERIOD",IF(AND(IFERROR(INDEX(VAT_Codes!$E:$E,MATCH($N1691,VAT_Codes!$A:$A,0)),"ANY")&lt;&gt;"ANY",$P1691=""),"MISSING COUNTERPARTY COUNTRY",IF(AND(IFERROR(INDEX(VAT_Codes!$E:$E,MATCH($N1691,VAT_Codes!$A:$A,0)),"ANY")&lt;&gt;"ANY",$P1691&lt;&gt;IFERROR(INDEX(VAT_Codes!$E:$E,MATCH($N1691,VAT_Codes!$A:$A,0)),"ANY")),"REGION MISMATCH","OK")))))))</f>
        <v/>
      </c>
    </row>
    <row r="1692" customFormat="false" ht="15" hidden="false" customHeight="false" outlineLevel="0" collapsed="false">
      <c r="M1692" s="24" t="str">
        <f aca="false">IF($C1692="","",IFERROR(INDEX(Account_Mapping!$C:$C,MATCH($C1692&amp;"",Account_Mapping!$A:$A,0))&amp;"",""))</f>
        <v/>
      </c>
      <c r="N1692" s="24" t="str">
        <f aca="false">IF($K1692&lt;&gt;"",$K1692,$M1692)</f>
        <v/>
      </c>
      <c r="O1692" s="24" t="str">
        <f aca="false">IF($F1692="","",IFERROR(INDEX(Counterparties!$C:$C,MATCH($F1692&amp;"",Counterparties!$A:$A,0))&amp;"",""))</f>
        <v/>
      </c>
      <c r="P1692" s="24" t="str">
        <f aca="false">IF($O1692="","",IF($O1692="CY","CY",IF(ISNUMBER(MATCH($O1692,Lists!$A:$A,0)),"EU","3RD")))</f>
        <v/>
      </c>
      <c r="Q1692" s="24" t="str">
        <f aca="false">IF($F1692="","N",IFERROR(IF(INDEX(Counterparties!$E:$E,MATCH($F1692&amp;"",Counterparties!$A:$A,0))="Y","Y","N"),"N"))</f>
        <v>N</v>
      </c>
      <c r="R1692" s="25" t="n">
        <f aca="false">IF(OR($H1692="",$H1692="EUR"),1,IFERROR(INDEX(FX_Rates!$D:$D,MATCH($H1692,FX_Rates!$A:$A,0)),""))</f>
        <v>1</v>
      </c>
      <c r="S1692" s="26" t="str">
        <f aca="false">IF(AND($I1692="",$J1692=""),"",IF($J1692&lt;&gt;"",$J1692,IF(OR($R1692="",$R1692=0),"",ROUND($I1692/$R1692,2))))</f>
        <v/>
      </c>
      <c r="T1692" s="24" t="str">
        <f aca="false">IF($N1692="","",IFERROR(INDEX(VAT_Codes!$C:$C,MATCH($N1692,VAT_Codes!$A:$A,0)),"")&amp;"")</f>
        <v/>
      </c>
      <c r="U1692" s="26" t="n">
        <f aca="false">IF(OR($S1692="",$T1692="",$T1692="None"),0,IF($T1692="Output",-$S1692,$S1692))</f>
        <v>0</v>
      </c>
      <c r="V1692" s="27" t="n">
        <f aca="false">IF($N1692="",0,IFERROR(INDEX(VAT_Codes!$D:$D,MATCH($N1692,VAT_Codes!$A:$A,0)),0))</f>
        <v>0</v>
      </c>
      <c r="W1692" s="26" t="n">
        <f aca="false">IF($U1692=0,0,IF(IFERROR(INDEX(VAT_Codes!$F:$F,MATCH($N1692,VAT_Codes!$A:$A,0)),"N")="Y",$U1692,IF($L1692&lt;&gt;"",ROUND(ABS($L1692)/IF(OR($R1692="",$R1692=0),1,$R1692),2)*SIGN($U1692),ROUND($U1692*$V1692,2))))</f>
        <v>0</v>
      </c>
      <c r="X1692" s="24" t="str">
        <f aca="false">IF($N1692="","",IFERROR(INDEX(VAT_Codes!$H:$H,MATCH($N1692,VAT_Codes!$A:$A,0)),"")&amp;"")</f>
        <v/>
      </c>
      <c r="Y1692" s="24" t="str">
        <f aca="false">IF($A1692="","",(YEAR($A1692)-YEAR(Settings!$C$8))*12+MONTH($A1692)-MONTH(Settings!$C$8)+1)</f>
        <v/>
      </c>
      <c r="Z1692" s="24" t="str">
        <f aca="false">IF(AND($C1692="",$I1692="",$J1692=""),"",IF($N1692="","NO VAT CODE",IF($T1692="","UNKNOWN VAT CODE",IF($S1692="","MISSING FX RATE",IF(OR($A1692&lt;Settings!$C$8,$A1692&gt;Settings!$C$9),"OUTSIDE PERIOD",IF(AND(IFERROR(INDEX(VAT_Codes!$E:$E,MATCH($N1692,VAT_Codes!$A:$A,0)),"ANY")&lt;&gt;"ANY",$P1692=""),"MISSING COUNTERPARTY COUNTRY",IF(AND(IFERROR(INDEX(VAT_Codes!$E:$E,MATCH($N1692,VAT_Codes!$A:$A,0)),"ANY")&lt;&gt;"ANY",$P1692&lt;&gt;IFERROR(INDEX(VAT_Codes!$E:$E,MATCH($N1692,VAT_Codes!$A:$A,0)),"ANY")),"REGION MISMATCH","OK")))))))</f>
        <v/>
      </c>
    </row>
    <row r="1693" customFormat="false" ht="15" hidden="false" customHeight="false" outlineLevel="0" collapsed="false">
      <c r="M1693" s="24" t="str">
        <f aca="false">IF($C1693="","",IFERROR(INDEX(Account_Mapping!$C:$C,MATCH($C1693&amp;"",Account_Mapping!$A:$A,0))&amp;"",""))</f>
        <v/>
      </c>
      <c r="N1693" s="24" t="str">
        <f aca="false">IF($K1693&lt;&gt;"",$K1693,$M1693)</f>
        <v/>
      </c>
      <c r="O1693" s="24" t="str">
        <f aca="false">IF($F1693="","",IFERROR(INDEX(Counterparties!$C:$C,MATCH($F1693&amp;"",Counterparties!$A:$A,0))&amp;"",""))</f>
        <v/>
      </c>
      <c r="P1693" s="24" t="str">
        <f aca="false">IF($O1693="","",IF($O1693="CY","CY",IF(ISNUMBER(MATCH($O1693,Lists!$A:$A,0)),"EU","3RD")))</f>
        <v/>
      </c>
      <c r="Q1693" s="24" t="str">
        <f aca="false">IF($F1693="","N",IFERROR(IF(INDEX(Counterparties!$E:$E,MATCH($F1693&amp;"",Counterparties!$A:$A,0))="Y","Y","N"),"N"))</f>
        <v>N</v>
      </c>
      <c r="R1693" s="25" t="n">
        <f aca="false">IF(OR($H1693="",$H1693="EUR"),1,IFERROR(INDEX(FX_Rates!$D:$D,MATCH($H1693,FX_Rates!$A:$A,0)),""))</f>
        <v>1</v>
      </c>
      <c r="S1693" s="26" t="str">
        <f aca="false">IF(AND($I1693="",$J1693=""),"",IF($J1693&lt;&gt;"",$J1693,IF(OR($R1693="",$R1693=0),"",ROUND($I1693/$R1693,2))))</f>
        <v/>
      </c>
      <c r="T1693" s="24" t="str">
        <f aca="false">IF($N1693="","",IFERROR(INDEX(VAT_Codes!$C:$C,MATCH($N1693,VAT_Codes!$A:$A,0)),"")&amp;"")</f>
        <v/>
      </c>
      <c r="U1693" s="26" t="n">
        <f aca="false">IF(OR($S1693="",$T1693="",$T1693="None"),0,IF($T1693="Output",-$S1693,$S1693))</f>
        <v>0</v>
      </c>
      <c r="V1693" s="27" t="n">
        <f aca="false">IF($N1693="",0,IFERROR(INDEX(VAT_Codes!$D:$D,MATCH($N1693,VAT_Codes!$A:$A,0)),0))</f>
        <v>0</v>
      </c>
      <c r="W1693" s="26" t="n">
        <f aca="false">IF($U1693=0,0,IF(IFERROR(INDEX(VAT_Codes!$F:$F,MATCH($N1693,VAT_Codes!$A:$A,0)),"N")="Y",$U1693,IF($L1693&lt;&gt;"",ROUND(ABS($L1693)/IF(OR($R1693="",$R1693=0),1,$R1693),2)*SIGN($U1693),ROUND($U1693*$V1693,2))))</f>
        <v>0</v>
      </c>
      <c r="X1693" s="24" t="str">
        <f aca="false">IF($N1693="","",IFERROR(INDEX(VAT_Codes!$H:$H,MATCH($N1693,VAT_Codes!$A:$A,0)),"")&amp;"")</f>
        <v/>
      </c>
      <c r="Y1693" s="24" t="str">
        <f aca="false">IF($A1693="","",(YEAR($A1693)-YEAR(Settings!$C$8))*12+MONTH($A1693)-MONTH(Settings!$C$8)+1)</f>
        <v/>
      </c>
      <c r="Z1693" s="24" t="str">
        <f aca="false">IF(AND($C1693="",$I1693="",$J1693=""),"",IF($N1693="","NO VAT CODE",IF($T1693="","UNKNOWN VAT CODE",IF($S1693="","MISSING FX RATE",IF(OR($A1693&lt;Settings!$C$8,$A1693&gt;Settings!$C$9),"OUTSIDE PERIOD",IF(AND(IFERROR(INDEX(VAT_Codes!$E:$E,MATCH($N1693,VAT_Codes!$A:$A,0)),"ANY")&lt;&gt;"ANY",$P1693=""),"MISSING COUNTERPARTY COUNTRY",IF(AND(IFERROR(INDEX(VAT_Codes!$E:$E,MATCH($N1693,VAT_Codes!$A:$A,0)),"ANY")&lt;&gt;"ANY",$P1693&lt;&gt;IFERROR(INDEX(VAT_Codes!$E:$E,MATCH($N1693,VAT_Codes!$A:$A,0)),"ANY")),"REGION MISMATCH","OK")))))))</f>
        <v/>
      </c>
    </row>
    <row r="1694" customFormat="false" ht="15" hidden="false" customHeight="false" outlineLevel="0" collapsed="false">
      <c r="M1694" s="24" t="str">
        <f aca="false">IF($C1694="","",IFERROR(INDEX(Account_Mapping!$C:$C,MATCH($C1694&amp;"",Account_Mapping!$A:$A,0))&amp;"",""))</f>
        <v/>
      </c>
      <c r="N1694" s="24" t="str">
        <f aca="false">IF($K1694&lt;&gt;"",$K1694,$M1694)</f>
        <v/>
      </c>
      <c r="O1694" s="24" t="str">
        <f aca="false">IF($F1694="","",IFERROR(INDEX(Counterparties!$C:$C,MATCH($F1694&amp;"",Counterparties!$A:$A,0))&amp;"",""))</f>
        <v/>
      </c>
      <c r="P1694" s="24" t="str">
        <f aca="false">IF($O1694="","",IF($O1694="CY","CY",IF(ISNUMBER(MATCH($O1694,Lists!$A:$A,0)),"EU","3RD")))</f>
        <v/>
      </c>
      <c r="Q1694" s="24" t="str">
        <f aca="false">IF($F1694="","N",IFERROR(IF(INDEX(Counterparties!$E:$E,MATCH($F1694&amp;"",Counterparties!$A:$A,0))="Y","Y","N"),"N"))</f>
        <v>N</v>
      </c>
      <c r="R1694" s="25" t="n">
        <f aca="false">IF(OR($H1694="",$H1694="EUR"),1,IFERROR(INDEX(FX_Rates!$D:$D,MATCH($H1694,FX_Rates!$A:$A,0)),""))</f>
        <v>1</v>
      </c>
      <c r="S1694" s="26" t="str">
        <f aca="false">IF(AND($I1694="",$J1694=""),"",IF($J1694&lt;&gt;"",$J1694,IF(OR($R1694="",$R1694=0),"",ROUND($I1694/$R1694,2))))</f>
        <v/>
      </c>
      <c r="T1694" s="24" t="str">
        <f aca="false">IF($N1694="","",IFERROR(INDEX(VAT_Codes!$C:$C,MATCH($N1694,VAT_Codes!$A:$A,0)),"")&amp;"")</f>
        <v/>
      </c>
      <c r="U1694" s="26" t="n">
        <f aca="false">IF(OR($S1694="",$T1694="",$T1694="None"),0,IF($T1694="Output",-$S1694,$S1694))</f>
        <v>0</v>
      </c>
      <c r="V1694" s="27" t="n">
        <f aca="false">IF($N1694="",0,IFERROR(INDEX(VAT_Codes!$D:$D,MATCH($N1694,VAT_Codes!$A:$A,0)),0))</f>
        <v>0</v>
      </c>
      <c r="W1694" s="26" t="n">
        <f aca="false">IF($U1694=0,0,IF(IFERROR(INDEX(VAT_Codes!$F:$F,MATCH($N1694,VAT_Codes!$A:$A,0)),"N")="Y",$U1694,IF($L1694&lt;&gt;"",ROUND(ABS($L1694)/IF(OR($R1694="",$R1694=0),1,$R1694),2)*SIGN($U1694),ROUND($U1694*$V1694,2))))</f>
        <v>0</v>
      </c>
      <c r="X1694" s="24" t="str">
        <f aca="false">IF($N1694="","",IFERROR(INDEX(VAT_Codes!$H:$H,MATCH($N1694,VAT_Codes!$A:$A,0)),"")&amp;"")</f>
        <v/>
      </c>
      <c r="Y1694" s="24" t="str">
        <f aca="false">IF($A1694="","",(YEAR($A1694)-YEAR(Settings!$C$8))*12+MONTH($A1694)-MONTH(Settings!$C$8)+1)</f>
        <v/>
      </c>
      <c r="Z1694" s="24" t="str">
        <f aca="false">IF(AND($C1694="",$I1694="",$J1694=""),"",IF($N1694="","NO VAT CODE",IF($T1694="","UNKNOWN VAT CODE",IF($S1694="","MISSING FX RATE",IF(OR($A1694&lt;Settings!$C$8,$A1694&gt;Settings!$C$9),"OUTSIDE PERIOD",IF(AND(IFERROR(INDEX(VAT_Codes!$E:$E,MATCH($N1694,VAT_Codes!$A:$A,0)),"ANY")&lt;&gt;"ANY",$P1694=""),"MISSING COUNTERPARTY COUNTRY",IF(AND(IFERROR(INDEX(VAT_Codes!$E:$E,MATCH($N1694,VAT_Codes!$A:$A,0)),"ANY")&lt;&gt;"ANY",$P1694&lt;&gt;IFERROR(INDEX(VAT_Codes!$E:$E,MATCH($N1694,VAT_Codes!$A:$A,0)),"ANY")),"REGION MISMATCH","OK")))))))</f>
        <v/>
      </c>
    </row>
    <row r="1695" customFormat="false" ht="15" hidden="false" customHeight="false" outlineLevel="0" collapsed="false">
      <c r="M1695" s="24" t="str">
        <f aca="false">IF($C1695="","",IFERROR(INDEX(Account_Mapping!$C:$C,MATCH($C1695&amp;"",Account_Mapping!$A:$A,0))&amp;"",""))</f>
        <v/>
      </c>
      <c r="N1695" s="24" t="str">
        <f aca="false">IF($K1695&lt;&gt;"",$K1695,$M1695)</f>
        <v/>
      </c>
      <c r="O1695" s="24" t="str">
        <f aca="false">IF($F1695="","",IFERROR(INDEX(Counterparties!$C:$C,MATCH($F1695&amp;"",Counterparties!$A:$A,0))&amp;"",""))</f>
        <v/>
      </c>
      <c r="P1695" s="24" t="str">
        <f aca="false">IF($O1695="","",IF($O1695="CY","CY",IF(ISNUMBER(MATCH($O1695,Lists!$A:$A,0)),"EU","3RD")))</f>
        <v/>
      </c>
      <c r="Q1695" s="24" t="str">
        <f aca="false">IF($F1695="","N",IFERROR(IF(INDEX(Counterparties!$E:$E,MATCH($F1695&amp;"",Counterparties!$A:$A,0))="Y","Y","N"),"N"))</f>
        <v>N</v>
      </c>
      <c r="R1695" s="25" t="n">
        <f aca="false">IF(OR($H1695="",$H1695="EUR"),1,IFERROR(INDEX(FX_Rates!$D:$D,MATCH($H1695,FX_Rates!$A:$A,0)),""))</f>
        <v>1</v>
      </c>
      <c r="S1695" s="26" t="str">
        <f aca="false">IF(AND($I1695="",$J1695=""),"",IF($J1695&lt;&gt;"",$J1695,IF(OR($R1695="",$R1695=0),"",ROUND($I1695/$R1695,2))))</f>
        <v/>
      </c>
      <c r="T1695" s="24" t="str">
        <f aca="false">IF($N1695="","",IFERROR(INDEX(VAT_Codes!$C:$C,MATCH($N1695,VAT_Codes!$A:$A,0)),"")&amp;"")</f>
        <v/>
      </c>
      <c r="U1695" s="26" t="n">
        <f aca="false">IF(OR($S1695="",$T1695="",$T1695="None"),0,IF($T1695="Output",-$S1695,$S1695))</f>
        <v>0</v>
      </c>
      <c r="V1695" s="27" t="n">
        <f aca="false">IF($N1695="",0,IFERROR(INDEX(VAT_Codes!$D:$D,MATCH($N1695,VAT_Codes!$A:$A,0)),0))</f>
        <v>0</v>
      </c>
      <c r="W1695" s="26" t="n">
        <f aca="false">IF($U1695=0,0,IF(IFERROR(INDEX(VAT_Codes!$F:$F,MATCH($N1695,VAT_Codes!$A:$A,0)),"N")="Y",$U1695,IF($L1695&lt;&gt;"",ROUND(ABS($L1695)/IF(OR($R1695="",$R1695=0),1,$R1695),2)*SIGN($U1695),ROUND($U1695*$V1695,2))))</f>
        <v>0</v>
      </c>
      <c r="X1695" s="24" t="str">
        <f aca="false">IF($N1695="","",IFERROR(INDEX(VAT_Codes!$H:$H,MATCH($N1695,VAT_Codes!$A:$A,0)),"")&amp;"")</f>
        <v/>
      </c>
      <c r="Y1695" s="24" t="str">
        <f aca="false">IF($A1695="","",(YEAR($A1695)-YEAR(Settings!$C$8))*12+MONTH($A1695)-MONTH(Settings!$C$8)+1)</f>
        <v/>
      </c>
      <c r="Z1695" s="24" t="str">
        <f aca="false">IF(AND($C1695="",$I1695="",$J1695=""),"",IF($N1695="","NO VAT CODE",IF($T1695="","UNKNOWN VAT CODE",IF($S1695="","MISSING FX RATE",IF(OR($A1695&lt;Settings!$C$8,$A1695&gt;Settings!$C$9),"OUTSIDE PERIOD",IF(AND(IFERROR(INDEX(VAT_Codes!$E:$E,MATCH($N1695,VAT_Codes!$A:$A,0)),"ANY")&lt;&gt;"ANY",$P1695=""),"MISSING COUNTERPARTY COUNTRY",IF(AND(IFERROR(INDEX(VAT_Codes!$E:$E,MATCH($N1695,VAT_Codes!$A:$A,0)),"ANY")&lt;&gt;"ANY",$P1695&lt;&gt;IFERROR(INDEX(VAT_Codes!$E:$E,MATCH($N1695,VAT_Codes!$A:$A,0)),"ANY")),"REGION MISMATCH","OK")))))))</f>
        <v/>
      </c>
    </row>
    <row r="1696" customFormat="false" ht="15" hidden="false" customHeight="false" outlineLevel="0" collapsed="false">
      <c r="M1696" s="24" t="str">
        <f aca="false">IF($C1696="","",IFERROR(INDEX(Account_Mapping!$C:$C,MATCH($C1696&amp;"",Account_Mapping!$A:$A,0))&amp;"",""))</f>
        <v/>
      </c>
      <c r="N1696" s="24" t="str">
        <f aca="false">IF($K1696&lt;&gt;"",$K1696,$M1696)</f>
        <v/>
      </c>
      <c r="O1696" s="24" t="str">
        <f aca="false">IF($F1696="","",IFERROR(INDEX(Counterparties!$C:$C,MATCH($F1696&amp;"",Counterparties!$A:$A,0))&amp;"",""))</f>
        <v/>
      </c>
      <c r="P1696" s="24" t="str">
        <f aca="false">IF($O1696="","",IF($O1696="CY","CY",IF(ISNUMBER(MATCH($O1696,Lists!$A:$A,0)),"EU","3RD")))</f>
        <v/>
      </c>
      <c r="Q1696" s="24" t="str">
        <f aca="false">IF($F1696="","N",IFERROR(IF(INDEX(Counterparties!$E:$E,MATCH($F1696&amp;"",Counterparties!$A:$A,0))="Y","Y","N"),"N"))</f>
        <v>N</v>
      </c>
      <c r="R1696" s="25" t="n">
        <f aca="false">IF(OR($H1696="",$H1696="EUR"),1,IFERROR(INDEX(FX_Rates!$D:$D,MATCH($H1696,FX_Rates!$A:$A,0)),""))</f>
        <v>1</v>
      </c>
      <c r="S1696" s="26" t="str">
        <f aca="false">IF(AND($I1696="",$J1696=""),"",IF($J1696&lt;&gt;"",$J1696,IF(OR($R1696="",$R1696=0),"",ROUND($I1696/$R1696,2))))</f>
        <v/>
      </c>
      <c r="T1696" s="24" t="str">
        <f aca="false">IF($N1696="","",IFERROR(INDEX(VAT_Codes!$C:$C,MATCH($N1696,VAT_Codes!$A:$A,0)),"")&amp;"")</f>
        <v/>
      </c>
      <c r="U1696" s="26" t="n">
        <f aca="false">IF(OR($S1696="",$T1696="",$T1696="None"),0,IF($T1696="Output",-$S1696,$S1696))</f>
        <v>0</v>
      </c>
      <c r="V1696" s="27" t="n">
        <f aca="false">IF($N1696="",0,IFERROR(INDEX(VAT_Codes!$D:$D,MATCH($N1696,VAT_Codes!$A:$A,0)),0))</f>
        <v>0</v>
      </c>
      <c r="W1696" s="26" t="n">
        <f aca="false">IF($U1696=0,0,IF(IFERROR(INDEX(VAT_Codes!$F:$F,MATCH($N1696,VAT_Codes!$A:$A,0)),"N")="Y",$U1696,IF($L1696&lt;&gt;"",ROUND(ABS($L1696)/IF(OR($R1696="",$R1696=0),1,$R1696),2)*SIGN($U1696),ROUND($U1696*$V1696,2))))</f>
        <v>0</v>
      </c>
      <c r="X1696" s="24" t="str">
        <f aca="false">IF($N1696="","",IFERROR(INDEX(VAT_Codes!$H:$H,MATCH($N1696,VAT_Codes!$A:$A,0)),"")&amp;"")</f>
        <v/>
      </c>
      <c r="Y1696" s="24" t="str">
        <f aca="false">IF($A1696="","",(YEAR($A1696)-YEAR(Settings!$C$8))*12+MONTH($A1696)-MONTH(Settings!$C$8)+1)</f>
        <v/>
      </c>
      <c r="Z1696" s="24" t="str">
        <f aca="false">IF(AND($C1696="",$I1696="",$J1696=""),"",IF($N1696="","NO VAT CODE",IF($T1696="","UNKNOWN VAT CODE",IF($S1696="","MISSING FX RATE",IF(OR($A1696&lt;Settings!$C$8,$A1696&gt;Settings!$C$9),"OUTSIDE PERIOD",IF(AND(IFERROR(INDEX(VAT_Codes!$E:$E,MATCH($N1696,VAT_Codes!$A:$A,0)),"ANY")&lt;&gt;"ANY",$P1696=""),"MISSING COUNTERPARTY COUNTRY",IF(AND(IFERROR(INDEX(VAT_Codes!$E:$E,MATCH($N1696,VAT_Codes!$A:$A,0)),"ANY")&lt;&gt;"ANY",$P1696&lt;&gt;IFERROR(INDEX(VAT_Codes!$E:$E,MATCH($N1696,VAT_Codes!$A:$A,0)),"ANY")),"REGION MISMATCH","OK")))))))</f>
        <v/>
      </c>
    </row>
    <row r="1697" customFormat="false" ht="15" hidden="false" customHeight="false" outlineLevel="0" collapsed="false">
      <c r="M1697" s="24" t="str">
        <f aca="false">IF($C1697="","",IFERROR(INDEX(Account_Mapping!$C:$C,MATCH($C1697&amp;"",Account_Mapping!$A:$A,0))&amp;"",""))</f>
        <v/>
      </c>
      <c r="N1697" s="24" t="str">
        <f aca="false">IF($K1697&lt;&gt;"",$K1697,$M1697)</f>
        <v/>
      </c>
      <c r="O1697" s="24" t="str">
        <f aca="false">IF($F1697="","",IFERROR(INDEX(Counterparties!$C:$C,MATCH($F1697&amp;"",Counterparties!$A:$A,0))&amp;"",""))</f>
        <v/>
      </c>
      <c r="P1697" s="24" t="str">
        <f aca="false">IF($O1697="","",IF($O1697="CY","CY",IF(ISNUMBER(MATCH($O1697,Lists!$A:$A,0)),"EU","3RD")))</f>
        <v/>
      </c>
      <c r="Q1697" s="24" t="str">
        <f aca="false">IF($F1697="","N",IFERROR(IF(INDEX(Counterparties!$E:$E,MATCH($F1697&amp;"",Counterparties!$A:$A,0))="Y","Y","N"),"N"))</f>
        <v>N</v>
      </c>
      <c r="R1697" s="25" t="n">
        <f aca="false">IF(OR($H1697="",$H1697="EUR"),1,IFERROR(INDEX(FX_Rates!$D:$D,MATCH($H1697,FX_Rates!$A:$A,0)),""))</f>
        <v>1</v>
      </c>
      <c r="S1697" s="26" t="str">
        <f aca="false">IF(AND($I1697="",$J1697=""),"",IF($J1697&lt;&gt;"",$J1697,IF(OR($R1697="",$R1697=0),"",ROUND($I1697/$R1697,2))))</f>
        <v/>
      </c>
      <c r="T1697" s="24" t="str">
        <f aca="false">IF($N1697="","",IFERROR(INDEX(VAT_Codes!$C:$C,MATCH($N1697,VAT_Codes!$A:$A,0)),"")&amp;"")</f>
        <v/>
      </c>
      <c r="U1697" s="26" t="n">
        <f aca="false">IF(OR($S1697="",$T1697="",$T1697="None"),0,IF($T1697="Output",-$S1697,$S1697))</f>
        <v>0</v>
      </c>
      <c r="V1697" s="27" t="n">
        <f aca="false">IF($N1697="",0,IFERROR(INDEX(VAT_Codes!$D:$D,MATCH($N1697,VAT_Codes!$A:$A,0)),0))</f>
        <v>0</v>
      </c>
      <c r="W1697" s="26" t="n">
        <f aca="false">IF($U1697=0,0,IF(IFERROR(INDEX(VAT_Codes!$F:$F,MATCH($N1697,VAT_Codes!$A:$A,0)),"N")="Y",$U1697,IF($L1697&lt;&gt;"",ROUND(ABS($L1697)/IF(OR($R1697="",$R1697=0),1,$R1697),2)*SIGN($U1697),ROUND($U1697*$V1697,2))))</f>
        <v>0</v>
      </c>
      <c r="X1697" s="24" t="str">
        <f aca="false">IF($N1697="","",IFERROR(INDEX(VAT_Codes!$H:$H,MATCH($N1697,VAT_Codes!$A:$A,0)),"")&amp;"")</f>
        <v/>
      </c>
      <c r="Y1697" s="24" t="str">
        <f aca="false">IF($A1697="","",(YEAR($A1697)-YEAR(Settings!$C$8))*12+MONTH($A1697)-MONTH(Settings!$C$8)+1)</f>
        <v/>
      </c>
      <c r="Z1697" s="24" t="str">
        <f aca="false">IF(AND($C1697="",$I1697="",$J1697=""),"",IF($N1697="","NO VAT CODE",IF($T1697="","UNKNOWN VAT CODE",IF($S1697="","MISSING FX RATE",IF(OR($A1697&lt;Settings!$C$8,$A1697&gt;Settings!$C$9),"OUTSIDE PERIOD",IF(AND(IFERROR(INDEX(VAT_Codes!$E:$E,MATCH($N1697,VAT_Codes!$A:$A,0)),"ANY")&lt;&gt;"ANY",$P1697=""),"MISSING COUNTERPARTY COUNTRY",IF(AND(IFERROR(INDEX(VAT_Codes!$E:$E,MATCH($N1697,VAT_Codes!$A:$A,0)),"ANY")&lt;&gt;"ANY",$P1697&lt;&gt;IFERROR(INDEX(VAT_Codes!$E:$E,MATCH($N1697,VAT_Codes!$A:$A,0)),"ANY")),"REGION MISMATCH","OK")))))))</f>
        <v/>
      </c>
    </row>
    <row r="1698" customFormat="false" ht="15" hidden="false" customHeight="false" outlineLevel="0" collapsed="false">
      <c r="M1698" s="24" t="str">
        <f aca="false">IF($C1698="","",IFERROR(INDEX(Account_Mapping!$C:$C,MATCH($C1698&amp;"",Account_Mapping!$A:$A,0))&amp;"",""))</f>
        <v/>
      </c>
      <c r="N1698" s="24" t="str">
        <f aca="false">IF($K1698&lt;&gt;"",$K1698,$M1698)</f>
        <v/>
      </c>
      <c r="O1698" s="24" t="str">
        <f aca="false">IF($F1698="","",IFERROR(INDEX(Counterparties!$C:$C,MATCH($F1698&amp;"",Counterparties!$A:$A,0))&amp;"",""))</f>
        <v/>
      </c>
      <c r="P1698" s="24" t="str">
        <f aca="false">IF($O1698="","",IF($O1698="CY","CY",IF(ISNUMBER(MATCH($O1698,Lists!$A:$A,0)),"EU","3RD")))</f>
        <v/>
      </c>
      <c r="Q1698" s="24" t="str">
        <f aca="false">IF($F1698="","N",IFERROR(IF(INDEX(Counterparties!$E:$E,MATCH($F1698&amp;"",Counterparties!$A:$A,0))="Y","Y","N"),"N"))</f>
        <v>N</v>
      </c>
      <c r="R1698" s="25" t="n">
        <f aca="false">IF(OR($H1698="",$H1698="EUR"),1,IFERROR(INDEX(FX_Rates!$D:$D,MATCH($H1698,FX_Rates!$A:$A,0)),""))</f>
        <v>1</v>
      </c>
      <c r="S1698" s="26" t="str">
        <f aca="false">IF(AND($I1698="",$J1698=""),"",IF($J1698&lt;&gt;"",$J1698,IF(OR($R1698="",$R1698=0),"",ROUND($I1698/$R1698,2))))</f>
        <v/>
      </c>
      <c r="T1698" s="24" t="str">
        <f aca="false">IF($N1698="","",IFERROR(INDEX(VAT_Codes!$C:$C,MATCH($N1698,VAT_Codes!$A:$A,0)),"")&amp;"")</f>
        <v/>
      </c>
      <c r="U1698" s="26" t="n">
        <f aca="false">IF(OR($S1698="",$T1698="",$T1698="None"),0,IF($T1698="Output",-$S1698,$S1698))</f>
        <v>0</v>
      </c>
      <c r="V1698" s="27" t="n">
        <f aca="false">IF($N1698="",0,IFERROR(INDEX(VAT_Codes!$D:$D,MATCH($N1698,VAT_Codes!$A:$A,0)),0))</f>
        <v>0</v>
      </c>
      <c r="W1698" s="26" t="n">
        <f aca="false">IF($U1698=0,0,IF(IFERROR(INDEX(VAT_Codes!$F:$F,MATCH($N1698,VAT_Codes!$A:$A,0)),"N")="Y",$U1698,IF($L1698&lt;&gt;"",ROUND(ABS($L1698)/IF(OR($R1698="",$R1698=0),1,$R1698),2)*SIGN($U1698),ROUND($U1698*$V1698,2))))</f>
        <v>0</v>
      </c>
      <c r="X1698" s="24" t="str">
        <f aca="false">IF($N1698="","",IFERROR(INDEX(VAT_Codes!$H:$H,MATCH($N1698,VAT_Codes!$A:$A,0)),"")&amp;"")</f>
        <v/>
      </c>
      <c r="Y1698" s="24" t="str">
        <f aca="false">IF($A1698="","",(YEAR($A1698)-YEAR(Settings!$C$8))*12+MONTH($A1698)-MONTH(Settings!$C$8)+1)</f>
        <v/>
      </c>
      <c r="Z1698" s="24" t="str">
        <f aca="false">IF(AND($C1698="",$I1698="",$J1698=""),"",IF($N1698="","NO VAT CODE",IF($T1698="","UNKNOWN VAT CODE",IF($S1698="","MISSING FX RATE",IF(OR($A1698&lt;Settings!$C$8,$A1698&gt;Settings!$C$9),"OUTSIDE PERIOD",IF(AND(IFERROR(INDEX(VAT_Codes!$E:$E,MATCH($N1698,VAT_Codes!$A:$A,0)),"ANY")&lt;&gt;"ANY",$P1698=""),"MISSING COUNTERPARTY COUNTRY",IF(AND(IFERROR(INDEX(VAT_Codes!$E:$E,MATCH($N1698,VAT_Codes!$A:$A,0)),"ANY")&lt;&gt;"ANY",$P1698&lt;&gt;IFERROR(INDEX(VAT_Codes!$E:$E,MATCH($N1698,VAT_Codes!$A:$A,0)),"ANY")),"REGION MISMATCH","OK")))))))</f>
        <v/>
      </c>
    </row>
    <row r="1699" customFormat="false" ht="15" hidden="false" customHeight="false" outlineLevel="0" collapsed="false">
      <c r="M1699" s="24" t="str">
        <f aca="false">IF($C1699="","",IFERROR(INDEX(Account_Mapping!$C:$C,MATCH($C1699&amp;"",Account_Mapping!$A:$A,0))&amp;"",""))</f>
        <v/>
      </c>
      <c r="N1699" s="24" t="str">
        <f aca="false">IF($K1699&lt;&gt;"",$K1699,$M1699)</f>
        <v/>
      </c>
      <c r="O1699" s="24" t="str">
        <f aca="false">IF($F1699="","",IFERROR(INDEX(Counterparties!$C:$C,MATCH($F1699&amp;"",Counterparties!$A:$A,0))&amp;"",""))</f>
        <v/>
      </c>
      <c r="P1699" s="24" t="str">
        <f aca="false">IF($O1699="","",IF($O1699="CY","CY",IF(ISNUMBER(MATCH($O1699,Lists!$A:$A,0)),"EU","3RD")))</f>
        <v/>
      </c>
      <c r="Q1699" s="24" t="str">
        <f aca="false">IF($F1699="","N",IFERROR(IF(INDEX(Counterparties!$E:$E,MATCH($F1699&amp;"",Counterparties!$A:$A,0))="Y","Y","N"),"N"))</f>
        <v>N</v>
      </c>
      <c r="R1699" s="25" t="n">
        <f aca="false">IF(OR($H1699="",$H1699="EUR"),1,IFERROR(INDEX(FX_Rates!$D:$D,MATCH($H1699,FX_Rates!$A:$A,0)),""))</f>
        <v>1</v>
      </c>
      <c r="S1699" s="26" t="str">
        <f aca="false">IF(AND($I1699="",$J1699=""),"",IF($J1699&lt;&gt;"",$J1699,IF(OR($R1699="",$R1699=0),"",ROUND($I1699/$R1699,2))))</f>
        <v/>
      </c>
      <c r="T1699" s="24" t="str">
        <f aca="false">IF($N1699="","",IFERROR(INDEX(VAT_Codes!$C:$C,MATCH($N1699,VAT_Codes!$A:$A,0)),"")&amp;"")</f>
        <v/>
      </c>
      <c r="U1699" s="26" t="n">
        <f aca="false">IF(OR($S1699="",$T1699="",$T1699="None"),0,IF($T1699="Output",-$S1699,$S1699))</f>
        <v>0</v>
      </c>
      <c r="V1699" s="27" t="n">
        <f aca="false">IF($N1699="",0,IFERROR(INDEX(VAT_Codes!$D:$D,MATCH($N1699,VAT_Codes!$A:$A,0)),0))</f>
        <v>0</v>
      </c>
      <c r="W1699" s="26" t="n">
        <f aca="false">IF($U1699=0,0,IF(IFERROR(INDEX(VAT_Codes!$F:$F,MATCH($N1699,VAT_Codes!$A:$A,0)),"N")="Y",$U1699,IF($L1699&lt;&gt;"",ROUND(ABS($L1699)/IF(OR($R1699="",$R1699=0),1,$R1699),2)*SIGN($U1699),ROUND($U1699*$V1699,2))))</f>
        <v>0</v>
      </c>
      <c r="X1699" s="24" t="str">
        <f aca="false">IF($N1699="","",IFERROR(INDEX(VAT_Codes!$H:$H,MATCH($N1699,VAT_Codes!$A:$A,0)),"")&amp;"")</f>
        <v/>
      </c>
      <c r="Y1699" s="24" t="str">
        <f aca="false">IF($A1699="","",(YEAR($A1699)-YEAR(Settings!$C$8))*12+MONTH($A1699)-MONTH(Settings!$C$8)+1)</f>
        <v/>
      </c>
      <c r="Z1699" s="24" t="str">
        <f aca="false">IF(AND($C1699="",$I1699="",$J1699=""),"",IF($N1699="","NO VAT CODE",IF($T1699="","UNKNOWN VAT CODE",IF($S1699="","MISSING FX RATE",IF(OR($A1699&lt;Settings!$C$8,$A1699&gt;Settings!$C$9),"OUTSIDE PERIOD",IF(AND(IFERROR(INDEX(VAT_Codes!$E:$E,MATCH($N1699,VAT_Codes!$A:$A,0)),"ANY")&lt;&gt;"ANY",$P1699=""),"MISSING COUNTERPARTY COUNTRY",IF(AND(IFERROR(INDEX(VAT_Codes!$E:$E,MATCH($N1699,VAT_Codes!$A:$A,0)),"ANY")&lt;&gt;"ANY",$P1699&lt;&gt;IFERROR(INDEX(VAT_Codes!$E:$E,MATCH($N1699,VAT_Codes!$A:$A,0)),"ANY")),"REGION MISMATCH","OK")))))))</f>
        <v/>
      </c>
    </row>
    <row r="1700" customFormat="false" ht="15" hidden="false" customHeight="false" outlineLevel="0" collapsed="false">
      <c r="M1700" s="24" t="str">
        <f aca="false">IF($C1700="","",IFERROR(INDEX(Account_Mapping!$C:$C,MATCH($C1700&amp;"",Account_Mapping!$A:$A,0))&amp;"",""))</f>
        <v/>
      </c>
      <c r="N1700" s="24" t="str">
        <f aca="false">IF($K1700&lt;&gt;"",$K1700,$M1700)</f>
        <v/>
      </c>
      <c r="O1700" s="24" t="str">
        <f aca="false">IF($F1700="","",IFERROR(INDEX(Counterparties!$C:$C,MATCH($F1700&amp;"",Counterparties!$A:$A,0))&amp;"",""))</f>
        <v/>
      </c>
      <c r="P1700" s="24" t="str">
        <f aca="false">IF($O1700="","",IF($O1700="CY","CY",IF(ISNUMBER(MATCH($O1700,Lists!$A:$A,0)),"EU","3RD")))</f>
        <v/>
      </c>
      <c r="Q1700" s="24" t="str">
        <f aca="false">IF($F1700="","N",IFERROR(IF(INDEX(Counterparties!$E:$E,MATCH($F1700&amp;"",Counterparties!$A:$A,0))="Y","Y","N"),"N"))</f>
        <v>N</v>
      </c>
      <c r="R1700" s="25" t="n">
        <f aca="false">IF(OR($H1700="",$H1700="EUR"),1,IFERROR(INDEX(FX_Rates!$D:$D,MATCH($H1700,FX_Rates!$A:$A,0)),""))</f>
        <v>1</v>
      </c>
      <c r="S1700" s="26" t="str">
        <f aca="false">IF(AND($I1700="",$J1700=""),"",IF($J1700&lt;&gt;"",$J1700,IF(OR($R1700="",$R1700=0),"",ROUND($I1700/$R1700,2))))</f>
        <v/>
      </c>
      <c r="T1700" s="24" t="str">
        <f aca="false">IF($N1700="","",IFERROR(INDEX(VAT_Codes!$C:$C,MATCH($N1700,VAT_Codes!$A:$A,0)),"")&amp;"")</f>
        <v/>
      </c>
      <c r="U1700" s="26" t="n">
        <f aca="false">IF(OR($S1700="",$T1700="",$T1700="None"),0,IF($T1700="Output",-$S1700,$S1700))</f>
        <v>0</v>
      </c>
      <c r="V1700" s="27" t="n">
        <f aca="false">IF($N1700="",0,IFERROR(INDEX(VAT_Codes!$D:$D,MATCH($N1700,VAT_Codes!$A:$A,0)),0))</f>
        <v>0</v>
      </c>
      <c r="W1700" s="26" t="n">
        <f aca="false">IF($U1700=0,0,IF(IFERROR(INDEX(VAT_Codes!$F:$F,MATCH($N1700,VAT_Codes!$A:$A,0)),"N")="Y",$U1700,IF($L1700&lt;&gt;"",ROUND(ABS($L1700)/IF(OR($R1700="",$R1700=0),1,$R1700),2)*SIGN($U1700),ROUND($U1700*$V1700,2))))</f>
        <v>0</v>
      </c>
      <c r="X1700" s="24" t="str">
        <f aca="false">IF($N1700="","",IFERROR(INDEX(VAT_Codes!$H:$H,MATCH($N1700,VAT_Codes!$A:$A,0)),"")&amp;"")</f>
        <v/>
      </c>
      <c r="Y1700" s="24" t="str">
        <f aca="false">IF($A1700="","",(YEAR($A1700)-YEAR(Settings!$C$8))*12+MONTH($A1700)-MONTH(Settings!$C$8)+1)</f>
        <v/>
      </c>
      <c r="Z1700" s="24" t="str">
        <f aca="false">IF(AND($C1700="",$I1700="",$J1700=""),"",IF($N1700="","NO VAT CODE",IF($T1700="","UNKNOWN VAT CODE",IF($S1700="","MISSING FX RATE",IF(OR($A1700&lt;Settings!$C$8,$A1700&gt;Settings!$C$9),"OUTSIDE PERIOD",IF(AND(IFERROR(INDEX(VAT_Codes!$E:$E,MATCH($N1700,VAT_Codes!$A:$A,0)),"ANY")&lt;&gt;"ANY",$P1700=""),"MISSING COUNTERPARTY COUNTRY",IF(AND(IFERROR(INDEX(VAT_Codes!$E:$E,MATCH($N1700,VAT_Codes!$A:$A,0)),"ANY")&lt;&gt;"ANY",$P1700&lt;&gt;IFERROR(INDEX(VAT_Codes!$E:$E,MATCH($N1700,VAT_Codes!$A:$A,0)),"ANY")),"REGION MISMATCH","OK")))))))</f>
        <v/>
      </c>
    </row>
    <row r="1701" customFormat="false" ht="15" hidden="false" customHeight="false" outlineLevel="0" collapsed="false">
      <c r="M1701" s="24" t="str">
        <f aca="false">IF($C1701="","",IFERROR(INDEX(Account_Mapping!$C:$C,MATCH($C1701&amp;"",Account_Mapping!$A:$A,0))&amp;"",""))</f>
        <v/>
      </c>
      <c r="N1701" s="24" t="str">
        <f aca="false">IF($K1701&lt;&gt;"",$K1701,$M1701)</f>
        <v/>
      </c>
      <c r="O1701" s="24" t="str">
        <f aca="false">IF($F1701="","",IFERROR(INDEX(Counterparties!$C:$C,MATCH($F1701&amp;"",Counterparties!$A:$A,0))&amp;"",""))</f>
        <v/>
      </c>
      <c r="P1701" s="24" t="str">
        <f aca="false">IF($O1701="","",IF($O1701="CY","CY",IF(ISNUMBER(MATCH($O1701,Lists!$A:$A,0)),"EU","3RD")))</f>
        <v/>
      </c>
      <c r="Q1701" s="24" t="str">
        <f aca="false">IF($F1701="","N",IFERROR(IF(INDEX(Counterparties!$E:$E,MATCH($F1701&amp;"",Counterparties!$A:$A,0))="Y","Y","N"),"N"))</f>
        <v>N</v>
      </c>
      <c r="R1701" s="25" t="n">
        <f aca="false">IF(OR($H1701="",$H1701="EUR"),1,IFERROR(INDEX(FX_Rates!$D:$D,MATCH($H1701,FX_Rates!$A:$A,0)),""))</f>
        <v>1</v>
      </c>
      <c r="S1701" s="26" t="str">
        <f aca="false">IF(AND($I1701="",$J1701=""),"",IF($J1701&lt;&gt;"",$J1701,IF(OR($R1701="",$R1701=0),"",ROUND($I1701/$R1701,2))))</f>
        <v/>
      </c>
      <c r="T1701" s="24" t="str">
        <f aca="false">IF($N1701="","",IFERROR(INDEX(VAT_Codes!$C:$C,MATCH($N1701,VAT_Codes!$A:$A,0)),"")&amp;"")</f>
        <v/>
      </c>
      <c r="U1701" s="26" t="n">
        <f aca="false">IF(OR($S1701="",$T1701="",$T1701="None"),0,IF($T1701="Output",-$S1701,$S1701))</f>
        <v>0</v>
      </c>
      <c r="V1701" s="27" t="n">
        <f aca="false">IF($N1701="",0,IFERROR(INDEX(VAT_Codes!$D:$D,MATCH($N1701,VAT_Codes!$A:$A,0)),0))</f>
        <v>0</v>
      </c>
      <c r="W1701" s="26" t="n">
        <f aca="false">IF($U1701=0,0,IF(IFERROR(INDEX(VAT_Codes!$F:$F,MATCH($N1701,VAT_Codes!$A:$A,0)),"N")="Y",$U1701,IF($L1701&lt;&gt;"",ROUND(ABS($L1701)/IF(OR($R1701="",$R1701=0),1,$R1701),2)*SIGN($U1701),ROUND($U1701*$V1701,2))))</f>
        <v>0</v>
      </c>
      <c r="X1701" s="24" t="str">
        <f aca="false">IF($N1701="","",IFERROR(INDEX(VAT_Codes!$H:$H,MATCH($N1701,VAT_Codes!$A:$A,0)),"")&amp;"")</f>
        <v/>
      </c>
      <c r="Y1701" s="24" t="str">
        <f aca="false">IF($A1701="","",(YEAR($A1701)-YEAR(Settings!$C$8))*12+MONTH($A1701)-MONTH(Settings!$C$8)+1)</f>
        <v/>
      </c>
      <c r="Z1701" s="24" t="str">
        <f aca="false">IF(AND($C1701="",$I1701="",$J1701=""),"",IF($N1701="","NO VAT CODE",IF($T1701="","UNKNOWN VAT CODE",IF($S1701="","MISSING FX RATE",IF(OR($A1701&lt;Settings!$C$8,$A1701&gt;Settings!$C$9),"OUTSIDE PERIOD",IF(AND(IFERROR(INDEX(VAT_Codes!$E:$E,MATCH($N1701,VAT_Codes!$A:$A,0)),"ANY")&lt;&gt;"ANY",$P1701=""),"MISSING COUNTERPARTY COUNTRY",IF(AND(IFERROR(INDEX(VAT_Codes!$E:$E,MATCH($N1701,VAT_Codes!$A:$A,0)),"ANY")&lt;&gt;"ANY",$P1701&lt;&gt;IFERROR(INDEX(VAT_Codes!$E:$E,MATCH($N1701,VAT_Codes!$A:$A,0)),"ANY")),"REGION MISMATCH","OK")))))))</f>
        <v/>
      </c>
    </row>
    <row r="1702" customFormat="false" ht="15" hidden="false" customHeight="false" outlineLevel="0" collapsed="false">
      <c r="M1702" s="24" t="str">
        <f aca="false">IF($C1702="","",IFERROR(INDEX(Account_Mapping!$C:$C,MATCH($C1702&amp;"",Account_Mapping!$A:$A,0))&amp;"",""))</f>
        <v/>
      </c>
      <c r="N1702" s="24" t="str">
        <f aca="false">IF($K1702&lt;&gt;"",$K1702,$M1702)</f>
        <v/>
      </c>
      <c r="O1702" s="24" t="str">
        <f aca="false">IF($F1702="","",IFERROR(INDEX(Counterparties!$C:$C,MATCH($F1702&amp;"",Counterparties!$A:$A,0))&amp;"",""))</f>
        <v/>
      </c>
      <c r="P1702" s="24" t="str">
        <f aca="false">IF($O1702="","",IF($O1702="CY","CY",IF(ISNUMBER(MATCH($O1702,Lists!$A:$A,0)),"EU","3RD")))</f>
        <v/>
      </c>
      <c r="Q1702" s="24" t="str">
        <f aca="false">IF($F1702="","N",IFERROR(IF(INDEX(Counterparties!$E:$E,MATCH($F1702&amp;"",Counterparties!$A:$A,0))="Y","Y","N"),"N"))</f>
        <v>N</v>
      </c>
      <c r="R1702" s="25" t="n">
        <f aca="false">IF(OR($H1702="",$H1702="EUR"),1,IFERROR(INDEX(FX_Rates!$D:$D,MATCH($H1702,FX_Rates!$A:$A,0)),""))</f>
        <v>1</v>
      </c>
      <c r="S1702" s="26" t="str">
        <f aca="false">IF(AND($I1702="",$J1702=""),"",IF($J1702&lt;&gt;"",$J1702,IF(OR($R1702="",$R1702=0),"",ROUND($I1702/$R1702,2))))</f>
        <v/>
      </c>
      <c r="T1702" s="24" t="str">
        <f aca="false">IF($N1702="","",IFERROR(INDEX(VAT_Codes!$C:$C,MATCH($N1702,VAT_Codes!$A:$A,0)),"")&amp;"")</f>
        <v/>
      </c>
      <c r="U1702" s="26" t="n">
        <f aca="false">IF(OR($S1702="",$T1702="",$T1702="None"),0,IF($T1702="Output",-$S1702,$S1702))</f>
        <v>0</v>
      </c>
      <c r="V1702" s="27" t="n">
        <f aca="false">IF($N1702="",0,IFERROR(INDEX(VAT_Codes!$D:$D,MATCH($N1702,VAT_Codes!$A:$A,0)),0))</f>
        <v>0</v>
      </c>
      <c r="W1702" s="26" t="n">
        <f aca="false">IF($U1702=0,0,IF(IFERROR(INDEX(VAT_Codes!$F:$F,MATCH($N1702,VAT_Codes!$A:$A,0)),"N")="Y",$U1702,IF($L1702&lt;&gt;"",ROUND(ABS($L1702)/IF(OR($R1702="",$R1702=0),1,$R1702),2)*SIGN($U1702),ROUND($U1702*$V1702,2))))</f>
        <v>0</v>
      </c>
      <c r="X1702" s="24" t="str">
        <f aca="false">IF($N1702="","",IFERROR(INDEX(VAT_Codes!$H:$H,MATCH($N1702,VAT_Codes!$A:$A,0)),"")&amp;"")</f>
        <v/>
      </c>
      <c r="Y1702" s="24" t="str">
        <f aca="false">IF($A1702="","",(YEAR($A1702)-YEAR(Settings!$C$8))*12+MONTH($A1702)-MONTH(Settings!$C$8)+1)</f>
        <v/>
      </c>
      <c r="Z1702" s="24" t="str">
        <f aca="false">IF(AND($C1702="",$I1702="",$J1702=""),"",IF($N1702="","NO VAT CODE",IF($T1702="","UNKNOWN VAT CODE",IF($S1702="","MISSING FX RATE",IF(OR($A1702&lt;Settings!$C$8,$A1702&gt;Settings!$C$9),"OUTSIDE PERIOD",IF(AND(IFERROR(INDEX(VAT_Codes!$E:$E,MATCH($N1702,VAT_Codes!$A:$A,0)),"ANY")&lt;&gt;"ANY",$P1702=""),"MISSING COUNTERPARTY COUNTRY",IF(AND(IFERROR(INDEX(VAT_Codes!$E:$E,MATCH($N1702,VAT_Codes!$A:$A,0)),"ANY")&lt;&gt;"ANY",$P1702&lt;&gt;IFERROR(INDEX(VAT_Codes!$E:$E,MATCH($N1702,VAT_Codes!$A:$A,0)),"ANY")),"REGION MISMATCH","OK")))))))</f>
        <v/>
      </c>
    </row>
    <row r="1703" customFormat="false" ht="15" hidden="false" customHeight="false" outlineLevel="0" collapsed="false">
      <c r="M1703" s="24" t="str">
        <f aca="false">IF($C1703="","",IFERROR(INDEX(Account_Mapping!$C:$C,MATCH($C1703&amp;"",Account_Mapping!$A:$A,0))&amp;"",""))</f>
        <v/>
      </c>
      <c r="N1703" s="24" t="str">
        <f aca="false">IF($K1703&lt;&gt;"",$K1703,$M1703)</f>
        <v/>
      </c>
      <c r="O1703" s="24" t="str">
        <f aca="false">IF($F1703="","",IFERROR(INDEX(Counterparties!$C:$C,MATCH($F1703&amp;"",Counterparties!$A:$A,0))&amp;"",""))</f>
        <v/>
      </c>
      <c r="P1703" s="24" t="str">
        <f aca="false">IF($O1703="","",IF($O1703="CY","CY",IF(ISNUMBER(MATCH($O1703,Lists!$A:$A,0)),"EU","3RD")))</f>
        <v/>
      </c>
      <c r="Q1703" s="24" t="str">
        <f aca="false">IF($F1703="","N",IFERROR(IF(INDEX(Counterparties!$E:$E,MATCH($F1703&amp;"",Counterparties!$A:$A,0))="Y","Y","N"),"N"))</f>
        <v>N</v>
      </c>
      <c r="R1703" s="25" t="n">
        <f aca="false">IF(OR($H1703="",$H1703="EUR"),1,IFERROR(INDEX(FX_Rates!$D:$D,MATCH($H1703,FX_Rates!$A:$A,0)),""))</f>
        <v>1</v>
      </c>
      <c r="S1703" s="26" t="str">
        <f aca="false">IF(AND($I1703="",$J1703=""),"",IF($J1703&lt;&gt;"",$J1703,IF(OR($R1703="",$R1703=0),"",ROUND($I1703/$R1703,2))))</f>
        <v/>
      </c>
      <c r="T1703" s="24" t="str">
        <f aca="false">IF($N1703="","",IFERROR(INDEX(VAT_Codes!$C:$C,MATCH($N1703,VAT_Codes!$A:$A,0)),"")&amp;"")</f>
        <v/>
      </c>
      <c r="U1703" s="26" t="n">
        <f aca="false">IF(OR($S1703="",$T1703="",$T1703="None"),0,IF($T1703="Output",-$S1703,$S1703))</f>
        <v>0</v>
      </c>
      <c r="V1703" s="27" t="n">
        <f aca="false">IF($N1703="",0,IFERROR(INDEX(VAT_Codes!$D:$D,MATCH($N1703,VAT_Codes!$A:$A,0)),0))</f>
        <v>0</v>
      </c>
      <c r="W1703" s="26" t="n">
        <f aca="false">IF($U1703=0,0,IF(IFERROR(INDEX(VAT_Codes!$F:$F,MATCH($N1703,VAT_Codes!$A:$A,0)),"N")="Y",$U1703,IF($L1703&lt;&gt;"",ROUND(ABS($L1703)/IF(OR($R1703="",$R1703=0),1,$R1703),2)*SIGN($U1703),ROUND($U1703*$V1703,2))))</f>
        <v>0</v>
      </c>
      <c r="X1703" s="24" t="str">
        <f aca="false">IF($N1703="","",IFERROR(INDEX(VAT_Codes!$H:$H,MATCH($N1703,VAT_Codes!$A:$A,0)),"")&amp;"")</f>
        <v/>
      </c>
      <c r="Y1703" s="24" t="str">
        <f aca="false">IF($A1703="","",(YEAR($A1703)-YEAR(Settings!$C$8))*12+MONTH($A1703)-MONTH(Settings!$C$8)+1)</f>
        <v/>
      </c>
      <c r="Z1703" s="24" t="str">
        <f aca="false">IF(AND($C1703="",$I1703="",$J1703=""),"",IF($N1703="","NO VAT CODE",IF($T1703="","UNKNOWN VAT CODE",IF($S1703="","MISSING FX RATE",IF(OR($A1703&lt;Settings!$C$8,$A1703&gt;Settings!$C$9),"OUTSIDE PERIOD",IF(AND(IFERROR(INDEX(VAT_Codes!$E:$E,MATCH($N1703,VAT_Codes!$A:$A,0)),"ANY")&lt;&gt;"ANY",$P1703=""),"MISSING COUNTERPARTY COUNTRY",IF(AND(IFERROR(INDEX(VAT_Codes!$E:$E,MATCH($N1703,VAT_Codes!$A:$A,0)),"ANY")&lt;&gt;"ANY",$P1703&lt;&gt;IFERROR(INDEX(VAT_Codes!$E:$E,MATCH($N1703,VAT_Codes!$A:$A,0)),"ANY")),"REGION MISMATCH","OK")))))))</f>
        <v/>
      </c>
    </row>
    <row r="1704" customFormat="false" ht="15" hidden="false" customHeight="false" outlineLevel="0" collapsed="false">
      <c r="M1704" s="24" t="str">
        <f aca="false">IF($C1704="","",IFERROR(INDEX(Account_Mapping!$C:$C,MATCH($C1704&amp;"",Account_Mapping!$A:$A,0))&amp;"",""))</f>
        <v/>
      </c>
      <c r="N1704" s="24" t="str">
        <f aca="false">IF($K1704&lt;&gt;"",$K1704,$M1704)</f>
        <v/>
      </c>
      <c r="O1704" s="24" t="str">
        <f aca="false">IF($F1704="","",IFERROR(INDEX(Counterparties!$C:$C,MATCH($F1704&amp;"",Counterparties!$A:$A,0))&amp;"",""))</f>
        <v/>
      </c>
      <c r="P1704" s="24" t="str">
        <f aca="false">IF($O1704="","",IF($O1704="CY","CY",IF(ISNUMBER(MATCH($O1704,Lists!$A:$A,0)),"EU","3RD")))</f>
        <v/>
      </c>
      <c r="Q1704" s="24" t="str">
        <f aca="false">IF($F1704="","N",IFERROR(IF(INDEX(Counterparties!$E:$E,MATCH($F1704&amp;"",Counterparties!$A:$A,0))="Y","Y","N"),"N"))</f>
        <v>N</v>
      </c>
      <c r="R1704" s="25" t="n">
        <f aca="false">IF(OR($H1704="",$H1704="EUR"),1,IFERROR(INDEX(FX_Rates!$D:$D,MATCH($H1704,FX_Rates!$A:$A,0)),""))</f>
        <v>1</v>
      </c>
      <c r="S1704" s="26" t="str">
        <f aca="false">IF(AND($I1704="",$J1704=""),"",IF($J1704&lt;&gt;"",$J1704,IF(OR($R1704="",$R1704=0),"",ROUND($I1704/$R1704,2))))</f>
        <v/>
      </c>
      <c r="T1704" s="24" t="str">
        <f aca="false">IF($N1704="","",IFERROR(INDEX(VAT_Codes!$C:$C,MATCH($N1704,VAT_Codes!$A:$A,0)),"")&amp;"")</f>
        <v/>
      </c>
      <c r="U1704" s="26" t="n">
        <f aca="false">IF(OR($S1704="",$T1704="",$T1704="None"),0,IF($T1704="Output",-$S1704,$S1704))</f>
        <v>0</v>
      </c>
      <c r="V1704" s="27" t="n">
        <f aca="false">IF($N1704="",0,IFERROR(INDEX(VAT_Codes!$D:$D,MATCH($N1704,VAT_Codes!$A:$A,0)),0))</f>
        <v>0</v>
      </c>
      <c r="W1704" s="26" t="n">
        <f aca="false">IF($U1704=0,0,IF(IFERROR(INDEX(VAT_Codes!$F:$F,MATCH($N1704,VAT_Codes!$A:$A,0)),"N")="Y",$U1704,IF($L1704&lt;&gt;"",ROUND(ABS($L1704)/IF(OR($R1704="",$R1704=0),1,$R1704),2)*SIGN($U1704),ROUND($U1704*$V1704,2))))</f>
        <v>0</v>
      </c>
      <c r="X1704" s="24" t="str">
        <f aca="false">IF($N1704="","",IFERROR(INDEX(VAT_Codes!$H:$H,MATCH($N1704,VAT_Codes!$A:$A,0)),"")&amp;"")</f>
        <v/>
      </c>
      <c r="Y1704" s="24" t="str">
        <f aca="false">IF($A1704="","",(YEAR($A1704)-YEAR(Settings!$C$8))*12+MONTH($A1704)-MONTH(Settings!$C$8)+1)</f>
        <v/>
      </c>
      <c r="Z1704" s="24" t="str">
        <f aca="false">IF(AND($C1704="",$I1704="",$J1704=""),"",IF($N1704="","NO VAT CODE",IF($T1704="","UNKNOWN VAT CODE",IF($S1704="","MISSING FX RATE",IF(OR($A1704&lt;Settings!$C$8,$A1704&gt;Settings!$C$9),"OUTSIDE PERIOD",IF(AND(IFERROR(INDEX(VAT_Codes!$E:$E,MATCH($N1704,VAT_Codes!$A:$A,0)),"ANY")&lt;&gt;"ANY",$P1704=""),"MISSING COUNTERPARTY COUNTRY",IF(AND(IFERROR(INDEX(VAT_Codes!$E:$E,MATCH($N1704,VAT_Codes!$A:$A,0)),"ANY")&lt;&gt;"ANY",$P1704&lt;&gt;IFERROR(INDEX(VAT_Codes!$E:$E,MATCH($N1704,VAT_Codes!$A:$A,0)),"ANY")),"REGION MISMATCH","OK")))))))</f>
        <v/>
      </c>
    </row>
    <row r="1705" customFormat="false" ht="15" hidden="false" customHeight="false" outlineLevel="0" collapsed="false">
      <c r="M1705" s="24" t="str">
        <f aca="false">IF($C1705="","",IFERROR(INDEX(Account_Mapping!$C:$C,MATCH($C1705&amp;"",Account_Mapping!$A:$A,0))&amp;"",""))</f>
        <v/>
      </c>
      <c r="N1705" s="24" t="str">
        <f aca="false">IF($K1705&lt;&gt;"",$K1705,$M1705)</f>
        <v/>
      </c>
      <c r="O1705" s="24" t="str">
        <f aca="false">IF($F1705="","",IFERROR(INDEX(Counterparties!$C:$C,MATCH($F1705&amp;"",Counterparties!$A:$A,0))&amp;"",""))</f>
        <v/>
      </c>
      <c r="P1705" s="24" t="str">
        <f aca="false">IF($O1705="","",IF($O1705="CY","CY",IF(ISNUMBER(MATCH($O1705,Lists!$A:$A,0)),"EU","3RD")))</f>
        <v/>
      </c>
      <c r="Q1705" s="24" t="str">
        <f aca="false">IF($F1705="","N",IFERROR(IF(INDEX(Counterparties!$E:$E,MATCH($F1705&amp;"",Counterparties!$A:$A,0))="Y","Y","N"),"N"))</f>
        <v>N</v>
      </c>
      <c r="R1705" s="25" t="n">
        <f aca="false">IF(OR($H1705="",$H1705="EUR"),1,IFERROR(INDEX(FX_Rates!$D:$D,MATCH($H1705,FX_Rates!$A:$A,0)),""))</f>
        <v>1</v>
      </c>
      <c r="S1705" s="26" t="str">
        <f aca="false">IF(AND($I1705="",$J1705=""),"",IF($J1705&lt;&gt;"",$J1705,IF(OR($R1705="",$R1705=0),"",ROUND($I1705/$R1705,2))))</f>
        <v/>
      </c>
      <c r="T1705" s="24" t="str">
        <f aca="false">IF($N1705="","",IFERROR(INDEX(VAT_Codes!$C:$C,MATCH($N1705,VAT_Codes!$A:$A,0)),"")&amp;"")</f>
        <v/>
      </c>
      <c r="U1705" s="26" t="n">
        <f aca="false">IF(OR($S1705="",$T1705="",$T1705="None"),0,IF($T1705="Output",-$S1705,$S1705))</f>
        <v>0</v>
      </c>
      <c r="V1705" s="27" t="n">
        <f aca="false">IF($N1705="",0,IFERROR(INDEX(VAT_Codes!$D:$D,MATCH($N1705,VAT_Codes!$A:$A,0)),0))</f>
        <v>0</v>
      </c>
      <c r="W1705" s="26" t="n">
        <f aca="false">IF($U1705=0,0,IF(IFERROR(INDEX(VAT_Codes!$F:$F,MATCH($N1705,VAT_Codes!$A:$A,0)),"N")="Y",$U1705,IF($L1705&lt;&gt;"",ROUND(ABS($L1705)/IF(OR($R1705="",$R1705=0),1,$R1705),2)*SIGN($U1705),ROUND($U1705*$V1705,2))))</f>
        <v>0</v>
      </c>
      <c r="X1705" s="24" t="str">
        <f aca="false">IF($N1705="","",IFERROR(INDEX(VAT_Codes!$H:$H,MATCH($N1705,VAT_Codes!$A:$A,0)),"")&amp;"")</f>
        <v/>
      </c>
      <c r="Y1705" s="24" t="str">
        <f aca="false">IF($A1705="","",(YEAR($A1705)-YEAR(Settings!$C$8))*12+MONTH($A1705)-MONTH(Settings!$C$8)+1)</f>
        <v/>
      </c>
      <c r="Z1705" s="24" t="str">
        <f aca="false">IF(AND($C1705="",$I1705="",$J1705=""),"",IF($N1705="","NO VAT CODE",IF($T1705="","UNKNOWN VAT CODE",IF($S1705="","MISSING FX RATE",IF(OR($A1705&lt;Settings!$C$8,$A1705&gt;Settings!$C$9),"OUTSIDE PERIOD",IF(AND(IFERROR(INDEX(VAT_Codes!$E:$E,MATCH($N1705,VAT_Codes!$A:$A,0)),"ANY")&lt;&gt;"ANY",$P1705=""),"MISSING COUNTERPARTY COUNTRY",IF(AND(IFERROR(INDEX(VAT_Codes!$E:$E,MATCH($N1705,VAT_Codes!$A:$A,0)),"ANY")&lt;&gt;"ANY",$P1705&lt;&gt;IFERROR(INDEX(VAT_Codes!$E:$E,MATCH($N1705,VAT_Codes!$A:$A,0)),"ANY")),"REGION MISMATCH","OK")))))))</f>
        <v/>
      </c>
    </row>
    <row r="1706" customFormat="false" ht="15" hidden="false" customHeight="false" outlineLevel="0" collapsed="false">
      <c r="M1706" s="24" t="str">
        <f aca="false">IF($C1706="","",IFERROR(INDEX(Account_Mapping!$C:$C,MATCH($C1706&amp;"",Account_Mapping!$A:$A,0))&amp;"",""))</f>
        <v/>
      </c>
      <c r="N1706" s="24" t="str">
        <f aca="false">IF($K1706&lt;&gt;"",$K1706,$M1706)</f>
        <v/>
      </c>
      <c r="O1706" s="24" t="str">
        <f aca="false">IF($F1706="","",IFERROR(INDEX(Counterparties!$C:$C,MATCH($F1706&amp;"",Counterparties!$A:$A,0))&amp;"",""))</f>
        <v/>
      </c>
      <c r="P1706" s="24" t="str">
        <f aca="false">IF($O1706="","",IF($O1706="CY","CY",IF(ISNUMBER(MATCH($O1706,Lists!$A:$A,0)),"EU","3RD")))</f>
        <v/>
      </c>
      <c r="Q1706" s="24" t="str">
        <f aca="false">IF($F1706="","N",IFERROR(IF(INDEX(Counterparties!$E:$E,MATCH($F1706&amp;"",Counterparties!$A:$A,0))="Y","Y","N"),"N"))</f>
        <v>N</v>
      </c>
      <c r="R1706" s="25" t="n">
        <f aca="false">IF(OR($H1706="",$H1706="EUR"),1,IFERROR(INDEX(FX_Rates!$D:$D,MATCH($H1706,FX_Rates!$A:$A,0)),""))</f>
        <v>1</v>
      </c>
      <c r="S1706" s="26" t="str">
        <f aca="false">IF(AND($I1706="",$J1706=""),"",IF($J1706&lt;&gt;"",$J1706,IF(OR($R1706="",$R1706=0),"",ROUND($I1706/$R1706,2))))</f>
        <v/>
      </c>
      <c r="T1706" s="24" t="str">
        <f aca="false">IF($N1706="","",IFERROR(INDEX(VAT_Codes!$C:$C,MATCH($N1706,VAT_Codes!$A:$A,0)),"")&amp;"")</f>
        <v/>
      </c>
      <c r="U1706" s="26" t="n">
        <f aca="false">IF(OR($S1706="",$T1706="",$T1706="None"),0,IF($T1706="Output",-$S1706,$S1706))</f>
        <v>0</v>
      </c>
      <c r="V1706" s="27" t="n">
        <f aca="false">IF($N1706="",0,IFERROR(INDEX(VAT_Codes!$D:$D,MATCH($N1706,VAT_Codes!$A:$A,0)),0))</f>
        <v>0</v>
      </c>
      <c r="W1706" s="26" t="n">
        <f aca="false">IF($U1706=0,0,IF(IFERROR(INDEX(VAT_Codes!$F:$F,MATCH($N1706,VAT_Codes!$A:$A,0)),"N")="Y",$U1706,IF($L1706&lt;&gt;"",ROUND(ABS($L1706)/IF(OR($R1706="",$R1706=0),1,$R1706),2)*SIGN($U1706),ROUND($U1706*$V1706,2))))</f>
        <v>0</v>
      </c>
      <c r="X1706" s="24" t="str">
        <f aca="false">IF($N1706="","",IFERROR(INDEX(VAT_Codes!$H:$H,MATCH($N1706,VAT_Codes!$A:$A,0)),"")&amp;"")</f>
        <v/>
      </c>
      <c r="Y1706" s="24" t="str">
        <f aca="false">IF($A1706="","",(YEAR($A1706)-YEAR(Settings!$C$8))*12+MONTH($A1706)-MONTH(Settings!$C$8)+1)</f>
        <v/>
      </c>
      <c r="Z1706" s="24" t="str">
        <f aca="false">IF(AND($C1706="",$I1706="",$J1706=""),"",IF($N1706="","NO VAT CODE",IF($T1706="","UNKNOWN VAT CODE",IF($S1706="","MISSING FX RATE",IF(OR($A1706&lt;Settings!$C$8,$A1706&gt;Settings!$C$9),"OUTSIDE PERIOD",IF(AND(IFERROR(INDEX(VAT_Codes!$E:$E,MATCH($N1706,VAT_Codes!$A:$A,0)),"ANY")&lt;&gt;"ANY",$P1706=""),"MISSING COUNTERPARTY COUNTRY",IF(AND(IFERROR(INDEX(VAT_Codes!$E:$E,MATCH($N1706,VAT_Codes!$A:$A,0)),"ANY")&lt;&gt;"ANY",$P1706&lt;&gt;IFERROR(INDEX(VAT_Codes!$E:$E,MATCH($N1706,VAT_Codes!$A:$A,0)),"ANY")),"REGION MISMATCH","OK")))))))</f>
        <v/>
      </c>
    </row>
    <row r="1707" customFormat="false" ht="15" hidden="false" customHeight="false" outlineLevel="0" collapsed="false">
      <c r="M1707" s="24" t="str">
        <f aca="false">IF($C1707="","",IFERROR(INDEX(Account_Mapping!$C:$C,MATCH($C1707&amp;"",Account_Mapping!$A:$A,0))&amp;"",""))</f>
        <v/>
      </c>
      <c r="N1707" s="24" t="str">
        <f aca="false">IF($K1707&lt;&gt;"",$K1707,$M1707)</f>
        <v/>
      </c>
      <c r="O1707" s="24" t="str">
        <f aca="false">IF($F1707="","",IFERROR(INDEX(Counterparties!$C:$C,MATCH($F1707&amp;"",Counterparties!$A:$A,0))&amp;"",""))</f>
        <v/>
      </c>
      <c r="P1707" s="24" t="str">
        <f aca="false">IF($O1707="","",IF($O1707="CY","CY",IF(ISNUMBER(MATCH($O1707,Lists!$A:$A,0)),"EU","3RD")))</f>
        <v/>
      </c>
      <c r="Q1707" s="24" t="str">
        <f aca="false">IF($F1707="","N",IFERROR(IF(INDEX(Counterparties!$E:$E,MATCH($F1707&amp;"",Counterparties!$A:$A,0))="Y","Y","N"),"N"))</f>
        <v>N</v>
      </c>
      <c r="R1707" s="25" t="n">
        <f aca="false">IF(OR($H1707="",$H1707="EUR"),1,IFERROR(INDEX(FX_Rates!$D:$D,MATCH($H1707,FX_Rates!$A:$A,0)),""))</f>
        <v>1</v>
      </c>
      <c r="S1707" s="26" t="str">
        <f aca="false">IF(AND($I1707="",$J1707=""),"",IF($J1707&lt;&gt;"",$J1707,IF(OR($R1707="",$R1707=0),"",ROUND($I1707/$R1707,2))))</f>
        <v/>
      </c>
      <c r="T1707" s="24" t="str">
        <f aca="false">IF($N1707="","",IFERROR(INDEX(VAT_Codes!$C:$C,MATCH($N1707,VAT_Codes!$A:$A,0)),"")&amp;"")</f>
        <v/>
      </c>
      <c r="U1707" s="26" t="n">
        <f aca="false">IF(OR($S1707="",$T1707="",$T1707="None"),0,IF($T1707="Output",-$S1707,$S1707))</f>
        <v>0</v>
      </c>
      <c r="V1707" s="27" t="n">
        <f aca="false">IF($N1707="",0,IFERROR(INDEX(VAT_Codes!$D:$D,MATCH($N1707,VAT_Codes!$A:$A,0)),0))</f>
        <v>0</v>
      </c>
      <c r="W1707" s="26" t="n">
        <f aca="false">IF($U1707=0,0,IF(IFERROR(INDEX(VAT_Codes!$F:$F,MATCH($N1707,VAT_Codes!$A:$A,0)),"N")="Y",$U1707,IF($L1707&lt;&gt;"",ROUND(ABS($L1707)/IF(OR($R1707="",$R1707=0),1,$R1707),2)*SIGN($U1707),ROUND($U1707*$V1707,2))))</f>
        <v>0</v>
      </c>
      <c r="X1707" s="24" t="str">
        <f aca="false">IF($N1707="","",IFERROR(INDEX(VAT_Codes!$H:$H,MATCH($N1707,VAT_Codes!$A:$A,0)),"")&amp;"")</f>
        <v/>
      </c>
      <c r="Y1707" s="24" t="str">
        <f aca="false">IF($A1707="","",(YEAR($A1707)-YEAR(Settings!$C$8))*12+MONTH($A1707)-MONTH(Settings!$C$8)+1)</f>
        <v/>
      </c>
      <c r="Z1707" s="24" t="str">
        <f aca="false">IF(AND($C1707="",$I1707="",$J1707=""),"",IF($N1707="","NO VAT CODE",IF($T1707="","UNKNOWN VAT CODE",IF($S1707="","MISSING FX RATE",IF(OR($A1707&lt;Settings!$C$8,$A1707&gt;Settings!$C$9),"OUTSIDE PERIOD",IF(AND(IFERROR(INDEX(VAT_Codes!$E:$E,MATCH($N1707,VAT_Codes!$A:$A,0)),"ANY")&lt;&gt;"ANY",$P1707=""),"MISSING COUNTERPARTY COUNTRY",IF(AND(IFERROR(INDEX(VAT_Codes!$E:$E,MATCH($N1707,VAT_Codes!$A:$A,0)),"ANY")&lt;&gt;"ANY",$P1707&lt;&gt;IFERROR(INDEX(VAT_Codes!$E:$E,MATCH($N1707,VAT_Codes!$A:$A,0)),"ANY")),"REGION MISMATCH","OK")))))))</f>
        <v/>
      </c>
    </row>
    <row r="1708" customFormat="false" ht="15" hidden="false" customHeight="false" outlineLevel="0" collapsed="false">
      <c r="M1708" s="24" t="str">
        <f aca="false">IF($C1708="","",IFERROR(INDEX(Account_Mapping!$C:$C,MATCH($C1708&amp;"",Account_Mapping!$A:$A,0))&amp;"",""))</f>
        <v/>
      </c>
      <c r="N1708" s="24" t="str">
        <f aca="false">IF($K1708&lt;&gt;"",$K1708,$M1708)</f>
        <v/>
      </c>
      <c r="O1708" s="24" t="str">
        <f aca="false">IF($F1708="","",IFERROR(INDEX(Counterparties!$C:$C,MATCH($F1708&amp;"",Counterparties!$A:$A,0))&amp;"",""))</f>
        <v/>
      </c>
      <c r="P1708" s="24" t="str">
        <f aca="false">IF($O1708="","",IF($O1708="CY","CY",IF(ISNUMBER(MATCH($O1708,Lists!$A:$A,0)),"EU","3RD")))</f>
        <v/>
      </c>
      <c r="Q1708" s="24" t="str">
        <f aca="false">IF($F1708="","N",IFERROR(IF(INDEX(Counterparties!$E:$E,MATCH($F1708&amp;"",Counterparties!$A:$A,0))="Y","Y","N"),"N"))</f>
        <v>N</v>
      </c>
      <c r="R1708" s="25" t="n">
        <f aca="false">IF(OR($H1708="",$H1708="EUR"),1,IFERROR(INDEX(FX_Rates!$D:$D,MATCH($H1708,FX_Rates!$A:$A,0)),""))</f>
        <v>1</v>
      </c>
      <c r="S1708" s="26" t="str">
        <f aca="false">IF(AND($I1708="",$J1708=""),"",IF($J1708&lt;&gt;"",$J1708,IF(OR($R1708="",$R1708=0),"",ROUND($I1708/$R1708,2))))</f>
        <v/>
      </c>
      <c r="T1708" s="24" t="str">
        <f aca="false">IF($N1708="","",IFERROR(INDEX(VAT_Codes!$C:$C,MATCH($N1708,VAT_Codes!$A:$A,0)),"")&amp;"")</f>
        <v/>
      </c>
      <c r="U1708" s="26" t="n">
        <f aca="false">IF(OR($S1708="",$T1708="",$T1708="None"),0,IF($T1708="Output",-$S1708,$S1708))</f>
        <v>0</v>
      </c>
      <c r="V1708" s="27" t="n">
        <f aca="false">IF($N1708="",0,IFERROR(INDEX(VAT_Codes!$D:$D,MATCH($N1708,VAT_Codes!$A:$A,0)),0))</f>
        <v>0</v>
      </c>
      <c r="W1708" s="26" t="n">
        <f aca="false">IF($U1708=0,0,IF(IFERROR(INDEX(VAT_Codes!$F:$F,MATCH($N1708,VAT_Codes!$A:$A,0)),"N")="Y",$U1708,IF($L1708&lt;&gt;"",ROUND(ABS($L1708)/IF(OR($R1708="",$R1708=0),1,$R1708),2)*SIGN($U1708),ROUND($U1708*$V1708,2))))</f>
        <v>0</v>
      </c>
      <c r="X1708" s="24" t="str">
        <f aca="false">IF($N1708="","",IFERROR(INDEX(VAT_Codes!$H:$H,MATCH($N1708,VAT_Codes!$A:$A,0)),"")&amp;"")</f>
        <v/>
      </c>
      <c r="Y1708" s="24" t="str">
        <f aca="false">IF($A1708="","",(YEAR($A1708)-YEAR(Settings!$C$8))*12+MONTH($A1708)-MONTH(Settings!$C$8)+1)</f>
        <v/>
      </c>
      <c r="Z1708" s="24" t="str">
        <f aca="false">IF(AND($C1708="",$I1708="",$J1708=""),"",IF($N1708="","NO VAT CODE",IF($T1708="","UNKNOWN VAT CODE",IF($S1708="","MISSING FX RATE",IF(OR($A1708&lt;Settings!$C$8,$A1708&gt;Settings!$C$9),"OUTSIDE PERIOD",IF(AND(IFERROR(INDEX(VAT_Codes!$E:$E,MATCH($N1708,VAT_Codes!$A:$A,0)),"ANY")&lt;&gt;"ANY",$P1708=""),"MISSING COUNTERPARTY COUNTRY",IF(AND(IFERROR(INDEX(VAT_Codes!$E:$E,MATCH($N1708,VAT_Codes!$A:$A,0)),"ANY")&lt;&gt;"ANY",$P1708&lt;&gt;IFERROR(INDEX(VAT_Codes!$E:$E,MATCH($N1708,VAT_Codes!$A:$A,0)),"ANY")),"REGION MISMATCH","OK")))))))</f>
        <v/>
      </c>
    </row>
    <row r="1709" customFormat="false" ht="15" hidden="false" customHeight="false" outlineLevel="0" collapsed="false">
      <c r="M1709" s="24" t="str">
        <f aca="false">IF($C1709="","",IFERROR(INDEX(Account_Mapping!$C:$C,MATCH($C1709&amp;"",Account_Mapping!$A:$A,0))&amp;"",""))</f>
        <v/>
      </c>
      <c r="N1709" s="24" t="str">
        <f aca="false">IF($K1709&lt;&gt;"",$K1709,$M1709)</f>
        <v/>
      </c>
      <c r="O1709" s="24" t="str">
        <f aca="false">IF($F1709="","",IFERROR(INDEX(Counterparties!$C:$C,MATCH($F1709&amp;"",Counterparties!$A:$A,0))&amp;"",""))</f>
        <v/>
      </c>
      <c r="P1709" s="24" t="str">
        <f aca="false">IF($O1709="","",IF($O1709="CY","CY",IF(ISNUMBER(MATCH($O1709,Lists!$A:$A,0)),"EU","3RD")))</f>
        <v/>
      </c>
      <c r="Q1709" s="24" t="str">
        <f aca="false">IF($F1709="","N",IFERROR(IF(INDEX(Counterparties!$E:$E,MATCH($F1709&amp;"",Counterparties!$A:$A,0))="Y","Y","N"),"N"))</f>
        <v>N</v>
      </c>
      <c r="R1709" s="25" t="n">
        <f aca="false">IF(OR($H1709="",$H1709="EUR"),1,IFERROR(INDEX(FX_Rates!$D:$D,MATCH($H1709,FX_Rates!$A:$A,0)),""))</f>
        <v>1</v>
      </c>
      <c r="S1709" s="26" t="str">
        <f aca="false">IF(AND($I1709="",$J1709=""),"",IF($J1709&lt;&gt;"",$J1709,IF(OR($R1709="",$R1709=0),"",ROUND($I1709/$R1709,2))))</f>
        <v/>
      </c>
      <c r="T1709" s="24" t="str">
        <f aca="false">IF($N1709="","",IFERROR(INDEX(VAT_Codes!$C:$C,MATCH($N1709,VAT_Codes!$A:$A,0)),"")&amp;"")</f>
        <v/>
      </c>
      <c r="U1709" s="26" t="n">
        <f aca="false">IF(OR($S1709="",$T1709="",$T1709="None"),0,IF($T1709="Output",-$S1709,$S1709))</f>
        <v>0</v>
      </c>
      <c r="V1709" s="27" t="n">
        <f aca="false">IF($N1709="",0,IFERROR(INDEX(VAT_Codes!$D:$D,MATCH($N1709,VAT_Codes!$A:$A,0)),0))</f>
        <v>0</v>
      </c>
      <c r="W1709" s="26" t="n">
        <f aca="false">IF($U1709=0,0,IF(IFERROR(INDEX(VAT_Codes!$F:$F,MATCH($N1709,VAT_Codes!$A:$A,0)),"N")="Y",$U1709,IF($L1709&lt;&gt;"",ROUND(ABS($L1709)/IF(OR($R1709="",$R1709=0),1,$R1709),2)*SIGN($U1709),ROUND($U1709*$V1709,2))))</f>
        <v>0</v>
      </c>
      <c r="X1709" s="24" t="str">
        <f aca="false">IF($N1709="","",IFERROR(INDEX(VAT_Codes!$H:$H,MATCH($N1709,VAT_Codes!$A:$A,0)),"")&amp;"")</f>
        <v/>
      </c>
      <c r="Y1709" s="24" t="str">
        <f aca="false">IF($A1709="","",(YEAR($A1709)-YEAR(Settings!$C$8))*12+MONTH($A1709)-MONTH(Settings!$C$8)+1)</f>
        <v/>
      </c>
      <c r="Z1709" s="24" t="str">
        <f aca="false">IF(AND($C1709="",$I1709="",$J1709=""),"",IF($N1709="","NO VAT CODE",IF($T1709="","UNKNOWN VAT CODE",IF($S1709="","MISSING FX RATE",IF(OR($A1709&lt;Settings!$C$8,$A1709&gt;Settings!$C$9),"OUTSIDE PERIOD",IF(AND(IFERROR(INDEX(VAT_Codes!$E:$E,MATCH($N1709,VAT_Codes!$A:$A,0)),"ANY")&lt;&gt;"ANY",$P1709=""),"MISSING COUNTERPARTY COUNTRY",IF(AND(IFERROR(INDEX(VAT_Codes!$E:$E,MATCH($N1709,VAT_Codes!$A:$A,0)),"ANY")&lt;&gt;"ANY",$P1709&lt;&gt;IFERROR(INDEX(VAT_Codes!$E:$E,MATCH($N1709,VAT_Codes!$A:$A,0)),"ANY")),"REGION MISMATCH","OK")))))))</f>
        <v/>
      </c>
    </row>
    <row r="1710" customFormat="false" ht="15" hidden="false" customHeight="false" outlineLevel="0" collapsed="false">
      <c r="M1710" s="24" t="str">
        <f aca="false">IF($C1710="","",IFERROR(INDEX(Account_Mapping!$C:$C,MATCH($C1710&amp;"",Account_Mapping!$A:$A,0))&amp;"",""))</f>
        <v/>
      </c>
      <c r="N1710" s="24" t="str">
        <f aca="false">IF($K1710&lt;&gt;"",$K1710,$M1710)</f>
        <v/>
      </c>
      <c r="O1710" s="24" t="str">
        <f aca="false">IF($F1710="","",IFERROR(INDEX(Counterparties!$C:$C,MATCH($F1710&amp;"",Counterparties!$A:$A,0))&amp;"",""))</f>
        <v/>
      </c>
      <c r="P1710" s="24" t="str">
        <f aca="false">IF($O1710="","",IF($O1710="CY","CY",IF(ISNUMBER(MATCH($O1710,Lists!$A:$A,0)),"EU","3RD")))</f>
        <v/>
      </c>
      <c r="Q1710" s="24" t="str">
        <f aca="false">IF($F1710="","N",IFERROR(IF(INDEX(Counterparties!$E:$E,MATCH($F1710&amp;"",Counterparties!$A:$A,0))="Y","Y","N"),"N"))</f>
        <v>N</v>
      </c>
      <c r="R1710" s="25" t="n">
        <f aca="false">IF(OR($H1710="",$H1710="EUR"),1,IFERROR(INDEX(FX_Rates!$D:$D,MATCH($H1710,FX_Rates!$A:$A,0)),""))</f>
        <v>1</v>
      </c>
      <c r="S1710" s="26" t="str">
        <f aca="false">IF(AND($I1710="",$J1710=""),"",IF($J1710&lt;&gt;"",$J1710,IF(OR($R1710="",$R1710=0),"",ROUND($I1710/$R1710,2))))</f>
        <v/>
      </c>
      <c r="T1710" s="24" t="str">
        <f aca="false">IF($N1710="","",IFERROR(INDEX(VAT_Codes!$C:$C,MATCH($N1710,VAT_Codes!$A:$A,0)),"")&amp;"")</f>
        <v/>
      </c>
      <c r="U1710" s="26" t="n">
        <f aca="false">IF(OR($S1710="",$T1710="",$T1710="None"),0,IF($T1710="Output",-$S1710,$S1710))</f>
        <v>0</v>
      </c>
      <c r="V1710" s="27" t="n">
        <f aca="false">IF($N1710="",0,IFERROR(INDEX(VAT_Codes!$D:$D,MATCH($N1710,VAT_Codes!$A:$A,0)),0))</f>
        <v>0</v>
      </c>
      <c r="W1710" s="26" t="n">
        <f aca="false">IF($U1710=0,0,IF(IFERROR(INDEX(VAT_Codes!$F:$F,MATCH($N1710,VAT_Codes!$A:$A,0)),"N")="Y",$U1710,IF($L1710&lt;&gt;"",ROUND(ABS($L1710)/IF(OR($R1710="",$R1710=0),1,$R1710),2)*SIGN($U1710),ROUND($U1710*$V1710,2))))</f>
        <v>0</v>
      </c>
      <c r="X1710" s="24" t="str">
        <f aca="false">IF($N1710="","",IFERROR(INDEX(VAT_Codes!$H:$H,MATCH($N1710,VAT_Codes!$A:$A,0)),"")&amp;"")</f>
        <v/>
      </c>
      <c r="Y1710" s="24" t="str">
        <f aca="false">IF($A1710="","",(YEAR($A1710)-YEAR(Settings!$C$8))*12+MONTH($A1710)-MONTH(Settings!$C$8)+1)</f>
        <v/>
      </c>
      <c r="Z1710" s="24" t="str">
        <f aca="false">IF(AND($C1710="",$I1710="",$J1710=""),"",IF($N1710="","NO VAT CODE",IF($T1710="","UNKNOWN VAT CODE",IF($S1710="","MISSING FX RATE",IF(OR($A1710&lt;Settings!$C$8,$A1710&gt;Settings!$C$9),"OUTSIDE PERIOD",IF(AND(IFERROR(INDEX(VAT_Codes!$E:$E,MATCH($N1710,VAT_Codes!$A:$A,0)),"ANY")&lt;&gt;"ANY",$P1710=""),"MISSING COUNTERPARTY COUNTRY",IF(AND(IFERROR(INDEX(VAT_Codes!$E:$E,MATCH($N1710,VAT_Codes!$A:$A,0)),"ANY")&lt;&gt;"ANY",$P1710&lt;&gt;IFERROR(INDEX(VAT_Codes!$E:$E,MATCH($N1710,VAT_Codes!$A:$A,0)),"ANY")),"REGION MISMATCH","OK")))))))</f>
        <v/>
      </c>
    </row>
    <row r="1711" customFormat="false" ht="15" hidden="false" customHeight="false" outlineLevel="0" collapsed="false">
      <c r="M1711" s="24" t="str">
        <f aca="false">IF($C1711="","",IFERROR(INDEX(Account_Mapping!$C:$C,MATCH($C1711&amp;"",Account_Mapping!$A:$A,0))&amp;"",""))</f>
        <v/>
      </c>
      <c r="N1711" s="24" t="str">
        <f aca="false">IF($K1711&lt;&gt;"",$K1711,$M1711)</f>
        <v/>
      </c>
      <c r="O1711" s="24" t="str">
        <f aca="false">IF($F1711="","",IFERROR(INDEX(Counterparties!$C:$C,MATCH($F1711&amp;"",Counterparties!$A:$A,0))&amp;"",""))</f>
        <v/>
      </c>
      <c r="P1711" s="24" t="str">
        <f aca="false">IF($O1711="","",IF($O1711="CY","CY",IF(ISNUMBER(MATCH($O1711,Lists!$A:$A,0)),"EU","3RD")))</f>
        <v/>
      </c>
      <c r="Q1711" s="24" t="str">
        <f aca="false">IF($F1711="","N",IFERROR(IF(INDEX(Counterparties!$E:$E,MATCH($F1711&amp;"",Counterparties!$A:$A,0))="Y","Y","N"),"N"))</f>
        <v>N</v>
      </c>
      <c r="R1711" s="25" t="n">
        <f aca="false">IF(OR($H1711="",$H1711="EUR"),1,IFERROR(INDEX(FX_Rates!$D:$D,MATCH($H1711,FX_Rates!$A:$A,0)),""))</f>
        <v>1</v>
      </c>
      <c r="S1711" s="26" t="str">
        <f aca="false">IF(AND($I1711="",$J1711=""),"",IF($J1711&lt;&gt;"",$J1711,IF(OR($R1711="",$R1711=0),"",ROUND($I1711/$R1711,2))))</f>
        <v/>
      </c>
      <c r="T1711" s="24" t="str">
        <f aca="false">IF($N1711="","",IFERROR(INDEX(VAT_Codes!$C:$C,MATCH($N1711,VAT_Codes!$A:$A,0)),"")&amp;"")</f>
        <v/>
      </c>
      <c r="U1711" s="26" t="n">
        <f aca="false">IF(OR($S1711="",$T1711="",$T1711="None"),0,IF($T1711="Output",-$S1711,$S1711))</f>
        <v>0</v>
      </c>
      <c r="V1711" s="27" t="n">
        <f aca="false">IF($N1711="",0,IFERROR(INDEX(VAT_Codes!$D:$D,MATCH($N1711,VAT_Codes!$A:$A,0)),0))</f>
        <v>0</v>
      </c>
      <c r="W1711" s="26" t="n">
        <f aca="false">IF($U1711=0,0,IF(IFERROR(INDEX(VAT_Codes!$F:$F,MATCH($N1711,VAT_Codes!$A:$A,0)),"N")="Y",$U1711,IF($L1711&lt;&gt;"",ROUND(ABS($L1711)/IF(OR($R1711="",$R1711=0),1,$R1711),2)*SIGN($U1711),ROUND($U1711*$V1711,2))))</f>
        <v>0</v>
      </c>
      <c r="X1711" s="24" t="str">
        <f aca="false">IF($N1711="","",IFERROR(INDEX(VAT_Codes!$H:$H,MATCH($N1711,VAT_Codes!$A:$A,0)),"")&amp;"")</f>
        <v/>
      </c>
      <c r="Y1711" s="24" t="str">
        <f aca="false">IF($A1711="","",(YEAR($A1711)-YEAR(Settings!$C$8))*12+MONTH($A1711)-MONTH(Settings!$C$8)+1)</f>
        <v/>
      </c>
      <c r="Z1711" s="24" t="str">
        <f aca="false">IF(AND($C1711="",$I1711="",$J1711=""),"",IF($N1711="","NO VAT CODE",IF($T1711="","UNKNOWN VAT CODE",IF($S1711="","MISSING FX RATE",IF(OR($A1711&lt;Settings!$C$8,$A1711&gt;Settings!$C$9),"OUTSIDE PERIOD",IF(AND(IFERROR(INDEX(VAT_Codes!$E:$E,MATCH($N1711,VAT_Codes!$A:$A,0)),"ANY")&lt;&gt;"ANY",$P1711=""),"MISSING COUNTERPARTY COUNTRY",IF(AND(IFERROR(INDEX(VAT_Codes!$E:$E,MATCH($N1711,VAT_Codes!$A:$A,0)),"ANY")&lt;&gt;"ANY",$P1711&lt;&gt;IFERROR(INDEX(VAT_Codes!$E:$E,MATCH($N1711,VAT_Codes!$A:$A,0)),"ANY")),"REGION MISMATCH","OK")))))))</f>
        <v/>
      </c>
    </row>
    <row r="1712" customFormat="false" ht="15" hidden="false" customHeight="false" outlineLevel="0" collapsed="false">
      <c r="M1712" s="24" t="str">
        <f aca="false">IF($C1712="","",IFERROR(INDEX(Account_Mapping!$C:$C,MATCH($C1712&amp;"",Account_Mapping!$A:$A,0))&amp;"",""))</f>
        <v/>
      </c>
      <c r="N1712" s="24" t="str">
        <f aca="false">IF($K1712&lt;&gt;"",$K1712,$M1712)</f>
        <v/>
      </c>
      <c r="O1712" s="24" t="str">
        <f aca="false">IF($F1712="","",IFERROR(INDEX(Counterparties!$C:$C,MATCH($F1712&amp;"",Counterparties!$A:$A,0))&amp;"",""))</f>
        <v/>
      </c>
      <c r="P1712" s="24" t="str">
        <f aca="false">IF($O1712="","",IF($O1712="CY","CY",IF(ISNUMBER(MATCH($O1712,Lists!$A:$A,0)),"EU","3RD")))</f>
        <v/>
      </c>
      <c r="Q1712" s="24" t="str">
        <f aca="false">IF($F1712="","N",IFERROR(IF(INDEX(Counterparties!$E:$E,MATCH($F1712&amp;"",Counterparties!$A:$A,0))="Y","Y","N"),"N"))</f>
        <v>N</v>
      </c>
      <c r="R1712" s="25" t="n">
        <f aca="false">IF(OR($H1712="",$H1712="EUR"),1,IFERROR(INDEX(FX_Rates!$D:$D,MATCH($H1712,FX_Rates!$A:$A,0)),""))</f>
        <v>1</v>
      </c>
      <c r="S1712" s="26" t="str">
        <f aca="false">IF(AND($I1712="",$J1712=""),"",IF($J1712&lt;&gt;"",$J1712,IF(OR($R1712="",$R1712=0),"",ROUND($I1712/$R1712,2))))</f>
        <v/>
      </c>
      <c r="T1712" s="24" t="str">
        <f aca="false">IF($N1712="","",IFERROR(INDEX(VAT_Codes!$C:$C,MATCH($N1712,VAT_Codes!$A:$A,0)),"")&amp;"")</f>
        <v/>
      </c>
      <c r="U1712" s="26" t="n">
        <f aca="false">IF(OR($S1712="",$T1712="",$T1712="None"),0,IF($T1712="Output",-$S1712,$S1712))</f>
        <v>0</v>
      </c>
      <c r="V1712" s="27" t="n">
        <f aca="false">IF($N1712="",0,IFERROR(INDEX(VAT_Codes!$D:$D,MATCH($N1712,VAT_Codes!$A:$A,0)),0))</f>
        <v>0</v>
      </c>
      <c r="W1712" s="26" t="n">
        <f aca="false">IF($U1712=0,0,IF(IFERROR(INDEX(VAT_Codes!$F:$F,MATCH($N1712,VAT_Codes!$A:$A,0)),"N")="Y",$U1712,IF($L1712&lt;&gt;"",ROUND(ABS($L1712)/IF(OR($R1712="",$R1712=0),1,$R1712),2)*SIGN($U1712),ROUND($U1712*$V1712,2))))</f>
        <v>0</v>
      </c>
      <c r="X1712" s="24" t="str">
        <f aca="false">IF($N1712="","",IFERROR(INDEX(VAT_Codes!$H:$H,MATCH($N1712,VAT_Codes!$A:$A,0)),"")&amp;"")</f>
        <v/>
      </c>
      <c r="Y1712" s="24" t="str">
        <f aca="false">IF($A1712="","",(YEAR($A1712)-YEAR(Settings!$C$8))*12+MONTH($A1712)-MONTH(Settings!$C$8)+1)</f>
        <v/>
      </c>
      <c r="Z1712" s="24" t="str">
        <f aca="false">IF(AND($C1712="",$I1712="",$J1712=""),"",IF($N1712="","NO VAT CODE",IF($T1712="","UNKNOWN VAT CODE",IF($S1712="","MISSING FX RATE",IF(OR($A1712&lt;Settings!$C$8,$A1712&gt;Settings!$C$9),"OUTSIDE PERIOD",IF(AND(IFERROR(INDEX(VAT_Codes!$E:$E,MATCH($N1712,VAT_Codes!$A:$A,0)),"ANY")&lt;&gt;"ANY",$P1712=""),"MISSING COUNTERPARTY COUNTRY",IF(AND(IFERROR(INDEX(VAT_Codes!$E:$E,MATCH($N1712,VAT_Codes!$A:$A,0)),"ANY")&lt;&gt;"ANY",$P1712&lt;&gt;IFERROR(INDEX(VAT_Codes!$E:$E,MATCH($N1712,VAT_Codes!$A:$A,0)),"ANY")),"REGION MISMATCH","OK")))))))</f>
        <v/>
      </c>
    </row>
    <row r="1713" customFormat="false" ht="15" hidden="false" customHeight="false" outlineLevel="0" collapsed="false">
      <c r="M1713" s="24" t="str">
        <f aca="false">IF($C1713="","",IFERROR(INDEX(Account_Mapping!$C:$C,MATCH($C1713&amp;"",Account_Mapping!$A:$A,0))&amp;"",""))</f>
        <v/>
      </c>
      <c r="N1713" s="24" t="str">
        <f aca="false">IF($K1713&lt;&gt;"",$K1713,$M1713)</f>
        <v/>
      </c>
      <c r="O1713" s="24" t="str">
        <f aca="false">IF($F1713="","",IFERROR(INDEX(Counterparties!$C:$C,MATCH($F1713&amp;"",Counterparties!$A:$A,0))&amp;"",""))</f>
        <v/>
      </c>
      <c r="P1713" s="24" t="str">
        <f aca="false">IF($O1713="","",IF($O1713="CY","CY",IF(ISNUMBER(MATCH($O1713,Lists!$A:$A,0)),"EU","3RD")))</f>
        <v/>
      </c>
      <c r="Q1713" s="24" t="str">
        <f aca="false">IF($F1713="","N",IFERROR(IF(INDEX(Counterparties!$E:$E,MATCH($F1713&amp;"",Counterparties!$A:$A,0))="Y","Y","N"),"N"))</f>
        <v>N</v>
      </c>
      <c r="R1713" s="25" t="n">
        <f aca="false">IF(OR($H1713="",$H1713="EUR"),1,IFERROR(INDEX(FX_Rates!$D:$D,MATCH($H1713,FX_Rates!$A:$A,0)),""))</f>
        <v>1</v>
      </c>
      <c r="S1713" s="26" t="str">
        <f aca="false">IF(AND($I1713="",$J1713=""),"",IF($J1713&lt;&gt;"",$J1713,IF(OR($R1713="",$R1713=0),"",ROUND($I1713/$R1713,2))))</f>
        <v/>
      </c>
      <c r="T1713" s="24" t="str">
        <f aca="false">IF($N1713="","",IFERROR(INDEX(VAT_Codes!$C:$C,MATCH($N1713,VAT_Codes!$A:$A,0)),"")&amp;"")</f>
        <v/>
      </c>
      <c r="U1713" s="26" t="n">
        <f aca="false">IF(OR($S1713="",$T1713="",$T1713="None"),0,IF($T1713="Output",-$S1713,$S1713))</f>
        <v>0</v>
      </c>
      <c r="V1713" s="27" t="n">
        <f aca="false">IF($N1713="",0,IFERROR(INDEX(VAT_Codes!$D:$D,MATCH($N1713,VAT_Codes!$A:$A,0)),0))</f>
        <v>0</v>
      </c>
      <c r="W1713" s="26" t="n">
        <f aca="false">IF($U1713=0,0,IF(IFERROR(INDEX(VAT_Codes!$F:$F,MATCH($N1713,VAT_Codes!$A:$A,0)),"N")="Y",$U1713,IF($L1713&lt;&gt;"",ROUND(ABS($L1713)/IF(OR($R1713="",$R1713=0),1,$R1713),2)*SIGN($U1713),ROUND($U1713*$V1713,2))))</f>
        <v>0</v>
      </c>
      <c r="X1713" s="24" t="str">
        <f aca="false">IF($N1713="","",IFERROR(INDEX(VAT_Codes!$H:$H,MATCH($N1713,VAT_Codes!$A:$A,0)),"")&amp;"")</f>
        <v/>
      </c>
      <c r="Y1713" s="24" t="str">
        <f aca="false">IF($A1713="","",(YEAR($A1713)-YEAR(Settings!$C$8))*12+MONTH($A1713)-MONTH(Settings!$C$8)+1)</f>
        <v/>
      </c>
      <c r="Z1713" s="24" t="str">
        <f aca="false">IF(AND($C1713="",$I1713="",$J1713=""),"",IF($N1713="","NO VAT CODE",IF($T1713="","UNKNOWN VAT CODE",IF($S1713="","MISSING FX RATE",IF(OR($A1713&lt;Settings!$C$8,$A1713&gt;Settings!$C$9),"OUTSIDE PERIOD",IF(AND(IFERROR(INDEX(VAT_Codes!$E:$E,MATCH($N1713,VAT_Codes!$A:$A,0)),"ANY")&lt;&gt;"ANY",$P1713=""),"MISSING COUNTERPARTY COUNTRY",IF(AND(IFERROR(INDEX(VAT_Codes!$E:$E,MATCH($N1713,VAT_Codes!$A:$A,0)),"ANY")&lt;&gt;"ANY",$P1713&lt;&gt;IFERROR(INDEX(VAT_Codes!$E:$E,MATCH($N1713,VAT_Codes!$A:$A,0)),"ANY")),"REGION MISMATCH","OK")))))))</f>
        <v/>
      </c>
    </row>
    <row r="1714" customFormat="false" ht="15" hidden="false" customHeight="false" outlineLevel="0" collapsed="false">
      <c r="M1714" s="24" t="str">
        <f aca="false">IF($C1714="","",IFERROR(INDEX(Account_Mapping!$C:$C,MATCH($C1714&amp;"",Account_Mapping!$A:$A,0))&amp;"",""))</f>
        <v/>
      </c>
      <c r="N1714" s="24" t="str">
        <f aca="false">IF($K1714&lt;&gt;"",$K1714,$M1714)</f>
        <v/>
      </c>
      <c r="O1714" s="24" t="str">
        <f aca="false">IF($F1714="","",IFERROR(INDEX(Counterparties!$C:$C,MATCH($F1714&amp;"",Counterparties!$A:$A,0))&amp;"",""))</f>
        <v/>
      </c>
      <c r="P1714" s="24" t="str">
        <f aca="false">IF($O1714="","",IF($O1714="CY","CY",IF(ISNUMBER(MATCH($O1714,Lists!$A:$A,0)),"EU","3RD")))</f>
        <v/>
      </c>
      <c r="Q1714" s="24" t="str">
        <f aca="false">IF($F1714="","N",IFERROR(IF(INDEX(Counterparties!$E:$E,MATCH($F1714&amp;"",Counterparties!$A:$A,0))="Y","Y","N"),"N"))</f>
        <v>N</v>
      </c>
      <c r="R1714" s="25" t="n">
        <f aca="false">IF(OR($H1714="",$H1714="EUR"),1,IFERROR(INDEX(FX_Rates!$D:$D,MATCH($H1714,FX_Rates!$A:$A,0)),""))</f>
        <v>1</v>
      </c>
      <c r="S1714" s="26" t="str">
        <f aca="false">IF(AND($I1714="",$J1714=""),"",IF($J1714&lt;&gt;"",$J1714,IF(OR($R1714="",$R1714=0),"",ROUND($I1714/$R1714,2))))</f>
        <v/>
      </c>
      <c r="T1714" s="24" t="str">
        <f aca="false">IF($N1714="","",IFERROR(INDEX(VAT_Codes!$C:$C,MATCH($N1714,VAT_Codes!$A:$A,0)),"")&amp;"")</f>
        <v/>
      </c>
      <c r="U1714" s="26" t="n">
        <f aca="false">IF(OR($S1714="",$T1714="",$T1714="None"),0,IF($T1714="Output",-$S1714,$S1714))</f>
        <v>0</v>
      </c>
      <c r="V1714" s="27" t="n">
        <f aca="false">IF($N1714="",0,IFERROR(INDEX(VAT_Codes!$D:$D,MATCH($N1714,VAT_Codes!$A:$A,0)),0))</f>
        <v>0</v>
      </c>
      <c r="W1714" s="26" t="n">
        <f aca="false">IF($U1714=0,0,IF(IFERROR(INDEX(VAT_Codes!$F:$F,MATCH($N1714,VAT_Codes!$A:$A,0)),"N")="Y",$U1714,IF($L1714&lt;&gt;"",ROUND(ABS($L1714)/IF(OR($R1714="",$R1714=0),1,$R1714),2)*SIGN($U1714),ROUND($U1714*$V1714,2))))</f>
        <v>0</v>
      </c>
      <c r="X1714" s="24" t="str">
        <f aca="false">IF($N1714="","",IFERROR(INDEX(VAT_Codes!$H:$H,MATCH($N1714,VAT_Codes!$A:$A,0)),"")&amp;"")</f>
        <v/>
      </c>
      <c r="Y1714" s="24" t="str">
        <f aca="false">IF($A1714="","",(YEAR($A1714)-YEAR(Settings!$C$8))*12+MONTH($A1714)-MONTH(Settings!$C$8)+1)</f>
        <v/>
      </c>
      <c r="Z1714" s="24" t="str">
        <f aca="false">IF(AND($C1714="",$I1714="",$J1714=""),"",IF($N1714="","NO VAT CODE",IF($T1714="","UNKNOWN VAT CODE",IF($S1714="","MISSING FX RATE",IF(OR($A1714&lt;Settings!$C$8,$A1714&gt;Settings!$C$9),"OUTSIDE PERIOD",IF(AND(IFERROR(INDEX(VAT_Codes!$E:$E,MATCH($N1714,VAT_Codes!$A:$A,0)),"ANY")&lt;&gt;"ANY",$P1714=""),"MISSING COUNTERPARTY COUNTRY",IF(AND(IFERROR(INDEX(VAT_Codes!$E:$E,MATCH($N1714,VAT_Codes!$A:$A,0)),"ANY")&lt;&gt;"ANY",$P1714&lt;&gt;IFERROR(INDEX(VAT_Codes!$E:$E,MATCH($N1714,VAT_Codes!$A:$A,0)),"ANY")),"REGION MISMATCH","OK")))))))</f>
        <v/>
      </c>
    </row>
    <row r="1715" customFormat="false" ht="15" hidden="false" customHeight="false" outlineLevel="0" collapsed="false">
      <c r="M1715" s="24" t="str">
        <f aca="false">IF($C1715="","",IFERROR(INDEX(Account_Mapping!$C:$C,MATCH($C1715&amp;"",Account_Mapping!$A:$A,0))&amp;"",""))</f>
        <v/>
      </c>
      <c r="N1715" s="24" t="str">
        <f aca="false">IF($K1715&lt;&gt;"",$K1715,$M1715)</f>
        <v/>
      </c>
      <c r="O1715" s="24" t="str">
        <f aca="false">IF($F1715="","",IFERROR(INDEX(Counterparties!$C:$C,MATCH($F1715&amp;"",Counterparties!$A:$A,0))&amp;"",""))</f>
        <v/>
      </c>
      <c r="P1715" s="24" t="str">
        <f aca="false">IF($O1715="","",IF($O1715="CY","CY",IF(ISNUMBER(MATCH($O1715,Lists!$A:$A,0)),"EU","3RD")))</f>
        <v/>
      </c>
      <c r="Q1715" s="24" t="str">
        <f aca="false">IF($F1715="","N",IFERROR(IF(INDEX(Counterparties!$E:$E,MATCH($F1715&amp;"",Counterparties!$A:$A,0))="Y","Y","N"),"N"))</f>
        <v>N</v>
      </c>
      <c r="R1715" s="25" t="n">
        <f aca="false">IF(OR($H1715="",$H1715="EUR"),1,IFERROR(INDEX(FX_Rates!$D:$D,MATCH($H1715,FX_Rates!$A:$A,0)),""))</f>
        <v>1</v>
      </c>
      <c r="S1715" s="26" t="str">
        <f aca="false">IF(AND($I1715="",$J1715=""),"",IF($J1715&lt;&gt;"",$J1715,IF(OR($R1715="",$R1715=0),"",ROUND($I1715/$R1715,2))))</f>
        <v/>
      </c>
      <c r="T1715" s="24" t="str">
        <f aca="false">IF($N1715="","",IFERROR(INDEX(VAT_Codes!$C:$C,MATCH($N1715,VAT_Codes!$A:$A,0)),"")&amp;"")</f>
        <v/>
      </c>
      <c r="U1715" s="26" t="n">
        <f aca="false">IF(OR($S1715="",$T1715="",$T1715="None"),0,IF($T1715="Output",-$S1715,$S1715))</f>
        <v>0</v>
      </c>
      <c r="V1715" s="27" t="n">
        <f aca="false">IF($N1715="",0,IFERROR(INDEX(VAT_Codes!$D:$D,MATCH($N1715,VAT_Codes!$A:$A,0)),0))</f>
        <v>0</v>
      </c>
      <c r="W1715" s="26" t="n">
        <f aca="false">IF($U1715=0,0,IF(IFERROR(INDEX(VAT_Codes!$F:$F,MATCH($N1715,VAT_Codes!$A:$A,0)),"N")="Y",$U1715,IF($L1715&lt;&gt;"",ROUND(ABS($L1715)/IF(OR($R1715="",$R1715=0),1,$R1715),2)*SIGN($U1715),ROUND($U1715*$V1715,2))))</f>
        <v>0</v>
      </c>
      <c r="X1715" s="24" t="str">
        <f aca="false">IF($N1715="","",IFERROR(INDEX(VAT_Codes!$H:$H,MATCH($N1715,VAT_Codes!$A:$A,0)),"")&amp;"")</f>
        <v/>
      </c>
      <c r="Y1715" s="24" t="str">
        <f aca="false">IF($A1715="","",(YEAR($A1715)-YEAR(Settings!$C$8))*12+MONTH($A1715)-MONTH(Settings!$C$8)+1)</f>
        <v/>
      </c>
      <c r="Z1715" s="24" t="str">
        <f aca="false">IF(AND($C1715="",$I1715="",$J1715=""),"",IF($N1715="","NO VAT CODE",IF($T1715="","UNKNOWN VAT CODE",IF($S1715="","MISSING FX RATE",IF(OR($A1715&lt;Settings!$C$8,$A1715&gt;Settings!$C$9),"OUTSIDE PERIOD",IF(AND(IFERROR(INDEX(VAT_Codes!$E:$E,MATCH($N1715,VAT_Codes!$A:$A,0)),"ANY")&lt;&gt;"ANY",$P1715=""),"MISSING COUNTERPARTY COUNTRY",IF(AND(IFERROR(INDEX(VAT_Codes!$E:$E,MATCH($N1715,VAT_Codes!$A:$A,0)),"ANY")&lt;&gt;"ANY",$P1715&lt;&gt;IFERROR(INDEX(VAT_Codes!$E:$E,MATCH($N1715,VAT_Codes!$A:$A,0)),"ANY")),"REGION MISMATCH","OK")))))))</f>
        <v/>
      </c>
    </row>
    <row r="1716" customFormat="false" ht="15" hidden="false" customHeight="false" outlineLevel="0" collapsed="false">
      <c r="M1716" s="24" t="str">
        <f aca="false">IF($C1716="","",IFERROR(INDEX(Account_Mapping!$C:$C,MATCH($C1716&amp;"",Account_Mapping!$A:$A,0))&amp;"",""))</f>
        <v/>
      </c>
      <c r="N1716" s="24" t="str">
        <f aca="false">IF($K1716&lt;&gt;"",$K1716,$M1716)</f>
        <v/>
      </c>
      <c r="O1716" s="24" t="str">
        <f aca="false">IF($F1716="","",IFERROR(INDEX(Counterparties!$C:$C,MATCH($F1716&amp;"",Counterparties!$A:$A,0))&amp;"",""))</f>
        <v/>
      </c>
      <c r="P1716" s="24" t="str">
        <f aca="false">IF($O1716="","",IF($O1716="CY","CY",IF(ISNUMBER(MATCH($O1716,Lists!$A:$A,0)),"EU","3RD")))</f>
        <v/>
      </c>
      <c r="Q1716" s="24" t="str">
        <f aca="false">IF($F1716="","N",IFERROR(IF(INDEX(Counterparties!$E:$E,MATCH($F1716&amp;"",Counterparties!$A:$A,0))="Y","Y","N"),"N"))</f>
        <v>N</v>
      </c>
      <c r="R1716" s="25" t="n">
        <f aca="false">IF(OR($H1716="",$H1716="EUR"),1,IFERROR(INDEX(FX_Rates!$D:$D,MATCH($H1716,FX_Rates!$A:$A,0)),""))</f>
        <v>1</v>
      </c>
      <c r="S1716" s="26" t="str">
        <f aca="false">IF(AND($I1716="",$J1716=""),"",IF($J1716&lt;&gt;"",$J1716,IF(OR($R1716="",$R1716=0),"",ROUND($I1716/$R1716,2))))</f>
        <v/>
      </c>
      <c r="T1716" s="24" t="str">
        <f aca="false">IF($N1716="","",IFERROR(INDEX(VAT_Codes!$C:$C,MATCH($N1716,VAT_Codes!$A:$A,0)),"")&amp;"")</f>
        <v/>
      </c>
      <c r="U1716" s="26" t="n">
        <f aca="false">IF(OR($S1716="",$T1716="",$T1716="None"),0,IF($T1716="Output",-$S1716,$S1716))</f>
        <v>0</v>
      </c>
      <c r="V1716" s="27" t="n">
        <f aca="false">IF($N1716="",0,IFERROR(INDEX(VAT_Codes!$D:$D,MATCH($N1716,VAT_Codes!$A:$A,0)),0))</f>
        <v>0</v>
      </c>
      <c r="W1716" s="26" t="n">
        <f aca="false">IF($U1716=0,0,IF(IFERROR(INDEX(VAT_Codes!$F:$F,MATCH($N1716,VAT_Codes!$A:$A,0)),"N")="Y",$U1716,IF($L1716&lt;&gt;"",ROUND(ABS($L1716)/IF(OR($R1716="",$R1716=0),1,$R1716),2)*SIGN($U1716),ROUND($U1716*$V1716,2))))</f>
        <v>0</v>
      </c>
      <c r="X1716" s="24" t="str">
        <f aca="false">IF($N1716="","",IFERROR(INDEX(VAT_Codes!$H:$H,MATCH($N1716,VAT_Codes!$A:$A,0)),"")&amp;"")</f>
        <v/>
      </c>
      <c r="Y1716" s="24" t="str">
        <f aca="false">IF($A1716="","",(YEAR($A1716)-YEAR(Settings!$C$8))*12+MONTH($A1716)-MONTH(Settings!$C$8)+1)</f>
        <v/>
      </c>
      <c r="Z1716" s="24" t="str">
        <f aca="false">IF(AND($C1716="",$I1716="",$J1716=""),"",IF($N1716="","NO VAT CODE",IF($T1716="","UNKNOWN VAT CODE",IF($S1716="","MISSING FX RATE",IF(OR($A1716&lt;Settings!$C$8,$A1716&gt;Settings!$C$9),"OUTSIDE PERIOD",IF(AND(IFERROR(INDEX(VAT_Codes!$E:$E,MATCH($N1716,VAT_Codes!$A:$A,0)),"ANY")&lt;&gt;"ANY",$P1716=""),"MISSING COUNTERPARTY COUNTRY",IF(AND(IFERROR(INDEX(VAT_Codes!$E:$E,MATCH($N1716,VAT_Codes!$A:$A,0)),"ANY")&lt;&gt;"ANY",$P1716&lt;&gt;IFERROR(INDEX(VAT_Codes!$E:$E,MATCH($N1716,VAT_Codes!$A:$A,0)),"ANY")),"REGION MISMATCH","OK")))))))</f>
        <v/>
      </c>
    </row>
    <row r="1717" customFormat="false" ht="15" hidden="false" customHeight="false" outlineLevel="0" collapsed="false">
      <c r="M1717" s="24" t="str">
        <f aca="false">IF($C1717="","",IFERROR(INDEX(Account_Mapping!$C:$C,MATCH($C1717&amp;"",Account_Mapping!$A:$A,0))&amp;"",""))</f>
        <v/>
      </c>
      <c r="N1717" s="24" t="str">
        <f aca="false">IF($K1717&lt;&gt;"",$K1717,$M1717)</f>
        <v/>
      </c>
      <c r="O1717" s="24" t="str">
        <f aca="false">IF($F1717="","",IFERROR(INDEX(Counterparties!$C:$C,MATCH($F1717&amp;"",Counterparties!$A:$A,0))&amp;"",""))</f>
        <v/>
      </c>
      <c r="P1717" s="24" t="str">
        <f aca="false">IF($O1717="","",IF($O1717="CY","CY",IF(ISNUMBER(MATCH($O1717,Lists!$A:$A,0)),"EU","3RD")))</f>
        <v/>
      </c>
      <c r="Q1717" s="24" t="str">
        <f aca="false">IF($F1717="","N",IFERROR(IF(INDEX(Counterparties!$E:$E,MATCH($F1717&amp;"",Counterparties!$A:$A,0))="Y","Y","N"),"N"))</f>
        <v>N</v>
      </c>
      <c r="R1717" s="25" t="n">
        <f aca="false">IF(OR($H1717="",$H1717="EUR"),1,IFERROR(INDEX(FX_Rates!$D:$D,MATCH($H1717,FX_Rates!$A:$A,0)),""))</f>
        <v>1</v>
      </c>
      <c r="S1717" s="26" t="str">
        <f aca="false">IF(AND($I1717="",$J1717=""),"",IF($J1717&lt;&gt;"",$J1717,IF(OR($R1717="",$R1717=0),"",ROUND($I1717/$R1717,2))))</f>
        <v/>
      </c>
      <c r="T1717" s="24" t="str">
        <f aca="false">IF($N1717="","",IFERROR(INDEX(VAT_Codes!$C:$C,MATCH($N1717,VAT_Codes!$A:$A,0)),"")&amp;"")</f>
        <v/>
      </c>
      <c r="U1717" s="26" t="n">
        <f aca="false">IF(OR($S1717="",$T1717="",$T1717="None"),0,IF($T1717="Output",-$S1717,$S1717))</f>
        <v>0</v>
      </c>
      <c r="V1717" s="27" t="n">
        <f aca="false">IF($N1717="",0,IFERROR(INDEX(VAT_Codes!$D:$D,MATCH($N1717,VAT_Codes!$A:$A,0)),0))</f>
        <v>0</v>
      </c>
      <c r="W1717" s="26" t="n">
        <f aca="false">IF($U1717=0,0,IF(IFERROR(INDEX(VAT_Codes!$F:$F,MATCH($N1717,VAT_Codes!$A:$A,0)),"N")="Y",$U1717,IF($L1717&lt;&gt;"",ROUND(ABS($L1717)/IF(OR($R1717="",$R1717=0),1,$R1717),2)*SIGN($U1717),ROUND($U1717*$V1717,2))))</f>
        <v>0</v>
      </c>
      <c r="X1717" s="24" t="str">
        <f aca="false">IF($N1717="","",IFERROR(INDEX(VAT_Codes!$H:$H,MATCH($N1717,VAT_Codes!$A:$A,0)),"")&amp;"")</f>
        <v/>
      </c>
      <c r="Y1717" s="24" t="str">
        <f aca="false">IF($A1717="","",(YEAR($A1717)-YEAR(Settings!$C$8))*12+MONTH($A1717)-MONTH(Settings!$C$8)+1)</f>
        <v/>
      </c>
      <c r="Z1717" s="24" t="str">
        <f aca="false">IF(AND($C1717="",$I1717="",$J1717=""),"",IF($N1717="","NO VAT CODE",IF($T1717="","UNKNOWN VAT CODE",IF($S1717="","MISSING FX RATE",IF(OR($A1717&lt;Settings!$C$8,$A1717&gt;Settings!$C$9),"OUTSIDE PERIOD",IF(AND(IFERROR(INDEX(VAT_Codes!$E:$E,MATCH($N1717,VAT_Codes!$A:$A,0)),"ANY")&lt;&gt;"ANY",$P1717=""),"MISSING COUNTERPARTY COUNTRY",IF(AND(IFERROR(INDEX(VAT_Codes!$E:$E,MATCH($N1717,VAT_Codes!$A:$A,0)),"ANY")&lt;&gt;"ANY",$P1717&lt;&gt;IFERROR(INDEX(VAT_Codes!$E:$E,MATCH($N1717,VAT_Codes!$A:$A,0)),"ANY")),"REGION MISMATCH","OK")))))))</f>
        <v/>
      </c>
    </row>
    <row r="1718" customFormat="false" ht="15" hidden="false" customHeight="false" outlineLevel="0" collapsed="false">
      <c r="M1718" s="24" t="str">
        <f aca="false">IF($C1718="","",IFERROR(INDEX(Account_Mapping!$C:$C,MATCH($C1718&amp;"",Account_Mapping!$A:$A,0))&amp;"",""))</f>
        <v/>
      </c>
      <c r="N1718" s="24" t="str">
        <f aca="false">IF($K1718&lt;&gt;"",$K1718,$M1718)</f>
        <v/>
      </c>
      <c r="O1718" s="24" t="str">
        <f aca="false">IF($F1718="","",IFERROR(INDEX(Counterparties!$C:$C,MATCH($F1718&amp;"",Counterparties!$A:$A,0))&amp;"",""))</f>
        <v/>
      </c>
      <c r="P1718" s="24" t="str">
        <f aca="false">IF($O1718="","",IF($O1718="CY","CY",IF(ISNUMBER(MATCH($O1718,Lists!$A:$A,0)),"EU","3RD")))</f>
        <v/>
      </c>
      <c r="Q1718" s="24" t="str">
        <f aca="false">IF($F1718="","N",IFERROR(IF(INDEX(Counterparties!$E:$E,MATCH($F1718&amp;"",Counterparties!$A:$A,0))="Y","Y","N"),"N"))</f>
        <v>N</v>
      </c>
      <c r="R1718" s="25" t="n">
        <f aca="false">IF(OR($H1718="",$H1718="EUR"),1,IFERROR(INDEX(FX_Rates!$D:$D,MATCH($H1718,FX_Rates!$A:$A,0)),""))</f>
        <v>1</v>
      </c>
      <c r="S1718" s="26" t="str">
        <f aca="false">IF(AND($I1718="",$J1718=""),"",IF($J1718&lt;&gt;"",$J1718,IF(OR($R1718="",$R1718=0),"",ROUND($I1718/$R1718,2))))</f>
        <v/>
      </c>
      <c r="T1718" s="24" t="str">
        <f aca="false">IF($N1718="","",IFERROR(INDEX(VAT_Codes!$C:$C,MATCH($N1718,VAT_Codes!$A:$A,0)),"")&amp;"")</f>
        <v/>
      </c>
      <c r="U1718" s="26" t="n">
        <f aca="false">IF(OR($S1718="",$T1718="",$T1718="None"),0,IF($T1718="Output",-$S1718,$S1718))</f>
        <v>0</v>
      </c>
      <c r="V1718" s="27" t="n">
        <f aca="false">IF($N1718="",0,IFERROR(INDEX(VAT_Codes!$D:$D,MATCH($N1718,VAT_Codes!$A:$A,0)),0))</f>
        <v>0</v>
      </c>
      <c r="W1718" s="26" t="n">
        <f aca="false">IF($U1718=0,0,IF(IFERROR(INDEX(VAT_Codes!$F:$F,MATCH($N1718,VAT_Codes!$A:$A,0)),"N")="Y",$U1718,IF($L1718&lt;&gt;"",ROUND(ABS($L1718)/IF(OR($R1718="",$R1718=0),1,$R1718),2)*SIGN($U1718),ROUND($U1718*$V1718,2))))</f>
        <v>0</v>
      </c>
      <c r="X1718" s="24" t="str">
        <f aca="false">IF($N1718="","",IFERROR(INDEX(VAT_Codes!$H:$H,MATCH($N1718,VAT_Codes!$A:$A,0)),"")&amp;"")</f>
        <v/>
      </c>
      <c r="Y1718" s="24" t="str">
        <f aca="false">IF($A1718="","",(YEAR($A1718)-YEAR(Settings!$C$8))*12+MONTH($A1718)-MONTH(Settings!$C$8)+1)</f>
        <v/>
      </c>
      <c r="Z1718" s="24" t="str">
        <f aca="false">IF(AND($C1718="",$I1718="",$J1718=""),"",IF($N1718="","NO VAT CODE",IF($T1718="","UNKNOWN VAT CODE",IF($S1718="","MISSING FX RATE",IF(OR($A1718&lt;Settings!$C$8,$A1718&gt;Settings!$C$9),"OUTSIDE PERIOD",IF(AND(IFERROR(INDEX(VAT_Codes!$E:$E,MATCH($N1718,VAT_Codes!$A:$A,0)),"ANY")&lt;&gt;"ANY",$P1718=""),"MISSING COUNTERPARTY COUNTRY",IF(AND(IFERROR(INDEX(VAT_Codes!$E:$E,MATCH($N1718,VAT_Codes!$A:$A,0)),"ANY")&lt;&gt;"ANY",$P1718&lt;&gt;IFERROR(INDEX(VAT_Codes!$E:$E,MATCH($N1718,VAT_Codes!$A:$A,0)),"ANY")),"REGION MISMATCH","OK")))))))</f>
        <v/>
      </c>
    </row>
    <row r="1719" customFormat="false" ht="15" hidden="false" customHeight="false" outlineLevel="0" collapsed="false">
      <c r="M1719" s="24" t="str">
        <f aca="false">IF($C1719="","",IFERROR(INDEX(Account_Mapping!$C:$C,MATCH($C1719&amp;"",Account_Mapping!$A:$A,0))&amp;"",""))</f>
        <v/>
      </c>
      <c r="N1719" s="24" t="str">
        <f aca="false">IF($K1719&lt;&gt;"",$K1719,$M1719)</f>
        <v/>
      </c>
      <c r="O1719" s="24" t="str">
        <f aca="false">IF($F1719="","",IFERROR(INDEX(Counterparties!$C:$C,MATCH($F1719&amp;"",Counterparties!$A:$A,0))&amp;"",""))</f>
        <v/>
      </c>
      <c r="P1719" s="24" t="str">
        <f aca="false">IF($O1719="","",IF($O1719="CY","CY",IF(ISNUMBER(MATCH($O1719,Lists!$A:$A,0)),"EU","3RD")))</f>
        <v/>
      </c>
      <c r="Q1719" s="24" t="str">
        <f aca="false">IF($F1719="","N",IFERROR(IF(INDEX(Counterparties!$E:$E,MATCH($F1719&amp;"",Counterparties!$A:$A,0))="Y","Y","N"),"N"))</f>
        <v>N</v>
      </c>
      <c r="R1719" s="25" t="n">
        <f aca="false">IF(OR($H1719="",$H1719="EUR"),1,IFERROR(INDEX(FX_Rates!$D:$D,MATCH($H1719,FX_Rates!$A:$A,0)),""))</f>
        <v>1</v>
      </c>
      <c r="S1719" s="26" t="str">
        <f aca="false">IF(AND($I1719="",$J1719=""),"",IF($J1719&lt;&gt;"",$J1719,IF(OR($R1719="",$R1719=0),"",ROUND($I1719/$R1719,2))))</f>
        <v/>
      </c>
      <c r="T1719" s="24" t="str">
        <f aca="false">IF($N1719="","",IFERROR(INDEX(VAT_Codes!$C:$C,MATCH($N1719,VAT_Codes!$A:$A,0)),"")&amp;"")</f>
        <v/>
      </c>
      <c r="U1719" s="26" t="n">
        <f aca="false">IF(OR($S1719="",$T1719="",$T1719="None"),0,IF($T1719="Output",-$S1719,$S1719))</f>
        <v>0</v>
      </c>
      <c r="V1719" s="27" t="n">
        <f aca="false">IF($N1719="",0,IFERROR(INDEX(VAT_Codes!$D:$D,MATCH($N1719,VAT_Codes!$A:$A,0)),0))</f>
        <v>0</v>
      </c>
      <c r="W1719" s="26" t="n">
        <f aca="false">IF($U1719=0,0,IF(IFERROR(INDEX(VAT_Codes!$F:$F,MATCH($N1719,VAT_Codes!$A:$A,0)),"N")="Y",$U1719,IF($L1719&lt;&gt;"",ROUND(ABS($L1719)/IF(OR($R1719="",$R1719=0),1,$R1719),2)*SIGN($U1719),ROUND($U1719*$V1719,2))))</f>
        <v>0</v>
      </c>
      <c r="X1719" s="24" t="str">
        <f aca="false">IF($N1719="","",IFERROR(INDEX(VAT_Codes!$H:$H,MATCH($N1719,VAT_Codes!$A:$A,0)),"")&amp;"")</f>
        <v/>
      </c>
      <c r="Y1719" s="24" t="str">
        <f aca="false">IF($A1719="","",(YEAR($A1719)-YEAR(Settings!$C$8))*12+MONTH($A1719)-MONTH(Settings!$C$8)+1)</f>
        <v/>
      </c>
      <c r="Z1719" s="24" t="str">
        <f aca="false">IF(AND($C1719="",$I1719="",$J1719=""),"",IF($N1719="","NO VAT CODE",IF($T1719="","UNKNOWN VAT CODE",IF($S1719="","MISSING FX RATE",IF(OR($A1719&lt;Settings!$C$8,$A1719&gt;Settings!$C$9),"OUTSIDE PERIOD",IF(AND(IFERROR(INDEX(VAT_Codes!$E:$E,MATCH($N1719,VAT_Codes!$A:$A,0)),"ANY")&lt;&gt;"ANY",$P1719=""),"MISSING COUNTERPARTY COUNTRY",IF(AND(IFERROR(INDEX(VAT_Codes!$E:$E,MATCH($N1719,VAT_Codes!$A:$A,0)),"ANY")&lt;&gt;"ANY",$P1719&lt;&gt;IFERROR(INDEX(VAT_Codes!$E:$E,MATCH($N1719,VAT_Codes!$A:$A,0)),"ANY")),"REGION MISMATCH","OK")))))))</f>
        <v/>
      </c>
    </row>
    <row r="1720" customFormat="false" ht="15" hidden="false" customHeight="false" outlineLevel="0" collapsed="false">
      <c r="M1720" s="24" t="str">
        <f aca="false">IF($C1720="","",IFERROR(INDEX(Account_Mapping!$C:$C,MATCH($C1720&amp;"",Account_Mapping!$A:$A,0))&amp;"",""))</f>
        <v/>
      </c>
      <c r="N1720" s="24" t="str">
        <f aca="false">IF($K1720&lt;&gt;"",$K1720,$M1720)</f>
        <v/>
      </c>
      <c r="O1720" s="24" t="str">
        <f aca="false">IF($F1720="","",IFERROR(INDEX(Counterparties!$C:$C,MATCH($F1720&amp;"",Counterparties!$A:$A,0))&amp;"",""))</f>
        <v/>
      </c>
      <c r="P1720" s="24" t="str">
        <f aca="false">IF($O1720="","",IF($O1720="CY","CY",IF(ISNUMBER(MATCH($O1720,Lists!$A:$A,0)),"EU","3RD")))</f>
        <v/>
      </c>
      <c r="Q1720" s="24" t="str">
        <f aca="false">IF($F1720="","N",IFERROR(IF(INDEX(Counterparties!$E:$E,MATCH($F1720&amp;"",Counterparties!$A:$A,0))="Y","Y","N"),"N"))</f>
        <v>N</v>
      </c>
      <c r="R1720" s="25" t="n">
        <f aca="false">IF(OR($H1720="",$H1720="EUR"),1,IFERROR(INDEX(FX_Rates!$D:$D,MATCH($H1720,FX_Rates!$A:$A,0)),""))</f>
        <v>1</v>
      </c>
      <c r="S1720" s="26" t="str">
        <f aca="false">IF(AND($I1720="",$J1720=""),"",IF($J1720&lt;&gt;"",$J1720,IF(OR($R1720="",$R1720=0),"",ROUND($I1720/$R1720,2))))</f>
        <v/>
      </c>
      <c r="T1720" s="24" t="str">
        <f aca="false">IF($N1720="","",IFERROR(INDEX(VAT_Codes!$C:$C,MATCH($N1720,VAT_Codes!$A:$A,0)),"")&amp;"")</f>
        <v/>
      </c>
      <c r="U1720" s="26" t="n">
        <f aca="false">IF(OR($S1720="",$T1720="",$T1720="None"),0,IF($T1720="Output",-$S1720,$S1720))</f>
        <v>0</v>
      </c>
      <c r="V1720" s="27" t="n">
        <f aca="false">IF($N1720="",0,IFERROR(INDEX(VAT_Codes!$D:$D,MATCH($N1720,VAT_Codes!$A:$A,0)),0))</f>
        <v>0</v>
      </c>
      <c r="W1720" s="26" t="n">
        <f aca="false">IF($U1720=0,0,IF(IFERROR(INDEX(VAT_Codes!$F:$F,MATCH($N1720,VAT_Codes!$A:$A,0)),"N")="Y",$U1720,IF($L1720&lt;&gt;"",ROUND(ABS($L1720)/IF(OR($R1720="",$R1720=0),1,$R1720),2)*SIGN($U1720),ROUND($U1720*$V1720,2))))</f>
        <v>0</v>
      </c>
      <c r="X1720" s="24" t="str">
        <f aca="false">IF($N1720="","",IFERROR(INDEX(VAT_Codes!$H:$H,MATCH($N1720,VAT_Codes!$A:$A,0)),"")&amp;"")</f>
        <v/>
      </c>
      <c r="Y1720" s="24" t="str">
        <f aca="false">IF($A1720="","",(YEAR($A1720)-YEAR(Settings!$C$8))*12+MONTH($A1720)-MONTH(Settings!$C$8)+1)</f>
        <v/>
      </c>
      <c r="Z1720" s="24" t="str">
        <f aca="false">IF(AND($C1720="",$I1720="",$J1720=""),"",IF($N1720="","NO VAT CODE",IF($T1720="","UNKNOWN VAT CODE",IF($S1720="","MISSING FX RATE",IF(OR($A1720&lt;Settings!$C$8,$A1720&gt;Settings!$C$9),"OUTSIDE PERIOD",IF(AND(IFERROR(INDEX(VAT_Codes!$E:$E,MATCH($N1720,VAT_Codes!$A:$A,0)),"ANY")&lt;&gt;"ANY",$P1720=""),"MISSING COUNTERPARTY COUNTRY",IF(AND(IFERROR(INDEX(VAT_Codes!$E:$E,MATCH($N1720,VAT_Codes!$A:$A,0)),"ANY")&lt;&gt;"ANY",$P1720&lt;&gt;IFERROR(INDEX(VAT_Codes!$E:$E,MATCH($N1720,VAT_Codes!$A:$A,0)),"ANY")),"REGION MISMATCH","OK")))))))</f>
        <v/>
      </c>
    </row>
    <row r="1721" customFormat="false" ht="15" hidden="false" customHeight="false" outlineLevel="0" collapsed="false">
      <c r="M1721" s="24" t="str">
        <f aca="false">IF($C1721="","",IFERROR(INDEX(Account_Mapping!$C:$C,MATCH($C1721&amp;"",Account_Mapping!$A:$A,0))&amp;"",""))</f>
        <v/>
      </c>
      <c r="N1721" s="24" t="str">
        <f aca="false">IF($K1721&lt;&gt;"",$K1721,$M1721)</f>
        <v/>
      </c>
      <c r="O1721" s="24" t="str">
        <f aca="false">IF($F1721="","",IFERROR(INDEX(Counterparties!$C:$C,MATCH($F1721&amp;"",Counterparties!$A:$A,0))&amp;"",""))</f>
        <v/>
      </c>
      <c r="P1721" s="24" t="str">
        <f aca="false">IF($O1721="","",IF($O1721="CY","CY",IF(ISNUMBER(MATCH($O1721,Lists!$A:$A,0)),"EU","3RD")))</f>
        <v/>
      </c>
      <c r="Q1721" s="24" t="str">
        <f aca="false">IF($F1721="","N",IFERROR(IF(INDEX(Counterparties!$E:$E,MATCH($F1721&amp;"",Counterparties!$A:$A,0))="Y","Y","N"),"N"))</f>
        <v>N</v>
      </c>
      <c r="R1721" s="25" t="n">
        <f aca="false">IF(OR($H1721="",$H1721="EUR"),1,IFERROR(INDEX(FX_Rates!$D:$D,MATCH($H1721,FX_Rates!$A:$A,0)),""))</f>
        <v>1</v>
      </c>
      <c r="S1721" s="26" t="str">
        <f aca="false">IF(AND($I1721="",$J1721=""),"",IF($J1721&lt;&gt;"",$J1721,IF(OR($R1721="",$R1721=0),"",ROUND($I1721/$R1721,2))))</f>
        <v/>
      </c>
      <c r="T1721" s="24" t="str">
        <f aca="false">IF($N1721="","",IFERROR(INDEX(VAT_Codes!$C:$C,MATCH($N1721,VAT_Codes!$A:$A,0)),"")&amp;"")</f>
        <v/>
      </c>
      <c r="U1721" s="26" t="n">
        <f aca="false">IF(OR($S1721="",$T1721="",$T1721="None"),0,IF($T1721="Output",-$S1721,$S1721))</f>
        <v>0</v>
      </c>
      <c r="V1721" s="27" t="n">
        <f aca="false">IF($N1721="",0,IFERROR(INDEX(VAT_Codes!$D:$D,MATCH($N1721,VAT_Codes!$A:$A,0)),0))</f>
        <v>0</v>
      </c>
      <c r="W1721" s="26" t="n">
        <f aca="false">IF($U1721=0,0,IF(IFERROR(INDEX(VAT_Codes!$F:$F,MATCH($N1721,VAT_Codes!$A:$A,0)),"N")="Y",$U1721,IF($L1721&lt;&gt;"",ROUND(ABS($L1721)/IF(OR($R1721="",$R1721=0),1,$R1721),2)*SIGN($U1721),ROUND($U1721*$V1721,2))))</f>
        <v>0</v>
      </c>
      <c r="X1721" s="24" t="str">
        <f aca="false">IF($N1721="","",IFERROR(INDEX(VAT_Codes!$H:$H,MATCH($N1721,VAT_Codes!$A:$A,0)),"")&amp;"")</f>
        <v/>
      </c>
      <c r="Y1721" s="24" t="str">
        <f aca="false">IF($A1721="","",(YEAR($A1721)-YEAR(Settings!$C$8))*12+MONTH($A1721)-MONTH(Settings!$C$8)+1)</f>
        <v/>
      </c>
      <c r="Z1721" s="24" t="str">
        <f aca="false">IF(AND($C1721="",$I1721="",$J1721=""),"",IF($N1721="","NO VAT CODE",IF($T1721="","UNKNOWN VAT CODE",IF($S1721="","MISSING FX RATE",IF(OR($A1721&lt;Settings!$C$8,$A1721&gt;Settings!$C$9),"OUTSIDE PERIOD",IF(AND(IFERROR(INDEX(VAT_Codes!$E:$E,MATCH($N1721,VAT_Codes!$A:$A,0)),"ANY")&lt;&gt;"ANY",$P1721=""),"MISSING COUNTERPARTY COUNTRY",IF(AND(IFERROR(INDEX(VAT_Codes!$E:$E,MATCH($N1721,VAT_Codes!$A:$A,0)),"ANY")&lt;&gt;"ANY",$P1721&lt;&gt;IFERROR(INDEX(VAT_Codes!$E:$E,MATCH($N1721,VAT_Codes!$A:$A,0)),"ANY")),"REGION MISMATCH","OK")))))))</f>
        <v/>
      </c>
    </row>
    <row r="1722" customFormat="false" ht="15" hidden="false" customHeight="false" outlineLevel="0" collapsed="false">
      <c r="M1722" s="24" t="str">
        <f aca="false">IF($C1722="","",IFERROR(INDEX(Account_Mapping!$C:$C,MATCH($C1722&amp;"",Account_Mapping!$A:$A,0))&amp;"",""))</f>
        <v/>
      </c>
      <c r="N1722" s="24" t="str">
        <f aca="false">IF($K1722&lt;&gt;"",$K1722,$M1722)</f>
        <v/>
      </c>
      <c r="O1722" s="24" t="str">
        <f aca="false">IF($F1722="","",IFERROR(INDEX(Counterparties!$C:$C,MATCH($F1722&amp;"",Counterparties!$A:$A,0))&amp;"",""))</f>
        <v/>
      </c>
      <c r="P1722" s="24" t="str">
        <f aca="false">IF($O1722="","",IF($O1722="CY","CY",IF(ISNUMBER(MATCH($O1722,Lists!$A:$A,0)),"EU","3RD")))</f>
        <v/>
      </c>
      <c r="Q1722" s="24" t="str">
        <f aca="false">IF($F1722="","N",IFERROR(IF(INDEX(Counterparties!$E:$E,MATCH($F1722&amp;"",Counterparties!$A:$A,0))="Y","Y","N"),"N"))</f>
        <v>N</v>
      </c>
      <c r="R1722" s="25" t="n">
        <f aca="false">IF(OR($H1722="",$H1722="EUR"),1,IFERROR(INDEX(FX_Rates!$D:$D,MATCH($H1722,FX_Rates!$A:$A,0)),""))</f>
        <v>1</v>
      </c>
      <c r="S1722" s="26" t="str">
        <f aca="false">IF(AND($I1722="",$J1722=""),"",IF($J1722&lt;&gt;"",$J1722,IF(OR($R1722="",$R1722=0),"",ROUND($I1722/$R1722,2))))</f>
        <v/>
      </c>
      <c r="T1722" s="24" t="str">
        <f aca="false">IF($N1722="","",IFERROR(INDEX(VAT_Codes!$C:$C,MATCH($N1722,VAT_Codes!$A:$A,0)),"")&amp;"")</f>
        <v/>
      </c>
      <c r="U1722" s="26" t="n">
        <f aca="false">IF(OR($S1722="",$T1722="",$T1722="None"),0,IF($T1722="Output",-$S1722,$S1722))</f>
        <v>0</v>
      </c>
      <c r="V1722" s="27" t="n">
        <f aca="false">IF($N1722="",0,IFERROR(INDEX(VAT_Codes!$D:$D,MATCH($N1722,VAT_Codes!$A:$A,0)),0))</f>
        <v>0</v>
      </c>
      <c r="W1722" s="26" t="n">
        <f aca="false">IF($U1722=0,0,IF(IFERROR(INDEX(VAT_Codes!$F:$F,MATCH($N1722,VAT_Codes!$A:$A,0)),"N")="Y",$U1722,IF($L1722&lt;&gt;"",ROUND(ABS($L1722)/IF(OR($R1722="",$R1722=0),1,$R1722),2)*SIGN($U1722),ROUND($U1722*$V1722,2))))</f>
        <v>0</v>
      </c>
      <c r="X1722" s="24" t="str">
        <f aca="false">IF($N1722="","",IFERROR(INDEX(VAT_Codes!$H:$H,MATCH($N1722,VAT_Codes!$A:$A,0)),"")&amp;"")</f>
        <v/>
      </c>
      <c r="Y1722" s="24" t="str">
        <f aca="false">IF($A1722="","",(YEAR($A1722)-YEAR(Settings!$C$8))*12+MONTH($A1722)-MONTH(Settings!$C$8)+1)</f>
        <v/>
      </c>
      <c r="Z1722" s="24" t="str">
        <f aca="false">IF(AND($C1722="",$I1722="",$J1722=""),"",IF($N1722="","NO VAT CODE",IF($T1722="","UNKNOWN VAT CODE",IF($S1722="","MISSING FX RATE",IF(OR($A1722&lt;Settings!$C$8,$A1722&gt;Settings!$C$9),"OUTSIDE PERIOD",IF(AND(IFERROR(INDEX(VAT_Codes!$E:$E,MATCH($N1722,VAT_Codes!$A:$A,0)),"ANY")&lt;&gt;"ANY",$P1722=""),"MISSING COUNTERPARTY COUNTRY",IF(AND(IFERROR(INDEX(VAT_Codes!$E:$E,MATCH($N1722,VAT_Codes!$A:$A,0)),"ANY")&lt;&gt;"ANY",$P1722&lt;&gt;IFERROR(INDEX(VAT_Codes!$E:$E,MATCH($N1722,VAT_Codes!$A:$A,0)),"ANY")),"REGION MISMATCH","OK")))))))</f>
        <v/>
      </c>
    </row>
    <row r="1723" customFormat="false" ht="15" hidden="false" customHeight="false" outlineLevel="0" collapsed="false">
      <c r="M1723" s="24" t="str">
        <f aca="false">IF($C1723="","",IFERROR(INDEX(Account_Mapping!$C:$C,MATCH($C1723&amp;"",Account_Mapping!$A:$A,0))&amp;"",""))</f>
        <v/>
      </c>
      <c r="N1723" s="24" t="str">
        <f aca="false">IF($K1723&lt;&gt;"",$K1723,$M1723)</f>
        <v/>
      </c>
      <c r="O1723" s="24" t="str">
        <f aca="false">IF($F1723="","",IFERROR(INDEX(Counterparties!$C:$C,MATCH($F1723&amp;"",Counterparties!$A:$A,0))&amp;"",""))</f>
        <v/>
      </c>
      <c r="P1723" s="24" t="str">
        <f aca="false">IF($O1723="","",IF($O1723="CY","CY",IF(ISNUMBER(MATCH($O1723,Lists!$A:$A,0)),"EU","3RD")))</f>
        <v/>
      </c>
      <c r="Q1723" s="24" t="str">
        <f aca="false">IF($F1723="","N",IFERROR(IF(INDEX(Counterparties!$E:$E,MATCH($F1723&amp;"",Counterparties!$A:$A,0))="Y","Y","N"),"N"))</f>
        <v>N</v>
      </c>
      <c r="R1723" s="25" t="n">
        <f aca="false">IF(OR($H1723="",$H1723="EUR"),1,IFERROR(INDEX(FX_Rates!$D:$D,MATCH($H1723,FX_Rates!$A:$A,0)),""))</f>
        <v>1</v>
      </c>
      <c r="S1723" s="26" t="str">
        <f aca="false">IF(AND($I1723="",$J1723=""),"",IF($J1723&lt;&gt;"",$J1723,IF(OR($R1723="",$R1723=0),"",ROUND($I1723/$R1723,2))))</f>
        <v/>
      </c>
      <c r="T1723" s="24" t="str">
        <f aca="false">IF($N1723="","",IFERROR(INDEX(VAT_Codes!$C:$C,MATCH($N1723,VAT_Codes!$A:$A,0)),"")&amp;"")</f>
        <v/>
      </c>
      <c r="U1723" s="26" t="n">
        <f aca="false">IF(OR($S1723="",$T1723="",$T1723="None"),0,IF($T1723="Output",-$S1723,$S1723))</f>
        <v>0</v>
      </c>
      <c r="V1723" s="27" t="n">
        <f aca="false">IF($N1723="",0,IFERROR(INDEX(VAT_Codes!$D:$D,MATCH($N1723,VAT_Codes!$A:$A,0)),0))</f>
        <v>0</v>
      </c>
      <c r="W1723" s="26" t="n">
        <f aca="false">IF($U1723=0,0,IF(IFERROR(INDEX(VAT_Codes!$F:$F,MATCH($N1723,VAT_Codes!$A:$A,0)),"N")="Y",$U1723,IF($L1723&lt;&gt;"",ROUND(ABS($L1723)/IF(OR($R1723="",$R1723=0),1,$R1723),2)*SIGN($U1723),ROUND($U1723*$V1723,2))))</f>
        <v>0</v>
      </c>
      <c r="X1723" s="24" t="str">
        <f aca="false">IF($N1723="","",IFERROR(INDEX(VAT_Codes!$H:$H,MATCH($N1723,VAT_Codes!$A:$A,0)),"")&amp;"")</f>
        <v/>
      </c>
      <c r="Y1723" s="24" t="str">
        <f aca="false">IF($A1723="","",(YEAR($A1723)-YEAR(Settings!$C$8))*12+MONTH($A1723)-MONTH(Settings!$C$8)+1)</f>
        <v/>
      </c>
      <c r="Z1723" s="24" t="str">
        <f aca="false">IF(AND($C1723="",$I1723="",$J1723=""),"",IF($N1723="","NO VAT CODE",IF($T1723="","UNKNOWN VAT CODE",IF($S1723="","MISSING FX RATE",IF(OR($A1723&lt;Settings!$C$8,$A1723&gt;Settings!$C$9),"OUTSIDE PERIOD",IF(AND(IFERROR(INDEX(VAT_Codes!$E:$E,MATCH($N1723,VAT_Codes!$A:$A,0)),"ANY")&lt;&gt;"ANY",$P1723=""),"MISSING COUNTERPARTY COUNTRY",IF(AND(IFERROR(INDEX(VAT_Codes!$E:$E,MATCH($N1723,VAT_Codes!$A:$A,0)),"ANY")&lt;&gt;"ANY",$P1723&lt;&gt;IFERROR(INDEX(VAT_Codes!$E:$E,MATCH($N1723,VAT_Codes!$A:$A,0)),"ANY")),"REGION MISMATCH","OK")))))))</f>
        <v/>
      </c>
    </row>
    <row r="1724" customFormat="false" ht="15" hidden="false" customHeight="false" outlineLevel="0" collapsed="false">
      <c r="M1724" s="24" t="str">
        <f aca="false">IF($C1724="","",IFERROR(INDEX(Account_Mapping!$C:$C,MATCH($C1724&amp;"",Account_Mapping!$A:$A,0))&amp;"",""))</f>
        <v/>
      </c>
      <c r="N1724" s="24" t="str">
        <f aca="false">IF($K1724&lt;&gt;"",$K1724,$M1724)</f>
        <v/>
      </c>
      <c r="O1724" s="24" t="str">
        <f aca="false">IF($F1724="","",IFERROR(INDEX(Counterparties!$C:$C,MATCH($F1724&amp;"",Counterparties!$A:$A,0))&amp;"",""))</f>
        <v/>
      </c>
      <c r="P1724" s="24" t="str">
        <f aca="false">IF($O1724="","",IF($O1724="CY","CY",IF(ISNUMBER(MATCH($O1724,Lists!$A:$A,0)),"EU","3RD")))</f>
        <v/>
      </c>
      <c r="Q1724" s="24" t="str">
        <f aca="false">IF($F1724="","N",IFERROR(IF(INDEX(Counterparties!$E:$E,MATCH($F1724&amp;"",Counterparties!$A:$A,0))="Y","Y","N"),"N"))</f>
        <v>N</v>
      </c>
      <c r="R1724" s="25" t="n">
        <f aca="false">IF(OR($H1724="",$H1724="EUR"),1,IFERROR(INDEX(FX_Rates!$D:$D,MATCH($H1724,FX_Rates!$A:$A,0)),""))</f>
        <v>1</v>
      </c>
      <c r="S1724" s="26" t="str">
        <f aca="false">IF(AND($I1724="",$J1724=""),"",IF($J1724&lt;&gt;"",$J1724,IF(OR($R1724="",$R1724=0),"",ROUND($I1724/$R1724,2))))</f>
        <v/>
      </c>
      <c r="T1724" s="24" t="str">
        <f aca="false">IF($N1724="","",IFERROR(INDEX(VAT_Codes!$C:$C,MATCH($N1724,VAT_Codes!$A:$A,0)),"")&amp;"")</f>
        <v/>
      </c>
      <c r="U1724" s="26" t="n">
        <f aca="false">IF(OR($S1724="",$T1724="",$T1724="None"),0,IF($T1724="Output",-$S1724,$S1724))</f>
        <v>0</v>
      </c>
      <c r="V1724" s="27" t="n">
        <f aca="false">IF($N1724="",0,IFERROR(INDEX(VAT_Codes!$D:$D,MATCH($N1724,VAT_Codes!$A:$A,0)),0))</f>
        <v>0</v>
      </c>
      <c r="W1724" s="26" t="n">
        <f aca="false">IF($U1724=0,0,IF(IFERROR(INDEX(VAT_Codes!$F:$F,MATCH($N1724,VAT_Codes!$A:$A,0)),"N")="Y",$U1724,IF($L1724&lt;&gt;"",ROUND(ABS($L1724)/IF(OR($R1724="",$R1724=0),1,$R1724),2)*SIGN($U1724),ROUND($U1724*$V1724,2))))</f>
        <v>0</v>
      </c>
      <c r="X1724" s="24" t="str">
        <f aca="false">IF($N1724="","",IFERROR(INDEX(VAT_Codes!$H:$H,MATCH($N1724,VAT_Codes!$A:$A,0)),"")&amp;"")</f>
        <v/>
      </c>
      <c r="Y1724" s="24" t="str">
        <f aca="false">IF($A1724="","",(YEAR($A1724)-YEAR(Settings!$C$8))*12+MONTH($A1724)-MONTH(Settings!$C$8)+1)</f>
        <v/>
      </c>
      <c r="Z1724" s="24" t="str">
        <f aca="false">IF(AND($C1724="",$I1724="",$J1724=""),"",IF($N1724="","NO VAT CODE",IF($T1724="","UNKNOWN VAT CODE",IF($S1724="","MISSING FX RATE",IF(OR($A1724&lt;Settings!$C$8,$A1724&gt;Settings!$C$9),"OUTSIDE PERIOD",IF(AND(IFERROR(INDEX(VAT_Codes!$E:$E,MATCH($N1724,VAT_Codes!$A:$A,0)),"ANY")&lt;&gt;"ANY",$P1724=""),"MISSING COUNTERPARTY COUNTRY",IF(AND(IFERROR(INDEX(VAT_Codes!$E:$E,MATCH($N1724,VAT_Codes!$A:$A,0)),"ANY")&lt;&gt;"ANY",$P1724&lt;&gt;IFERROR(INDEX(VAT_Codes!$E:$E,MATCH($N1724,VAT_Codes!$A:$A,0)),"ANY")),"REGION MISMATCH","OK")))))))</f>
        <v/>
      </c>
    </row>
    <row r="1725" customFormat="false" ht="15" hidden="false" customHeight="false" outlineLevel="0" collapsed="false">
      <c r="M1725" s="24" t="str">
        <f aca="false">IF($C1725="","",IFERROR(INDEX(Account_Mapping!$C:$C,MATCH($C1725&amp;"",Account_Mapping!$A:$A,0))&amp;"",""))</f>
        <v/>
      </c>
      <c r="N1725" s="24" t="str">
        <f aca="false">IF($K1725&lt;&gt;"",$K1725,$M1725)</f>
        <v/>
      </c>
      <c r="O1725" s="24" t="str">
        <f aca="false">IF($F1725="","",IFERROR(INDEX(Counterparties!$C:$C,MATCH($F1725&amp;"",Counterparties!$A:$A,0))&amp;"",""))</f>
        <v/>
      </c>
      <c r="P1725" s="24" t="str">
        <f aca="false">IF($O1725="","",IF($O1725="CY","CY",IF(ISNUMBER(MATCH($O1725,Lists!$A:$A,0)),"EU","3RD")))</f>
        <v/>
      </c>
      <c r="Q1725" s="24" t="str">
        <f aca="false">IF($F1725="","N",IFERROR(IF(INDEX(Counterparties!$E:$E,MATCH($F1725&amp;"",Counterparties!$A:$A,0))="Y","Y","N"),"N"))</f>
        <v>N</v>
      </c>
      <c r="R1725" s="25" t="n">
        <f aca="false">IF(OR($H1725="",$H1725="EUR"),1,IFERROR(INDEX(FX_Rates!$D:$D,MATCH($H1725,FX_Rates!$A:$A,0)),""))</f>
        <v>1</v>
      </c>
      <c r="S1725" s="26" t="str">
        <f aca="false">IF(AND($I1725="",$J1725=""),"",IF($J1725&lt;&gt;"",$J1725,IF(OR($R1725="",$R1725=0),"",ROUND($I1725/$R1725,2))))</f>
        <v/>
      </c>
      <c r="T1725" s="24" t="str">
        <f aca="false">IF($N1725="","",IFERROR(INDEX(VAT_Codes!$C:$C,MATCH($N1725,VAT_Codes!$A:$A,0)),"")&amp;"")</f>
        <v/>
      </c>
      <c r="U1725" s="26" t="n">
        <f aca="false">IF(OR($S1725="",$T1725="",$T1725="None"),0,IF($T1725="Output",-$S1725,$S1725))</f>
        <v>0</v>
      </c>
      <c r="V1725" s="27" t="n">
        <f aca="false">IF($N1725="",0,IFERROR(INDEX(VAT_Codes!$D:$D,MATCH($N1725,VAT_Codes!$A:$A,0)),0))</f>
        <v>0</v>
      </c>
      <c r="W1725" s="26" t="n">
        <f aca="false">IF($U1725=0,0,IF(IFERROR(INDEX(VAT_Codes!$F:$F,MATCH($N1725,VAT_Codes!$A:$A,0)),"N")="Y",$U1725,IF($L1725&lt;&gt;"",ROUND(ABS($L1725)/IF(OR($R1725="",$R1725=0),1,$R1725),2)*SIGN($U1725),ROUND($U1725*$V1725,2))))</f>
        <v>0</v>
      </c>
      <c r="X1725" s="24" t="str">
        <f aca="false">IF($N1725="","",IFERROR(INDEX(VAT_Codes!$H:$H,MATCH($N1725,VAT_Codes!$A:$A,0)),"")&amp;"")</f>
        <v/>
      </c>
      <c r="Y1725" s="24" t="str">
        <f aca="false">IF($A1725="","",(YEAR($A1725)-YEAR(Settings!$C$8))*12+MONTH($A1725)-MONTH(Settings!$C$8)+1)</f>
        <v/>
      </c>
      <c r="Z1725" s="24" t="str">
        <f aca="false">IF(AND($C1725="",$I1725="",$J1725=""),"",IF($N1725="","NO VAT CODE",IF($T1725="","UNKNOWN VAT CODE",IF($S1725="","MISSING FX RATE",IF(OR($A1725&lt;Settings!$C$8,$A1725&gt;Settings!$C$9),"OUTSIDE PERIOD",IF(AND(IFERROR(INDEX(VAT_Codes!$E:$E,MATCH($N1725,VAT_Codes!$A:$A,0)),"ANY")&lt;&gt;"ANY",$P1725=""),"MISSING COUNTERPARTY COUNTRY",IF(AND(IFERROR(INDEX(VAT_Codes!$E:$E,MATCH($N1725,VAT_Codes!$A:$A,0)),"ANY")&lt;&gt;"ANY",$P1725&lt;&gt;IFERROR(INDEX(VAT_Codes!$E:$E,MATCH($N1725,VAT_Codes!$A:$A,0)),"ANY")),"REGION MISMATCH","OK")))))))</f>
        <v/>
      </c>
    </row>
    <row r="1726" customFormat="false" ht="15" hidden="false" customHeight="false" outlineLevel="0" collapsed="false">
      <c r="M1726" s="24" t="str">
        <f aca="false">IF($C1726="","",IFERROR(INDEX(Account_Mapping!$C:$C,MATCH($C1726&amp;"",Account_Mapping!$A:$A,0))&amp;"",""))</f>
        <v/>
      </c>
      <c r="N1726" s="24" t="str">
        <f aca="false">IF($K1726&lt;&gt;"",$K1726,$M1726)</f>
        <v/>
      </c>
      <c r="O1726" s="24" t="str">
        <f aca="false">IF($F1726="","",IFERROR(INDEX(Counterparties!$C:$C,MATCH($F1726&amp;"",Counterparties!$A:$A,0))&amp;"",""))</f>
        <v/>
      </c>
      <c r="P1726" s="24" t="str">
        <f aca="false">IF($O1726="","",IF($O1726="CY","CY",IF(ISNUMBER(MATCH($O1726,Lists!$A:$A,0)),"EU","3RD")))</f>
        <v/>
      </c>
      <c r="Q1726" s="24" t="str">
        <f aca="false">IF($F1726="","N",IFERROR(IF(INDEX(Counterparties!$E:$E,MATCH($F1726&amp;"",Counterparties!$A:$A,0))="Y","Y","N"),"N"))</f>
        <v>N</v>
      </c>
      <c r="R1726" s="25" t="n">
        <f aca="false">IF(OR($H1726="",$H1726="EUR"),1,IFERROR(INDEX(FX_Rates!$D:$D,MATCH($H1726,FX_Rates!$A:$A,0)),""))</f>
        <v>1</v>
      </c>
      <c r="S1726" s="26" t="str">
        <f aca="false">IF(AND($I1726="",$J1726=""),"",IF($J1726&lt;&gt;"",$J1726,IF(OR($R1726="",$R1726=0),"",ROUND($I1726/$R1726,2))))</f>
        <v/>
      </c>
      <c r="T1726" s="24" t="str">
        <f aca="false">IF($N1726="","",IFERROR(INDEX(VAT_Codes!$C:$C,MATCH($N1726,VAT_Codes!$A:$A,0)),"")&amp;"")</f>
        <v/>
      </c>
      <c r="U1726" s="26" t="n">
        <f aca="false">IF(OR($S1726="",$T1726="",$T1726="None"),0,IF($T1726="Output",-$S1726,$S1726))</f>
        <v>0</v>
      </c>
      <c r="V1726" s="27" t="n">
        <f aca="false">IF($N1726="",0,IFERROR(INDEX(VAT_Codes!$D:$D,MATCH($N1726,VAT_Codes!$A:$A,0)),0))</f>
        <v>0</v>
      </c>
      <c r="W1726" s="26" t="n">
        <f aca="false">IF($U1726=0,0,IF(IFERROR(INDEX(VAT_Codes!$F:$F,MATCH($N1726,VAT_Codes!$A:$A,0)),"N")="Y",$U1726,IF($L1726&lt;&gt;"",ROUND(ABS($L1726)/IF(OR($R1726="",$R1726=0),1,$R1726),2)*SIGN($U1726),ROUND($U1726*$V1726,2))))</f>
        <v>0</v>
      </c>
      <c r="X1726" s="24" t="str">
        <f aca="false">IF($N1726="","",IFERROR(INDEX(VAT_Codes!$H:$H,MATCH($N1726,VAT_Codes!$A:$A,0)),"")&amp;"")</f>
        <v/>
      </c>
      <c r="Y1726" s="24" t="str">
        <f aca="false">IF($A1726="","",(YEAR($A1726)-YEAR(Settings!$C$8))*12+MONTH($A1726)-MONTH(Settings!$C$8)+1)</f>
        <v/>
      </c>
      <c r="Z1726" s="24" t="str">
        <f aca="false">IF(AND($C1726="",$I1726="",$J1726=""),"",IF($N1726="","NO VAT CODE",IF($T1726="","UNKNOWN VAT CODE",IF($S1726="","MISSING FX RATE",IF(OR($A1726&lt;Settings!$C$8,$A1726&gt;Settings!$C$9),"OUTSIDE PERIOD",IF(AND(IFERROR(INDEX(VAT_Codes!$E:$E,MATCH($N1726,VAT_Codes!$A:$A,0)),"ANY")&lt;&gt;"ANY",$P1726=""),"MISSING COUNTERPARTY COUNTRY",IF(AND(IFERROR(INDEX(VAT_Codes!$E:$E,MATCH($N1726,VAT_Codes!$A:$A,0)),"ANY")&lt;&gt;"ANY",$P1726&lt;&gt;IFERROR(INDEX(VAT_Codes!$E:$E,MATCH($N1726,VAT_Codes!$A:$A,0)),"ANY")),"REGION MISMATCH","OK")))))))</f>
        <v/>
      </c>
    </row>
    <row r="1727" customFormat="false" ht="15" hidden="false" customHeight="false" outlineLevel="0" collapsed="false">
      <c r="M1727" s="24" t="str">
        <f aca="false">IF($C1727="","",IFERROR(INDEX(Account_Mapping!$C:$C,MATCH($C1727&amp;"",Account_Mapping!$A:$A,0))&amp;"",""))</f>
        <v/>
      </c>
      <c r="N1727" s="24" t="str">
        <f aca="false">IF($K1727&lt;&gt;"",$K1727,$M1727)</f>
        <v/>
      </c>
      <c r="O1727" s="24" t="str">
        <f aca="false">IF($F1727="","",IFERROR(INDEX(Counterparties!$C:$C,MATCH($F1727&amp;"",Counterparties!$A:$A,0))&amp;"",""))</f>
        <v/>
      </c>
      <c r="P1727" s="24" t="str">
        <f aca="false">IF($O1727="","",IF($O1727="CY","CY",IF(ISNUMBER(MATCH($O1727,Lists!$A:$A,0)),"EU","3RD")))</f>
        <v/>
      </c>
      <c r="Q1727" s="24" t="str">
        <f aca="false">IF($F1727="","N",IFERROR(IF(INDEX(Counterparties!$E:$E,MATCH($F1727&amp;"",Counterparties!$A:$A,0))="Y","Y","N"),"N"))</f>
        <v>N</v>
      </c>
      <c r="R1727" s="25" t="n">
        <f aca="false">IF(OR($H1727="",$H1727="EUR"),1,IFERROR(INDEX(FX_Rates!$D:$D,MATCH($H1727,FX_Rates!$A:$A,0)),""))</f>
        <v>1</v>
      </c>
      <c r="S1727" s="26" t="str">
        <f aca="false">IF(AND($I1727="",$J1727=""),"",IF($J1727&lt;&gt;"",$J1727,IF(OR($R1727="",$R1727=0),"",ROUND($I1727/$R1727,2))))</f>
        <v/>
      </c>
      <c r="T1727" s="24" t="str">
        <f aca="false">IF($N1727="","",IFERROR(INDEX(VAT_Codes!$C:$C,MATCH($N1727,VAT_Codes!$A:$A,0)),"")&amp;"")</f>
        <v/>
      </c>
      <c r="U1727" s="26" t="n">
        <f aca="false">IF(OR($S1727="",$T1727="",$T1727="None"),0,IF($T1727="Output",-$S1727,$S1727))</f>
        <v>0</v>
      </c>
      <c r="V1727" s="27" t="n">
        <f aca="false">IF($N1727="",0,IFERROR(INDEX(VAT_Codes!$D:$D,MATCH($N1727,VAT_Codes!$A:$A,0)),0))</f>
        <v>0</v>
      </c>
      <c r="W1727" s="26" t="n">
        <f aca="false">IF($U1727=0,0,IF(IFERROR(INDEX(VAT_Codes!$F:$F,MATCH($N1727,VAT_Codes!$A:$A,0)),"N")="Y",$U1727,IF($L1727&lt;&gt;"",ROUND(ABS($L1727)/IF(OR($R1727="",$R1727=0),1,$R1727),2)*SIGN($U1727),ROUND($U1727*$V1727,2))))</f>
        <v>0</v>
      </c>
      <c r="X1727" s="24" t="str">
        <f aca="false">IF($N1727="","",IFERROR(INDEX(VAT_Codes!$H:$H,MATCH($N1727,VAT_Codes!$A:$A,0)),"")&amp;"")</f>
        <v/>
      </c>
      <c r="Y1727" s="24" t="str">
        <f aca="false">IF($A1727="","",(YEAR($A1727)-YEAR(Settings!$C$8))*12+MONTH($A1727)-MONTH(Settings!$C$8)+1)</f>
        <v/>
      </c>
      <c r="Z1727" s="24" t="str">
        <f aca="false">IF(AND($C1727="",$I1727="",$J1727=""),"",IF($N1727="","NO VAT CODE",IF($T1727="","UNKNOWN VAT CODE",IF($S1727="","MISSING FX RATE",IF(OR($A1727&lt;Settings!$C$8,$A1727&gt;Settings!$C$9),"OUTSIDE PERIOD",IF(AND(IFERROR(INDEX(VAT_Codes!$E:$E,MATCH($N1727,VAT_Codes!$A:$A,0)),"ANY")&lt;&gt;"ANY",$P1727=""),"MISSING COUNTERPARTY COUNTRY",IF(AND(IFERROR(INDEX(VAT_Codes!$E:$E,MATCH($N1727,VAT_Codes!$A:$A,0)),"ANY")&lt;&gt;"ANY",$P1727&lt;&gt;IFERROR(INDEX(VAT_Codes!$E:$E,MATCH($N1727,VAT_Codes!$A:$A,0)),"ANY")),"REGION MISMATCH","OK")))))))</f>
        <v/>
      </c>
    </row>
    <row r="1728" customFormat="false" ht="15" hidden="false" customHeight="false" outlineLevel="0" collapsed="false">
      <c r="M1728" s="24" t="str">
        <f aca="false">IF($C1728="","",IFERROR(INDEX(Account_Mapping!$C:$C,MATCH($C1728&amp;"",Account_Mapping!$A:$A,0))&amp;"",""))</f>
        <v/>
      </c>
      <c r="N1728" s="24" t="str">
        <f aca="false">IF($K1728&lt;&gt;"",$K1728,$M1728)</f>
        <v/>
      </c>
      <c r="O1728" s="24" t="str">
        <f aca="false">IF($F1728="","",IFERROR(INDEX(Counterparties!$C:$C,MATCH($F1728&amp;"",Counterparties!$A:$A,0))&amp;"",""))</f>
        <v/>
      </c>
      <c r="P1728" s="24" t="str">
        <f aca="false">IF($O1728="","",IF($O1728="CY","CY",IF(ISNUMBER(MATCH($O1728,Lists!$A:$A,0)),"EU","3RD")))</f>
        <v/>
      </c>
      <c r="Q1728" s="24" t="str">
        <f aca="false">IF($F1728="","N",IFERROR(IF(INDEX(Counterparties!$E:$E,MATCH($F1728&amp;"",Counterparties!$A:$A,0))="Y","Y","N"),"N"))</f>
        <v>N</v>
      </c>
      <c r="R1728" s="25" t="n">
        <f aca="false">IF(OR($H1728="",$H1728="EUR"),1,IFERROR(INDEX(FX_Rates!$D:$D,MATCH($H1728,FX_Rates!$A:$A,0)),""))</f>
        <v>1</v>
      </c>
      <c r="S1728" s="26" t="str">
        <f aca="false">IF(AND($I1728="",$J1728=""),"",IF($J1728&lt;&gt;"",$J1728,IF(OR($R1728="",$R1728=0),"",ROUND($I1728/$R1728,2))))</f>
        <v/>
      </c>
      <c r="T1728" s="24" t="str">
        <f aca="false">IF($N1728="","",IFERROR(INDEX(VAT_Codes!$C:$C,MATCH($N1728,VAT_Codes!$A:$A,0)),"")&amp;"")</f>
        <v/>
      </c>
      <c r="U1728" s="26" t="n">
        <f aca="false">IF(OR($S1728="",$T1728="",$T1728="None"),0,IF($T1728="Output",-$S1728,$S1728))</f>
        <v>0</v>
      </c>
      <c r="V1728" s="27" t="n">
        <f aca="false">IF($N1728="",0,IFERROR(INDEX(VAT_Codes!$D:$D,MATCH($N1728,VAT_Codes!$A:$A,0)),0))</f>
        <v>0</v>
      </c>
      <c r="W1728" s="26" t="n">
        <f aca="false">IF($U1728=0,0,IF(IFERROR(INDEX(VAT_Codes!$F:$F,MATCH($N1728,VAT_Codes!$A:$A,0)),"N")="Y",$U1728,IF($L1728&lt;&gt;"",ROUND(ABS($L1728)/IF(OR($R1728="",$R1728=0),1,$R1728),2)*SIGN($U1728),ROUND($U1728*$V1728,2))))</f>
        <v>0</v>
      </c>
      <c r="X1728" s="24" t="str">
        <f aca="false">IF($N1728="","",IFERROR(INDEX(VAT_Codes!$H:$H,MATCH($N1728,VAT_Codes!$A:$A,0)),"")&amp;"")</f>
        <v/>
      </c>
      <c r="Y1728" s="24" t="str">
        <f aca="false">IF($A1728="","",(YEAR($A1728)-YEAR(Settings!$C$8))*12+MONTH($A1728)-MONTH(Settings!$C$8)+1)</f>
        <v/>
      </c>
      <c r="Z1728" s="24" t="str">
        <f aca="false">IF(AND($C1728="",$I1728="",$J1728=""),"",IF($N1728="","NO VAT CODE",IF($T1728="","UNKNOWN VAT CODE",IF($S1728="","MISSING FX RATE",IF(OR($A1728&lt;Settings!$C$8,$A1728&gt;Settings!$C$9),"OUTSIDE PERIOD",IF(AND(IFERROR(INDEX(VAT_Codes!$E:$E,MATCH($N1728,VAT_Codes!$A:$A,0)),"ANY")&lt;&gt;"ANY",$P1728=""),"MISSING COUNTERPARTY COUNTRY",IF(AND(IFERROR(INDEX(VAT_Codes!$E:$E,MATCH($N1728,VAT_Codes!$A:$A,0)),"ANY")&lt;&gt;"ANY",$P1728&lt;&gt;IFERROR(INDEX(VAT_Codes!$E:$E,MATCH($N1728,VAT_Codes!$A:$A,0)),"ANY")),"REGION MISMATCH","OK")))))))</f>
        <v/>
      </c>
    </row>
    <row r="1729" customFormat="false" ht="15" hidden="false" customHeight="false" outlineLevel="0" collapsed="false">
      <c r="M1729" s="24" t="str">
        <f aca="false">IF($C1729="","",IFERROR(INDEX(Account_Mapping!$C:$C,MATCH($C1729&amp;"",Account_Mapping!$A:$A,0))&amp;"",""))</f>
        <v/>
      </c>
      <c r="N1729" s="24" t="str">
        <f aca="false">IF($K1729&lt;&gt;"",$K1729,$M1729)</f>
        <v/>
      </c>
      <c r="O1729" s="24" t="str">
        <f aca="false">IF($F1729="","",IFERROR(INDEX(Counterparties!$C:$C,MATCH($F1729&amp;"",Counterparties!$A:$A,0))&amp;"",""))</f>
        <v/>
      </c>
      <c r="P1729" s="24" t="str">
        <f aca="false">IF($O1729="","",IF($O1729="CY","CY",IF(ISNUMBER(MATCH($O1729,Lists!$A:$A,0)),"EU","3RD")))</f>
        <v/>
      </c>
      <c r="Q1729" s="24" t="str">
        <f aca="false">IF($F1729="","N",IFERROR(IF(INDEX(Counterparties!$E:$E,MATCH($F1729&amp;"",Counterparties!$A:$A,0))="Y","Y","N"),"N"))</f>
        <v>N</v>
      </c>
      <c r="R1729" s="25" t="n">
        <f aca="false">IF(OR($H1729="",$H1729="EUR"),1,IFERROR(INDEX(FX_Rates!$D:$D,MATCH($H1729,FX_Rates!$A:$A,0)),""))</f>
        <v>1</v>
      </c>
      <c r="S1729" s="26" t="str">
        <f aca="false">IF(AND($I1729="",$J1729=""),"",IF($J1729&lt;&gt;"",$J1729,IF(OR($R1729="",$R1729=0),"",ROUND($I1729/$R1729,2))))</f>
        <v/>
      </c>
      <c r="T1729" s="24" t="str">
        <f aca="false">IF($N1729="","",IFERROR(INDEX(VAT_Codes!$C:$C,MATCH($N1729,VAT_Codes!$A:$A,0)),"")&amp;"")</f>
        <v/>
      </c>
      <c r="U1729" s="26" t="n">
        <f aca="false">IF(OR($S1729="",$T1729="",$T1729="None"),0,IF($T1729="Output",-$S1729,$S1729))</f>
        <v>0</v>
      </c>
      <c r="V1729" s="27" t="n">
        <f aca="false">IF($N1729="",0,IFERROR(INDEX(VAT_Codes!$D:$D,MATCH($N1729,VAT_Codes!$A:$A,0)),0))</f>
        <v>0</v>
      </c>
      <c r="W1729" s="26" t="n">
        <f aca="false">IF($U1729=0,0,IF(IFERROR(INDEX(VAT_Codes!$F:$F,MATCH($N1729,VAT_Codes!$A:$A,0)),"N")="Y",$U1729,IF($L1729&lt;&gt;"",ROUND(ABS($L1729)/IF(OR($R1729="",$R1729=0),1,$R1729),2)*SIGN($U1729),ROUND($U1729*$V1729,2))))</f>
        <v>0</v>
      </c>
      <c r="X1729" s="24" t="str">
        <f aca="false">IF($N1729="","",IFERROR(INDEX(VAT_Codes!$H:$H,MATCH($N1729,VAT_Codes!$A:$A,0)),"")&amp;"")</f>
        <v/>
      </c>
      <c r="Y1729" s="24" t="str">
        <f aca="false">IF($A1729="","",(YEAR($A1729)-YEAR(Settings!$C$8))*12+MONTH($A1729)-MONTH(Settings!$C$8)+1)</f>
        <v/>
      </c>
      <c r="Z1729" s="24" t="str">
        <f aca="false">IF(AND($C1729="",$I1729="",$J1729=""),"",IF($N1729="","NO VAT CODE",IF($T1729="","UNKNOWN VAT CODE",IF($S1729="","MISSING FX RATE",IF(OR($A1729&lt;Settings!$C$8,$A1729&gt;Settings!$C$9),"OUTSIDE PERIOD",IF(AND(IFERROR(INDEX(VAT_Codes!$E:$E,MATCH($N1729,VAT_Codes!$A:$A,0)),"ANY")&lt;&gt;"ANY",$P1729=""),"MISSING COUNTERPARTY COUNTRY",IF(AND(IFERROR(INDEX(VAT_Codes!$E:$E,MATCH($N1729,VAT_Codes!$A:$A,0)),"ANY")&lt;&gt;"ANY",$P1729&lt;&gt;IFERROR(INDEX(VAT_Codes!$E:$E,MATCH($N1729,VAT_Codes!$A:$A,0)),"ANY")),"REGION MISMATCH","OK")))))))</f>
        <v/>
      </c>
    </row>
    <row r="1730" customFormat="false" ht="15" hidden="false" customHeight="false" outlineLevel="0" collapsed="false">
      <c r="M1730" s="24" t="str">
        <f aca="false">IF($C1730="","",IFERROR(INDEX(Account_Mapping!$C:$C,MATCH($C1730&amp;"",Account_Mapping!$A:$A,0))&amp;"",""))</f>
        <v/>
      </c>
      <c r="N1730" s="24" t="str">
        <f aca="false">IF($K1730&lt;&gt;"",$K1730,$M1730)</f>
        <v/>
      </c>
      <c r="O1730" s="24" t="str">
        <f aca="false">IF($F1730="","",IFERROR(INDEX(Counterparties!$C:$C,MATCH($F1730&amp;"",Counterparties!$A:$A,0))&amp;"",""))</f>
        <v/>
      </c>
      <c r="P1730" s="24" t="str">
        <f aca="false">IF($O1730="","",IF($O1730="CY","CY",IF(ISNUMBER(MATCH($O1730,Lists!$A:$A,0)),"EU","3RD")))</f>
        <v/>
      </c>
      <c r="Q1730" s="24" t="str">
        <f aca="false">IF($F1730="","N",IFERROR(IF(INDEX(Counterparties!$E:$E,MATCH($F1730&amp;"",Counterparties!$A:$A,0))="Y","Y","N"),"N"))</f>
        <v>N</v>
      </c>
      <c r="R1730" s="25" t="n">
        <f aca="false">IF(OR($H1730="",$H1730="EUR"),1,IFERROR(INDEX(FX_Rates!$D:$D,MATCH($H1730,FX_Rates!$A:$A,0)),""))</f>
        <v>1</v>
      </c>
      <c r="S1730" s="26" t="str">
        <f aca="false">IF(AND($I1730="",$J1730=""),"",IF($J1730&lt;&gt;"",$J1730,IF(OR($R1730="",$R1730=0),"",ROUND($I1730/$R1730,2))))</f>
        <v/>
      </c>
      <c r="T1730" s="24" t="str">
        <f aca="false">IF($N1730="","",IFERROR(INDEX(VAT_Codes!$C:$C,MATCH($N1730,VAT_Codes!$A:$A,0)),"")&amp;"")</f>
        <v/>
      </c>
      <c r="U1730" s="26" t="n">
        <f aca="false">IF(OR($S1730="",$T1730="",$T1730="None"),0,IF($T1730="Output",-$S1730,$S1730))</f>
        <v>0</v>
      </c>
      <c r="V1730" s="27" t="n">
        <f aca="false">IF($N1730="",0,IFERROR(INDEX(VAT_Codes!$D:$D,MATCH($N1730,VAT_Codes!$A:$A,0)),0))</f>
        <v>0</v>
      </c>
      <c r="W1730" s="26" t="n">
        <f aca="false">IF($U1730=0,0,IF(IFERROR(INDEX(VAT_Codes!$F:$F,MATCH($N1730,VAT_Codes!$A:$A,0)),"N")="Y",$U1730,IF($L1730&lt;&gt;"",ROUND(ABS($L1730)/IF(OR($R1730="",$R1730=0),1,$R1730),2)*SIGN($U1730),ROUND($U1730*$V1730,2))))</f>
        <v>0</v>
      </c>
      <c r="X1730" s="24" t="str">
        <f aca="false">IF($N1730="","",IFERROR(INDEX(VAT_Codes!$H:$H,MATCH($N1730,VAT_Codes!$A:$A,0)),"")&amp;"")</f>
        <v/>
      </c>
      <c r="Y1730" s="24" t="str">
        <f aca="false">IF($A1730="","",(YEAR($A1730)-YEAR(Settings!$C$8))*12+MONTH($A1730)-MONTH(Settings!$C$8)+1)</f>
        <v/>
      </c>
      <c r="Z1730" s="24" t="str">
        <f aca="false">IF(AND($C1730="",$I1730="",$J1730=""),"",IF($N1730="","NO VAT CODE",IF($T1730="","UNKNOWN VAT CODE",IF($S1730="","MISSING FX RATE",IF(OR($A1730&lt;Settings!$C$8,$A1730&gt;Settings!$C$9),"OUTSIDE PERIOD",IF(AND(IFERROR(INDEX(VAT_Codes!$E:$E,MATCH($N1730,VAT_Codes!$A:$A,0)),"ANY")&lt;&gt;"ANY",$P1730=""),"MISSING COUNTERPARTY COUNTRY",IF(AND(IFERROR(INDEX(VAT_Codes!$E:$E,MATCH($N1730,VAT_Codes!$A:$A,0)),"ANY")&lt;&gt;"ANY",$P1730&lt;&gt;IFERROR(INDEX(VAT_Codes!$E:$E,MATCH($N1730,VAT_Codes!$A:$A,0)),"ANY")),"REGION MISMATCH","OK")))))))</f>
        <v/>
      </c>
    </row>
    <row r="1731" customFormat="false" ht="15" hidden="false" customHeight="false" outlineLevel="0" collapsed="false">
      <c r="M1731" s="24" t="str">
        <f aca="false">IF($C1731="","",IFERROR(INDEX(Account_Mapping!$C:$C,MATCH($C1731&amp;"",Account_Mapping!$A:$A,0))&amp;"",""))</f>
        <v/>
      </c>
      <c r="N1731" s="24" t="str">
        <f aca="false">IF($K1731&lt;&gt;"",$K1731,$M1731)</f>
        <v/>
      </c>
      <c r="O1731" s="24" t="str">
        <f aca="false">IF($F1731="","",IFERROR(INDEX(Counterparties!$C:$C,MATCH($F1731&amp;"",Counterparties!$A:$A,0))&amp;"",""))</f>
        <v/>
      </c>
      <c r="P1731" s="24" t="str">
        <f aca="false">IF($O1731="","",IF($O1731="CY","CY",IF(ISNUMBER(MATCH($O1731,Lists!$A:$A,0)),"EU","3RD")))</f>
        <v/>
      </c>
      <c r="Q1731" s="24" t="str">
        <f aca="false">IF($F1731="","N",IFERROR(IF(INDEX(Counterparties!$E:$E,MATCH($F1731&amp;"",Counterparties!$A:$A,0))="Y","Y","N"),"N"))</f>
        <v>N</v>
      </c>
      <c r="R1731" s="25" t="n">
        <f aca="false">IF(OR($H1731="",$H1731="EUR"),1,IFERROR(INDEX(FX_Rates!$D:$D,MATCH($H1731,FX_Rates!$A:$A,0)),""))</f>
        <v>1</v>
      </c>
      <c r="S1731" s="26" t="str">
        <f aca="false">IF(AND($I1731="",$J1731=""),"",IF($J1731&lt;&gt;"",$J1731,IF(OR($R1731="",$R1731=0),"",ROUND($I1731/$R1731,2))))</f>
        <v/>
      </c>
      <c r="T1731" s="24" t="str">
        <f aca="false">IF($N1731="","",IFERROR(INDEX(VAT_Codes!$C:$C,MATCH($N1731,VAT_Codes!$A:$A,0)),"")&amp;"")</f>
        <v/>
      </c>
      <c r="U1731" s="26" t="n">
        <f aca="false">IF(OR($S1731="",$T1731="",$T1731="None"),0,IF($T1731="Output",-$S1731,$S1731))</f>
        <v>0</v>
      </c>
      <c r="V1731" s="27" t="n">
        <f aca="false">IF($N1731="",0,IFERROR(INDEX(VAT_Codes!$D:$D,MATCH($N1731,VAT_Codes!$A:$A,0)),0))</f>
        <v>0</v>
      </c>
      <c r="W1731" s="26" t="n">
        <f aca="false">IF($U1731=0,0,IF(IFERROR(INDEX(VAT_Codes!$F:$F,MATCH($N1731,VAT_Codes!$A:$A,0)),"N")="Y",$U1731,IF($L1731&lt;&gt;"",ROUND(ABS($L1731)/IF(OR($R1731="",$R1731=0),1,$R1731),2)*SIGN($U1731),ROUND($U1731*$V1731,2))))</f>
        <v>0</v>
      </c>
      <c r="X1731" s="24" t="str">
        <f aca="false">IF($N1731="","",IFERROR(INDEX(VAT_Codes!$H:$H,MATCH($N1731,VAT_Codes!$A:$A,0)),"")&amp;"")</f>
        <v/>
      </c>
      <c r="Y1731" s="24" t="str">
        <f aca="false">IF($A1731="","",(YEAR($A1731)-YEAR(Settings!$C$8))*12+MONTH($A1731)-MONTH(Settings!$C$8)+1)</f>
        <v/>
      </c>
      <c r="Z1731" s="24" t="str">
        <f aca="false">IF(AND($C1731="",$I1731="",$J1731=""),"",IF($N1731="","NO VAT CODE",IF($T1731="","UNKNOWN VAT CODE",IF($S1731="","MISSING FX RATE",IF(OR($A1731&lt;Settings!$C$8,$A1731&gt;Settings!$C$9),"OUTSIDE PERIOD",IF(AND(IFERROR(INDEX(VAT_Codes!$E:$E,MATCH($N1731,VAT_Codes!$A:$A,0)),"ANY")&lt;&gt;"ANY",$P1731=""),"MISSING COUNTERPARTY COUNTRY",IF(AND(IFERROR(INDEX(VAT_Codes!$E:$E,MATCH($N1731,VAT_Codes!$A:$A,0)),"ANY")&lt;&gt;"ANY",$P1731&lt;&gt;IFERROR(INDEX(VAT_Codes!$E:$E,MATCH($N1731,VAT_Codes!$A:$A,0)),"ANY")),"REGION MISMATCH","OK")))))))</f>
        <v/>
      </c>
    </row>
    <row r="1732" customFormat="false" ht="15" hidden="false" customHeight="false" outlineLevel="0" collapsed="false">
      <c r="M1732" s="24" t="str">
        <f aca="false">IF($C1732="","",IFERROR(INDEX(Account_Mapping!$C:$C,MATCH($C1732&amp;"",Account_Mapping!$A:$A,0))&amp;"",""))</f>
        <v/>
      </c>
      <c r="N1732" s="24" t="str">
        <f aca="false">IF($K1732&lt;&gt;"",$K1732,$M1732)</f>
        <v/>
      </c>
      <c r="O1732" s="24" t="str">
        <f aca="false">IF($F1732="","",IFERROR(INDEX(Counterparties!$C:$C,MATCH($F1732&amp;"",Counterparties!$A:$A,0))&amp;"",""))</f>
        <v/>
      </c>
      <c r="P1732" s="24" t="str">
        <f aca="false">IF($O1732="","",IF($O1732="CY","CY",IF(ISNUMBER(MATCH($O1732,Lists!$A:$A,0)),"EU","3RD")))</f>
        <v/>
      </c>
      <c r="Q1732" s="24" t="str">
        <f aca="false">IF($F1732="","N",IFERROR(IF(INDEX(Counterparties!$E:$E,MATCH($F1732&amp;"",Counterparties!$A:$A,0))="Y","Y","N"),"N"))</f>
        <v>N</v>
      </c>
      <c r="R1732" s="25" t="n">
        <f aca="false">IF(OR($H1732="",$H1732="EUR"),1,IFERROR(INDEX(FX_Rates!$D:$D,MATCH($H1732,FX_Rates!$A:$A,0)),""))</f>
        <v>1</v>
      </c>
      <c r="S1732" s="26" t="str">
        <f aca="false">IF(AND($I1732="",$J1732=""),"",IF($J1732&lt;&gt;"",$J1732,IF(OR($R1732="",$R1732=0),"",ROUND($I1732/$R1732,2))))</f>
        <v/>
      </c>
      <c r="T1732" s="24" t="str">
        <f aca="false">IF($N1732="","",IFERROR(INDEX(VAT_Codes!$C:$C,MATCH($N1732,VAT_Codes!$A:$A,0)),"")&amp;"")</f>
        <v/>
      </c>
      <c r="U1732" s="26" t="n">
        <f aca="false">IF(OR($S1732="",$T1732="",$T1732="None"),0,IF($T1732="Output",-$S1732,$S1732))</f>
        <v>0</v>
      </c>
      <c r="V1732" s="27" t="n">
        <f aca="false">IF($N1732="",0,IFERROR(INDEX(VAT_Codes!$D:$D,MATCH($N1732,VAT_Codes!$A:$A,0)),0))</f>
        <v>0</v>
      </c>
      <c r="W1732" s="26" t="n">
        <f aca="false">IF($U1732=0,0,IF(IFERROR(INDEX(VAT_Codes!$F:$F,MATCH($N1732,VAT_Codes!$A:$A,0)),"N")="Y",$U1732,IF($L1732&lt;&gt;"",ROUND(ABS($L1732)/IF(OR($R1732="",$R1732=0),1,$R1732),2)*SIGN($U1732),ROUND($U1732*$V1732,2))))</f>
        <v>0</v>
      </c>
      <c r="X1732" s="24" t="str">
        <f aca="false">IF($N1732="","",IFERROR(INDEX(VAT_Codes!$H:$H,MATCH($N1732,VAT_Codes!$A:$A,0)),"")&amp;"")</f>
        <v/>
      </c>
      <c r="Y1732" s="24" t="str">
        <f aca="false">IF($A1732="","",(YEAR($A1732)-YEAR(Settings!$C$8))*12+MONTH($A1732)-MONTH(Settings!$C$8)+1)</f>
        <v/>
      </c>
      <c r="Z1732" s="24" t="str">
        <f aca="false">IF(AND($C1732="",$I1732="",$J1732=""),"",IF($N1732="","NO VAT CODE",IF($T1732="","UNKNOWN VAT CODE",IF($S1732="","MISSING FX RATE",IF(OR($A1732&lt;Settings!$C$8,$A1732&gt;Settings!$C$9),"OUTSIDE PERIOD",IF(AND(IFERROR(INDEX(VAT_Codes!$E:$E,MATCH($N1732,VAT_Codes!$A:$A,0)),"ANY")&lt;&gt;"ANY",$P1732=""),"MISSING COUNTERPARTY COUNTRY",IF(AND(IFERROR(INDEX(VAT_Codes!$E:$E,MATCH($N1732,VAT_Codes!$A:$A,0)),"ANY")&lt;&gt;"ANY",$P1732&lt;&gt;IFERROR(INDEX(VAT_Codes!$E:$E,MATCH($N1732,VAT_Codes!$A:$A,0)),"ANY")),"REGION MISMATCH","OK")))))))</f>
        <v/>
      </c>
    </row>
    <row r="1733" customFormat="false" ht="15" hidden="false" customHeight="false" outlineLevel="0" collapsed="false">
      <c r="M1733" s="24" t="str">
        <f aca="false">IF($C1733="","",IFERROR(INDEX(Account_Mapping!$C:$C,MATCH($C1733&amp;"",Account_Mapping!$A:$A,0))&amp;"",""))</f>
        <v/>
      </c>
      <c r="N1733" s="24" t="str">
        <f aca="false">IF($K1733&lt;&gt;"",$K1733,$M1733)</f>
        <v/>
      </c>
      <c r="O1733" s="24" t="str">
        <f aca="false">IF($F1733="","",IFERROR(INDEX(Counterparties!$C:$C,MATCH($F1733&amp;"",Counterparties!$A:$A,0))&amp;"",""))</f>
        <v/>
      </c>
      <c r="P1733" s="24" t="str">
        <f aca="false">IF($O1733="","",IF($O1733="CY","CY",IF(ISNUMBER(MATCH($O1733,Lists!$A:$A,0)),"EU","3RD")))</f>
        <v/>
      </c>
      <c r="Q1733" s="24" t="str">
        <f aca="false">IF($F1733="","N",IFERROR(IF(INDEX(Counterparties!$E:$E,MATCH($F1733&amp;"",Counterparties!$A:$A,0))="Y","Y","N"),"N"))</f>
        <v>N</v>
      </c>
      <c r="R1733" s="25" t="n">
        <f aca="false">IF(OR($H1733="",$H1733="EUR"),1,IFERROR(INDEX(FX_Rates!$D:$D,MATCH($H1733,FX_Rates!$A:$A,0)),""))</f>
        <v>1</v>
      </c>
      <c r="S1733" s="26" t="str">
        <f aca="false">IF(AND($I1733="",$J1733=""),"",IF($J1733&lt;&gt;"",$J1733,IF(OR($R1733="",$R1733=0),"",ROUND($I1733/$R1733,2))))</f>
        <v/>
      </c>
      <c r="T1733" s="24" t="str">
        <f aca="false">IF($N1733="","",IFERROR(INDEX(VAT_Codes!$C:$C,MATCH($N1733,VAT_Codes!$A:$A,0)),"")&amp;"")</f>
        <v/>
      </c>
      <c r="U1733" s="26" t="n">
        <f aca="false">IF(OR($S1733="",$T1733="",$T1733="None"),0,IF($T1733="Output",-$S1733,$S1733))</f>
        <v>0</v>
      </c>
      <c r="V1733" s="27" t="n">
        <f aca="false">IF($N1733="",0,IFERROR(INDEX(VAT_Codes!$D:$D,MATCH($N1733,VAT_Codes!$A:$A,0)),0))</f>
        <v>0</v>
      </c>
      <c r="W1733" s="26" t="n">
        <f aca="false">IF($U1733=0,0,IF(IFERROR(INDEX(VAT_Codes!$F:$F,MATCH($N1733,VAT_Codes!$A:$A,0)),"N")="Y",$U1733,IF($L1733&lt;&gt;"",ROUND(ABS($L1733)/IF(OR($R1733="",$R1733=0),1,$R1733),2)*SIGN($U1733),ROUND($U1733*$V1733,2))))</f>
        <v>0</v>
      </c>
      <c r="X1733" s="24" t="str">
        <f aca="false">IF($N1733="","",IFERROR(INDEX(VAT_Codes!$H:$H,MATCH($N1733,VAT_Codes!$A:$A,0)),"")&amp;"")</f>
        <v/>
      </c>
      <c r="Y1733" s="24" t="str">
        <f aca="false">IF($A1733="","",(YEAR($A1733)-YEAR(Settings!$C$8))*12+MONTH($A1733)-MONTH(Settings!$C$8)+1)</f>
        <v/>
      </c>
      <c r="Z1733" s="24" t="str">
        <f aca="false">IF(AND($C1733="",$I1733="",$J1733=""),"",IF($N1733="","NO VAT CODE",IF($T1733="","UNKNOWN VAT CODE",IF($S1733="","MISSING FX RATE",IF(OR($A1733&lt;Settings!$C$8,$A1733&gt;Settings!$C$9),"OUTSIDE PERIOD",IF(AND(IFERROR(INDEX(VAT_Codes!$E:$E,MATCH($N1733,VAT_Codes!$A:$A,0)),"ANY")&lt;&gt;"ANY",$P1733=""),"MISSING COUNTERPARTY COUNTRY",IF(AND(IFERROR(INDEX(VAT_Codes!$E:$E,MATCH($N1733,VAT_Codes!$A:$A,0)),"ANY")&lt;&gt;"ANY",$P1733&lt;&gt;IFERROR(INDEX(VAT_Codes!$E:$E,MATCH($N1733,VAT_Codes!$A:$A,0)),"ANY")),"REGION MISMATCH","OK")))))))</f>
        <v/>
      </c>
    </row>
    <row r="1734" customFormat="false" ht="15" hidden="false" customHeight="false" outlineLevel="0" collapsed="false">
      <c r="M1734" s="24" t="str">
        <f aca="false">IF($C1734="","",IFERROR(INDEX(Account_Mapping!$C:$C,MATCH($C1734&amp;"",Account_Mapping!$A:$A,0))&amp;"",""))</f>
        <v/>
      </c>
      <c r="N1734" s="24" t="str">
        <f aca="false">IF($K1734&lt;&gt;"",$K1734,$M1734)</f>
        <v/>
      </c>
      <c r="O1734" s="24" t="str">
        <f aca="false">IF($F1734="","",IFERROR(INDEX(Counterparties!$C:$C,MATCH($F1734&amp;"",Counterparties!$A:$A,0))&amp;"",""))</f>
        <v/>
      </c>
      <c r="P1734" s="24" t="str">
        <f aca="false">IF($O1734="","",IF($O1734="CY","CY",IF(ISNUMBER(MATCH($O1734,Lists!$A:$A,0)),"EU","3RD")))</f>
        <v/>
      </c>
      <c r="Q1734" s="24" t="str">
        <f aca="false">IF($F1734="","N",IFERROR(IF(INDEX(Counterparties!$E:$E,MATCH($F1734&amp;"",Counterparties!$A:$A,0))="Y","Y","N"),"N"))</f>
        <v>N</v>
      </c>
      <c r="R1734" s="25" t="n">
        <f aca="false">IF(OR($H1734="",$H1734="EUR"),1,IFERROR(INDEX(FX_Rates!$D:$D,MATCH($H1734,FX_Rates!$A:$A,0)),""))</f>
        <v>1</v>
      </c>
      <c r="S1734" s="26" t="str">
        <f aca="false">IF(AND($I1734="",$J1734=""),"",IF($J1734&lt;&gt;"",$J1734,IF(OR($R1734="",$R1734=0),"",ROUND($I1734/$R1734,2))))</f>
        <v/>
      </c>
      <c r="T1734" s="24" t="str">
        <f aca="false">IF($N1734="","",IFERROR(INDEX(VAT_Codes!$C:$C,MATCH($N1734,VAT_Codes!$A:$A,0)),"")&amp;"")</f>
        <v/>
      </c>
      <c r="U1734" s="26" t="n">
        <f aca="false">IF(OR($S1734="",$T1734="",$T1734="None"),0,IF($T1734="Output",-$S1734,$S1734))</f>
        <v>0</v>
      </c>
      <c r="V1734" s="27" t="n">
        <f aca="false">IF($N1734="",0,IFERROR(INDEX(VAT_Codes!$D:$D,MATCH($N1734,VAT_Codes!$A:$A,0)),0))</f>
        <v>0</v>
      </c>
      <c r="W1734" s="26" t="n">
        <f aca="false">IF($U1734=0,0,IF(IFERROR(INDEX(VAT_Codes!$F:$F,MATCH($N1734,VAT_Codes!$A:$A,0)),"N")="Y",$U1734,IF($L1734&lt;&gt;"",ROUND(ABS($L1734)/IF(OR($R1734="",$R1734=0),1,$R1734),2)*SIGN($U1734),ROUND($U1734*$V1734,2))))</f>
        <v>0</v>
      </c>
      <c r="X1734" s="24" t="str">
        <f aca="false">IF($N1734="","",IFERROR(INDEX(VAT_Codes!$H:$H,MATCH($N1734,VAT_Codes!$A:$A,0)),"")&amp;"")</f>
        <v/>
      </c>
      <c r="Y1734" s="24" t="str">
        <f aca="false">IF($A1734="","",(YEAR($A1734)-YEAR(Settings!$C$8))*12+MONTH($A1734)-MONTH(Settings!$C$8)+1)</f>
        <v/>
      </c>
      <c r="Z1734" s="24" t="str">
        <f aca="false">IF(AND($C1734="",$I1734="",$J1734=""),"",IF($N1734="","NO VAT CODE",IF($T1734="","UNKNOWN VAT CODE",IF($S1734="","MISSING FX RATE",IF(OR($A1734&lt;Settings!$C$8,$A1734&gt;Settings!$C$9),"OUTSIDE PERIOD",IF(AND(IFERROR(INDEX(VAT_Codes!$E:$E,MATCH($N1734,VAT_Codes!$A:$A,0)),"ANY")&lt;&gt;"ANY",$P1734=""),"MISSING COUNTERPARTY COUNTRY",IF(AND(IFERROR(INDEX(VAT_Codes!$E:$E,MATCH($N1734,VAT_Codes!$A:$A,0)),"ANY")&lt;&gt;"ANY",$P1734&lt;&gt;IFERROR(INDEX(VAT_Codes!$E:$E,MATCH($N1734,VAT_Codes!$A:$A,0)),"ANY")),"REGION MISMATCH","OK")))))))</f>
        <v/>
      </c>
    </row>
    <row r="1735" customFormat="false" ht="15" hidden="false" customHeight="false" outlineLevel="0" collapsed="false">
      <c r="M1735" s="24" t="str">
        <f aca="false">IF($C1735="","",IFERROR(INDEX(Account_Mapping!$C:$C,MATCH($C1735&amp;"",Account_Mapping!$A:$A,0))&amp;"",""))</f>
        <v/>
      </c>
      <c r="N1735" s="24" t="str">
        <f aca="false">IF($K1735&lt;&gt;"",$K1735,$M1735)</f>
        <v/>
      </c>
      <c r="O1735" s="24" t="str">
        <f aca="false">IF($F1735="","",IFERROR(INDEX(Counterparties!$C:$C,MATCH($F1735&amp;"",Counterparties!$A:$A,0))&amp;"",""))</f>
        <v/>
      </c>
      <c r="P1735" s="24" t="str">
        <f aca="false">IF($O1735="","",IF($O1735="CY","CY",IF(ISNUMBER(MATCH($O1735,Lists!$A:$A,0)),"EU","3RD")))</f>
        <v/>
      </c>
      <c r="Q1735" s="24" t="str">
        <f aca="false">IF($F1735="","N",IFERROR(IF(INDEX(Counterparties!$E:$E,MATCH($F1735&amp;"",Counterparties!$A:$A,0))="Y","Y","N"),"N"))</f>
        <v>N</v>
      </c>
      <c r="R1735" s="25" t="n">
        <f aca="false">IF(OR($H1735="",$H1735="EUR"),1,IFERROR(INDEX(FX_Rates!$D:$D,MATCH($H1735,FX_Rates!$A:$A,0)),""))</f>
        <v>1</v>
      </c>
      <c r="S1735" s="26" t="str">
        <f aca="false">IF(AND($I1735="",$J1735=""),"",IF($J1735&lt;&gt;"",$J1735,IF(OR($R1735="",$R1735=0),"",ROUND($I1735/$R1735,2))))</f>
        <v/>
      </c>
      <c r="T1735" s="24" t="str">
        <f aca="false">IF($N1735="","",IFERROR(INDEX(VAT_Codes!$C:$C,MATCH($N1735,VAT_Codes!$A:$A,0)),"")&amp;"")</f>
        <v/>
      </c>
      <c r="U1735" s="26" t="n">
        <f aca="false">IF(OR($S1735="",$T1735="",$T1735="None"),0,IF($T1735="Output",-$S1735,$S1735))</f>
        <v>0</v>
      </c>
      <c r="V1735" s="27" t="n">
        <f aca="false">IF($N1735="",0,IFERROR(INDEX(VAT_Codes!$D:$D,MATCH($N1735,VAT_Codes!$A:$A,0)),0))</f>
        <v>0</v>
      </c>
      <c r="W1735" s="26" t="n">
        <f aca="false">IF($U1735=0,0,IF(IFERROR(INDEX(VAT_Codes!$F:$F,MATCH($N1735,VAT_Codes!$A:$A,0)),"N")="Y",$U1735,IF($L1735&lt;&gt;"",ROUND(ABS($L1735)/IF(OR($R1735="",$R1735=0),1,$R1735),2)*SIGN($U1735),ROUND($U1735*$V1735,2))))</f>
        <v>0</v>
      </c>
      <c r="X1735" s="24" t="str">
        <f aca="false">IF($N1735="","",IFERROR(INDEX(VAT_Codes!$H:$H,MATCH($N1735,VAT_Codes!$A:$A,0)),"")&amp;"")</f>
        <v/>
      </c>
      <c r="Y1735" s="24" t="str">
        <f aca="false">IF($A1735="","",(YEAR($A1735)-YEAR(Settings!$C$8))*12+MONTH($A1735)-MONTH(Settings!$C$8)+1)</f>
        <v/>
      </c>
      <c r="Z1735" s="24" t="str">
        <f aca="false">IF(AND($C1735="",$I1735="",$J1735=""),"",IF($N1735="","NO VAT CODE",IF($T1735="","UNKNOWN VAT CODE",IF($S1735="","MISSING FX RATE",IF(OR($A1735&lt;Settings!$C$8,$A1735&gt;Settings!$C$9),"OUTSIDE PERIOD",IF(AND(IFERROR(INDEX(VAT_Codes!$E:$E,MATCH($N1735,VAT_Codes!$A:$A,0)),"ANY")&lt;&gt;"ANY",$P1735=""),"MISSING COUNTERPARTY COUNTRY",IF(AND(IFERROR(INDEX(VAT_Codes!$E:$E,MATCH($N1735,VAT_Codes!$A:$A,0)),"ANY")&lt;&gt;"ANY",$P1735&lt;&gt;IFERROR(INDEX(VAT_Codes!$E:$E,MATCH($N1735,VAT_Codes!$A:$A,0)),"ANY")),"REGION MISMATCH","OK")))))))</f>
        <v/>
      </c>
    </row>
    <row r="1736" customFormat="false" ht="15" hidden="false" customHeight="false" outlineLevel="0" collapsed="false">
      <c r="M1736" s="24" t="str">
        <f aca="false">IF($C1736="","",IFERROR(INDEX(Account_Mapping!$C:$C,MATCH($C1736&amp;"",Account_Mapping!$A:$A,0))&amp;"",""))</f>
        <v/>
      </c>
      <c r="N1736" s="24" t="str">
        <f aca="false">IF($K1736&lt;&gt;"",$K1736,$M1736)</f>
        <v/>
      </c>
      <c r="O1736" s="24" t="str">
        <f aca="false">IF($F1736="","",IFERROR(INDEX(Counterparties!$C:$C,MATCH($F1736&amp;"",Counterparties!$A:$A,0))&amp;"",""))</f>
        <v/>
      </c>
      <c r="P1736" s="24" t="str">
        <f aca="false">IF($O1736="","",IF($O1736="CY","CY",IF(ISNUMBER(MATCH($O1736,Lists!$A:$A,0)),"EU","3RD")))</f>
        <v/>
      </c>
      <c r="Q1736" s="24" t="str">
        <f aca="false">IF($F1736="","N",IFERROR(IF(INDEX(Counterparties!$E:$E,MATCH($F1736&amp;"",Counterparties!$A:$A,0))="Y","Y","N"),"N"))</f>
        <v>N</v>
      </c>
      <c r="R1736" s="25" t="n">
        <f aca="false">IF(OR($H1736="",$H1736="EUR"),1,IFERROR(INDEX(FX_Rates!$D:$D,MATCH($H1736,FX_Rates!$A:$A,0)),""))</f>
        <v>1</v>
      </c>
      <c r="S1736" s="26" t="str">
        <f aca="false">IF(AND($I1736="",$J1736=""),"",IF($J1736&lt;&gt;"",$J1736,IF(OR($R1736="",$R1736=0),"",ROUND($I1736/$R1736,2))))</f>
        <v/>
      </c>
      <c r="T1736" s="24" t="str">
        <f aca="false">IF($N1736="","",IFERROR(INDEX(VAT_Codes!$C:$C,MATCH($N1736,VAT_Codes!$A:$A,0)),"")&amp;"")</f>
        <v/>
      </c>
      <c r="U1736" s="26" t="n">
        <f aca="false">IF(OR($S1736="",$T1736="",$T1736="None"),0,IF($T1736="Output",-$S1736,$S1736))</f>
        <v>0</v>
      </c>
      <c r="V1736" s="27" t="n">
        <f aca="false">IF($N1736="",0,IFERROR(INDEX(VAT_Codes!$D:$D,MATCH($N1736,VAT_Codes!$A:$A,0)),0))</f>
        <v>0</v>
      </c>
      <c r="W1736" s="26" t="n">
        <f aca="false">IF($U1736=0,0,IF(IFERROR(INDEX(VAT_Codes!$F:$F,MATCH($N1736,VAT_Codes!$A:$A,0)),"N")="Y",$U1736,IF($L1736&lt;&gt;"",ROUND(ABS($L1736)/IF(OR($R1736="",$R1736=0),1,$R1736),2)*SIGN($U1736),ROUND($U1736*$V1736,2))))</f>
        <v>0</v>
      </c>
      <c r="X1736" s="24" t="str">
        <f aca="false">IF($N1736="","",IFERROR(INDEX(VAT_Codes!$H:$H,MATCH($N1736,VAT_Codes!$A:$A,0)),"")&amp;"")</f>
        <v/>
      </c>
      <c r="Y1736" s="24" t="str">
        <f aca="false">IF($A1736="","",(YEAR($A1736)-YEAR(Settings!$C$8))*12+MONTH($A1736)-MONTH(Settings!$C$8)+1)</f>
        <v/>
      </c>
      <c r="Z1736" s="24" t="str">
        <f aca="false">IF(AND($C1736="",$I1736="",$J1736=""),"",IF($N1736="","NO VAT CODE",IF($T1736="","UNKNOWN VAT CODE",IF($S1736="","MISSING FX RATE",IF(OR($A1736&lt;Settings!$C$8,$A1736&gt;Settings!$C$9),"OUTSIDE PERIOD",IF(AND(IFERROR(INDEX(VAT_Codes!$E:$E,MATCH($N1736,VAT_Codes!$A:$A,0)),"ANY")&lt;&gt;"ANY",$P1736=""),"MISSING COUNTERPARTY COUNTRY",IF(AND(IFERROR(INDEX(VAT_Codes!$E:$E,MATCH($N1736,VAT_Codes!$A:$A,0)),"ANY")&lt;&gt;"ANY",$P1736&lt;&gt;IFERROR(INDEX(VAT_Codes!$E:$E,MATCH($N1736,VAT_Codes!$A:$A,0)),"ANY")),"REGION MISMATCH","OK")))))))</f>
        <v/>
      </c>
    </row>
    <row r="1737" customFormat="false" ht="15" hidden="false" customHeight="false" outlineLevel="0" collapsed="false">
      <c r="M1737" s="24" t="str">
        <f aca="false">IF($C1737="","",IFERROR(INDEX(Account_Mapping!$C:$C,MATCH($C1737&amp;"",Account_Mapping!$A:$A,0))&amp;"",""))</f>
        <v/>
      </c>
      <c r="N1737" s="24" t="str">
        <f aca="false">IF($K1737&lt;&gt;"",$K1737,$M1737)</f>
        <v/>
      </c>
      <c r="O1737" s="24" t="str">
        <f aca="false">IF($F1737="","",IFERROR(INDEX(Counterparties!$C:$C,MATCH($F1737&amp;"",Counterparties!$A:$A,0))&amp;"",""))</f>
        <v/>
      </c>
      <c r="P1737" s="24" t="str">
        <f aca="false">IF($O1737="","",IF($O1737="CY","CY",IF(ISNUMBER(MATCH($O1737,Lists!$A:$A,0)),"EU","3RD")))</f>
        <v/>
      </c>
      <c r="Q1737" s="24" t="str">
        <f aca="false">IF($F1737="","N",IFERROR(IF(INDEX(Counterparties!$E:$E,MATCH($F1737&amp;"",Counterparties!$A:$A,0))="Y","Y","N"),"N"))</f>
        <v>N</v>
      </c>
      <c r="R1737" s="25" t="n">
        <f aca="false">IF(OR($H1737="",$H1737="EUR"),1,IFERROR(INDEX(FX_Rates!$D:$D,MATCH($H1737,FX_Rates!$A:$A,0)),""))</f>
        <v>1</v>
      </c>
      <c r="S1737" s="26" t="str">
        <f aca="false">IF(AND($I1737="",$J1737=""),"",IF($J1737&lt;&gt;"",$J1737,IF(OR($R1737="",$R1737=0),"",ROUND($I1737/$R1737,2))))</f>
        <v/>
      </c>
      <c r="T1737" s="24" t="str">
        <f aca="false">IF($N1737="","",IFERROR(INDEX(VAT_Codes!$C:$C,MATCH($N1737,VAT_Codes!$A:$A,0)),"")&amp;"")</f>
        <v/>
      </c>
      <c r="U1737" s="26" t="n">
        <f aca="false">IF(OR($S1737="",$T1737="",$T1737="None"),0,IF($T1737="Output",-$S1737,$S1737))</f>
        <v>0</v>
      </c>
      <c r="V1737" s="27" t="n">
        <f aca="false">IF($N1737="",0,IFERROR(INDEX(VAT_Codes!$D:$D,MATCH($N1737,VAT_Codes!$A:$A,0)),0))</f>
        <v>0</v>
      </c>
      <c r="W1737" s="26" t="n">
        <f aca="false">IF($U1737=0,0,IF(IFERROR(INDEX(VAT_Codes!$F:$F,MATCH($N1737,VAT_Codes!$A:$A,0)),"N")="Y",$U1737,IF($L1737&lt;&gt;"",ROUND(ABS($L1737)/IF(OR($R1737="",$R1737=0),1,$R1737),2)*SIGN($U1737),ROUND($U1737*$V1737,2))))</f>
        <v>0</v>
      </c>
      <c r="X1737" s="24" t="str">
        <f aca="false">IF($N1737="","",IFERROR(INDEX(VAT_Codes!$H:$H,MATCH($N1737,VAT_Codes!$A:$A,0)),"")&amp;"")</f>
        <v/>
      </c>
      <c r="Y1737" s="24" t="str">
        <f aca="false">IF($A1737="","",(YEAR($A1737)-YEAR(Settings!$C$8))*12+MONTH($A1737)-MONTH(Settings!$C$8)+1)</f>
        <v/>
      </c>
      <c r="Z1737" s="24" t="str">
        <f aca="false">IF(AND($C1737="",$I1737="",$J1737=""),"",IF($N1737="","NO VAT CODE",IF($T1737="","UNKNOWN VAT CODE",IF($S1737="","MISSING FX RATE",IF(OR($A1737&lt;Settings!$C$8,$A1737&gt;Settings!$C$9),"OUTSIDE PERIOD",IF(AND(IFERROR(INDEX(VAT_Codes!$E:$E,MATCH($N1737,VAT_Codes!$A:$A,0)),"ANY")&lt;&gt;"ANY",$P1737=""),"MISSING COUNTERPARTY COUNTRY",IF(AND(IFERROR(INDEX(VAT_Codes!$E:$E,MATCH($N1737,VAT_Codes!$A:$A,0)),"ANY")&lt;&gt;"ANY",$P1737&lt;&gt;IFERROR(INDEX(VAT_Codes!$E:$E,MATCH($N1737,VAT_Codes!$A:$A,0)),"ANY")),"REGION MISMATCH","OK")))))))</f>
        <v/>
      </c>
    </row>
    <row r="1738" customFormat="false" ht="15" hidden="false" customHeight="false" outlineLevel="0" collapsed="false">
      <c r="M1738" s="24" t="str">
        <f aca="false">IF($C1738="","",IFERROR(INDEX(Account_Mapping!$C:$C,MATCH($C1738&amp;"",Account_Mapping!$A:$A,0))&amp;"",""))</f>
        <v/>
      </c>
      <c r="N1738" s="24" t="str">
        <f aca="false">IF($K1738&lt;&gt;"",$K1738,$M1738)</f>
        <v/>
      </c>
      <c r="O1738" s="24" t="str">
        <f aca="false">IF($F1738="","",IFERROR(INDEX(Counterparties!$C:$C,MATCH($F1738&amp;"",Counterparties!$A:$A,0))&amp;"",""))</f>
        <v/>
      </c>
      <c r="P1738" s="24" t="str">
        <f aca="false">IF($O1738="","",IF($O1738="CY","CY",IF(ISNUMBER(MATCH($O1738,Lists!$A:$A,0)),"EU","3RD")))</f>
        <v/>
      </c>
      <c r="Q1738" s="24" t="str">
        <f aca="false">IF($F1738="","N",IFERROR(IF(INDEX(Counterparties!$E:$E,MATCH($F1738&amp;"",Counterparties!$A:$A,0))="Y","Y","N"),"N"))</f>
        <v>N</v>
      </c>
      <c r="R1738" s="25" t="n">
        <f aca="false">IF(OR($H1738="",$H1738="EUR"),1,IFERROR(INDEX(FX_Rates!$D:$D,MATCH($H1738,FX_Rates!$A:$A,0)),""))</f>
        <v>1</v>
      </c>
      <c r="S1738" s="26" t="str">
        <f aca="false">IF(AND($I1738="",$J1738=""),"",IF($J1738&lt;&gt;"",$J1738,IF(OR($R1738="",$R1738=0),"",ROUND($I1738/$R1738,2))))</f>
        <v/>
      </c>
      <c r="T1738" s="24" t="str">
        <f aca="false">IF($N1738="","",IFERROR(INDEX(VAT_Codes!$C:$C,MATCH($N1738,VAT_Codes!$A:$A,0)),"")&amp;"")</f>
        <v/>
      </c>
      <c r="U1738" s="26" t="n">
        <f aca="false">IF(OR($S1738="",$T1738="",$T1738="None"),0,IF($T1738="Output",-$S1738,$S1738))</f>
        <v>0</v>
      </c>
      <c r="V1738" s="27" t="n">
        <f aca="false">IF($N1738="",0,IFERROR(INDEX(VAT_Codes!$D:$D,MATCH($N1738,VAT_Codes!$A:$A,0)),0))</f>
        <v>0</v>
      </c>
      <c r="W1738" s="26" t="n">
        <f aca="false">IF($U1738=0,0,IF(IFERROR(INDEX(VAT_Codes!$F:$F,MATCH($N1738,VAT_Codes!$A:$A,0)),"N")="Y",$U1738,IF($L1738&lt;&gt;"",ROUND(ABS($L1738)/IF(OR($R1738="",$R1738=0),1,$R1738),2)*SIGN($U1738),ROUND($U1738*$V1738,2))))</f>
        <v>0</v>
      </c>
      <c r="X1738" s="24" t="str">
        <f aca="false">IF($N1738="","",IFERROR(INDEX(VAT_Codes!$H:$H,MATCH($N1738,VAT_Codes!$A:$A,0)),"")&amp;"")</f>
        <v/>
      </c>
      <c r="Y1738" s="24" t="str">
        <f aca="false">IF($A1738="","",(YEAR($A1738)-YEAR(Settings!$C$8))*12+MONTH($A1738)-MONTH(Settings!$C$8)+1)</f>
        <v/>
      </c>
      <c r="Z1738" s="24" t="str">
        <f aca="false">IF(AND($C1738="",$I1738="",$J1738=""),"",IF($N1738="","NO VAT CODE",IF($T1738="","UNKNOWN VAT CODE",IF($S1738="","MISSING FX RATE",IF(OR($A1738&lt;Settings!$C$8,$A1738&gt;Settings!$C$9),"OUTSIDE PERIOD",IF(AND(IFERROR(INDEX(VAT_Codes!$E:$E,MATCH($N1738,VAT_Codes!$A:$A,0)),"ANY")&lt;&gt;"ANY",$P1738=""),"MISSING COUNTERPARTY COUNTRY",IF(AND(IFERROR(INDEX(VAT_Codes!$E:$E,MATCH($N1738,VAT_Codes!$A:$A,0)),"ANY")&lt;&gt;"ANY",$P1738&lt;&gt;IFERROR(INDEX(VAT_Codes!$E:$E,MATCH($N1738,VAT_Codes!$A:$A,0)),"ANY")),"REGION MISMATCH","OK")))))))</f>
        <v/>
      </c>
    </row>
    <row r="1739" customFormat="false" ht="15" hidden="false" customHeight="false" outlineLevel="0" collapsed="false">
      <c r="M1739" s="24" t="str">
        <f aca="false">IF($C1739="","",IFERROR(INDEX(Account_Mapping!$C:$C,MATCH($C1739&amp;"",Account_Mapping!$A:$A,0))&amp;"",""))</f>
        <v/>
      </c>
      <c r="N1739" s="24" t="str">
        <f aca="false">IF($K1739&lt;&gt;"",$K1739,$M1739)</f>
        <v/>
      </c>
      <c r="O1739" s="24" t="str">
        <f aca="false">IF($F1739="","",IFERROR(INDEX(Counterparties!$C:$C,MATCH($F1739&amp;"",Counterparties!$A:$A,0))&amp;"",""))</f>
        <v/>
      </c>
      <c r="P1739" s="24" t="str">
        <f aca="false">IF($O1739="","",IF($O1739="CY","CY",IF(ISNUMBER(MATCH($O1739,Lists!$A:$A,0)),"EU","3RD")))</f>
        <v/>
      </c>
      <c r="Q1739" s="24" t="str">
        <f aca="false">IF($F1739="","N",IFERROR(IF(INDEX(Counterparties!$E:$E,MATCH($F1739&amp;"",Counterparties!$A:$A,0))="Y","Y","N"),"N"))</f>
        <v>N</v>
      </c>
      <c r="R1739" s="25" t="n">
        <f aca="false">IF(OR($H1739="",$H1739="EUR"),1,IFERROR(INDEX(FX_Rates!$D:$D,MATCH($H1739,FX_Rates!$A:$A,0)),""))</f>
        <v>1</v>
      </c>
      <c r="S1739" s="26" t="str">
        <f aca="false">IF(AND($I1739="",$J1739=""),"",IF($J1739&lt;&gt;"",$J1739,IF(OR($R1739="",$R1739=0),"",ROUND($I1739/$R1739,2))))</f>
        <v/>
      </c>
      <c r="T1739" s="24" t="str">
        <f aca="false">IF($N1739="","",IFERROR(INDEX(VAT_Codes!$C:$C,MATCH($N1739,VAT_Codes!$A:$A,0)),"")&amp;"")</f>
        <v/>
      </c>
      <c r="U1739" s="26" t="n">
        <f aca="false">IF(OR($S1739="",$T1739="",$T1739="None"),0,IF($T1739="Output",-$S1739,$S1739))</f>
        <v>0</v>
      </c>
      <c r="V1739" s="27" t="n">
        <f aca="false">IF($N1739="",0,IFERROR(INDEX(VAT_Codes!$D:$D,MATCH($N1739,VAT_Codes!$A:$A,0)),0))</f>
        <v>0</v>
      </c>
      <c r="W1739" s="26" t="n">
        <f aca="false">IF($U1739=0,0,IF(IFERROR(INDEX(VAT_Codes!$F:$F,MATCH($N1739,VAT_Codes!$A:$A,0)),"N")="Y",$U1739,IF($L1739&lt;&gt;"",ROUND(ABS($L1739)/IF(OR($R1739="",$R1739=0),1,$R1739),2)*SIGN($U1739),ROUND($U1739*$V1739,2))))</f>
        <v>0</v>
      </c>
      <c r="X1739" s="24" t="str">
        <f aca="false">IF($N1739="","",IFERROR(INDEX(VAT_Codes!$H:$H,MATCH($N1739,VAT_Codes!$A:$A,0)),"")&amp;"")</f>
        <v/>
      </c>
      <c r="Y1739" s="24" t="str">
        <f aca="false">IF($A1739="","",(YEAR($A1739)-YEAR(Settings!$C$8))*12+MONTH($A1739)-MONTH(Settings!$C$8)+1)</f>
        <v/>
      </c>
      <c r="Z1739" s="24" t="str">
        <f aca="false">IF(AND($C1739="",$I1739="",$J1739=""),"",IF($N1739="","NO VAT CODE",IF($T1739="","UNKNOWN VAT CODE",IF($S1739="","MISSING FX RATE",IF(OR($A1739&lt;Settings!$C$8,$A1739&gt;Settings!$C$9),"OUTSIDE PERIOD",IF(AND(IFERROR(INDEX(VAT_Codes!$E:$E,MATCH($N1739,VAT_Codes!$A:$A,0)),"ANY")&lt;&gt;"ANY",$P1739=""),"MISSING COUNTERPARTY COUNTRY",IF(AND(IFERROR(INDEX(VAT_Codes!$E:$E,MATCH($N1739,VAT_Codes!$A:$A,0)),"ANY")&lt;&gt;"ANY",$P1739&lt;&gt;IFERROR(INDEX(VAT_Codes!$E:$E,MATCH($N1739,VAT_Codes!$A:$A,0)),"ANY")),"REGION MISMATCH","OK")))))))</f>
        <v/>
      </c>
    </row>
    <row r="1740" customFormat="false" ht="15" hidden="false" customHeight="false" outlineLevel="0" collapsed="false">
      <c r="M1740" s="24" t="str">
        <f aca="false">IF($C1740="","",IFERROR(INDEX(Account_Mapping!$C:$C,MATCH($C1740&amp;"",Account_Mapping!$A:$A,0))&amp;"",""))</f>
        <v/>
      </c>
      <c r="N1740" s="24" t="str">
        <f aca="false">IF($K1740&lt;&gt;"",$K1740,$M1740)</f>
        <v/>
      </c>
      <c r="O1740" s="24" t="str">
        <f aca="false">IF($F1740="","",IFERROR(INDEX(Counterparties!$C:$C,MATCH($F1740&amp;"",Counterparties!$A:$A,0))&amp;"",""))</f>
        <v/>
      </c>
      <c r="P1740" s="24" t="str">
        <f aca="false">IF($O1740="","",IF($O1740="CY","CY",IF(ISNUMBER(MATCH($O1740,Lists!$A:$A,0)),"EU","3RD")))</f>
        <v/>
      </c>
      <c r="Q1740" s="24" t="str">
        <f aca="false">IF($F1740="","N",IFERROR(IF(INDEX(Counterparties!$E:$E,MATCH($F1740&amp;"",Counterparties!$A:$A,0))="Y","Y","N"),"N"))</f>
        <v>N</v>
      </c>
      <c r="R1740" s="25" t="n">
        <f aca="false">IF(OR($H1740="",$H1740="EUR"),1,IFERROR(INDEX(FX_Rates!$D:$D,MATCH($H1740,FX_Rates!$A:$A,0)),""))</f>
        <v>1</v>
      </c>
      <c r="S1740" s="26" t="str">
        <f aca="false">IF(AND($I1740="",$J1740=""),"",IF($J1740&lt;&gt;"",$J1740,IF(OR($R1740="",$R1740=0),"",ROUND($I1740/$R1740,2))))</f>
        <v/>
      </c>
      <c r="T1740" s="24" t="str">
        <f aca="false">IF($N1740="","",IFERROR(INDEX(VAT_Codes!$C:$C,MATCH($N1740,VAT_Codes!$A:$A,0)),"")&amp;"")</f>
        <v/>
      </c>
      <c r="U1740" s="26" t="n">
        <f aca="false">IF(OR($S1740="",$T1740="",$T1740="None"),0,IF($T1740="Output",-$S1740,$S1740))</f>
        <v>0</v>
      </c>
      <c r="V1740" s="27" t="n">
        <f aca="false">IF($N1740="",0,IFERROR(INDEX(VAT_Codes!$D:$D,MATCH($N1740,VAT_Codes!$A:$A,0)),0))</f>
        <v>0</v>
      </c>
      <c r="W1740" s="26" t="n">
        <f aca="false">IF($U1740=0,0,IF(IFERROR(INDEX(VAT_Codes!$F:$F,MATCH($N1740,VAT_Codes!$A:$A,0)),"N")="Y",$U1740,IF($L1740&lt;&gt;"",ROUND(ABS($L1740)/IF(OR($R1740="",$R1740=0),1,$R1740),2)*SIGN($U1740),ROUND($U1740*$V1740,2))))</f>
        <v>0</v>
      </c>
      <c r="X1740" s="24" t="str">
        <f aca="false">IF($N1740="","",IFERROR(INDEX(VAT_Codes!$H:$H,MATCH($N1740,VAT_Codes!$A:$A,0)),"")&amp;"")</f>
        <v/>
      </c>
      <c r="Y1740" s="24" t="str">
        <f aca="false">IF($A1740="","",(YEAR($A1740)-YEAR(Settings!$C$8))*12+MONTH($A1740)-MONTH(Settings!$C$8)+1)</f>
        <v/>
      </c>
      <c r="Z1740" s="24" t="str">
        <f aca="false">IF(AND($C1740="",$I1740="",$J1740=""),"",IF($N1740="","NO VAT CODE",IF($T1740="","UNKNOWN VAT CODE",IF($S1740="","MISSING FX RATE",IF(OR($A1740&lt;Settings!$C$8,$A1740&gt;Settings!$C$9),"OUTSIDE PERIOD",IF(AND(IFERROR(INDEX(VAT_Codes!$E:$E,MATCH($N1740,VAT_Codes!$A:$A,0)),"ANY")&lt;&gt;"ANY",$P1740=""),"MISSING COUNTERPARTY COUNTRY",IF(AND(IFERROR(INDEX(VAT_Codes!$E:$E,MATCH($N1740,VAT_Codes!$A:$A,0)),"ANY")&lt;&gt;"ANY",$P1740&lt;&gt;IFERROR(INDEX(VAT_Codes!$E:$E,MATCH($N1740,VAT_Codes!$A:$A,0)),"ANY")),"REGION MISMATCH","OK")))))))</f>
        <v/>
      </c>
    </row>
    <row r="1741" customFormat="false" ht="15" hidden="false" customHeight="false" outlineLevel="0" collapsed="false">
      <c r="M1741" s="24" t="str">
        <f aca="false">IF($C1741="","",IFERROR(INDEX(Account_Mapping!$C:$C,MATCH($C1741&amp;"",Account_Mapping!$A:$A,0))&amp;"",""))</f>
        <v/>
      </c>
      <c r="N1741" s="24" t="str">
        <f aca="false">IF($K1741&lt;&gt;"",$K1741,$M1741)</f>
        <v/>
      </c>
      <c r="O1741" s="24" t="str">
        <f aca="false">IF($F1741="","",IFERROR(INDEX(Counterparties!$C:$C,MATCH($F1741&amp;"",Counterparties!$A:$A,0))&amp;"",""))</f>
        <v/>
      </c>
      <c r="P1741" s="24" t="str">
        <f aca="false">IF($O1741="","",IF($O1741="CY","CY",IF(ISNUMBER(MATCH($O1741,Lists!$A:$A,0)),"EU","3RD")))</f>
        <v/>
      </c>
      <c r="Q1741" s="24" t="str">
        <f aca="false">IF($F1741="","N",IFERROR(IF(INDEX(Counterparties!$E:$E,MATCH($F1741&amp;"",Counterparties!$A:$A,0))="Y","Y","N"),"N"))</f>
        <v>N</v>
      </c>
      <c r="R1741" s="25" t="n">
        <f aca="false">IF(OR($H1741="",$H1741="EUR"),1,IFERROR(INDEX(FX_Rates!$D:$D,MATCH($H1741,FX_Rates!$A:$A,0)),""))</f>
        <v>1</v>
      </c>
      <c r="S1741" s="26" t="str">
        <f aca="false">IF(AND($I1741="",$J1741=""),"",IF($J1741&lt;&gt;"",$J1741,IF(OR($R1741="",$R1741=0),"",ROUND($I1741/$R1741,2))))</f>
        <v/>
      </c>
      <c r="T1741" s="24" t="str">
        <f aca="false">IF($N1741="","",IFERROR(INDEX(VAT_Codes!$C:$C,MATCH($N1741,VAT_Codes!$A:$A,0)),"")&amp;"")</f>
        <v/>
      </c>
      <c r="U1741" s="26" t="n">
        <f aca="false">IF(OR($S1741="",$T1741="",$T1741="None"),0,IF($T1741="Output",-$S1741,$S1741))</f>
        <v>0</v>
      </c>
      <c r="V1741" s="27" t="n">
        <f aca="false">IF($N1741="",0,IFERROR(INDEX(VAT_Codes!$D:$D,MATCH($N1741,VAT_Codes!$A:$A,0)),0))</f>
        <v>0</v>
      </c>
      <c r="W1741" s="26" t="n">
        <f aca="false">IF($U1741=0,0,IF(IFERROR(INDEX(VAT_Codes!$F:$F,MATCH($N1741,VAT_Codes!$A:$A,0)),"N")="Y",$U1741,IF($L1741&lt;&gt;"",ROUND(ABS($L1741)/IF(OR($R1741="",$R1741=0),1,$R1741),2)*SIGN($U1741),ROUND($U1741*$V1741,2))))</f>
        <v>0</v>
      </c>
      <c r="X1741" s="24" t="str">
        <f aca="false">IF($N1741="","",IFERROR(INDEX(VAT_Codes!$H:$H,MATCH($N1741,VAT_Codes!$A:$A,0)),"")&amp;"")</f>
        <v/>
      </c>
      <c r="Y1741" s="24" t="str">
        <f aca="false">IF($A1741="","",(YEAR($A1741)-YEAR(Settings!$C$8))*12+MONTH($A1741)-MONTH(Settings!$C$8)+1)</f>
        <v/>
      </c>
      <c r="Z1741" s="24" t="str">
        <f aca="false">IF(AND($C1741="",$I1741="",$J1741=""),"",IF($N1741="","NO VAT CODE",IF($T1741="","UNKNOWN VAT CODE",IF($S1741="","MISSING FX RATE",IF(OR($A1741&lt;Settings!$C$8,$A1741&gt;Settings!$C$9),"OUTSIDE PERIOD",IF(AND(IFERROR(INDEX(VAT_Codes!$E:$E,MATCH($N1741,VAT_Codes!$A:$A,0)),"ANY")&lt;&gt;"ANY",$P1741=""),"MISSING COUNTERPARTY COUNTRY",IF(AND(IFERROR(INDEX(VAT_Codes!$E:$E,MATCH($N1741,VAT_Codes!$A:$A,0)),"ANY")&lt;&gt;"ANY",$P1741&lt;&gt;IFERROR(INDEX(VAT_Codes!$E:$E,MATCH($N1741,VAT_Codes!$A:$A,0)),"ANY")),"REGION MISMATCH","OK")))))))</f>
        <v/>
      </c>
    </row>
    <row r="1742" customFormat="false" ht="15" hidden="false" customHeight="false" outlineLevel="0" collapsed="false">
      <c r="M1742" s="24" t="str">
        <f aca="false">IF($C1742="","",IFERROR(INDEX(Account_Mapping!$C:$C,MATCH($C1742&amp;"",Account_Mapping!$A:$A,0))&amp;"",""))</f>
        <v/>
      </c>
      <c r="N1742" s="24" t="str">
        <f aca="false">IF($K1742&lt;&gt;"",$K1742,$M1742)</f>
        <v/>
      </c>
      <c r="O1742" s="24" t="str">
        <f aca="false">IF($F1742="","",IFERROR(INDEX(Counterparties!$C:$C,MATCH($F1742&amp;"",Counterparties!$A:$A,0))&amp;"",""))</f>
        <v/>
      </c>
      <c r="P1742" s="24" t="str">
        <f aca="false">IF($O1742="","",IF($O1742="CY","CY",IF(ISNUMBER(MATCH($O1742,Lists!$A:$A,0)),"EU","3RD")))</f>
        <v/>
      </c>
      <c r="Q1742" s="24" t="str">
        <f aca="false">IF($F1742="","N",IFERROR(IF(INDEX(Counterparties!$E:$E,MATCH($F1742&amp;"",Counterparties!$A:$A,0))="Y","Y","N"),"N"))</f>
        <v>N</v>
      </c>
      <c r="R1742" s="25" t="n">
        <f aca="false">IF(OR($H1742="",$H1742="EUR"),1,IFERROR(INDEX(FX_Rates!$D:$D,MATCH($H1742,FX_Rates!$A:$A,0)),""))</f>
        <v>1</v>
      </c>
      <c r="S1742" s="26" t="str">
        <f aca="false">IF(AND($I1742="",$J1742=""),"",IF($J1742&lt;&gt;"",$J1742,IF(OR($R1742="",$R1742=0),"",ROUND($I1742/$R1742,2))))</f>
        <v/>
      </c>
      <c r="T1742" s="24" t="str">
        <f aca="false">IF($N1742="","",IFERROR(INDEX(VAT_Codes!$C:$C,MATCH($N1742,VAT_Codes!$A:$A,0)),"")&amp;"")</f>
        <v/>
      </c>
      <c r="U1742" s="26" t="n">
        <f aca="false">IF(OR($S1742="",$T1742="",$T1742="None"),0,IF($T1742="Output",-$S1742,$S1742))</f>
        <v>0</v>
      </c>
      <c r="V1742" s="27" t="n">
        <f aca="false">IF($N1742="",0,IFERROR(INDEX(VAT_Codes!$D:$D,MATCH($N1742,VAT_Codes!$A:$A,0)),0))</f>
        <v>0</v>
      </c>
      <c r="W1742" s="26" t="n">
        <f aca="false">IF($U1742=0,0,IF(IFERROR(INDEX(VAT_Codes!$F:$F,MATCH($N1742,VAT_Codes!$A:$A,0)),"N")="Y",$U1742,IF($L1742&lt;&gt;"",ROUND(ABS($L1742)/IF(OR($R1742="",$R1742=0),1,$R1742),2)*SIGN($U1742),ROUND($U1742*$V1742,2))))</f>
        <v>0</v>
      </c>
      <c r="X1742" s="24" t="str">
        <f aca="false">IF($N1742="","",IFERROR(INDEX(VAT_Codes!$H:$H,MATCH($N1742,VAT_Codes!$A:$A,0)),"")&amp;"")</f>
        <v/>
      </c>
      <c r="Y1742" s="24" t="str">
        <f aca="false">IF($A1742="","",(YEAR($A1742)-YEAR(Settings!$C$8))*12+MONTH($A1742)-MONTH(Settings!$C$8)+1)</f>
        <v/>
      </c>
      <c r="Z1742" s="24" t="str">
        <f aca="false">IF(AND($C1742="",$I1742="",$J1742=""),"",IF($N1742="","NO VAT CODE",IF($T1742="","UNKNOWN VAT CODE",IF($S1742="","MISSING FX RATE",IF(OR($A1742&lt;Settings!$C$8,$A1742&gt;Settings!$C$9),"OUTSIDE PERIOD",IF(AND(IFERROR(INDEX(VAT_Codes!$E:$E,MATCH($N1742,VAT_Codes!$A:$A,0)),"ANY")&lt;&gt;"ANY",$P1742=""),"MISSING COUNTERPARTY COUNTRY",IF(AND(IFERROR(INDEX(VAT_Codes!$E:$E,MATCH($N1742,VAT_Codes!$A:$A,0)),"ANY")&lt;&gt;"ANY",$P1742&lt;&gt;IFERROR(INDEX(VAT_Codes!$E:$E,MATCH($N1742,VAT_Codes!$A:$A,0)),"ANY")),"REGION MISMATCH","OK")))))))</f>
        <v/>
      </c>
    </row>
    <row r="1743" customFormat="false" ht="15" hidden="false" customHeight="false" outlineLevel="0" collapsed="false">
      <c r="M1743" s="24" t="str">
        <f aca="false">IF($C1743="","",IFERROR(INDEX(Account_Mapping!$C:$C,MATCH($C1743&amp;"",Account_Mapping!$A:$A,0))&amp;"",""))</f>
        <v/>
      </c>
      <c r="N1743" s="24" t="str">
        <f aca="false">IF($K1743&lt;&gt;"",$K1743,$M1743)</f>
        <v/>
      </c>
      <c r="O1743" s="24" t="str">
        <f aca="false">IF($F1743="","",IFERROR(INDEX(Counterparties!$C:$C,MATCH($F1743&amp;"",Counterparties!$A:$A,0))&amp;"",""))</f>
        <v/>
      </c>
      <c r="P1743" s="24" t="str">
        <f aca="false">IF($O1743="","",IF($O1743="CY","CY",IF(ISNUMBER(MATCH($O1743,Lists!$A:$A,0)),"EU","3RD")))</f>
        <v/>
      </c>
      <c r="Q1743" s="24" t="str">
        <f aca="false">IF($F1743="","N",IFERROR(IF(INDEX(Counterparties!$E:$E,MATCH($F1743&amp;"",Counterparties!$A:$A,0))="Y","Y","N"),"N"))</f>
        <v>N</v>
      </c>
      <c r="R1743" s="25" t="n">
        <f aca="false">IF(OR($H1743="",$H1743="EUR"),1,IFERROR(INDEX(FX_Rates!$D:$D,MATCH($H1743,FX_Rates!$A:$A,0)),""))</f>
        <v>1</v>
      </c>
      <c r="S1743" s="26" t="str">
        <f aca="false">IF(AND($I1743="",$J1743=""),"",IF($J1743&lt;&gt;"",$J1743,IF(OR($R1743="",$R1743=0),"",ROUND($I1743/$R1743,2))))</f>
        <v/>
      </c>
      <c r="T1743" s="24" t="str">
        <f aca="false">IF($N1743="","",IFERROR(INDEX(VAT_Codes!$C:$C,MATCH($N1743,VAT_Codes!$A:$A,0)),"")&amp;"")</f>
        <v/>
      </c>
      <c r="U1743" s="26" t="n">
        <f aca="false">IF(OR($S1743="",$T1743="",$T1743="None"),0,IF($T1743="Output",-$S1743,$S1743))</f>
        <v>0</v>
      </c>
      <c r="V1743" s="27" t="n">
        <f aca="false">IF($N1743="",0,IFERROR(INDEX(VAT_Codes!$D:$D,MATCH($N1743,VAT_Codes!$A:$A,0)),0))</f>
        <v>0</v>
      </c>
      <c r="W1743" s="26" t="n">
        <f aca="false">IF($U1743=0,0,IF(IFERROR(INDEX(VAT_Codes!$F:$F,MATCH($N1743,VAT_Codes!$A:$A,0)),"N")="Y",$U1743,IF($L1743&lt;&gt;"",ROUND(ABS($L1743)/IF(OR($R1743="",$R1743=0),1,$R1743),2)*SIGN($U1743),ROUND($U1743*$V1743,2))))</f>
        <v>0</v>
      </c>
      <c r="X1743" s="24" t="str">
        <f aca="false">IF($N1743="","",IFERROR(INDEX(VAT_Codes!$H:$H,MATCH($N1743,VAT_Codes!$A:$A,0)),"")&amp;"")</f>
        <v/>
      </c>
      <c r="Y1743" s="24" t="str">
        <f aca="false">IF($A1743="","",(YEAR($A1743)-YEAR(Settings!$C$8))*12+MONTH($A1743)-MONTH(Settings!$C$8)+1)</f>
        <v/>
      </c>
      <c r="Z1743" s="24" t="str">
        <f aca="false">IF(AND($C1743="",$I1743="",$J1743=""),"",IF($N1743="","NO VAT CODE",IF($T1743="","UNKNOWN VAT CODE",IF($S1743="","MISSING FX RATE",IF(OR($A1743&lt;Settings!$C$8,$A1743&gt;Settings!$C$9),"OUTSIDE PERIOD",IF(AND(IFERROR(INDEX(VAT_Codes!$E:$E,MATCH($N1743,VAT_Codes!$A:$A,0)),"ANY")&lt;&gt;"ANY",$P1743=""),"MISSING COUNTERPARTY COUNTRY",IF(AND(IFERROR(INDEX(VAT_Codes!$E:$E,MATCH($N1743,VAT_Codes!$A:$A,0)),"ANY")&lt;&gt;"ANY",$P1743&lt;&gt;IFERROR(INDEX(VAT_Codes!$E:$E,MATCH($N1743,VAT_Codes!$A:$A,0)),"ANY")),"REGION MISMATCH","OK")))))))</f>
        <v/>
      </c>
    </row>
    <row r="1744" customFormat="false" ht="15" hidden="false" customHeight="false" outlineLevel="0" collapsed="false">
      <c r="M1744" s="24" t="str">
        <f aca="false">IF($C1744="","",IFERROR(INDEX(Account_Mapping!$C:$C,MATCH($C1744&amp;"",Account_Mapping!$A:$A,0))&amp;"",""))</f>
        <v/>
      </c>
      <c r="N1744" s="24" t="str">
        <f aca="false">IF($K1744&lt;&gt;"",$K1744,$M1744)</f>
        <v/>
      </c>
      <c r="O1744" s="24" t="str">
        <f aca="false">IF($F1744="","",IFERROR(INDEX(Counterparties!$C:$C,MATCH($F1744&amp;"",Counterparties!$A:$A,0))&amp;"",""))</f>
        <v/>
      </c>
      <c r="P1744" s="24" t="str">
        <f aca="false">IF($O1744="","",IF($O1744="CY","CY",IF(ISNUMBER(MATCH($O1744,Lists!$A:$A,0)),"EU","3RD")))</f>
        <v/>
      </c>
      <c r="Q1744" s="24" t="str">
        <f aca="false">IF($F1744="","N",IFERROR(IF(INDEX(Counterparties!$E:$E,MATCH($F1744&amp;"",Counterparties!$A:$A,0))="Y","Y","N"),"N"))</f>
        <v>N</v>
      </c>
      <c r="R1744" s="25" t="n">
        <f aca="false">IF(OR($H1744="",$H1744="EUR"),1,IFERROR(INDEX(FX_Rates!$D:$D,MATCH($H1744,FX_Rates!$A:$A,0)),""))</f>
        <v>1</v>
      </c>
      <c r="S1744" s="26" t="str">
        <f aca="false">IF(AND($I1744="",$J1744=""),"",IF($J1744&lt;&gt;"",$J1744,IF(OR($R1744="",$R1744=0),"",ROUND($I1744/$R1744,2))))</f>
        <v/>
      </c>
      <c r="T1744" s="24" t="str">
        <f aca="false">IF($N1744="","",IFERROR(INDEX(VAT_Codes!$C:$C,MATCH($N1744,VAT_Codes!$A:$A,0)),"")&amp;"")</f>
        <v/>
      </c>
      <c r="U1744" s="26" t="n">
        <f aca="false">IF(OR($S1744="",$T1744="",$T1744="None"),0,IF($T1744="Output",-$S1744,$S1744))</f>
        <v>0</v>
      </c>
      <c r="V1744" s="27" t="n">
        <f aca="false">IF($N1744="",0,IFERROR(INDEX(VAT_Codes!$D:$D,MATCH($N1744,VAT_Codes!$A:$A,0)),0))</f>
        <v>0</v>
      </c>
      <c r="W1744" s="26" t="n">
        <f aca="false">IF($U1744=0,0,IF(IFERROR(INDEX(VAT_Codes!$F:$F,MATCH($N1744,VAT_Codes!$A:$A,0)),"N")="Y",$U1744,IF($L1744&lt;&gt;"",ROUND(ABS($L1744)/IF(OR($R1744="",$R1744=0),1,$R1744),2)*SIGN($U1744),ROUND($U1744*$V1744,2))))</f>
        <v>0</v>
      </c>
      <c r="X1744" s="24" t="str">
        <f aca="false">IF($N1744="","",IFERROR(INDEX(VAT_Codes!$H:$H,MATCH($N1744,VAT_Codes!$A:$A,0)),"")&amp;"")</f>
        <v/>
      </c>
      <c r="Y1744" s="24" t="str">
        <f aca="false">IF($A1744="","",(YEAR($A1744)-YEAR(Settings!$C$8))*12+MONTH($A1744)-MONTH(Settings!$C$8)+1)</f>
        <v/>
      </c>
      <c r="Z1744" s="24" t="str">
        <f aca="false">IF(AND($C1744="",$I1744="",$J1744=""),"",IF($N1744="","NO VAT CODE",IF($T1744="","UNKNOWN VAT CODE",IF($S1744="","MISSING FX RATE",IF(OR($A1744&lt;Settings!$C$8,$A1744&gt;Settings!$C$9),"OUTSIDE PERIOD",IF(AND(IFERROR(INDEX(VAT_Codes!$E:$E,MATCH($N1744,VAT_Codes!$A:$A,0)),"ANY")&lt;&gt;"ANY",$P1744=""),"MISSING COUNTERPARTY COUNTRY",IF(AND(IFERROR(INDEX(VAT_Codes!$E:$E,MATCH($N1744,VAT_Codes!$A:$A,0)),"ANY")&lt;&gt;"ANY",$P1744&lt;&gt;IFERROR(INDEX(VAT_Codes!$E:$E,MATCH($N1744,VAT_Codes!$A:$A,0)),"ANY")),"REGION MISMATCH","OK")))))))</f>
        <v/>
      </c>
    </row>
    <row r="1745" customFormat="false" ht="15" hidden="false" customHeight="false" outlineLevel="0" collapsed="false">
      <c r="M1745" s="24" t="str">
        <f aca="false">IF($C1745="","",IFERROR(INDEX(Account_Mapping!$C:$C,MATCH($C1745&amp;"",Account_Mapping!$A:$A,0))&amp;"",""))</f>
        <v/>
      </c>
      <c r="N1745" s="24" t="str">
        <f aca="false">IF($K1745&lt;&gt;"",$K1745,$M1745)</f>
        <v/>
      </c>
      <c r="O1745" s="24" t="str">
        <f aca="false">IF($F1745="","",IFERROR(INDEX(Counterparties!$C:$C,MATCH($F1745&amp;"",Counterparties!$A:$A,0))&amp;"",""))</f>
        <v/>
      </c>
      <c r="P1745" s="24" t="str">
        <f aca="false">IF($O1745="","",IF($O1745="CY","CY",IF(ISNUMBER(MATCH($O1745,Lists!$A:$A,0)),"EU","3RD")))</f>
        <v/>
      </c>
      <c r="Q1745" s="24" t="str">
        <f aca="false">IF($F1745="","N",IFERROR(IF(INDEX(Counterparties!$E:$E,MATCH($F1745&amp;"",Counterparties!$A:$A,0))="Y","Y","N"),"N"))</f>
        <v>N</v>
      </c>
      <c r="R1745" s="25" t="n">
        <f aca="false">IF(OR($H1745="",$H1745="EUR"),1,IFERROR(INDEX(FX_Rates!$D:$D,MATCH($H1745,FX_Rates!$A:$A,0)),""))</f>
        <v>1</v>
      </c>
      <c r="S1745" s="26" t="str">
        <f aca="false">IF(AND($I1745="",$J1745=""),"",IF($J1745&lt;&gt;"",$J1745,IF(OR($R1745="",$R1745=0),"",ROUND($I1745/$R1745,2))))</f>
        <v/>
      </c>
      <c r="T1745" s="24" t="str">
        <f aca="false">IF($N1745="","",IFERROR(INDEX(VAT_Codes!$C:$C,MATCH($N1745,VAT_Codes!$A:$A,0)),"")&amp;"")</f>
        <v/>
      </c>
      <c r="U1745" s="26" t="n">
        <f aca="false">IF(OR($S1745="",$T1745="",$T1745="None"),0,IF($T1745="Output",-$S1745,$S1745))</f>
        <v>0</v>
      </c>
      <c r="V1745" s="27" t="n">
        <f aca="false">IF($N1745="",0,IFERROR(INDEX(VAT_Codes!$D:$D,MATCH($N1745,VAT_Codes!$A:$A,0)),0))</f>
        <v>0</v>
      </c>
      <c r="W1745" s="26" t="n">
        <f aca="false">IF($U1745=0,0,IF(IFERROR(INDEX(VAT_Codes!$F:$F,MATCH($N1745,VAT_Codes!$A:$A,0)),"N")="Y",$U1745,IF($L1745&lt;&gt;"",ROUND(ABS($L1745)/IF(OR($R1745="",$R1745=0),1,$R1745),2)*SIGN($U1745),ROUND($U1745*$V1745,2))))</f>
        <v>0</v>
      </c>
      <c r="X1745" s="24" t="str">
        <f aca="false">IF($N1745="","",IFERROR(INDEX(VAT_Codes!$H:$H,MATCH($N1745,VAT_Codes!$A:$A,0)),"")&amp;"")</f>
        <v/>
      </c>
      <c r="Y1745" s="24" t="str">
        <f aca="false">IF($A1745="","",(YEAR($A1745)-YEAR(Settings!$C$8))*12+MONTH($A1745)-MONTH(Settings!$C$8)+1)</f>
        <v/>
      </c>
      <c r="Z1745" s="24" t="str">
        <f aca="false">IF(AND($C1745="",$I1745="",$J1745=""),"",IF($N1745="","NO VAT CODE",IF($T1745="","UNKNOWN VAT CODE",IF($S1745="","MISSING FX RATE",IF(OR($A1745&lt;Settings!$C$8,$A1745&gt;Settings!$C$9),"OUTSIDE PERIOD",IF(AND(IFERROR(INDEX(VAT_Codes!$E:$E,MATCH($N1745,VAT_Codes!$A:$A,0)),"ANY")&lt;&gt;"ANY",$P1745=""),"MISSING COUNTERPARTY COUNTRY",IF(AND(IFERROR(INDEX(VAT_Codes!$E:$E,MATCH($N1745,VAT_Codes!$A:$A,0)),"ANY")&lt;&gt;"ANY",$P1745&lt;&gt;IFERROR(INDEX(VAT_Codes!$E:$E,MATCH($N1745,VAT_Codes!$A:$A,0)),"ANY")),"REGION MISMATCH","OK")))))))</f>
        <v/>
      </c>
    </row>
    <row r="1746" customFormat="false" ht="15" hidden="false" customHeight="false" outlineLevel="0" collapsed="false">
      <c r="M1746" s="24" t="str">
        <f aca="false">IF($C1746="","",IFERROR(INDEX(Account_Mapping!$C:$C,MATCH($C1746&amp;"",Account_Mapping!$A:$A,0))&amp;"",""))</f>
        <v/>
      </c>
      <c r="N1746" s="24" t="str">
        <f aca="false">IF($K1746&lt;&gt;"",$K1746,$M1746)</f>
        <v/>
      </c>
      <c r="O1746" s="24" t="str">
        <f aca="false">IF($F1746="","",IFERROR(INDEX(Counterparties!$C:$C,MATCH($F1746&amp;"",Counterparties!$A:$A,0))&amp;"",""))</f>
        <v/>
      </c>
      <c r="P1746" s="24" t="str">
        <f aca="false">IF($O1746="","",IF($O1746="CY","CY",IF(ISNUMBER(MATCH($O1746,Lists!$A:$A,0)),"EU","3RD")))</f>
        <v/>
      </c>
      <c r="Q1746" s="24" t="str">
        <f aca="false">IF($F1746="","N",IFERROR(IF(INDEX(Counterparties!$E:$E,MATCH($F1746&amp;"",Counterparties!$A:$A,0))="Y","Y","N"),"N"))</f>
        <v>N</v>
      </c>
      <c r="R1746" s="25" t="n">
        <f aca="false">IF(OR($H1746="",$H1746="EUR"),1,IFERROR(INDEX(FX_Rates!$D:$D,MATCH($H1746,FX_Rates!$A:$A,0)),""))</f>
        <v>1</v>
      </c>
      <c r="S1746" s="26" t="str">
        <f aca="false">IF(AND($I1746="",$J1746=""),"",IF($J1746&lt;&gt;"",$J1746,IF(OR($R1746="",$R1746=0),"",ROUND($I1746/$R1746,2))))</f>
        <v/>
      </c>
      <c r="T1746" s="24" t="str">
        <f aca="false">IF($N1746="","",IFERROR(INDEX(VAT_Codes!$C:$C,MATCH($N1746,VAT_Codes!$A:$A,0)),"")&amp;"")</f>
        <v/>
      </c>
      <c r="U1746" s="26" t="n">
        <f aca="false">IF(OR($S1746="",$T1746="",$T1746="None"),0,IF($T1746="Output",-$S1746,$S1746))</f>
        <v>0</v>
      </c>
      <c r="V1746" s="27" t="n">
        <f aca="false">IF($N1746="",0,IFERROR(INDEX(VAT_Codes!$D:$D,MATCH($N1746,VAT_Codes!$A:$A,0)),0))</f>
        <v>0</v>
      </c>
      <c r="W1746" s="26" t="n">
        <f aca="false">IF($U1746=0,0,IF(IFERROR(INDEX(VAT_Codes!$F:$F,MATCH($N1746,VAT_Codes!$A:$A,0)),"N")="Y",$U1746,IF($L1746&lt;&gt;"",ROUND(ABS($L1746)/IF(OR($R1746="",$R1746=0),1,$R1746),2)*SIGN($U1746),ROUND($U1746*$V1746,2))))</f>
        <v>0</v>
      </c>
      <c r="X1746" s="24" t="str">
        <f aca="false">IF($N1746="","",IFERROR(INDEX(VAT_Codes!$H:$H,MATCH($N1746,VAT_Codes!$A:$A,0)),"")&amp;"")</f>
        <v/>
      </c>
      <c r="Y1746" s="24" t="str">
        <f aca="false">IF($A1746="","",(YEAR($A1746)-YEAR(Settings!$C$8))*12+MONTH($A1746)-MONTH(Settings!$C$8)+1)</f>
        <v/>
      </c>
      <c r="Z1746" s="24" t="str">
        <f aca="false">IF(AND($C1746="",$I1746="",$J1746=""),"",IF($N1746="","NO VAT CODE",IF($T1746="","UNKNOWN VAT CODE",IF($S1746="","MISSING FX RATE",IF(OR($A1746&lt;Settings!$C$8,$A1746&gt;Settings!$C$9),"OUTSIDE PERIOD",IF(AND(IFERROR(INDEX(VAT_Codes!$E:$E,MATCH($N1746,VAT_Codes!$A:$A,0)),"ANY")&lt;&gt;"ANY",$P1746=""),"MISSING COUNTERPARTY COUNTRY",IF(AND(IFERROR(INDEX(VAT_Codes!$E:$E,MATCH($N1746,VAT_Codes!$A:$A,0)),"ANY")&lt;&gt;"ANY",$P1746&lt;&gt;IFERROR(INDEX(VAT_Codes!$E:$E,MATCH($N1746,VAT_Codes!$A:$A,0)),"ANY")),"REGION MISMATCH","OK")))))))</f>
        <v/>
      </c>
    </row>
    <row r="1747" customFormat="false" ht="15" hidden="false" customHeight="false" outlineLevel="0" collapsed="false">
      <c r="M1747" s="24" t="str">
        <f aca="false">IF($C1747="","",IFERROR(INDEX(Account_Mapping!$C:$C,MATCH($C1747&amp;"",Account_Mapping!$A:$A,0))&amp;"",""))</f>
        <v/>
      </c>
      <c r="N1747" s="24" t="str">
        <f aca="false">IF($K1747&lt;&gt;"",$K1747,$M1747)</f>
        <v/>
      </c>
      <c r="O1747" s="24" t="str">
        <f aca="false">IF($F1747="","",IFERROR(INDEX(Counterparties!$C:$C,MATCH($F1747&amp;"",Counterparties!$A:$A,0))&amp;"",""))</f>
        <v/>
      </c>
      <c r="P1747" s="24" t="str">
        <f aca="false">IF($O1747="","",IF($O1747="CY","CY",IF(ISNUMBER(MATCH($O1747,Lists!$A:$A,0)),"EU","3RD")))</f>
        <v/>
      </c>
      <c r="Q1747" s="24" t="str">
        <f aca="false">IF($F1747="","N",IFERROR(IF(INDEX(Counterparties!$E:$E,MATCH($F1747&amp;"",Counterparties!$A:$A,0))="Y","Y","N"),"N"))</f>
        <v>N</v>
      </c>
      <c r="R1747" s="25" t="n">
        <f aca="false">IF(OR($H1747="",$H1747="EUR"),1,IFERROR(INDEX(FX_Rates!$D:$D,MATCH($H1747,FX_Rates!$A:$A,0)),""))</f>
        <v>1</v>
      </c>
      <c r="S1747" s="26" t="str">
        <f aca="false">IF(AND($I1747="",$J1747=""),"",IF($J1747&lt;&gt;"",$J1747,IF(OR($R1747="",$R1747=0),"",ROUND($I1747/$R1747,2))))</f>
        <v/>
      </c>
      <c r="T1747" s="24" t="str">
        <f aca="false">IF($N1747="","",IFERROR(INDEX(VAT_Codes!$C:$C,MATCH($N1747,VAT_Codes!$A:$A,0)),"")&amp;"")</f>
        <v/>
      </c>
      <c r="U1747" s="26" t="n">
        <f aca="false">IF(OR($S1747="",$T1747="",$T1747="None"),0,IF($T1747="Output",-$S1747,$S1747))</f>
        <v>0</v>
      </c>
      <c r="V1747" s="27" t="n">
        <f aca="false">IF($N1747="",0,IFERROR(INDEX(VAT_Codes!$D:$D,MATCH($N1747,VAT_Codes!$A:$A,0)),0))</f>
        <v>0</v>
      </c>
      <c r="W1747" s="26" t="n">
        <f aca="false">IF($U1747=0,0,IF(IFERROR(INDEX(VAT_Codes!$F:$F,MATCH($N1747,VAT_Codes!$A:$A,0)),"N")="Y",$U1747,IF($L1747&lt;&gt;"",ROUND(ABS($L1747)/IF(OR($R1747="",$R1747=0),1,$R1747),2)*SIGN($U1747),ROUND($U1747*$V1747,2))))</f>
        <v>0</v>
      </c>
      <c r="X1747" s="24" t="str">
        <f aca="false">IF($N1747="","",IFERROR(INDEX(VAT_Codes!$H:$H,MATCH($N1747,VAT_Codes!$A:$A,0)),"")&amp;"")</f>
        <v/>
      </c>
      <c r="Y1747" s="24" t="str">
        <f aca="false">IF($A1747="","",(YEAR($A1747)-YEAR(Settings!$C$8))*12+MONTH($A1747)-MONTH(Settings!$C$8)+1)</f>
        <v/>
      </c>
      <c r="Z1747" s="24" t="str">
        <f aca="false">IF(AND($C1747="",$I1747="",$J1747=""),"",IF($N1747="","NO VAT CODE",IF($T1747="","UNKNOWN VAT CODE",IF($S1747="","MISSING FX RATE",IF(OR($A1747&lt;Settings!$C$8,$A1747&gt;Settings!$C$9),"OUTSIDE PERIOD",IF(AND(IFERROR(INDEX(VAT_Codes!$E:$E,MATCH($N1747,VAT_Codes!$A:$A,0)),"ANY")&lt;&gt;"ANY",$P1747=""),"MISSING COUNTERPARTY COUNTRY",IF(AND(IFERROR(INDEX(VAT_Codes!$E:$E,MATCH($N1747,VAT_Codes!$A:$A,0)),"ANY")&lt;&gt;"ANY",$P1747&lt;&gt;IFERROR(INDEX(VAT_Codes!$E:$E,MATCH($N1747,VAT_Codes!$A:$A,0)),"ANY")),"REGION MISMATCH","OK")))))))</f>
        <v/>
      </c>
    </row>
    <row r="1748" customFormat="false" ht="15" hidden="false" customHeight="false" outlineLevel="0" collapsed="false">
      <c r="M1748" s="24" t="str">
        <f aca="false">IF($C1748="","",IFERROR(INDEX(Account_Mapping!$C:$C,MATCH($C1748&amp;"",Account_Mapping!$A:$A,0))&amp;"",""))</f>
        <v/>
      </c>
      <c r="N1748" s="24" t="str">
        <f aca="false">IF($K1748&lt;&gt;"",$K1748,$M1748)</f>
        <v/>
      </c>
      <c r="O1748" s="24" t="str">
        <f aca="false">IF($F1748="","",IFERROR(INDEX(Counterparties!$C:$C,MATCH($F1748&amp;"",Counterparties!$A:$A,0))&amp;"",""))</f>
        <v/>
      </c>
      <c r="P1748" s="24" t="str">
        <f aca="false">IF($O1748="","",IF($O1748="CY","CY",IF(ISNUMBER(MATCH($O1748,Lists!$A:$A,0)),"EU","3RD")))</f>
        <v/>
      </c>
      <c r="Q1748" s="24" t="str">
        <f aca="false">IF($F1748="","N",IFERROR(IF(INDEX(Counterparties!$E:$E,MATCH($F1748&amp;"",Counterparties!$A:$A,0))="Y","Y","N"),"N"))</f>
        <v>N</v>
      </c>
      <c r="R1748" s="25" t="n">
        <f aca="false">IF(OR($H1748="",$H1748="EUR"),1,IFERROR(INDEX(FX_Rates!$D:$D,MATCH($H1748,FX_Rates!$A:$A,0)),""))</f>
        <v>1</v>
      </c>
      <c r="S1748" s="26" t="str">
        <f aca="false">IF(AND($I1748="",$J1748=""),"",IF($J1748&lt;&gt;"",$J1748,IF(OR($R1748="",$R1748=0),"",ROUND($I1748/$R1748,2))))</f>
        <v/>
      </c>
      <c r="T1748" s="24" t="str">
        <f aca="false">IF($N1748="","",IFERROR(INDEX(VAT_Codes!$C:$C,MATCH($N1748,VAT_Codes!$A:$A,0)),"")&amp;"")</f>
        <v/>
      </c>
      <c r="U1748" s="26" t="n">
        <f aca="false">IF(OR($S1748="",$T1748="",$T1748="None"),0,IF($T1748="Output",-$S1748,$S1748))</f>
        <v>0</v>
      </c>
      <c r="V1748" s="27" t="n">
        <f aca="false">IF($N1748="",0,IFERROR(INDEX(VAT_Codes!$D:$D,MATCH($N1748,VAT_Codes!$A:$A,0)),0))</f>
        <v>0</v>
      </c>
      <c r="W1748" s="26" t="n">
        <f aca="false">IF($U1748=0,0,IF(IFERROR(INDEX(VAT_Codes!$F:$F,MATCH($N1748,VAT_Codes!$A:$A,0)),"N")="Y",$U1748,IF($L1748&lt;&gt;"",ROUND(ABS($L1748)/IF(OR($R1748="",$R1748=0),1,$R1748),2)*SIGN($U1748),ROUND($U1748*$V1748,2))))</f>
        <v>0</v>
      </c>
      <c r="X1748" s="24" t="str">
        <f aca="false">IF($N1748="","",IFERROR(INDEX(VAT_Codes!$H:$H,MATCH($N1748,VAT_Codes!$A:$A,0)),"")&amp;"")</f>
        <v/>
      </c>
      <c r="Y1748" s="24" t="str">
        <f aca="false">IF($A1748="","",(YEAR($A1748)-YEAR(Settings!$C$8))*12+MONTH($A1748)-MONTH(Settings!$C$8)+1)</f>
        <v/>
      </c>
      <c r="Z1748" s="24" t="str">
        <f aca="false">IF(AND($C1748="",$I1748="",$J1748=""),"",IF($N1748="","NO VAT CODE",IF($T1748="","UNKNOWN VAT CODE",IF($S1748="","MISSING FX RATE",IF(OR($A1748&lt;Settings!$C$8,$A1748&gt;Settings!$C$9),"OUTSIDE PERIOD",IF(AND(IFERROR(INDEX(VAT_Codes!$E:$E,MATCH($N1748,VAT_Codes!$A:$A,0)),"ANY")&lt;&gt;"ANY",$P1748=""),"MISSING COUNTERPARTY COUNTRY",IF(AND(IFERROR(INDEX(VAT_Codes!$E:$E,MATCH($N1748,VAT_Codes!$A:$A,0)),"ANY")&lt;&gt;"ANY",$P1748&lt;&gt;IFERROR(INDEX(VAT_Codes!$E:$E,MATCH($N1748,VAT_Codes!$A:$A,0)),"ANY")),"REGION MISMATCH","OK")))))))</f>
        <v/>
      </c>
    </row>
    <row r="1749" customFormat="false" ht="15" hidden="false" customHeight="false" outlineLevel="0" collapsed="false">
      <c r="M1749" s="24" t="str">
        <f aca="false">IF($C1749="","",IFERROR(INDEX(Account_Mapping!$C:$C,MATCH($C1749&amp;"",Account_Mapping!$A:$A,0))&amp;"",""))</f>
        <v/>
      </c>
      <c r="N1749" s="24" t="str">
        <f aca="false">IF($K1749&lt;&gt;"",$K1749,$M1749)</f>
        <v/>
      </c>
      <c r="O1749" s="24" t="str">
        <f aca="false">IF($F1749="","",IFERROR(INDEX(Counterparties!$C:$C,MATCH($F1749&amp;"",Counterparties!$A:$A,0))&amp;"",""))</f>
        <v/>
      </c>
      <c r="P1749" s="24" t="str">
        <f aca="false">IF($O1749="","",IF($O1749="CY","CY",IF(ISNUMBER(MATCH($O1749,Lists!$A:$A,0)),"EU","3RD")))</f>
        <v/>
      </c>
      <c r="Q1749" s="24" t="str">
        <f aca="false">IF($F1749="","N",IFERROR(IF(INDEX(Counterparties!$E:$E,MATCH($F1749&amp;"",Counterparties!$A:$A,0))="Y","Y","N"),"N"))</f>
        <v>N</v>
      </c>
      <c r="R1749" s="25" t="n">
        <f aca="false">IF(OR($H1749="",$H1749="EUR"),1,IFERROR(INDEX(FX_Rates!$D:$D,MATCH($H1749,FX_Rates!$A:$A,0)),""))</f>
        <v>1</v>
      </c>
      <c r="S1749" s="26" t="str">
        <f aca="false">IF(AND($I1749="",$J1749=""),"",IF($J1749&lt;&gt;"",$J1749,IF(OR($R1749="",$R1749=0),"",ROUND($I1749/$R1749,2))))</f>
        <v/>
      </c>
      <c r="T1749" s="24" t="str">
        <f aca="false">IF($N1749="","",IFERROR(INDEX(VAT_Codes!$C:$C,MATCH($N1749,VAT_Codes!$A:$A,0)),"")&amp;"")</f>
        <v/>
      </c>
      <c r="U1749" s="26" t="n">
        <f aca="false">IF(OR($S1749="",$T1749="",$T1749="None"),0,IF($T1749="Output",-$S1749,$S1749))</f>
        <v>0</v>
      </c>
      <c r="V1749" s="27" t="n">
        <f aca="false">IF($N1749="",0,IFERROR(INDEX(VAT_Codes!$D:$D,MATCH($N1749,VAT_Codes!$A:$A,0)),0))</f>
        <v>0</v>
      </c>
      <c r="W1749" s="26" t="n">
        <f aca="false">IF($U1749=0,0,IF(IFERROR(INDEX(VAT_Codes!$F:$F,MATCH($N1749,VAT_Codes!$A:$A,0)),"N")="Y",$U1749,IF($L1749&lt;&gt;"",ROUND(ABS($L1749)/IF(OR($R1749="",$R1749=0),1,$R1749),2)*SIGN($U1749),ROUND($U1749*$V1749,2))))</f>
        <v>0</v>
      </c>
      <c r="X1749" s="24" t="str">
        <f aca="false">IF($N1749="","",IFERROR(INDEX(VAT_Codes!$H:$H,MATCH($N1749,VAT_Codes!$A:$A,0)),"")&amp;"")</f>
        <v/>
      </c>
      <c r="Y1749" s="24" t="str">
        <f aca="false">IF($A1749="","",(YEAR($A1749)-YEAR(Settings!$C$8))*12+MONTH($A1749)-MONTH(Settings!$C$8)+1)</f>
        <v/>
      </c>
      <c r="Z1749" s="24" t="str">
        <f aca="false">IF(AND($C1749="",$I1749="",$J1749=""),"",IF($N1749="","NO VAT CODE",IF($T1749="","UNKNOWN VAT CODE",IF($S1749="","MISSING FX RATE",IF(OR($A1749&lt;Settings!$C$8,$A1749&gt;Settings!$C$9),"OUTSIDE PERIOD",IF(AND(IFERROR(INDEX(VAT_Codes!$E:$E,MATCH($N1749,VAT_Codes!$A:$A,0)),"ANY")&lt;&gt;"ANY",$P1749=""),"MISSING COUNTERPARTY COUNTRY",IF(AND(IFERROR(INDEX(VAT_Codes!$E:$E,MATCH($N1749,VAT_Codes!$A:$A,0)),"ANY")&lt;&gt;"ANY",$P1749&lt;&gt;IFERROR(INDEX(VAT_Codes!$E:$E,MATCH($N1749,VAT_Codes!$A:$A,0)),"ANY")),"REGION MISMATCH","OK")))))))</f>
        <v/>
      </c>
    </row>
    <row r="1750" customFormat="false" ht="15" hidden="false" customHeight="false" outlineLevel="0" collapsed="false">
      <c r="M1750" s="24" t="str">
        <f aca="false">IF($C1750="","",IFERROR(INDEX(Account_Mapping!$C:$C,MATCH($C1750&amp;"",Account_Mapping!$A:$A,0))&amp;"",""))</f>
        <v/>
      </c>
      <c r="N1750" s="24" t="str">
        <f aca="false">IF($K1750&lt;&gt;"",$K1750,$M1750)</f>
        <v/>
      </c>
      <c r="O1750" s="24" t="str">
        <f aca="false">IF($F1750="","",IFERROR(INDEX(Counterparties!$C:$C,MATCH($F1750&amp;"",Counterparties!$A:$A,0))&amp;"",""))</f>
        <v/>
      </c>
      <c r="P1750" s="24" t="str">
        <f aca="false">IF($O1750="","",IF($O1750="CY","CY",IF(ISNUMBER(MATCH($O1750,Lists!$A:$A,0)),"EU","3RD")))</f>
        <v/>
      </c>
      <c r="Q1750" s="24" t="str">
        <f aca="false">IF($F1750="","N",IFERROR(IF(INDEX(Counterparties!$E:$E,MATCH($F1750&amp;"",Counterparties!$A:$A,0))="Y","Y","N"),"N"))</f>
        <v>N</v>
      </c>
      <c r="R1750" s="25" t="n">
        <f aca="false">IF(OR($H1750="",$H1750="EUR"),1,IFERROR(INDEX(FX_Rates!$D:$D,MATCH($H1750,FX_Rates!$A:$A,0)),""))</f>
        <v>1</v>
      </c>
      <c r="S1750" s="26" t="str">
        <f aca="false">IF(AND($I1750="",$J1750=""),"",IF($J1750&lt;&gt;"",$J1750,IF(OR($R1750="",$R1750=0),"",ROUND($I1750/$R1750,2))))</f>
        <v/>
      </c>
      <c r="T1750" s="24" t="str">
        <f aca="false">IF($N1750="","",IFERROR(INDEX(VAT_Codes!$C:$C,MATCH($N1750,VAT_Codes!$A:$A,0)),"")&amp;"")</f>
        <v/>
      </c>
      <c r="U1750" s="26" t="n">
        <f aca="false">IF(OR($S1750="",$T1750="",$T1750="None"),0,IF($T1750="Output",-$S1750,$S1750))</f>
        <v>0</v>
      </c>
      <c r="V1750" s="27" t="n">
        <f aca="false">IF($N1750="",0,IFERROR(INDEX(VAT_Codes!$D:$D,MATCH($N1750,VAT_Codes!$A:$A,0)),0))</f>
        <v>0</v>
      </c>
      <c r="W1750" s="26" t="n">
        <f aca="false">IF($U1750=0,0,IF(IFERROR(INDEX(VAT_Codes!$F:$F,MATCH($N1750,VAT_Codes!$A:$A,0)),"N")="Y",$U1750,IF($L1750&lt;&gt;"",ROUND(ABS($L1750)/IF(OR($R1750="",$R1750=0),1,$R1750),2)*SIGN($U1750),ROUND($U1750*$V1750,2))))</f>
        <v>0</v>
      </c>
      <c r="X1750" s="24" t="str">
        <f aca="false">IF($N1750="","",IFERROR(INDEX(VAT_Codes!$H:$H,MATCH($N1750,VAT_Codes!$A:$A,0)),"")&amp;"")</f>
        <v/>
      </c>
      <c r="Y1750" s="24" t="str">
        <f aca="false">IF($A1750="","",(YEAR($A1750)-YEAR(Settings!$C$8))*12+MONTH($A1750)-MONTH(Settings!$C$8)+1)</f>
        <v/>
      </c>
      <c r="Z1750" s="24" t="str">
        <f aca="false">IF(AND($C1750="",$I1750="",$J1750=""),"",IF($N1750="","NO VAT CODE",IF($T1750="","UNKNOWN VAT CODE",IF($S1750="","MISSING FX RATE",IF(OR($A1750&lt;Settings!$C$8,$A1750&gt;Settings!$C$9),"OUTSIDE PERIOD",IF(AND(IFERROR(INDEX(VAT_Codes!$E:$E,MATCH($N1750,VAT_Codes!$A:$A,0)),"ANY")&lt;&gt;"ANY",$P1750=""),"MISSING COUNTERPARTY COUNTRY",IF(AND(IFERROR(INDEX(VAT_Codes!$E:$E,MATCH($N1750,VAT_Codes!$A:$A,0)),"ANY")&lt;&gt;"ANY",$P1750&lt;&gt;IFERROR(INDEX(VAT_Codes!$E:$E,MATCH($N1750,VAT_Codes!$A:$A,0)),"ANY")),"REGION MISMATCH","OK")))))))</f>
        <v/>
      </c>
    </row>
    <row r="1751" customFormat="false" ht="15" hidden="false" customHeight="false" outlineLevel="0" collapsed="false">
      <c r="M1751" s="24" t="str">
        <f aca="false">IF($C1751="","",IFERROR(INDEX(Account_Mapping!$C:$C,MATCH($C1751&amp;"",Account_Mapping!$A:$A,0))&amp;"",""))</f>
        <v/>
      </c>
      <c r="N1751" s="24" t="str">
        <f aca="false">IF($K1751&lt;&gt;"",$K1751,$M1751)</f>
        <v/>
      </c>
      <c r="O1751" s="24" t="str">
        <f aca="false">IF($F1751="","",IFERROR(INDEX(Counterparties!$C:$C,MATCH($F1751&amp;"",Counterparties!$A:$A,0))&amp;"",""))</f>
        <v/>
      </c>
      <c r="P1751" s="24" t="str">
        <f aca="false">IF($O1751="","",IF($O1751="CY","CY",IF(ISNUMBER(MATCH($O1751,Lists!$A:$A,0)),"EU","3RD")))</f>
        <v/>
      </c>
      <c r="Q1751" s="24" t="str">
        <f aca="false">IF($F1751="","N",IFERROR(IF(INDEX(Counterparties!$E:$E,MATCH($F1751&amp;"",Counterparties!$A:$A,0))="Y","Y","N"),"N"))</f>
        <v>N</v>
      </c>
      <c r="R1751" s="25" t="n">
        <f aca="false">IF(OR($H1751="",$H1751="EUR"),1,IFERROR(INDEX(FX_Rates!$D:$D,MATCH($H1751,FX_Rates!$A:$A,0)),""))</f>
        <v>1</v>
      </c>
      <c r="S1751" s="26" t="str">
        <f aca="false">IF(AND($I1751="",$J1751=""),"",IF($J1751&lt;&gt;"",$J1751,IF(OR($R1751="",$R1751=0),"",ROUND($I1751/$R1751,2))))</f>
        <v/>
      </c>
      <c r="T1751" s="24" t="str">
        <f aca="false">IF($N1751="","",IFERROR(INDEX(VAT_Codes!$C:$C,MATCH($N1751,VAT_Codes!$A:$A,0)),"")&amp;"")</f>
        <v/>
      </c>
      <c r="U1751" s="26" t="n">
        <f aca="false">IF(OR($S1751="",$T1751="",$T1751="None"),0,IF($T1751="Output",-$S1751,$S1751))</f>
        <v>0</v>
      </c>
      <c r="V1751" s="27" t="n">
        <f aca="false">IF($N1751="",0,IFERROR(INDEX(VAT_Codes!$D:$D,MATCH($N1751,VAT_Codes!$A:$A,0)),0))</f>
        <v>0</v>
      </c>
      <c r="W1751" s="26" t="n">
        <f aca="false">IF($U1751=0,0,IF(IFERROR(INDEX(VAT_Codes!$F:$F,MATCH($N1751,VAT_Codes!$A:$A,0)),"N")="Y",$U1751,IF($L1751&lt;&gt;"",ROUND(ABS($L1751)/IF(OR($R1751="",$R1751=0),1,$R1751),2)*SIGN($U1751),ROUND($U1751*$V1751,2))))</f>
        <v>0</v>
      </c>
      <c r="X1751" s="24" t="str">
        <f aca="false">IF($N1751="","",IFERROR(INDEX(VAT_Codes!$H:$H,MATCH($N1751,VAT_Codes!$A:$A,0)),"")&amp;"")</f>
        <v/>
      </c>
      <c r="Y1751" s="24" t="str">
        <f aca="false">IF($A1751="","",(YEAR($A1751)-YEAR(Settings!$C$8))*12+MONTH($A1751)-MONTH(Settings!$C$8)+1)</f>
        <v/>
      </c>
      <c r="Z1751" s="24" t="str">
        <f aca="false">IF(AND($C1751="",$I1751="",$J1751=""),"",IF($N1751="","NO VAT CODE",IF($T1751="","UNKNOWN VAT CODE",IF($S1751="","MISSING FX RATE",IF(OR($A1751&lt;Settings!$C$8,$A1751&gt;Settings!$C$9),"OUTSIDE PERIOD",IF(AND(IFERROR(INDEX(VAT_Codes!$E:$E,MATCH($N1751,VAT_Codes!$A:$A,0)),"ANY")&lt;&gt;"ANY",$P1751=""),"MISSING COUNTERPARTY COUNTRY",IF(AND(IFERROR(INDEX(VAT_Codes!$E:$E,MATCH($N1751,VAT_Codes!$A:$A,0)),"ANY")&lt;&gt;"ANY",$P1751&lt;&gt;IFERROR(INDEX(VAT_Codes!$E:$E,MATCH($N1751,VAT_Codes!$A:$A,0)),"ANY")),"REGION MISMATCH","OK")))))))</f>
        <v/>
      </c>
    </row>
    <row r="1752" customFormat="false" ht="15" hidden="false" customHeight="false" outlineLevel="0" collapsed="false">
      <c r="M1752" s="24" t="str">
        <f aca="false">IF($C1752="","",IFERROR(INDEX(Account_Mapping!$C:$C,MATCH($C1752&amp;"",Account_Mapping!$A:$A,0))&amp;"",""))</f>
        <v/>
      </c>
      <c r="N1752" s="24" t="str">
        <f aca="false">IF($K1752&lt;&gt;"",$K1752,$M1752)</f>
        <v/>
      </c>
      <c r="O1752" s="24" t="str">
        <f aca="false">IF($F1752="","",IFERROR(INDEX(Counterparties!$C:$C,MATCH($F1752&amp;"",Counterparties!$A:$A,0))&amp;"",""))</f>
        <v/>
      </c>
      <c r="P1752" s="24" t="str">
        <f aca="false">IF($O1752="","",IF($O1752="CY","CY",IF(ISNUMBER(MATCH($O1752,Lists!$A:$A,0)),"EU","3RD")))</f>
        <v/>
      </c>
      <c r="Q1752" s="24" t="str">
        <f aca="false">IF($F1752="","N",IFERROR(IF(INDEX(Counterparties!$E:$E,MATCH($F1752&amp;"",Counterparties!$A:$A,0))="Y","Y","N"),"N"))</f>
        <v>N</v>
      </c>
      <c r="R1752" s="25" t="n">
        <f aca="false">IF(OR($H1752="",$H1752="EUR"),1,IFERROR(INDEX(FX_Rates!$D:$D,MATCH($H1752,FX_Rates!$A:$A,0)),""))</f>
        <v>1</v>
      </c>
      <c r="S1752" s="26" t="str">
        <f aca="false">IF(AND($I1752="",$J1752=""),"",IF($J1752&lt;&gt;"",$J1752,IF(OR($R1752="",$R1752=0),"",ROUND($I1752/$R1752,2))))</f>
        <v/>
      </c>
      <c r="T1752" s="24" t="str">
        <f aca="false">IF($N1752="","",IFERROR(INDEX(VAT_Codes!$C:$C,MATCH($N1752,VAT_Codes!$A:$A,0)),"")&amp;"")</f>
        <v/>
      </c>
      <c r="U1752" s="26" t="n">
        <f aca="false">IF(OR($S1752="",$T1752="",$T1752="None"),0,IF($T1752="Output",-$S1752,$S1752))</f>
        <v>0</v>
      </c>
      <c r="V1752" s="27" t="n">
        <f aca="false">IF($N1752="",0,IFERROR(INDEX(VAT_Codes!$D:$D,MATCH($N1752,VAT_Codes!$A:$A,0)),0))</f>
        <v>0</v>
      </c>
      <c r="W1752" s="26" t="n">
        <f aca="false">IF($U1752=0,0,IF(IFERROR(INDEX(VAT_Codes!$F:$F,MATCH($N1752,VAT_Codes!$A:$A,0)),"N")="Y",$U1752,IF($L1752&lt;&gt;"",ROUND(ABS($L1752)/IF(OR($R1752="",$R1752=0),1,$R1752),2)*SIGN($U1752),ROUND($U1752*$V1752,2))))</f>
        <v>0</v>
      </c>
      <c r="X1752" s="24" t="str">
        <f aca="false">IF($N1752="","",IFERROR(INDEX(VAT_Codes!$H:$H,MATCH($N1752,VAT_Codes!$A:$A,0)),"")&amp;"")</f>
        <v/>
      </c>
      <c r="Y1752" s="24" t="str">
        <f aca="false">IF($A1752="","",(YEAR($A1752)-YEAR(Settings!$C$8))*12+MONTH($A1752)-MONTH(Settings!$C$8)+1)</f>
        <v/>
      </c>
      <c r="Z1752" s="24" t="str">
        <f aca="false">IF(AND($C1752="",$I1752="",$J1752=""),"",IF($N1752="","NO VAT CODE",IF($T1752="","UNKNOWN VAT CODE",IF($S1752="","MISSING FX RATE",IF(OR($A1752&lt;Settings!$C$8,$A1752&gt;Settings!$C$9),"OUTSIDE PERIOD",IF(AND(IFERROR(INDEX(VAT_Codes!$E:$E,MATCH($N1752,VAT_Codes!$A:$A,0)),"ANY")&lt;&gt;"ANY",$P1752=""),"MISSING COUNTERPARTY COUNTRY",IF(AND(IFERROR(INDEX(VAT_Codes!$E:$E,MATCH($N1752,VAT_Codes!$A:$A,0)),"ANY")&lt;&gt;"ANY",$P1752&lt;&gt;IFERROR(INDEX(VAT_Codes!$E:$E,MATCH($N1752,VAT_Codes!$A:$A,0)),"ANY")),"REGION MISMATCH","OK")))))))</f>
        <v/>
      </c>
    </row>
    <row r="1753" customFormat="false" ht="15" hidden="false" customHeight="false" outlineLevel="0" collapsed="false">
      <c r="M1753" s="24" t="str">
        <f aca="false">IF($C1753="","",IFERROR(INDEX(Account_Mapping!$C:$C,MATCH($C1753&amp;"",Account_Mapping!$A:$A,0))&amp;"",""))</f>
        <v/>
      </c>
      <c r="N1753" s="24" t="str">
        <f aca="false">IF($K1753&lt;&gt;"",$K1753,$M1753)</f>
        <v/>
      </c>
      <c r="O1753" s="24" t="str">
        <f aca="false">IF($F1753="","",IFERROR(INDEX(Counterparties!$C:$C,MATCH($F1753&amp;"",Counterparties!$A:$A,0))&amp;"",""))</f>
        <v/>
      </c>
      <c r="P1753" s="24" t="str">
        <f aca="false">IF($O1753="","",IF($O1753="CY","CY",IF(ISNUMBER(MATCH($O1753,Lists!$A:$A,0)),"EU","3RD")))</f>
        <v/>
      </c>
      <c r="Q1753" s="24" t="str">
        <f aca="false">IF($F1753="","N",IFERROR(IF(INDEX(Counterparties!$E:$E,MATCH($F1753&amp;"",Counterparties!$A:$A,0))="Y","Y","N"),"N"))</f>
        <v>N</v>
      </c>
      <c r="R1753" s="25" t="n">
        <f aca="false">IF(OR($H1753="",$H1753="EUR"),1,IFERROR(INDEX(FX_Rates!$D:$D,MATCH($H1753,FX_Rates!$A:$A,0)),""))</f>
        <v>1</v>
      </c>
      <c r="S1753" s="26" t="str">
        <f aca="false">IF(AND($I1753="",$J1753=""),"",IF($J1753&lt;&gt;"",$J1753,IF(OR($R1753="",$R1753=0),"",ROUND($I1753/$R1753,2))))</f>
        <v/>
      </c>
      <c r="T1753" s="24" t="str">
        <f aca="false">IF($N1753="","",IFERROR(INDEX(VAT_Codes!$C:$C,MATCH($N1753,VAT_Codes!$A:$A,0)),"")&amp;"")</f>
        <v/>
      </c>
      <c r="U1753" s="26" t="n">
        <f aca="false">IF(OR($S1753="",$T1753="",$T1753="None"),0,IF($T1753="Output",-$S1753,$S1753))</f>
        <v>0</v>
      </c>
      <c r="V1753" s="27" t="n">
        <f aca="false">IF($N1753="",0,IFERROR(INDEX(VAT_Codes!$D:$D,MATCH($N1753,VAT_Codes!$A:$A,0)),0))</f>
        <v>0</v>
      </c>
      <c r="W1753" s="26" t="n">
        <f aca="false">IF($U1753=0,0,IF(IFERROR(INDEX(VAT_Codes!$F:$F,MATCH($N1753,VAT_Codes!$A:$A,0)),"N")="Y",$U1753,IF($L1753&lt;&gt;"",ROUND(ABS($L1753)/IF(OR($R1753="",$R1753=0),1,$R1753),2)*SIGN($U1753),ROUND($U1753*$V1753,2))))</f>
        <v>0</v>
      </c>
      <c r="X1753" s="24" t="str">
        <f aca="false">IF($N1753="","",IFERROR(INDEX(VAT_Codes!$H:$H,MATCH($N1753,VAT_Codes!$A:$A,0)),"")&amp;"")</f>
        <v/>
      </c>
      <c r="Y1753" s="24" t="str">
        <f aca="false">IF($A1753="","",(YEAR($A1753)-YEAR(Settings!$C$8))*12+MONTH($A1753)-MONTH(Settings!$C$8)+1)</f>
        <v/>
      </c>
      <c r="Z1753" s="24" t="str">
        <f aca="false">IF(AND($C1753="",$I1753="",$J1753=""),"",IF($N1753="","NO VAT CODE",IF($T1753="","UNKNOWN VAT CODE",IF($S1753="","MISSING FX RATE",IF(OR($A1753&lt;Settings!$C$8,$A1753&gt;Settings!$C$9),"OUTSIDE PERIOD",IF(AND(IFERROR(INDEX(VAT_Codes!$E:$E,MATCH($N1753,VAT_Codes!$A:$A,0)),"ANY")&lt;&gt;"ANY",$P1753=""),"MISSING COUNTERPARTY COUNTRY",IF(AND(IFERROR(INDEX(VAT_Codes!$E:$E,MATCH($N1753,VAT_Codes!$A:$A,0)),"ANY")&lt;&gt;"ANY",$P1753&lt;&gt;IFERROR(INDEX(VAT_Codes!$E:$E,MATCH($N1753,VAT_Codes!$A:$A,0)),"ANY")),"REGION MISMATCH","OK")))))))</f>
        <v/>
      </c>
    </row>
    <row r="1754" customFormat="false" ht="15" hidden="false" customHeight="false" outlineLevel="0" collapsed="false">
      <c r="M1754" s="24" t="str">
        <f aca="false">IF($C1754="","",IFERROR(INDEX(Account_Mapping!$C:$C,MATCH($C1754&amp;"",Account_Mapping!$A:$A,0))&amp;"",""))</f>
        <v/>
      </c>
      <c r="N1754" s="24" t="str">
        <f aca="false">IF($K1754&lt;&gt;"",$K1754,$M1754)</f>
        <v/>
      </c>
      <c r="O1754" s="24" t="str">
        <f aca="false">IF($F1754="","",IFERROR(INDEX(Counterparties!$C:$C,MATCH($F1754&amp;"",Counterparties!$A:$A,0))&amp;"",""))</f>
        <v/>
      </c>
      <c r="P1754" s="24" t="str">
        <f aca="false">IF($O1754="","",IF($O1754="CY","CY",IF(ISNUMBER(MATCH($O1754,Lists!$A:$A,0)),"EU","3RD")))</f>
        <v/>
      </c>
      <c r="Q1754" s="24" t="str">
        <f aca="false">IF($F1754="","N",IFERROR(IF(INDEX(Counterparties!$E:$E,MATCH($F1754&amp;"",Counterparties!$A:$A,0))="Y","Y","N"),"N"))</f>
        <v>N</v>
      </c>
      <c r="R1754" s="25" t="n">
        <f aca="false">IF(OR($H1754="",$H1754="EUR"),1,IFERROR(INDEX(FX_Rates!$D:$D,MATCH($H1754,FX_Rates!$A:$A,0)),""))</f>
        <v>1</v>
      </c>
      <c r="S1754" s="26" t="str">
        <f aca="false">IF(AND($I1754="",$J1754=""),"",IF($J1754&lt;&gt;"",$J1754,IF(OR($R1754="",$R1754=0),"",ROUND($I1754/$R1754,2))))</f>
        <v/>
      </c>
      <c r="T1754" s="24" t="str">
        <f aca="false">IF($N1754="","",IFERROR(INDEX(VAT_Codes!$C:$C,MATCH($N1754,VAT_Codes!$A:$A,0)),"")&amp;"")</f>
        <v/>
      </c>
      <c r="U1754" s="26" t="n">
        <f aca="false">IF(OR($S1754="",$T1754="",$T1754="None"),0,IF($T1754="Output",-$S1754,$S1754))</f>
        <v>0</v>
      </c>
      <c r="V1754" s="27" t="n">
        <f aca="false">IF($N1754="",0,IFERROR(INDEX(VAT_Codes!$D:$D,MATCH($N1754,VAT_Codes!$A:$A,0)),0))</f>
        <v>0</v>
      </c>
      <c r="W1754" s="26" t="n">
        <f aca="false">IF($U1754=0,0,IF(IFERROR(INDEX(VAT_Codes!$F:$F,MATCH($N1754,VAT_Codes!$A:$A,0)),"N")="Y",$U1754,IF($L1754&lt;&gt;"",ROUND(ABS($L1754)/IF(OR($R1754="",$R1754=0),1,$R1754),2)*SIGN($U1754),ROUND($U1754*$V1754,2))))</f>
        <v>0</v>
      </c>
      <c r="X1754" s="24" t="str">
        <f aca="false">IF($N1754="","",IFERROR(INDEX(VAT_Codes!$H:$H,MATCH($N1754,VAT_Codes!$A:$A,0)),"")&amp;"")</f>
        <v/>
      </c>
      <c r="Y1754" s="24" t="str">
        <f aca="false">IF($A1754="","",(YEAR($A1754)-YEAR(Settings!$C$8))*12+MONTH($A1754)-MONTH(Settings!$C$8)+1)</f>
        <v/>
      </c>
      <c r="Z1754" s="24" t="str">
        <f aca="false">IF(AND($C1754="",$I1754="",$J1754=""),"",IF($N1754="","NO VAT CODE",IF($T1754="","UNKNOWN VAT CODE",IF($S1754="","MISSING FX RATE",IF(OR($A1754&lt;Settings!$C$8,$A1754&gt;Settings!$C$9),"OUTSIDE PERIOD",IF(AND(IFERROR(INDEX(VAT_Codes!$E:$E,MATCH($N1754,VAT_Codes!$A:$A,0)),"ANY")&lt;&gt;"ANY",$P1754=""),"MISSING COUNTERPARTY COUNTRY",IF(AND(IFERROR(INDEX(VAT_Codes!$E:$E,MATCH($N1754,VAT_Codes!$A:$A,0)),"ANY")&lt;&gt;"ANY",$P1754&lt;&gt;IFERROR(INDEX(VAT_Codes!$E:$E,MATCH($N1754,VAT_Codes!$A:$A,0)),"ANY")),"REGION MISMATCH","OK")))))))</f>
        <v/>
      </c>
    </row>
    <row r="1755" customFormat="false" ht="15" hidden="false" customHeight="false" outlineLevel="0" collapsed="false">
      <c r="M1755" s="24" t="str">
        <f aca="false">IF($C1755="","",IFERROR(INDEX(Account_Mapping!$C:$C,MATCH($C1755&amp;"",Account_Mapping!$A:$A,0))&amp;"",""))</f>
        <v/>
      </c>
      <c r="N1755" s="24" t="str">
        <f aca="false">IF($K1755&lt;&gt;"",$K1755,$M1755)</f>
        <v/>
      </c>
      <c r="O1755" s="24" t="str">
        <f aca="false">IF($F1755="","",IFERROR(INDEX(Counterparties!$C:$C,MATCH($F1755&amp;"",Counterparties!$A:$A,0))&amp;"",""))</f>
        <v/>
      </c>
      <c r="P1755" s="24" t="str">
        <f aca="false">IF($O1755="","",IF($O1755="CY","CY",IF(ISNUMBER(MATCH($O1755,Lists!$A:$A,0)),"EU","3RD")))</f>
        <v/>
      </c>
      <c r="Q1755" s="24" t="str">
        <f aca="false">IF($F1755="","N",IFERROR(IF(INDEX(Counterparties!$E:$E,MATCH($F1755&amp;"",Counterparties!$A:$A,0))="Y","Y","N"),"N"))</f>
        <v>N</v>
      </c>
      <c r="R1755" s="25" t="n">
        <f aca="false">IF(OR($H1755="",$H1755="EUR"),1,IFERROR(INDEX(FX_Rates!$D:$D,MATCH($H1755,FX_Rates!$A:$A,0)),""))</f>
        <v>1</v>
      </c>
      <c r="S1755" s="26" t="str">
        <f aca="false">IF(AND($I1755="",$J1755=""),"",IF($J1755&lt;&gt;"",$J1755,IF(OR($R1755="",$R1755=0),"",ROUND($I1755/$R1755,2))))</f>
        <v/>
      </c>
      <c r="T1755" s="24" t="str">
        <f aca="false">IF($N1755="","",IFERROR(INDEX(VAT_Codes!$C:$C,MATCH($N1755,VAT_Codes!$A:$A,0)),"")&amp;"")</f>
        <v/>
      </c>
      <c r="U1755" s="26" t="n">
        <f aca="false">IF(OR($S1755="",$T1755="",$T1755="None"),0,IF($T1755="Output",-$S1755,$S1755))</f>
        <v>0</v>
      </c>
      <c r="V1755" s="27" t="n">
        <f aca="false">IF($N1755="",0,IFERROR(INDEX(VAT_Codes!$D:$D,MATCH($N1755,VAT_Codes!$A:$A,0)),0))</f>
        <v>0</v>
      </c>
      <c r="W1755" s="26" t="n">
        <f aca="false">IF($U1755=0,0,IF(IFERROR(INDEX(VAT_Codes!$F:$F,MATCH($N1755,VAT_Codes!$A:$A,0)),"N")="Y",$U1755,IF($L1755&lt;&gt;"",ROUND(ABS($L1755)/IF(OR($R1755="",$R1755=0),1,$R1755),2)*SIGN($U1755),ROUND($U1755*$V1755,2))))</f>
        <v>0</v>
      </c>
      <c r="X1755" s="24" t="str">
        <f aca="false">IF($N1755="","",IFERROR(INDEX(VAT_Codes!$H:$H,MATCH($N1755,VAT_Codes!$A:$A,0)),"")&amp;"")</f>
        <v/>
      </c>
      <c r="Y1755" s="24" t="str">
        <f aca="false">IF($A1755="","",(YEAR($A1755)-YEAR(Settings!$C$8))*12+MONTH($A1755)-MONTH(Settings!$C$8)+1)</f>
        <v/>
      </c>
      <c r="Z1755" s="24" t="str">
        <f aca="false">IF(AND($C1755="",$I1755="",$J1755=""),"",IF($N1755="","NO VAT CODE",IF($T1755="","UNKNOWN VAT CODE",IF($S1755="","MISSING FX RATE",IF(OR($A1755&lt;Settings!$C$8,$A1755&gt;Settings!$C$9),"OUTSIDE PERIOD",IF(AND(IFERROR(INDEX(VAT_Codes!$E:$E,MATCH($N1755,VAT_Codes!$A:$A,0)),"ANY")&lt;&gt;"ANY",$P1755=""),"MISSING COUNTERPARTY COUNTRY",IF(AND(IFERROR(INDEX(VAT_Codes!$E:$E,MATCH($N1755,VAT_Codes!$A:$A,0)),"ANY")&lt;&gt;"ANY",$P1755&lt;&gt;IFERROR(INDEX(VAT_Codes!$E:$E,MATCH($N1755,VAT_Codes!$A:$A,0)),"ANY")),"REGION MISMATCH","OK")))))))</f>
        <v/>
      </c>
    </row>
    <row r="1756" customFormat="false" ht="15" hidden="false" customHeight="false" outlineLevel="0" collapsed="false">
      <c r="M1756" s="24" t="str">
        <f aca="false">IF($C1756="","",IFERROR(INDEX(Account_Mapping!$C:$C,MATCH($C1756&amp;"",Account_Mapping!$A:$A,0))&amp;"",""))</f>
        <v/>
      </c>
      <c r="N1756" s="24" t="str">
        <f aca="false">IF($K1756&lt;&gt;"",$K1756,$M1756)</f>
        <v/>
      </c>
      <c r="O1756" s="24" t="str">
        <f aca="false">IF($F1756="","",IFERROR(INDEX(Counterparties!$C:$C,MATCH($F1756&amp;"",Counterparties!$A:$A,0))&amp;"",""))</f>
        <v/>
      </c>
      <c r="P1756" s="24" t="str">
        <f aca="false">IF($O1756="","",IF($O1756="CY","CY",IF(ISNUMBER(MATCH($O1756,Lists!$A:$A,0)),"EU","3RD")))</f>
        <v/>
      </c>
      <c r="Q1756" s="24" t="str">
        <f aca="false">IF($F1756="","N",IFERROR(IF(INDEX(Counterparties!$E:$E,MATCH($F1756&amp;"",Counterparties!$A:$A,0))="Y","Y","N"),"N"))</f>
        <v>N</v>
      </c>
      <c r="R1756" s="25" t="n">
        <f aca="false">IF(OR($H1756="",$H1756="EUR"),1,IFERROR(INDEX(FX_Rates!$D:$D,MATCH($H1756,FX_Rates!$A:$A,0)),""))</f>
        <v>1</v>
      </c>
      <c r="S1756" s="26" t="str">
        <f aca="false">IF(AND($I1756="",$J1756=""),"",IF($J1756&lt;&gt;"",$J1756,IF(OR($R1756="",$R1756=0),"",ROUND($I1756/$R1756,2))))</f>
        <v/>
      </c>
      <c r="T1756" s="24" t="str">
        <f aca="false">IF($N1756="","",IFERROR(INDEX(VAT_Codes!$C:$C,MATCH($N1756,VAT_Codes!$A:$A,0)),"")&amp;"")</f>
        <v/>
      </c>
      <c r="U1756" s="26" t="n">
        <f aca="false">IF(OR($S1756="",$T1756="",$T1756="None"),0,IF($T1756="Output",-$S1756,$S1756))</f>
        <v>0</v>
      </c>
      <c r="V1756" s="27" t="n">
        <f aca="false">IF($N1756="",0,IFERROR(INDEX(VAT_Codes!$D:$D,MATCH($N1756,VAT_Codes!$A:$A,0)),0))</f>
        <v>0</v>
      </c>
      <c r="W1756" s="26" t="n">
        <f aca="false">IF($U1756=0,0,IF(IFERROR(INDEX(VAT_Codes!$F:$F,MATCH($N1756,VAT_Codes!$A:$A,0)),"N")="Y",$U1756,IF($L1756&lt;&gt;"",ROUND(ABS($L1756)/IF(OR($R1756="",$R1756=0),1,$R1756),2)*SIGN($U1756),ROUND($U1756*$V1756,2))))</f>
        <v>0</v>
      </c>
      <c r="X1756" s="24" t="str">
        <f aca="false">IF($N1756="","",IFERROR(INDEX(VAT_Codes!$H:$H,MATCH($N1756,VAT_Codes!$A:$A,0)),"")&amp;"")</f>
        <v/>
      </c>
      <c r="Y1756" s="24" t="str">
        <f aca="false">IF($A1756="","",(YEAR($A1756)-YEAR(Settings!$C$8))*12+MONTH($A1756)-MONTH(Settings!$C$8)+1)</f>
        <v/>
      </c>
      <c r="Z1756" s="24" t="str">
        <f aca="false">IF(AND($C1756="",$I1756="",$J1756=""),"",IF($N1756="","NO VAT CODE",IF($T1756="","UNKNOWN VAT CODE",IF($S1756="","MISSING FX RATE",IF(OR($A1756&lt;Settings!$C$8,$A1756&gt;Settings!$C$9),"OUTSIDE PERIOD",IF(AND(IFERROR(INDEX(VAT_Codes!$E:$E,MATCH($N1756,VAT_Codes!$A:$A,0)),"ANY")&lt;&gt;"ANY",$P1756=""),"MISSING COUNTERPARTY COUNTRY",IF(AND(IFERROR(INDEX(VAT_Codes!$E:$E,MATCH($N1756,VAT_Codes!$A:$A,0)),"ANY")&lt;&gt;"ANY",$P1756&lt;&gt;IFERROR(INDEX(VAT_Codes!$E:$E,MATCH($N1756,VAT_Codes!$A:$A,0)),"ANY")),"REGION MISMATCH","OK")))))))</f>
        <v/>
      </c>
    </row>
    <row r="1757" customFormat="false" ht="15" hidden="false" customHeight="false" outlineLevel="0" collapsed="false">
      <c r="M1757" s="24" t="str">
        <f aca="false">IF($C1757="","",IFERROR(INDEX(Account_Mapping!$C:$C,MATCH($C1757&amp;"",Account_Mapping!$A:$A,0))&amp;"",""))</f>
        <v/>
      </c>
      <c r="N1757" s="24" t="str">
        <f aca="false">IF($K1757&lt;&gt;"",$K1757,$M1757)</f>
        <v/>
      </c>
      <c r="O1757" s="24" t="str">
        <f aca="false">IF($F1757="","",IFERROR(INDEX(Counterparties!$C:$C,MATCH($F1757&amp;"",Counterparties!$A:$A,0))&amp;"",""))</f>
        <v/>
      </c>
      <c r="P1757" s="24" t="str">
        <f aca="false">IF($O1757="","",IF($O1757="CY","CY",IF(ISNUMBER(MATCH($O1757,Lists!$A:$A,0)),"EU","3RD")))</f>
        <v/>
      </c>
      <c r="Q1757" s="24" t="str">
        <f aca="false">IF($F1757="","N",IFERROR(IF(INDEX(Counterparties!$E:$E,MATCH($F1757&amp;"",Counterparties!$A:$A,0))="Y","Y","N"),"N"))</f>
        <v>N</v>
      </c>
      <c r="R1757" s="25" t="n">
        <f aca="false">IF(OR($H1757="",$H1757="EUR"),1,IFERROR(INDEX(FX_Rates!$D:$D,MATCH($H1757,FX_Rates!$A:$A,0)),""))</f>
        <v>1</v>
      </c>
      <c r="S1757" s="26" t="str">
        <f aca="false">IF(AND($I1757="",$J1757=""),"",IF($J1757&lt;&gt;"",$J1757,IF(OR($R1757="",$R1757=0),"",ROUND($I1757/$R1757,2))))</f>
        <v/>
      </c>
      <c r="T1757" s="24" t="str">
        <f aca="false">IF($N1757="","",IFERROR(INDEX(VAT_Codes!$C:$C,MATCH($N1757,VAT_Codes!$A:$A,0)),"")&amp;"")</f>
        <v/>
      </c>
      <c r="U1757" s="26" t="n">
        <f aca="false">IF(OR($S1757="",$T1757="",$T1757="None"),0,IF($T1757="Output",-$S1757,$S1757))</f>
        <v>0</v>
      </c>
      <c r="V1757" s="27" t="n">
        <f aca="false">IF($N1757="",0,IFERROR(INDEX(VAT_Codes!$D:$D,MATCH($N1757,VAT_Codes!$A:$A,0)),0))</f>
        <v>0</v>
      </c>
      <c r="W1757" s="26" t="n">
        <f aca="false">IF($U1757=0,0,IF(IFERROR(INDEX(VAT_Codes!$F:$F,MATCH($N1757,VAT_Codes!$A:$A,0)),"N")="Y",$U1757,IF($L1757&lt;&gt;"",ROUND(ABS($L1757)/IF(OR($R1757="",$R1757=0),1,$R1757),2)*SIGN($U1757),ROUND($U1757*$V1757,2))))</f>
        <v>0</v>
      </c>
      <c r="X1757" s="24" t="str">
        <f aca="false">IF($N1757="","",IFERROR(INDEX(VAT_Codes!$H:$H,MATCH($N1757,VAT_Codes!$A:$A,0)),"")&amp;"")</f>
        <v/>
      </c>
      <c r="Y1757" s="24" t="str">
        <f aca="false">IF($A1757="","",(YEAR($A1757)-YEAR(Settings!$C$8))*12+MONTH($A1757)-MONTH(Settings!$C$8)+1)</f>
        <v/>
      </c>
      <c r="Z1757" s="24" t="str">
        <f aca="false">IF(AND($C1757="",$I1757="",$J1757=""),"",IF($N1757="","NO VAT CODE",IF($T1757="","UNKNOWN VAT CODE",IF($S1757="","MISSING FX RATE",IF(OR($A1757&lt;Settings!$C$8,$A1757&gt;Settings!$C$9),"OUTSIDE PERIOD",IF(AND(IFERROR(INDEX(VAT_Codes!$E:$E,MATCH($N1757,VAT_Codes!$A:$A,0)),"ANY")&lt;&gt;"ANY",$P1757=""),"MISSING COUNTERPARTY COUNTRY",IF(AND(IFERROR(INDEX(VAT_Codes!$E:$E,MATCH($N1757,VAT_Codes!$A:$A,0)),"ANY")&lt;&gt;"ANY",$P1757&lt;&gt;IFERROR(INDEX(VAT_Codes!$E:$E,MATCH($N1757,VAT_Codes!$A:$A,0)),"ANY")),"REGION MISMATCH","OK")))))))</f>
        <v/>
      </c>
    </row>
    <row r="1758" customFormat="false" ht="15" hidden="false" customHeight="false" outlineLevel="0" collapsed="false">
      <c r="M1758" s="24" t="str">
        <f aca="false">IF($C1758="","",IFERROR(INDEX(Account_Mapping!$C:$C,MATCH($C1758&amp;"",Account_Mapping!$A:$A,0))&amp;"",""))</f>
        <v/>
      </c>
      <c r="N1758" s="24" t="str">
        <f aca="false">IF($K1758&lt;&gt;"",$K1758,$M1758)</f>
        <v/>
      </c>
      <c r="O1758" s="24" t="str">
        <f aca="false">IF($F1758="","",IFERROR(INDEX(Counterparties!$C:$C,MATCH($F1758&amp;"",Counterparties!$A:$A,0))&amp;"",""))</f>
        <v/>
      </c>
      <c r="P1758" s="24" t="str">
        <f aca="false">IF($O1758="","",IF($O1758="CY","CY",IF(ISNUMBER(MATCH($O1758,Lists!$A:$A,0)),"EU","3RD")))</f>
        <v/>
      </c>
      <c r="Q1758" s="24" t="str">
        <f aca="false">IF($F1758="","N",IFERROR(IF(INDEX(Counterparties!$E:$E,MATCH($F1758&amp;"",Counterparties!$A:$A,0))="Y","Y","N"),"N"))</f>
        <v>N</v>
      </c>
      <c r="R1758" s="25" t="n">
        <f aca="false">IF(OR($H1758="",$H1758="EUR"),1,IFERROR(INDEX(FX_Rates!$D:$D,MATCH($H1758,FX_Rates!$A:$A,0)),""))</f>
        <v>1</v>
      </c>
      <c r="S1758" s="26" t="str">
        <f aca="false">IF(AND($I1758="",$J1758=""),"",IF($J1758&lt;&gt;"",$J1758,IF(OR($R1758="",$R1758=0),"",ROUND($I1758/$R1758,2))))</f>
        <v/>
      </c>
      <c r="T1758" s="24" t="str">
        <f aca="false">IF($N1758="","",IFERROR(INDEX(VAT_Codes!$C:$C,MATCH($N1758,VAT_Codes!$A:$A,0)),"")&amp;"")</f>
        <v/>
      </c>
      <c r="U1758" s="26" t="n">
        <f aca="false">IF(OR($S1758="",$T1758="",$T1758="None"),0,IF($T1758="Output",-$S1758,$S1758))</f>
        <v>0</v>
      </c>
      <c r="V1758" s="27" t="n">
        <f aca="false">IF($N1758="",0,IFERROR(INDEX(VAT_Codes!$D:$D,MATCH($N1758,VAT_Codes!$A:$A,0)),0))</f>
        <v>0</v>
      </c>
      <c r="W1758" s="26" t="n">
        <f aca="false">IF($U1758=0,0,IF(IFERROR(INDEX(VAT_Codes!$F:$F,MATCH($N1758,VAT_Codes!$A:$A,0)),"N")="Y",$U1758,IF($L1758&lt;&gt;"",ROUND(ABS($L1758)/IF(OR($R1758="",$R1758=0),1,$R1758),2)*SIGN($U1758),ROUND($U1758*$V1758,2))))</f>
        <v>0</v>
      </c>
      <c r="X1758" s="24" t="str">
        <f aca="false">IF($N1758="","",IFERROR(INDEX(VAT_Codes!$H:$H,MATCH($N1758,VAT_Codes!$A:$A,0)),"")&amp;"")</f>
        <v/>
      </c>
      <c r="Y1758" s="24" t="str">
        <f aca="false">IF($A1758="","",(YEAR($A1758)-YEAR(Settings!$C$8))*12+MONTH($A1758)-MONTH(Settings!$C$8)+1)</f>
        <v/>
      </c>
      <c r="Z1758" s="24" t="str">
        <f aca="false">IF(AND($C1758="",$I1758="",$J1758=""),"",IF($N1758="","NO VAT CODE",IF($T1758="","UNKNOWN VAT CODE",IF($S1758="","MISSING FX RATE",IF(OR($A1758&lt;Settings!$C$8,$A1758&gt;Settings!$C$9),"OUTSIDE PERIOD",IF(AND(IFERROR(INDEX(VAT_Codes!$E:$E,MATCH($N1758,VAT_Codes!$A:$A,0)),"ANY")&lt;&gt;"ANY",$P1758=""),"MISSING COUNTERPARTY COUNTRY",IF(AND(IFERROR(INDEX(VAT_Codes!$E:$E,MATCH($N1758,VAT_Codes!$A:$A,0)),"ANY")&lt;&gt;"ANY",$P1758&lt;&gt;IFERROR(INDEX(VAT_Codes!$E:$E,MATCH($N1758,VAT_Codes!$A:$A,0)),"ANY")),"REGION MISMATCH","OK")))))))</f>
        <v/>
      </c>
    </row>
    <row r="1759" customFormat="false" ht="15" hidden="false" customHeight="false" outlineLevel="0" collapsed="false">
      <c r="M1759" s="24" t="str">
        <f aca="false">IF($C1759="","",IFERROR(INDEX(Account_Mapping!$C:$C,MATCH($C1759&amp;"",Account_Mapping!$A:$A,0))&amp;"",""))</f>
        <v/>
      </c>
      <c r="N1759" s="24" t="str">
        <f aca="false">IF($K1759&lt;&gt;"",$K1759,$M1759)</f>
        <v/>
      </c>
      <c r="O1759" s="24" t="str">
        <f aca="false">IF($F1759="","",IFERROR(INDEX(Counterparties!$C:$C,MATCH($F1759&amp;"",Counterparties!$A:$A,0))&amp;"",""))</f>
        <v/>
      </c>
      <c r="P1759" s="24" t="str">
        <f aca="false">IF($O1759="","",IF($O1759="CY","CY",IF(ISNUMBER(MATCH($O1759,Lists!$A:$A,0)),"EU","3RD")))</f>
        <v/>
      </c>
      <c r="Q1759" s="24" t="str">
        <f aca="false">IF($F1759="","N",IFERROR(IF(INDEX(Counterparties!$E:$E,MATCH($F1759&amp;"",Counterparties!$A:$A,0))="Y","Y","N"),"N"))</f>
        <v>N</v>
      </c>
      <c r="R1759" s="25" t="n">
        <f aca="false">IF(OR($H1759="",$H1759="EUR"),1,IFERROR(INDEX(FX_Rates!$D:$D,MATCH($H1759,FX_Rates!$A:$A,0)),""))</f>
        <v>1</v>
      </c>
      <c r="S1759" s="26" t="str">
        <f aca="false">IF(AND($I1759="",$J1759=""),"",IF($J1759&lt;&gt;"",$J1759,IF(OR($R1759="",$R1759=0),"",ROUND($I1759/$R1759,2))))</f>
        <v/>
      </c>
      <c r="T1759" s="24" t="str">
        <f aca="false">IF($N1759="","",IFERROR(INDEX(VAT_Codes!$C:$C,MATCH($N1759,VAT_Codes!$A:$A,0)),"")&amp;"")</f>
        <v/>
      </c>
      <c r="U1759" s="26" t="n">
        <f aca="false">IF(OR($S1759="",$T1759="",$T1759="None"),0,IF($T1759="Output",-$S1759,$S1759))</f>
        <v>0</v>
      </c>
      <c r="V1759" s="27" t="n">
        <f aca="false">IF($N1759="",0,IFERROR(INDEX(VAT_Codes!$D:$D,MATCH($N1759,VAT_Codes!$A:$A,0)),0))</f>
        <v>0</v>
      </c>
      <c r="W1759" s="26" t="n">
        <f aca="false">IF($U1759=0,0,IF(IFERROR(INDEX(VAT_Codes!$F:$F,MATCH($N1759,VAT_Codes!$A:$A,0)),"N")="Y",$U1759,IF($L1759&lt;&gt;"",ROUND(ABS($L1759)/IF(OR($R1759="",$R1759=0),1,$R1759),2)*SIGN($U1759),ROUND($U1759*$V1759,2))))</f>
        <v>0</v>
      </c>
      <c r="X1759" s="24" t="str">
        <f aca="false">IF($N1759="","",IFERROR(INDEX(VAT_Codes!$H:$H,MATCH($N1759,VAT_Codes!$A:$A,0)),"")&amp;"")</f>
        <v/>
      </c>
      <c r="Y1759" s="24" t="str">
        <f aca="false">IF($A1759="","",(YEAR($A1759)-YEAR(Settings!$C$8))*12+MONTH($A1759)-MONTH(Settings!$C$8)+1)</f>
        <v/>
      </c>
      <c r="Z1759" s="24" t="str">
        <f aca="false">IF(AND($C1759="",$I1759="",$J1759=""),"",IF($N1759="","NO VAT CODE",IF($T1759="","UNKNOWN VAT CODE",IF($S1759="","MISSING FX RATE",IF(OR($A1759&lt;Settings!$C$8,$A1759&gt;Settings!$C$9),"OUTSIDE PERIOD",IF(AND(IFERROR(INDEX(VAT_Codes!$E:$E,MATCH($N1759,VAT_Codes!$A:$A,0)),"ANY")&lt;&gt;"ANY",$P1759=""),"MISSING COUNTERPARTY COUNTRY",IF(AND(IFERROR(INDEX(VAT_Codes!$E:$E,MATCH($N1759,VAT_Codes!$A:$A,0)),"ANY")&lt;&gt;"ANY",$P1759&lt;&gt;IFERROR(INDEX(VAT_Codes!$E:$E,MATCH($N1759,VAT_Codes!$A:$A,0)),"ANY")),"REGION MISMATCH","OK")))))))</f>
        <v/>
      </c>
    </row>
    <row r="1760" customFormat="false" ht="15" hidden="false" customHeight="false" outlineLevel="0" collapsed="false">
      <c r="M1760" s="24" t="str">
        <f aca="false">IF($C1760="","",IFERROR(INDEX(Account_Mapping!$C:$C,MATCH($C1760&amp;"",Account_Mapping!$A:$A,0))&amp;"",""))</f>
        <v/>
      </c>
      <c r="N1760" s="24" t="str">
        <f aca="false">IF($K1760&lt;&gt;"",$K1760,$M1760)</f>
        <v/>
      </c>
      <c r="O1760" s="24" t="str">
        <f aca="false">IF($F1760="","",IFERROR(INDEX(Counterparties!$C:$C,MATCH($F1760&amp;"",Counterparties!$A:$A,0))&amp;"",""))</f>
        <v/>
      </c>
      <c r="P1760" s="24" t="str">
        <f aca="false">IF($O1760="","",IF($O1760="CY","CY",IF(ISNUMBER(MATCH($O1760,Lists!$A:$A,0)),"EU","3RD")))</f>
        <v/>
      </c>
      <c r="Q1760" s="24" t="str">
        <f aca="false">IF($F1760="","N",IFERROR(IF(INDEX(Counterparties!$E:$E,MATCH($F1760&amp;"",Counterparties!$A:$A,0))="Y","Y","N"),"N"))</f>
        <v>N</v>
      </c>
      <c r="R1760" s="25" t="n">
        <f aca="false">IF(OR($H1760="",$H1760="EUR"),1,IFERROR(INDEX(FX_Rates!$D:$D,MATCH($H1760,FX_Rates!$A:$A,0)),""))</f>
        <v>1</v>
      </c>
      <c r="S1760" s="26" t="str">
        <f aca="false">IF(AND($I1760="",$J1760=""),"",IF($J1760&lt;&gt;"",$J1760,IF(OR($R1760="",$R1760=0),"",ROUND($I1760/$R1760,2))))</f>
        <v/>
      </c>
      <c r="T1760" s="24" t="str">
        <f aca="false">IF($N1760="","",IFERROR(INDEX(VAT_Codes!$C:$C,MATCH($N1760,VAT_Codes!$A:$A,0)),"")&amp;"")</f>
        <v/>
      </c>
      <c r="U1760" s="26" t="n">
        <f aca="false">IF(OR($S1760="",$T1760="",$T1760="None"),0,IF($T1760="Output",-$S1760,$S1760))</f>
        <v>0</v>
      </c>
      <c r="V1760" s="27" t="n">
        <f aca="false">IF($N1760="",0,IFERROR(INDEX(VAT_Codes!$D:$D,MATCH($N1760,VAT_Codes!$A:$A,0)),0))</f>
        <v>0</v>
      </c>
      <c r="W1760" s="26" t="n">
        <f aca="false">IF($U1760=0,0,IF(IFERROR(INDEX(VAT_Codes!$F:$F,MATCH($N1760,VAT_Codes!$A:$A,0)),"N")="Y",$U1760,IF($L1760&lt;&gt;"",ROUND(ABS($L1760)/IF(OR($R1760="",$R1760=0),1,$R1760),2)*SIGN($U1760),ROUND($U1760*$V1760,2))))</f>
        <v>0</v>
      </c>
      <c r="X1760" s="24" t="str">
        <f aca="false">IF($N1760="","",IFERROR(INDEX(VAT_Codes!$H:$H,MATCH($N1760,VAT_Codes!$A:$A,0)),"")&amp;"")</f>
        <v/>
      </c>
      <c r="Y1760" s="24" t="str">
        <f aca="false">IF($A1760="","",(YEAR($A1760)-YEAR(Settings!$C$8))*12+MONTH($A1760)-MONTH(Settings!$C$8)+1)</f>
        <v/>
      </c>
      <c r="Z1760" s="24" t="str">
        <f aca="false">IF(AND($C1760="",$I1760="",$J1760=""),"",IF($N1760="","NO VAT CODE",IF($T1760="","UNKNOWN VAT CODE",IF($S1760="","MISSING FX RATE",IF(OR($A1760&lt;Settings!$C$8,$A1760&gt;Settings!$C$9),"OUTSIDE PERIOD",IF(AND(IFERROR(INDEX(VAT_Codes!$E:$E,MATCH($N1760,VAT_Codes!$A:$A,0)),"ANY")&lt;&gt;"ANY",$P1760=""),"MISSING COUNTERPARTY COUNTRY",IF(AND(IFERROR(INDEX(VAT_Codes!$E:$E,MATCH($N1760,VAT_Codes!$A:$A,0)),"ANY")&lt;&gt;"ANY",$P1760&lt;&gt;IFERROR(INDEX(VAT_Codes!$E:$E,MATCH($N1760,VAT_Codes!$A:$A,0)),"ANY")),"REGION MISMATCH","OK")))))))</f>
        <v/>
      </c>
    </row>
    <row r="1761" customFormat="false" ht="15" hidden="false" customHeight="false" outlineLevel="0" collapsed="false">
      <c r="M1761" s="24" t="str">
        <f aca="false">IF($C1761="","",IFERROR(INDEX(Account_Mapping!$C:$C,MATCH($C1761&amp;"",Account_Mapping!$A:$A,0))&amp;"",""))</f>
        <v/>
      </c>
      <c r="N1761" s="24" t="str">
        <f aca="false">IF($K1761&lt;&gt;"",$K1761,$M1761)</f>
        <v/>
      </c>
      <c r="O1761" s="24" t="str">
        <f aca="false">IF($F1761="","",IFERROR(INDEX(Counterparties!$C:$C,MATCH($F1761&amp;"",Counterparties!$A:$A,0))&amp;"",""))</f>
        <v/>
      </c>
      <c r="P1761" s="24" t="str">
        <f aca="false">IF($O1761="","",IF($O1761="CY","CY",IF(ISNUMBER(MATCH($O1761,Lists!$A:$A,0)),"EU","3RD")))</f>
        <v/>
      </c>
      <c r="Q1761" s="24" t="str">
        <f aca="false">IF($F1761="","N",IFERROR(IF(INDEX(Counterparties!$E:$E,MATCH($F1761&amp;"",Counterparties!$A:$A,0))="Y","Y","N"),"N"))</f>
        <v>N</v>
      </c>
      <c r="R1761" s="25" t="n">
        <f aca="false">IF(OR($H1761="",$H1761="EUR"),1,IFERROR(INDEX(FX_Rates!$D:$D,MATCH($H1761,FX_Rates!$A:$A,0)),""))</f>
        <v>1</v>
      </c>
      <c r="S1761" s="26" t="str">
        <f aca="false">IF(AND($I1761="",$J1761=""),"",IF($J1761&lt;&gt;"",$J1761,IF(OR($R1761="",$R1761=0),"",ROUND($I1761/$R1761,2))))</f>
        <v/>
      </c>
      <c r="T1761" s="24" t="str">
        <f aca="false">IF($N1761="","",IFERROR(INDEX(VAT_Codes!$C:$C,MATCH($N1761,VAT_Codes!$A:$A,0)),"")&amp;"")</f>
        <v/>
      </c>
      <c r="U1761" s="26" t="n">
        <f aca="false">IF(OR($S1761="",$T1761="",$T1761="None"),0,IF($T1761="Output",-$S1761,$S1761))</f>
        <v>0</v>
      </c>
      <c r="V1761" s="27" t="n">
        <f aca="false">IF($N1761="",0,IFERROR(INDEX(VAT_Codes!$D:$D,MATCH($N1761,VAT_Codes!$A:$A,0)),0))</f>
        <v>0</v>
      </c>
      <c r="W1761" s="26" t="n">
        <f aca="false">IF($U1761=0,0,IF(IFERROR(INDEX(VAT_Codes!$F:$F,MATCH($N1761,VAT_Codes!$A:$A,0)),"N")="Y",$U1761,IF($L1761&lt;&gt;"",ROUND(ABS($L1761)/IF(OR($R1761="",$R1761=0),1,$R1761),2)*SIGN($U1761),ROUND($U1761*$V1761,2))))</f>
        <v>0</v>
      </c>
      <c r="X1761" s="24" t="str">
        <f aca="false">IF($N1761="","",IFERROR(INDEX(VAT_Codes!$H:$H,MATCH($N1761,VAT_Codes!$A:$A,0)),"")&amp;"")</f>
        <v/>
      </c>
      <c r="Y1761" s="24" t="str">
        <f aca="false">IF($A1761="","",(YEAR($A1761)-YEAR(Settings!$C$8))*12+MONTH($A1761)-MONTH(Settings!$C$8)+1)</f>
        <v/>
      </c>
      <c r="Z1761" s="24" t="str">
        <f aca="false">IF(AND($C1761="",$I1761="",$J1761=""),"",IF($N1761="","NO VAT CODE",IF($T1761="","UNKNOWN VAT CODE",IF($S1761="","MISSING FX RATE",IF(OR($A1761&lt;Settings!$C$8,$A1761&gt;Settings!$C$9),"OUTSIDE PERIOD",IF(AND(IFERROR(INDEX(VAT_Codes!$E:$E,MATCH($N1761,VAT_Codes!$A:$A,0)),"ANY")&lt;&gt;"ANY",$P1761=""),"MISSING COUNTERPARTY COUNTRY",IF(AND(IFERROR(INDEX(VAT_Codes!$E:$E,MATCH($N1761,VAT_Codes!$A:$A,0)),"ANY")&lt;&gt;"ANY",$P1761&lt;&gt;IFERROR(INDEX(VAT_Codes!$E:$E,MATCH($N1761,VAT_Codes!$A:$A,0)),"ANY")),"REGION MISMATCH","OK")))))))</f>
        <v/>
      </c>
    </row>
    <row r="1762" customFormat="false" ht="15" hidden="false" customHeight="false" outlineLevel="0" collapsed="false">
      <c r="M1762" s="24" t="str">
        <f aca="false">IF($C1762="","",IFERROR(INDEX(Account_Mapping!$C:$C,MATCH($C1762&amp;"",Account_Mapping!$A:$A,0))&amp;"",""))</f>
        <v/>
      </c>
      <c r="N1762" s="24" t="str">
        <f aca="false">IF($K1762&lt;&gt;"",$K1762,$M1762)</f>
        <v/>
      </c>
      <c r="O1762" s="24" t="str">
        <f aca="false">IF($F1762="","",IFERROR(INDEX(Counterparties!$C:$C,MATCH($F1762&amp;"",Counterparties!$A:$A,0))&amp;"",""))</f>
        <v/>
      </c>
      <c r="P1762" s="24" t="str">
        <f aca="false">IF($O1762="","",IF($O1762="CY","CY",IF(ISNUMBER(MATCH($O1762,Lists!$A:$A,0)),"EU","3RD")))</f>
        <v/>
      </c>
      <c r="Q1762" s="24" t="str">
        <f aca="false">IF($F1762="","N",IFERROR(IF(INDEX(Counterparties!$E:$E,MATCH($F1762&amp;"",Counterparties!$A:$A,0))="Y","Y","N"),"N"))</f>
        <v>N</v>
      </c>
      <c r="R1762" s="25" t="n">
        <f aca="false">IF(OR($H1762="",$H1762="EUR"),1,IFERROR(INDEX(FX_Rates!$D:$D,MATCH($H1762,FX_Rates!$A:$A,0)),""))</f>
        <v>1</v>
      </c>
      <c r="S1762" s="26" t="str">
        <f aca="false">IF(AND($I1762="",$J1762=""),"",IF($J1762&lt;&gt;"",$J1762,IF(OR($R1762="",$R1762=0),"",ROUND($I1762/$R1762,2))))</f>
        <v/>
      </c>
      <c r="T1762" s="24" t="str">
        <f aca="false">IF($N1762="","",IFERROR(INDEX(VAT_Codes!$C:$C,MATCH($N1762,VAT_Codes!$A:$A,0)),"")&amp;"")</f>
        <v/>
      </c>
      <c r="U1762" s="26" t="n">
        <f aca="false">IF(OR($S1762="",$T1762="",$T1762="None"),0,IF($T1762="Output",-$S1762,$S1762))</f>
        <v>0</v>
      </c>
      <c r="V1762" s="27" t="n">
        <f aca="false">IF($N1762="",0,IFERROR(INDEX(VAT_Codes!$D:$D,MATCH($N1762,VAT_Codes!$A:$A,0)),0))</f>
        <v>0</v>
      </c>
      <c r="W1762" s="26" t="n">
        <f aca="false">IF($U1762=0,0,IF(IFERROR(INDEX(VAT_Codes!$F:$F,MATCH($N1762,VAT_Codes!$A:$A,0)),"N")="Y",$U1762,IF($L1762&lt;&gt;"",ROUND(ABS($L1762)/IF(OR($R1762="",$R1762=0),1,$R1762),2)*SIGN($U1762),ROUND($U1762*$V1762,2))))</f>
        <v>0</v>
      </c>
      <c r="X1762" s="24" t="str">
        <f aca="false">IF($N1762="","",IFERROR(INDEX(VAT_Codes!$H:$H,MATCH($N1762,VAT_Codes!$A:$A,0)),"")&amp;"")</f>
        <v/>
      </c>
      <c r="Y1762" s="24" t="str">
        <f aca="false">IF($A1762="","",(YEAR($A1762)-YEAR(Settings!$C$8))*12+MONTH($A1762)-MONTH(Settings!$C$8)+1)</f>
        <v/>
      </c>
      <c r="Z1762" s="24" t="str">
        <f aca="false">IF(AND($C1762="",$I1762="",$J1762=""),"",IF($N1762="","NO VAT CODE",IF($T1762="","UNKNOWN VAT CODE",IF($S1762="","MISSING FX RATE",IF(OR($A1762&lt;Settings!$C$8,$A1762&gt;Settings!$C$9),"OUTSIDE PERIOD",IF(AND(IFERROR(INDEX(VAT_Codes!$E:$E,MATCH($N1762,VAT_Codes!$A:$A,0)),"ANY")&lt;&gt;"ANY",$P1762=""),"MISSING COUNTERPARTY COUNTRY",IF(AND(IFERROR(INDEX(VAT_Codes!$E:$E,MATCH($N1762,VAT_Codes!$A:$A,0)),"ANY")&lt;&gt;"ANY",$P1762&lt;&gt;IFERROR(INDEX(VAT_Codes!$E:$E,MATCH($N1762,VAT_Codes!$A:$A,0)),"ANY")),"REGION MISMATCH","OK")))))))</f>
        <v/>
      </c>
    </row>
    <row r="1763" customFormat="false" ht="15" hidden="false" customHeight="false" outlineLevel="0" collapsed="false">
      <c r="M1763" s="24" t="str">
        <f aca="false">IF($C1763="","",IFERROR(INDEX(Account_Mapping!$C:$C,MATCH($C1763&amp;"",Account_Mapping!$A:$A,0))&amp;"",""))</f>
        <v/>
      </c>
      <c r="N1763" s="24" t="str">
        <f aca="false">IF($K1763&lt;&gt;"",$K1763,$M1763)</f>
        <v/>
      </c>
      <c r="O1763" s="24" t="str">
        <f aca="false">IF($F1763="","",IFERROR(INDEX(Counterparties!$C:$C,MATCH($F1763&amp;"",Counterparties!$A:$A,0))&amp;"",""))</f>
        <v/>
      </c>
      <c r="P1763" s="24" t="str">
        <f aca="false">IF($O1763="","",IF($O1763="CY","CY",IF(ISNUMBER(MATCH($O1763,Lists!$A:$A,0)),"EU","3RD")))</f>
        <v/>
      </c>
      <c r="Q1763" s="24" t="str">
        <f aca="false">IF($F1763="","N",IFERROR(IF(INDEX(Counterparties!$E:$E,MATCH($F1763&amp;"",Counterparties!$A:$A,0))="Y","Y","N"),"N"))</f>
        <v>N</v>
      </c>
      <c r="R1763" s="25" t="n">
        <f aca="false">IF(OR($H1763="",$H1763="EUR"),1,IFERROR(INDEX(FX_Rates!$D:$D,MATCH($H1763,FX_Rates!$A:$A,0)),""))</f>
        <v>1</v>
      </c>
      <c r="S1763" s="26" t="str">
        <f aca="false">IF(AND($I1763="",$J1763=""),"",IF($J1763&lt;&gt;"",$J1763,IF(OR($R1763="",$R1763=0),"",ROUND($I1763/$R1763,2))))</f>
        <v/>
      </c>
      <c r="T1763" s="24" t="str">
        <f aca="false">IF($N1763="","",IFERROR(INDEX(VAT_Codes!$C:$C,MATCH($N1763,VAT_Codes!$A:$A,0)),"")&amp;"")</f>
        <v/>
      </c>
      <c r="U1763" s="26" t="n">
        <f aca="false">IF(OR($S1763="",$T1763="",$T1763="None"),0,IF($T1763="Output",-$S1763,$S1763))</f>
        <v>0</v>
      </c>
      <c r="V1763" s="27" t="n">
        <f aca="false">IF($N1763="",0,IFERROR(INDEX(VAT_Codes!$D:$D,MATCH($N1763,VAT_Codes!$A:$A,0)),0))</f>
        <v>0</v>
      </c>
      <c r="W1763" s="26" t="n">
        <f aca="false">IF($U1763=0,0,IF(IFERROR(INDEX(VAT_Codes!$F:$F,MATCH($N1763,VAT_Codes!$A:$A,0)),"N")="Y",$U1763,IF($L1763&lt;&gt;"",ROUND(ABS($L1763)/IF(OR($R1763="",$R1763=0),1,$R1763),2)*SIGN($U1763),ROUND($U1763*$V1763,2))))</f>
        <v>0</v>
      </c>
      <c r="X1763" s="24" t="str">
        <f aca="false">IF($N1763="","",IFERROR(INDEX(VAT_Codes!$H:$H,MATCH($N1763,VAT_Codes!$A:$A,0)),"")&amp;"")</f>
        <v/>
      </c>
      <c r="Y1763" s="24" t="str">
        <f aca="false">IF($A1763="","",(YEAR($A1763)-YEAR(Settings!$C$8))*12+MONTH($A1763)-MONTH(Settings!$C$8)+1)</f>
        <v/>
      </c>
      <c r="Z1763" s="24" t="str">
        <f aca="false">IF(AND($C1763="",$I1763="",$J1763=""),"",IF($N1763="","NO VAT CODE",IF($T1763="","UNKNOWN VAT CODE",IF($S1763="","MISSING FX RATE",IF(OR($A1763&lt;Settings!$C$8,$A1763&gt;Settings!$C$9),"OUTSIDE PERIOD",IF(AND(IFERROR(INDEX(VAT_Codes!$E:$E,MATCH($N1763,VAT_Codes!$A:$A,0)),"ANY")&lt;&gt;"ANY",$P1763=""),"MISSING COUNTERPARTY COUNTRY",IF(AND(IFERROR(INDEX(VAT_Codes!$E:$E,MATCH($N1763,VAT_Codes!$A:$A,0)),"ANY")&lt;&gt;"ANY",$P1763&lt;&gt;IFERROR(INDEX(VAT_Codes!$E:$E,MATCH($N1763,VAT_Codes!$A:$A,0)),"ANY")),"REGION MISMATCH","OK")))))))</f>
        <v/>
      </c>
    </row>
    <row r="1764" customFormat="false" ht="15" hidden="false" customHeight="false" outlineLevel="0" collapsed="false">
      <c r="M1764" s="24" t="str">
        <f aca="false">IF($C1764="","",IFERROR(INDEX(Account_Mapping!$C:$C,MATCH($C1764&amp;"",Account_Mapping!$A:$A,0))&amp;"",""))</f>
        <v/>
      </c>
      <c r="N1764" s="24" t="str">
        <f aca="false">IF($K1764&lt;&gt;"",$K1764,$M1764)</f>
        <v/>
      </c>
      <c r="O1764" s="24" t="str">
        <f aca="false">IF($F1764="","",IFERROR(INDEX(Counterparties!$C:$C,MATCH($F1764&amp;"",Counterparties!$A:$A,0))&amp;"",""))</f>
        <v/>
      </c>
      <c r="P1764" s="24" t="str">
        <f aca="false">IF($O1764="","",IF($O1764="CY","CY",IF(ISNUMBER(MATCH($O1764,Lists!$A:$A,0)),"EU","3RD")))</f>
        <v/>
      </c>
      <c r="Q1764" s="24" t="str">
        <f aca="false">IF($F1764="","N",IFERROR(IF(INDEX(Counterparties!$E:$E,MATCH($F1764&amp;"",Counterparties!$A:$A,0))="Y","Y","N"),"N"))</f>
        <v>N</v>
      </c>
      <c r="R1764" s="25" t="n">
        <f aca="false">IF(OR($H1764="",$H1764="EUR"),1,IFERROR(INDEX(FX_Rates!$D:$D,MATCH($H1764,FX_Rates!$A:$A,0)),""))</f>
        <v>1</v>
      </c>
      <c r="S1764" s="26" t="str">
        <f aca="false">IF(AND($I1764="",$J1764=""),"",IF($J1764&lt;&gt;"",$J1764,IF(OR($R1764="",$R1764=0),"",ROUND($I1764/$R1764,2))))</f>
        <v/>
      </c>
      <c r="T1764" s="24" t="str">
        <f aca="false">IF($N1764="","",IFERROR(INDEX(VAT_Codes!$C:$C,MATCH($N1764,VAT_Codes!$A:$A,0)),"")&amp;"")</f>
        <v/>
      </c>
      <c r="U1764" s="26" t="n">
        <f aca="false">IF(OR($S1764="",$T1764="",$T1764="None"),0,IF($T1764="Output",-$S1764,$S1764))</f>
        <v>0</v>
      </c>
      <c r="V1764" s="27" t="n">
        <f aca="false">IF($N1764="",0,IFERROR(INDEX(VAT_Codes!$D:$D,MATCH($N1764,VAT_Codes!$A:$A,0)),0))</f>
        <v>0</v>
      </c>
      <c r="W1764" s="26" t="n">
        <f aca="false">IF($U1764=0,0,IF(IFERROR(INDEX(VAT_Codes!$F:$F,MATCH($N1764,VAT_Codes!$A:$A,0)),"N")="Y",$U1764,IF($L1764&lt;&gt;"",ROUND(ABS($L1764)/IF(OR($R1764="",$R1764=0),1,$R1764),2)*SIGN($U1764),ROUND($U1764*$V1764,2))))</f>
        <v>0</v>
      </c>
      <c r="X1764" s="24" t="str">
        <f aca="false">IF($N1764="","",IFERROR(INDEX(VAT_Codes!$H:$H,MATCH($N1764,VAT_Codes!$A:$A,0)),"")&amp;"")</f>
        <v/>
      </c>
      <c r="Y1764" s="24" t="str">
        <f aca="false">IF($A1764="","",(YEAR($A1764)-YEAR(Settings!$C$8))*12+MONTH($A1764)-MONTH(Settings!$C$8)+1)</f>
        <v/>
      </c>
      <c r="Z1764" s="24" t="str">
        <f aca="false">IF(AND($C1764="",$I1764="",$J1764=""),"",IF($N1764="","NO VAT CODE",IF($T1764="","UNKNOWN VAT CODE",IF($S1764="","MISSING FX RATE",IF(OR($A1764&lt;Settings!$C$8,$A1764&gt;Settings!$C$9),"OUTSIDE PERIOD",IF(AND(IFERROR(INDEX(VAT_Codes!$E:$E,MATCH($N1764,VAT_Codes!$A:$A,0)),"ANY")&lt;&gt;"ANY",$P1764=""),"MISSING COUNTERPARTY COUNTRY",IF(AND(IFERROR(INDEX(VAT_Codes!$E:$E,MATCH($N1764,VAT_Codes!$A:$A,0)),"ANY")&lt;&gt;"ANY",$P1764&lt;&gt;IFERROR(INDEX(VAT_Codes!$E:$E,MATCH($N1764,VAT_Codes!$A:$A,0)),"ANY")),"REGION MISMATCH","OK")))))))</f>
        <v/>
      </c>
    </row>
    <row r="1765" customFormat="false" ht="15" hidden="false" customHeight="false" outlineLevel="0" collapsed="false">
      <c r="M1765" s="24" t="str">
        <f aca="false">IF($C1765="","",IFERROR(INDEX(Account_Mapping!$C:$C,MATCH($C1765&amp;"",Account_Mapping!$A:$A,0))&amp;"",""))</f>
        <v/>
      </c>
      <c r="N1765" s="24" t="str">
        <f aca="false">IF($K1765&lt;&gt;"",$K1765,$M1765)</f>
        <v/>
      </c>
      <c r="O1765" s="24" t="str">
        <f aca="false">IF($F1765="","",IFERROR(INDEX(Counterparties!$C:$C,MATCH($F1765&amp;"",Counterparties!$A:$A,0))&amp;"",""))</f>
        <v/>
      </c>
      <c r="P1765" s="24" t="str">
        <f aca="false">IF($O1765="","",IF($O1765="CY","CY",IF(ISNUMBER(MATCH($O1765,Lists!$A:$A,0)),"EU","3RD")))</f>
        <v/>
      </c>
      <c r="Q1765" s="24" t="str">
        <f aca="false">IF($F1765="","N",IFERROR(IF(INDEX(Counterparties!$E:$E,MATCH($F1765&amp;"",Counterparties!$A:$A,0))="Y","Y","N"),"N"))</f>
        <v>N</v>
      </c>
      <c r="R1765" s="25" t="n">
        <f aca="false">IF(OR($H1765="",$H1765="EUR"),1,IFERROR(INDEX(FX_Rates!$D:$D,MATCH($H1765,FX_Rates!$A:$A,0)),""))</f>
        <v>1</v>
      </c>
      <c r="S1765" s="26" t="str">
        <f aca="false">IF(AND($I1765="",$J1765=""),"",IF($J1765&lt;&gt;"",$J1765,IF(OR($R1765="",$R1765=0),"",ROUND($I1765/$R1765,2))))</f>
        <v/>
      </c>
      <c r="T1765" s="24" t="str">
        <f aca="false">IF($N1765="","",IFERROR(INDEX(VAT_Codes!$C:$C,MATCH($N1765,VAT_Codes!$A:$A,0)),"")&amp;"")</f>
        <v/>
      </c>
      <c r="U1765" s="26" t="n">
        <f aca="false">IF(OR($S1765="",$T1765="",$T1765="None"),0,IF($T1765="Output",-$S1765,$S1765))</f>
        <v>0</v>
      </c>
      <c r="V1765" s="27" t="n">
        <f aca="false">IF($N1765="",0,IFERROR(INDEX(VAT_Codes!$D:$D,MATCH($N1765,VAT_Codes!$A:$A,0)),0))</f>
        <v>0</v>
      </c>
      <c r="W1765" s="26" t="n">
        <f aca="false">IF($U1765=0,0,IF(IFERROR(INDEX(VAT_Codes!$F:$F,MATCH($N1765,VAT_Codes!$A:$A,0)),"N")="Y",$U1765,IF($L1765&lt;&gt;"",ROUND(ABS($L1765)/IF(OR($R1765="",$R1765=0),1,$R1765),2)*SIGN($U1765),ROUND($U1765*$V1765,2))))</f>
        <v>0</v>
      </c>
      <c r="X1765" s="24" t="str">
        <f aca="false">IF($N1765="","",IFERROR(INDEX(VAT_Codes!$H:$H,MATCH($N1765,VAT_Codes!$A:$A,0)),"")&amp;"")</f>
        <v/>
      </c>
      <c r="Y1765" s="24" t="str">
        <f aca="false">IF($A1765="","",(YEAR($A1765)-YEAR(Settings!$C$8))*12+MONTH($A1765)-MONTH(Settings!$C$8)+1)</f>
        <v/>
      </c>
      <c r="Z1765" s="24" t="str">
        <f aca="false">IF(AND($C1765="",$I1765="",$J1765=""),"",IF($N1765="","NO VAT CODE",IF($T1765="","UNKNOWN VAT CODE",IF($S1765="","MISSING FX RATE",IF(OR($A1765&lt;Settings!$C$8,$A1765&gt;Settings!$C$9),"OUTSIDE PERIOD",IF(AND(IFERROR(INDEX(VAT_Codes!$E:$E,MATCH($N1765,VAT_Codes!$A:$A,0)),"ANY")&lt;&gt;"ANY",$P1765=""),"MISSING COUNTERPARTY COUNTRY",IF(AND(IFERROR(INDEX(VAT_Codes!$E:$E,MATCH($N1765,VAT_Codes!$A:$A,0)),"ANY")&lt;&gt;"ANY",$P1765&lt;&gt;IFERROR(INDEX(VAT_Codes!$E:$E,MATCH($N1765,VAT_Codes!$A:$A,0)),"ANY")),"REGION MISMATCH","OK")))))))</f>
        <v/>
      </c>
    </row>
    <row r="1766" customFormat="false" ht="15" hidden="false" customHeight="false" outlineLevel="0" collapsed="false">
      <c r="M1766" s="24" t="str">
        <f aca="false">IF($C1766="","",IFERROR(INDEX(Account_Mapping!$C:$C,MATCH($C1766&amp;"",Account_Mapping!$A:$A,0))&amp;"",""))</f>
        <v/>
      </c>
      <c r="N1766" s="24" t="str">
        <f aca="false">IF($K1766&lt;&gt;"",$K1766,$M1766)</f>
        <v/>
      </c>
      <c r="O1766" s="24" t="str">
        <f aca="false">IF($F1766="","",IFERROR(INDEX(Counterparties!$C:$C,MATCH($F1766&amp;"",Counterparties!$A:$A,0))&amp;"",""))</f>
        <v/>
      </c>
      <c r="P1766" s="24" t="str">
        <f aca="false">IF($O1766="","",IF($O1766="CY","CY",IF(ISNUMBER(MATCH($O1766,Lists!$A:$A,0)),"EU","3RD")))</f>
        <v/>
      </c>
      <c r="Q1766" s="24" t="str">
        <f aca="false">IF($F1766="","N",IFERROR(IF(INDEX(Counterparties!$E:$E,MATCH($F1766&amp;"",Counterparties!$A:$A,0))="Y","Y","N"),"N"))</f>
        <v>N</v>
      </c>
      <c r="R1766" s="25" t="n">
        <f aca="false">IF(OR($H1766="",$H1766="EUR"),1,IFERROR(INDEX(FX_Rates!$D:$D,MATCH($H1766,FX_Rates!$A:$A,0)),""))</f>
        <v>1</v>
      </c>
      <c r="S1766" s="26" t="str">
        <f aca="false">IF(AND($I1766="",$J1766=""),"",IF($J1766&lt;&gt;"",$J1766,IF(OR($R1766="",$R1766=0),"",ROUND($I1766/$R1766,2))))</f>
        <v/>
      </c>
      <c r="T1766" s="24" t="str">
        <f aca="false">IF($N1766="","",IFERROR(INDEX(VAT_Codes!$C:$C,MATCH($N1766,VAT_Codes!$A:$A,0)),"")&amp;"")</f>
        <v/>
      </c>
      <c r="U1766" s="26" t="n">
        <f aca="false">IF(OR($S1766="",$T1766="",$T1766="None"),0,IF($T1766="Output",-$S1766,$S1766))</f>
        <v>0</v>
      </c>
      <c r="V1766" s="27" t="n">
        <f aca="false">IF($N1766="",0,IFERROR(INDEX(VAT_Codes!$D:$D,MATCH($N1766,VAT_Codes!$A:$A,0)),0))</f>
        <v>0</v>
      </c>
      <c r="W1766" s="26" t="n">
        <f aca="false">IF($U1766=0,0,IF(IFERROR(INDEX(VAT_Codes!$F:$F,MATCH($N1766,VAT_Codes!$A:$A,0)),"N")="Y",$U1766,IF($L1766&lt;&gt;"",ROUND(ABS($L1766)/IF(OR($R1766="",$R1766=0),1,$R1766),2)*SIGN($U1766),ROUND($U1766*$V1766,2))))</f>
        <v>0</v>
      </c>
      <c r="X1766" s="24" t="str">
        <f aca="false">IF($N1766="","",IFERROR(INDEX(VAT_Codes!$H:$H,MATCH($N1766,VAT_Codes!$A:$A,0)),"")&amp;"")</f>
        <v/>
      </c>
      <c r="Y1766" s="24" t="str">
        <f aca="false">IF($A1766="","",(YEAR($A1766)-YEAR(Settings!$C$8))*12+MONTH($A1766)-MONTH(Settings!$C$8)+1)</f>
        <v/>
      </c>
      <c r="Z1766" s="24" t="str">
        <f aca="false">IF(AND($C1766="",$I1766="",$J1766=""),"",IF($N1766="","NO VAT CODE",IF($T1766="","UNKNOWN VAT CODE",IF($S1766="","MISSING FX RATE",IF(OR($A1766&lt;Settings!$C$8,$A1766&gt;Settings!$C$9),"OUTSIDE PERIOD",IF(AND(IFERROR(INDEX(VAT_Codes!$E:$E,MATCH($N1766,VAT_Codes!$A:$A,0)),"ANY")&lt;&gt;"ANY",$P1766=""),"MISSING COUNTERPARTY COUNTRY",IF(AND(IFERROR(INDEX(VAT_Codes!$E:$E,MATCH($N1766,VAT_Codes!$A:$A,0)),"ANY")&lt;&gt;"ANY",$P1766&lt;&gt;IFERROR(INDEX(VAT_Codes!$E:$E,MATCH($N1766,VAT_Codes!$A:$A,0)),"ANY")),"REGION MISMATCH","OK")))))))</f>
        <v/>
      </c>
    </row>
    <row r="1767" customFormat="false" ht="15" hidden="false" customHeight="false" outlineLevel="0" collapsed="false">
      <c r="M1767" s="24" t="str">
        <f aca="false">IF($C1767="","",IFERROR(INDEX(Account_Mapping!$C:$C,MATCH($C1767&amp;"",Account_Mapping!$A:$A,0))&amp;"",""))</f>
        <v/>
      </c>
      <c r="N1767" s="24" t="str">
        <f aca="false">IF($K1767&lt;&gt;"",$K1767,$M1767)</f>
        <v/>
      </c>
      <c r="O1767" s="24" t="str">
        <f aca="false">IF($F1767="","",IFERROR(INDEX(Counterparties!$C:$C,MATCH($F1767&amp;"",Counterparties!$A:$A,0))&amp;"",""))</f>
        <v/>
      </c>
      <c r="P1767" s="24" t="str">
        <f aca="false">IF($O1767="","",IF($O1767="CY","CY",IF(ISNUMBER(MATCH($O1767,Lists!$A:$A,0)),"EU","3RD")))</f>
        <v/>
      </c>
      <c r="Q1767" s="24" t="str">
        <f aca="false">IF($F1767="","N",IFERROR(IF(INDEX(Counterparties!$E:$E,MATCH($F1767&amp;"",Counterparties!$A:$A,0))="Y","Y","N"),"N"))</f>
        <v>N</v>
      </c>
      <c r="R1767" s="25" t="n">
        <f aca="false">IF(OR($H1767="",$H1767="EUR"),1,IFERROR(INDEX(FX_Rates!$D:$D,MATCH($H1767,FX_Rates!$A:$A,0)),""))</f>
        <v>1</v>
      </c>
      <c r="S1767" s="26" t="str">
        <f aca="false">IF(AND($I1767="",$J1767=""),"",IF($J1767&lt;&gt;"",$J1767,IF(OR($R1767="",$R1767=0),"",ROUND($I1767/$R1767,2))))</f>
        <v/>
      </c>
      <c r="T1767" s="24" t="str">
        <f aca="false">IF($N1767="","",IFERROR(INDEX(VAT_Codes!$C:$C,MATCH($N1767,VAT_Codes!$A:$A,0)),"")&amp;"")</f>
        <v/>
      </c>
      <c r="U1767" s="26" t="n">
        <f aca="false">IF(OR($S1767="",$T1767="",$T1767="None"),0,IF($T1767="Output",-$S1767,$S1767))</f>
        <v>0</v>
      </c>
      <c r="V1767" s="27" t="n">
        <f aca="false">IF($N1767="",0,IFERROR(INDEX(VAT_Codes!$D:$D,MATCH($N1767,VAT_Codes!$A:$A,0)),0))</f>
        <v>0</v>
      </c>
      <c r="W1767" s="26" t="n">
        <f aca="false">IF($U1767=0,0,IF(IFERROR(INDEX(VAT_Codes!$F:$F,MATCH($N1767,VAT_Codes!$A:$A,0)),"N")="Y",$U1767,IF($L1767&lt;&gt;"",ROUND(ABS($L1767)/IF(OR($R1767="",$R1767=0),1,$R1767),2)*SIGN($U1767),ROUND($U1767*$V1767,2))))</f>
        <v>0</v>
      </c>
      <c r="X1767" s="24" t="str">
        <f aca="false">IF($N1767="","",IFERROR(INDEX(VAT_Codes!$H:$H,MATCH($N1767,VAT_Codes!$A:$A,0)),"")&amp;"")</f>
        <v/>
      </c>
      <c r="Y1767" s="24" t="str">
        <f aca="false">IF($A1767="","",(YEAR($A1767)-YEAR(Settings!$C$8))*12+MONTH($A1767)-MONTH(Settings!$C$8)+1)</f>
        <v/>
      </c>
      <c r="Z1767" s="24" t="str">
        <f aca="false">IF(AND($C1767="",$I1767="",$J1767=""),"",IF($N1767="","NO VAT CODE",IF($T1767="","UNKNOWN VAT CODE",IF($S1767="","MISSING FX RATE",IF(OR($A1767&lt;Settings!$C$8,$A1767&gt;Settings!$C$9),"OUTSIDE PERIOD",IF(AND(IFERROR(INDEX(VAT_Codes!$E:$E,MATCH($N1767,VAT_Codes!$A:$A,0)),"ANY")&lt;&gt;"ANY",$P1767=""),"MISSING COUNTERPARTY COUNTRY",IF(AND(IFERROR(INDEX(VAT_Codes!$E:$E,MATCH($N1767,VAT_Codes!$A:$A,0)),"ANY")&lt;&gt;"ANY",$P1767&lt;&gt;IFERROR(INDEX(VAT_Codes!$E:$E,MATCH($N1767,VAT_Codes!$A:$A,0)),"ANY")),"REGION MISMATCH","OK")))))))</f>
        <v/>
      </c>
    </row>
    <row r="1768" customFormat="false" ht="15" hidden="false" customHeight="false" outlineLevel="0" collapsed="false">
      <c r="M1768" s="24" t="str">
        <f aca="false">IF($C1768="","",IFERROR(INDEX(Account_Mapping!$C:$C,MATCH($C1768&amp;"",Account_Mapping!$A:$A,0))&amp;"",""))</f>
        <v/>
      </c>
      <c r="N1768" s="24" t="str">
        <f aca="false">IF($K1768&lt;&gt;"",$K1768,$M1768)</f>
        <v/>
      </c>
      <c r="O1768" s="24" t="str">
        <f aca="false">IF($F1768="","",IFERROR(INDEX(Counterparties!$C:$C,MATCH($F1768&amp;"",Counterparties!$A:$A,0))&amp;"",""))</f>
        <v/>
      </c>
      <c r="P1768" s="24" t="str">
        <f aca="false">IF($O1768="","",IF($O1768="CY","CY",IF(ISNUMBER(MATCH($O1768,Lists!$A:$A,0)),"EU","3RD")))</f>
        <v/>
      </c>
      <c r="Q1768" s="24" t="str">
        <f aca="false">IF($F1768="","N",IFERROR(IF(INDEX(Counterparties!$E:$E,MATCH($F1768&amp;"",Counterparties!$A:$A,0))="Y","Y","N"),"N"))</f>
        <v>N</v>
      </c>
      <c r="R1768" s="25" t="n">
        <f aca="false">IF(OR($H1768="",$H1768="EUR"),1,IFERROR(INDEX(FX_Rates!$D:$D,MATCH($H1768,FX_Rates!$A:$A,0)),""))</f>
        <v>1</v>
      </c>
      <c r="S1768" s="26" t="str">
        <f aca="false">IF(AND($I1768="",$J1768=""),"",IF($J1768&lt;&gt;"",$J1768,IF(OR($R1768="",$R1768=0),"",ROUND($I1768/$R1768,2))))</f>
        <v/>
      </c>
      <c r="T1768" s="24" t="str">
        <f aca="false">IF($N1768="","",IFERROR(INDEX(VAT_Codes!$C:$C,MATCH($N1768,VAT_Codes!$A:$A,0)),"")&amp;"")</f>
        <v/>
      </c>
      <c r="U1768" s="26" t="n">
        <f aca="false">IF(OR($S1768="",$T1768="",$T1768="None"),0,IF($T1768="Output",-$S1768,$S1768))</f>
        <v>0</v>
      </c>
      <c r="V1768" s="27" t="n">
        <f aca="false">IF($N1768="",0,IFERROR(INDEX(VAT_Codes!$D:$D,MATCH($N1768,VAT_Codes!$A:$A,0)),0))</f>
        <v>0</v>
      </c>
      <c r="W1768" s="26" t="n">
        <f aca="false">IF($U1768=0,0,IF(IFERROR(INDEX(VAT_Codes!$F:$F,MATCH($N1768,VAT_Codes!$A:$A,0)),"N")="Y",$U1768,IF($L1768&lt;&gt;"",ROUND(ABS($L1768)/IF(OR($R1768="",$R1768=0),1,$R1768),2)*SIGN($U1768),ROUND($U1768*$V1768,2))))</f>
        <v>0</v>
      </c>
      <c r="X1768" s="24" t="str">
        <f aca="false">IF($N1768="","",IFERROR(INDEX(VAT_Codes!$H:$H,MATCH($N1768,VAT_Codes!$A:$A,0)),"")&amp;"")</f>
        <v/>
      </c>
      <c r="Y1768" s="24" t="str">
        <f aca="false">IF($A1768="","",(YEAR($A1768)-YEAR(Settings!$C$8))*12+MONTH($A1768)-MONTH(Settings!$C$8)+1)</f>
        <v/>
      </c>
      <c r="Z1768" s="24" t="str">
        <f aca="false">IF(AND($C1768="",$I1768="",$J1768=""),"",IF($N1768="","NO VAT CODE",IF($T1768="","UNKNOWN VAT CODE",IF($S1768="","MISSING FX RATE",IF(OR($A1768&lt;Settings!$C$8,$A1768&gt;Settings!$C$9),"OUTSIDE PERIOD",IF(AND(IFERROR(INDEX(VAT_Codes!$E:$E,MATCH($N1768,VAT_Codes!$A:$A,0)),"ANY")&lt;&gt;"ANY",$P1768=""),"MISSING COUNTERPARTY COUNTRY",IF(AND(IFERROR(INDEX(VAT_Codes!$E:$E,MATCH($N1768,VAT_Codes!$A:$A,0)),"ANY")&lt;&gt;"ANY",$P1768&lt;&gt;IFERROR(INDEX(VAT_Codes!$E:$E,MATCH($N1768,VAT_Codes!$A:$A,0)),"ANY")),"REGION MISMATCH","OK")))))))</f>
        <v/>
      </c>
    </row>
    <row r="1769" customFormat="false" ht="15" hidden="false" customHeight="false" outlineLevel="0" collapsed="false">
      <c r="M1769" s="24" t="str">
        <f aca="false">IF($C1769="","",IFERROR(INDEX(Account_Mapping!$C:$C,MATCH($C1769&amp;"",Account_Mapping!$A:$A,0))&amp;"",""))</f>
        <v/>
      </c>
      <c r="N1769" s="24" t="str">
        <f aca="false">IF($K1769&lt;&gt;"",$K1769,$M1769)</f>
        <v/>
      </c>
      <c r="O1769" s="24" t="str">
        <f aca="false">IF($F1769="","",IFERROR(INDEX(Counterparties!$C:$C,MATCH($F1769&amp;"",Counterparties!$A:$A,0))&amp;"",""))</f>
        <v/>
      </c>
      <c r="P1769" s="24" t="str">
        <f aca="false">IF($O1769="","",IF($O1769="CY","CY",IF(ISNUMBER(MATCH($O1769,Lists!$A:$A,0)),"EU","3RD")))</f>
        <v/>
      </c>
      <c r="Q1769" s="24" t="str">
        <f aca="false">IF($F1769="","N",IFERROR(IF(INDEX(Counterparties!$E:$E,MATCH($F1769&amp;"",Counterparties!$A:$A,0))="Y","Y","N"),"N"))</f>
        <v>N</v>
      </c>
      <c r="R1769" s="25" t="n">
        <f aca="false">IF(OR($H1769="",$H1769="EUR"),1,IFERROR(INDEX(FX_Rates!$D:$D,MATCH($H1769,FX_Rates!$A:$A,0)),""))</f>
        <v>1</v>
      </c>
      <c r="S1769" s="26" t="str">
        <f aca="false">IF(AND($I1769="",$J1769=""),"",IF($J1769&lt;&gt;"",$J1769,IF(OR($R1769="",$R1769=0),"",ROUND($I1769/$R1769,2))))</f>
        <v/>
      </c>
      <c r="T1769" s="24" t="str">
        <f aca="false">IF($N1769="","",IFERROR(INDEX(VAT_Codes!$C:$C,MATCH($N1769,VAT_Codes!$A:$A,0)),"")&amp;"")</f>
        <v/>
      </c>
      <c r="U1769" s="26" t="n">
        <f aca="false">IF(OR($S1769="",$T1769="",$T1769="None"),0,IF($T1769="Output",-$S1769,$S1769))</f>
        <v>0</v>
      </c>
      <c r="V1769" s="27" t="n">
        <f aca="false">IF($N1769="",0,IFERROR(INDEX(VAT_Codes!$D:$D,MATCH($N1769,VAT_Codes!$A:$A,0)),0))</f>
        <v>0</v>
      </c>
      <c r="W1769" s="26" t="n">
        <f aca="false">IF($U1769=0,0,IF(IFERROR(INDEX(VAT_Codes!$F:$F,MATCH($N1769,VAT_Codes!$A:$A,0)),"N")="Y",$U1769,IF($L1769&lt;&gt;"",ROUND(ABS($L1769)/IF(OR($R1769="",$R1769=0),1,$R1769),2)*SIGN($U1769),ROUND($U1769*$V1769,2))))</f>
        <v>0</v>
      </c>
      <c r="X1769" s="24" t="str">
        <f aca="false">IF($N1769="","",IFERROR(INDEX(VAT_Codes!$H:$H,MATCH($N1769,VAT_Codes!$A:$A,0)),"")&amp;"")</f>
        <v/>
      </c>
      <c r="Y1769" s="24" t="str">
        <f aca="false">IF($A1769="","",(YEAR($A1769)-YEAR(Settings!$C$8))*12+MONTH($A1769)-MONTH(Settings!$C$8)+1)</f>
        <v/>
      </c>
      <c r="Z1769" s="24" t="str">
        <f aca="false">IF(AND($C1769="",$I1769="",$J1769=""),"",IF($N1769="","NO VAT CODE",IF($T1769="","UNKNOWN VAT CODE",IF($S1769="","MISSING FX RATE",IF(OR($A1769&lt;Settings!$C$8,$A1769&gt;Settings!$C$9),"OUTSIDE PERIOD",IF(AND(IFERROR(INDEX(VAT_Codes!$E:$E,MATCH($N1769,VAT_Codes!$A:$A,0)),"ANY")&lt;&gt;"ANY",$P1769=""),"MISSING COUNTERPARTY COUNTRY",IF(AND(IFERROR(INDEX(VAT_Codes!$E:$E,MATCH($N1769,VAT_Codes!$A:$A,0)),"ANY")&lt;&gt;"ANY",$P1769&lt;&gt;IFERROR(INDEX(VAT_Codes!$E:$E,MATCH($N1769,VAT_Codes!$A:$A,0)),"ANY")),"REGION MISMATCH","OK")))))))</f>
        <v/>
      </c>
    </row>
    <row r="1770" customFormat="false" ht="15" hidden="false" customHeight="false" outlineLevel="0" collapsed="false">
      <c r="M1770" s="24" t="str">
        <f aca="false">IF($C1770="","",IFERROR(INDEX(Account_Mapping!$C:$C,MATCH($C1770&amp;"",Account_Mapping!$A:$A,0))&amp;"",""))</f>
        <v/>
      </c>
      <c r="N1770" s="24" t="str">
        <f aca="false">IF($K1770&lt;&gt;"",$K1770,$M1770)</f>
        <v/>
      </c>
      <c r="O1770" s="24" t="str">
        <f aca="false">IF($F1770="","",IFERROR(INDEX(Counterparties!$C:$C,MATCH($F1770&amp;"",Counterparties!$A:$A,0))&amp;"",""))</f>
        <v/>
      </c>
      <c r="P1770" s="24" t="str">
        <f aca="false">IF($O1770="","",IF($O1770="CY","CY",IF(ISNUMBER(MATCH($O1770,Lists!$A:$A,0)),"EU","3RD")))</f>
        <v/>
      </c>
      <c r="Q1770" s="24" t="str">
        <f aca="false">IF($F1770="","N",IFERROR(IF(INDEX(Counterparties!$E:$E,MATCH($F1770&amp;"",Counterparties!$A:$A,0))="Y","Y","N"),"N"))</f>
        <v>N</v>
      </c>
      <c r="R1770" s="25" t="n">
        <f aca="false">IF(OR($H1770="",$H1770="EUR"),1,IFERROR(INDEX(FX_Rates!$D:$D,MATCH($H1770,FX_Rates!$A:$A,0)),""))</f>
        <v>1</v>
      </c>
      <c r="S1770" s="26" t="str">
        <f aca="false">IF(AND($I1770="",$J1770=""),"",IF($J1770&lt;&gt;"",$J1770,IF(OR($R1770="",$R1770=0),"",ROUND($I1770/$R1770,2))))</f>
        <v/>
      </c>
      <c r="T1770" s="24" t="str">
        <f aca="false">IF($N1770="","",IFERROR(INDEX(VAT_Codes!$C:$C,MATCH($N1770,VAT_Codes!$A:$A,0)),"")&amp;"")</f>
        <v/>
      </c>
      <c r="U1770" s="26" t="n">
        <f aca="false">IF(OR($S1770="",$T1770="",$T1770="None"),0,IF($T1770="Output",-$S1770,$S1770))</f>
        <v>0</v>
      </c>
      <c r="V1770" s="27" t="n">
        <f aca="false">IF($N1770="",0,IFERROR(INDEX(VAT_Codes!$D:$D,MATCH($N1770,VAT_Codes!$A:$A,0)),0))</f>
        <v>0</v>
      </c>
      <c r="W1770" s="26" t="n">
        <f aca="false">IF($U1770=0,0,IF(IFERROR(INDEX(VAT_Codes!$F:$F,MATCH($N1770,VAT_Codes!$A:$A,0)),"N")="Y",$U1770,IF($L1770&lt;&gt;"",ROUND(ABS($L1770)/IF(OR($R1770="",$R1770=0),1,$R1770),2)*SIGN($U1770),ROUND($U1770*$V1770,2))))</f>
        <v>0</v>
      </c>
      <c r="X1770" s="24" t="str">
        <f aca="false">IF($N1770="","",IFERROR(INDEX(VAT_Codes!$H:$H,MATCH($N1770,VAT_Codes!$A:$A,0)),"")&amp;"")</f>
        <v/>
      </c>
      <c r="Y1770" s="24" t="str">
        <f aca="false">IF($A1770="","",(YEAR($A1770)-YEAR(Settings!$C$8))*12+MONTH($A1770)-MONTH(Settings!$C$8)+1)</f>
        <v/>
      </c>
      <c r="Z1770" s="24" t="str">
        <f aca="false">IF(AND($C1770="",$I1770="",$J1770=""),"",IF($N1770="","NO VAT CODE",IF($T1770="","UNKNOWN VAT CODE",IF($S1770="","MISSING FX RATE",IF(OR($A1770&lt;Settings!$C$8,$A1770&gt;Settings!$C$9),"OUTSIDE PERIOD",IF(AND(IFERROR(INDEX(VAT_Codes!$E:$E,MATCH($N1770,VAT_Codes!$A:$A,0)),"ANY")&lt;&gt;"ANY",$P1770=""),"MISSING COUNTERPARTY COUNTRY",IF(AND(IFERROR(INDEX(VAT_Codes!$E:$E,MATCH($N1770,VAT_Codes!$A:$A,0)),"ANY")&lt;&gt;"ANY",$P1770&lt;&gt;IFERROR(INDEX(VAT_Codes!$E:$E,MATCH($N1770,VAT_Codes!$A:$A,0)),"ANY")),"REGION MISMATCH","OK")))))))</f>
        <v/>
      </c>
    </row>
    <row r="1771" customFormat="false" ht="15" hidden="false" customHeight="false" outlineLevel="0" collapsed="false">
      <c r="M1771" s="24" t="str">
        <f aca="false">IF($C1771="","",IFERROR(INDEX(Account_Mapping!$C:$C,MATCH($C1771&amp;"",Account_Mapping!$A:$A,0))&amp;"",""))</f>
        <v/>
      </c>
      <c r="N1771" s="24" t="str">
        <f aca="false">IF($K1771&lt;&gt;"",$K1771,$M1771)</f>
        <v/>
      </c>
      <c r="O1771" s="24" t="str">
        <f aca="false">IF($F1771="","",IFERROR(INDEX(Counterparties!$C:$C,MATCH($F1771&amp;"",Counterparties!$A:$A,0))&amp;"",""))</f>
        <v/>
      </c>
      <c r="P1771" s="24" t="str">
        <f aca="false">IF($O1771="","",IF($O1771="CY","CY",IF(ISNUMBER(MATCH($O1771,Lists!$A:$A,0)),"EU","3RD")))</f>
        <v/>
      </c>
      <c r="Q1771" s="24" t="str">
        <f aca="false">IF($F1771="","N",IFERROR(IF(INDEX(Counterparties!$E:$E,MATCH($F1771&amp;"",Counterparties!$A:$A,0))="Y","Y","N"),"N"))</f>
        <v>N</v>
      </c>
      <c r="R1771" s="25" t="n">
        <f aca="false">IF(OR($H1771="",$H1771="EUR"),1,IFERROR(INDEX(FX_Rates!$D:$D,MATCH($H1771,FX_Rates!$A:$A,0)),""))</f>
        <v>1</v>
      </c>
      <c r="S1771" s="26" t="str">
        <f aca="false">IF(AND($I1771="",$J1771=""),"",IF($J1771&lt;&gt;"",$J1771,IF(OR($R1771="",$R1771=0),"",ROUND($I1771/$R1771,2))))</f>
        <v/>
      </c>
      <c r="T1771" s="24" t="str">
        <f aca="false">IF($N1771="","",IFERROR(INDEX(VAT_Codes!$C:$C,MATCH($N1771,VAT_Codes!$A:$A,0)),"")&amp;"")</f>
        <v/>
      </c>
      <c r="U1771" s="26" t="n">
        <f aca="false">IF(OR($S1771="",$T1771="",$T1771="None"),0,IF($T1771="Output",-$S1771,$S1771))</f>
        <v>0</v>
      </c>
      <c r="V1771" s="27" t="n">
        <f aca="false">IF($N1771="",0,IFERROR(INDEX(VAT_Codes!$D:$D,MATCH($N1771,VAT_Codes!$A:$A,0)),0))</f>
        <v>0</v>
      </c>
      <c r="W1771" s="26" t="n">
        <f aca="false">IF($U1771=0,0,IF(IFERROR(INDEX(VAT_Codes!$F:$F,MATCH($N1771,VAT_Codes!$A:$A,0)),"N")="Y",$U1771,IF($L1771&lt;&gt;"",ROUND(ABS($L1771)/IF(OR($R1771="",$R1771=0),1,$R1771),2)*SIGN($U1771),ROUND($U1771*$V1771,2))))</f>
        <v>0</v>
      </c>
      <c r="X1771" s="24" t="str">
        <f aca="false">IF($N1771="","",IFERROR(INDEX(VAT_Codes!$H:$H,MATCH($N1771,VAT_Codes!$A:$A,0)),"")&amp;"")</f>
        <v/>
      </c>
      <c r="Y1771" s="24" t="str">
        <f aca="false">IF($A1771="","",(YEAR($A1771)-YEAR(Settings!$C$8))*12+MONTH($A1771)-MONTH(Settings!$C$8)+1)</f>
        <v/>
      </c>
      <c r="Z1771" s="24" t="str">
        <f aca="false">IF(AND($C1771="",$I1771="",$J1771=""),"",IF($N1771="","NO VAT CODE",IF($T1771="","UNKNOWN VAT CODE",IF($S1771="","MISSING FX RATE",IF(OR($A1771&lt;Settings!$C$8,$A1771&gt;Settings!$C$9),"OUTSIDE PERIOD",IF(AND(IFERROR(INDEX(VAT_Codes!$E:$E,MATCH($N1771,VAT_Codes!$A:$A,0)),"ANY")&lt;&gt;"ANY",$P1771=""),"MISSING COUNTERPARTY COUNTRY",IF(AND(IFERROR(INDEX(VAT_Codes!$E:$E,MATCH($N1771,VAT_Codes!$A:$A,0)),"ANY")&lt;&gt;"ANY",$P1771&lt;&gt;IFERROR(INDEX(VAT_Codes!$E:$E,MATCH($N1771,VAT_Codes!$A:$A,0)),"ANY")),"REGION MISMATCH","OK")))))))</f>
        <v/>
      </c>
    </row>
    <row r="1772" customFormat="false" ht="15" hidden="false" customHeight="false" outlineLevel="0" collapsed="false">
      <c r="M1772" s="24" t="str">
        <f aca="false">IF($C1772="","",IFERROR(INDEX(Account_Mapping!$C:$C,MATCH($C1772&amp;"",Account_Mapping!$A:$A,0))&amp;"",""))</f>
        <v/>
      </c>
      <c r="N1772" s="24" t="str">
        <f aca="false">IF($K1772&lt;&gt;"",$K1772,$M1772)</f>
        <v/>
      </c>
      <c r="O1772" s="24" t="str">
        <f aca="false">IF($F1772="","",IFERROR(INDEX(Counterparties!$C:$C,MATCH($F1772&amp;"",Counterparties!$A:$A,0))&amp;"",""))</f>
        <v/>
      </c>
      <c r="P1772" s="24" t="str">
        <f aca="false">IF($O1772="","",IF($O1772="CY","CY",IF(ISNUMBER(MATCH($O1772,Lists!$A:$A,0)),"EU","3RD")))</f>
        <v/>
      </c>
      <c r="Q1772" s="24" t="str">
        <f aca="false">IF($F1772="","N",IFERROR(IF(INDEX(Counterparties!$E:$E,MATCH($F1772&amp;"",Counterparties!$A:$A,0))="Y","Y","N"),"N"))</f>
        <v>N</v>
      </c>
      <c r="R1772" s="25" t="n">
        <f aca="false">IF(OR($H1772="",$H1772="EUR"),1,IFERROR(INDEX(FX_Rates!$D:$D,MATCH($H1772,FX_Rates!$A:$A,0)),""))</f>
        <v>1</v>
      </c>
      <c r="S1772" s="26" t="str">
        <f aca="false">IF(AND($I1772="",$J1772=""),"",IF($J1772&lt;&gt;"",$J1772,IF(OR($R1772="",$R1772=0),"",ROUND($I1772/$R1772,2))))</f>
        <v/>
      </c>
      <c r="T1772" s="24" t="str">
        <f aca="false">IF($N1772="","",IFERROR(INDEX(VAT_Codes!$C:$C,MATCH($N1772,VAT_Codes!$A:$A,0)),"")&amp;"")</f>
        <v/>
      </c>
      <c r="U1772" s="26" t="n">
        <f aca="false">IF(OR($S1772="",$T1772="",$T1772="None"),0,IF($T1772="Output",-$S1772,$S1772))</f>
        <v>0</v>
      </c>
      <c r="V1772" s="27" t="n">
        <f aca="false">IF($N1772="",0,IFERROR(INDEX(VAT_Codes!$D:$D,MATCH($N1772,VAT_Codes!$A:$A,0)),0))</f>
        <v>0</v>
      </c>
      <c r="W1772" s="26" t="n">
        <f aca="false">IF($U1772=0,0,IF(IFERROR(INDEX(VAT_Codes!$F:$F,MATCH($N1772,VAT_Codes!$A:$A,0)),"N")="Y",$U1772,IF($L1772&lt;&gt;"",ROUND(ABS($L1772)/IF(OR($R1772="",$R1772=0),1,$R1772),2)*SIGN($U1772),ROUND($U1772*$V1772,2))))</f>
        <v>0</v>
      </c>
      <c r="X1772" s="24" t="str">
        <f aca="false">IF($N1772="","",IFERROR(INDEX(VAT_Codes!$H:$H,MATCH($N1772,VAT_Codes!$A:$A,0)),"")&amp;"")</f>
        <v/>
      </c>
      <c r="Y1772" s="24" t="str">
        <f aca="false">IF($A1772="","",(YEAR($A1772)-YEAR(Settings!$C$8))*12+MONTH($A1772)-MONTH(Settings!$C$8)+1)</f>
        <v/>
      </c>
      <c r="Z1772" s="24" t="str">
        <f aca="false">IF(AND($C1772="",$I1772="",$J1772=""),"",IF($N1772="","NO VAT CODE",IF($T1772="","UNKNOWN VAT CODE",IF($S1772="","MISSING FX RATE",IF(OR($A1772&lt;Settings!$C$8,$A1772&gt;Settings!$C$9),"OUTSIDE PERIOD",IF(AND(IFERROR(INDEX(VAT_Codes!$E:$E,MATCH($N1772,VAT_Codes!$A:$A,0)),"ANY")&lt;&gt;"ANY",$P1772=""),"MISSING COUNTERPARTY COUNTRY",IF(AND(IFERROR(INDEX(VAT_Codes!$E:$E,MATCH($N1772,VAT_Codes!$A:$A,0)),"ANY")&lt;&gt;"ANY",$P1772&lt;&gt;IFERROR(INDEX(VAT_Codes!$E:$E,MATCH($N1772,VAT_Codes!$A:$A,0)),"ANY")),"REGION MISMATCH","OK")))))))</f>
        <v/>
      </c>
    </row>
    <row r="1773" customFormat="false" ht="15" hidden="false" customHeight="false" outlineLevel="0" collapsed="false">
      <c r="M1773" s="24" t="str">
        <f aca="false">IF($C1773="","",IFERROR(INDEX(Account_Mapping!$C:$C,MATCH($C1773&amp;"",Account_Mapping!$A:$A,0))&amp;"",""))</f>
        <v/>
      </c>
      <c r="N1773" s="24" t="str">
        <f aca="false">IF($K1773&lt;&gt;"",$K1773,$M1773)</f>
        <v/>
      </c>
      <c r="O1773" s="24" t="str">
        <f aca="false">IF($F1773="","",IFERROR(INDEX(Counterparties!$C:$C,MATCH($F1773&amp;"",Counterparties!$A:$A,0))&amp;"",""))</f>
        <v/>
      </c>
      <c r="P1773" s="24" t="str">
        <f aca="false">IF($O1773="","",IF($O1773="CY","CY",IF(ISNUMBER(MATCH($O1773,Lists!$A:$A,0)),"EU","3RD")))</f>
        <v/>
      </c>
      <c r="Q1773" s="24" t="str">
        <f aca="false">IF($F1773="","N",IFERROR(IF(INDEX(Counterparties!$E:$E,MATCH($F1773&amp;"",Counterparties!$A:$A,0))="Y","Y","N"),"N"))</f>
        <v>N</v>
      </c>
      <c r="R1773" s="25" t="n">
        <f aca="false">IF(OR($H1773="",$H1773="EUR"),1,IFERROR(INDEX(FX_Rates!$D:$D,MATCH($H1773,FX_Rates!$A:$A,0)),""))</f>
        <v>1</v>
      </c>
      <c r="S1773" s="26" t="str">
        <f aca="false">IF(AND($I1773="",$J1773=""),"",IF($J1773&lt;&gt;"",$J1773,IF(OR($R1773="",$R1773=0),"",ROUND($I1773/$R1773,2))))</f>
        <v/>
      </c>
      <c r="T1773" s="24" t="str">
        <f aca="false">IF($N1773="","",IFERROR(INDEX(VAT_Codes!$C:$C,MATCH($N1773,VAT_Codes!$A:$A,0)),"")&amp;"")</f>
        <v/>
      </c>
      <c r="U1773" s="26" t="n">
        <f aca="false">IF(OR($S1773="",$T1773="",$T1773="None"),0,IF($T1773="Output",-$S1773,$S1773))</f>
        <v>0</v>
      </c>
      <c r="V1773" s="27" t="n">
        <f aca="false">IF($N1773="",0,IFERROR(INDEX(VAT_Codes!$D:$D,MATCH($N1773,VAT_Codes!$A:$A,0)),0))</f>
        <v>0</v>
      </c>
      <c r="W1773" s="26" t="n">
        <f aca="false">IF($U1773=0,0,IF(IFERROR(INDEX(VAT_Codes!$F:$F,MATCH($N1773,VAT_Codes!$A:$A,0)),"N")="Y",$U1773,IF($L1773&lt;&gt;"",ROUND(ABS($L1773)/IF(OR($R1773="",$R1773=0),1,$R1773),2)*SIGN($U1773),ROUND($U1773*$V1773,2))))</f>
        <v>0</v>
      </c>
      <c r="X1773" s="24" t="str">
        <f aca="false">IF($N1773="","",IFERROR(INDEX(VAT_Codes!$H:$H,MATCH($N1773,VAT_Codes!$A:$A,0)),"")&amp;"")</f>
        <v/>
      </c>
      <c r="Y1773" s="24" t="str">
        <f aca="false">IF($A1773="","",(YEAR($A1773)-YEAR(Settings!$C$8))*12+MONTH($A1773)-MONTH(Settings!$C$8)+1)</f>
        <v/>
      </c>
      <c r="Z1773" s="24" t="str">
        <f aca="false">IF(AND($C1773="",$I1773="",$J1773=""),"",IF($N1773="","NO VAT CODE",IF($T1773="","UNKNOWN VAT CODE",IF($S1773="","MISSING FX RATE",IF(OR($A1773&lt;Settings!$C$8,$A1773&gt;Settings!$C$9),"OUTSIDE PERIOD",IF(AND(IFERROR(INDEX(VAT_Codes!$E:$E,MATCH($N1773,VAT_Codes!$A:$A,0)),"ANY")&lt;&gt;"ANY",$P1773=""),"MISSING COUNTERPARTY COUNTRY",IF(AND(IFERROR(INDEX(VAT_Codes!$E:$E,MATCH($N1773,VAT_Codes!$A:$A,0)),"ANY")&lt;&gt;"ANY",$P1773&lt;&gt;IFERROR(INDEX(VAT_Codes!$E:$E,MATCH($N1773,VAT_Codes!$A:$A,0)),"ANY")),"REGION MISMATCH","OK")))))))</f>
        <v/>
      </c>
    </row>
    <row r="1774" customFormat="false" ht="15" hidden="false" customHeight="false" outlineLevel="0" collapsed="false">
      <c r="M1774" s="24" t="str">
        <f aca="false">IF($C1774="","",IFERROR(INDEX(Account_Mapping!$C:$C,MATCH($C1774&amp;"",Account_Mapping!$A:$A,0))&amp;"",""))</f>
        <v/>
      </c>
      <c r="N1774" s="24" t="str">
        <f aca="false">IF($K1774&lt;&gt;"",$K1774,$M1774)</f>
        <v/>
      </c>
      <c r="O1774" s="24" t="str">
        <f aca="false">IF($F1774="","",IFERROR(INDEX(Counterparties!$C:$C,MATCH($F1774&amp;"",Counterparties!$A:$A,0))&amp;"",""))</f>
        <v/>
      </c>
      <c r="P1774" s="24" t="str">
        <f aca="false">IF($O1774="","",IF($O1774="CY","CY",IF(ISNUMBER(MATCH($O1774,Lists!$A:$A,0)),"EU","3RD")))</f>
        <v/>
      </c>
      <c r="Q1774" s="24" t="str">
        <f aca="false">IF($F1774="","N",IFERROR(IF(INDEX(Counterparties!$E:$E,MATCH($F1774&amp;"",Counterparties!$A:$A,0))="Y","Y","N"),"N"))</f>
        <v>N</v>
      </c>
      <c r="R1774" s="25" t="n">
        <f aca="false">IF(OR($H1774="",$H1774="EUR"),1,IFERROR(INDEX(FX_Rates!$D:$D,MATCH($H1774,FX_Rates!$A:$A,0)),""))</f>
        <v>1</v>
      </c>
      <c r="S1774" s="26" t="str">
        <f aca="false">IF(AND($I1774="",$J1774=""),"",IF($J1774&lt;&gt;"",$J1774,IF(OR($R1774="",$R1774=0),"",ROUND($I1774/$R1774,2))))</f>
        <v/>
      </c>
      <c r="T1774" s="24" t="str">
        <f aca="false">IF($N1774="","",IFERROR(INDEX(VAT_Codes!$C:$C,MATCH($N1774,VAT_Codes!$A:$A,0)),"")&amp;"")</f>
        <v/>
      </c>
      <c r="U1774" s="26" t="n">
        <f aca="false">IF(OR($S1774="",$T1774="",$T1774="None"),0,IF($T1774="Output",-$S1774,$S1774))</f>
        <v>0</v>
      </c>
      <c r="V1774" s="27" t="n">
        <f aca="false">IF($N1774="",0,IFERROR(INDEX(VAT_Codes!$D:$D,MATCH($N1774,VAT_Codes!$A:$A,0)),0))</f>
        <v>0</v>
      </c>
      <c r="W1774" s="26" t="n">
        <f aca="false">IF($U1774=0,0,IF(IFERROR(INDEX(VAT_Codes!$F:$F,MATCH($N1774,VAT_Codes!$A:$A,0)),"N")="Y",$U1774,IF($L1774&lt;&gt;"",ROUND(ABS($L1774)/IF(OR($R1774="",$R1774=0),1,$R1774),2)*SIGN($U1774),ROUND($U1774*$V1774,2))))</f>
        <v>0</v>
      </c>
      <c r="X1774" s="24" t="str">
        <f aca="false">IF($N1774="","",IFERROR(INDEX(VAT_Codes!$H:$H,MATCH($N1774,VAT_Codes!$A:$A,0)),"")&amp;"")</f>
        <v/>
      </c>
      <c r="Y1774" s="24" t="str">
        <f aca="false">IF($A1774="","",(YEAR($A1774)-YEAR(Settings!$C$8))*12+MONTH($A1774)-MONTH(Settings!$C$8)+1)</f>
        <v/>
      </c>
      <c r="Z1774" s="24" t="str">
        <f aca="false">IF(AND($C1774="",$I1774="",$J1774=""),"",IF($N1774="","NO VAT CODE",IF($T1774="","UNKNOWN VAT CODE",IF($S1774="","MISSING FX RATE",IF(OR($A1774&lt;Settings!$C$8,$A1774&gt;Settings!$C$9),"OUTSIDE PERIOD",IF(AND(IFERROR(INDEX(VAT_Codes!$E:$E,MATCH($N1774,VAT_Codes!$A:$A,0)),"ANY")&lt;&gt;"ANY",$P1774=""),"MISSING COUNTERPARTY COUNTRY",IF(AND(IFERROR(INDEX(VAT_Codes!$E:$E,MATCH($N1774,VAT_Codes!$A:$A,0)),"ANY")&lt;&gt;"ANY",$P1774&lt;&gt;IFERROR(INDEX(VAT_Codes!$E:$E,MATCH($N1774,VAT_Codes!$A:$A,0)),"ANY")),"REGION MISMATCH","OK")))))))</f>
        <v/>
      </c>
    </row>
    <row r="1775" customFormat="false" ht="15" hidden="false" customHeight="false" outlineLevel="0" collapsed="false">
      <c r="M1775" s="24" t="str">
        <f aca="false">IF($C1775="","",IFERROR(INDEX(Account_Mapping!$C:$C,MATCH($C1775&amp;"",Account_Mapping!$A:$A,0))&amp;"",""))</f>
        <v/>
      </c>
      <c r="N1775" s="24" t="str">
        <f aca="false">IF($K1775&lt;&gt;"",$K1775,$M1775)</f>
        <v/>
      </c>
      <c r="O1775" s="24" t="str">
        <f aca="false">IF($F1775="","",IFERROR(INDEX(Counterparties!$C:$C,MATCH($F1775&amp;"",Counterparties!$A:$A,0))&amp;"",""))</f>
        <v/>
      </c>
      <c r="P1775" s="24" t="str">
        <f aca="false">IF($O1775="","",IF($O1775="CY","CY",IF(ISNUMBER(MATCH($O1775,Lists!$A:$A,0)),"EU","3RD")))</f>
        <v/>
      </c>
      <c r="Q1775" s="24" t="str">
        <f aca="false">IF($F1775="","N",IFERROR(IF(INDEX(Counterparties!$E:$E,MATCH($F1775&amp;"",Counterparties!$A:$A,0))="Y","Y","N"),"N"))</f>
        <v>N</v>
      </c>
      <c r="R1775" s="25" t="n">
        <f aca="false">IF(OR($H1775="",$H1775="EUR"),1,IFERROR(INDEX(FX_Rates!$D:$D,MATCH($H1775,FX_Rates!$A:$A,0)),""))</f>
        <v>1</v>
      </c>
      <c r="S1775" s="26" t="str">
        <f aca="false">IF(AND($I1775="",$J1775=""),"",IF($J1775&lt;&gt;"",$J1775,IF(OR($R1775="",$R1775=0),"",ROUND($I1775/$R1775,2))))</f>
        <v/>
      </c>
      <c r="T1775" s="24" t="str">
        <f aca="false">IF($N1775="","",IFERROR(INDEX(VAT_Codes!$C:$C,MATCH($N1775,VAT_Codes!$A:$A,0)),"")&amp;"")</f>
        <v/>
      </c>
      <c r="U1775" s="26" t="n">
        <f aca="false">IF(OR($S1775="",$T1775="",$T1775="None"),0,IF($T1775="Output",-$S1775,$S1775))</f>
        <v>0</v>
      </c>
      <c r="V1775" s="27" t="n">
        <f aca="false">IF($N1775="",0,IFERROR(INDEX(VAT_Codes!$D:$D,MATCH($N1775,VAT_Codes!$A:$A,0)),0))</f>
        <v>0</v>
      </c>
      <c r="W1775" s="26" t="n">
        <f aca="false">IF($U1775=0,0,IF(IFERROR(INDEX(VAT_Codes!$F:$F,MATCH($N1775,VAT_Codes!$A:$A,0)),"N")="Y",$U1775,IF($L1775&lt;&gt;"",ROUND(ABS($L1775)/IF(OR($R1775="",$R1775=0),1,$R1775),2)*SIGN($U1775),ROUND($U1775*$V1775,2))))</f>
        <v>0</v>
      </c>
      <c r="X1775" s="24" t="str">
        <f aca="false">IF($N1775="","",IFERROR(INDEX(VAT_Codes!$H:$H,MATCH($N1775,VAT_Codes!$A:$A,0)),"")&amp;"")</f>
        <v/>
      </c>
      <c r="Y1775" s="24" t="str">
        <f aca="false">IF($A1775="","",(YEAR($A1775)-YEAR(Settings!$C$8))*12+MONTH($A1775)-MONTH(Settings!$C$8)+1)</f>
        <v/>
      </c>
      <c r="Z1775" s="24" t="str">
        <f aca="false">IF(AND($C1775="",$I1775="",$J1775=""),"",IF($N1775="","NO VAT CODE",IF($T1775="","UNKNOWN VAT CODE",IF($S1775="","MISSING FX RATE",IF(OR($A1775&lt;Settings!$C$8,$A1775&gt;Settings!$C$9),"OUTSIDE PERIOD",IF(AND(IFERROR(INDEX(VAT_Codes!$E:$E,MATCH($N1775,VAT_Codes!$A:$A,0)),"ANY")&lt;&gt;"ANY",$P1775=""),"MISSING COUNTERPARTY COUNTRY",IF(AND(IFERROR(INDEX(VAT_Codes!$E:$E,MATCH($N1775,VAT_Codes!$A:$A,0)),"ANY")&lt;&gt;"ANY",$P1775&lt;&gt;IFERROR(INDEX(VAT_Codes!$E:$E,MATCH($N1775,VAT_Codes!$A:$A,0)),"ANY")),"REGION MISMATCH","OK")))))))</f>
        <v/>
      </c>
    </row>
    <row r="1776" customFormat="false" ht="15" hidden="false" customHeight="false" outlineLevel="0" collapsed="false">
      <c r="M1776" s="24" t="str">
        <f aca="false">IF($C1776="","",IFERROR(INDEX(Account_Mapping!$C:$C,MATCH($C1776&amp;"",Account_Mapping!$A:$A,0))&amp;"",""))</f>
        <v/>
      </c>
      <c r="N1776" s="24" t="str">
        <f aca="false">IF($K1776&lt;&gt;"",$K1776,$M1776)</f>
        <v/>
      </c>
      <c r="O1776" s="24" t="str">
        <f aca="false">IF($F1776="","",IFERROR(INDEX(Counterparties!$C:$C,MATCH($F1776&amp;"",Counterparties!$A:$A,0))&amp;"",""))</f>
        <v/>
      </c>
      <c r="P1776" s="24" t="str">
        <f aca="false">IF($O1776="","",IF($O1776="CY","CY",IF(ISNUMBER(MATCH($O1776,Lists!$A:$A,0)),"EU","3RD")))</f>
        <v/>
      </c>
      <c r="Q1776" s="24" t="str">
        <f aca="false">IF($F1776="","N",IFERROR(IF(INDEX(Counterparties!$E:$E,MATCH($F1776&amp;"",Counterparties!$A:$A,0))="Y","Y","N"),"N"))</f>
        <v>N</v>
      </c>
      <c r="R1776" s="25" t="n">
        <f aca="false">IF(OR($H1776="",$H1776="EUR"),1,IFERROR(INDEX(FX_Rates!$D:$D,MATCH($H1776,FX_Rates!$A:$A,0)),""))</f>
        <v>1</v>
      </c>
      <c r="S1776" s="26" t="str">
        <f aca="false">IF(AND($I1776="",$J1776=""),"",IF($J1776&lt;&gt;"",$J1776,IF(OR($R1776="",$R1776=0),"",ROUND($I1776/$R1776,2))))</f>
        <v/>
      </c>
      <c r="T1776" s="24" t="str">
        <f aca="false">IF($N1776="","",IFERROR(INDEX(VAT_Codes!$C:$C,MATCH($N1776,VAT_Codes!$A:$A,0)),"")&amp;"")</f>
        <v/>
      </c>
      <c r="U1776" s="26" t="n">
        <f aca="false">IF(OR($S1776="",$T1776="",$T1776="None"),0,IF($T1776="Output",-$S1776,$S1776))</f>
        <v>0</v>
      </c>
      <c r="V1776" s="27" t="n">
        <f aca="false">IF($N1776="",0,IFERROR(INDEX(VAT_Codes!$D:$D,MATCH($N1776,VAT_Codes!$A:$A,0)),0))</f>
        <v>0</v>
      </c>
      <c r="W1776" s="26" t="n">
        <f aca="false">IF($U1776=0,0,IF(IFERROR(INDEX(VAT_Codes!$F:$F,MATCH($N1776,VAT_Codes!$A:$A,0)),"N")="Y",$U1776,IF($L1776&lt;&gt;"",ROUND(ABS($L1776)/IF(OR($R1776="",$R1776=0),1,$R1776),2)*SIGN($U1776),ROUND($U1776*$V1776,2))))</f>
        <v>0</v>
      </c>
      <c r="X1776" s="24" t="str">
        <f aca="false">IF($N1776="","",IFERROR(INDEX(VAT_Codes!$H:$H,MATCH($N1776,VAT_Codes!$A:$A,0)),"")&amp;"")</f>
        <v/>
      </c>
      <c r="Y1776" s="24" t="str">
        <f aca="false">IF($A1776="","",(YEAR($A1776)-YEAR(Settings!$C$8))*12+MONTH($A1776)-MONTH(Settings!$C$8)+1)</f>
        <v/>
      </c>
      <c r="Z1776" s="24" t="str">
        <f aca="false">IF(AND($C1776="",$I1776="",$J1776=""),"",IF($N1776="","NO VAT CODE",IF($T1776="","UNKNOWN VAT CODE",IF($S1776="","MISSING FX RATE",IF(OR($A1776&lt;Settings!$C$8,$A1776&gt;Settings!$C$9),"OUTSIDE PERIOD",IF(AND(IFERROR(INDEX(VAT_Codes!$E:$E,MATCH($N1776,VAT_Codes!$A:$A,0)),"ANY")&lt;&gt;"ANY",$P1776=""),"MISSING COUNTERPARTY COUNTRY",IF(AND(IFERROR(INDEX(VAT_Codes!$E:$E,MATCH($N1776,VAT_Codes!$A:$A,0)),"ANY")&lt;&gt;"ANY",$P1776&lt;&gt;IFERROR(INDEX(VAT_Codes!$E:$E,MATCH($N1776,VAT_Codes!$A:$A,0)),"ANY")),"REGION MISMATCH","OK")))))))</f>
        <v/>
      </c>
    </row>
    <row r="1777" customFormat="false" ht="15" hidden="false" customHeight="false" outlineLevel="0" collapsed="false">
      <c r="M1777" s="24" t="str">
        <f aca="false">IF($C1777="","",IFERROR(INDEX(Account_Mapping!$C:$C,MATCH($C1777&amp;"",Account_Mapping!$A:$A,0))&amp;"",""))</f>
        <v/>
      </c>
      <c r="N1777" s="24" t="str">
        <f aca="false">IF($K1777&lt;&gt;"",$K1777,$M1777)</f>
        <v/>
      </c>
      <c r="O1777" s="24" t="str">
        <f aca="false">IF($F1777="","",IFERROR(INDEX(Counterparties!$C:$C,MATCH($F1777&amp;"",Counterparties!$A:$A,0))&amp;"",""))</f>
        <v/>
      </c>
      <c r="P1777" s="24" t="str">
        <f aca="false">IF($O1777="","",IF($O1777="CY","CY",IF(ISNUMBER(MATCH($O1777,Lists!$A:$A,0)),"EU","3RD")))</f>
        <v/>
      </c>
      <c r="Q1777" s="24" t="str">
        <f aca="false">IF($F1777="","N",IFERROR(IF(INDEX(Counterparties!$E:$E,MATCH($F1777&amp;"",Counterparties!$A:$A,0))="Y","Y","N"),"N"))</f>
        <v>N</v>
      </c>
      <c r="R1777" s="25" t="n">
        <f aca="false">IF(OR($H1777="",$H1777="EUR"),1,IFERROR(INDEX(FX_Rates!$D:$D,MATCH($H1777,FX_Rates!$A:$A,0)),""))</f>
        <v>1</v>
      </c>
      <c r="S1777" s="26" t="str">
        <f aca="false">IF(AND($I1777="",$J1777=""),"",IF($J1777&lt;&gt;"",$J1777,IF(OR($R1777="",$R1777=0),"",ROUND($I1777/$R1777,2))))</f>
        <v/>
      </c>
      <c r="T1777" s="24" t="str">
        <f aca="false">IF($N1777="","",IFERROR(INDEX(VAT_Codes!$C:$C,MATCH($N1777,VAT_Codes!$A:$A,0)),"")&amp;"")</f>
        <v/>
      </c>
      <c r="U1777" s="26" t="n">
        <f aca="false">IF(OR($S1777="",$T1777="",$T1777="None"),0,IF($T1777="Output",-$S1777,$S1777))</f>
        <v>0</v>
      </c>
      <c r="V1777" s="27" t="n">
        <f aca="false">IF($N1777="",0,IFERROR(INDEX(VAT_Codes!$D:$D,MATCH($N1777,VAT_Codes!$A:$A,0)),0))</f>
        <v>0</v>
      </c>
      <c r="W1777" s="26" t="n">
        <f aca="false">IF($U1777=0,0,IF(IFERROR(INDEX(VAT_Codes!$F:$F,MATCH($N1777,VAT_Codes!$A:$A,0)),"N")="Y",$U1777,IF($L1777&lt;&gt;"",ROUND(ABS($L1777)/IF(OR($R1777="",$R1777=0),1,$R1777),2)*SIGN($U1777),ROUND($U1777*$V1777,2))))</f>
        <v>0</v>
      </c>
      <c r="X1777" s="24" t="str">
        <f aca="false">IF($N1777="","",IFERROR(INDEX(VAT_Codes!$H:$H,MATCH($N1777,VAT_Codes!$A:$A,0)),"")&amp;"")</f>
        <v/>
      </c>
      <c r="Y1777" s="24" t="str">
        <f aca="false">IF($A1777="","",(YEAR($A1777)-YEAR(Settings!$C$8))*12+MONTH($A1777)-MONTH(Settings!$C$8)+1)</f>
        <v/>
      </c>
      <c r="Z1777" s="24" t="str">
        <f aca="false">IF(AND($C1777="",$I1777="",$J1777=""),"",IF($N1777="","NO VAT CODE",IF($T1777="","UNKNOWN VAT CODE",IF($S1777="","MISSING FX RATE",IF(OR($A1777&lt;Settings!$C$8,$A1777&gt;Settings!$C$9),"OUTSIDE PERIOD",IF(AND(IFERROR(INDEX(VAT_Codes!$E:$E,MATCH($N1777,VAT_Codes!$A:$A,0)),"ANY")&lt;&gt;"ANY",$P1777=""),"MISSING COUNTERPARTY COUNTRY",IF(AND(IFERROR(INDEX(VAT_Codes!$E:$E,MATCH($N1777,VAT_Codes!$A:$A,0)),"ANY")&lt;&gt;"ANY",$P1777&lt;&gt;IFERROR(INDEX(VAT_Codes!$E:$E,MATCH($N1777,VAT_Codes!$A:$A,0)),"ANY")),"REGION MISMATCH","OK")))))))</f>
        <v/>
      </c>
    </row>
    <row r="1778" customFormat="false" ht="15" hidden="false" customHeight="false" outlineLevel="0" collapsed="false">
      <c r="M1778" s="24" t="str">
        <f aca="false">IF($C1778="","",IFERROR(INDEX(Account_Mapping!$C:$C,MATCH($C1778&amp;"",Account_Mapping!$A:$A,0))&amp;"",""))</f>
        <v/>
      </c>
      <c r="N1778" s="24" t="str">
        <f aca="false">IF($K1778&lt;&gt;"",$K1778,$M1778)</f>
        <v/>
      </c>
      <c r="O1778" s="24" t="str">
        <f aca="false">IF($F1778="","",IFERROR(INDEX(Counterparties!$C:$C,MATCH($F1778&amp;"",Counterparties!$A:$A,0))&amp;"",""))</f>
        <v/>
      </c>
      <c r="P1778" s="24" t="str">
        <f aca="false">IF($O1778="","",IF($O1778="CY","CY",IF(ISNUMBER(MATCH($O1778,Lists!$A:$A,0)),"EU","3RD")))</f>
        <v/>
      </c>
      <c r="Q1778" s="24" t="str">
        <f aca="false">IF($F1778="","N",IFERROR(IF(INDEX(Counterparties!$E:$E,MATCH($F1778&amp;"",Counterparties!$A:$A,0))="Y","Y","N"),"N"))</f>
        <v>N</v>
      </c>
      <c r="R1778" s="25" t="n">
        <f aca="false">IF(OR($H1778="",$H1778="EUR"),1,IFERROR(INDEX(FX_Rates!$D:$D,MATCH($H1778,FX_Rates!$A:$A,0)),""))</f>
        <v>1</v>
      </c>
      <c r="S1778" s="26" t="str">
        <f aca="false">IF(AND($I1778="",$J1778=""),"",IF($J1778&lt;&gt;"",$J1778,IF(OR($R1778="",$R1778=0),"",ROUND($I1778/$R1778,2))))</f>
        <v/>
      </c>
      <c r="T1778" s="24" t="str">
        <f aca="false">IF($N1778="","",IFERROR(INDEX(VAT_Codes!$C:$C,MATCH($N1778,VAT_Codes!$A:$A,0)),"")&amp;"")</f>
        <v/>
      </c>
      <c r="U1778" s="26" t="n">
        <f aca="false">IF(OR($S1778="",$T1778="",$T1778="None"),0,IF($T1778="Output",-$S1778,$S1778))</f>
        <v>0</v>
      </c>
      <c r="V1778" s="27" t="n">
        <f aca="false">IF($N1778="",0,IFERROR(INDEX(VAT_Codes!$D:$D,MATCH($N1778,VAT_Codes!$A:$A,0)),0))</f>
        <v>0</v>
      </c>
      <c r="W1778" s="26" t="n">
        <f aca="false">IF($U1778=0,0,IF(IFERROR(INDEX(VAT_Codes!$F:$F,MATCH($N1778,VAT_Codes!$A:$A,0)),"N")="Y",$U1778,IF($L1778&lt;&gt;"",ROUND(ABS($L1778)/IF(OR($R1778="",$R1778=0),1,$R1778),2)*SIGN($U1778),ROUND($U1778*$V1778,2))))</f>
        <v>0</v>
      </c>
      <c r="X1778" s="24" t="str">
        <f aca="false">IF($N1778="","",IFERROR(INDEX(VAT_Codes!$H:$H,MATCH($N1778,VAT_Codes!$A:$A,0)),"")&amp;"")</f>
        <v/>
      </c>
      <c r="Y1778" s="24" t="str">
        <f aca="false">IF($A1778="","",(YEAR($A1778)-YEAR(Settings!$C$8))*12+MONTH($A1778)-MONTH(Settings!$C$8)+1)</f>
        <v/>
      </c>
      <c r="Z1778" s="24" t="str">
        <f aca="false">IF(AND($C1778="",$I1778="",$J1778=""),"",IF($N1778="","NO VAT CODE",IF($T1778="","UNKNOWN VAT CODE",IF($S1778="","MISSING FX RATE",IF(OR($A1778&lt;Settings!$C$8,$A1778&gt;Settings!$C$9),"OUTSIDE PERIOD",IF(AND(IFERROR(INDEX(VAT_Codes!$E:$E,MATCH($N1778,VAT_Codes!$A:$A,0)),"ANY")&lt;&gt;"ANY",$P1778=""),"MISSING COUNTERPARTY COUNTRY",IF(AND(IFERROR(INDEX(VAT_Codes!$E:$E,MATCH($N1778,VAT_Codes!$A:$A,0)),"ANY")&lt;&gt;"ANY",$P1778&lt;&gt;IFERROR(INDEX(VAT_Codes!$E:$E,MATCH($N1778,VAT_Codes!$A:$A,0)),"ANY")),"REGION MISMATCH","OK")))))))</f>
        <v/>
      </c>
    </row>
    <row r="1779" customFormat="false" ht="15" hidden="false" customHeight="false" outlineLevel="0" collapsed="false">
      <c r="M1779" s="24" t="str">
        <f aca="false">IF($C1779="","",IFERROR(INDEX(Account_Mapping!$C:$C,MATCH($C1779&amp;"",Account_Mapping!$A:$A,0))&amp;"",""))</f>
        <v/>
      </c>
      <c r="N1779" s="24" t="str">
        <f aca="false">IF($K1779&lt;&gt;"",$K1779,$M1779)</f>
        <v/>
      </c>
      <c r="O1779" s="24" t="str">
        <f aca="false">IF($F1779="","",IFERROR(INDEX(Counterparties!$C:$C,MATCH($F1779&amp;"",Counterparties!$A:$A,0))&amp;"",""))</f>
        <v/>
      </c>
      <c r="P1779" s="24" t="str">
        <f aca="false">IF($O1779="","",IF($O1779="CY","CY",IF(ISNUMBER(MATCH($O1779,Lists!$A:$A,0)),"EU","3RD")))</f>
        <v/>
      </c>
      <c r="Q1779" s="24" t="str">
        <f aca="false">IF($F1779="","N",IFERROR(IF(INDEX(Counterparties!$E:$E,MATCH($F1779&amp;"",Counterparties!$A:$A,0))="Y","Y","N"),"N"))</f>
        <v>N</v>
      </c>
      <c r="R1779" s="25" t="n">
        <f aca="false">IF(OR($H1779="",$H1779="EUR"),1,IFERROR(INDEX(FX_Rates!$D:$D,MATCH($H1779,FX_Rates!$A:$A,0)),""))</f>
        <v>1</v>
      </c>
      <c r="S1779" s="26" t="str">
        <f aca="false">IF(AND($I1779="",$J1779=""),"",IF($J1779&lt;&gt;"",$J1779,IF(OR($R1779="",$R1779=0),"",ROUND($I1779/$R1779,2))))</f>
        <v/>
      </c>
      <c r="T1779" s="24" t="str">
        <f aca="false">IF($N1779="","",IFERROR(INDEX(VAT_Codes!$C:$C,MATCH($N1779,VAT_Codes!$A:$A,0)),"")&amp;"")</f>
        <v/>
      </c>
      <c r="U1779" s="26" t="n">
        <f aca="false">IF(OR($S1779="",$T1779="",$T1779="None"),0,IF($T1779="Output",-$S1779,$S1779))</f>
        <v>0</v>
      </c>
      <c r="V1779" s="27" t="n">
        <f aca="false">IF($N1779="",0,IFERROR(INDEX(VAT_Codes!$D:$D,MATCH($N1779,VAT_Codes!$A:$A,0)),0))</f>
        <v>0</v>
      </c>
      <c r="W1779" s="26" t="n">
        <f aca="false">IF($U1779=0,0,IF(IFERROR(INDEX(VAT_Codes!$F:$F,MATCH($N1779,VAT_Codes!$A:$A,0)),"N")="Y",$U1779,IF($L1779&lt;&gt;"",ROUND(ABS($L1779)/IF(OR($R1779="",$R1779=0),1,$R1779),2)*SIGN($U1779),ROUND($U1779*$V1779,2))))</f>
        <v>0</v>
      </c>
      <c r="X1779" s="24" t="str">
        <f aca="false">IF($N1779="","",IFERROR(INDEX(VAT_Codes!$H:$H,MATCH($N1779,VAT_Codes!$A:$A,0)),"")&amp;"")</f>
        <v/>
      </c>
      <c r="Y1779" s="24" t="str">
        <f aca="false">IF($A1779="","",(YEAR($A1779)-YEAR(Settings!$C$8))*12+MONTH($A1779)-MONTH(Settings!$C$8)+1)</f>
        <v/>
      </c>
      <c r="Z1779" s="24" t="str">
        <f aca="false">IF(AND($C1779="",$I1779="",$J1779=""),"",IF($N1779="","NO VAT CODE",IF($T1779="","UNKNOWN VAT CODE",IF($S1779="","MISSING FX RATE",IF(OR($A1779&lt;Settings!$C$8,$A1779&gt;Settings!$C$9),"OUTSIDE PERIOD",IF(AND(IFERROR(INDEX(VAT_Codes!$E:$E,MATCH($N1779,VAT_Codes!$A:$A,0)),"ANY")&lt;&gt;"ANY",$P1779=""),"MISSING COUNTERPARTY COUNTRY",IF(AND(IFERROR(INDEX(VAT_Codes!$E:$E,MATCH($N1779,VAT_Codes!$A:$A,0)),"ANY")&lt;&gt;"ANY",$P1779&lt;&gt;IFERROR(INDEX(VAT_Codes!$E:$E,MATCH($N1779,VAT_Codes!$A:$A,0)),"ANY")),"REGION MISMATCH","OK")))))))</f>
        <v/>
      </c>
    </row>
    <row r="1780" customFormat="false" ht="15" hidden="false" customHeight="false" outlineLevel="0" collapsed="false">
      <c r="M1780" s="24" t="str">
        <f aca="false">IF($C1780="","",IFERROR(INDEX(Account_Mapping!$C:$C,MATCH($C1780&amp;"",Account_Mapping!$A:$A,0))&amp;"",""))</f>
        <v/>
      </c>
      <c r="N1780" s="24" t="str">
        <f aca="false">IF($K1780&lt;&gt;"",$K1780,$M1780)</f>
        <v/>
      </c>
      <c r="O1780" s="24" t="str">
        <f aca="false">IF($F1780="","",IFERROR(INDEX(Counterparties!$C:$C,MATCH($F1780&amp;"",Counterparties!$A:$A,0))&amp;"",""))</f>
        <v/>
      </c>
      <c r="P1780" s="24" t="str">
        <f aca="false">IF($O1780="","",IF($O1780="CY","CY",IF(ISNUMBER(MATCH($O1780,Lists!$A:$A,0)),"EU","3RD")))</f>
        <v/>
      </c>
      <c r="Q1780" s="24" t="str">
        <f aca="false">IF($F1780="","N",IFERROR(IF(INDEX(Counterparties!$E:$E,MATCH($F1780&amp;"",Counterparties!$A:$A,0))="Y","Y","N"),"N"))</f>
        <v>N</v>
      </c>
      <c r="R1780" s="25" t="n">
        <f aca="false">IF(OR($H1780="",$H1780="EUR"),1,IFERROR(INDEX(FX_Rates!$D:$D,MATCH($H1780,FX_Rates!$A:$A,0)),""))</f>
        <v>1</v>
      </c>
      <c r="S1780" s="26" t="str">
        <f aca="false">IF(AND($I1780="",$J1780=""),"",IF($J1780&lt;&gt;"",$J1780,IF(OR($R1780="",$R1780=0),"",ROUND($I1780/$R1780,2))))</f>
        <v/>
      </c>
      <c r="T1780" s="24" t="str">
        <f aca="false">IF($N1780="","",IFERROR(INDEX(VAT_Codes!$C:$C,MATCH($N1780,VAT_Codes!$A:$A,0)),"")&amp;"")</f>
        <v/>
      </c>
      <c r="U1780" s="26" t="n">
        <f aca="false">IF(OR($S1780="",$T1780="",$T1780="None"),0,IF($T1780="Output",-$S1780,$S1780))</f>
        <v>0</v>
      </c>
      <c r="V1780" s="27" t="n">
        <f aca="false">IF($N1780="",0,IFERROR(INDEX(VAT_Codes!$D:$D,MATCH($N1780,VAT_Codes!$A:$A,0)),0))</f>
        <v>0</v>
      </c>
      <c r="W1780" s="26" t="n">
        <f aca="false">IF($U1780=0,0,IF(IFERROR(INDEX(VAT_Codes!$F:$F,MATCH($N1780,VAT_Codes!$A:$A,0)),"N")="Y",$U1780,IF($L1780&lt;&gt;"",ROUND(ABS($L1780)/IF(OR($R1780="",$R1780=0),1,$R1780),2)*SIGN($U1780),ROUND($U1780*$V1780,2))))</f>
        <v>0</v>
      </c>
      <c r="X1780" s="24" t="str">
        <f aca="false">IF($N1780="","",IFERROR(INDEX(VAT_Codes!$H:$H,MATCH($N1780,VAT_Codes!$A:$A,0)),"")&amp;"")</f>
        <v/>
      </c>
      <c r="Y1780" s="24" t="str">
        <f aca="false">IF($A1780="","",(YEAR($A1780)-YEAR(Settings!$C$8))*12+MONTH($A1780)-MONTH(Settings!$C$8)+1)</f>
        <v/>
      </c>
      <c r="Z1780" s="24" t="str">
        <f aca="false">IF(AND($C1780="",$I1780="",$J1780=""),"",IF($N1780="","NO VAT CODE",IF($T1780="","UNKNOWN VAT CODE",IF($S1780="","MISSING FX RATE",IF(OR($A1780&lt;Settings!$C$8,$A1780&gt;Settings!$C$9),"OUTSIDE PERIOD",IF(AND(IFERROR(INDEX(VAT_Codes!$E:$E,MATCH($N1780,VAT_Codes!$A:$A,0)),"ANY")&lt;&gt;"ANY",$P1780=""),"MISSING COUNTERPARTY COUNTRY",IF(AND(IFERROR(INDEX(VAT_Codes!$E:$E,MATCH($N1780,VAT_Codes!$A:$A,0)),"ANY")&lt;&gt;"ANY",$P1780&lt;&gt;IFERROR(INDEX(VAT_Codes!$E:$E,MATCH($N1780,VAT_Codes!$A:$A,0)),"ANY")),"REGION MISMATCH","OK")))))))</f>
        <v/>
      </c>
    </row>
    <row r="1781" customFormat="false" ht="15" hidden="false" customHeight="false" outlineLevel="0" collapsed="false">
      <c r="M1781" s="24" t="str">
        <f aca="false">IF($C1781="","",IFERROR(INDEX(Account_Mapping!$C:$C,MATCH($C1781&amp;"",Account_Mapping!$A:$A,0))&amp;"",""))</f>
        <v/>
      </c>
      <c r="N1781" s="24" t="str">
        <f aca="false">IF($K1781&lt;&gt;"",$K1781,$M1781)</f>
        <v/>
      </c>
      <c r="O1781" s="24" t="str">
        <f aca="false">IF($F1781="","",IFERROR(INDEX(Counterparties!$C:$C,MATCH($F1781&amp;"",Counterparties!$A:$A,0))&amp;"",""))</f>
        <v/>
      </c>
      <c r="P1781" s="24" t="str">
        <f aca="false">IF($O1781="","",IF($O1781="CY","CY",IF(ISNUMBER(MATCH($O1781,Lists!$A:$A,0)),"EU","3RD")))</f>
        <v/>
      </c>
      <c r="Q1781" s="24" t="str">
        <f aca="false">IF($F1781="","N",IFERROR(IF(INDEX(Counterparties!$E:$E,MATCH($F1781&amp;"",Counterparties!$A:$A,0))="Y","Y","N"),"N"))</f>
        <v>N</v>
      </c>
      <c r="R1781" s="25" t="n">
        <f aca="false">IF(OR($H1781="",$H1781="EUR"),1,IFERROR(INDEX(FX_Rates!$D:$D,MATCH($H1781,FX_Rates!$A:$A,0)),""))</f>
        <v>1</v>
      </c>
      <c r="S1781" s="26" t="str">
        <f aca="false">IF(AND($I1781="",$J1781=""),"",IF($J1781&lt;&gt;"",$J1781,IF(OR($R1781="",$R1781=0),"",ROUND($I1781/$R1781,2))))</f>
        <v/>
      </c>
      <c r="T1781" s="24" t="str">
        <f aca="false">IF($N1781="","",IFERROR(INDEX(VAT_Codes!$C:$C,MATCH($N1781,VAT_Codes!$A:$A,0)),"")&amp;"")</f>
        <v/>
      </c>
      <c r="U1781" s="26" t="n">
        <f aca="false">IF(OR($S1781="",$T1781="",$T1781="None"),0,IF($T1781="Output",-$S1781,$S1781))</f>
        <v>0</v>
      </c>
      <c r="V1781" s="27" t="n">
        <f aca="false">IF($N1781="",0,IFERROR(INDEX(VAT_Codes!$D:$D,MATCH($N1781,VAT_Codes!$A:$A,0)),0))</f>
        <v>0</v>
      </c>
      <c r="W1781" s="26" t="n">
        <f aca="false">IF($U1781=0,0,IF(IFERROR(INDEX(VAT_Codes!$F:$F,MATCH($N1781,VAT_Codes!$A:$A,0)),"N")="Y",$U1781,IF($L1781&lt;&gt;"",ROUND(ABS($L1781)/IF(OR($R1781="",$R1781=0),1,$R1781),2)*SIGN($U1781),ROUND($U1781*$V1781,2))))</f>
        <v>0</v>
      </c>
      <c r="X1781" s="24" t="str">
        <f aca="false">IF($N1781="","",IFERROR(INDEX(VAT_Codes!$H:$H,MATCH($N1781,VAT_Codes!$A:$A,0)),"")&amp;"")</f>
        <v/>
      </c>
      <c r="Y1781" s="24" t="str">
        <f aca="false">IF($A1781="","",(YEAR($A1781)-YEAR(Settings!$C$8))*12+MONTH($A1781)-MONTH(Settings!$C$8)+1)</f>
        <v/>
      </c>
      <c r="Z1781" s="24" t="str">
        <f aca="false">IF(AND($C1781="",$I1781="",$J1781=""),"",IF($N1781="","NO VAT CODE",IF($T1781="","UNKNOWN VAT CODE",IF($S1781="","MISSING FX RATE",IF(OR($A1781&lt;Settings!$C$8,$A1781&gt;Settings!$C$9),"OUTSIDE PERIOD",IF(AND(IFERROR(INDEX(VAT_Codes!$E:$E,MATCH($N1781,VAT_Codes!$A:$A,0)),"ANY")&lt;&gt;"ANY",$P1781=""),"MISSING COUNTERPARTY COUNTRY",IF(AND(IFERROR(INDEX(VAT_Codes!$E:$E,MATCH($N1781,VAT_Codes!$A:$A,0)),"ANY")&lt;&gt;"ANY",$P1781&lt;&gt;IFERROR(INDEX(VAT_Codes!$E:$E,MATCH($N1781,VAT_Codes!$A:$A,0)),"ANY")),"REGION MISMATCH","OK")))))))</f>
        <v/>
      </c>
    </row>
    <row r="1782" customFormat="false" ht="15" hidden="false" customHeight="false" outlineLevel="0" collapsed="false">
      <c r="M1782" s="24" t="str">
        <f aca="false">IF($C1782="","",IFERROR(INDEX(Account_Mapping!$C:$C,MATCH($C1782&amp;"",Account_Mapping!$A:$A,0))&amp;"",""))</f>
        <v/>
      </c>
      <c r="N1782" s="24" t="str">
        <f aca="false">IF($K1782&lt;&gt;"",$K1782,$M1782)</f>
        <v/>
      </c>
      <c r="O1782" s="24" t="str">
        <f aca="false">IF($F1782="","",IFERROR(INDEX(Counterparties!$C:$C,MATCH($F1782&amp;"",Counterparties!$A:$A,0))&amp;"",""))</f>
        <v/>
      </c>
      <c r="P1782" s="24" t="str">
        <f aca="false">IF($O1782="","",IF($O1782="CY","CY",IF(ISNUMBER(MATCH($O1782,Lists!$A:$A,0)),"EU","3RD")))</f>
        <v/>
      </c>
      <c r="Q1782" s="24" t="str">
        <f aca="false">IF($F1782="","N",IFERROR(IF(INDEX(Counterparties!$E:$E,MATCH($F1782&amp;"",Counterparties!$A:$A,0))="Y","Y","N"),"N"))</f>
        <v>N</v>
      </c>
      <c r="R1782" s="25" t="n">
        <f aca="false">IF(OR($H1782="",$H1782="EUR"),1,IFERROR(INDEX(FX_Rates!$D:$D,MATCH($H1782,FX_Rates!$A:$A,0)),""))</f>
        <v>1</v>
      </c>
      <c r="S1782" s="26" t="str">
        <f aca="false">IF(AND($I1782="",$J1782=""),"",IF($J1782&lt;&gt;"",$J1782,IF(OR($R1782="",$R1782=0),"",ROUND($I1782/$R1782,2))))</f>
        <v/>
      </c>
      <c r="T1782" s="24" t="str">
        <f aca="false">IF($N1782="","",IFERROR(INDEX(VAT_Codes!$C:$C,MATCH($N1782,VAT_Codes!$A:$A,0)),"")&amp;"")</f>
        <v/>
      </c>
      <c r="U1782" s="26" t="n">
        <f aca="false">IF(OR($S1782="",$T1782="",$T1782="None"),0,IF($T1782="Output",-$S1782,$S1782))</f>
        <v>0</v>
      </c>
      <c r="V1782" s="27" t="n">
        <f aca="false">IF($N1782="",0,IFERROR(INDEX(VAT_Codes!$D:$D,MATCH($N1782,VAT_Codes!$A:$A,0)),0))</f>
        <v>0</v>
      </c>
      <c r="W1782" s="26" t="n">
        <f aca="false">IF($U1782=0,0,IF(IFERROR(INDEX(VAT_Codes!$F:$F,MATCH($N1782,VAT_Codes!$A:$A,0)),"N")="Y",$U1782,IF($L1782&lt;&gt;"",ROUND(ABS($L1782)/IF(OR($R1782="",$R1782=0),1,$R1782),2)*SIGN($U1782),ROUND($U1782*$V1782,2))))</f>
        <v>0</v>
      </c>
      <c r="X1782" s="24" t="str">
        <f aca="false">IF($N1782="","",IFERROR(INDEX(VAT_Codes!$H:$H,MATCH($N1782,VAT_Codes!$A:$A,0)),"")&amp;"")</f>
        <v/>
      </c>
      <c r="Y1782" s="24" t="str">
        <f aca="false">IF($A1782="","",(YEAR($A1782)-YEAR(Settings!$C$8))*12+MONTH($A1782)-MONTH(Settings!$C$8)+1)</f>
        <v/>
      </c>
      <c r="Z1782" s="24" t="str">
        <f aca="false">IF(AND($C1782="",$I1782="",$J1782=""),"",IF($N1782="","NO VAT CODE",IF($T1782="","UNKNOWN VAT CODE",IF($S1782="","MISSING FX RATE",IF(OR($A1782&lt;Settings!$C$8,$A1782&gt;Settings!$C$9),"OUTSIDE PERIOD",IF(AND(IFERROR(INDEX(VAT_Codes!$E:$E,MATCH($N1782,VAT_Codes!$A:$A,0)),"ANY")&lt;&gt;"ANY",$P1782=""),"MISSING COUNTERPARTY COUNTRY",IF(AND(IFERROR(INDEX(VAT_Codes!$E:$E,MATCH($N1782,VAT_Codes!$A:$A,0)),"ANY")&lt;&gt;"ANY",$P1782&lt;&gt;IFERROR(INDEX(VAT_Codes!$E:$E,MATCH($N1782,VAT_Codes!$A:$A,0)),"ANY")),"REGION MISMATCH","OK")))))))</f>
        <v/>
      </c>
    </row>
    <row r="1783" customFormat="false" ht="15" hidden="false" customHeight="false" outlineLevel="0" collapsed="false">
      <c r="M1783" s="24" t="str">
        <f aca="false">IF($C1783="","",IFERROR(INDEX(Account_Mapping!$C:$C,MATCH($C1783&amp;"",Account_Mapping!$A:$A,0))&amp;"",""))</f>
        <v/>
      </c>
      <c r="N1783" s="24" t="str">
        <f aca="false">IF($K1783&lt;&gt;"",$K1783,$M1783)</f>
        <v/>
      </c>
      <c r="O1783" s="24" t="str">
        <f aca="false">IF($F1783="","",IFERROR(INDEX(Counterparties!$C:$C,MATCH($F1783&amp;"",Counterparties!$A:$A,0))&amp;"",""))</f>
        <v/>
      </c>
      <c r="P1783" s="24" t="str">
        <f aca="false">IF($O1783="","",IF($O1783="CY","CY",IF(ISNUMBER(MATCH($O1783,Lists!$A:$A,0)),"EU","3RD")))</f>
        <v/>
      </c>
      <c r="Q1783" s="24" t="str">
        <f aca="false">IF($F1783="","N",IFERROR(IF(INDEX(Counterparties!$E:$E,MATCH($F1783&amp;"",Counterparties!$A:$A,0))="Y","Y","N"),"N"))</f>
        <v>N</v>
      </c>
      <c r="R1783" s="25" t="n">
        <f aca="false">IF(OR($H1783="",$H1783="EUR"),1,IFERROR(INDEX(FX_Rates!$D:$D,MATCH($H1783,FX_Rates!$A:$A,0)),""))</f>
        <v>1</v>
      </c>
      <c r="S1783" s="26" t="str">
        <f aca="false">IF(AND($I1783="",$J1783=""),"",IF($J1783&lt;&gt;"",$J1783,IF(OR($R1783="",$R1783=0),"",ROUND($I1783/$R1783,2))))</f>
        <v/>
      </c>
      <c r="T1783" s="24" t="str">
        <f aca="false">IF($N1783="","",IFERROR(INDEX(VAT_Codes!$C:$C,MATCH($N1783,VAT_Codes!$A:$A,0)),"")&amp;"")</f>
        <v/>
      </c>
      <c r="U1783" s="26" t="n">
        <f aca="false">IF(OR($S1783="",$T1783="",$T1783="None"),0,IF($T1783="Output",-$S1783,$S1783))</f>
        <v>0</v>
      </c>
      <c r="V1783" s="27" t="n">
        <f aca="false">IF($N1783="",0,IFERROR(INDEX(VAT_Codes!$D:$D,MATCH($N1783,VAT_Codes!$A:$A,0)),0))</f>
        <v>0</v>
      </c>
      <c r="W1783" s="26" t="n">
        <f aca="false">IF($U1783=0,0,IF(IFERROR(INDEX(VAT_Codes!$F:$F,MATCH($N1783,VAT_Codes!$A:$A,0)),"N")="Y",$U1783,IF($L1783&lt;&gt;"",ROUND(ABS($L1783)/IF(OR($R1783="",$R1783=0),1,$R1783),2)*SIGN($U1783),ROUND($U1783*$V1783,2))))</f>
        <v>0</v>
      </c>
      <c r="X1783" s="24" t="str">
        <f aca="false">IF($N1783="","",IFERROR(INDEX(VAT_Codes!$H:$H,MATCH($N1783,VAT_Codes!$A:$A,0)),"")&amp;"")</f>
        <v/>
      </c>
      <c r="Y1783" s="24" t="str">
        <f aca="false">IF($A1783="","",(YEAR($A1783)-YEAR(Settings!$C$8))*12+MONTH($A1783)-MONTH(Settings!$C$8)+1)</f>
        <v/>
      </c>
      <c r="Z1783" s="24" t="str">
        <f aca="false">IF(AND($C1783="",$I1783="",$J1783=""),"",IF($N1783="","NO VAT CODE",IF($T1783="","UNKNOWN VAT CODE",IF($S1783="","MISSING FX RATE",IF(OR($A1783&lt;Settings!$C$8,$A1783&gt;Settings!$C$9),"OUTSIDE PERIOD",IF(AND(IFERROR(INDEX(VAT_Codes!$E:$E,MATCH($N1783,VAT_Codes!$A:$A,0)),"ANY")&lt;&gt;"ANY",$P1783=""),"MISSING COUNTERPARTY COUNTRY",IF(AND(IFERROR(INDEX(VAT_Codes!$E:$E,MATCH($N1783,VAT_Codes!$A:$A,0)),"ANY")&lt;&gt;"ANY",$P1783&lt;&gt;IFERROR(INDEX(VAT_Codes!$E:$E,MATCH($N1783,VAT_Codes!$A:$A,0)),"ANY")),"REGION MISMATCH","OK")))))))</f>
        <v/>
      </c>
    </row>
    <row r="1784" customFormat="false" ht="15" hidden="false" customHeight="false" outlineLevel="0" collapsed="false">
      <c r="M1784" s="24" t="str">
        <f aca="false">IF($C1784="","",IFERROR(INDEX(Account_Mapping!$C:$C,MATCH($C1784&amp;"",Account_Mapping!$A:$A,0))&amp;"",""))</f>
        <v/>
      </c>
      <c r="N1784" s="24" t="str">
        <f aca="false">IF($K1784&lt;&gt;"",$K1784,$M1784)</f>
        <v/>
      </c>
      <c r="O1784" s="24" t="str">
        <f aca="false">IF($F1784="","",IFERROR(INDEX(Counterparties!$C:$C,MATCH($F1784&amp;"",Counterparties!$A:$A,0))&amp;"",""))</f>
        <v/>
      </c>
      <c r="P1784" s="24" t="str">
        <f aca="false">IF($O1784="","",IF($O1784="CY","CY",IF(ISNUMBER(MATCH($O1784,Lists!$A:$A,0)),"EU","3RD")))</f>
        <v/>
      </c>
      <c r="Q1784" s="24" t="str">
        <f aca="false">IF($F1784="","N",IFERROR(IF(INDEX(Counterparties!$E:$E,MATCH($F1784&amp;"",Counterparties!$A:$A,0))="Y","Y","N"),"N"))</f>
        <v>N</v>
      </c>
      <c r="R1784" s="25" t="n">
        <f aca="false">IF(OR($H1784="",$H1784="EUR"),1,IFERROR(INDEX(FX_Rates!$D:$D,MATCH($H1784,FX_Rates!$A:$A,0)),""))</f>
        <v>1</v>
      </c>
      <c r="S1784" s="26" t="str">
        <f aca="false">IF(AND($I1784="",$J1784=""),"",IF($J1784&lt;&gt;"",$J1784,IF(OR($R1784="",$R1784=0),"",ROUND($I1784/$R1784,2))))</f>
        <v/>
      </c>
      <c r="T1784" s="24" t="str">
        <f aca="false">IF($N1784="","",IFERROR(INDEX(VAT_Codes!$C:$C,MATCH($N1784,VAT_Codes!$A:$A,0)),"")&amp;"")</f>
        <v/>
      </c>
      <c r="U1784" s="26" t="n">
        <f aca="false">IF(OR($S1784="",$T1784="",$T1784="None"),0,IF($T1784="Output",-$S1784,$S1784))</f>
        <v>0</v>
      </c>
      <c r="V1784" s="27" t="n">
        <f aca="false">IF($N1784="",0,IFERROR(INDEX(VAT_Codes!$D:$D,MATCH($N1784,VAT_Codes!$A:$A,0)),0))</f>
        <v>0</v>
      </c>
      <c r="W1784" s="26" t="n">
        <f aca="false">IF($U1784=0,0,IF(IFERROR(INDEX(VAT_Codes!$F:$F,MATCH($N1784,VAT_Codes!$A:$A,0)),"N")="Y",$U1784,IF($L1784&lt;&gt;"",ROUND(ABS($L1784)/IF(OR($R1784="",$R1784=0),1,$R1784),2)*SIGN($U1784),ROUND($U1784*$V1784,2))))</f>
        <v>0</v>
      </c>
      <c r="X1784" s="24" t="str">
        <f aca="false">IF($N1784="","",IFERROR(INDEX(VAT_Codes!$H:$H,MATCH($N1784,VAT_Codes!$A:$A,0)),"")&amp;"")</f>
        <v/>
      </c>
      <c r="Y1784" s="24" t="str">
        <f aca="false">IF($A1784="","",(YEAR($A1784)-YEAR(Settings!$C$8))*12+MONTH($A1784)-MONTH(Settings!$C$8)+1)</f>
        <v/>
      </c>
      <c r="Z1784" s="24" t="str">
        <f aca="false">IF(AND($C1784="",$I1784="",$J1784=""),"",IF($N1784="","NO VAT CODE",IF($T1784="","UNKNOWN VAT CODE",IF($S1784="","MISSING FX RATE",IF(OR($A1784&lt;Settings!$C$8,$A1784&gt;Settings!$C$9),"OUTSIDE PERIOD",IF(AND(IFERROR(INDEX(VAT_Codes!$E:$E,MATCH($N1784,VAT_Codes!$A:$A,0)),"ANY")&lt;&gt;"ANY",$P1784=""),"MISSING COUNTERPARTY COUNTRY",IF(AND(IFERROR(INDEX(VAT_Codes!$E:$E,MATCH($N1784,VAT_Codes!$A:$A,0)),"ANY")&lt;&gt;"ANY",$P1784&lt;&gt;IFERROR(INDEX(VAT_Codes!$E:$E,MATCH($N1784,VAT_Codes!$A:$A,0)),"ANY")),"REGION MISMATCH","OK")))))))</f>
        <v/>
      </c>
    </row>
    <row r="1785" customFormat="false" ht="15" hidden="false" customHeight="false" outlineLevel="0" collapsed="false">
      <c r="M1785" s="24" t="str">
        <f aca="false">IF($C1785="","",IFERROR(INDEX(Account_Mapping!$C:$C,MATCH($C1785&amp;"",Account_Mapping!$A:$A,0))&amp;"",""))</f>
        <v/>
      </c>
      <c r="N1785" s="24" t="str">
        <f aca="false">IF($K1785&lt;&gt;"",$K1785,$M1785)</f>
        <v/>
      </c>
      <c r="O1785" s="24" t="str">
        <f aca="false">IF($F1785="","",IFERROR(INDEX(Counterparties!$C:$C,MATCH($F1785&amp;"",Counterparties!$A:$A,0))&amp;"",""))</f>
        <v/>
      </c>
      <c r="P1785" s="24" t="str">
        <f aca="false">IF($O1785="","",IF($O1785="CY","CY",IF(ISNUMBER(MATCH($O1785,Lists!$A:$A,0)),"EU","3RD")))</f>
        <v/>
      </c>
      <c r="Q1785" s="24" t="str">
        <f aca="false">IF($F1785="","N",IFERROR(IF(INDEX(Counterparties!$E:$E,MATCH($F1785&amp;"",Counterparties!$A:$A,0))="Y","Y","N"),"N"))</f>
        <v>N</v>
      </c>
      <c r="R1785" s="25" t="n">
        <f aca="false">IF(OR($H1785="",$H1785="EUR"),1,IFERROR(INDEX(FX_Rates!$D:$D,MATCH($H1785,FX_Rates!$A:$A,0)),""))</f>
        <v>1</v>
      </c>
      <c r="S1785" s="26" t="str">
        <f aca="false">IF(AND($I1785="",$J1785=""),"",IF($J1785&lt;&gt;"",$J1785,IF(OR($R1785="",$R1785=0),"",ROUND($I1785/$R1785,2))))</f>
        <v/>
      </c>
      <c r="T1785" s="24" t="str">
        <f aca="false">IF($N1785="","",IFERROR(INDEX(VAT_Codes!$C:$C,MATCH($N1785,VAT_Codes!$A:$A,0)),"")&amp;"")</f>
        <v/>
      </c>
      <c r="U1785" s="26" t="n">
        <f aca="false">IF(OR($S1785="",$T1785="",$T1785="None"),0,IF($T1785="Output",-$S1785,$S1785))</f>
        <v>0</v>
      </c>
      <c r="V1785" s="27" t="n">
        <f aca="false">IF($N1785="",0,IFERROR(INDEX(VAT_Codes!$D:$D,MATCH($N1785,VAT_Codes!$A:$A,0)),0))</f>
        <v>0</v>
      </c>
      <c r="W1785" s="26" t="n">
        <f aca="false">IF($U1785=0,0,IF(IFERROR(INDEX(VAT_Codes!$F:$F,MATCH($N1785,VAT_Codes!$A:$A,0)),"N")="Y",$U1785,IF($L1785&lt;&gt;"",ROUND(ABS($L1785)/IF(OR($R1785="",$R1785=0),1,$R1785),2)*SIGN($U1785),ROUND($U1785*$V1785,2))))</f>
        <v>0</v>
      </c>
      <c r="X1785" s="24" t="str">
        <f aca="false">IF($N1785="","",IFERROR(INDEX(VAT_Codes!$H:$H,MATCH($N1785,VAT_Codes!$A:$A,0)),"")&amp;"")</f>
        <v/>
      </c>
      <c r="Y1785" s="24" t="str">
        <f aca="false">IF($A1785="","",(YEAR($A1785)-YEAR(Settings!$C$8))*12+MONTH($A1785)-MONTH(Settings!$C$8)+1)</f>
        <v/>
      </c>
      <c r="Z1785" s="24" t="str">
        <f aca="false">IF(AND($C1785="",$I1785="",$J1785=""),"",IF($N1785="","NO VAT CODE",IF($T1785="","UNKNOWN VAT CODE",IF($S1785="","MISSING FX RATE",IF(OR($A1785&lt;Settings!$C$8,$A1785&gt;Settings!$C$9),"OUTSIDE PERIOD",IF(AND(IFERROR(INDEX(VAT_Codes!$E:$E,MATCH($N1785,VAT_Codes!$A:$A,0)),"ANY")&lt;&gt;"ANY",$P1785=""),"MISSING COUNTERPARTY COUNTRY",IF(AND(IFERROR(INDEX(VAT_Codes!$E:$E,MATCH($N1785,VAT_Codes!$A:$A,0)),"ANY")&lt;&gt;"ANY",$P1785&lt;&gt;IFERROR(INDEX(VAT_Codes!$E:$E,MATCH($N1785,VAT_Codes!$A:$A,0)),"ANY")),"REGION MISMATCH","OK")))))))</f>
        <v/>
      </c>
    </row>
    <row r="1786" customFormat="false" ht="15" hidden="false" customHeight="false" outlineLevel="0" collapsed="false">
      <c r="M1786" s="24" t="str">
        <f aca="false">IF($C1786="","",IFERROR(INDEX(Account_Mapping!$C:$C,MATCH($C1786&amp;"",Account_Mapping!$A:$A,0))&amp;"",""))</f>
        <v/>
      </c>
      <c r="N1786" s="24" t="str">
        <f aca="false">IF($K1786&lt;&gt;"",$K1786,$M1786)</f>
        <v/>
      </c>
      <c r="O1786" s="24" t="str">
        <f aca="false">IF($F1786="","",IFERROR(INDEX(Counterparties!$C:$C,MATCH($F1786&amp;"",Counterparties!$A:$A,0))&amp;"",""))</f>
        <v/>
      </c>
      <c r="P1786" s="24" t="str">
        <f aca="false">IF($O1786="","",IF($O1786="CY","CY",IF(ISNUMBER(MATCH($O1786,Lists!$A:$A,0)),"EU","3RD")))</f>
        <v/>
      </c>
      <c r="Q1786" s="24" t="str">
        <f aca="false">IF($F1786="","N",IFERROR(IF(INDEX(Counterparties!$E:$E,MATCH($F1786&amp;"",Counterparties!$A:$A,0))="Y","Y","N"),"N"))</f>
        <v>N</v>
      </c>
      <c r="R1786" s="25" t="n">
        <f aca="false">IF(OR($H1786="",$H1786="EUR"),1,IFERROR(INDEX(FX_Rates!$D:$D,MATCH($H1786,FX_Rates!$A:$A,0)),""))</f>
        <v>1</v>
      </c>
      <c r="S1786" s="26" t="str">
        <f aca="false">IF(AND($I1786="",$J1786=""),"",IF($J1786&lt;&gt;"",$J1786,IF(OR($R1786="",$R1786=0),"",ROUND($I1786/$R1786,2))))</f>
        <v/>
      </c>
      <c r="T1786" s="24" t="str">
        <f aca="false">IF($N1786="","",IFERROR(INDEX(VAT_Codes!$C:$C,MATCH($N1786,VAT_Codes!$A:$A,0)),"")&amp;"")</f>
        <v/>
      </c>
      <c r="U1786" s="26" t="n">
        <f aca="false">IF(OR($S1786="",$T1786="",$T1786="None"),0,IF($T1786="Output",-$S1786,$S1786))</f>
        <v>0</v>
      </c>
      <c r="V1786" s="27" t="n">
        <f aca="false">IF($N1786="",0,IFERROR(INDEX(VAT_Codes!$D:$D,MATCH($N1786,VAT_Codes!$A:$A,0)),0))</f>
        <v>0</v>
      </c>
      <c r="W1786" s="26" t="n">
        <f aca="false">IF($U1786=0,0,IF(IFERROR(INDEX(VAT_Codes!$F:$F,MATCH($N1786,VAT_Codes!$A:$A,0)),"N")="Y",$U1786,IF($L1786&lt;&gt;"",ROUND(ABS($L1786)/IF(OR($R1786="",$R1786=0),1,$R1786),2)*SIGN($U1786),ROUND($U1786*$V1786,2))))</f>
        <v>0</v>
      </c>
      <c r="X1786" s="24" t="str">
        <f aca="false">IF($N1786="","",IFERROR(INDEX(VAT_Codes!$H:$H,MATCH($N1786,VAT_Codes!$A:$A,0)),"")&amp;"")</f>
        <v/>
      </c>
      <c r="Y1786" s="24" t="str">
        <f aca="false">IF($A1786="","",(YEAR($A1786)-YEAR(Settings!$C$8))*12+MONTH($A1786)-MONTH(Settings!$C$8)+1)</f>
        <v/>
      </c>
      <c r="Z1786" s="24" t="str">
        <f aca="false">IF(AND($C1786="",$I1786="",$J1786=""),"",IF($N1786="","NO VAT CODE",IF($T1786="","UNKNOWN VAT CODE",IF($S1786="","MISSING FX RATE",IF(OR($A1786&lt;Settings!$C$8,$A1786&gt;Settings!$C$9),"OUTSIDE PERIOD",IF(AND(IFERROR(INDEX(VAT_Codes!$E:$E,MATCH($N1786,VAT_Codes!$A:$A,0)),"ANY")&lt;&gt;"ANY",$P1786=""),"MISSING COUNTERPARTY COUNTRY",IF(AND(IFERROR(INDEX(VAT_Codes!$E:$E,MATCH($N1786,VAT_Codes!$A:$A,0)),"ANY")&lt;&gt;"ANY",$P1786&lt;&gt;IFERROR(INDEX(VAT_Codes!$E:$E,MATCH($N1786,VAT_Codes!$A:$A,0)),"ANY")),"REGION MISMATCH","OK")))))))</f>
        <v/>
      </c>
    </row>
    <row r="1787" customFormat="false" ht="15" hidden="false" customHeight="false" outlineLevel="0" collapsed="false">
      <c r="M1787" s="24" t="str">
        <f aca="false">IF($C1787="","",IFERROR(INDEX(Account_Mapping!$C:$C,MATCH($C1787&amp;"",Account_Mapping!$A:$A,0))&amp;"",""))</f>
        <v/>
      </c>
      <c r="N1787" s="24" t="str">
        <f aca="false">IF($K1787&lt;&gt;"",$K1787,$M1787)</f>
        <v/>
      </c>
      <c r="O1787" s="24" t="str">
        <f aca="false">IF($F1787="","",IFERROR(INDEX(Counterparties!$C:$C,MATCH($F1787&amp;"",Counterparties!$A:$A,0))&amp;"",""))</f>
        <v/>
      </c>
      <c r="P1787" s="24" t="str">
        <f aca="false">IF($O1787="","",IF($O1787="CY","CY",IF(ISNUMBER(MATCH($O1787,Lists!$A:$A,0)),"EU","3RD")))</f>
        <v/>
      </c>
      <c r="Q1787" s="24" t="str">
        <f aca="false">IF($F1787="","N",IFERROR(IF(INDEX(Counterparties!$E:$E,MATCH($F1787&amp;"",Counterparties!$A:$A,0))="Y","Y","N"),"N"))</f>
        <v>N</v>
      </c>
      <c r="R1787" s="25" t="n">
        <f aca="false">IF(OR($H1787="",$H1787="EUR"),1,IFERROR(INDEX(FX_Rates!$D:$D,MATCH($H1787,FX_Rates!$A:$A,0)),""))</f>
        <v>1</v>
      </c>
      <c r="S1787" s="26" t="str">
        <f aca="false">IF(AND($I1787="",$J1787=""),"",IF($J1787&lt;&gt;"",$J1787,IF(OR($R1787="",$R1787=0),"",ROUND($I1787/$R1787,2))))</f>
        <v/>
      </c>
      <c r="T1787" s="24" t="str">
        <f aca="false">IF($N1787="","",IFERROR(INDEX(VAT_Codes!$C:$C,MATCH($N1787,VAT_Codes!$A:$A,0)),"")&amp;"")</f>
        <v/>
      </c>
      <c r="U1787" s="26" t="n">
        <f aca="false">IF(OR($S1787="",$T1787="",$T1787="None"),0,IF($T1787="Output",-$S1787,$S1787))</f>
        <v>0</v>
      </c>
      <c r="V1787" s="27" t="n">
        <f aca="false">IF($N1787="",0,IFERROR(INDEX(VAT_Codes!$D:$D,MATCH($N1787,VAT_Codes!$A:$A,0)),0))</f>
        <v>0</v>
      </c>
      <c r="W1787" s="26" t="n">
        <f aca="false">IF($U1787=0,0,IF(IFERROR(INDEX(VAT_Codes!$F:$F,MATCH($N1787,VAT_Codes!$A:$A,0)),"N")="Y",$U1787,IF($L1787&lt;&gt;"",ROUND(ABS($L1787)/IF(OR($R1787="",$R1787=0),1,$R1787),2)*SIGN($U1787),ROUND($U1787*$V1787,2))))</f>
        <v>0</v>
      </c>
      <c r="X1787" s="24" t="str">
        <f aca="false">IF($N1787="","",IFERROR(INDEX(VAT_Codes!$H:$H,MATCH($N1787,VAT_Codes!$A:$A,0)),"")&amp;"")</f>
        <v/>
      </c>
      <c r="Y1787" s="24" t="str">
        <f aca="false">IF($A1787="","",(YEAR($A1787)-YEAR(Settings!$C$8))*12+MONTH($A1787)-MONTH(Settings!$C$8)+1)</f>
        <v/>
      </c>
      <c r="Z1787" s="24" t="str">
        <f aca="false">IF(AND($C1787="",$I1787="",$J1787=""),"",IF($N1787="","NO VAT CODE",IF($T1787="","UNKNOWN VAT CODE",IF($S1787="","MISSING FX RATE",IF(OR($A1787&lt;Settings!$C$8,$A1787&gt;Settings!$C$9),"OUTSIDE PERIOD",IF(AND(IFERROR(INDEX(VAT_Codes!$E:$E,MATCH($N1787,VAT_Codes!$A:$A,0)),"ANY")&lt;&gt;"ANY",$P1787=""),"MISSING COUNTERPARTY COUNTRY",IF(AND(IFERROR(INDEX(VAT_Codes!$E:$E,MATCH($N1787,VAT_Codes!$A:$A,0)),"ANY")&lt;&gt;"ANY",$P1787&lt;&gt;IFERROR(INDEX(VAT_Codes!$E:$E,MATCH($N1787,VAT_Codes!$A:$A,0)),"ANY")),"REGION MISMATCH","OK")))))))</f>
        <v/>
      </c>
    </row>
    <row r="1788" customFormat="false" ht="15" hidden="false" customHeight="false" outlineLevel="0" collapsed="false">
      <c r="M1788" s="24" t="str">
        <f aca="false">IF($C1788="","",IFERROR(INDEX(Account_Mapping!$C:$C,MATCH($C1788&amp;"",Account_Mapping!$A:$A,0))&amp;"",""))</f>
        <v/>
      </c>
      <c r="N1788" s="24" t="str">
        <f aca="false">IF($K1788&lt;&gt;"",$K1788,$M1788)</f>
        <v/>
      </c>
      <c r="O1788" s="24" t="str">
        <f aca="false">IF($F1788="","",IFERROR(INDEX(Counterparties!$C:$C,MATCH($F1788&amp;"",Counterparties!$A:$A,0))&amp;"",""))</f>
        <v/>
      </c>
      <c r="P1788" s="24" t="str">
        <f aca="false">IF($O1788="","",IF($O1788="CY","CY",IF(ISNUMBER(MATCH($O1788,Lists!$A:$A,0)),"EU","3RD")))</f>
        <v/>
      </c>
      <c r="Q1788" s="24" t="str">
        <f aca="false">IF($F1788="","N",IFERROR(IF(INDEX(Counterparties!$E:$E,MATCH($F1788&amp;"",Counterparties!$A:$A,0))="Y","Y","N"),"N"))</f>
        <v>N</v>
      </c>
      <c r="R1788" s="25" t="n">
        <f aca="false">IF(OR($H1788="",$H1788="EUR"),1,IFERROR(INDEX(FX_Rates!$D:$D,MATCH($H1788,FX_Rates!$A:$A,0)),""))</f>
        <v>1</v>
      </c>
      <c r="S1788" s="26" t="str">
        <f aca="false">IF(AND($I1788="",$J1788=""),"",IF($J1788&lt;&gt;"",$J1788,IF(OR($R1788="",$R1788=0),"",ROUND($I1788/$R1788,2))))</f>
        <v/>
      </c>
      <c r="T1788" s="24" t="str">
        <f aca="false">IF($N1788="","",IFERROR(INDEX(VAT_Codes!$C:$C,MATCH($N1788,VAT_Codes!$A:$A,0)),"")&amp;"")</f>
        <v/>
      </c>
      <c r="U1788" s="26" t="n">
        <f aca="false">IF(OR($S1788="",$T1788="",$T1788="None"),0,IF($T1788="Output",-$S1788,$S1788))</f>
        <v>0</v>
      </c>
      <c r="V1788" s="27" t="n">
        <f aca="false">IF($N1788="",0,IFERROR(INDEX(VAT_Codes!$D:$D,MATCH($N1788,VAT_Codes!$A:$A,0)),0))</f>
        <v>0</v>
      </c>
      <c r="W1788" s="26" t="n">
        <f aca="false">IF($U1788=0,0,IF(IFERROR(INDEX(VAT_Codes!$F:$F,MATCH($N1788,VAT_Codes!$A:$A,0)),"N")="Y",$U1788,IF($L1788&lt;&gt;"",ROUND(ABS($L1788)/IF(OR($R1788="",$R1788=0),1,$R1788),2)*SIGN($U1788),ROUND($U1788*$V1788,2))))</f>
        <v>0</v>
      </c>
      <c r="X1788" s="24" t="str">
        <f aca="false">IF($N1788="","",IFERROR(INDEX(VAT_Codes!$H:$H,MATCH($N1788,VAT_Codes!$A:$A,0)),"")&amp;"")</f>
        <v/>
      </c>
      <c r="Y1788" s="24" t="str">
        <f aca="false">IF($A1788="","",(YEAR($A1788)-YEAR(Settings!$C$8))*12+MONTH($A1788)-MONTH(Settings!$C$8)+1)</f>
        <v/>
      </c>
      <c r="Z1788" s="24" t="str">
        <f aca="false">IF(AND($C1788="",$I1788="",$J1788=""),"",IF($N1788="","NO VAT CODE",IF($T1788="","UNKNOWN VAT CODE",IF($S1788="","MISSING FX RATE",IF(OR($A1788&lt;Settings!$C$8,$A1788&gt;Settings!$C$9),"OUTSIDE PERIOD",IF(AND(IFERROR(INDEX(VAT_Codes!$E:$E,MATCH($N1788,VAT_Codes!$A:$A,0)),"ANY")&lt;&gt;"ANY",$P1788=""),"MISSING COUNTERPARTY COUNTRY",IF(AND(IFERROR(INDEX(VAT_Codes!$E:$E,MATCH($N1788,VAT_Codes!$A:$A,0)),"ANY")&lt;&gt;"ANY",$P1788&lt;&gt;IFERROR(INDEX(VAT_Codes!$E:$E,MATCH($N1788,VAT_Codes!$A:$A,0)),"ANY")),"REGION MISMATCH","OK")))))))</f>
        <v/>
      </c>
    </row>
    <row r="1789" customFormat="false" ht="15" hidden="false" customHeight="false" outlineLevel="0" collapsed="false">
      <c r="M1789" s="24" t="str">
        <f aca="false">IF($C1789="","",IFERROR(INDEX(Account_Mapping!$C:$C,MATCH($C1789&amp;"",Account_Mapping!$A:$A,0))&amp;"",""))</f>
        <v/>
      </c>
      <c r="N1789" s="24" t="str">
        <f aca="false">IF($K1789&lt;&gt;"",$K1789,$M1789)</f>
        <v/>
      </c>
      <c r="O1789" s="24" t="str">
        <f aca="false">IF($F1789="","",IFERROR(INDEX(Counterparties!$C:$C,MATCH($F1789&amp;"",Counterparties!$A:$A,0))&amp;"",""))</f>
        <v/>
      </c>
      <c r="P1789" s="24" t="str">
        <f aca="false">IF($O1789="","",IF($O1789="CY","CY",IF(ISNUMBER(MATCH($O1789,Lists!$A:$A,0)),"EU","3RD")))</f>
        <v/>
      </c>
      <c r="Q1789" s="24" t="str">
        <f aca="false">IF($F1789="","N",IFERROR(IF(INDEX(Counterparties!$E:$E,MATCH($F1789&amp;"",Counterparties!$A:$A,0))="Y","Y","N"),"N"))</f>
        <v>N</v>
      </c>
      <c r="R1789" s="25" t="n">
        <f aca="false">IF(OR($H1789="",$H1789="EUR"),1,IFERROR(INDEX(FX_Rates!$D:$D,MATCH($H1789,FX_Rates!$A:$A,0)),""))</f>
        <v>1</v>
      </c>
      <c r="S1789" s="26" t="str">
        <f aca="false">IF(AND($I1789="",$J1789=""),"",IF($J1789&lt;&gt;"",$J1789,IF(OR($R1789="",$R1789=0),"",ROUND($I1789/$R1789,2))))</f>
        <v/>
      </c>
      <c r="T1789" s="24" t="str">
        <f aca="false">IF($N1789="","",IFERROR(INDEX(VAT_Codes!$C:$C,MATCH($N1789,VAT_Codes!$A:$A,0)),"")&amp;"")</f>
        <v/>
      </c>
      <c r="U1789" s="26" t="n">
        <f aca="false">IF(OR($S1789="",$T1789="",$T1789="None"),0,IF($T1789="Output",-$S1789,$S1789))</f>
        <v>0</v>
      </c>
      <c r="V1789" s="27" t="n">
        <f aca="false">IF($N1789="",0,IFERROR(INDEX(VAT_Codes!$D:$D,MATCH($N1789,VAT_Codes!$A:$A,0)),0))</f>
        <v>0</v>
      </c>
      <c r="W1789" s="26" t="n">
        <f aca="false">IF($U1789=0,0,IF(IFERROR(INDEX(VAT_Codes!$F:$F,MATCH($N1789,VAT_Codes!$A:$A,0)),"N")="Y",$U1789,IF($L1789&lt;&gt;"",ROUND(ABS($L1789)/IF(OR($R1789="",$R1789=0),1,$R1789),2)*SIGN($U1789),ROUND($U1789*$V1789,2))))</f>
        <v>0</v>
      </c>
      <c r="X1789" s="24" t="str">
        <f aca="false">IF($N1789="","",IFERROR(INDEX(VAT_Codes!$H:$H,MATCH($N1789,VAT_Codes!$A:$A,0)),"")&amp;"")</f>
        <v/>
      </c>
      <c r="Y1789" s="24" t="str">
        <f aca="false">IF($A1789="","",(YEAR($A1789)-YEAR(Settings!$C$8))*12+MONTH($A1789)-MONTH(Settings!$C$8)+1)</f>
        <v/>
      </c>
      <c r="Z1789" s="24" t="str">
        <f aca="false">IF(AND($C1789="",$I1789="",$J1789=""),"",IF($N1789="","NO VAT CODE",IF($T1789="","UNKNOWN VAT CODE",IF($S1789="","MISSING FX RATE",IF(OR($A1789&lt;Settings!$C$8,$A1789&gt;Settings!$C$9),"OUTSIDE PERIOD",IF(AND(IFERROR(INDEX(VAT_Codes!$E:$E,MATCH($N1789,VAT_Codes!$A:$A,0)),"ANY")&lt;&gt;"ANY",$P1789=""),"MISSING COUNTERPARTY COUNTRY",IF(AND(IFERROR(INDEX(VAT_Codes!$E:$E,MATCH($N1789,VAT_Codes!$A:$A,0)),"ANY")&lt;&gt;"ANY",$P1789&lt;&gt;IFERROR(INDEX(VAT_Codes!$E:$E,MATCH($N1789,VAT_Codes!$A:$A,0)),"ANY")),"REGION MISMATCH","OK")))))))</f>
        <v/>
      </c>
    </row>
    <row r="1790" customFormat="false" ht="15" hidden="false" customHeight="false" outlineLevel="0" collapsed="false">
      <c r="M1790" s="24" t="str">
        <f aca="false">IF($C1790="","",IFERROR(INDEX(Account_Mapping!$C:$C,MATCH($C1790&amp;"",Account_Mapping!$A:$A,0))&amp;"",""))</f>
        <v/>
      </c>
      <c r="N1790" s="24" t="str">
        <f aca="false">IF($K1790&lt;&gt;"",$K1790,$M1790)</f>
        <v/>
      </c>
      <c r="O1790" s="24" t="str">
        <f aca="false">IF($F1790="","",IFERROR(INDEX(Counterparties!$C:$C,MATCH($F1790&amp;"",Counterparties!$A:$A,0))&amp;"",""))</f>
        <v/>
      </c>
      <c r="P1790" s="24" t="str">
        <f aca="false">IF($O1790="","",IF($O1790="CY","CY",IF(ISNUMBER(MATCH($O1790,Lists!$A:$A,0)),"EU","3RD")))</f>
        <v/>
      </c>
      <c r="Q1790" s="24" t="str">
        <f aca="false">IF($F1790="","N",IFERROR(IF(INDEX(Counterparties!$E:$E,MATCH($F1790&amp;"",Counterparties!$A:$A,0))="Y","Y","N"),"N"))</f>
        <v>N</v>
      </c>
      <c r="R1790" s="25" t="n">
        <f aca="false">IF(OR($H1790="",$H1790="EUR"),1,IFERROR(INDEX(FX_Rates!$D:$D,MATCH($H1790,FX_Rates!$A:$A,0)),""))</f>
        <v>1</v>
      </c>
      <c r="S1790" s="26" t="str">
        <f aca="false">IF(AND($I1790="",$J1790=""),"",IF($J1790&lt;&gt;"",$J1790,IF(OR($R1790="",$R1790=0),"",ROUND($I1790/$R1790,2))))</f>
        <v/>
      </c>
      <c r="T1790" s="24" t="str">
        <f aca="false">IF($N1790="","",IFERROR(INDEX(VAT_Codes!$C:$C,MATCH($N1790,VAT_Codes!$A:$A,0)),"")&amp;"")</f>
        <v/>
      </c>
      <c r="U1790" s="26" t="n">
        <f aca="false">IF(OR($S1790="",$T1790="",$T1790="None"),0,IF($T1790="Output",-$S1790,$S1790))</f>
        <v>0</v>
      </c>
      <c r="V1790" s="27" t="n">
        <f aca="false">IF($N1790="",0,IFERROR(INDEX(VAT_Codes!$D:$D,MATCH($N1790,VAT_Codes!$A:$A,0)),0))</f>
        <v>0</v>
      </c>
      <c r="W1790" s="26" t="n">
        <f aca="false">IF($U1790=0,0,IF(IFERROR(INDEX(VAT_Codes!$F:$F,MATCH($N1790,VAT_Codes!$A:$A,0)),"N")="Y",$U1790,IF($L1790&lt;&gt;"",ROUND(ABS($L1790)/IF(OR($R1790="",$R1790=0),1,$R1790),2)*SIGN($U1790),ROUND($U1790*$V1790,2))))</f>
        <v>0</v>
      </c>
      <c r="X1790" s="24" t="str">
        <f aca="false">IF($N1790="","",IFERROR(INDEX(VAT_Codes!$H:$H,MATCH($N1790,VAT_Codes!$A:$A,0)),"")&amp;"")</f>
        <v/>
      </c>
      <c r="Y1790" s="24" t="str">
        <f aca="false">IF($A1790="","",(YEAR($A1790)-YEAR(Settings!$C$8))*12+MONTH($A1790)-MONTH(Settings!$C$8)+1)</f>
        <v/>
      </c>
      <c r="Z1790" s="24" t="str">
        <f aca="false">IF(AND($C1790="",$I1790="",$J1790=""),"",IF($N1790="","NO VAT CODE",IF($T1790="","UNKNOWN VAT CODE",IF($S1790="","MISSING FX RATE",IF(OR($A1790&lt;Settings!$C$8,$A1790&gt;Settings!$C$9),"OUTSIDE PERIOD",IF(AND(IFERROR(INDEX(VAT_Codes!$E:$E,MATCH($N1790,VAT_Codes!$A:$A,0)),"ANY")&lt;&gt;"ANY",$P1790=""),"MISSING COUNTERPARTY COUNTRY",IF(AND(IFERROR(INDEX(VAT_Codes!$E:$E,MATCH($N1790,VAT_Codes!$A:$A,0)),"ANY")&lt;&gt;"ANY",$P1790&lt;&gt;IFERROR(INDEX(VAT_Codes!$E:$E,MATCH($N1790,VAT_Codes!$A:$A,0)),"ANY")),"REGION MISMATCH","OK")))))))</f>
        <v/>
      </c>
    </row>
    <row r="1791" customFormat="false" ht="15" hidden="false" customHeight="false" outlineLevel="0" collapsed="false">
      <c r="M1791" s="24" t="str">
        <f aca="false">IF($C1791="","",IFERROR(INDEX(Account_Mapping!$C:$C,MATCH($C1791&amp;"",Account_Mapping!$A:$A,0))&amp;"",""))</f>
        <v/>
      </c>
      <c r="N1791" s="24" t="str">
        <f aca="false">IF($K1791&lt;&gt;"",$K1791,$M1791)</f>
        <v/>
      </c>
      <c r="O1791" s="24" t="str">
        <f aca="false">IF($F1791="","",IFERROR(INDEX(Counterparties!$C:$C,MATCH($F1791&amp;"",Counterparties!$A:$A,0))&amp;"",""))</f>
        <v/>
      </c>
      <c r="P1791" s="24" t="str">
        <f aca="false">IF($O1791="","",IF($O1791="CY","CY",IF(ISNUMBER(MATCH($O1791,Lists!$A:$A,0)),"EU","3RD")))</f>
        <v/>
      </c>
      <c r="Q1791" s="24" t="str">
        <f aca="false">IF($F1791="","N",IFERROR(IF(INDEX(Counterparties!$E:$E,MATCH($F1791&amp;"",Counterparties!$A:$A,0))="Y","Y","N"),"N"))</f>
        <v>N</v>
      </c>
      <c r="R1791" s="25" t="n">
        <f aca="false">IF(OR($H1791="",$H1791="EUR"),1,IFERROR(INDEX(FX_Rates!$D:$D,MATCH($H1791,FX_Rates!$A:$A,0)),""))</f>
        <v>1</v>
      </c>
      <c r="S1791" s="26" t="str">
        <f aca="false">IF(AND($I1791="",$J1791=""),"",IF($J1791&lt;&gt;"",$J1791,IF(OR($R1791="",$R1791=0),"",ROUND($I1791/$R1791,2))))</f>
        <v/>
      </c>
      <c r="T1791" s="24" t="str">
        <f aca="false">IF($N1791="","",IFERROR(INDEX(VAT_Codes!$C:$C,MATCH($N1791,VAT_Codes!$A:$A,0)),"")&amp;"")</f>
        <v/>
      </c>
      <c r="U1791" s="26" t="n">
        <f aca="false">IF(OR($S1791="",$T1791="",$T1791="None"),0,IF($T1791="Output",-$S1791,$S1791))</f>
        <v>0</v>
      </c>
      <c r="V1791" s="27" t="n">
        <f aca="false">IF($N1791="",0,IFERROR(INDEX(VAT_Codes!$D:$D,MATCH($N1791,VAT_Codes!$A:$A,0)),0))</f>
        <v>0</v>
      </c>
      <c r="W1791" s="26" t="n">
        <f aca="false">IF($U1791=0,0,IF(IFERROR(INDEX(VAT_Codes!$F:$F,MATCH($N1791,VAT_Codes!$A:$A,0)),"N")="Y",$U1791,IF($L1791&lt;&gt;"",ROUND(ABS($L1791)/IF(OR($R1791="",$R1791=0),1,$R1791),2)*SIGN($U1791),ROUND($U1791*$V1791,2))))</f>
        <v>0</v>
      </c>
      <c r="X1791" s="24" t="str">
        <f aca="false">IF($N1791="","",IFERROR(INDEX(VAT_Codes!$H:$H,MATCH($N1791,VAT_Codes!$A:$A,0)),"")&amp;"")</f>
        <v/>
      </c>
      <c r="Y1791" s="24" t="str">
        <f aca="false">IF($A1791="","",(YEAR($A1791)-YEAR(Settings!$C$8))*12+MONTH($A1791)-MONTH(Settings!$C$8)+1)</f>
        <v/>
      </c>
      <c r="Z1791" s="24" t="str">
        <f aca="false">IF(AND($C1791="",$I1791="",$J1791=""),"",IF($N1791="","NO VAT CODE",IF($T1791="","UNKNOWN VAT CODE",IF($S1791="","MISSING FX RATE",IF(OR($A1791&lt;Settings!$C$8,$A1791&gt;Settings!$C$9),"OUTSIDE PERIOD",IF(AND(IFERROR(INDEX(VAT_Codes!$E:$E,MATCH($N1791,VAT_Codes!$A:$A,0)),"ANY")&lt;&gt;"ANY",$P1791=""),"MISSING COUNTERPARTY COUNTRY",IF(AND(IFERROR(INDEX(VAT_Codes!$E:$E,MATCH($N1791,VAT_Codes!$A:$A,0)),"ANY")&lt;&gt;"ANY",$P1791&lt;&gt;IFERROR(INDEX(VAT_Codes!$E:$E,MATCH($N1791,VAT_Codes!$A:$A,0)),"ANY")),"REGION MISMATCH","OK")))))))</f>
        <v/>
      </c>
    </row>
    <row r="1792" customFormat="false" ht="15" hidden="false" customHeight="false" outlineLevel="0" collapsed="false">
      <c r="M1792" s="24" t="str">
        <f aca="false">IF($C1792="","",IFERROR(INDEX(Account_Mapping!$C:$C,MATCH($C1792&amp;"",Account_Mapping!$A:$A,0))&amp;"",""))</f>
        <v/>
      </c>
      <c r="N1792" s="24" t="str">
        <f aca="false">IF($K1792&lt;&gt;"",$K1792,$M1792)</f>
        <v/>
      </c>
      <c r="O1792" s="24" t="str">
        <f aca="false">IF($F1792="","",IFERROR(INDEX(Counterparties!$C:$C,MATCH($F1792&amp;"",Counterparties!$A:$A,0))&amp;"",""))</f>
        <v/>
      </c>
      <c r="P1792" s="24" t="str">
        <f aca="false">IF($O1792="","",IF($O1792="CY","CY",IF(ISNUMBER(MATCH($O1792,Lists!$A:$A,0)),"EU","3RD")))</f>
        <v/>
      </c>
      <c r="Q1792" s="24" t="str">
        <f aca="false">IF($F1792="","N",IFERROR(IF(INDEX(Counterparties!$E:$E,MATCH($F1792&amp;"",Counterparties!$A:$A,0))="Y","Y","N"),"N"))</f>
        <v>N</v>
      </c>
      <c r="R1792" s="25" t="n">
        <f aca="false">IF(OR($H1792="",$H1792="EUR"),1,IFERROR(INDEX(FX_Rates!$D:$D,MATCH($H1792,FX_Rates!$A:$A,0)),""))</f>
        <v>1</v>
      </c>
      <c r="S1792" s="26" t="str">
        <f aca="false">IF(AND($I1792="",$J1792=""),"",IF($J1792&lt;&gt;"",$J1792,IF(OR($R1792="",$R1792=0),"",ROUND($I1792/$R1792,2))))</f>
        <v/>
      </c>
      <c r="T1792" s="24" t="str">
        <f aca="false">IF($N1792="","",IFERROR(INDEX(VAT_Codes!$C:$C,MATCH($N1792,VAT_Codes!$A:$A,0)),"")&amp;"")</f>
        <v/>
      </c>
      <c r="U1792" s="26" t="n">
        <f aca="false">IF(OR($S1792="",$T1792="",$T1792="None"),0,IF($T1792="Output",-$S1792,$S1792))</f>
        <v>0</v>
      </c>
      <c r="V1792" s="27" t="n">
        <f aca="false">IF($N1792="",0,IFERROR(INDEX(VAT_Codes!$D:$D,MATCH($N1792,VAT_Codes!$A:$A,0)),0))</f>
        <v>0</v>
      </c>
      <c r="W1792" s="26" t="n">
        <f aca="false">IF($U1792=0,0,IF(IFERROR(INDEX(VAT_Codes!$F:$F,MATCH($N1792,VAT_Codes!$A:$A,0)),"N")="Y",$U1792,IF($L1792&lt;&gt;"",ROUND(ABS($L1792)/IF(OR($R1792="",$R1792=0),1,$R1792),2)*SIGN($U1792),ROUND($U1792*$V1792,2))))</f>
        <v>0</v>
      </c>
      <c r="X1792" s="24" t="str">
        <f aca="false">IF($N1792="","",IFERROR(INDEX(VAT_Codes!$H:$H,MATCH($N1792,VAT_Codes!$A:$A,0)),"")&amp;"")</f>
        <v/>
      </c>
      <c r="Y1792" s="24" t="str">
        <f aca="false">IF($A1792="","",(YEAR($A1792)-YEAR(Settings!$C$8))*12+MONTH($A1792)-MONTH(Settings!$C$8)+1)</f>
        <v/>
      </c>
      <c r="Z1792" s="24" t="str">
        <f aca="false">IF(AND($C1792="",$I1792="",$J1792=""),"",IF($N1792="","NO VAT CODE",IF($T1792="","UNKNOWN VAT CODE",IF($S1792="","MISSING FX RATE",IF(OR($A1792&lt;Settings!$C$8,$A1792&gt;Settings!$C$9),"OUTSIDE PERIOD",IF(AND(IFERROR(INDEX(VAT_Codes!$E:$E,MATCH($N1792,VAT_Codes!$A:$A,0)),"ANY")&lt;&gt;"ANY",$P1792=""),"MISSING COUNTERPARTY COUNTRY",IF(AND(IFERROR(INDEX(VAT_Codes!$E:$E,MATCH($N1792,VAT_Codes!$A:$A,0)),"ANY")&lt;&gt;"ANY",$P1792&lt;&gt;IFERROR(INDEX(VAT_Codes!$E:$E,MATCH($N1792,VAT_Codes!$A:$A,0)),"ANY")),"REGION MISMATCH","OK")))))))</f>
        <v/>
      </c>
    </row>
    <row r="1793" customFormat="false" ht="15" hidden="false" customHeight="false" outlineLevel="0" collapsed="false">
      <c r="M1793" s="24" t="str">
        <f aca="false">IF($C1793="","",IFERROR(INDEX(Account_Mapping!$C:$C,MATCH($C1793&amp;"",Account_Mapping!$A:$A,0))&amp;"",""))</f>
        <v/>
      </c>
      <c r="N1793" s="24" t="str">
        <f aca="false">IF($K1793&lt;&gt;"",$K1793,$M1793)</f>
        <v/>
      </c>
      <c r="O1793" s="24" t="str">
        <f aca="false">IF($F1793="","",IFERROR(INDEX(Counterparties!$C:$C,MATCH($F1793&amp;"",Counterparties!$A:$A,0))&amp;"",""))</f>
        <v/>
      </c>
      <c r="P1793" s="24" t="str">
        <f aca="false">IF($O1793="","",IF($O1793="CY","CY",IF(ISNUMBER(MATCH($O1793,Lists!$A:$A,0)),"EU","3RD")))</f>
        <v/>
      </c>
      <c r="Q1793" s="24" t="str">
        <f aca="false">IF($F1793="","N",IFERROR(IF(INDEX(Counterparties!$E:$E,MATCH($F1793&amp;"",Counterparties!$A:$A,0))="Y","Y","N"),"N"))</f>
        <v>N</v>
      </c>
      <c r="R1793" s="25" t="n">
        <f aca="false">IF(OR($H1793="",$H1793="EUR"),1,IFERROR(INDEX(FX_Rates!$D:$D,MATCH($H1793,FX_Rates!$A:$A,0)),""))</f>
        <v>1</v>
      </c>
      <c r="S1793" s="26" t="str">
        <f aca="false">IF(AND($I1793="",$J1793=""),"",IF($J1793&lt;&gt;"",$J1793,IF(OR($R1793="",$R1793=0),"",ROUND($I1793/$R1793,2))))</f>
        <v/>
      </c>
      <c r="T1793" s="24" t="str">
        <f aca="false">IF($N1793="","",IFERROR(INDEX(VAT_Codes!$C:$C,MATCH($N1793,VAT_Codes!$A:$A,0)),"")&amp;"")</f>
        <v/>
      </c>
      <c r="U1793" s="26" t="n">
        <f aca="false">IF(OR($S1793="",$T1793="",$T1793="None"),0,IF($T1793="Output",-$S1793,$S1793))</f>
        <v>0</v>
      </c>
      <c r="V1793" s="27" t="n">
        <f aca="false">IF($N1793="",0,IFERROR(INDEX(VAT_Codes!$D:$D,MATCH($N1793,VAT_Codes!$A:$A,0)),0))</f>
        <v>0</v>
      </c>
      <c r="W1793" s="26" t="n">
        <f aca="false">IF($U1793=0,0,IF(IFERROR(INDEX(VAT_Codes!$F:$F,MATCH($N1793,VAT_Codes!$A:$A,0)),"N")="Y",$U1793,IF($L1793&lt;&gt;"",ROUND(ABS($L1793)/IF(OR($R1793="",$R1793=0),1,$R1793),2)*SIGN($U1793),ROUND($U1793*$V1793,2))))</f>
        <v>0</v>
      </c>
      <c r="X1793" s="24" t="str">
        <f aca="false">IF($N1793="","",IFERROR(INDEX(VAT_Codes!$H:$H,MATCH($N1793,VAT_Codes!$A:$A,0)),"")&amp;"")</f>
        <v/>
      </c>
      <c r="Y1793" s="24" t="str">
        <f aca="false">IF($A1793="","",(YEAR($A1793)-YEAR(Settings!$C$8))*12+MONTH($A1793)-MONTH(Settings!$C$8)+1)</f>
        <v/>
      </c>
      <c r="Z1793" s="24" t="str">
        <f aca="false">IF(AND($C1793="",$I1793="",$J1793=""),"",IF($N1793="","NO VAT CODE",IF($T1793="","UNKNOWN VAT CODE",IF($S1793="","MISSING FX RATE",IF(OR($A1793&lt;Settings!$C$8,$A1793&gt;Settings!$C$9),"OUTSIDE PERIOD",IF(AND(IFERROR(INDEX(VAT_Codes!$E:$E,MATCH($N1793,VAT_Codes!$A:$A,0)),"ANY")&lt;&gt;"ANY",$P1793=""),"MISSING COUNTERPARTY COUNTRY",IF(AND(IFERROR(INDEX(VAT_Codes!$E:$E,MATCH($N1793,VAT_Codes!$A:$A,0)),"ANY")&lt;&gt;"ANY",$P1793&lt;&gt;IFERROR(INDEX(VAT_Codes!$E:$E,MATCH($N1793,VAT_Codes!$A:$A,0)),"ANY")),"REGION MISMATCH","OK")))))))</f>
        <v/>
      </c>
    </row>
    <row r="1794" customFormat="false" ht="15" hidden="false" customHeight="false" outlineLevel="0" collapsed="false">
      <c r="M1794" s="24" t="str">
        <f aca="false">IF($C1794="","",IFERROR(INDEX(Account_Mapping!$C:$C,MATCH($C1794&amp;"",Account_Mapping!$A:$A,0))&amp;"",""))</f>
        <v/>
      </c>
      <c r="N1794" s="24" t="str">
        <f aca="false">IF($K1794&lt;&gt;"",$K1794,$M1794)</f>
        <v/>
      </c>
      <c r="O1794" s="24" t="str">
        <f aca="false">IF($F1794="","",IFERROR(INDEX(Counterparties!$C:$C,MATCH($F1794&amp;"",Counterparties!$A:$A,0))&amp;"",""))</f>
        <v/>
      </c>
      <c r="P1794" s="24" t="str">
        <f aca="false">IF($O1794="","",IF($O1794="CY","CY",IF(ISNUMBER(MATCH($O1794,Lists!$A:$A,0)),"EU","3RD")))</f>
        <v/>
      </c>
      <c r="Q1794" s="24" t="str">
        <f aca="false">IF($F1794="","N",IFERROR(IF(INDEX(Counterparties!$E:$E,MATCH($F1794&amp;"",Counterparties!$A:$A,0))="Y","Y","N"),"N"))</f>
        <v>N</v>
      </c>
      <c r="R1794" s="25" t="n">
        <f aca="false">IF(OR($H1794="",$H1794="EUR"),1,IFERROR(INDEX(FX_Rates!$D:$D,MATCH($H1794,FX_Rates!$A:$A,0)),""))</f>
        <v>1</v>
      </c>
      <c r="S1794" s="26" t="str">
        <f aca="false">IF(AND($I1794="",$J1794=""),"",IF($J1794&lt;&gt;"",$J1794,IF(OR($R1794="",$R1794=0),"",ROUND($I1794/$R1794,2))))</f>
        <v/>
      </c>
      <c r="T1794" s="24" t="str">
        <f aca="false">IF($N1794="","",IFERROR(INDEX(VAT_Codes!$C:$C,MATCH($N1794,VAT_Codes!$A:$A,0)),"")&amp;"")</f>
        <v/>
      </c>
      <c r="U1794" s="26" t="n">
        <f aca="false">IF(OR($S1794="",$T1794="",$T1794="None"),0,IF($T1794="Output",-$S1794,$S1794))</f>
        <v>0</v>
      </c>
      <c r="V1794" s="27" t="n">
        <f aca="false">IF($N1794="",0,IFERROR(INDEX(VAT_Codes!$D:$D,MATCH($N1794,VAT_Codes!$A:$A,0)),0))</f>
        <v>0</v>
      </c>
      <c r="W1794" s="26" t="n">
        <f aca="false">IF($U1794=0,0,IF(IFERROR(INDEX(VAT_Codes!$F:$F,MATCH($N1794,VAT_Codes!$A:$A,0)),"N")="Y",$U1794,IF($L1794&lt;&gt;"",ROUND(ABS($L1794)/IF(OR($R1794="",$R1794=0),1,$R1794),2)*SIGN($U1794),ROUND($U1794*$V1794,2))))</f>
        <v>0</v>
      </c>
      <c r="X1794" s="24" t="str">
        <f aca="false">IF($N1794="","",IFERROR(INDEX(VAT_Codes!$H:$H,MATCH($N1794,VAT_Codes!$A:$A,0)),"")&amp;"")</f>
        <v/>
      </c>
      <c r="Y1794" s="24" t="str">
        <f aca="false">IF($A1794="","",(YEAR($A1794)-YEAR(Settings!$C$8))*12+MONTH($A1794)-MONTH(Settings!$C$8)+1)</f>
        <v/>
      </c>
      <c r="Z1794" s="24" t="str">
        <f aca="false">IF(AND($C1794="",$I1794="",$J1794=""),"",IF($N1794="","NO VAT CODE",IF($T1794="","UNKNOWN VAT CODE",IF($S1794="","MISSING FX RATE",IF(OR($A1794&lt;Settings!$C$8,$A1794&gt;Settings!$C$9),"OUTSIDE PERIOD",IF(AND(IFERROR(INDEX(VAT_Codes!$E:$E,MATCH($N1794,VAT_Codes!$A:$A,0)),"ANY")&lt;&gt;"ANY",$P1794=""),"MISSING COUNTERPARTY COUNTRY",IF(AND(IFERROR(INDEX(VAT_Codes!$E:$E,MATCH($N1794,VAT_Codes!$A:$A,0)),"ANY")&lt;&gt;"ANY",$P1794&lt;&gt;IFERROR(INDEX(VAT_Codes!$E:$E,MATCH($N1794,VAT_Codes!$A:$A,0)),"ANY")),"REGION MISMATCH","OK")))))))</f>
        <v/>
      </c>
    </row>
    <row r="1795" customFormat="false" ht="15" hidden="false" customHeight="false" outlineLevel="0" collapsed="false">
      <c r="M1795" s="24" t="str">
        <f aca="false">IF($C1795="","",IFERROR(INDEX(Account_Mapping!$C:$C,MATCH($C1795&amp;"",Account_Mapping!$A:$A,0))&amp;"",""))</f>
        <v/>
      </c>
      <c r="N1795" s="24" t="str">
        <f aca="false">IF($K1795&lt;&gt;"",$K1795,$M1795)</f>
        <v/>
      </c>
      <c r="O1795" s="24" t="str">
        <f aca="false">IF($F1795="","",IFERROR(INDEX(Counterparties!$C:$C,MATCH($F1795&amp;"",Counterparties!$A:$A,0))&amp;"",""))</f>
        <v/>
      </c>
      <c r="P1795" s="24" t="str">
        <f aca="false">IF($O1795="","",IF($O1795="CY","CY",IF(ISNUMBER(MATCH($O1795,Lists!$A:$A,0)),"EU","3RD")))</f>
        <v/>
      </c>
      <c r="Q1795" s="24" t="str">
        <f aca="false">IF($F1795="","N",IFERROR(IF(INDEX(Counterparties!$E:$E,MATCH($F1795&amp;"",Counterparties!$A:$A,0))="Y","Y","N"),"N"))</f>
        <v>N</v>
      </c>
      <c r="R1795" s="25" t="n">
        <f aca="false">IF(OR($H1795="",$H1795="EUR"),1,IFERROR(INDEX(FX_Rates!$D:$D,MATCH($H1795,FX_Rates!$A:$A,0)),""))</f>
        <v>1</v>
      </c>
      <c r="S1795" s="26" t="str">
        <f aca="false">IF(AND($I1795="",$J1795=""),"",IF($J1795&lt;&gt;"",$J1795,IF(OR($R1795="",$R1795=0),"",ROUND($I1795/$R1795,2))))</f>
        <v/>
      </c>
      <c r="T1795" s="24" t="str">
        <f aca="false">IF($N1795="","",IFERROR(INDEX(VAT_Codes!$C:$C,MATCH($N1795,VAT_Codes!$A:$A,0)),"")&amp;"")</f>
        <v/>
      </c>
      <c r="U1795" s="26" t="n">
        <f aca="false">IF(OR($S1795="",$T1795="",$T1795="None"),0,IF($T1795="Output",-$S1795,$S1795))</f>
        <v>0</v>
      </c>
      <c r="V1795" s="27" t="n">
        <f aca="false">IF($N1795="",0,IFERROR(INDEX(VAT_Codes!$D:$D,MATCH($N1795,VAT_Codes!$A:$A,0)),0))</f>
        <v>0</v>
      </c>
      <c r="W1795" s="26" t="n">
        <f aca="false">IF($U1795=0,0,IF(IFERROR(INDEX(VAT_Codes!$F:$F,MATCH($N1795,VAT_Codes!$A:$A,0)),"N")="Y",$U1795,IF($L1795&lt;&gt;"",ROUND(ABS($L1795)/IF(OR($R1795="",$R1795=0),1,$R1795),2)*SIGN($U1795),ROUND($U1795*$V1795,2))))</f>
        <v>0</v>
      </c>
      <c r="X1795" s="24" t="str">
        <f aca="false">IF($N1795="","",IFERROR(INDEX(VAT_Codes!$H:$H,MATCH($N1795,VAT_Codes!$A:$A,0)),"")&amp;"")</f>
        <v/>
      </c>
      <c r="Y1795" s="24" t="str">
        <f aca="false">IF($A1795="","",(YEAR($A1795)-YEAR(Settings!$C$8))*12+MONTH($A1795)-MONTH(Settings!$C$8)+1)</f>
        <v/>
      </c>
      <c r="Z1795" s="24" t="str">
        <f aca="false">IF(AND($C1795="",$I1795="",$J1795=""),"",IF($N1795="","NO VAT CODE",IF($T1795="","UNKNOWN VAT CODE",IF($S1795="","MISSING FX RATE",IF(OR($A1795&lt;Settings!$C$8,$A1795&gt;Settings!$C$9),"OUTSIDE PERIOD",IF(AND(IFERROR(INDEX(VAT_Codes!$E:$E,MATCH($N1795,VAT_Codes!$A:$A,0)),"ANY")&lt;&gt;"ANY",$P1795=""),"MISSING COUNTERPARTY COUNTRY",IF(AND(IFERROR(INDEX(VAT_Codes!$E:$E,MATCH($N1795,VAT_Codes!$A:$A,0)),"ANY")&lt;&gt;"ANY",$P1795&lt;&gt;IFERROR(INDEX(VAT_Codes!$E:$E,MATCH($N1795,VAT_Codes!$A:$A,0)),"ANY")),"REGION MISMATCH","OK")))))))</f>
        <v/>
      </c>
    </row>
    <row r="1796" customFormat="false" ht="15" hidden="false" customHeight="false" outlineLevel="0" collapsed="false">
      <c r="M1796" s="24" t="str">
        <f aca="false">IF($C1796="","",IFERROR(INDEX(Account_Mapping!$C:$C,MATCH($C1796&amp;"",Account_Mapping!$A:$A,0))&amp;"",""))</f>
        <v/>
      </c>
      <c r="N1796" s="24" t="str">
        <f aca="false">IF($K1796&lt;&gt;"",$K1796,$M1796)</f>
        <v/>
      </c>
      <c r="O1796" s="24" t="str">
        <f aca="false">IF($F1796="","",IFERROR(INDEX(Counterparties!$C:$C,MATCH($F1796&amp;"",Counterparties!$A:$A,0))&amp;"",""))</f>
        <v/>
      </c>
      <c r="P1796" s="24" t="str">
        <f aca="false">IF($O1796="","",IF($O1796="CY","CY",IF(ISNUMBER(MATCH($O1796,Lists!$A:$A,0)),"EU","3RD")))</f>
        <v/>
      </c>
      <c r="Q1796" s="24" t="str">
        <f aca="false">IF($F1796="","N",IFERROR(IF(INDEX(Counterparties!$E:$E,MATCH($F1796&amp;"",Counterparties!$A:$A,0))="Y","Y","N"),"N"))</f>
        <v>N</v>
      </c>
      <c r="R1796" s="25" t="n">
        <f aca="false">IF(OR($H1796="",$H1796="EUR"),1,IFERROR(INDEX(FX_Rates!$D:$D,MATCH($H1796,FX_Rates!$A:$A,0)),""))</f>
        <v>1</v>
      </c>
      <c r="S1796" s="26" t="str">
        <f aca="false">IF(AND($I1796="",$J1796=""),"",IF($J1796&lt;&gt;"",$J1796,IF(OR($R1796="",$R1796=0),"",ROUND($I1796/$R1796,2))))</f>
        <v/>
      </c>
      <c r="T1796" s="24" t="str">
        <f aca="false">IF($N1796="","",IFERROR(INDEX(VAT_Codes!$C:$C,MATCH($N1796,VAT_Codes!$A:$A,0)),"")&amp;"")</f>
        <v/>
      </c>
      <c r="U1796" s="26" t="n">
        <f aca="false">IF(OR($S1796="",$T1796="",$T1796="None"),0,IF($T1796="Output",-$S1796,$S1796))</f>
        <v>0</v>
      </c>
      <c r="V1796" s="27" t="n">
        <f aca="false">IF($N1796="",0,IFERROR(INDEX(VAT_Codes!$D:$D,MATCH($N1796,VAT_Codes!$A:$A,0)),0))</f>
        <v>0</v>
      </c>
      <c r="W1796" s="26" t="n">
        <f aca="false">IF($U1796=0,0,IF(IFERROR(INDEX(VAT_Codes!$F:$F,MATCH($N1796,VAT_Codes!$A:$A,0)),"N")="Y",$U1796,IF($L1796&lt;&gt;"",ROUND(ABS($L1796)/IF(OR($R1796="",$R1796=0),1,$R1796),2)*SIGN($U1796),ROUND($U1796*$V1796,2))))</f>
        <v>0</v>
      </c>
      <c r="X1796" s="24" t="str">
        <f aca="false">IF($N1796="","",IFERROR(INDEX(VAT_Codes!$H:$H,MATCH($N1796,VAT_Codes!$A:$A,0)),"")&amp;"")</f>
        <v/>
      </c>
      <c r="Y1796" s="24" t="str">
        <f aca="false">IF($A1796="","",(YEAR($A1796)-YEAR(Settings!$C$8))*12+MONTH($A1796)-MONTH(Settings!$C$8)+1)</f>
        <v/>
      </c>
      <c r="Z1796" s="24" t="str">
        <f aca="false">IF(AND($C1796="",$I1796="",$J1796=""),"",IF($N1796="","NO VAT CODE",IF($T1796="","UNKNOWN VAT CODE",IF($S1796="","MISSING FX RATE",IF(OR($A1796&lt;Settings!$C$8,$A1796&gt;Settings!$C$9),"OUTSIDE PERIOD",IF(AND(IFERROR(INDEX(VAT_Codes!$E:$E,MATCH($N1796,VAT_Codes!$A:$A,0)),"ANY")&lt;&gt;"ANY",$P1796=""),"MISSING COUNTERPARTY COUNTRY",IF(AND(IFERROR(INDEX(VAT_Codes!$E:$E,MATCH($N1796,VAT_Codes!$A:$A,0)),"ANY")&lt;&gt;"ANY",$P1796&lt;&gt;IFERROR(INDEX(VAT_Codes!$E:$E,MATCH($N1796,VAT_Codes!$A:$A,0)),"ANY")),"REGION MISMATCH","OK")))))))</f>
        <v/>
      </c>
    </row>
    <row r="1797" customFormat="false" ht="15" hidden="false" customHeight="false" outlineLevel="0" collapsed="false">
      <c r="M1797" s="24" t="str">
        <f aca="false">IF($C1797="","",IFERROR(INDEX(Account_Mapping!$C:$C,MATCH($C1797&amp;"",Account_Mapping!$A:$A,0))&amp;"",""))</f>
        <v/>
      </c>
      <c r="N1797" s="24" t="str">
        <f aca="false">IF($K1797&lt;&gt;"",$K1797,$M1797)</f>
        <v/>
      </c>
      <c r="O1797" s="24" t="str">
        <f aca="false">IF($F1797="","",IFERROR(INDEX(Counterparties!$C:$C,MATCH($F1797&amp;"",Counterparties!$A:$A,0))&amp;"",""))</f>
        <v/>
      </c>
      <c r="P1797" s="24" t="str">
        <f aca="false">IF($O1797="","",IF($O1797="CY","CY",IF(ISNUMBER(MATCH($O1797,Lists!$A:$A,0)),"EU","3RD")))</f>
        <v/>
      </c>
      <c r="Q1797" s="24" t="str">
        <f aca="false">IF($F1797="","N",IFERROR(IF(INDEX(Counterparties!$E:$E,MATCH($F1797&amp;"",Counterparties!$A:$A,0))="Y","Y","N"),"N"))</f>
        <v>N</v>
      </c>
      <c r="R1797" s="25" t="n">
        <f aca="false">IF(OR($H1797="",$H1797="EUR"),1,IFERROR(INDEX(FX_Rates!$D:$D,MATCH($H1797,FX_Rates!$A:$A,0)),""))</f>
        <v>1</v>
      </c>
      <c r="S1797" s="26" t="str">
        <f aca="false">IF(AND($I1797="",$J1797=""),"",IF($J1797&lt;&gt;"",$J1797,IF(OR($R1797="",$R1797=0),"",ROUND($I1797/$R1797,2))))</f>
        <v/>
      </c>
      <c r="T1797" s="24" t="str">
        <f aca="false">IF($N1797="","",IFERROR(INDEX(VAT_Codes!$C:$C,MATCH($N1797,VAT_Codes!$A:$A,0)),"")&amp;"")</f>
        <v/>
      </c>
      <c r="U1797" s="26" t="n">
        <f aca="false">IF(OR($S1797="",$T1797="",$T1797="None"),0,IF($T1797="Output",-$S1797,$S1797))</f>
        <v>0</v>
      </c>
      <c r="V1797" s="27" t="n">
        <f aca="false">IF($N1797="",0,IFERROR(INDEX(VAT_Codes!$D:$D,MATCH($N1797,VAT_Codes!$A:$A,0)),0))</f>
        <v>0</v>
      </c>
      <c r="W1797" s="26" t="n">
        <f aca="false">IF($U1797=0,0,IF(IFERROR(INDEX(VAT_Codes!$F:$F,MATCH($N1797,VAT_Codes!$A:$A,0)),"N")="Y",$U1797,IF($L1797&lt;&gt;"",ROUND(ABS($L1797)/IF(OR($R1797="",$R1797=0),1,$R1797),2)*SIGN($U1797),ROUND($U1797*$V1797,2))))</f>
        <v>0</v>
      </c>
      <c r="X1797" s="24" t="str">
        <f aca="false">IF($N1797="","",IFERROR(INDEX(VAT_Codes!$H:$H,MATCH($N1797,VAT_Codes!$A:$A,0)),"")&amp;"")</f>
        <v/>
      </c>
      <c r="Y1797" s="24" t="str">
        <f aca="false">IF($A1797="","",(YEAR($A1797)-YEAR(Settings!$C$8))*12+MONTH($A1797)-MONTH(Settings!$C$8)+1)</f>
        <v/>
      </c>
      <c r="Z1797" s="24" t="str">
        <f aca="false">IF(AND($C1797="",$I1797="",$J1797=""),"",IF($N1797="","NO VAT CODE",IF($T1797="","UNKNOWN VAT CODE",IF($S1797="","MISSING FX RATE",IF(OR($A1797&lt;Settings!$C$8,$A1797&gt;Settings!$C$9),"OUTSIDE PERIOD",IF(AND(IFERROR(INDEX(VAT_Codes!$E:$E,MATCH($N1797,VAT_Codes!$A:$A,0)),"ANY")&lt;&gt;"ANY",$P1797=""),"MISSING COUNTERPARTY COUNTRY",IF(AND(IFERROR(INDEX(VAT_Codes!$E:$E,MATCH($N1797,VAT_Codes!$A:$A,0)),"ANY")&lt;&gt;"ANY",$P1797&lt;&gt;IFERROR(INDEX(VAT_Codes!$E:$E,MATCH($N1797,VAT_Codes!$A:$A,0)),"ANY")),"REGION MISMATCH","OK")))))))</f>
        <v/>
      </c>
    </row>
    <row r="1798" customFormat="false" ht="15" hidden="false" customHeight="false" outlineLevel="0" collapsed="false">
      <c r="M1798" s="24" t="str">
        <f aca="false">IF($C1798="","",IFERROR(INDEX(Account_Mapping!$C:$C,MATCH($C1798&amp;"",Account_Mapping!$A:$A,0))&amp;"",""))</f>
        <v/>
      </c>
      <c r="N1798" s="24" t="str">
        <f aca="false">IF($K1798&lt;&gt;"",$K1798,$M1798)</f>
        <v/>
      </c>
      <c r="O1798" s="24" t="str">
        <f aca="false">IF($F1798="","",IFERROR(INDEX(Counterparties!$C:$C,MATCH($F1798&amp;"",Counterparties!$A:$A,0))&amp;"",""))</f>
        <v/>
      </c>
      <c r="P1798" s="24" t="str">
        <f aca="false">IF($O1798="","",IF($O1798="CY","CY",IF(ISNUMBER(MATCH($O1798,Lists!$A:$A,0)),"EU","3RD")))</f>
        <v/>
      </c>
      <c r="Q1798" s="24" t="str">
        <f aca="false">IF($F1798="","N",IFERROR(IF(INDEX(Counterparties!$E:$E,MATCH($F1798&amp;"",Counterparties!$A:$A,0))="Y","Y","N"),"N"))</f>
        <v>N</v>
      </c>
      <c r="R1798" s="25" t="n">
        <f aca="false">IF(OR($H1798="",$H1798="EUR"),1,IFERROR(INDEX(FX_Rates!$D:$D,MATCH($H1798,FX_Rates!$A:$A,0)),""))</f>
        <v>1</v>
      </c>
      <c r="S1798" s="26" t="str">
        <f aca="false">IF(AND($I1798="",$J1798=""),"",IF($J1798&lt;&gt;"",$J1798,IF(OR($R1798="",$R1798=0),"",ROUND($I1798/$R1798,2))))</f>
        <v/>
      </c>
      <c r="T1798" s="24" t="str">
        <f aca="false">IF($N1798="","",IFERROR(INDEX(VAT_Codes!$C:$C,MATCH($N1798,VAT_Codes!$A:$A,0)),"")&amp;"")</f>
        <v/>
      </c>
      <c r="U1798" s="26" t="n">
        <f aca="false">IF(OR($S1798="",$T1798="",$T1798="None"),0,IF($T1798="Output",-$S1798,$S1798))</f>
        <v>0</v>
      </c>
      <c r="V1798" s="27" t="n">
        <f aca="false">IF($N1798="",0,IFERROR(INDEX(VAT_Codes!$D:$D,MATCH($N1798,VAT_Codes!$A:$A,0)),0))</f>
        <v>0</v>
      </c>
      <c r="W1798" s="26" t="n">
        <f aca="false">IF($U1798=0,0,IF(IFERROR(INDEX(VAT_Codes!$F:$F,MATCH($N1798,VAT_Codes!$A:$A,0)),"N")="Y",$U1798,IF($L1798&lt;&gt;"",ROUND(ABS($L1798)/IF(OR($R1798="",$R1798=0),1,$R1798),2)*SIGN($U1798),ROUND($U1798*$V1798,2))))</f>
        <v>0</v>
      </c>
      <c r="X1798" s="24" t="str">
        <f aca="false">IF($N1798="","",IFERROR(INDEX(VAT_Codes!$H:$H,MATCH($N1798,VAT_Codes!$A:$A,0)),"")&amp;"")</f>
        <v/>
      </c>
      <c r="Y1798" s="24" t="str">
        <f aca="false">IF($A1798="","",(YEAR($A1798)-YEAR(Settings!$C$8))*12+MONTH($A1798)-MONTH(Settings!$C$8)+1)</f>
        <v/>
      </c>
      <c r="Z1798" s="24" t="str">
        <f aca="false">IF(AND($C1798="",$I1798="",$J1798=""),"",IF($N1798="","NO VAT CODE",IF($T1798="","UNKNOWN VAT CODE",IF($S1798="","MISSING FX RATE",IF(OR($A1798&lt;Settings!$C$8,$A1798&gt;Settings!$C$9),"OUTSIDE PERIOD",IF(AND(IFERROR(INDEX(VAT_Codes!$E:$E,MATCH($N1798,VAT_Codes!$A:$A,0)),"ANY")&lt;&gt;"ANY",$P1798=""),"MISSING COUNTERPARTY COUNTRY",IF(AND(IFERROR(INDEX(VAT_Codes!$E:$E,MATCH($N1798,VAT_Codes!$A:$A,0)),"ANY")&lt;&gt;"ANY",$P1798&lt;&gt;IFERROR(INDEX(VAT_Codes!$E:$E,MATCH($N1798,VAT_Codes!$A:$A,0)),"ANY")),"REGION MISMATCH","OK")))))))</f>
        <v/>
      </c>
    </row>
    <row r="1799" customFormat="false" ht="15" hidden="false" customHeight="false" outlineLevel="0" collapsed="false">
      <c r="M1799" s="24" t="str">
        <f aca="false">IF($C1799="","",IFERROR(INDEX(Account_Mapping!$C:$C,MATCH($C1799&amp;"",Account_Mapping!$A:$A,0))&amp;"",""))</f>
        <v/>
      </c>
      <c r="N1799" s="24" t="str">
        <f aca="false">IF($K1799&lt;&gt;"",$K1799,$M1799)</f>
        <v/>
      </c>
      <c r="O1799" s="24" t="str">
        <f aca="false">IF($F1799="","",IFERROR(INDEX(Counterparties!$C:$C,MATCH($F1799&amp;"",Counterparties!$A:$A,0))&amp;"",""))</f>
        <v/>
      </c>
      <c r="P1799" s="24" t="str">
        <f aca="false">IF($O1799="","",IF($O1799="CY","CY",IF(ISNUMBER(MATCH($O1799,Lists!$A:$A,0)),"EU","3RD")))</f>
        <v/>
      </c>
      <c r="Q1799" s="24" t="str">
        <f aca="false">IF($F1799="","N",IFERROR(IF(INDEX(Counterparties!$E:$E,MATCH($F1799&amp;"",Counterparties!$A:$A,0))="Y","Y","N"),"N"))</f>
        <v>N</v>
      </c>
      <c r="R1799" s="25" t="n">
        <f aca="false">IF(OR($H1799="",$H1799="EUR"),1,IFERROR(INDEX(FX_Rates!$D:$D,MATCH($H1799,FX_Rates!$A:$A,0)),""))</f>
        <v>1</v>
      </c>
      <c r="S1799" s="26" t="str">
        <f aca="false">IF(AND($I1799="",$J1799=""),"",IF($J1799&lt;&gt;"",$J1799,IF(OR($R1799="",$R1799=0),"",ROUND($I1799/$R1799,2))))</f>
        <v/>
      </c>
      <c r="T1799" s="24" t="str">
        <f aca="false">IF($N1799="","",IFERROR(INDEX(VAT_Codes!$C:$C,MATCH($N1799,VAT_Codes!$A:$A,0)),"")&amp;"")</f>
        <v/>
      </c>
      <c r="U1799" s="26" t="n">
        <f aca="false">IF(OR($S1799="",$T1799="",$T1799="None"),0,IF($T1799="Output",-$S1799,$S1799))</f>
        <v>0</v>
      </c>
      <c r="V1799" s="27" t="n">
        <f aca="false">IF($N1799="",0,IFERROR(INDEX(VAT_Codes!$D:$D,MATCH($N1799,VAT_Codes!$A:$A,0)),0))</f>
        <v>0</v>
      </c>
      <c r="W1799" s="26" t="n">
        <f aca="false">IF($U1799=0,0,IF(IFERROR(INDEX(VAT_Codes!$F:$F,MATCH($N1799,VAT_Codes!$A:$A,0)),"N")="Y",$U1799,IF($L1799&lt;&gt;"",ROUND(ABS($L1799)/IF(OR($R1799="",$R1799=0),1,$R1799),2)*SIGN($U1799),ROUND($U1799*$V1799,2))))</f>
        <v>0</v>
      </c>
      <c r="X1799" s="24" t="str">
        <f aca="false">IF($N1799="","",IFERROR(INDEX(VAT_Codes!$H:$H,MATCH($N1799,VAT_Codes!$A:$A,0)),"")&amp;"")</f>
        <v/>
      </c>
      <c r="Y1799" s="24" t="str">
        <f aca="false">IF($A1799="","",(YEAR($A1799)-YEAR(Settings!$C$8))*12+MONTH($A1799)-MONTH(Settings!$C$8)+1)</f>
        <v/>
      </c>
      <c r="Z1799" s="24" t="str">
        <f aca="false">IF(AND($C1799="",$I1799="",$J1799=""),"",IF($N1799="","NO VAT CODE",IF($T1799="","UNKNOWN VAT CODE",IF($S1799="","MISSING FX RATE",IF(OR($A1799&lt;Settings!$C$8,$A1799&gt;Settings!$C$9),"OUTSIDE PERIOD",IF(AND(IFERROR(INDEX(VAT_Codes!$E:$E,MATCH($N1799,VAT_Codes!$A:$A,0)),"ANY")&lt;&gt;"ANY",$P1799=""),"MISSING COUNTERPARTY COUNTRY",IF(AND(IFERROR(INDEX(VAT_Codes!$E:$E,MATCH($N1799,VAT_Codes!$A:$A,0)),"ANY")&lt;&gt;"ANY",$P1799&lt;&gt;IFERROR(INDEX(VAT_Codes!$E:$E,MATCH($N1799,VAT_Codes!$A:$A,0)),"ANY")),"REGION MISMATCH","OK")))))))</f>
        <v/>
      </c>
    </row>
    <row r="1800" customFormat="false" ht="15" hidden="false" customHeight="false" outlineLevel="0" collapsed="false">
      <c r="M1800" s="24" t="str">
        <f aca="false">IF($C1800="","",IFERROR(INDEX(Account_Mapping!$C:$C,MATCH($C1800&amp;"",Account_Mapping!$A:$A,0))&amp;"",""))</f>
        <v/>
      </c>
      <c r="N1800" s="24" t="str">
        <f aca="false">IF($K1800&lt;&gt;"",$K1800,$M1800)</f>
        <v/>
      </c>
      <c r="O1800" s="24" t="str">
        <f aca="false">IF($F1800="","",IFERROR(INDEX(Counterparties!$C:$C,MATCH($F1800&amp;"",Counterparties!$A:$A,0))&amp;"",""))</f>
        <v/>
      </c>
      <c r="P1800" s="24" t="str">
        <f aca="false">IF($O1800="","",IF($O1800="CY","CY",IF(ISNUMBER(MATCH($O1800,Lists!$A:$A,0)),"EU","3RD")))</f>
        <v/>
      </c>
      <c r="Q1800" s="24" t="str">
        <f aca="false">IF($F1800="","N",IFERROR(IF(INDEX(Counterparties!$E:$E,MATCH($F1800&amp;"",Counterparties!$A:$A,0))="Y","Y","N"),"N"))</f>
        <v>N</v>
      </c>
      <c r="R1800" s="25" t="n">
        <f aca="false">IF(OR($H1800="",$H1800="EUR"),1,IFERROR(INDEX(FX_Rates!$D:$D,MATCH($H1800,FX_Rates!$A:$A,0)),""))</f>
        <v>1</v>
      </c>
      <c r="S1800" s="26" t="str">
        <f aca="false">IF(AND($I1800="",$J1800=""),"",IF($J1800&lt;&gt;"",$J1800,IF(OR($R1800="",$R1800=0),"",ROUND($I1800/$R1800,2))))</f>
        <v/>
      </c>
      <c r="T1800" s="24" t="str">
        <f aca="false">IF($N1800="","",IFERROR(INDEX(VAT_Codes!$C:$C,MATCH($N1800,VAT_Codes!$A:$A,0)),"")&amp;"")</f>
        <v/>
      </c>
      <c r="U1800" s="26" t="n">
        <f aca="false">IF(OR($S1800="",$T1800="",$T1800="None"),0,IF($T1800="Output",-$S1800,$S1800))</f>
        <v>0</v>
      </c>
      <c r="V1800" s="27" t="n">
        <f aca="false">IF($N1800="",0,IFERROR(INDEX(VAT_Codes!$D:$D,MATCH($N1800,VAT_Codes!$A:$A,0)),0))</f>
        <v>0</v>
      </c>
      <c r="W1800" s="26" t="n">
        <f aca="false">IF($U1800=0,0,IF(IFERROR(INDEX(VAT_Codes!$F:$F,MATCH($N1800,VAT_Codes!$A:$A,0)),"N")="Y",$U1800,IF($L1800&lt;&gt;"",ROUND(ABS($L1800)/IF(OR($R1800="",$R1800=0),1,$R1800),2)*SIGN($U1800),ROUND($U1800*$V1800,2))))</f>
        <v>0</v>
      </c>
      <c r="X1800" s="24" t="str">
        <f aca="false">IF($N1800="","",IFERROR(INDEX(VAT_Codes!$H:$H,MATCH($N1800,VAT_Codes!$A:$A,0)),"")&amp;"")</f>
        <v/>
      </c>
      <c r="Y1800" s="24" t="str">
        <f aca="false">IF($A1800="","",(YEAR($A1800)-YEAR(Settings!$C$8))*12+MONTH($A1800)-MONTH(Settings!$C$8)+1)</f>
        <v/>
      </c>
      <c r="Z1800" s="24" t="str">
        <f aca="false">IF(AND($C1800="",$I1800="",$J1800=""),"",IF($N1800="","NO VAT CODE",IF($T1800="","UNKNOWN VAT CODE",IF($S1800="","MISSING FX RATE",IF(OR($A1800&lt;Settings!$C$8,$A1800&gt;Settings!$C$9),"OUTSIDE PERIOD",IF(AND(IFERROR(INDEX(VAT_Codes!$E:$E,MATCH($N1800,VAT_Codes!$A:$A,0)),"ANY")&lt;&gt;"ANY",$P1800=""),"MISSING COUNTERPARTY COUNTRY",IF(AND(IFERROR(INDEX(VAT_Codes!$E:$E,MATCH($N1800,VAT_Codes!$A:$A,0)),"ANY")&lt;&gt;"ANY",$P1800&lt;&gt;IFERROR(INDEX(VAT_Codes!$E:$E,MATCH($N1800,VAT_Codes!$A:$A,0)),"ANY")),"REGION MISMATCH","OK")))))))</f>
        <v/>
      </c>
    </row>
    <row r="1801" customFormat="false" ht="15" hidden="false" customHeight="false" outlineLevel="0" collapsed="false">
      <c r="M1801" s="24" t="str">
        <f aca="false">IF($C1801="","",IFERROR(INDEX(Account_Mapping!$C:$C,MATCH($C1801&amp;"",Account_Mapping!$A:$A,0))&amp;"",""))</f>
        <v/>
      </c>
      <c r="N1801" s="24" t="str">
        <f aca="false">IF($K1801&lt;&gt;"",$K1801,$M1801)</f>
        <v/>
      </c>
      <c r="O1801" s="24" t="str">
        <f aca="false">IF($F1801="","",IFERROR(INDEX(Counterparties!$C:$C,MATCH($F1801&amp;"",Counterparties!$A:$A,0))&amp;"",""))</f>
        <v/>
      </c>
      <c r="P1801" s="24" t="str">
        <f aca="false">IF($O1801="","",IF($O1801="CY","CY",IF(ISNUMBER(MATCH($O1801,Lists!$A:$A,0)),"EU","3RD")))</f>
        <v/>
      </c>
      <c r="Q1801" s="24" t="str">
        <f aca="false">IF($F1801="","N",IFERROR(IF(INDEX(Counterparties!$E:$E,MATCH($F1801&amp;"",Counterparties!$A:$A,0))="Y","Y","N"),"N"))</f>
        <v>N</v>
      </c>
      <c r="R1801" s="25" t="n">
        <f aca="false">IF(OR($H1801="",$H1801="EUR"),1,IFERROR(INDEX(FX_Rates!$D:$D,MATCH($H1801,FX_Rates!$A:$A,0)),""))</f>
        <v>1</v>
      </c>
      <c r="S1801" s="26" t="str">
        <f aca="false">IF(AND($I1801="",$J1801=""),"",IF($J1801&lt;&gt;"",$J1801,IF(OR($R1801="",$R1801=0),"",ROUND($I1801/$R1801,2))))</f>
        <v/>
      </c>
      <c r="T1801" s="24" t="str">
        <f aca="false">IF($N1801="","",IFERROR(INDEX(VAT_Codes!$C:$C,MATCH($N1801,VAT_Codes!$A:$A,0)),"")&amp;"")</f>
        <v/>
      </c>
      <c r="U1801" s="26" t="n">
        <f aca="false">IF(OR($S1801="",$T1801="",$T1801="None"),0,IF($T1801="Output",-$S1801,$S1801))</f>
        <v>0</v>
      </c>
      <c r="V1801" s="27" t="n">
        <f aca="false">IF($N1801="",0,IFERROR(INDEX(VAT_Codes!$D:$D,MATCH($N1801,VAT_Codes!$A:$A,0)),0))</f>
        <v>0</v>
      </c>
      <c r="W1801" s="26" t="n">
        <f aca="false">IF($U1801=0,0,IF(IFERROR(INDEX(VAT_Codes!$F:$F,MATCH($N1801,VAT_Codes!$A:$A,0)),"N")="Y",$U1801,IF($L1801&lt;&gt;"",ROUND(ABS($L1801)/IF(OR($R1801="",$R1801=0),1,$R1801),2)*SIGN($U1801),ROUND($U1801*$V1801,2))))</f>
        <v>0</v>
      </c>
      <c r="X1801" s="24" t="str">
        <f aca="false">IF($N1801="","",IFERROR(INDEX(VAT_Codes!$H:$H,MATCH($N1801,VAT_Codes!$A:$A,0)),"")&amp;"")</f>
        <v/>
      </c>
      <c r="Y1801" s="24" t="str">
        <f aca="false">IF($A1801="","",(YEAR($A1801)-YEAR(Settings!$C$8))*12+MONTH($A1801)-MONTH(Settings!$C$8)+1)</f>
        <v/>
      </c>
      <c r="Z1801" s="24" t="str">
        <f aca="false">IF(AND($C1801="",$I1801="",$J1801=""),"",IF($N1801="","NO VAT CODE",IF($T1801="","UNKNOWN VAT CODE",IF($S1801="","MISSING FX RATE",IF(OR($A1801&lt;Settings!$C$8,$A1801&gt;Settings!$C$9),"OUTSIDE PERIOD",IF(AND(IFERROR(INDEX(VAT_Codes!$E:$E,MATCH($N1801,VAT_Codes!$A:$A,0)),"ANY")&lt;&gt;"ANY",$P1801=""),"MISSING COUNTERPARTY COUNTRY",IF(AND(IFERROR(INDEX(VAT_Codes!$E:$E,MATCH($N1801,VAT_Codes!$A:$A,0)),"ANY")&lt;&gt;"ANY",$P1801&lt;&gt;IFERROR(INDEX(VAT_Codes!$E:$E,MATCH($N1801,VAT_Codes!$A:$A,0)),"ANY")),"REGION MISMATCH","OK")))))))</f>
        <v/>
      </c>
    </row>
    <row r="1802" customFormat="false" ht="15" hidden="false" customHeight="false" outlineLevel="0" collapsed="false">
      <c r="M1802" s="24" t="str">
        <f aca="false">IF($C1802="","",IFERROR(INDEX(Account_Mapping!$C:$C,MATCH($C1802&amp;"",Account_Mapping!$A:$A,0))&amp;"",""))</f>
        <v/>
      </c>
      <c r="N1802" s="24" t="str">
        <f aca="false">IF($K1802&lt;&gt;"",$K1802,$M1802)</f>
        <v/>
      </c>
      <c r="O1802" s="24" t="str">
        <f aca="false">IF($F1802="","",IFERROR(INDEX(Counterparties!$C:$C,MATCH($F1802&amp;"",Counterparties!$A:$A,0))&amp;"",""))</f>
        <v/>
      </c>
      <c r="P1802" s="24" t="str">
        <f aca="false">IF($O1802="","",IF($O1802="CY","CY",IF(ISNUMBER(MATCH($O1802,Lists!$A:$A,0)),"EU","3RD")))</f>
        <v/>
      </c>
      <c r="Q1802" s="24" t="str">
        <f aca="false">IF($F1802="","N",IFERROR(IF(INDEX(Counterparties!$E:$E,MATCH($F1802&amp;"",Counterparties!$A:$A,0))="Y","Y","N"),"N"))</f>
        <v>N</v>
      </c>
      <c r="R1802" s="25" t="n">
        <f aca="false">IF(OR($H1802="",$H1802="EUR"),1,IFERROR(INDEX(FX_Rates!$D:$D,MATCH($H1802,FX_Rates!$A:$A,0)),""))</f>
        <v>1</v>
      </c>
      <c r="S1802" s="26" t="str">
        <f aca="false">IF(AND($I1802="",$J1802=""),"",IF($J1802&lt;&gt;"",$J1802,IF(OR($R1802="",$R1802=0),"",ROUND($I1802/$R1802,2))))</f>
        <v/>
      </c>
      <c r="T1802" s="24" t="str">
        <f aca="false">IF($N1802="","",IFERROR(INDEX(VAT_Codes!$C:$C,MATCH($N1802,VAT_Codes!$A:$A,0)),"")&amp;"")</f>
        <v/>
      </c>
      <c r="U1802" s="26" t="n">
        <f aca="false">IF(OR($S1802="",$T1802="",$T1802="None"),0,IF($T1802="Output",-$S1802,$S1802))</f>
        <v>0</v>
      </c>
      <c r="V1802" s="27" t="n">
        <f aca="false">IF($N1802="",0,IFERROR(INDEX(VAT_Codes!$D:$D,MATCH($N1802,VAT_Codes!$A:$A,0)),0))</f>
        <v>0</v>
      </c>
      <c r="W1802" s="26" t="n">
        <f aca="false">IF($U1802=0,0,IF(IFERROR(INDEX(VAT_Codes!$F:$F,MATCH($N1802,VAT_Codes!$A:$A,0)),"N")="Y",$U1802,IF($L1802&lt;&gt;"",ROUND(ABS($L1802)/IF(OR($R1802="",$R1802=0),1,$R1802),2)*SIGN($U1802),ROUND($U1802*$V1802,2))))</f>
        <v>0</v>
      </c>
      <c r="X1802" s="24" t="str">
        <f aca="false">IF($N1802="","",IFERROR(INDEX(VAT_Codes!$H:$H,MATCH($N1802,VAT_Codes!$A:$A,0)),"")&amp;"")</f>
        <v/>
      </c>
      <c r="Y1802" s="24" t="str">
        <f aca="false">IF($A1802="","",(YEAR($A1802)-YEAR(Settings!$C$8))*12+MONTH($A1802)-MONTH(Settings!$C$8)+1)</f>
        <v/>
      </c>
      <c r="Z1802" s="24" t="str">
        <f aca="false">IF(AND($C1802="",$I1802="",$J1802=""),"",IF($N1802="","NO VAT CODE",IF($T1802="","UNKNOWN VAT CODE",IF($S1802="","MISSING FX RATE",IF(OR($A1802&lt;Settings!$C$8,$A1802&gt;Settings!$C$9),"OUTSIDE PERIOD",IF(AND(IFERROR(INDEX(VAT_Codes!$E:$E,MATCH($N1802,VAT_Codes!$A:$A,0)),"ANY")&lt;&gt;"ANY",$P1802=""),"MISSING COUNTERPARTY COUNTRY",IF(AND(IFERROR(INDEX(VAT_Codes!$E:$E,MATCH($N1802,VAT_Codes!$A:$A,0)),"ANY")&lt;&gt;"ANY",$P1802&lt;&gt;IFERROR(INDEX(VAT_Codes!$E:$E,MATCH($N1802,VAT_Codes!$A:$A,0)),"ANY")),"REGION MISMATCH","OK")))))))</f>
        <v/>
      </c>
    </row>
    <row r="1803" customFormat="false" ht="15" hidden="false" customHeight="false" outlineLevel="0" collapsed="false">
      <c r="M1803" s="24" t="str">
        <f aca="false">IF($C1803="","",IFERROR(INDEX(Account_Mapping!$C:$C,MATCH($C1803&amp;"",Account_Mapping!$A:$A,0))&amp;"",""))</f>
        <v/>
      </c>
      <c r="N1803" s="24" t="str">
        <f aca="false">IF($K1803&lt;&gt;"",$K1803,$M1803)</f>
        <v/>
      </c>
      <c r="O1803" s="24" t="str">
        <f aca="false">IF($F1803="","",IFERROR(INDEX(Counterparties!$C:$C,MATCH($F1803&amp;"",Counterparties!$A:$A,0))&amp;"",""))</f>
        <v/>
      </c>
      <c r="P1803" s="24" t="str">
        <f aca="false">IF($O1803="","",IF($O1803="CY","CY",IF(ISNUMBER(MATCH($O1803,Lists!$A:$A,0)),"EU","3RD")))</f>
        <v/>
      </c>
      <c r="Q1803" s="24" t="str">
        <f aca="false">IF($F1803="","N",IFERROR(IF(INDEX(Counterparties!$E:$E,MATCH($F1803&amp;"",Counterparties!$A:$A,0))="Y","Y","N"),"N"))</f>
        <v>N</v>
      </c>
      <c r="R1803" s="25" t="n">
        <f aca="false">IF(OR($H1803="",$H1803="EUR"),1,IFERROR(INDEX(FX_Rates!$D:$D,MATCH($H1803,FX_Rates!$A:$A,0)),""))</f>
        <v>1</v>
      </c>
      <c r="S1803" s="26" t="str">
        <f aca="false">IF(AND($I1803="",$J1803=""),"",IF($J1803&lt;&gt;"",$J1803,IF(OR($R1803="",$R1803=0),"",ROUND($I1803/$R1803,2))))</f>
        <v/>
      </c>
      <c r="T1803" s="24" t="str">
        <f aca="false">IF($N1803="","",IFERROR(INDEX(VAT_Codes!$C:$C,MATCH($N1803,VAT_Codes!$A:$A,0)),"")&amp;"")</f>
        <v/>
      </c>
      <c r="U1803" s="26" t="n">
        <f aca="false">IF(OR($S1803="",$T1803="",$T1803="None"),0,IF($T1803="Output",-$S1803,$S1803))</f>
        <v>0</v>
      </c>
      <c r="V1803" s="27" t="n">
        <f aca="false">IF($N1803="",0,IFERROR(INDEX(VAT_Codes!$D:$D,MATCH($N1803,VAT_Codes!$A:$A,0)),0))</f>
        <v>0</v>
      </c>
      <c r="W1803" s="26" t="n">
        <f aca="false">IF($U1803=0,0,IF(IFERROR(INDEX(VAT_Codes!$F:$F,MATCH($N1803,VAT_Codes!$A:$A,0)),"N")="Y",$U1803,IF($L1803&lt;&gt;"",ROUND(ABS($L1803)/IF(OR($R1803="",$R1803=0),1,$R1803),2)*SIGN($U1803),ROUND($U1803*$V1803,2))))</f>
        <v>0</v>
      </c>
      <c r="X1803" s="24" t="str">
        <f aca="false">IF($N1803="","",IFERROR(INDEX(VAT_Codes!$H:$H,MATCH($N1803,VAT_Codes!$A:$A,0)),"")&amp;"")</f>
        <v/>
      </c>
      <c r="Y1803" s="24" t="str">
        <f aca="false">IF($A1803="","",(YEAR($A1803)-YEAR(Settings!$C$8))*12+MONTH($A1803)-MONTH(Settings!$C$8)+1)</f>
        <v/>
      </c>
      <c r="Z1803" s="24" t="str">
        <f aca="false">IF(AND($C1803="",$I1803="",$J1803=""),"",IF($N1803="","NO VAT CODE",IF($T1803="","UNKNOWN VAT CODE",IF($S1803="","MISSING FX RATE",IF(OR($A1803&lt;Settings!$C$8,$A1803&gt;Settings!$C$9),"OUTSIDE PERIOD",IF(AND(IFERROR(INDEX(VAT_Codes!$E:$E,MATCH($N1803,VAT_Codes!$A:$A,0)),"ANY")&lt;&gt;"ANY",$P1803=""),"MISSING COUNTERPARTY COUNTRY",IF(AND(IFERROR(INDEX(VAT_Codes!$E:$E,MATCH($N1803,VAT_Codes!$A:$A,0)),"ANY")&lt;&gt;"ANY",$P1803&lt;&gt;IFERROR(INDEX(VAT_Codes!$E:$E,MATCH($N1803,VAT_Codes!$A:$A,0)),"ANY")),"REGION MISMATCH","OK")))))))</f>
        <v/>
      </c>
    </row>
    <row r="1804" customFormat="false" ht="15" hidden="false" customHeight="false" outlineLevel="0" collapsed="false">
      <c r="M1804" s="24" t="str">
        <f aca="false">IF($C1804="","",IFERROR(INDEX(Account_Mapping!$C:$C,MATCH($C1804&amp;"",Account_Mapping!$A:$A,0))&amp;"",""))</f>
        <v/>
      </c>
      <c r="N1804" s="24" t="str">
        <f aca="false">IF($K1804&lt;&gt;"",$K1804,$M1804)</f>
        <v/>
      </c>
      <c r="O1804" s="24" t="str">
        <f aca="false">IF($F1804="","",IFERROR(INDEX(Counterparties!$C:$C,MATCH($F1804&amp;"",Counterparties!$A:$A,0))&amp;"",""))</f>
        <v/>
      </c>
      <c r="P1804" s="24" t="str">
        <f aca="false">IF($O1804="","",IF($O1804="CY","CY",IF(ISNUMBER(MATCH($O1804,Lists!$A:$A,0)),"EU","3RD")))</f>
        <v/>
      </c>
      <c r="Q1804" s="24" t="str">
        <f aca="false">IF($F1804="","N",IFERROR(IF(INDEX(Counterparties!$E:$E,MATCH($F1804&amp;"",Counterparties!$A:$A,0))="Y","Y","N"),"N"))</f>
        <v>N</v>
      </c>
      <c r="R1804" s="25" t="n">
        <f aca="false">IF(OR($H1804="",$H1804="EUR"),1,IFERROR(INDEX(FX_Rates!$D:$D,MATCH($H1804,FX_Rates!$A:$A,0)),""))</f>
        <v>1</v>
      </c>
      <c r="S1804" s="26" t="str">
        <f aca="false">IF(AND($I1804="",$J1804=""),"",IF($J1804&lt;&gt;"",$J1804,IF(OR($R1804="",$R1804=0),"",ROUND($I1804/$R1804,2))))</f>
        <v/>
      </c>
      <c r="T1804" s="24" t="str">
        <f aca="false">IF($N1804="","",IFERROR(INDEX(VAT_Codes!$C:$C,MATCH($N1804,VAT_Codes!$A:$A,0)),"")&amp;"")</f>
        <v/>
      </c>
      <c r="U1804" s="26" t="n">
        <f aca="false">IF(OR($S1804="",$T1804="",$T1804="None"),0,IF($T1804="Output",-$S1804,$S1804))</f>
        <v>0</v>
      </c>
      <c r="V1804" s="27" t="n">
        <f aca="false">IF($N1804="",0,IFERROR(INDEX(VAT_Codes!$D:$D,MATCH($N1804,VAT_Codes!$A:$A,0)),0))</f>
        <v>0</v>
      </c>
      <c r="W1804" s="26" t="n">
        <f aca="false">IF($U1804=0,0,IF(IFERROR(INDEX(VAT_Codes!$F:$F,MATCH($N1804,VAT_Codes!$A:$A,0)),"N")="Y",$U1804,IF($L1804&lt;&gt;"",ROUND(ABS($L1804)/IF(OR($R1804="",$R1804=0),1,$R1804),2)*SIGN($U1804),ROUND($U1804*$V1804,2))))</f>
        <v>0</v>
      </c>
      <c r="X1804" s="24" t="str">
        <f aca="false">IF($N1804="","",IFERROR(INDEX(VAT_Codes!$H:$H,MATCH($N1804,VAT_Codes!$A:$A,0)),"")&amp;"")</f>
        <v/>
      </c>
      <c r="Y1804" s="24" t="str">
        <f aca="false">IF($A1804="","",(YEAR($A1804)-YEAR(Settings!$C$8))*12+MONTH($A1804)-MONTH(Settings!$C$8)+1)</f>
        <v/>
      </c>
      <c r="Z1804" s="24" t="str">
        <f aca="false">IF(AND($C1804="",$I1804="",$J1804=""),"",IF($N1804="","NO VAT CODE",IF($T1804="","UNKNOWN VAT CODE",IF($S1804="","MISSING FX RATE",IF(OR($A1804&lt;Settings!$C$8,$A1804&gt;Settings!$C$9),"OUTSIDE PERIOD",IF(AND(IFERROR(INDEX(VAT_Codes!$E:$E,MATCH($N1804,VAT_Codes!$A:$A,0)),"ANY")&lt;&gt;"ANY",$P1804=""),"MISSING COUNTERPARTY COUNTRY",IF(AND(IFERROR(INDEX(VAT_Codes!$E:$E,MATCH($N1804,VAT_Codes!$A:$A,0)),"ANY")&lt;&gt;"ANY",$P1804&lt;&gt;IFERROR(INDEX(VAT_Codes!$E:$E,MATCH($N1804,VAT_Codes!$A:$A,0)),"ANY")),"REGION MISMATCH","OK")))))))</f>
        <v/>
      </c>
    </row>
    <row r="1805" customFormat="false" ht="15" hidden="false" customHeight="false" outlineLevel="0" collapsed="false">
      <c r="M1805" s="24" t="str">
        <f aca="false">IF($C1805="","",IFERROR(INDEX(Account_Mapping!$C:$C,MATCH($C1805&amp;"",Account_Mapping!$A:$A,0))&amp;"",""))</f>
        <v/>
      </c>
      <c r="N1805" s="24" t="str">
        <f aca="false">IF($K1805&lt;&gt;"",$K1805,$M1805)</f>
        <v/>
      </c>
      <c r="O1805" s="24" t="str">
        <f aca="false">IF($F1805="","",IFERROR(INDEX(Counterparties!$C:$C,MATCH($F1805&amp;"",Counterparties!$A:$A,0))&amp;"",""))</f>
        <v/>
      </c>
      <c r="P1805" s="24" t="str">
        <f aca="false">IF($O1805="","",IF($O1805="CY","CY",IF(ISNUMBER(MATCH($O1805,Lists!$A:$A,0)),"EU","3RD")))</f>
        <v/>
      </c>
      <c r="Q1805" s="24" t="str">
        <f aca="false">IF($F1805="","N",IFERROR(IF(INDEX(Counterparties!$E:$E,MATCH($F1805&amp;"",Counterparties!$A:$A,0))="Y","Y","N"),"N"))</f>
        <v>N</v>
      </c>
      <c r="R1805" s="25" t="n">
        <f aca="false">IF(OR($H1805="",$H1805="EUR"),1,IFERROR(INDEX(FX_Rates!$D:$D,MATCH($H1805,FX_Rates!$A:$A,0)),""))</f>
        <v>1</v>
      </c>
      <c r="S1805" s="26" t="str">
        <f aca="false">IF(AND($I1805="",$J1805=""),"",IF($J1805&lt;&gt;"",$J1805,IF(OR($R1805="",$R1805=0),"",ROUND($I1805/$R1805,2))))</f>
        <v/>
      </c>
      <c r="T1805" s="24" t="str">
        <f aca="false">IF($N1805="","",IFERROR(INDEX(VAT_Codes!$C:$C,MATCH($N1805,VAT_Codes!$A:$A,0)),"")&amp;"")</f>
        <v/>
      </c>
      <c r="U1805" s="26" t="n">
        <f aca="false">IF(OR($S1805="",$T1805="",$T1805="None"),0,IF($T1805="Output",-$S1805,$S1805))</f>
        <v>0</v>
      </c>
      <c r="V1805" s="27" t="n">
        <f aca="false">IF($N1805="",0,IFERROR(INDEX(VAT_Codes!$D:$D,MATCH($N1805,VAT_Codes!$A:$A,0)),0))</f>
        <v>0</v>
      </c>
      <c r="W1805" s="26" t="n">
        <f aca="false">IF($U1805=0,0,IF(IFERROR(INDEX(VAT_Codes!$F:$F,MATCH($N1805,VAT_Codes!$A:$A,0)),"N")="Y",$U1805,IF($L1805&lt;&gt;"",ROUND(ABS($L1805)/IF(OR($R1805="",$R1805=0),1,$R1805),2)*SIGN($U1805),ROUND($U1805*$V1805,2))))</f>
        <v>0</v>
      </c>
      <c r="X1805" s="24" t="str">
        <f aca="false">IF($N1805="","",IFERROR(INDEX(VAT_Codes!$H:$H,MATCH($N1805,VAT_Codes!$A:$A,0)),"")&amp;"")</f>
        <v/>
      </c>
      <c r="Y1805" s="24" t="str">
        <f aca="false">IF($A1805="","",(YEAR($A1805)-YEAR(Settings!$C$8))*12+MONTH($A1805)-MONTH(Settings!$C$8)+1)</f>
        <v/>
      </c>
      <c r="Z1805" s="24" t="str">
        <f aca="false">IF(AND($C1805="",$I1805="",$J1805=""),"",IF($N1805="","NO VAT CODE",IF($T1805="","UNKNOWN VAT CODE",IF($S1805="","MISSING FX RATE",IF(OR($A1805&lt;Settings!$C$8,$A1805&gt;Settings!$C$9),"OUTSIDE PERIOD",IF(AND(IFERROR(INDEX(VAT_Codes!$E:$E,MATCH($N1805,VAT_Codes!$A:$A,0)),"ANY")&lt;&gt;"ANY",$P1805=""),"MISSING COUNTERPARTY COUNTRY",IF(AND(IFERROR(INDEX(VAT_Codes!$E:$E,MATCH($N1805,VAT_Codes!$A:$A,0)),"ANY")&lt;&gt;"ANY",$P1805&lt;&gt;IFERROR(INDEX(VAT_Codes!$E:$E,MATCH($N1805,VAT_Codes!$A:$A,0)),"ANY")),"REGION MISMATCH","OK")))))))</f>
        <v/>
      </c>
    </row>
    <row r="1806" customFormat="false" ht="15" hidden="false" customHeight="false" outlineLevel="0" collapsed="false">
      <c r="M1806" s="24" t="str">
        <f aca="false">IF($C1806="","",IFERROR(INDEX(Account_Mapping!$C:$C,MATCH($C1806&amp;"",Account_Mapping!$A:$A,0))&amp;"",""))</f>
        <v/>
      </c>
      <c r="N1806" s="24" t="str">
        <f aca="false">IF($K1806&lt;&gt;"",$K1806,$M1806)</f>
        <v/>
      </c>
      <c r="O1806" s="24" t="str">
        <f aca="false">IF($F1806="","",IFERROR(INDEX(Counterparties!$C:$C,MATCH($F1806&amp;"",Counterparties!$A:$A,0))&amp;"",""))</f>
        <v/>
      </c>
      <c r="P1806" s="24" t="str">
        <f aca="false">IF($O1806="","",IF($O1806="CY","CY",IF(ISNUMBER(MATCH($O1806,Lists!$A:$A,0)),"EU","3RD")))</f>
        <v/>
      </c>
      <c r="Q1806" s="24" t="str">
        <f aca="false">IF($F1806="","N",IFERROR(IF(INDEX(Counterparties!$E:$E,MATCH($F1806&amp;"",Counterparties!$A:$A,0))="Y","Y","N"),"N"))</f>
        <v>N</v>
      </c>
      <c r="R1806" s="25" t="n">
        <f aca="false">IF(OR($H1806="",$H1806="EUR"),1,IFERROR(INDEX(FX_Rates!$D:$D,MATCH($H1806,FX_Rates!$A:$A,0)),""))</f>
        <v>1</v>
      </c>
      <c r="S1806" s="26" t="str">
        <f aca="false">IF(AND($I1806="",$J1806=""),"",IF($J1806&lt;&gt;"",$J1806,IF(OR($R1806="",$R1806=0),"",ROUND($I1806/$R1806,2))))</f>
        <v/>
      </c>
      <c r="T1806" s="24" t="str">
        <f aca="false">IF($N1806="","",IFERROR(INDEX(VAT_Codes!$C:$C,MATCH($N1806,VAT_Codes!$A:$A,0)),"")&amp;"")</f>
        <v/>
      </c>
      <c r="U1806" s="26" t="n">
        <f aca="false">IF(OR($S1806="",$T1806="",$T1806="None"),0,IF($T1806="Output",-$S1806,$S1806))</f>
        <v>0</v>
      </c>
      <c r="V1806" s="27" t="n">
        <f aca="false">IF($N1806="",0,IFERROR(INDEX(VAT_Codes!$D:$D,MATCH($N1806,VAT_Codes!$A:$A,0)),0))</f>
        <v>0</v>
      </c>
      <c r="W1806" s="26" t="n">
        <f aca="false">IF($U1806=0,0,IF(IFERROR(INDEX(VAT_Codes!$F:$F,MATCH($N1806,VAT_Codes!$A:$A,0)),"N")="Y",$U1806,IF($L1806&lt;&gt;"",ROUND(ABS($L1806)/IF(OR($R1806="",$R1806=0),1,$R1806),2)*SIGN($U1806),ROUND($U1806*$V1806,2))))</f>
        <v>0</v>
      </c>
      <c r="X1806" s="24" t="str">
        <f aca="false">IF($N1806="","",IFERROR(INDEX(VAT_Codes!$H:$H,MATCH($N1806,VAT_Codes!$A:$A,0)),"")&amp;"")</f>
        <v/>
      </c>
      <c r="Y1806" s="24" t="str">
        <f aca="false">IF($A1806="","",(YEAR($A1806)-YEAR(Settings!$C$8))*12+MONTH($A1806)-MONTH(Settings!$C$8)+1)</f>
        <v/>
      </c>
      <c r="Z1806" s="24" t="str">
        <f aca="false">IF(AND($C1806="",$I1806="",$J1806=""),"",IF($N1806="","NO VAT CODE",IF($T1806="","UNKNOWN VAT CODE",IF($S1806="","MISSING FX RATE",IF(OR($A1806&lt;Settings!$C$8,$A1806&gt;Settings!$C$9),"OUTSIDE PERIOD",IF(AND(IFERROR(INDEX(VAT_Codes!$E:$E,MATCH($N1806,VAT_Codes!$A:$A,0)),"ANY")&lt;&gt;"ANY",$P1806=""),"MISSING COUNTERPARTY COUNTRY",IF(AND(IFERROR(INDEX(VAT_Codes!$E:$E,MATCH($N1806,VAT_Codes!$A:$A,0)),"ANY")&lt;&gt;"ANY",$P1806&lt;&gt;IFERROR(INDEX(VAT_Codes!$E:$E,MATCH($N1806,VAT_Codes!$A:$A,0)),"ANY")),"REGION MISMATCH","OK")))))))</f>
        <v/>
      </c>
    </row>
    <row r="1807" customFormat="false" ht="15" hidden="false" customHeight="false" outlineLevel="0" collapsed="false">
      <c r="M1807" s="24" t="str">
        <f aca="false">IF($C1807="","",IFERROR(INDEX(Account_Mapping!$C:$C,MATCH($C1807&amp;"",Account_Mapping!$A:$A,0))&amp;"",""))</f>
        <v/>
      </c>
      <c r="N1807" s="24" t="str">
        <f aca="false">IF($K1807&lt;&gt;"",$K1807,$M1807)</f>
        <v/>
      </c>
      <c r="O1807" s="24" t="str">
        <f aca="false">IF($F1807="","",IFERROR(INDEX(Counterparties!$C:$C,MATCH($F1807&amp;"",Counterparties!$A:$A,0))&amp;"",""))</f>
        <v/>
      </c>
      <c r="P1807" s="24" t="str">
        <f aca="false">IF($O1807="","",IF($O1807="CY","CY",IF(ISNUMBER(MATCH($O1807,Lists!$A:$A,0)),"EU","3RD")))</f>
        <v/>
      </c>
      <c r="Q1807" s="24" t="str">
        <f aca="false">IF($F1807="","N",IFERROR(IF(INDEX(Counterparties!$E:$E,MATCH($F1807&amp;"",Counterparties!$A:$A,0))="Y","Y","N"),"N"))</f>
        <v>N</v>
      </c>
      <c r="R1807" s="25" t="n">
        <f aca="false">IF(OR($H1807="",$H1807="EUR"),1,IFERROR(INDEX(FX_Rates!$D:$D,MATCH($H1807,FX_Rates!$A:$A,0)),""))</f>
        <v>1</v>
      </c>
      <c r="S1807" s="26" t="str">
        <f aca="false">IF(AND($I1807="",$J1807=""),"",IF($J1807&lt;&gt;"",$J1807,IF(OR($R1807="",$R1807=0),"",ROUND($I1807/$R1807,2))))</f>
        <v/>
      </c>
      <c r="T1807" s="24" t="str">
        <f aca="false">IF($N1807="","",IFERROR(INDEX(VAT_Codes!$C:$C,MATCH($N1807,VAT_Codes!$A:$A,0)),"")&amp;"")</f>
        <v/>
      </c>
      <c r="U1807" s="26" t="n">
        <f aca="false">IF(OR($S1807="",$T1807="",$T1807="None"),0,IF($T1807="Output",-$S1807,$S1807))</f>
        <v>0</v>
      </c>
      <c r="V1807" s="27" t="n">
        <f aca="false">IF($N1807="",0,IFERROR(INDEX(VAT_Codes!$D:$D,MATCH($N1807,VAT_Codes!$A:$A,0)),0))</f>
        <v>0</v>
      </c>
      <c r="W1807" s="26" t="n">
        <f aca="false">IF($U1807=0,0,IF(IFERROR(INDEX(VAT_Codes!$F:$F,MATCH($N1807,VAT_Codes!$A:$A,0)),"N")="Y",$U1807,IF($L1807&lt;&gt;"",ROUND(ABS($L1807)/IF(OR($R1807="",$R1807=0),1,$R1807),2)*SIGN($U1807),ROUND($U1807*$V1807,2))))</f>
        <v>0</v>
      </c>
      <c r="X1807" s="24" t="str">
        <f aca="false">IF($N1807="","",IFERROR(INDEX(VAT_Codes!$H:$H,MATCH($N1807,VAT_Codes!$A:$A,0)),"")&amp;"")</f>
        <v/>
      </c>
      <c r="Y1807" s="24" t="str">
        <f aca="false">IF($A1807="","",(YEAR($A1807)-YEAR(Settings!$C$8))*12+MONTH($A1807)-MONTH(Settings!$C$8)+1)</f>
        <v/>
      </c>
      <c r="Z1807" s="24" t="str">
        <f aca="false">IF(AND($C1807="",$I1807="",$J1807=""),"",IF($N1807="","NO VAT CODE",IF($T1807="","UNKNOWN VAT CODE",IF($S1807="","MISSING FX RATE",IF(OR($A1807&lt;Settings!$C$8,$A1807&gt;Settings!$C$9),"OUTSIDE PERIOD",IF(AND(IFERROR(INDEX(VAT_Codes!$E:$E,MATCH($N1807,VAT_Codes!$A:$A,0)),"ANY")&lt;&gt;"ANY",$P1807=""),"MISSING COUNTERPARTY COUNTRY",IF(AND(IFERROR(INDEX(VAT_Codes!$E:$E,MATCH($N1807,VAT_Codes!$A:$A,0)),"ANY")&lt;&gt;"ANY",$P1807&lt;&gt;IFERROR(INDEX(VAT_Codes!$E:$E,MATCH($N1807,VAT_Codes!$A:$A,0)),"ANY")),"REGION MISMATCH","OK")))))))</f>
        <v/>
      </c>
    </row>
    <row r="1808" customFormat="false" ht="15" hidden="false" customHeight="false" outlineLevel="0" collapsed="false">
      <c r="M1808" s="24" t="str">
        <f aca="false">IF($C1808="","",IFERROR(INDEX(Account_Mapping!$C:$C,MATCH($C1808&amp;"",Account_Mapping!$A:$A,0))&amp;"",""))</f>
        <v/>
      </c>
      <c r="N1808" s="24" t="str">
        <f aca="false">IF($K1808&lt;&gt;"",$K1808,$M1808)</f>
        <v/>
      </c>
      <c r="O1808" s="24" t="str">
        <f aca="false">IF($F1808="","",IFERROR(INDEX(Counterparties!$C:$C,MATCH($F1808&amp;"",Counterparties!$A:$A,0))&amp;"",""))</f>
        <v/>
      </c>
      <c r="P1808" s="24" t="str">
        <f aca="false">IF($O1808="","",IF($O1808="CY","CY",IF(ISNUMBER(MATCH($O1808,Lists!$A:$A,0)),"EU","3RD")))</f>
        <v/>
      </c>
      <c r="Q1808" s="24" t="str">
        <f aca="false">IF($F1808="","N",IFERROR(IF(INDEX(Counterparties!$E:$E,MATCH($F1808&amp;"",Counterparties!$A:$A,0))="Y","Y","N"),"N"))</f>
        <v>N</v>
      </c>
      <c r="R1808" s="25" t="n">
        <f aca="false">IF(OR($H1808="",$H1808="EUR"),1,IFERROR(INDEX(FX_Rates!$D:$D,MATCH($H1808,FX_Rates!$A:$A,0)),""))</f>
        <v>1</v>
      </c>
      <c r="S1808" s="26" t="str">
        <f aca="false">IF(AND($I1808="",$J1808=""),"",IF($J1808&lt;&gt;"",$J1808,IF(OR($R1808="",$R1808=0),"",ROUND($I1808/$R1808,2))))</f>
        <v/>
      </c>
      <c r="T1808" s="24" t="str">
        <f aca="false">IF($N1808="","",IFERROR(INDEX(VAT_Codes!$C:$C,MATCH($N1808,VAT_Codes!$A:$A,0)),"")&amp;"")</f>
        <v/>
      </c>
      <c r="U1808" s="26" t="n">
        <f aca="false">IF(OR($S1808="",$T1808="",$T1808="None"),0,IF($T1808="Output",-$S1808,$S1808))</f>
        <v>0</v>
      </c>
      <c r="V1808" s="27" t="n">
        <f aca="false">IF($N1808="",0,IFERROR(INDEX(VAT_Codes!$D:$D,MATCH($N1808,VAT_Codes!$A:$A,0)),0))</f>
        <v>0</v>
      </c>
      <c r="W1808" s="26" t="n">
        <f aca="false">IF($U1808=0,0,IF(IFERROR(INDEX(VAT_Codes!$F:$F,MATCH($N1808,VAT_Codes!$A:$A,0)),"N")="Y",$U1808,IF($L1808&lt;&gt;"",ROUND(ABS($L1808)/IF(OR($R1808="",$R1808=0),1,$R1808),2)*SIGN($U1808),ROUND($U1808*$V1808,2))))</f>
        <v>0</v>
      </c>
      <c r="X1808" s="24" t="str">
        <f aca="false">IF($N1808="","",IFERROR(INDEX(VAT_Codes!$H:$H,MATCH($N1808,VAT_Codes!$A:$A,0)),"")&amp;"")</f>
        <v/>
      </c>
      <c r="Y1808" s="24" t="str">
        <f aca="false">IF($A1808="","",(YEAR($A1808)-YEAR(Settings!$C$8))*12+MONTH($A1808)-MONTH(Settings!$C$8)+1)</f>
        <v/>
      </c>
      <c r="Z1808" s="24" t="str">
        <f aca="false">IF(AND($C1808="",$I1808="",$J1808=""),"",IF($N1808="","NO VAT CODE",IF($T1808="","UNKNOWN VAT CODE",IF($S1808="","MISSING FX RATE",IF(OR($A1808&lt;Settings!$C$8,$A1808&gt;Settings!$C$9),"OUTSIDE PERIOD",IF(AND(IFERROR(INDEX(VAT_Codes!$E:$E,MATCH($N1808,VAT_Codes!$A:$A,0)),"ANY")&lt;&gt;"ANY",$P1808=""),"MISSING COUNTERPARTY COUNTRY",IF(AND(IFERROR(INDEX(VAT_Codes!$E:$E,MATCH($N1808,VAT_Codes!$A:$A,0)),"ANY")&lt;&gt;"ANY",$P1808&lt;&gt;IFERROR(INDEX(VAT_Codes!$E:$E,MATCH($N1808,VAT_Codes!$A:$A,0)),"ANY")),"REGION MISMATCH","OK")))))))</f>
        <v/>
      </c>
    </row>
    <row r="1809" customFormat="false" ht="15" hidden="false" customHeight="false" outlineLevel="0" collapsed="false">
      <c r="M1809" s="24" t="str">
        <f aca="false">IF($C1809="","",IFERROR(INDEX(Account_Mapping!$C:$C,MATCH($C1809&amp;"",Account_Mapping!$A:$A,0))&amp;"",""))</f>
        <v/>
      </c>
      <c r="N1809" s="24" t="str">
        <f aca="false">IF($K1809&lt;&gt;"",$K1809,$M1809)</f>
        <v/>
      </c>
      <c r="O1809" s="24" t="str">
        <f aca="false">IF($F1809="","",IFERROR(INDEX(Counterparties!$C:$C,MATCH($F1809&amp;"",Counterparties!$A:$A,0))&amp;"",""))</f>
        <v/>
      </c>
      <c r="P1809" s="24" t="str">
        <f aca="false">IF($O1809="","",IF($O1809="CY","CY",IF(ISNUMBER(MATCH($O1809,Lists!$A:$A,0)),"EU","3RD")))</f>
        <v/>
      </c>
      <c r="Q1809" s="24" t="str">
        <f aca="false">IF($F1809="","N",IFERROR(IF(INDEX(Counterparties!$E:$E,MATCH($F1809&amp;"",Counterparties!$A:$A,0))="Y","Y","N"),"N"))</f>
        <v>N</v>
      </c>
      <c r="R1809" s="25" t="n">
        <f aca="false">IF(OR($H1809="",$H1809="EUR"),1,IFERROR(INDEX(FX_Rates!$D:$D,MATCH($H1809,FX_Rates!$A:$A,0)),""))</f>
        <v>1</v>
      </c>
      <c r="S1809" s="26" t="str">
        <f aca="false">IF(AND($I1809="",$J1809=""),"",IF($J1809&lt;&gt;"",$J1809,IF(OR($R1809="",$R1809=0),"",ROUND($I1809/$R1809,2))))</f>
        <v/>
      </c>
      <c r="T1809" s="24" t="str">
        <f aca="false">IF($N1809="","",IFERROR(INDEX(VAT_Codes!$C:$C,MATCH($N1809,VAT_Codes!$A:$A,0)),"")&amp;"")</f>
        <v/>
      </c>
      <c r="U1809" s="26" t="n">
        <f aca="false">IF(OR($S1809="",$T1809="",$T1809="None"),0,IF($T1809="Output",-$S1809,$S1809))</f>
        <v>0</v>
      </c>
      <c r="V1809" s="27" t="n">
        <f aca="false">IF($N1809="",0,IFERROR(INDEX(VAT_Codes!$D:$D,MATCH($N1809,VAT_Codes!$A:$A,0)),0))</f>
        <v>0</v>
      </c>
      <c r="W1809" s="26" t="n">
        <f aca="false">IF($U1809=0,0,IF(IFERROR(INDEX(VAT_Codes!$F:$F,MATCH($N1809,VAT_Codes!$A:$A,0)),"N")="Y",$U1809,IF($L1809&lt;&gt;"",ROUND(ABS($L1809)/IF(OR($R1809="",$R1809=0),1,$R1809),2)*SIGN($U1809),ROUND($U1809*$V1809,2))))</f>
        <v>0</v>
      </c>
      <c r="X1809" s="24" t="str">
        <f aca="false">IF($N1809="","",IFERROR(INDEX(VAT_Codes!$H:$H,MATCH($N1809,VAT_Codes!$A:$A,0)),"")&amp;"")</f>
        <v/>
      </c>
      <c r="Y1809" s="24" t="str">
        <f aca="false">IF($A1809="","",(YEAR($A1809)-YEAR(Settings!$C$8))*12+MONTH($A1809)-MONTH(Settings!$C$8)+1)</f>
        <v/>
      </c>
      <c r="Z1809" s="24" t="str">
        <f aca="false">IF(AND($C1809="",$I1809="",$J1809=""),"",IF($N1809="","NO VAT CODE",IF($T1809="","UNKNOWN VAT CODE",IF($S1809="","MISSING FX RATE",IF(OR($A1809&lt;Settings!$C$8,$A1809&gt;Settings!$C$9),"OUTSIDE PERIOD",IF(AND(IFERROR(INDEX(VAT_Codes!$E:$E,MATCH($N1809,VAT_Codes!$A:$A,0)),"ANY")&lt;&gt;"ANY",$P1809=""),"MISSING COUNTERPARTY COUNTRY",IF(AND(IFERROR(INDEX(VAT_Codes!$E:$E,MATCH($N1809,VAT_Codes!$A:$A,0)),"ANY")&lt;&gt;"ANY",$P1809&lt;&gt;IFERROR(INDEX(VAT_Codes!$E:$E,MATCH($N1809,VAT_Codes!$A:$A,0)),"ANY")),"REGION MISMATCH","OK")))))))</f>
        <v/>
      </c>
    </row>
    <row r="1810" customFormat="false" ht="15" hidden="false" customHeight="false" outlineLevel="0" collapsed="false">
      <c r="M1810" s="24" t="str">
        <f aca="false">IF($C1810="","",IFERROR(INDEX(Account_Mapping!$C:$C,MATCH($C1810&amp;"",Account_Mapping!$A:$A,0))&amp;"",""))</f>
        <v/>
      </c>
      <c r="N1810" s="24" t="str">
        <f aca="false">IF($K1810&lt;&gt;"",$K1810,$M1810)</f>
        <v/>
      </c>
      <c r="O1810" s="24" t="str">
        <f aca="false">IF($F1810="","",IFERROR(INDEX(Counterparties!$C:$C,MATCH($F1810&amp;"",Counterparties!$A:$A,0))&amp;"",""))</f>
        <v/>
      </c>
      <c r="P1810" s="24" t="str">
        <f aca="false">IF($O1810="","",IF($O1810="CY","CY",IF(ISNUMBER(MATCH($O1810,Lists!$A:$A,0)),"EU","3RD")))</f>
        <v/>
      </c>
      <c r="Q1810" s="24" t="str">
        <f aca="false">IF($F1810="","N",IFERROR(IF(INDEX(Counterparties!$E:$E,MATCH($F1810&amp;"",Counterparties!$A:$A,0))="Y","Y","N"),"N"))</f>
        <v>N</v>
      </c>
      <c r="R1810" s="25" t="n">
        <f aca="false">IF(OR($H1810="",$H1810="EUR"),1,IFERROR(INDEX(FX_Rates!$D:$D,MATCH($H1810,FX_Rates!$A:$A,0)),""))</f>
        <v>1</v>
      </c>
      <c r="S1810" s="26" t="str">
        <f aca="false">IF(AND($I1810="",$J1810=""),"",IF($J1810&lt;&gt;"",$J1810,IF(OR($R1810="",$R1810=0),"",ROUND($I1810/$R1810,2))))</f>
        <v/>
      </c>
      <c r="T1810" s="24" t="str">
        <f aca="false">IF($N1810="","",IFERROR(INDEX(VAT_Codes!$C:$C,MATCH($N1810,VAT_Codes!$A:$A,0)),"")&amp;"")</f>
        <v/>
      </c>
      <c r="U1810" s="26" t="n">
        <f aca="false">IF(OR($S1810="",$T1810="",$T1810="None"),0,IF($T1810="Output",-$S1810,$S1810))</f>
        <v>0</v>
      </c>
      <c r="V1810" s="27" t="n">
        <f aca="false">IF($N1810="",0,IFERROR(INDEX(VAT_Codes!$D:$D,MATCH($N1810,VAT_Codes!$A:$A,0)),0))</f>
        <v>0</v>
      </c>
      <c r="W1810" s="26" t="n">
        <f aca="false">IF($U1810=0,0,IF(IFERROR(INDEX(VAT_Codes!$F:$F,MATCH($N1810,VAT_Codes!$A:$A,0)),"N")="Y",$U1810,IF($L1810&lt;&gt;"",ROUND(ABS($L1810)/IF(OR($R1810="",$R1810=0),1,$R1810),2)*SIGN($U1810),ROUND($U1810*$V1810,2))))</f>
        <v>0</v>
      </c>
      <c r="X1810" s="24" t="str">
        <f aca="false">IF($N1810="","",IFERROR(INDEX(VAT_Codes!$H:$H,MATCH($N1810,VAT_Codes!$A:$A,0)),"")&amp;"")</f>
        <v/>
      </c>
      <c r="Y1810" s="24" t="str">
        <f aca="false">IF($A1810="","",(YEAR($A1810)-YEAR(Settings!$C$8))*12+MONTH($A1810)-MONTH(Settings!$C$8)+1)</f>
        <v/>
      </c>
      <c r="Z1810" s="24" t="str">
        <f aca="false">IF(AND($C1810="",$I1810="",$J1810=""),"",IF($N1810="","NO VAT CODE",IF($T1810="","UNKNOWN VAT CODE",IF($S1810="","MISSING FX RATE",IF(OR($A1810&lt;Settings!$C$8,$A1810&gt;Settings!$C$9),"OUTSIDE PERIOD",IF(AND(IFERROR(INDEX(VAT_Codes!$E:$E,MATCH($N1810,VAT_Codes!$A:$A,0)),"ANY")&lt;&gt;"ANY",$P1810=""),"MISSING COUNTERPARTY COUNTRY",IF(AND(IFERROR(INDEX(VAT_Codes!$E:$E,MATCH($N1810,VAT_Codes!$A:$A,0)),"ANY")&lt;&gt;"ANY",$P1810&lt;&gt;IFERROR(INDEX(VAT_Codes!$E:$E,MATCH($N1810,VAT_Codes!$A:$A,0)),"ANY")),"REGION MISMATCH","OK")))))))</f>
        <v/>
      </c>
    </row>
    <row r="1811" customFormat="false" ht="15" hidden="false" customHeight="false" outlineLevel="0" collapsed="false">
      <c r="M1811" s="24" t="str">
        <f aca="false">IF($C1811="","",IFERROR(INDEX(Account_Mapping!$C:$C,MATCH($C1811&amp;"",Account_Mapping!$A:$A,0))&amp;"",""))</f>
        <v/>
      </c>
      <c r="N1811" s="24" t="str">
        <f aca="false">IF($K1811&lt;&gt;"",$K1811,$M1811)</f>
        <v/>
      </c>
      <c r="O1811" s="24" t="str">
        <f aca="false">IF($F1811="","",IFERROR(INDEX(Counterparties!$C:$C,MATCH($F1811&amp;"",Counterparties!$A:$A,0))&amp;"",""))</f>
        <v/>
      </c>
      <c r="P1811" s="24" t="str">
        <f aca="false">IF($O1811="","",IF($O1811="CY","CY",IF(ISNUMBER(MATCH($O1811,Lists!$A:$A,0)),"EU","3RD")))</f>
        <v/>
      </c>
      <c r="Q1811" s="24" t="str">
        <f aca="false">IF($F1811="","N",IFERROR(IF(INDEX(Counterparties!$E:$E,MATCH($F1811&amp;"",Counterparties!$A:$A,0))="Y","Y","N"),"N"))</f>
        <v>N</v>
      </c>
      <c r="R1811" s="25" t="n">
        <f aca="false">IF(OR($H1811="",$H1811="EUR"),1,IFERROR(INDEX(FX_Rates!$D:$D,MATCH($H1811,FX_Rates!$A:$A,0)),""))</f>
        <v>1</v>
      </c>
      <c r="S1811" s="26" t="str">
        <f aca="false">IF(AND($I1811="",$J1811=""),"",IF($J1811&lt;&gt;"",$J1811,IF(OR($R1811="",$R1811=0),"",ROUND($I1811/$R1811,2))))</f>
        <v/>
      </c>
      <c r="T1811" s="24" t="str">
        <f aca="false">IF($N1811="","",IFERROR(INDEX(VAT_Codes!$C:$C,MATCH($N1811,VAT_Codes!$A:$A,0)),"")&amp;"")</f>
        <v/>
      </c>
      <c r="U1811" s="26" t="n">
        <f aca="false">IF(OR($S1811="",$T1811="",$T1811="None"),0,IF($T1811="Output",-$S1811,$S1811))</f>
        <v>0</v>
      </c>
      <c r="V1811" s="27" t="n">
        <f aca="false">IF($N1811="",0,IFERROR(INDEX(VAT_Codes!$D:$D,MATCH($N1811,VAT_Codes!$A:$A,0)),0))</f>
        <v>0</v>
      </c>
      <c r="W1811" s="26" t="n">
        <f aca="false">IF($U1811=0,0,IF(IFERROR(INDEX(VAT_Codes!$F:$F,MATCH($N1811,VAT_Codes!$A:$A,0)),"N")="Y",$U1811,IF($L1811&lt;&gt;"",ROUND(ABS($L1811)/IF(OR($R1811="",$R1811=0),1,$R1811),2)*SIGN($U1811),ROUND($U1811*$V1811,2))))</f>
        <v>0</v>
      </c>
      <c r="X1811" s="24" t="str">
        <f aca="false">IF($N1811="","",IFERROR(INDEX(VAT_Codes!$H:$H,MATCH($N1811,VAT_Codes!$A:$A,0)),"")&amp;"")</f>
        <v/>
      </c>
      <c r="Y1811" s="24" t="str">
        <f aca="false">IF($A1811="","",(YEAR($A1811)-YEAR(Settings!$C$8))*12+MONTH($A1811)-MONTH(Settings!$C$8)+1)</f>
        <v/>
      </c>
      <c r="Z1811" s="24" t="str">
        <f aca="false">IF(AND($C1811="",$I1811="",$J1811=""),"",IF($N1811="","NO VAT CODE",IF($T1811="","UNKNOWN VAT CODE",IF($S1811="","MISSING FX RATE",IF(OR($A1811&lt;Settings!$C$8,$A1811&gt;Settings!$C$9),"OUTSIDE PERIOD",IF(AND(IFERROR(INDEX(VAT_Codes!$E:$E,MATCH($N1811,VAT_Codes!$A:$A,0)),"ANY")&lt;&gt;"ANY",$P1811=""),"MISSING COUNTERPARTY COUNTRY",IF(AND(IFERROR(INDEX(VAT_Codes!$E:$E,MATCH($N1811,VAT_Codes!$A:$A,0)),"ANY")&lt;&gt;"ANY",$P1811&lt;&gt;IFERROR(INDEX(VAT_Codes!$E:$E,MATCH($N1811,VAT_Codes!$A:$A,0)),"ANY")),"REGION MISMATCH","OK")))))))</f>
        <v/>
      </c>
    </row>
    <row r="1812" customFormat="false" ht="15" hidden="false" customHeight="false" outlineLevel="0" collapsed="false">
      <c r="M1812" s="24" t="str">
        <f aca="false">IF($C1812="","",IFERROR(INDEX(Account_Mapping!$C:$C,MATCH($C1812&amp;"",Account_Mapping!$A:$A,0))&amp;"",""))</f>
        <v/>
      </c>
      <c r="N1812" s="24" t="str">
        <f aca="false">IF($K1812&lt;&gt;"",$K1812,$M1812)</f>
        <v/>
      </c>
      <c r="O1812" s="24" t="str">
        <f aca="false">IF($F1812="","",IFERROR(INDEX(Counterparties!$C:$C,MATCH($F1812&amp;"",Counterparties!$A:$A,0))&amp;"",""))</f>
        <v/>
      </c>
      <c r="P1812" s="24" t="str">
        <f aca="false">IF($O1812="","",IF($O1812="CY","CY",IF(ISNUMBER(MATCH($O1812,Lists!$A:$A,0)),"EU","3RD")))</f>
        <v/>
      </c>
      <c r="Q1812" s="24" t="str">
        <f aca="false">IF($F1812="","N",IFERROR(IF(INDEX(Counterparties!$E:$E,MATCH($F1812&amp;"",Counterparties!$A:$A,0))="Y","Y","N"),"N"))</f>
        <v>N</v>
      </c>
      <c r="R1812" s="25" t="n">
        <f aca="false">IF(OR($H1812="",$H1812="EUR"),1,IFERROR(INDEX(FX_Rates!$D:$D,MATCH($H1812,FX_Rates!$A:$A,0)),""))</f>
        <v>1</v>
      </c>
      <c r="S1812" s="26" t="str">
        <f aca="false">IF(AND($I1812="",$J1812=""),"",IF($J1812&lt;&gt;"",$J1812,IF(OR($R1812="",$R1812=0),"",ROUND($I1812/$R1812,2))))</f>
        <v/>
      </c>
      <c r="T1812" s="24" t="str">
        <f aca="false">IF($N1812="","",IFERROR(INDEX(VAT_Codes!$C:$C,MATCH($N1812,VAT_Codes!$A:$A,0)),"")&amp;"")</f>
        <v/>
      </c>
      <c r="U1812" s="26" t="n">
        <f aca="false">IF(OR($S1812="",$T1812="",$T1812="None"),0,IF($T1812="Output",-$S1812,$S1812))</f>
        <v>0</v>
      </c>
      <c r="V1812" s="27" t="n">
        <f aca="false">IF($N1812="",0,IFERROR(INDEX(VAT_Codes!$D:$D,MATCH($N1812,VAT_Codes!$A:$A,0)),0))</f>
        <v>0</v>
      </c>
      <c r="W1812" s="26" t="n">
        <f aca="false">IF($U1812=0,0,IF(IFERROR(INDEX(VAT_Codes!$F:$F,MATCH($N1812,VAT_Codes!$A:$A,0)),"N")="Y",$U1812,IF($L1812&lt;&gt;"",ROUND(ABS($L1812)/IF(OR($R1812="",$R1812=0),1,$R1812),2)*SIGN($U1812),ROUND($U1812*$V1812,2))))</f>
        <v>0</v>
      </c>
      <c r="X1812" s="24" t="str">
        <f aca="false">IF($N1812="","",IFERROR(INDEX(VAT_Codes!$H:$H,MATCH($N1812,VAT_Codes!$A:$A,0)),"")&amp;"")</f>
        <v/>
      </c>
      <c r="Y1812" s="24" t="str">
        <f aca="false">IF($A1812="","",(YEAR($A1812)-YEAR(Settings!$C$8))*12+MONTH($A1812)-MONTH(Settings!$C$8)+1)</f>
        <v/>
      </c>
      <c r="Z1812" s="24" t="str">
        <f aca="false">IF(AND($C1812="",$I1812="",$J1812=""),"",IF($N1812="","NO VAT CODE",IF($T1812="","UNKNOWN VAT CODE",IF($S1812="","MISSING FX RATE",IF(OR($A1812&lt;Settings!$C$8,$A1812&gt;Settings!$C$9),"OUTSIDE PERIOD",IF(AND(IFERROR(INDEX(VAT_Codes!$E:$E,MATCH($N1812,VAT_Codes!$A:$A,0)),"ANY")&lt;&gt;"ANY",$P1812=""),"MISSING COUNTERPARTY COUNTRY",IF(AND(IFERROR(INDEX(VAT_Codes!$E:$E,MATCH($N1812,VAT_Codes!$A:$A,0)),"ANY")&lt;&gt;"ANY",$P1812&lt;&gt;IFERROR(INDEX(VAT_Codes!$E:$E,MATCH($N1812,VAT_Codes!$A:$A,0)),"ANY")),"REGION MISMATCH","OK")))))))</f>
        <v/>
      </c>
    </row>
    <row r="1813" customFormat="false" ht="15" hidden="false" customHeight="false" outlineLevel="0" collapsed="false">
      <c r="M1813" s="24" t="str">
        <f aca="false">IF($C1813="","",IFERROR(INDEX(Account_Mapping!$C:$C,MATCH($C1813&amp;"",Account_Mapping!$A:$A,0))&amp;"",""))</f>
        <v/>
      </c>
      <c r="N1813" s="24" t="str">
        <f aca="false">IF($K1813&lt;&gt;"",$K1813,$M1813)</f>
        <v/>
      </c>
      <c r="O1813" s="24" t="str">
        <f aca="false">IF($F1813="","",IFERROR(INDEX(Counterparties!$C:$C,MATCH($F1813&amp;"",Counterparties!$A:$A,0))&amp;"",""))</f>
        <v/>
      </c>
      <c r="P1813" s="24" t="str">
        <f aca="false">IF($O1813="","",IF($O1813="CY","CY",IF(ISNUMBER(MATCH($O1813,Lists!$A:$A,0)),"EU","3RD")))</f>
        <v/>
      </c>
      <c r="Q1813" s="24" t="str">
        <f aca="false">IF($F1813="","N",IFERROR(IF(INDEX(Counterparties!$E:$E,MATCH($F1813&amp;"",Counterparties!$A:$A,0))="Y","Y","N"),"N"))</f>
        <v>N</v>
      </c>
      <c r="R1813" s="25" t="n">
        <f aca="false">IF(OR($H1813="",$H1813="EUR"),1,IFERROR(INDEX(FX_Rates!$D:$D,MATCH($H1813,FX_Rates!$A:$A,0)),""))</f>
        <v>1</v>
      </c>
      <c r="S1813" s="26" t="str">
        <f aca="false">IF(AND($I1813="",$J1813=""),"",IF($J1813&lt;&gt;"",$J1813,IF(OR($R1813="",$R1813=0),"",ROUND($I1813/$R1813,2))))</f>
        <v/>
      </c>
      <c r="T1813" s="24" t="str">
        <f aca="false">IF($N1813="","",IFERROR(INDEX(VAT_Codes!$C:$C,MATCH($N1813,VAT_Codes!$A:$A,0)),"")&amp;"")</f>
        <v/>
      </c>
      <c r="U1813" s="26" t="n">
        <f aca="false">IF(OR($S1813="",$T1813="",$T1813="None"),0,IF($T1813="Output",-$S1813,$S1813))</f>
        <v>0</v>
      </c>
      <c r="V1813" s="27" t="n">
        <f aca="false">IF($N1813="",0,IFERROR(INDEX(VAT_Codes!$D:$D,MATCH($N1813,VAT_Codes!$A:$A,0)),0))</f>
        <v>0</v>
      </c>
      <c r="W1813" s="26" t="n">
        <f aca="false">IF($U1813=0,0,IF(IFERROR(INDEX(VAT_Codes!$F:$F,MATCH($N1813,VAT_Codes!$A:$A,0)),"N")="Y",$U1813,IF($L1813&lt;&gt;"",ROUND(ABS($L1813)/IF(OR($R1813="",$R1813=0),1,$R1813),2)*SIGN($U1813),ROUND($U1813*$V1813,2))))</f>
        <v>0</v>
      </c>
      <c r="X1813" s="24" t="str">
        <f aca="false">IF($N1813="","",IFERROR(INDEX(VAT_Codes!$H:$H,MATCH($N1813,VAT_Codes!$A:$A,0)),"")&amp;"")</f>
        <v/>
      </c>
      <c r="Y1813" s="24" t="str">
        <f aca="false">IF($A1813="","",(YEAR($A1813)-YEAR(Settings!$C$8))*12+MONTH($A1813)-MONTH(Settings!$C$8)+1)</f>
        <v/>
      </c>
      <c r="Z1813" s="24" t="str">
        <f aca="false">IF(AND($C1813="",$I1813="",$J1813=""),"",IF($N1813="","NO VAT CODE",IF($T1813="","UNKNOWN VAT CODE",IF($S1813="","MISSING FX RATE",IF(OR($A1813&lt;Settings!$C$8,$A1813&gt;Settings!$C$9),"OUTSIDE PERIOD",IF(AND(IFERROR(INDEX(VAT_Codes!$E:$E,MATCH($N1813,VAT_Codes!$A:$A,0)),"ANY")&lt;&gt;"ANY",$P1813=""),"MISSING COUNTERPARTY COUNTRY",IF(AND(IFERROR(INDEX(VAT_Codes!$E:$E,MATCH($N1813,VAT_Codes!$A:$A,0)),"ANY")&lt;&gt;"ANY",$P1813&lt;&gt;IFERROR(INDEX(VAT_Codes!$E:$E,MATCH($N1813,VAT_Codes!$A:$A,0)),"ANY")),"REGION MISMATCH","OK")))))))</f>
        <v/>
      </c>
    </row>
    <row r="1814" customFormat="false" ht="15" hidden="false" customHeight="false" outlineLevel="0" collapsed="false">
      <c r="M1814" s="24" t="str">
        <f aca="false">IF($C1814="","",IFERROR(INDEX(Account_Mapping!$C:$C,MATCH($C1814&amp;"",Account_Mapping!$A:$A,0))&amp;"",""))</f>
        <v/>
      </c>
      <c r="N1814" s="24" t="str">
        <f aca="false">IF($K1814&lt;&gt;"",$K1814,$M1814)</f>
        <v/>
      </c>
      <c r="O1814" s="24" t="str">
        <f aca="false">IF($F1814="","",IFERROR(INDEX(Counterparties!$C:$C,MATCH($F1814&amp;"",Counterparties!$A:$A,0))&amp;"",""))</f>
        <v/>
      </c>
      <c r="P1814" s="24" t="str">
        <f aca="false">IF($O1814="","",IF($O1814="CY","CY",IF(ISNUMBER(MATCH($O1814,Lists!$A:$A,0)),"EU","3RD")))</f>
        <v/>
      </c>
      <c r="Q1814" s="24" t="str">
        <f aca="false">IF($F1814="","N",IFERROR(IF(INDEX(Counterparties!$E:$E,MATCH($F1814&amp;"",Counterparties!$A:$A,0))="Y","Y","N"),"N"))</f>
        <v>N</v>
      </c>
      <c r="R1814" s="25" t="n">
        <f aca="false">IF(OR($H1814="",$H1814="EUR"),1,IFERROR(INDEX(FX_Rates!$D:$D,MATCH($H1814,FX_Rates!$A:$A,0)),""))</f>
        <v>1</v>
      </c>
      <c r="S1814" s="26" t="str">
        <f aca="false">IF(AND($I1814="",$J1814=""),"",IF($J1814&lt;&gt;"",$J1814,IF(OR($R1814="",$R1814=0),"",ROUND($I1814/$R1814,2))))</f>
        <v/>
      </c>
      <c r="T1814" s="24" t="str">
        <f aca="false">IF($N1814="","",IFERROR(INDEX(VAT_Codes!$C:$C,MATCH($N1814,VAT_Codes!$A:$A,0)),"")&amp;"")</f>
        <v/>
      </c>
      <c r="U1814" s="26" t="n">
        <f aca="false">IF(OR($S1814="",$T1814="",$T1814="None"),0,IF($T1814="Output",-$S1814,$S1814))</f>
        <v>0</v>
      </c>
      <c r="V1814" s="27" t="n">
        <f aca="false">IF($N1814="",0,IFERROR(INDEX(VAT_Codes!$D:$D,MATCH($N1814,VAT_Codes!$A:$A,0)),0))</f>
        <v>0</v>
      </c>
      <c r="W1814" s="26" t="n">
        <f aca="false">IF($U1814=0,0,IF(IFERROR(INDEX(VAT_Codes!$F:$F,MATCH($N1814,VAT_Codes!$A:$A,0)),"N")="Y",$U1814,IF($L1814&lt;&gt;"",ROUND(ABS($L1814)/IF(OR($R1814="",$R1814=0),1,$R1814),2)*SIGN($U1814),ROUND($U1814*$V1814,2))))</f>
        <v>0</v>
      </c>
      <c r="X1814" s="24" t="str">
        <f aca="false">IF($N1814="","",IFERROR(INDEX(VAT_Codes!$H:$H,MATCH($N1814,VAT_Codes!$A:$A,0)),"")&amp;"")</f>
        <v/>
      </c>
      <c r="Y1814" s="24" t="str">
        <f aca="false">IF($A1814="","",(YEAR($A1814)-YEAR(Settings!$C$8))*12+MONTH($A1814)-MONTH(Settings!$C$8)+1)</f>
        <v/>
      </c>
      <c r="Z1814" s="24" t="str">
        <f aca="false">IF(AND($C1814="",$I1814="",$J1814=""),"",IF($N1814="","NO VAT CODE",IF($T1814="","UNKNOWN VAT CODE",IF($S1814="","MISSING FX RATE",IF(OR($A1814&lt;Settings!$C$8,$A1814&gt;Settings!$C$9),"OUTSIDE PERIOD",IF(AND(IFERROR(INDEX(VAT_Codes!$E:$E,MATCH($N1814,VAT_Codes!$A:$A,0)),"ANY")&lt;&gt;"ANY",$P1814=""),"MISSING COUNTERPARTY COUNTRY",IF(AND(IFERROR(INDEX(VAT_Codes!$E:$E,MATCH($N1814,VAT_Codes!$A:$A,0)),"ANY")&lt;&gt;"ANY",$P1814&lt;&gt;IFERROR(INDEX(VAT_Codes!$E:$E,MATCH($N1814,VAT_Codes!$A:$A,0)),"ANY")),"REGION MISMATCH","OK")))))))</f>
        <v/>
      </c>
    </row>
    <row r="1815" customFormat="false" ht="15" hidden="false" customHeight="false" outlineLevel="0" collapsed="false">
      <c r="M1815" s="24" t="str">
        <f aca="false">IF($C1815="","",IFERROR(INDEX(Account_Mapping!$C:$C,MATCH($C1815&amp;"",Account_Mapping!$A:$A,0))&amp;"",""))</f>
        <v/>
      </c>
      <c r="N1815" s="24" t="str">
        <f aca="false">IF($K1815&lt;&gt;"",$K1815,$M1815)</f>
        <v/>
      </c>
      <c r="O1815" s="24" t="str">
        <f aca="false">IF($F1815="","",IFERROR(INDEX(Counterparties!$C:$C,MATCH($F1815&amp;"",Counterparties!$A:$A,0))&amp;"",""))</f>
        <v/>
      </c>
      <c r="P1815" s="24" t="str">
        <f aca="false">IF($O1815="","",IF($O1815="CY","CY",IF(ISNUMBER(MATCH($O1815,Lists!$A:$A,0)),"EU","3RD")))</f>
        <v/>
      </c>
      <c r="Q1815" s="24" t="str">
        <f aca="false">IF($F1815="","N",IFERROR(IF(INDEX(Counterparties!$E:$E,MATCH($F1815&amp;"",Counterparties!$A:$A,0))="Y","Y","N"),"N"))</f>
        <v>N</v>
      </c>
      <c r="R1815" s="25" t="n">
        <f aca="false">IF(OR($H1815="",$H1815="EUR"),1,IFERROR(INDEX(FX_Rates!$D:$D,MATCH($H1815,FX_Rates!$A:$A,0)),""))</f>
        <v>1</v>
      </c>
      <c r="S1815" s="26" t="str">
        <f aca="false">IF(AND($I1815="",$J1815=""),"",IF($J1815&lt;&gt;"",$J1815,IF(OR($R1815="",$R1815=0),"",ROUND($I1815/$R1815,2))))</f>
        <v/>
      </c>
      <c r="T1815" s="24" t="str">
        <f aca="false">IF($N1815="","",IFERROR(INDEX(VAT_Codes!$C:$C,MATCH($N1815,VAT_Codes!$A:$A,0)),"")&amp;"")</f>
        <v/>
      </c>
      <c r="U1815" s="26" t="n">
        <f aca="false">IF(OR($S1815="",$T1815="",$T1815="None"),0,IF($T1815="Output",-$S1815,$S1815))</f>
        <v>0</v>
      </c>
      <c r="V1815" s="27" t="n">
        <f aca="false">IF($N1815="",0,IFERROR(INDEX(VAT_Codes!$D:$D,MATCH($N1815,VAT_Codes!$A:$A,0)),0))</f>
        <v>0</v>
      </c>
      <c r="W1815" s="26" t="n">
        <f aca="false">IF($U1815=0,0,IF(IFERROR(INDEX(VAT_Codes!$F:$F,MATCH($N1815,VAT_Codes!$A:$A,0)),"N")="Y",$U1815,IF($L1815&lt;&gt;"",ROUND(ABS($L1815)/IF(OR($R1815="",$R1815=0),1,$R1815),2)*SIGN($U1815),ROUND($U1815*$V1815,2))))</f>
        <v>0</v>
      </c>
      <c r="X1815" s="24" t="str">
        <f aca="false">IF($N1815="","",IFERROR(INDEX(VAT_Codes!$H:$H,MATCH($N1815,VAT_Codes!$A:$A,0)),"")&amp;"")</f>
        <v/>
      </c>
      <c r="Y1815" s="24" t="str">
        <f aca="false">IF($A1815="","",(YEAR($A1815)-YEAR(Settings!$C$8))*12+MONTH($A1815)-MONTH(Settings!$C$8)+1)</f>
        <v/>
      </c>
      <c r="Z1815" s="24" t="str">
        <f aca="false">IF(AND($C1815="",$I1815="",$J1815=""),"",IF($N1815="","NO VAT CODE",IF($T1815="","UNKNOWN VAT CODE",IF($S1815="","MISSING FX RATE",IF(OR($A1815&lt;Settings!$C$8,$A1815&gt;Settings!$C$9),"OUTSIDE PERIOD",IF(AND(IFERROR(INDEX(VAT_Codes!$E:$E,MATCH($N1815,VAT_Codes!$A:$A,0)),"ANY")&lt;&gt;"ANY",$P1815=""),"MISSING COUNTERPARTY COUNTRY",IF(AND(IFERROR(INDEX(VAT_Codes!$E:$E,MATCH($N1815,VAT_Codes!$A:$A,0)),"ANY")&lt;&gt;"ANY",$P1815&lt;&gt;IFERROR(INDEX(VAT_Codes!$E:$E,MATCH($N1815,VAT_Codes!$A:$A,0)),"ANY")),"REGION MISMATCH","OK")))))))</f>
        <v/>
      </c>
    </row>
    <row r="1816" customFormat="false" ht="15" hidden="false" customHeight="false" outlineLevel="0" collapsed="false">
      <c r="M1816" s="24" t="str">
        <f aca="false">IF($C1816="","",IFERROR(INDEX(Account_Mapping!$C:$C,MATCH($C1816&amp;"",Account_Mapping!$A:$A,0))&amp;"",""))</f>
        <v/>
      </c>
      <c r="N1816" s="24" t="str">
        <f aca="false">IF($K1816&lt;&gt;"",$K1816,$M1816)</f>
        <v/>
      </c>
      <c r="O1816" s="24" t="str">
        <f aca="false">IF($F1816="","",IFERROR(INDEX(Counterparties!$C:$C,MATCH($F1816&amp;"",Counterparties!$A:$A,0))&amp;"",""))</f>
        <v/>
      </c>
      <c r="P1816" s="24" t="str">
        <f aca="false">IF($O1816="","",IF($O1816="CY","CY",IF(ISNUMBER(MATCH($O1816,Lists!$A:$A,0)),"EU","3RD")))</f>
        <v/>
      </c>
      <c r="Q1816" s="24" t="str">
        <f aca="false">IF($F1816="","N",IFERROR(IF(INDEX(Counterparties!$E:$E,MATCH($F1816&amp;"",Counterparties!$A:$A,0))="Y","Y","N"),"N"))</f>
        <v>N</v>
      </c>
      <c r="R1816" s="25" t="n">
        <f aca="false">IF(OR($H1816="",$H1816="EUR"),1,IFERROR(INDEX(FX_Rates!$D:$D,MATCH($H1816,FX_Rates!$A:$A,0)),""))</f>
        <v>1</v>
      </c>
      <c r="S1816" s="26" t="str">
        <f aca="false">IF(AND($I1816="",$J1816=""),"",IF($J1816&lt;&gt;"",$J1816,IF(OR($R1816="",$R1816=0),"",ROUND($I1816/$R1816,2))))</f>
        <v/>
      </c>
      <c r="T1816" s="24" t="str">
        <f aca="false">IF($N1816="","",IFERROR(INDEX(VAT_Codes!$C:$C,MATCH($N1816,VAT_Codes!$A:$A,0)),"")&amp;"")</f>
        <v/>
      </c>
      <c r="U1816" s="26" t="n">
        <f aca="false">IF(OR($S1816="",$T1816="",$T1816="None"),0,IF($T1816="Output",-$S1816,$S1816))</f>
        <v>0</v>
      </c>
      <c r="V1816" s="27" t="n">
        <f aca="false">IF($N1816="",0,IFERROR(INDEX(VAT_Codes!$D:$D,MATCH($N1816,VAT_Codes!$A:$A,0)),0))</f>
        <v>0</v>
      </c>
      <c r="W1816" s="26" t="n">
        <f aca="false">IF($U1816=0,0,IF(IFERROR(INDEX(VAT_Codes!$F:$F,MATCH($N1816,VAT_Codes!$A:$A,0)),"N")="Y",$U1816,IF($L1816&lt;&gt;"",ROUND(ABS($L1816)/IF(OR($R1816="",$R1816=0),1,$R1816),2)*SIGN($U1816),ROUND($U1816*$V1816,2))))</f>
        <v>0</v>
      </c>
      <c r="X1816" s="24" t="str">
        <f aca="false">IF($N1816="","",IFERROR(INDEX(VAT_Codes!$H:$H,MATCH($N1816,VAT_Codes!$A:$A,0)),"")&amp;"")</f>
        <v/>
      </c>
      <c r="Y1816" s="24" t="str">
        <f aca="false">IF($A1816="","",(YEAR($A1816)-YEAR(Settings!$C$8))*12+MONTH($A1816)-MONTH(Settings!$C$8)+1)</f>
        <v/>
      </c>
      <c r="Z1816" s="24" t="str">
        <f aca="false">IF(AND($C1816="",$I1816="",$J1816=""),"",IF($N1816="","NO VAT CODE",IF($T1816="","UNKNOWN VAT CODE",IF($S1816="","MISSING FX RATE",IF(OR($A1816&lt;Settings!$C$8,$A1816&gt;Settings!$C$9),"OUTSIDE PERIOD",IF(AND(IFERROR(INDEX(VAT_Codes!$E:$E,MATCH($N1816,VAT_Codes!$A:$A,0)),"ANY")&lt;&gt;"ANY",$P1816=""),"MISSING COUNTERPARTY COUNTRY",IF(AND(IFERROR(INDEX(VAT_Codes!$E:$E,MATCH($N1816,VAT_Codes!$A:$A,0)),"ANY")&lt;&gt;"ANY",$P1816&lt;&gt;IFERROR(INDEX(VAT_Codes!$E:$E,MATCH($N1816,VAT_Codes!$A:$A,0)),"ANY")),"REGION MISMATCH","OK")))))))</f>
        <v/>
      </c>
    </row>
    <row r="1817" customFormat="false" ht="15" hidden="false" customHeight="false" outlineLevel="0" collapsed="false">
      <c r="M1817" s="24" t="str">
        <f aca="false">IF($C1817="","",IFERROR(INDEX(Account_Mapping!$C:$C,MATCH($C1817&amp;"",Account_Mapping!$A:$A,0))&amp;"",""))</f>
        <v/>
      </c>
      <c r="N1817" s="24" t="str">
        <f aca="false">IF($K1817&lt;&gt;"",$K1817,$M1817)</f>
        <v/>
      </c>
      <c r="O1817" s="24" t="str">
        <f aca="false">IF($F1817="","",IFERROR(INDEX(Counterparties!$C:$C,MATCH($F1817&amp;"",Counterparties!$A:$A,0))&amp;"",""))</f>
        <v/>
      </c>
      <c r="P1817" s="24" t="str">
        <f aca="false">IF($O1817="","",IF($O1817="CY","CY",IF(ISNUMBER(MATCH($O1817,Lists!$A:$A,0)),"EU","3RD")))</f>
        <v/>
      </c>
      <c r="Q1817" s="24" t="str">
        <f aca="false">IF($F1817="","N",IFERROR(IF(INDEX(Counterparties!$E:$E,MATCH($F1817&amp;"",Counterparties!$A:$A,0))="Y","Y","N"),"N"))</f>
        <v>N</v>
      </c>
      <c r="R1817" s="25" t="n">
        <f aca="false">IF(OR($H1817="",$H1817="EUR"),1,IFERROR(INDEX(FX_Rates!$D:$D,MATCH($H1817,FX_Rates!$A:$A,0)),""))</f>
        <v>1</v>
      </c>
      <c r="S1817" s="26" t="str">
        <f aca="false">IF(AND($I1817="",$J1817=""),"",IF($J1817&lt;&gt;"",$J1817,IF(OR($R1817="",$R1817=0),"",ROUND($I1817/$R1817,2))))</f>
        <v/>
      </c>
      <c r="T1817" s="24" t="str">
        <f aca="false">IF($N1817="","",IFERROR(INDEX(VAT_Codes!$C:$C,MATCH($N1817,VAT_Codes!$A:$A,0)),"")&amp;"")</f>
        <v/>
      </c>
      <c r="U1817" s="26" t="n">
        <f aca="false">IF(OR($S1817="",$T1817="",$T1817="None"),0,IF($T1817="Output",-$S1817,$S1817))</f>
        <v>0</v>
      </c>
      <c r="V1817" s="27" t="n">
        <f aca="false">IF($N1817="",0,IFERROR(INDEX(VAT_Codes!$D:$D,MATCH($N1817,VAT_Codes!$A:$A,0)),0))</f>
        <v>0</v>
      </c>
      <c r="W1817" s="26" t="n">
        <f aca="false">IF($U1817=0,0,IF(IFERROR(INDEX(VAT_Codes!$F:$F,MATCH($N1817,VAT_Codes!$A:$A,0)),"N")="Y",$U1817,IF($L1817&lt;&gt;"",ROUND(ABS($L1817)/IF(OR($R1817="",$R1817=0),1,$R1817),2)*SIGN($U1817),ROUND($U1817*$V1817,2))))</f>
        <v>0</v>
      </c>
      <c r="X1817" s="24" t="str">
        <f aca="false">IF($N1817="","",IFERROR(INDEX(VAT_Codes!$H:$H,MATCH($N1817,VAT_Codes!$A:$A,0)),"")&amp;"")</f>
        <v/>
      </c>
      <c r="Y1817" s="24" t="str">
        <f aca="false">IF($A1817="","",(YEAR($A1817)-YEAR(Settings!$C$8))*12+MONTH($A1817)-MONTH(Settings!$C$8)+1)</f>
        <v/>
      </c>
      <c r="Z1817" s="24" t="str">
        <f aca="false">IF(AND($C1817="",$I1817="",$J1817=""),"",IF($N1817="","NO VAT CODE",IF($T1817="","UNKNOWN VAT CODE",IF($S1817="","MISSING FX RATE",IF(OR($A1817&lt;Settings!$C$8,$A1817&gt;Settings!$C$9),"OUTSIDE PERIOD",IF(AND(IFERROR(INDEX(VAT_Codes!$E:$E,MATCH($N1817,VAT_Codes!$A:$A,0)),"ANY")&lt;&gt;"ANY",$P1817=""),"MISSING COUNTERPARTY COUNTRY",IF(AND(IFERROR(INDEX(VAT_Codes!$E:$E,MATCH($N1817,VAT_Codes!$A:$A,0)),"ANY")&lt;&gt;"ANY",$P1817&lt;&gt;IFERROR(INDEX(VAT_Codes!$E:$E,MATCH($N1817,VAT_Codes!$A:$A,0)),"ANY")),"REGION MISMATCH","OK")))))))</f>
        <v/>
      </c>
    </row>
    <row r="1818" customFormat="false" ht="15" hidden="false" customHeight="false" outlineLevel="0" collapsed="false">
      <c r="M1818" s="24" t="str">
        <f aca="false">IF($C1818="","",IFERROR(INDEX(Account_Mapping!$C:$C,MATCH($C1818&amp;"",Account_Mapping!$A:$A,0))&amp;"",""))</f>
        <v/>
      </c>
      <c r="N1818" s="24" t="str">
        <f aca="false">IF($K1818&lt;&gt;"",$K1818,$M1818)</f>
        <v/>
      </c>
      <c r="O1818" s="24" t="str">
        <f aca="false">IF($F1818="","",IFERROR(INDEX(Counterparties!$C:$C,MATCH($F1818&amp;"",Counterparties!$A:$A,0))&amp;"",""))</f>
        <v/>
      </c>
      <c r="P1818" s="24" t="str">
        <f aca="false">IF($O1818="","",IF($O1818="CY","CY",IF(ISNUMBER(MATCH($O1818,Lists!$A:$A,0)),"EU","3RD")))</f>
        <v/>
      </c>
      <c r="Q1818" s="24" t="str">
        <f aca="false">IF($F1818="","N",IFERROR(IF(INDEX(Counterparties!$E:$E,MATCH($F1818&amp;"",Counterparties!$A:$A,0))="Y","Y","N"),"N"))</f>
        <v>N</v>
      </c>
      <c r="R1818" s="25" t="n">
        <f aca="false">IF(OR($H1818="",$H1818="EUR"),1,IFERROR(INDEX(FX_Rates!$D:$D,MATCH($H1818,FX_Rates!$A:$A,0)),""))</f>
        <v>1</v>
      </c>
      <c r="S1818" s="26" t="str">
        <f aca="false">IF(AND($I1818="",$J1818=""),"",IF($J1818&lt;&gt;"",$J1818,IF(OR($R1818="",$R1818=0),"",ROUND($I1818/$R1818,2))))</f>
        <v/>
      </c>
      <c r="T1818" s="24" t="str">
        <f aca="false">IF($N1818="","",IFERROR(INDEX(VAT_Codes!$C:$C,MATCH($N1818,VAT_Codes!$A:$A,0)),"")&amp;"")</f>
        <v/>
      </c>
      <c r="U1818" s="26" t="n">
        <f aca="false">IF(OR($S1818="",$T1818="",$T1818="None"),0,IF($T1818="Output",-$S1818,$S1818))</f>
        <v>0</v>
      </c>
      <c r="V1818" s="27" t="n">
        <f aca="false">IF($N1818="",0,IFERROR(INDEX(VAT_Codes!$D:$D,MATCH($N1818,VAT_Codes!$A:$A,0)),0))</f>
        <v>0</v>
      </c>
      <c r="W1818" s="26" t="n">
        <f aca="false">IF($U1818=0,0,IF(IFERROR(INDEX(VAT_Codes!$F:$F,MATCH($N1818,VAT_Codes!$A:$A,0)),"N")="Y",$U1818,IF($L1818&lt;&gt;"",ROUND(ABS($L1818)/IF(OR($R1818="",$R1818=0),1,$R1818),2)*SIGN($U1818),ROUND($U1818*$V1818,2))))</f>
        <v>0</v>
      </c>
      <c r="X1818" s="24" t="str">
        <f aca="false">IF($N1818="","",IFERROR(INDEX(VAT_Codes!$H:$H,MATCH($N1818,VAT_Codes!$A:$A,0)),"")&amp;"")</f>
        <v/>
      </c>
      <c r="Y1818" s="24" t="str">
        <f aca="false">IF($A1818="","",(YEAR($A1818)-YEAR(Settings!$C$8))*12+MONTH($A1818)-MONTH(Settings!$C$8)+1)</f>
        <v/>
      </c>
      <c r="Z1818" s="24" t="str">
        <f aca="false">IF(AND($C1818="",$I1818="",$J1818=""),"",IF($N1818="","NO VAT CODE",IF($T1818="","UNKNOWN VAT CODE",IF($S1818="","MISSING FX RATE",IF(OR($A1818&lt;Settings!$C$8,$A1818&gt;Settings!$C$9),"OUTSIDE PERIOD",IF(AND(IFERROR(INDEX(VAT_Codes!$E:$E,MATCH($N1818,VAT_Codes!$A:$A,0)),"ANY")&lt;&gt;"ANY",$P1818=""),"MISSING COUNTERPARTY COUNTRY",IF(AND(IFERROR(INDEX(VAT_Codes!$E:$E,MATCH($N1818,VAT_Codes!$A:$A,0)),"ANY")&lt;&gt;"ANY",$P1818&lt;&gt;IFERROR(INDEX(VAT_Codes!$E:$E,MATCH($N1818,VAT_Codes!$A:$A,0)),"ANY")),"REGION MISMATCH","OK")))))))</f>
        <v/>
      </c>
    </row>
    <row r="1819" customFormat="false" ht="15" hidden="false" customHeight="false" outlineLevel="0" collapsed="false">
      <c r="M1819" s="24" t="str">
        <f aca="false">IF($C1819="","",IFERROR(INDEX(Account_Mapping!$C:$C,MATCH($C1819&amp;"",Account_Mapping!$A:$A,0))&amp;"",""))</f>
        <v/>
      </c>
      <c r="N1819" s="24" t="str">
        <f aca="false">IF($K1819&lt;&gt;"",$K1819,$M1819)</f>
        <v/>
      </c>
      <c r="O1819" s="24" t="str">
        <f aca="false">IF($F1819="","",IFERROR(INDEX(Counterparties!$C:$C,MATCH($F1819&amp;"",Counterparties!$A:$A,0))&amp;"",""))</f>
        <v/>
      </c>
      <c r="P1819" s="24" t="str">
        <f aca="false">IF($O1819="","",IF($O1819="CY","CY",IF(ISNUMBER(MATCH($O1819,Lists!$A:$A,0)),"EU","3RD")))</f>
        <v/>
      </c>
      <c r="Q1819" s="24" t="str">
        <f aca="false">IF($F1819="","N",IFERROR(IF(INDEX(Counterparties!$E:$E,MATCH($F1819&amp;"",Counterparties!$A:$A,0))="Y","Y","N"),"N"))</f>
        <v>N</v>
      </c>
      <c r="R1819" s="25" t="n">
        <f aca="false">IF(OR($H1819="",$H1819="EUR"),1,IFERROR(INDEX(FX_Rates!$D:$D,MATCH($H1819,FX_Rates!$A:$A,0)),""))</f>
        <v>1</v>
      </c>
      <c r="S1819" s="26" t="str">
        <f aca="false">IF(AND($I1819="",$J1819=""),"",IF($J1819&lt;&gt;"",$J1819,IF(OR($R1819="",$R1819=0),"",ROUND($I1819/$R1819,2))))</f>
        <v/>
      </c>
      <c r="T1819" s="24" t="str">
        <f aca="false">IF($N1819="","",IFERROR(INDEX(VAT_Codes!$C:$C,MATCH($N1819,VAT_Codes!$A:$A,0)),"")&amp;"")</f>
        <v/>
      </c>
      <c r="U1819" s="26" t="n">
        <f aca="false">IF(OR($S1819="",$T1819="",$T1819="None"),0,IF($T1819="Output",-$S1819,$S1819))</f>
        <v>0</v>
      </c>
      <c r="V1819" s="27" t="n">
        <f aca="false">IF($N1819="",0,IFERROR(INDEX(VAT_Codes!$D:$D,MATCH($N1819,VAT_Codes!$A:$A,0)),0))</f>
        <v>0</v>
      </c>
      <c r="W1819" s="26" t="n">
        <f aca="false">IF($U1819=0,0,IF(IFERROR(INDEX(VAT_Codes!$F:$F,MATCH($N1819,VAT_Codes!$A:$A,0)),"N")="Y",$U1819,IF($L1819&lt;&gt;"",ROUND(ABS($L1819)/IF(OR($R1819="",$R1819=0),1,$R1819),2)*SIGN($U1819),ROUND($U1819*$V1819,2))))</f>
        <v>0</v>
      </c>
      <c r="X1819" s="24" t="str">
        <f aca="false">IF($N1819="","",IFERROR(INDEX(VAT_Codes!$H:$H,MATCH($N1819,VAT_Codes!$A:$A,0)),"")&amp;"")</f>
        <v/>
      </c>
      <c r="Y1819" s="24" t="str">
        <f aca="false">IF($A1819="","",(YEAR($A1819)-YEAR(Settings!$C$8))*12+MONTH($A1819)-MONTH(Settings!$C$8)+1)</f>
        <v/>
      </c>
      <c r="Z1819" s="24" t="str">
        <f aca="false">IF(AND($C1819="",$I1819="",$J1819=""),"",IF($N1819="","NO VAT CODE",IF($T1819="","UNKNOWN VAT CODE",IF($S1819="","MISSING FX RATE",IF(OR($A1819&lt;Settings!$C$8,$A1819&gt;Settings!$C$9),"OUTSIDE PERIOD",IF(AND(IFERROR(INDEX(VAT_Codes!$E:$E,MATCH($N1819,VAT_Codes!$A:$A,0)),"ANY")&lt;&gt;"ANY",$P1819=""),"MISSING COUNTERPARTY COUNTRY",IF(AND(IFERROR(INDEX(VAT_Codes!$E:$E,MATCH($N1819,VAT_Codes!$A:$A,0)),"ANY")&lt;&gt;"ANY",$P1819&lt;&gt;IFERROR(INDEX(VAT_Codes!$E:$E,MATCH($N1819,VAT_Codes!$A:$A,0)),"ANY")),"REGION MISMATCH","OK")))))))</f>
        <v/>
      </c>
    </row>
    <row r="1820" customFormat="false" ht="15" hidden="false" customHeight="false" outlineLevel="0" collapsed="false">
      <c r="M1820" s="24" t="str">
        <f aca="false">IF($C1820="","",IFERROR(INDEX(Account_Mapping!$C:$C,MATCH($C1820&amp;"",Account_Mapping!$A:$A,0))&amp;"",""))</f>
        <v/>
      </c>
      <c r="N1820" s="24" t="str">
        <f aca="false">IF($K1820&lt;&gt;"",$K1820,$M1820)</f>
        <v/>
      </c>
      <c r="O1820" s="24" t="str">
        <f aca="false">IF($F1820="","",IFERROR(INDEX(Counterparties!$C:$C,MATCH($F1820&amp;"",Counterparties!$A:$A,0))&amp;"",""))</f>
        <v/>
      </c>
      <c r="P1820" s="24" t="str">
        <f aca="false">IF($O1820="","",IF($O1820="CY","CY",IF(ISNUMBER(MATCH($O1820,Lists!$A:$A,0)),"EU","3RD")))</f>
        <v/>
      </c>
      <c r="Q1820" s="24" t="str">
        <f aca="false">IF($F1820="","N",IFERROR(IF(INDEX(Counterparties!$E:$E,MATCH($F1820&amp;"",Counterparties!$A:$A,0))="Y","Y","N"),"N"))</f>
        <v>N</v>
      </c>
      <c r="R1820" s="25" t="n">
        <f aca="false">IF(OR($H1820="",$H1820="EUR"),1,IFERROR(INDEX(FX_Rates!$D:$D,MATCH($H1820,FX_Rates!$A:$A,0)),""))</f>
        <v>1</v>
      </c>
      <c r="S1820" s="26" t="str">
        <f aca="false">IF(AND($I1820="",$J1820=""),"",IF($J1820&lt;&gt;"",$J1820,IF(OR($R1820="",$R1820=0),"",ROUND($I1820/$R1820,2))))</f>
        <v/>
      </c>
      <c r="T1820" s="24" t="str">
        <f aca="false">IF($N1820="","",IFERROR(INDEX(VAT_Codes!$C:$C,MATCH($N1820,VAT_Codes!$A:$A,0)),"")&amp;"")</f>
        <v/>
      </c>
      <c r="U1820" s="26" t="n">
        <f aca="false">IF(OR($S1820="",$T1820="",$T1820="None"),0,IF($T1820="Output",-$S1820,$S1820))</f>
        <v>0</v>
      </c>
      <c r="V1820" s="27" t="n">
        <f aca="false">IF($N1820="",0,IFERROR(INDEX(VAT_Codes!$D:$D,MATCH($N1820,VAT_Codes!$A:$A,0)),0))</f>
        <v>0</v>
      </c>
      <c r="W1820" s="26" t="n">
        <f aca="false">IF($U1820=0,0,IF(IFERROR(INDEX(VAT_Codes!$F:$F,MATCH($N1820,VAT_Codes!$A:$A,0)),"N")="Y",$U1820,IF($L1820&lt;&gt;"",ROUND(ABS($L1820)/IF(OR($R1820="",$R1820=0),1,$R1820),2)*SIGN($U1820),ROUND($U1820*$V1820,2))))</f>
        <v>0</v>
      </c>
      <c r="X1820" s="24" t="str">
        <f aca="false">IF($N1820="","",IFERROR(INDEX(VAT_Codes!$H:$H,MATCH($N1820,VAT_Codes!$A:$A,0)),"")&amp;"")</f>
        <v/>
      </c>
      <c r="Y1820" s="24" t="str">
        <f aca="false">IF($A1820="","",(YEAR($A1820)-YEAR(Settings!$C$8))*12+MONTH($A1820)-MONTH(Settings!$C$8)+1)</f>
        <v/>
      </c>
      <c r="Z1820" s="24" t="str">
        <f aca="false">IF(AND($C1820="",$I1820="",$J1820=""),"",IF($N1820="","NO VAT CODE",IF($T1820="","UNKNOWN VAT CODE",IF($S1820="","MISSING FX RATE",IF(OR($A1820&lt;Settings!$C$8,$A1820&gt;Settings!$C$9),"OUTSIDE PERIOD",IF(AND(IFERROR(INDEX(VAT_Codes!$E:$E,MATCH($N1820,VAT_Codes!$A:$A,0)),"ANY")&lt;&gt;"ANY",$P1820=""),"MISSING COUNTERPARTY COUNTRY",IF(AND(IFERROR(INDEX(VAT_Codes!$E:$E,MATCH($N1820,VAT_Codes!$A:$A,0)),"ANY")&lt;&gt;"ANY",$P1820&lt;&gt;IFERROR(INDEX(VAT_Codes!$E:$E,MATCH($N1820,VAT_Codes!$A:$A,0)),"ANY")),"REGION MISMATCH","OK")))))))</f>
        <v/>
      </c>
    </row>
    <row r="1821" customFormat="false" ht="15" hidden="false" customHeight="false" outlineLevel="0" collapsed="false">
      <c r="M1821" s="24" t="str">
        <f aca="false">IF($C1821="","",IFERROR(INDEX(Account_Mapping!$C:$C,MATCH($C1821&amp;"",Account_Mapping!$A:$A,0))&amp;"",""))</f>
        <v/>
      </c>
      <c r="N1821" s="24" t="str">
        <f aca="false">IF($K1821&lt;&gt;"",$K1821,$M1821)</f>
        <v/>
      </c>
      <c r="O1821" s="24" t="str">
        <f aca="false">IF($F1821="","",IFERROR(INDEX(Counterparties!$C:$C,MATCH($F1821&amp;"",Counterparties!$A:$A,0))&amp;"",""))</f>
        <v/>
      </c>
      <c r="P1821" s="24" t="str">
        <f aca="false">IF($O1821="","",IF($O1821="CY","CY",IF(ISNUMBER(MATCH($O1821,Lists!$A:$A,0)),"EU","3RD")))</f>
        <v/>
      </c>
      <c r="Q1821" s="24" t="str">
        <f aca="false">IF($F1821="","N",IFERROR(IF(INDEX(Counterparties!$E:$E,MATCH($F1821&amp;"",Counterparties!$A:$A,0))="Y","Y","N"),"N"))</f>
        <v>N</v>
      </c>
      <c r="R1821" s="25" t="n">
        <f aca="false">IF(OR($H1821="",$H1821="EUR"),1,IFERROR(INDEX(FX_Rates!$D:$D,MATCH($H1821,FX_Rates!$A:$A,0)),""))</f>
        <v>1</v>
      </c>
      <c r="S1821" s="26" t="str">
        <f aca="false">IF(AND($I1821="",$J1821=""),"",IF($J1821&lt;&gt;"",$J1821,IF(OR($R1821="",$R1821=0),"",ROUND($I1821/$R1821,2))))</f>
        <v/>
      </c>
      <c r="T1821" s="24" t="str">
        <f aca="false">IF($N1821="","",IFERROR(INDEX(VAT_Codes!$C:$C,MATCH($N1821,VAT_Codes!$A:$A,0)),"")&amp;"")</f>
        <v/>
      </c>
      <c r="U1821" s="26" t="n">
        <f aca="false">IF(OR($S1821="",$T1821="",$T1821="None"),0,IF($T1821="Output",-$S1821,$S1821))</f>
        <v>0</v>
      </c>
      <c r="V1821" s="27" t="n">
        <f aca="false">IF($N1821="",0,IFERROR(INDEX(VAT_Codes!$D:$D,MATCH($N1821,VAT_Codes!$A:$A,0)),0))</f>
        <v>0</v>
      </c>
      <c r="W1821" s="26" t="n">
        <f aca="false">IF($U1821=0,0,IF(IFERROR(INDEX(VAT_Codes!$F:$F,MATCH($N1821,VAT_Codes!$A:$A,0)),"N")="Y",$U1821,IF($L1821&lt;&gt;"",ROUND(ABS($L1821)/IF(OR($R1821="",$R1821=0),1,$R1821),2)*SIGN($U1821),ROUND($U1821*$V1821,2))))</f>
        <v>0</v>
      </c>
      <c r="X1821" s="24" t="str">
        <f aca="false">IF($N1821="","",IFERROR(INDEX(VAT_Codes!$H:$H,MATCH($N1821,VAT_Codes!$A:$A,0)),"")&amp;"")</f>
        <v/>
      </c>
      <c r="Y1821" s="24" t="str">
        <f aca="false">IF($A1821="","",(YEAR($A1821)-YEAR(Settings!$C$8))*12+MONTH($A1821)-MONTH(Settings!$C$8)+1)</f>
        <v/>
      </c>
      <c r="Z1821" s="24" t="str">
        <f aca="false">IF(AND($C1821="",$I1821="",$J1821=""),"",IF($N1821="","NO VAT CODE",IF($T1821="","UNKNOWN VAT CODE",IF($S1821="","MISSING FX RATE",IF(OR($A1821&lt;Settings!$C$8,$A1821&gt;Settings!$C$9),"OUTSIDE PERIOD",IF(AND(IFERROR(INDEX(VAT_Codes!$E:$E,MATCH($N1821,VAT_Codes!$A:$A,0)),"ANY")&lt;&gt;"ANY",$P1821=""),"MISSING COUNTERPARTY COUNTRY",IF(AND(IFERROR(INDEX(VAT_Codes!$E:$E,MATCH($N1821,VAT_Codes!$A:$A,0)),"ANY")&lt;&gt;"ANY",$P1821&lt;&gt;IFERROR(INDEX(VAT_Codes!$E:$E,MATCH($N1821,VAT_Codes!$A:$A,0)),"ANY")),"REGION MISMATCH","OK")))))))</f>
        <v/>
      </c>
    </row>
    <row r="1822" customFormat="false" ht="15" hidden="false" customHeight="false" outlineLevel="0" collapsed="false">
      <c r="M1822" s="24" t="str">
        <f aca="false">IF($C1822="","",IFERROR(INDEX(Account_Mapping!$C:$C,MATCH($C1822&amp;"",Account_Mapping!$A:$A,0))&amp;"",""))</f>
        <v/>
      </c>
      <c r="N1822" s="24" t="str">
        <f aca="false">IF($K1822&lt;&gt;"",$K1822,$M1822)</f>
        <v/>
      </c>
      <c r="O1822" s="24" t="str">
        <f aca="false">IF($F1822="","",IFERROR(INDEX(Counterparties!$C:$C,MATCH($F1822&amp;"",Counterparties!$A:$A,0))&amp;"",""))</f>
        <v/>
      </c>
      <c r="P1822" s="24" t="str">
        <f aca="false">IF($O1822="","",IF($O1822="CY","CY",IF(ISNUMBER(MATCH($O1822,Lists!$A:$A,0)),"EU","3RD")))</f>
        <v/>
      </c>
      <c r="Q1822" s="24" t="str">
        <f aca="false">IF($F1822="","N",IFERROR(IF(INDEX(Counterparties!$E:$E,MATCH($F1822&amp;"",Counterparties!$A:$A,0))="Y","Y","N"),"N"))</f>
        <v>N</v>
      </c>
      <c r="R1822" s="25" t="n">
        <f aca="false">IF(OR($H1822="",$H1822="EUR"),1,IFERROR(INDEX(FX_Rates!$D:$D,MATCH($H1822,FX_Rates!$A:$A,0)),""))</f>
        <v>1</v>
      </c>
      <c r="S1822" s="26" t="str">
        <f aca="false">IF(AND($I1822="",$J1822=""),"",IF($J1822&lt;&gt;"",$J1822,IF(OR($R1822="",$R1822=0),"",ROUND($I1822/$R1822,2))))</f>
        <v/>
      </c>
      <c r="T1822" s="24" t="str">
        <f aca="false">IF($N1822="","",IFERROR(INDEX(VAT_Codes!$C:$C,MATCH($N1822,VAT_Codes!$A:$A,0)),"")&amp;"")</f>
        <v/>
      </c>
      <c r="U1822" s="26" t="n">
        <f aca="false">IF(OR($S1822="",$T1822="",$T1822="None"),0,IF($T1822="Output",-$S1822,$S1822))</f>
        <v>0</v>
      </c>
      <c r="V1822" s="27" t="n">
        <f aca="false">IF($N1822="",0,IFERROR(INDEX(VAT_Codes!$D:$D,MATCH($N1822,VAT_Codes!$A:$A,0)),0))</f>
        <v>0</v>
      </c>
      <c r="W1822" s="26" t="n">
        <f aca="false">IF($U1822=0,0,IF(IFERROR(INDEX(VAT_Codes!$F:$F,MATCH($N1822,VAT_Codes!$A:$A,0)),"N")="Y",$U1822,IF($L1822&lt;&gt;"",ROUND(ABS($L1822)/IF(OR($R1822="",$R1822=0),1,$R1822),2)*SIGN($U1822),ROUND($U1822*$V1822,2))))</f>
        <v>0</v>
      </c>
      <c r="X1822" s="24" t="str">
        <f aca="false">IF($N1822="","",IFERROR(INDEX(VAT_Codes!$H:$H,MATCH($N1822,VAT_Codes!$A:$A,0)),"")&amp;"")</f>
        <v/>
      </c>
      <c r="Y1822" s="24" t="str">
        <f aca="false">IF($A1822="","",(YEAR($A1822)-YEAR(Settings!$C$8))*12+MONTH($A1822)-MONTH(Settings!$C$8)+1)</f>
        <v/>
      </c>
      <c r="Z1822" s="24" t="str">
        <f aca="false">IF(AND($C1822="",$I1822="",$J1822=""),"",IF($N1822="","NO VAT CODE",IF($T1822="","UNKNOWN VAT CODE",IF($S1822="","MISSING FX RATE",IF(OR($A1822&lt;Settings!$C$8,$A1822&gt;Settings!$C$9),"OUTSIDE PERIOD",IF(AND(IFERROR(INDEX(VAT_Codes!$E:$E,MATCH($N1822,VAT_Codes!$A:$A,0)),"ANY")&lt;&gt;"ANY",$P1822=""),"MISSING COUNTERPARTY COUNTRY",IF(AND(IFERROR(INDEX(VAT_Codes!$E:$E,MATCH($N1822,VAT_Codes!$A:$A,0)),"ANY")&lt;&gt;"ANY",$P1822&lt;&gt;IFERROR(INDEX(VAT_Codes!$E:$E,MATCH($N1822,VAT_Codes!$A:$A,0)),"ANY")),"REGION MISMATCH","OK")))))))</f>
        <v/>
      </c>
    </row>
    <row r="1823" customFormat="false" ht="15" hidden="false" customHeight="false" outlineLevel="0" collapsed="false">
      <c r="M1823" s="24" t="str">
        <f aca="false">IF($C1823="","",IFERROR(INDEX(Account_Mapping!$C:$C,MATCH($C1823&amp;"",Account_Mapping!$A:$A,0))&amp;"",""))</f>
        <v/>
      </c>
      <c r="N1823" s="24" t="str">
        <f aca="false">IF($K1823&lt;&gt;"",$K1823,$M1823)</f>
        <v/>
      </c>
      <c r="O1823" s="24" t="str">
        <f aca="false">IF($F1823="","",IFERROR(INDEX(Counterparties!$C:$C,MATCH($F1823&amp;"",Counterparties!$A:$A,0))&amp;"",""))</f>
        <v/>
      </c>
      <c r="P1823" s="24" t="str">
        <f aca="false">IF($O1823="","",IF($O1823="CY","CY",IF(ISNUMBER(MATCH($O1823,Lists!$A:$A,0)),"EU","3RD")))</f>
        <v/>
      </c>
      <c r="Q1823" s="24" t="str">
        <f aca="false">IF($F1823="","N",IFERROR(IF(INDEX(Counterparties!$E:$E,MATCH($F1823&amp;"",Counterparties!$A:$A,0))="Y","Y","N"),"N"))</f>
        <v>N</v>
      </c>
      <c r="R1823" s="25" t="n">
        <f aca="false">IF(OR($H1823="",$H1823="EUR"),1,IFERROR(INDEX(FX_Rates!$D:$D,MATCH($H1823,FX_Rates!$A:$A,0)),""))</f>
        <v>1</v>
      </c>
      <c r="S1823" s="26" t="str">
        <f aca="false">IF(AND($I1823="",$J1823=""),"",IF($J1823&lt;&gt;"",$J1823,IF(OR($R1823="",$R1823=0),"",ROUND($I1823/$R1823,2))))</f>
        <v/>
      </c>
      <c r="T1823" s="24" t="str">
        <f aca="false">IF($N1823="","",IFERROR(INDEX(VAT_Codes!$C:$C,MATCH($N1823,VAT_Codes!$A:$A,0)),"")&amp;"")</f>
        <v/>
      </c>
      <c r="U1823" s="26" t="n">
        <f aca="false">IF(OR($S1823="",$T1823="",$T1823="None"),0,IF($T1823="Output",-$S1823,$S1823))</f>
        <v>0</v>
      </c>
      <c r="V1823" s="27" t="n">
        <f aca="false">IF($N1823="",0,IFERROR(INDEX(VAT_Codes!$D:$D,MATCH($N1823,VAT_Codes!$A:$A,0)),0))</f>
        <v>0</v>
      </c>
      <c r="W1823" s="26" t="n">
        <f aca="false">IF($U1823=0,0,IF(IFERROR(INDEX(VAT_Codes!$F:$F,MATCH($N1823,VAT_Codes!$A:$A,0)),"N")="Y",$U1823,IF($L1823&lt;&gt;"",ROUND(ABS($L1823)/IF(OR($R1823="",$R1823=0),1,$R1823),2)*SIGN($U1823),ROUND($U1823*$V1823,2))))</f>
        <v>0</v>
      </c>
      <c r="X1823" s="24" t="str">
        <f aca="false">IF($N1823="","",IFERROR(INDEX(VAT_Codes!$H:$H,MATCH($N1823,VAT_Codes!$A:$A,0)),"")&amp;"")</f>
        <v/>
      </c>
      <c r="Y1823" s="24" t="str">
        <f aca="false">IF($A1823="","",(YEAR($A1823)-YEAR(Settings!$C$8))*12+MONTH($A1823)-MONTH(Settings!$C$8)+1)</f>
        <v/>
      </c>
      <c r="Z1823" s="24" t="str">
        <f aca="false">IF(AND($C1823="",$I1823="",$J1823=""),"",IF($N1823="","NO VAT CODE",IF($T1823="","UNKNOWN VAT CODE",IF($S1823="","MISSING FX RATE",IF(OR($A1823&lt;Settings!$C$8,$A1823&gt;Settings!$C$9),"OUTSIDE PERIOD",IF(AND(IFERROR(INDEX(VAT_Codes!$E:$E,MATCH($N1823,VAT_Codes!$A:$A,0)),"ANY")&lt;&gt;"ANY",$P1823=""),"MISSING COUNTERPARTY COUNTRY",IF(AND(IFERROR(INDEX(VAT_Codes!$E:$E,MATCH($N1823,VAT_Codes!$A:$A,0)),"ANY")&lt;&gt;"ANY",$P1823&lt;&gt;IFERROR(INDEX(VAT_Codes!$E:$E,MATCH($N1823,VAT_Codes!$A:$A,0)),"ANY")),"REGION MISMATCH","OK")))))))</f>
        <v/>
      </c>
    </row>
    <row r="1824" customFormat="false" ht="15" hidden="false" customHeight="false" outlineLevel="0" collapsed="false">
      <c r="M1824" s="24" t="str">
        <f aca="false">IF($C1824="","",IFERROR(INDEX(Account_Mapping!$C:$C,MATCH($C1824&amp;"",Account_Mapping!$A:$A,0))&amp;"",""))</f>
        <v/>
      </c>
      <c r="N1824" s="24" t="str">
        <f aca="false">IF($K1824&lt;&gt;"",$K1824,$M1824)</f>
        <v/>
      </c>
      <c r="O1824" s="24" t="str">
        <f aca="false">IF($F1824="","",IFERROR(INDEX(Counterparties!$C:$C,MATCH($F1824&amp;"",Counterparties!$A:$A,0))&amp;"",""))</f>
        <v/>
      </c>
      <c r="P1824" s="24" t="str">
        <f aca="false">IF($O1824="","",IF($O1824="CY","CY",IF(ISNUMBER(MATCH($O1824,Lists!$A:$A,0)),"EU","3RD")))</f>
        <v/>
      </c>
      <c r="Q1824" s="24" t="str">
        <f aca="false">IF($F1824="","N",IFERROR(IF(INDEX(Counterparties!$E:$E,MATCH($F1824&amp;"",Counterparties!$A:$A,0))="Y","Y","N"),"N"))</f>
        <v>N</v>
      </c>
      <c r="R1824" s="25" t="n">
        <f aca="false">IF(OR($H1824="",$H1824="EUR"),1,IFERROR(INDEX(FX_Rates!$D:$D,MATCH($H1824,FX_Rates!$A:$A,0)),""))</f>
        <v>1</v>
      </c>
      <c r="S1824" s="26" t="str">
        <f aca="false">IF(AND($I1824="",$J1824=""),"",IF($J1824&lt;&gt;"",$J1824,IF(OR($R1824="",$R1824=0),"",ROUND($I1824/$R1824,2))))</f>
        <v/>
      </c>
      <c r="T1824" s="24" t="str">
        <f aca="false">IF($N1824="","",IFERROR(INDEX(VAT_Codes!$C:$C,MATCH($N1824,VAT_Codes!$A:$A,0)),"")&amp;"")</f>
        <v/>
      </c>
      <c r="U1824" s="26" t="n">
        <f aca="false">IF(OR($S1824="",$T1824="",$T1824="None"),0,IF($T1824="Output",-$S1824,$S1824))</f>
        <v>0</v>
      </c>
      <c r="V1824" s="27" t="n">
        <f aca="false">IF($N1824="",0,IFERROR(INDEX(VAT_Codes!$D:$D,MATCH($N1824,VAT_Codes!$A:$A,0)),0))</f>
        <v>0</v>
      </c>
      <c r="W1824" s="26" t="n">
        <f aca="false">IF($U1824=0,0,IF(IFERROR(INDEX(VAT_Codes!$F:$F,MATCH($N1824,VAT_Codes!$A:$A,0)),"N")="Y",$U1824,IF($L1824&lt;&gt;"",ROUND(ABS($L1824)/IF(OR($R1824="",$R1824=0),1,$R1824),2)*SIGN($U1824),ROUND($U1824*$V1824,2))))</f>
        <v>0</v>
      </c>
      <c r="X1824" s="24" t="str">
        <f aca="false">IF($N1824="","",IFERROR(INDEX(VAT_Codes!$H:$H,MATCH($N1824,VAT_Codes!$A:$A,0)),"")&amp;"")</f>
        <v/>
      </c>
      <c r="Y1824" s="24" t="str">
        <f aca="false">IF($A1824="","",(YEAR($A1824)-YEAR(Settings!$C$8))*12+MONTH($A1824)-MONTH(Settings!$C$8)+1)</f>
        <v/>
      </c>
      <c r="Z1824" s="24" t="str">
        <f aca="false">IF(AND($C1824="",$I1824="",$J1824=""),"",IF($N1824="","NO VAT CODE",IF($T1824="","UNKNOWN VAT CODE",IF($S1824="","MISSING FX RATE",IF(OR($A1824&lt;Settings!$C$8,$A1824&gt;Settings!$C$9),"OUTSIDE PERIOD",IF(AND(IFERROR(INDEX(VAT_Codes!$E:$E,MATCH($N1824,VAT_Codes!$A:$A,0)),"ANY")&lt;&gt;"ANY",$P1824=""),"MISSING COUNTERPARTY COUNTRY",IF(AND(IFERROR(INDEX(VAT_Codes!$E:$E,MATCH($N1824,VAT_Codes!$A:$A,0)),"ANY")&lt;&gt;"ANY",$P1824&lt;&gt;IFERROR(INDEX(VAT_Codes!$E:$E,MATCH($N1824,VAT_Codes!$A:$A,0)),"ANY")),"REGION MISMATCH","OK")))))))</f>
        <v/>
      </c>
    </row>
    <row r="1825" customFormat="false" ht="15" hidden="false" customHeight="false" outlineLevel="0" collapsed="false">
      <c r="M1825" s="24" t="str">
        <f aca="false">IF($C1825="","",IFERROR(INDEX(Account_Mapping!$C:$C,MATCH($C1825&amp;"",Account_Mapping!$A:$A,0))&amp;"",""))</f>
        <v/>
      </c>
      <c r="N1825" s="24" t="str">
        <f aca="false">IF($K1825&lt;&gt;"",$K1825,$M1825)</f>
        <v/>
      </c>
      <c r="O1825" s="24" t="str">
        <f aca="false">IF($F1825="","",IFERROR(INDEX(Counterparties!$C:$C,MATCH($F1825&amp;"",Counterparties!$A:$A,0))&amp;"",""))</f>
        <v/>
      </c>
      <c r="P1825" s="24" t="str">
        <f aca="false">IF($O1825="","",IF($O1825="CY","CY",IF(ISNUMBER(MATCH($O1825,Lists!$A:$A,0)),"EU","3RD")))</f>
        <v/>
      </c>
      <c r="Q1825" s="24" t="str">
        <f aca="false">IF($F1825="","N",IFERROR(IF(INDEX(Counterparties!$E:$E,MATCH($F1825&amp;"",Counterparties!$A:$A,0))="Y","Y","N"),"N"))</f>
        <v>N</v>
      </c>
      <c r="R1825" s="25" t="n">
        <f aca="false">IF(OR($H1825="",$H1825="EUR"),1,IFERROR(INDEX(FX_Rates!$D:$D,MATCH($H1825,FX_Rates!$A:$A,0)),""))</f>
        <v>1</v>
      </c>
      <c r="S1825" s="26" t="str">
        <f aca="false">IF(AND($I1825="",$J1825=""),"",IF($J1825&lt;&gt;"",$J1825,IF(OR($R1825="",$R1825=0),"",ROUND($I1825/$R1825,2))))</f>
        <v/>
      </c>
      <c r="T1825" s="24" t="str">
        <f aca="false">IF($N1825="","",IFERROR(INDEX(VAT_Codes!$C:$C,MATCH($N1825,VAT_Codes!$A:$A,0)),"")&amp;"")</f>
        <v/>
      </c>
      <c r="U1825" s="26" t="n">
        <f aca="false">IF(OR($S1825="",$T1825="",$T1825="None"),0,IF($T1825="Output",-$S1825,$S1825))</f>
        <v>0</v>
      </c>
      <c r="V1825" s="27" t="n">
        <f aca="false">IF($N1825="",0,IFERROR(INDEX(VAT_Codes!$D:$D,MATCH($N1825,VAT_Codes!$A:$A,0)),0))</f>
        <v>0</v>
      </c>
      <c r="W1825" s="26" t="n">
        <f aca="false">IF($U1825=0,0,IF(IFERROR(INDEX(VAT_Codes!$F:$F,MATCH($N1825,VAT_Codes!$A:$A,0)),"N")="Y",$U1825,IF($L1825&lt;&gt;"",ROUND(ABS($L1825)/IF(OR($R1825="",$R1825=0),1,$R1825),2)*SIGN($U1825),ROUND($U1825*$V1825,2))))</f>
        <v>0</v>
      </c>
      <c r="X1825" s="24" t="str">
        <f aca="false">IF($N1825="","",IFERROR(INDEX(VAT_Codes!$H:$H,MATCH($N1825,VAT_Codes!$A:$A,0)),"")&amp;"")</f>
        <v/>
      </c>
      <c r="Y1825" s="24" t="str">
        <f aca="false">IF($A1825="","",(YEAR($A1825)-YEAR(Settings!$C$8))*12+MONTH($A1825)-MONTH(Settings!$C$8)+1)</f>
        <v/>
      </c>
      <c r="Z1825" s="24" t="str">
        <f aca="false">IF(AND($C1825="",$I1825="",$J1825=""),"",IF($N1825="","NO VAT CODE",IF($T1825="","UNKNOWN VAT CODE",IF($S1825="","MISSING FX RATE",IF(OR($A1825&lt;Settings!$C$8,$A1825&gt;Settings!$C$9),"OUTSIDE PERIOD",IF(AND(IFERROR(INDEX(VAT_Codes!$E:$E,MATCH($N1825,VAT_Codes!$A:$A,0)),"ANY")&lt;&gt;"ANY",$P1825=""),"MISSING COUNTERPARTY COUNTRY",IF(AND(IFERROR(INDEX(VAT_Codes!$E:$E,MATCH($N1825,VAT_Codes!$A:$A,0)),"ANY")&lt;&gt;"ANY",$P1825&lt;&gt;IFERROR(INDEX(VAT_Codes!$E:$E,MATCH($N1825,VAT_Codes!$A:$A,0)),"ANY")),"REGION MISMATCH","OK")))))))</f>
        <v/>
      </c>
    </row>
    <row r="1826" customFormat="false" ht="15" hidden="false" customHeight="false" outlineLevel="0" collapsed="false">
      <c r="M1826" s="24" t="str">
        <f aca="false">IF($C1826="","",IFERROR(INDEX(Account_Mapping!$C:$C,MATCH($C1826&amp;"",Account_Mapping!$A:$A,0))&amp;"",""))</f>
        <v/>
      </c>
      <c r="N1826" s="24" t="str">
        <f aca="false">IF($K1826&lt;&gt;"",$K1826,$M1826)</f>
        <v/>
      </c>
      <c r="O1826" s="24" t="str">
        <f aca="false">IF($F1826="","",IFERROR(INDEX(Counterparties!$C:$C,MATCH($F1826&amp;"",Counterparties!$A:$A,0))&amp;"",""))</f>
        <v/>
      </c>
      <c r="P1826" s="24" t="str">
        <f aca="false">IF($O1826="","",IF($O1826="CY","CY",IF(ISNUMBER(MATCH($O1826,Lists!$A:$A,0)),"EU","3RD")))</f>
        <v/>
      </c>
      <c r="Q1826" s="24" t="str">
        <f aca="false">IF($F1826="","N",IFERROR(IF(INDEX(Counterparties!$E:$E,MATCH($F1826&amp;"",Counterparties!$A:$A,0))="Y","Y","N"),"N"))</f>
        <v>N</v>
      </c>
      <c r="R1826" s="25" t="n">
        <f aca="false">IF(OR($H1826="",$H1826="EUR"),1,IFERROR(INDEX(FX_Rates!$D:$D,MATCH($H1826,FX_Rates!$A:$A,0)),""))</f>
        <v>1</v>
      </c>
      <c r="S1826" s="26" t="str">
        <f aca="false">IF(AND($I1826="",$J1826=""),"",IF($J1826&lt;&gt;"",$J1826,IF(OR($R1826="",$R1826=0),"",ROUND($I1826/$R1826,2))))</f>
        <v/>
      </c>
      <c r="T1826" s="24" t="str">
        <f aca="false">IF($N1826="","",IFERROR(INDEX(VAT_Codes!$C:$C,MATCH($N1826,VAT_Codes!$A:$A,0)),"")&amp;"")</f>
        <v/>
      </c>
      <c r="U1826" s="26" t="n">
        <f aca="false">IF(OR($S1826="",$T1826="",$T1826="None"),0,IF($T1826="Output",-$S1826,$S1826))</f>
        <v>0</v>
      </c>
      <c r="V1826" s="27" t="n">
        <f aca="false">IF($N1826="",0,IFERROR(INDEX(VAT_Codes!$D:$D,MATCH($N1826,VAT_Codes!$A:$A,0)),0))</f>
        <v>0</v>
      </c>
      <c r="W1826" s="26" t="n">
        <f aca="false">IF($U1826=0,0,IF(IFERROR(INDEX(VAT_Codes!$F:$F,MATCH($N1826,VAT_Codes!$A:$A,0)),"N")="Y",$U1826,IF($L1826&lt;&gt;"",ROUND(ABS($L1826)/IF(OR($R1826="",$R1826=0),1,$R1826),2)*SIGN($U1826),ROUND($U1826*$V1826,2))))</f>
        <v>0</v>
      </c>
      <c r="X1826" s="24" t="str">
        <f aca="false">IF($N1826="","",IFERROR(INDEX(VAT_Codes!$H:$H,MATCH($N1826,VAT_Codes!$A:$A,0)),"")&amp;"")</f>
        <v/>
      </c>
      <c r="Y1826" s="24" t="str">
        <f aca="false">IF($A1826="","",(YEAR($A1826)-YEAR(Settings!$C$8))*12+MONTH($A1826)-MONTH(Settings!$C$8)+1)</f>
        <v/>
      </c>
      <c r="Z1826" s="24" t="str">
        <f aca="false">IF(AND($C1826="",$I1826="",$J1826=""),"",IF($N1826="","NO VAT CODE",IF($T1826="","UNKNOWN VAT CODE",IF($S1826="","MISSING FX RATE",IF(OR($A1826&lt;Settings!$C$8,$A1826&gt;Settings!$C$9),"OUTSIDE PERIOD",IF(AND(IFERROR(INDEX(VAT_Codes!$E:$E,MATCH($N1826,VAT_Codes!$A:$A,0)),"ANY")&lt;&gt;"ANY",$P1826=""),"MISSING COUNTERPARTY COUNTRY",IF(AND(IFERROR(INDEX(VAT_Codes!$E:$E,MATCH($N1826,VAT_Codes!$A:$A,0)),"ANY")&lt;&gt;"ANY",$P1826&lt;&gt;IFERROR(INDEX(VAT_Codes!$E:$E,MATCH($N1826,VAT_Codes!$A:$A,0)),"ANY")),"REGION MISMATCH","OK")))))))</f>
        <v/>
      </c>
    </row>
    <row r="1827" customFormat="false" ht="15" hidden="false" customHeight="false" outlineLevel="0" collapsed="false">
      <c r="M1827" s="24" t="str">
        <f aca="false">IF($C1827="","",IFERROR(INDEX(Account_Mapping!$C:$C,MATCH($C1827&amp;"",Account_Mapping!$A:$A,0))&amp;"",""))</f>
        <v/>
      </c>
      <c r="N1827" s="24" t="str">
        <f aca="false">IF($K1827&lt;&gt;"",$K1827,$M1827)</f>
        <v/>
      </c>
      <c r="O1827" s="24" t="str">
        <f aca="false">IF($F1827="","",IFERROR(INDEX(Counterparties!$C:$C,MATCH($F1827&amp;"",Counterparties!$A:$A,0))&amp;"",""))</f>
        <v/>
      </c>
      <c r="P1827" s="24" t="str">
        <f aca="false">IF($O1827="","",IF($O1827="CY","CY",IF(ISNUMBER(MATCH($O1827,Lists!$A:$A,0)),"EU","3RD")))</f>
        <v/>
      </c>
      <c r="Q1827" s="24" t="str">
        <f aca="false">IF($F1827="","N",IFERROR(IF(INDEX(Counterparties!$E:$E,MATCH($F1827&amp;"",Counterparties!$A:$A,0))="Y","Y","N"),"N"))</f>
        <v>N</v>
      </c>
      <c r="R1827" s="25" t="n">
        <f aca="false">IF(OR($H1827="",$H1827="EUR"),1,IFERROR(INDEX(FX_Rates!$D:$D,MATCH($H1827,FX_Rates!$A:$A,0)),""))</f>
        <v>1</v>
      </c>
      <c r="S1827" s="26" t="str">
        <f aca="false">IF(AND($I1827="",$J1827=""),"",IF($J1827&lt;&gt;"",$J1827,IF(OR($R1827="",$R1827=0),"",ROUND($I1827/$R1827,2))))</f>
        <v/>
      </c>
      <c r="T1827" s="24" t="str">
        <f aca="false">IF($N1827="","",IFERROR(INDEX(VAT_Codes!$C:$C,MATCH($N1827,VAT_Codes!$A:$A,0)),"")&amp;"")</f>
        <v/>
      </c>
      <c r="U1827" s="26" t="n">
        <f aca="false">IF(OR($S1827="",$T1827="",$T1827="None"),0,IF($T1827="Output",-$S1827,$S1827))</f>
        <v>0</v>
      </c>
      <c r="V1827" s="27" t="n">
        <f aca="false">IF($N1827="",0,IFERROR(INDEX(VAT_Codes!$D:$D,MATCH($N1827,VAT_Codes!$A:$A,0)),0))</f>
        <v>0</v>
      </c>
      <c r="W1827" s="26" t="n">
        <f aca="false">IF($U1827=0,0,IF(IFERROR(INDEX(VAT_Codes!$F:$F,MATCH($N1827,VAT_Codes!$A:$A,0)),"N")="Y",$U1827,IF($L1827&lt;&gt;"",ROUND(ABS($L1827)/IF(OR($R1827="",$R1827=0),1,$R1827),2)*SIGN($U1827),ROUND($U1827*$V1827,2))))</f>
        <v>0</v>
      </c>
      <c r="X1827" s="24" t="str">
        <f aca="false">IF($N1827="","",IFERROR(INDEX(VAT_Codes!$H:$H,MATCH($N1827,VAT_Codes!$A:$A,0)),"")&amp;"")</f>
        <v/>
      </c>
      <c r="Y1827" s="24" t="str">
        <f aca="false">IF($A1827="","",(YEAR($A1827)-YEAR(Settings!$C$8))*12+MONTH($A1827)-MONTH(Settings!$C$8)+1)</f>
        <v/>
      </c>
      <c r="Z1827" s="24" t="str">
        <f aca="false">IF(AND($C1827="",$I1827="",$J1827=""),"",IF($N1827="","NO VAT CODE",IF($T1827="","UNKNOWN VAT CODE",IF($S1827="","MISSING FX RATE",IF(OR($A1827&lt;Settings!$C$8,$A1827&gt;Settings!$C$9),"OUTSIDE PERIOD",IF(AND(IFERROR(INDEX(VAT_Codes!$E:$E,MATCH($N1827,VAT_Codes!$A:$A,0)),"ANY")&lt;&gt;"ANY",$P1827=""),"MISSING COUNTERPARTY COUNTRY",IF(AND(IFERROR(INDEX(VAT_Codes!$E:$E,MATCH($N1827,VAT_Codes!$A:$A,0)),"ANY")&lt;&gt;"ANY",$P1827&lt;&gt;IFERROR(INDEX(VAT_Codes!$E:$E,MATCH($N1827,VAT_Codes!$A:$A,0)),"ANY")),"REGION MISMATCH","OK")))))))</f>
        <v/>
      </c>
    </row>
    <row r="1828" customFormat="false" ht="15" hidden="false" customHeight="false" outlineLevel="0" collapsed="false">
      <c r="M1828" s="24" t="str">
        <f aca="false">IF($C1828="","",IFERROR(INDEX(Account_Mapping!$C:$C,MATCH($C1828&amp;"",Account_Mapping!$A:$A,0))&amp;"",""))</f>
        <v/>
      </c>
      <c r="N1828" s="24" t="str">
        <f aca="false">IF($K1828&lt;&gt;"",$K1828,$M1828)</f>
        <v/>
      </c>
      <c r="O1828" s="24" t="str">
        <f aca="false">IF($F1828="","",IFERROR(INDEX(Counterparties!$C:$C,MATCH($F1828&amp;"",Counterparties!$A:$A,0))&amp;"",""))</f>
        <v/>
      </c>
      <c r="P1828" s="24" t="str">
        <f aca="false">IF($O1828="","",IF($O1828="CY","CY",IF(ISNUMBER(MATCH($O1828,Lists!$A:$A,0)),"EU","3RD")))</f>
        <v/>
      </c>
      <c r="Q1828" s="24" t="str">
        <f aca="false">IF($F1828="","N",IFERROR(IF(INDEX(Counterparties!$E:$E,MATCH($F1828&amp;"",Counterparties!$A:$A,0))="Y","Y","N"),"N"))</f>
        <v>N</v>
      </c>
      <c r="R1828" s="25" t="n">
        <f aca="false">IF(OR($H1828="",$H1828="EUR"),1,IFERROR(INDEX(FX_Rates!$D:$D,MATCH($H1828,FX_Rates!$A:$A,0)),""))</f>
        <v>1</v>
      </c>
      <c r="S1828" s="26" t="str">
        <f aca="false">IF(AND($I1828="",$J1828=""),"",IF($J1828&lt;&gt;"",$J1828,IF(OR($R1828="",$R1828=0),"",ROUND($I1828/$R1828,2))))</f>
        <v/>
      </c>
      <c r="T1828" s="24" t="str">
        <f aca="false">IF($N1828="","",IFERROR(INDEX(VAT_Codes!$C:$C,MATCH($N1828,VAT_Codes!$A:$A,0)),"")&amp;"")</f>
        <v/>
      </c>
      <c r="U1828" s="26" t="n">
        <f aca="false">IF(OR($S1828="",$T1828="",$T1828="None"),0,IF($T1828="Output",-$S1828,$S1828))</f>
        <v>0</v>
      </c>
      <c r="V1828" s="27" t="n">
        <f aca="false">IF($N1828="",0,IFERROR(INDEX(VAT_Codes!$D:$D,MATCH($N1828,VAT_Codes!$A:$A,0)),0))</f>
        <v>0</v>
      </c>
      <c r="W1828" s="26" t="n">
        <f aca="false">IF($U1828=0,0,IF(IFERROR(INDEX(VAT_Codes!$F:$F,MATCH($N1828,VAT_Codes!$A:$A,0)),"N")="Y",$U1828,IF($L1828&lt;&gt;"",ROUND(ABS($L1828)/IF(OR($R1828="",$R1828=0),1,$R1828),2)*SIGN($U1828),ROUND($U1828*$V1828,2))))</f>
        <v>0</v>
      </c>
      <c r="X1828" s="24" t="str">
        <f aca="false">IF($N1828="","",IFERROR(INDEX(VAT_Codes!$H:$H,MATCH($N1828,VAT_Codes!$A:$A,0)),"")&amp;"")</f>
        <v/>
      </c>
      <c r="Y1828" s="24" t="str">
        <f aca="false">IF($A1828="","",(YEAR($A1828)-YEAR(Settings!$C$8))*12+MONTH($A1828)-MONTH(Settings!$C$8)+1)</f>
        <v/>
      </c>
      <c r="Z1828" s="24" t="str">
        <f aca="false">IF(AND($C1828="",$I1828="",$J1828=""),"",IF($N1828="","NO VAT CODE",IF($T1828="","UNKNOWN VAT CODE",IF($S1828="","MISSING FX RATE",IF(OR($A1828&lt;Settings!$C$8,$A1828&gt;Settings!$C$9),"OUTSIDE PERIOD",IF(AND(IFERROR(INDEX(VAT_Codes!$E:$E,MATCH($N1828,VAT_Codes!$A:$A,0)),"ANY")&lt;&gt;"ANY",$P1828=""),"MISSING COUNTERPARTY COUNTRY",IF(AND(IFERROR(INDEX(VAT_Codes!$E:$E,MATCH($N1828,VAT_Codes!$A:$A,0)),"ANY")&lt;&gt;"ANY",$P1828&lt;&gt;IFERROR(INDEX(VAT_Codes!$E:$E,MATCH($N1828,VAT_Codes!$A:$A,0)),"ANY")),"REGION MISMATCH","OK")))))))</f>
        <v/>
      </c>
    </row>
    <row r="1829" customFormat="false" ht="15" hidden="false" customHeight="false" outlineLevel="0" collapsed="false">
      <c r="M1829" s="24" t="str">
        <f aca="false">IF($C1829="","",IFERROR(INDEX(Account_Mapping!$C:$C,MATCH($C1829&amp;"",Account_Mapping!$A:$A,0))&amp;"",""))</f>
        <v/>
      </c>
      <c r="N1829" s="24" t="str">
        <f aca="false">IF($K1829&lt;&gt;"",$K1829,$M1829)</f>
        <v/>
      </c>
      <c r="O1829" s="24" t="str">
        <f aca="false">IF($F1829="","",IFERROR(INDEX(Counterparties!$C:$C,MATCH($F1829&amp;"",Counterparties!$A:$A,0))&amp;"",""))</f>
        <v/>
      </c>
      <c r="P1829" s="24" t="str">
        <f aca="false">IF($O1829="","",IF($O1829="CY","CY",IF(ISNUMBER(MATCH($O1829,Lists!$A:$A,0)),"EU","3RD")))</f>
        <v/>
      </c>
      <c r="Q1829" s="24" t="str">
        <f aca="false">IF($F1829="","N",IFERROR(IF(INDEX(Counterparties!$E:$E,MATCH($F1829&amp;"",Counterparties!$A:$A,0))="Y","Y","N"),"N"))</f>
        <v>N</v>
      </c>
      <c r="R1829" s="25" t="n">
        <f aca="false">IF(OR($H1829="",$H1829="EUR"),1,IFERROR(INDEX(FX_Rates!$D:$D,MATCH($H1829,FX_Rates!$A:$A,0)),""))</f>
        <v>1</v>
      </c>
      <c r="S1829" s="26" t="str">
        <f aca="false">IF(AND($I1829="",$J1829=""),"",IF($J1829&lt;&gt;"",$J1829,IF(OR($R1829="",$R1829=0),"",ROUND($I1829/$R1829,2))))</f>
        <v/>
      </c>
      <c r="T1829" s="24" t="str">
        <f aca="false">IF($N1829="","",IFERROR(INDEX(VAT_Codes!$C:$C,MATCH($N1829,VAT_Codes!$A:$A,0)),"")&amp;"")</f>
        <v/>
      </c>
      <c r="U1829" s="26" t="n">
        <f aca="false">IF(OR($S1829="",$T1829="",$T1829="None"),0,IF($T1829="Output",-$S1829,$S1829))</f>
        <v>0</v>
      </c>
      <c r="V1829" s="27" t="n">
        <f aca="false">IF($N1829="",0,IFERROR(INDEX(VAT_Codes!$D:$D,MATCH($N1829,VAT_Codes!$A:$A,0)),0))</f>
        <v>0</v>
      </c>
      <c r="W1829" s="26" t="n">
        <f aca="false">IF($U1829=0,0,IF(IFERROR(INDEX(VAT_Codes!$F:$F,MATCH($N1829,VAT_Codes!$A:$A,0)),"N")="Y",$U1829,IF($L1829&lt;&gt;"",ROUND(ABS($L1829)/IF(OR($R1829="",$R1829=0),1,$R1829),2)*SIGN($U1829),ROUND($U1829*$V1829,2))))</f>
        <v>0</v>
      </c>
      <c r="X1829" s="24" t="str">
        <f aca="false">IF($N1829="","",IFERROR(INDEX(VAT_Codes!$H:$H,MATCH($N1829,VAT_Codes!$A:$A,0)),"")&amp;"")</f>
        <v/>
      </c>
      <c r="Y1829" s="24" t="str">
        <f aca="false">IF($A1829="","",(YEAR($A1829)-YEAR(Settings!$C$8))*12+MONTH($A1829)-MONTH(Settings!$C$8)+1)</f>
        <v/>
      </c>
      <c r="Z1829" s="24" t="str">
        <f aca="false">IF(AND($C1829="",$I1829="",$J1829=""),"",IF($N1829="","NO VAT CODE",IF($T1829="","UNKNOWN VAT CODE",IF($S1829="","MISSING FX RATE",IF(OR($A1829&lt;Settings!$C$8,$A1829&gt;Settings!$C$9),"OUTSIDE PERIOD",IF(AND(IFERROR(INDEX(VAT_Codes!$E:$E,MATCH($N1829,VAT_Codes!$A:$A,0)),"ANY")&lt;&gt;"ANY",$P1829=""),"MISSING COUNTERPARTY COUNTRY",IF(AND(IFERROR(INDEX(VAT_Codes!$E:$E,MATCH($N1829,VAT_Codes!$A:$A,0)),"ANY")&lt;&gt;"ANY",$P1829&lt;&gt;IFERROR(INDEX(VAT_Codes!$E:$E,MATCH($N1829,VAT_Codes!$A:$A,0)),"ANY")),"REGION MISMATCH","OK")))))))</f>
        <v/>
      </c>
    </row>
    <row r="1830" customFormat="false" ht="15" hidden="false" customHeight="false" outlineLevel="0" collapsed="false">
      <c r="M1830" s="24" t="str">
        <f aca="false">IF($C1830="","",IFERROR(INDEX(Account_Mapping!$C:$C,MATCH($C1830&amp;"",Account_Mapping!$A:$A,0))&amp;"",""))</f>
        <v/>
      </c>
      <c r="N1830" s="24" t="str">
        <f aca="false">IF($K1830&lt;&gt;"",$K1830,$M1830)</f>
        <v/>
      </c>
      <c r="O1830" s="24" t="str">
        <f aca="false">IF($F1830="","",IFERROR(INDEX(Counterparties!$C:$C,MATCH($F1830&amp;"",Counterparties!$A:$A,0))&amp;"",""))</f>
        <v/>
      </c>
      <c r="P1830" s="24" t="str">
        <f aca="false">IF($O1830="","",IF($O1830="CY","CY",IF(ISNUMBER(MATCH($O1830,Lists!$A:$A,0)),"EU","3RD")))</f>
        <v/>
      </c>
      <c r="Q1830" s="24" t="str">
        <f aca="false">IF($F1830="","N",IFERROR(IF(INDEX(Counterparties!$E:$E,MATCH($F1830&amp;"",Counterparties!$A:$A,0))="Y","Y","N"),"N"))</f>
        <v>N</v>
      </c>
      <c r="R1830" s="25" t="n">
        <f aca="false">IF(OR($H1830="",$H1830="EUR"),1,IFERROR(INDEX(FX_Rates!$D:$D,MATCH($H1830,FX_Rates!$A:$A,0)),""))</f>
        <v>1</v>
      </c>
      <c r="S1830" s="26" t="str">
        <f aca="false">IF(AND($I1830="",$J1830=""),"",IF($J1830&lt;&gt;"",$J1830,IF(OR($R1830="",$R1830=0),"",ROUND($I1830/$R1830,2))))</f>
        <v/>
      </c>
      <c r="T1830" s="24" t="str">
        <f aca="false">IF($N1830="","",IFERROR(INDEX(VAT_Codes!$C:$C,MATCH($N1830,VAT_Codes!$A:$A,0)),"")&amp;"")</f>
        <v/>
      </c>
      <c r="U1830" s="26" t="n">
        <f aca="false">IF(OR($S1830="",$T1830="",$T1830="None"),0,IF($T1830="Output",-$S1830,$S1830))</f>
        <v>0</v>
      </c>
      <c r="V1830" s="27" t="n">
        <f aca="false">IF($N1830="",0,IFERROR(INDEX(VAT_Codes!$D:$D,MATCH($N1830,VAT_Codes!$A:$A,0)),0))</f>
        <v>0</v>
      </c>
      <c r="W1830" s="26" t="n">
        <f aca="false">IF($U1830=0,0,IF(IFERROR(INDEX(VAT_Codes!$F:$F,MATCH($N1830,VAT_Codes!$A:$A,0)),"N")="Y",$U1830,IF($L1830&lt;&gt;"",ROUND(ABS($L1830)/IF(OR($R1830="",$R1830=0),1,$R1830),2)*SIGN($U1830),ROUND($U1830*$V1830,2))))</f>
        <v>0</v>
      </c>
      <c r="X1830" s="24" t="str">
        <f aca="false">IF($N1830="","",IFERROR(INDEX(VAT_Codes!$H:$H,MATCH($N1830,VAT_Codes!$A:$A,0)),"")&amp;"")</f>
        <v/>
      </c>
      <c r="Y1830" s="24" t="str">
        <f aca="false">IF($A1830="","",(YEAR($A1830)-YEAR(Settings!$C$8))*12+MONTH($A1830)-MONTH(Settings!$C$8)+1)</f>
        <v/>
      </c>
      <c r="Z1830" s="24" t="str">
        <f aca="false">IF(AND($C1830="",$I1830="",$J1830=""),"",IF($N1830="","NO VAT CODE",IF($T1830="","UNKNOWN VAT CODE",IF($S1830="","MISSING FX RATE",IF(OR($A1830&lt;Settings!$C$8,$A1830&gt;Settings!$C$9),"OUTSIDE PERIOD",IF(AND(IFERROR(INDEX(VAT_Codes!$E:$E,MATCH($N1830,VAT_Codes!$A:$A,0)),"ANY")&lt;&gt;"ANY",$P1830=""),"MISSING COUNTERPARTY COUNTRY",IF(AND(IFERROR(INDEX(VAT_Codes!$E:$E,MATCH($N1830,VAT_Codes!$A:$A,0)),"ANY")&lt;&gt;"ANY",$P1830&lt;&gt;IFERROR(INDEX(VAT_Codes!$E:$E,MATCH($N1830,VAT_Codes!$A:$A,0)),"ANY")),"REGION MISMATCH","OK")))))))</f>
        <v/>
      </c>
    </row>
    <row r="1831" customFormat="false" ht="15" hidden="false" customHeight="false" outlineLevel="0" collapsed="false">
      <c r="M1831" s="24" t="str">
        <f aca="false">IF($C1831="","",IFERROR(INDEX(Account_Mapping!$C:$C,MATCH($C1831&amp;"",Account_Mapping!$A:$A,0))&amp;"",""))</f>
        <v/>
      </c>
      <c r="N1831" s="24" t="str">
        <f aca="false">IF($K1831&lt;&gt;"",$K1831,$M1831)</f>
        <v/>
      </c>
      <c r="O1831" s="24" t="str">
        <f aca="false">IF($F1831="","",IFERROR(INDEX(Counterparties!$C:$C,MATCH($F1831&amp;"",Counterparties!$A:$A,0))&amp;"",""))</f>
        <v/>
      </c>
      <c r="P1831" s="24" t="str">
        <f aca="false">IF($O1831="","",IF($O1831="CY","CY",IF(ISNUMBER(MATCH($O1831,Lists!$A:$A,0)),"EU","3RD")))</f>
        <v/>
      </c>
      <c r="Q1831" s="24" t="str">
        <f aca="false">IF($F1831="","N",IFERROR(IF(INDEX(Counterparties!$E:$E,MATCH($F1831&amp;"",Counterparties!$A:$A,0))="Y","Y","N"),"N"))</f>
        <v>N</v>
      </c>
      <c r="R1831" s="25" t="n">
        <f aca="false">IF(OR($H1831="",$H1831="EUR"),1,IFERROR(INDEX(FX_Rates!$D:$D,MATCH($H1831,FX_Rates!$A:$A,0)),""))</f>
        <v>1</v>
      </c>
      <c r="S1831" s="26" t="str">
        <f aca="false">IF(AND($I1831="",$J1831=""),"",IF($J1831&lt;&gt;"",$J1831,IF(OR($R1831="",$R1831=0),"",ROUND($I1831/$R1831,2))))</f>
        <v/>
      </c>
      <c r="T1831" s="24" t="str">
        <f aca="false">IF($N1831="","",IFERROR(INDEX(VAT_Codes!$C:$C,MATCH($N1831,VAT_Codes!$A:$A,0)),"")&amp;"")</f>
        <v/>
      </c>
      <c r="U1831" s="26" t="n">
        <f aca="false">IF(OR($S1831="",$T1831="",$T1831="None"),0,IF($T1831="Output",-$S1831,$S1831))</f>
        <v>0</v>
      </c>
      <c r="V1831" s="27" t="n">
        <f aca="false">IF($N1831="",0,IFERROR(INDEX(VAT_Codes!$D:$D,MATCH($N1831,VAT_Codes!$A:$A,0)),0))</f>
        <v>0</v>
      </c>
      <c r="W1831" s="26" t="n">
        <f aca="false">IF($U1831=0,0,IF(IFERROR(INDEX(VAT_Codes!$F:$F,MATCH($N1831,VAT_Codes!$A:$A,0)),"N")="Y",$U1831,IF($L1831&lt;&gt;"",ROUND(ABS($L1831)/IF(OR($R1831="",$R1831=0),1,$R1831),2)*SIGN($U1831),ROUND($U1831*$V1831,2))))</f>
        <v>0</v>
      </c>
      <c r="X1831" s="24" t="str">
        <f aca="false">IF($N1831="","",IFERROR(INDEX(VAT_Codes!$H:$H,MATCH($N1831,VAT_Codes!$A:$A,0)),"")&amp;"")</f>
        <v/>
      </c>
      <c r="Y1831" s="24" t="str">
        <f aca="false">IF($A1831="","",(YEAR($A1831)-YEAR(Settings!$C$8))*12+MONTH($A1831)-MONTH(Settings!$C$8)+1)</f>
        <v/>
      </c>
      <c r="Z1831" s="24" t="str">
        <f aca="false">IF(AND($C1831="",$I1831="",$J1831=""),"",IF($N1831="","NO VAT CODE",IF($T1831="","UNKNOWN VAT CODE",IF($S1831="","MISSING FX RATE",IF(OR($A1831&lt;Settings!$C$8,$A1831&gt;Settings!$C$9),"OUTSIDE PERIOD",IF(AND(IFERROR(INDEX(VAT_Codes!$E:$E,MATCH($N1831,VAT_Codes!$A:$A,0)),"ANY")&lt;&gt;"ANY",$P1831=""),"MISSING COUNTERPARTY COUNTRY",IF(AND(IFERROR(INDEX(VAT_Codes!$E:$E,MATCH($N1831,VAT_Codes!$A:$A,0)),"ANY")&lt;&gt;"ANY",$P1831&lt;&gt;IFERROR(INDEX(VAT_Codes!$E:$E,MATCH($N1831,VAT_Codes!$A:$A,0)),"ANY")),"REGION MISMATCH","OK")))))))</f>
        <v/>
      </c>
    </row>
    <row r="1832" customFormat="false" ht="15" hidden="false" customHeight="false" outlineLevel="0" collapsed="false">
      <c r="M1832" s="24" t="str">
        <f aca="false">IF($C1832="","",IFERROR(INDEX(Account_Mapping!$C:$C,MATCH($C1832&amp;"",Account_Mapping!$A:$A,0))&amp;"",""))</f>
        <v/>
      </c>
      <c r="N1832" s="24" t="str">
        <f aca="false">IF($K1832&lt;&gt;"",$K1832,$M1832)</f>
        <v/>
      </c>
      <c r="O1832" s="24" t="str">
        <f aca="false">IF($F1832="","",IFERROR(INDEX(Counterparties!$C:$C,MATCH($F1832&amp;"",Counterparties!$A:$A,0))&amp;"",""))</f>
        <v/>
      </c>
      <c r="P1832" s="24" t="str">
        <f aca="false">IF($O1832="","",IF($O1832="CY","CY",IF(ISNUMBER(MATCH($O1832,Lists!$A:$A,0)),"EU","3RD")))</f>
        <v/>
      </c>
      <c r="Q1832" s="24" t="str">
        <f aca="false">IF($F1832="","N",IFERROR(IF(INDEX(Counterparties!$E:$E,MATCH($F1832&amp;"",Counterparties!$A:$A,0))="Y","Y","N"),"N"))</f>
        <v>N</v>
      </c>
      <c r="R1832" s="25" t="n">
        <f aca="false">IF(OR($H1832="",$H1832="EUR"),1,IFERROR(INDEX(FX_Rates!$D:$D,MATCH($H1832,FX_Rates!$A:$A,0)),""))</f>
        <v>1</v>
      </c>
      <c r="S1832" s="26" t="str">
        <f aca="false">IF(AND($I1832="",$J1832=""),"",IF($J1832&lt;&gt;"",$J1832,IF(OR($R1832="",$R1832=0),"",ROUND($I1832/$R1832,2))))</f>
        <v/>
      </c>
      <c r="T1832" s="24" t="str">
        <f aca="false">IF($N1832="","",IFERROR(INDEX(VAT_Codes!$C:$C,MATCH($N1832,VAT_Codes!$A:$A,0)),"")&amp;"")</f>
        <v/>
      </c>
      <c r="U1832" s="26" t="n">
        <f aca="false">IF(OR($S1832="",$T1832="",$T1832="None"),0,IF($T1832="Output",-$S1832,$S1832))</f>
        <v>0</v>
      </c>
      <c r="V1832" s="27" t="n">
        <f aca="false">IF($N1832="",0,IFERROR(INDEX(VAT_Codes!$D:$D,MATCH($N1832,VAT_Codes!$A:$A,0)),0))</f>
        <v>0</v>
      </c>
      <c r="W1832" s="26" t="n">
        <f aca="false">IF($U1832=0,0,IF(IFERROR(INDEX(VAT_Codes!$F:$F,MATCH($N1832,VAT_Codes!$A:$A,0)),"N")="Y",$U1832,IF($L1832&lt;&gt;"",ROUND(ABS($L1832)/IF(OR($R1832="",$R1832=0),1,$R1832),2)*SIGN($U1832),ROUND($U1832*$V1832,2))))</f>
        <v>0</v>
      </c>
      <c r="X1832" s="24" t="str">
        <f aca="false">IF($N1832="","",IFERROR(INDEX(VAT_Codes!$H:$H,MATCH($N1832,VAT_Codes!$A:$A,0)),"")&amp;"")</f>
        <v/>
      </c>
      <c r="Y1832" s="24" t="str">
        <f aca="false">IF($A1832="","",(YEAR($A1832)-YEAR(Settings!$C$8))*12+MONTH($A1832)-MONTH(Settings!$C$8)+1)</f>
        <v/>
      </c>
      <c r="Z1832" s="24" t="str">
        <f aca="false">IF(AND($C1832="",$I1832="",$J1832=""),"",IF($N1832="","NO VAT CODE",IF($T1832="","UNKNOWN VAT CODE",IF($S1832="","MISSING FX RATE",IF(OR($A1832&lt;Settings!$C$8,$A1832&gt;Settings!$C$9),"OUTSIDE PERIOD",IF(AND(IFERROR(INDEX(VAT_Codes!$E:$E,MATCH($N1832,VAT_Codes!$A:$A,0)),"ANY")&lt;&gt;"ANY",$P1832=""),"MISSING COUNTERPARTY COUNTRY",IF(AND(IFERROR(INDEX(VAT_Codes!$E:$E,MATCH($N1832,VAT_Codes!$A:$A,0)),"ANY")&lt;&gt;"ANY",$P1832&lt;&gt;IFERROR(INDEX(VAT_Codes!$E:$E,MATCH($N1832,VAT_Codes!$A:$A,0)),"ANY")),"REGION MISMATCH","OK")))))))</f>
        <v/>
      </c>
    </row>
    <row r="1833" customFormat="false" ht="15" hidden="false" customHeight="false" outlineLevel="0" collapsed="false">
      <c r="M1833" s="24" t="str">
        <f aca="false">IF($C1833="","",IFERROR(INDEX(Account_Mapping!$C:$C,MATCH($C1833&amp;"",Account_Mapping!$A:$A,0))&amp;"",""))</f>
        <v/>
      </c>
      <c r="N1833" s="24" t="str">
        <f aca="false">IF($K1833&lt;&gt;"",$K1833,$M1833)</f>
        <v/>
      </c>
      <c r="O1833" s="24" t="str">
        <f aca="false">IF($F1833="","",IFERROR(INDEX(Counterparties!$C:$C,MATCH($F1833&amp;"",Counterparties!$A:$A,0))&amp;"",""))</f>
        <v/>
      </c>
      <c r="P1833" s="24" t="str">
        <f aca="false">IF($O1833="","",IF($O1833="CY","CY",IF(ISNUMBER(MATCH($O1833,Lists!$A:$A,0)),"EU","3RD")))</f>
        <v/>
      </c>
      <c r="Q1833" s="24" t="str">
        <f aca="false">IF($F1833="","N",IFERROR(IF(INDEX(Counterparties!$E:$E,MATCH($F1833&amp;"",Counterparties!$A:$A,0))="Y","Y","N"),"N"))</f>
        <v>N</v>
      </c>
      <c r="R1833" s="25" t="n">
        <f aca="false">IF(OR($H1833="",$H1833="EUR"),1,IFERROR(INDEX(FX_Rates!$D:$D,MATCH($H1833,FX_Rates!$A:$A,0)),""))</f>
        <v>1</v>
      </c>
      <c r="S1833" s="26" t="str">
        <f aca="false">IF(AND($I1833="",$J1833=""),"",IF($J1833&lt;&gt;"",$J1833,IF(OR($R1833="",$R1833=0),"",ROUND($I1833/$R1833,2))))</f>
        <v/>
      </c>
      <c r="T1833" s="24" t="str">
        <f aca="false">IF($N1833="","",IFERROR(INDEX(VAT_Codes!$C:$C,MATCH($N1833,VAT_Codes!$A:$A,0)),"")&amp;"")</f>
        <v/>
      </c>
      <c r="U1833" s="26" t="n">
        <f aca="false">IF(OR($S1833="",$T1833="",$T1833="None"),0,IF($T1833="Output",-$S1833,$S1833))</f>
        <v>0</v>
      </c>
      <c r="V1833" s="27" t="n">
        <f aca="false">IF($N1833="",0,IFERROR(INDEX(VAT_Codes!$D:$D,MATCH($N1833,VAT_Codes!$A:$A,0)),0))</f>
        <v>0</v>
      </c>
      <c r="W1833" s="26" t="n">
        <f aca="false">IF($U1833=0,0,IF(IFERROR(INDEX(VAT_Codes!$F:$F,MATCH($N1833,VAT_Codes!$A:$A,0)),"N")="Y",$U1833,IF($L1833&lt;&gt;"",ROUND(ABS($L1833)/IF(OR($R1833="",$R1833=0),1,$R1833),2)*SIGN($U1833),ROUND($U1833*$V1833,2))))</f>
        <v>0</v>
      </c>
      <c r="X1833" s="24" t="str">
        <f aca="false">IF($N1833="","",IFERROR(INDEX(VAT_Codes!$H:$H,MATCH($N1833,VAT_Codes!$A:$A,0)),"")&amp;"")</f>
        <v/>
      </c>
      <c r="Y1833" s="24" t="str">
        <f aca="false">IF($A1833="","",(YEAR($A1833)-YEAR(Settings!$C$8))*12+MONTH($A1833)-MONTH(Settings!$C$8)+1)</f>
        <v/>
      </c>
      <c r="Z1833" s="24" t="str">
        <f aca="false">IF(AND($C1833="",$I1833="",$J1833=""),"",IF($N1833="","NO VAT CODE",IF($T1833="","UNKNOWN VAT CODE",IF($S1833="","MISSING FX RATE",IF(OR($A1833&lt;Settings!$C$8,$A1833&gt;Settings!$C$9),"OUTSIDE PERIOD",IF(AND(IFERROR(INDEX(VAT_Codes!$E:$E,MATCH($N1833,VAT_Codes!$A:$A,0)),"ANY")&lt;&gt;"ANY",$P1833=""),"MISSING COUNTERPARTY COUNTRY",IF(AND(IFERROR(INDEX(VAT_Codes!$E:$E,MATCH($N1833,VAT_Codes!$A:$A,0)),"ANY")&lt;&gt;"ANY",$P1833&lt;&gt;IFERROR(INDEX(VAT_Codes!$E:$E,MATCH($N1833,VAT_Codes!$A:$A,0)),"ANY")),"REGION MISMATCH","OK")))))))</f>
        <v/>
      </c>
    </row>
    <row r="1834" customFormat="false" ht="15" hidden="false" customHeight="false" outlineLevel="0" collapsed="false">
      <c r="M1834" s="24" t="str">
        <f aca="false">IF($C1834="","",IFERROR(INDEX(Account_Mapping!$C:$C,MATCH($C1834&amp;"",Account_Mapping!$A:$A,0))&amp;"",""))</f>
        <v/>
      </c>
      <c r="N1834" s="24" t="str">
        <f aca="false">IF($K1834&lt;&gt;"",$K1834,$M1834)</f>
        <v/>
      </c>
      <c r="O1834" s="24" t="str">
        <f aca="false">IF($F1834="","",IFERROR(INDEX(Counterparties!$C:$C,MATCH($F1834&amp;"",Counterparties!$A:$A,0))&amp;"",""))</f>
        <v/>
      </c>
      <c r="P1834" s="24" t="str">
        <f aca="false">IF($O1834="","",IF($O1834="CY","CY",IF(ISNUMBER(MATCH($O1834,Lists!$A:$A,0)),"EU","3RD")))</f>
        <v/>
      </c>
      <c r="Q1834" s="24" t="str">
        <f aca="false">IF($F1834="","N",IFERROR(IF(INDEX(Counterparties!$E:$E,MATCH($F1834&amp;"",Counterparties!$A:$A,0))="Y","Y","N"),"N"))</f>
        <v>N</v>
      </c>
      <c r="R1834" s="25" t="n">
        <f aca="false">IF(OR($H1834="",$H1834="EUR"),1,IFERROR(INDEX(FX_Rates!$D:$D,MATCH($H1834,FX_Rates!$A:$A,0)),""))</f>
        <v>1</v>
      </c>
      <c r="S1834" s="26" t="str">
        <f aca="false">IF(AND($I1834="",$J1834=""),"",IF($J1834&lt;&gt;"",$J1834,IF(OR($R1834="",$R1834=0),"",ROUND($I1834/$R1834,2))))</f>
        <v/>
      </c>
      <c r="T1834" s="24" t="str">
        <f aca="false">IF($N1834="","",IFERROR(INDEX(VAT_Codes!$C:$C,MATCH($N1834,VAT_Codes!$A:$A,0)),"")&amp;"")</f>
        <v/>
      </c>
      <c r="U1834" s="26" t="n">
        <f aca="false">IF(OR($S1834="",$T1834="",$T1834="None"),0,IF($T1834="Output",-$S1834,$S1834))</f>
        <v>0</v>
      </c>
      <c r="V1834" s="27" t="n">
        <f aca="false">IF($N1834="",0,IFERROR(INDEX(VAT_Codes!$D:$D,MATCH($N1834,VAT_Codes!$A:$A,0)),0))</f>
        <v>0</v>
      </c>
      <c r="W1834" s="26" t="n">
        <f aca="false">IF($U1834=0,0,IF(IFERROR(INDEX(VAT_Codes!$F:$F,MATCH($N1834,VAT_Codes!$A:$A,0)),"N")="Y",$U1834,IF($L1834&lt;&gt;"",ROUND(ABS($L1834)/IF(OR($R1834="",$R1834=0),1,$R1834),2)*SIGN($U1834),ROUND($U1834*$V1834,2))))</f>
        <v>0</v>
      </c>
      <c r="X1834" s="24" t="str">
        <f aca="false">IF($N1834="","",IFERROR(INDEX(VAT_Codes!$H:$H,MATCH($N1834,VAT_Codes!$A:$A,0)),"")&amp;"")</f>
        <v/>
      </c>
      <c r="Y1834" s="24" t="str">
        <f aca="false">IF($A1834="","",(YEAR($A1834)-YEAR(Settings!$C$8))*12+MONTH($A1834)-MONTH(Settings!$C$8)+1)</f>
        <v/>
      </c>
      <c r="Z1834" s="24" t="str">
        <f aca="false">IF(AND($C1834="",$I1834="",$J1834=""),"",IF($N1834="","NO VAT CODE",IF($T1834="","UNKNOWN VAT CODE",IF($S1834="","MISSING FX RATE",IF(OR($A1834&lt;Settings!$C$8,$A1834&gt;Settings!$C$9),"OUTSIDE PERIOD",IF(AND(IFERROR(INDEX(VAT_Codes!$E:$E,MATCH($N1834,VAT_Codes!$A:$A,0)),"ANY")&lt;&gt;"ANY",$P1834=""),"MISSING COUNTERPARTY COUNTRY",IF(AND(IFERROR(INDEX(VAT_Codes!$E:$E,MATCH($N1834,VAT_Codes!$A:$A,0)),"ANY")&lt;&gt;"ANY",$P1834&lt;&gt;IFERROR(INDEX(VAT_Codes!$E:$E,MATCH($N1834,VAT_Codes!$A:$A,0)),"ANY")),"REGION MISMATCH","OK")))))))</f>
        <v/>
      </c>
    </row>
    <row r="1835" customFormat="false" ht="15" hidden="false" customHeight="false" outlineLevel="0" collapsed="false">
      <c r="M1835" s="24" t="str">
        <f aca="false">IF($C1835="","",IFERROR(INDEX(Account_Mapping!$C:$C,MATCH($C1835&amp;"",Account_Mapping!$A:$A,0))&amp;"",""))</f>
        <v/>
      </c>
      <c r="N1835" s="24" t="str">
        <f aca="false">IF($K1835&lt;&gt;"",$K1835,$M1835)</f>
        <v/>
      </c>
      <c r="O1835" s="24" t="str">
        <f aca="false">IF($F1835="","",IFERROR(INDEX(Counterparties!$C:$C,MATCH($F1835&amp;"",Counterparties!$A:$A,0))&amp;"",""))</f>
        <v/>
      </c>
      <c r="P1835" s="24" t="str">
        <f aca="false">IF($O1835="","",IF($O1835="CY","CY",IF(ISNUMBER(MATCH($O1835,Lists!$A:$A,0)),"EU","3RD")))</f>
        <v/>
      </c>
      <c r="Q1835" s="24" t="str">
        <f aca="false">IF($F1835="","N",IFERROR(IF(INDEX(Counterparties!$E:$E,MATCH($F1835&amp;"",Counterparties!$A:$A,0))="Y","Y","N"),"N"))</f>
        <v>N</v>
      </c>
      <c r="R1835" s="25" t="n">
        <f aca="false">IF(OR($H1835="",$H1835="EUR"),1,IFERROR(INDEX(FX_Rates!$D:$D,MATCH($H1835,FX_Rates!$A:$A,0)),""))</f>
        <v>1</v>
      </c>
      <c r="S1835" s="26" t="str">
        <f aca="false">IF(AND($I1835="",$J1835=""),"",IF($J1835&lt;&gt;"",$J1835,IF(OR($R1835="",$R1835=0),"",ROUND($I1835/$R1835,2))))</f>
        <v/>
      </c>
      <c r="T1835" s="24" t="str">
        <f aca="false">IF($N1835="","",IFERROR(INDEX(VAT_Codes!$C:$C,MATCH($N1835,VAT_Codes!$A:$A,0)),"")&amp;"")</f>
        <v/>
      </c>
      <c r="U1835" s="26" t="n">
        <f aca="false">IF(OR($S1835="",$T1835="",$T1835="None"),0,IF($T1835="Output",-$S1835,$S1835))</f>
        <v>0</v>
      </c>
      <c r="V1835" s="27" t="n">
        <f aca="false">IF($N1835="",0,IFERROR(INDEX(VAT_Codes!$D:$D,MATCH($N1835,VAT_Codes!$A:$A,0)),0))</f>
        <v>0</v>
      </c>
      <c r="W1835" s="26" t="n">
        <f aca="false">IF($U1835=0,0,IF(IFERROR(INDEX(VAT_Codes!$F:$F,MATCH($N1835,VAT_Codes!$A:$A,0)),"N")="Y",$U1835,IF($L1835&lt;&gt;"",ROUND(ABS($L1835)/IF(OR($R1835="",$R1835=0),1,$R1835),2)*SIGN($U1835),ROUND($U1835*$V1835,2))))</f>
        <v>0</v>
      </c>
      <c r="X1835" s="24" t="str">
        <f aca="false">IF($N1835="","",IFERROR(INDEX(VAT_Codes!$H:$H,MATCH($N1835,VAT_Codes!$A:$A,0)),"")&amp;"")</f>
        <v/>
      </c>
      <c r="Y1835" s="24" t="str">
        <f aca="false">IF($A1835="","",(YEAR($A1835)-YEAR(Settings!$C$8))*12+MONTH($A1835)-MONTH(Settings!$C$8)+1)</f>
        <v/>
      </c>
      <c r="Z1835" s="24" t="str">
        <f aca="false">IF(AND($C1835="",$I1835="",$J1835=""),"",IF($N1835="","NO VAT CODE",IF($T1835="","UNKNOWN VAT CODE",IF($S1835="","MISSING FX RATE",IF(OR($A1835&lt;Settings!$C$8,$A1835&gt;Settings!$C$9),"OUTSIDE PERIOD",IF(AND(IFERROR(INDEX(VAT_Codes!$E:$E,MATCH($N1835,VAT_Codes!$A:$A,0)),"ANY")&lt;&gt;"ANY",$P1835=""),"MISSING COUNTERPARTY COUNTRY",IF(AND(IFERROR(INDEX(VAT_Codes!$E:$E,MATCH($N1835,VAT_Codes!$A:$A,0)),"ANY")&lt;&gt;"ANY",$P1835&lt;&gt;IFERROR(INDEX(VAT_Codes!$E:$E,MATCH($N1835,VAT_Codes!$A:$A,0)),"ANY")),"REGION MISMATCH","OK")))))))</f>
        <v/>
      </c>
    </row>
    <row r="1836" customFormat="false" ht="15" hidden="false" customHeight="false" outlineLevel="0" collapsed="false">
      <c r="M1836" s="24" t="str">
        <f aca="false">IF($C1836="","",IFERROR(INDEX(Account_Mapping!$C:$C,MATCH($C1836&amp;"",Account_Mapping!$A:$A,0))&amp;"",""))</f>
        <v/>
      </c>
      <c r="N1836" s="24" t="str">
        <f aca="false">IF($K1836&lt;&gt;"",$K1836,$M1836)</f>
        <v/>
      </c>
      <c r="O1836" s="24" t="str">
        <f aca="false">IF($F1836="","",IFERROR(INDEX(Counterparties!$C:$C,MATCH($F1836&amp;"",Counterparties!$A:$A,0))&amp;"",""))</f>
        <v/>
      </c>
      <c r="P1836" s="24" t="str">
        <f aca="false">IF($O1836="","",IF($O1836="CY","CY",IF(ISNUMBER(MATCH($O1836,Lists!$A:$A,0)),"EU","3RD")))</f>
        <v/>
      </c>
      <c r="Q1836" s="24" t="str">
        <f aca="false">IF($F1836="","N",IFERROR(IF(INDEX(Counterparties!$E:$E,MATCH($F1836&amp;"",Counterparties!$A:$A,0))="Y","Y","N"),"N"))</f>
        <v>N</v>
      </c>
      <c r="R1836" s="25" t="n">
        <f aca="false">IF(OR($H1836="",$H1836="EUR"),1,IFERROR(INDEX(FX_Rates!$D:$D,MATCH($H1836,FX_Rates!$A:$A,0)),""))</f>
        <v>1</v>
      </c>
      <c r="S1836" s="26" t="str">
        <f aca="false">IF(AND($I1836="",$J1836=""),"",IF($J1836&lt;&gt;"",$J1836,IF(OR($R1836="",$R1836=0),"",ROUND($I1836/$R1836,2))))</f>
        <v/>
      </c>
      <c r="T1836" s="24" t="str">
        <f aca="false">IF($N1836="","",IFERROR(INDEX(VAT_Codes!$C:$C,MATCH($N1836,VAT_Codes!$A:$A,0)),"")&amp;"")</f>
        <v/>
      </c>
      <c r="U1836" s="26" t="n">
        <f aca="false">IF(OR($S1836="",$T1836="",$T1836="None"),0,IF($T1836="Output",-$S1836,$S1836))</f>
        <v>0</v>
      </c>
      <c r="V1836" s="27" t="n">
        <f aca="false">IF($N1836="",0,IFERROR(INDEX(VAT_Codes!$D:$D,MATCH($N1836,VAT_Codes!$A:$A,0)),0))</f>
        <v>0</v>
      </c>
      <c r="W1836" s="26" t="n">
        <f aca="false">IF($U1836=0,0,IF(IFERROR(INDEX(VAT_Codes!$F:$F,MATCH($N1836,VAT_Codes!$A:$A,0)),"N")="Y",$U1836,IF($L1836&lt;&gt;"",ROUND(ABS($L1836)/IF(OR($R1836="",$R1836=0),1,$R1836),2)*SIGN($U1836),ROUND($U1836*$V1836,2))))</f>
        <v>0</v>
      </c>
      <c r="X1836" s="24" t="str">
        <f aca="false">IF($N1836="","",IFERROR(INDEX(VAT_Codes!$H:$H,MATCH($N1836,VAT_Codes!$A:$A,0)),"")&amp;"")</f>
        <v/>
      </c>
      <c r="Y1836" s="24" t="str">
        <f aca="false">IF($A1836="","",(YEAR($A1836)-YEAR(Settings!$C$8))*12+MONTH($A1836)-MONTH(Settings!$C$8)+1)</f>
        <v/>
      </c>
      <c r="Z1836" s="24" t="str">
        <f aca="false">IF(AND($C1836="",$I1836="",$J1836=""),"",IF($N1836="","NO VAT CODE",IF($T1836="","UNKNOWN VAT CODE",IF($S1836="","MISSING FX RATE",IF(OR($A1836&lt;Settings!$C$8,$A1836&gt;Settings!$C$9),"OUTSIDE PERIOD",IF(AND(IFERROR(INDEX(VAT_Codes!$E:$E,MATCH($N1836,VAT_Codes!$A:$A,0)),"ANY")&lt;&gt;"ANY",$P1836=""),"MISSING COUNTERPARTY COUNTRY",IF(AND(IFERROR(INDEX(VAT_Codes!$E:$E,MATCH($N1836,VAT_Codes!$A:$A,0)),"ANY")&lt;&gt;"ANY",$P1836&lt;&gt;IFERROR(INDEX(VAT_Codes!$E:$E,MATCH($N1836,VAT_Codes!$A:$A,0)),"ANY")),"REGION MISMATCH","OK")))))))</f>
        <v/>
      </c>
    </row>
    <row r="1837" customFormat="false" ht="15" hidden="false" customHeight="false" outlineLevel="0" collapsed="false">
      <c r="M1837" s="24" t="str">
        <f aca="false">IF($C1837="","",IFERROR(INDEX(Account_Mapping!$C:$C,MATCH($C1837&amp;"",Account_Mapping!$A:$A,0))&amp;"",""))</f>
        <v/>
      </c>
      <c r="N1837" s="24" t="str">
        <f aca="false">IF($K1837&lt;&gt;"",$K1837,$M1837)</f>
        <v/>
      </c>
      <c r="O1837" s="24" t="str">
        <f aca="false">IF($F1837="","",IFERROR(INDEX(Counterparties!$C:$C,MATCH($F1837&amp;"",Counterparties!$A:$A,0))&amp;"",""))</f>
        <v/>
      </c>
      <c r="P1837" s="24" t="str">
        <f aca="false">IF($O1837="","",IF($O1837="CY","CY",IF(ISNUMBER(MATCH($O1837,Lists!$A:$A,0)),"EU","3RD")))</f>
        <v/>
      </c>
      <c r="Q1837" s="24" t="str">
        <f aca="false">IF($F1837="","N",IFERROR(IF(INDEX(Counterparties!$E:$E,MATCH($F1837&amp;"",Counterparties!$A:$A,0))="Y","Y","N"),"N"))</f>
        <v>N</v>
      </c>
      <c r="R1837" s="25" t="n">
        <f aca="false">IF(OR($H1837="",$H1837="EUR"),1,IFERROR(INDEX(FX_Rates!$D:$D,MATCH($H1837,FX_Rates!$A:$A,0)),""))</f>
        <v>1</v>
      </c>
      <c r="S1837" s="26" t="str">
        <f aca="false">IF(AND($I1837="",$J1837=""),"",IF($J1837&lt;&gt;"",$J1837,IF(OR($R1837="",$R1837=0),"",ROUND($I1837/$R1837,2))))</f>
        <v/>
      </c>
      <c r="T1837" s="24" t="str">
        <f aca="false">IF($N1837="","",IFERROR(INDEX(VAT_Codes!$C:$C,MATCH($N1837,VAT_Codes!$A:$A,0)),"")&amp;"")</f>
        <v/>
      </c>
      <c r="U1837" s="26" t="n">
        <f aca="false">IF(OR($S1837="",$T1837="",$T1837="None"),0,IF($T1837="Output",-$S1837,$S1837))</f>
        <v>0</v>
      </c>
      <c r="V1837" s="27" t="n">
        <f aca="false">IF($N1837="",0,IFERROR(INDEX(VAT_Codes!$D:$D,MATCH($N1837,VAT_Codes!$A:$A,0)),0))</f>
        <v>0</v>
      </c>
      <c r="W1837" s="26" t="n">
        <f aca="false">IF($U1837=0,0,IF(IFERROR(INDEX(VAT_Codes!$F:$F,MATCH($N1837,VAT_Codes!$A:$A,0)),"N")="Y",$U1837,IF($L1837&lt;&gt;"",ROUND(ABS($L1837)/IF(OR($R1837="",$R1837=0),1,$R1837),2)*SIGN($U1837),ROUND($U1837*$V1837,2))))</f>
        <v>0</v>
      </c>
      <c r="X1837" s="24" t="str">
        <f aca="false">IF($N1837="","",IFERROR(INDEX(VAT_Codes!$H:$H,MATCH($N1837,VAT_Codes!$A:$A,0)),"")&amp;"")</f>
        <v/>
      </c>
      <c r="Y1837" s="24" t="str">
        <f aca="false">IF($A1837="","",(YEAR($A1837)-YEAR(Settings!$C$8))*12+MONTH($A1837)-MONTH(Settings!$C$8)+1)</f>
        <v/>
      </c>
      <c r="Z1837" s="24" t="str">
        <f aca="false">IF(AND($C1837="",$I1837="",$J1837=""),"",IF($N1837="","NO VAT CODE",IF($T1837="","UNKNOWN VAT CODE",IF($S1837="","MISSING FX RATE",IF(OR($A1837&lt;Settings!$C$8,$A1837&gt;Settings!$C$9),"OUTSIDE PERIOD",IF(AND(IFERROR(INDEX(VAT_Codes!$E:$E,MATCH($N1837,VAT_Codes!$A:$A,0)),"ANY")&lt;&gt;"ANY",$P1837=""),"MISSING COUNTERPARTY COUNTRY",IF(AND(IFERROR(INDEX(VAT_Codes!$E:$E,MATCH($N1837,VAT_Codes!$A:$A,0)),"ANY")&lt;&gt;"ANY",$P1837&lt;&gt;IFERROR(INDEX(VAT_Codes!$E:$E,MATCH($N1837,VAT_Codes!$A:$A,0)),"ANY")),"REGION MISMATCH","OK")))))))</f>
        <v/>
      </c>
    </row>
    <row r="1838" customFormat="false" ht="15" hidden="false" customHeight="false" outlineLevel="0" collapsed="false">
      <c r="M1838" s="24" t="str">
        <f aca="false">IF($C1838="","",IFERROR(INDEX(Account_Mapping!$C:$C,MATCH($C1838&amp;"",Account_Mapping!$A:$A,0))&amp;"",""))</f>
        <v/>
      </c>
      <c r="N1838" s="24" t="str">
        <f aca="false">IF($K1838&lt;&gt;"",$K1838,$M1838)</f>
        <v/>
      </c>
      <c r="O1838" s="24" t="str">
        <f aca="false">IF($F1838="","",IFERROR(INDEX(Counterparties!$C:$C,MATCH($F1838&amp;"",Counterparties!$A:$A,0))&amp;"",""))</f>
        <v/>
      </c>
      <c r="P1838" s="24" t="str">
        <f aca="false">IF($O1838="","",IF($O1838="CY","CY",IF(ISNUMBER(MATCH($O1838,Lists!$A:$A,0)),"EU","3RD")))</f>
        <v/>
      </c>
      <c r="Q1838" s="24" t="str">
        <f aca="false">IF($F1838="","N",IFERROR(IF(INDEX(Counterparties!$E:$E,MATCH($F1838&amp;"",Counterparties!$A:$A,0))="Y","Y","N"),"N"))</f>
        <v>N</v>
      </c>
      <c r="R1838" s="25" t="n">
        <f aca="false">IF(OR($H1838="",$H1838="EUR"),1,IFERROR(INDEX(FX_Rates!$D:$D,MATCH($H1838,FX_Rates!$A:$A,0)),""))</f>
        <v>1</v>
      </c>
      <c r="S1838" s="26" t="str">
        <f aca="false">IF(AND($I1838="",$J1838=""),"",IF($J1838&lt;&gt;"",$J1838,IF(OR($R1838="",$R1838=0),"",ROUND($I1838/$R1838,2))))</f>
        <v/>
      </c>
      <c r="T1838" s="24" t="str">
        <f aca="false">IF($N1838="","",IFERROR(INDEX(VAT_Codes!$C:$C,MATCH($N1838,VAT_Codes!$A:$A,0)),"")&amp;"")</f>
        <v/>
      </c>
      <c r="U1838" s="26" t="n">
        <f aca="false">IF(OR($S1838="",$T1838="",$T1838="None"),0,IF($T1838="Output",-$S1838,$S1838))</f>
        <v>0</v>
      </c>
      <c r="V1838" s="27" t="n">
        <f aca="false">IF($N1838="",0,IFERROR(INDEX(VAT_Codes!$D:$D,MATCH($N1838,VAT_Codes!$A:$A,0)),0))</f>
        <v>0</v>
      </c>
      <c r="W1838" s="26" t="n">
        <f aca="false">IF($U1838=0,0,IF(IFERROR(INDEX(VAT_Codes!$F:$F,MATCH($N1838,VAT_Codes!$A:$A,0)),"N")="Y",$U1838,IF($L1838&lt;&gt;"",ROUND(ABS($L1838)/IF(OR($R1838="",$R1838=0),1,$R1838),2)*SIGN($U1838),ROUND($U1838*$V1838,2))))</f>
        <v>0</v>
      </c>
      <c r="X1838" s="24" t="str">
        <f aca="false">IF($N1838="","",IFERROR(INDEX(VAT_Codes!$H:$H,MATCH($N1838,VAT_Codes!$A:$A,0)),"")&amp;"")</f>
        <v/>
      </c>
      <c r="Y1838" s="24" t="str">
        <f aca="false">IF($A1838="","",(YEAR($A1838)-YEAR(Settings!$C$8))*12+MONTH($A1838)-MONTH(Settings!$C$8)+1)</f>
        <v/>
      </c>
      <c r="Z1838" s="24" t="str">
        <f aca="false">IF(AND($C1838="",$I1838="",$J1838=""),"",IF($N1838="","NO VAT CODE",IF($T1838="","UNKNOWN VAT CODE",IF($S1838="","MISSING FX RATE",IF(OR($A1838&lt;Settings!$C$8,$A1838&gt;Settings!$C$9),"OUTSIDE PERIOD",IF(AND(IFERROR(INDEX(VAT_Codes!$E:$E,MATCH($N1838,VAT_Codes!$A:$A,0)),"ANY")&lt;&gt;"ANY",$P1838=""),"MISSING COUNTERPARTY COUNTRY",IF(AND(IFERROR(INDEX(VAT_Codes!$E:$E,MATCH($N1838,VAT_Codes!$A:$A,0)),"ANY")&lt;&gt;"ANY",$P1838&lt;&gt;IFERROR(INDEX(VAT_Codes!$E:$E,MATCH($N1838,VAT_Codes!$A:$A,0)),"ANY")),"REGION MISMATCH","OK")))))))</f>
        <v/>
      </c>
    </row>
    <row r="1839" customFormat="false" ht="15" hidden="false" customHeight="false" outlineLevel="0" collapsed="false">
      <c r="M1839" s="24" t="str">
        <f aca="false">IF($C1839="","",IFERROR(INDEX(Account_Mapping!$C:$C,MATCH($C1839&amp;"",Account_Mapping!$A:$A,0))&amp;"",""))</f>
        <v/>
      </c>
      <c r="N1839" s="24" t="str">
        <f aca="false">IF($K1839&lt;&gt;"",$K1839,$M1839)</f>
        <v/>
      </c>
      <c r="O1839" s="24" t="str">
        <f aca="false">IF($F1839="","",IFERROR(INDEX(Counterparties!$C:$C,MATCH($F1839&amp;"",Counterparties!$A:$A,0))&amp;"",""))</f>
        <v/>
      </c>
      <c r="P1839" s="24" t="str">
        <f aca="false">IF($O1839="","",IF($O1839="CY","CY",IF(ISNUMBER(MATCH($O1839,Lists!$A:$A,0)),"EU","3RD")))</f>
        <v/>
      </c>
      <c r="Q1839" s="24" t="str">
        <f aca="false">IF($F1839="","N",IFERROR(IF(INDEX(Counterparties!$E:$E,MATCH($F1839&amp;"",Counterparties!$A:$A,0))="Y","Y","N"),"N"))</f>
        <v>N</v>
      </c>
      <c r="R1839" s="25" t="n">
        <f aca="false">IF(OR($H1839="",$H1839="EUR"),1,IFERROR(INDEX(FX_Rates!$D:$D,MATCH($H1839,FX_Rates!$A:$A,0)),""))</f>
        <v>1</v>
      </c>
      <c r="S1839" s="26" t="str">
        <f aca="false">IF(AND($I1839="",$J1839=""),"",IF($J1839&lt;&gt;"",$J1839,IF(OR($R1839="",$R1839=0),"",ROUND($I1839/$R1839,2))))</f>
        <v/>
      </c>
      <c r="T1839" s="24" t="str">
        <f aca="false">IF($N1839="","",IFERROR(INDEX(VAT_Codes!$C:$C,MATCH($N1839,VAT_Codes!$A:$A,0)),"")&amp;"")</f>
        <v/>
      </c>
      <c r="U1839" s="26" t="n">
        <f aca="false">IF(OR($S1839="",$T1839="",$T1839="None"),0,IF($T1839="Output",-$S1839,$S1839))</f>
        <v>0</v>
      </c>
      <c r="V1839" s="27" t="n">
        <f aca="false">IF($N1839="",0,IFERROR(INDEX(VAT_Codes!$D:$D,MATCH($N1839,VAT_Codes!$A:$A,0)),0))</f>
        <v>0</v>
      </c>
      <c r="W1839" s="26" t="n">
        <f aca="false">IF($U1839=0,0,IF(IFERROR(INDEX(VAT_Codes!$F:$F,MATCH($N1839,VAT_Codes!$A:$A,0)),"N")="Y",$U1839,IF($L1839&lt;&gt;"",ROUND(ABS($L1839)/IF(OR($R1839="",$R1839=0),1,$R1839),2)*SIGN($U1839),ROUND($U1839*$V1839,2))))</f>
        <v>0</v>
      </c>
      <c r="X1839" s="24" t="str">
        <f aca="false">IF($N1839="","",IFERROR(INDEX(VAT_Codes!$H:$H,MATCH($N1839,VAT_Codes!$A:$A,0)),"")&amp;"")</f>
        <v/>
      </c>
      <c r="Y1839" s="24" t="str">
        <f aca="false">IF($A1839="","",(YEAR($A1839)-YEAR(Settings!$C$8))*12+MONTH($A1839)-MONTH(Settings!$C$8)+1)</f>
        <v/>
      </c>
      <c r="Z1839" s="24" t="str">
        <f aca="false">IF(AND($C1839="",$I1839="",$J1839=""),"",IF($N1839="","NO VAT CODE",IF($T1839="","UNKNOWN VAT CODE",IF($S1839="","MISSING FX RATE",IF(OR($A1839&lt;Settings!$C$8,$A1839&gt;Settings!$C$9),"OUTSIDE PERIOD",IF(AND(IFERROR(INDEX(VAT_Codes!$E:$E,MATCH($N1839,VAT_Codes!$A:$A,0)),"ANY")&lt;&gt;"ANY",$P1839=""),"MISSING COUNTERPARTY COUNTRY",IF(AND(IFERROR(INDEX(VAT_Codes!$E:$E,MATCH($N1839,VAT_Codes!$A:$A,0)),"ANY")&lt;&gt;"ANY",$P1839&lt;&gt;IFERROR(INDEX(VAT_Codes!$E:$E,MATCH($N1839,VAT_Codes!$A:$A,0)),"ANY")),"REGION MISMATCH","OK")))))))</f>
        <v/>
      </c>
    </row>
    <row r="1840" customFormat="false" ht="15" hidden="false" customHeight="false" outlineLevel="0" collapsed="false">
      <c r="M1840" s="24" t="str">
        <f aca="false">IF($C1840="","",IFERROR(INDEX(Account_Mapping!$C:$C,MATCH($C1840&amp;"",Account_Mapping!$A:$A,0))&amp;"",""))</f>
        <v/>
      </c>
      <c r="N1840" s="24" t="str">
        <f aca="false">IF($K1840&lt;&gt;"",$K1840,$M1840)</f>
        <v/>
      </c>
      <c r="O1840" s="24" t="str">
        <f aca="false">IF($F1840="","",IFERROR(INDEX(Counterparties!$C:$C,MATCH($F1840&amp;"",Counterparties!$A:$A,0))&amp;"",""))</f>
        <v/>
      </c>
      <c r="P1840" s="24" t="str">
        <f aca="false">IF($O1840="","",IF($O1840="CY","CY",IF(ISNUMBER(MATCH($O1840,Lists!$A:$A,0)),"EU","3RD")))</f>
        <v/>
      </c>
      <c r="Q1840" s="24" t="str">
        <f aca="false">IF($F1840="","N",IFERROR(IF(INDEX(Counterparties!$E:$E,MATCH($F1840&amp;"",Counterparties!$A:$A,0))="Y","Y","N"),"N"))</f>
        <v>N</v>
      </c>
      <c r="R1840" s="25" t="n">
        <f aca="false">IF(OR($H1840="",$H1840="EUR"),1,IFERROR(INDEX(FX_Rates!$D:$D,MATCH($H1840,FX_Rates!$A:$A,0)),""))</f>
        <v>1</v>
      </c>
      <c r="S1840" s="26" t="str">
        <f aca="false">IF(AND($I1840="",$J1840=""),"",IF($J1840&lt;&gt;"",$J1840,IF(OR($R1840="",$R1840=0),"",ROUND($I1840/$R1840,2))))</f>
        <v/>
      </c>
      <c r="T1840" s="24" t="str">
        <f aca="false">IF($N1840="","",IFERROR(INDEX(VAT_Codes!$C:$C,MATCH($N1840,VAT_Codes!$A:$A,0)),"")&amp;"")</f>
        <v/>
      </c>
      <c r="U1840" s="26" t="n">
        <f aca="false">IF(OR($S1840="",$T1840="",$T1840="None"),0,IF($T1840="Output",-$S1840,$S1840))</f>
        <v>0</v>
      </c>
      <c r="V1840" s="27" t="n">
        <f aca="false">IF($N1840="",0,IFERROR(INDEX(VAT_Codes!$D:$D,MATCH($N1840,VAT_Codes!$A:$A,0)),0))</f>
        <v>0</v>
      </c>
      <c r="W1840" s="26" t="n">
        <f aca="false">IF($U1840=0,0,IF(IFERROR(INDEX(VAT_Codes!$F:$F,MATCH($N1840,VAT_Codes!$A:$A,0)),"N")="Y",$U1840,IF($L1840&lt;&gt;"",ROUND(ABS($L1840)/IF(OR($R1840="",$R1840=0),1,$R1840),2)*SIGN($U1840),ROUND($U1840*$V1840,2))))</f>
        <v>0</v>
      </c>
      <c r="X1840" s="24" t="str">
        <f aca="false">IF($N1840="","",IFERROR(INDEX(VAT_Codes!$H:$H,MATCH($N1840,VAT_Codes!$A:$A,0)),"")&amp;"")</f>
        <v/>
      </c>
      <c r="Y1840" s="24" t="str">
        <f aca="false">IF($A1840="","",(YEAR($A1840)-YEAR(Settings!$C$8))*12+MONTH($A1840)-MONTH(Settings!$C$8)+1)</f>
        <v/>
      </c>
      <c r="Z1840" s="24" t="str">
        <f aca="false">IF(AND($C1840="",$I1840="",$J1840=""),"",IF($N1840="","NO VAT CODE",IF($T1840="","UNKNOWN VAT CODE",IF($S1840="","MISSING FX RATE",IF(OR($A1840&lt;Settings!$C$8,$A1840&gt;Settings!$C$9),"OUTSIDE PERIOD",IF(AND(IFERROR(INDEX(VAT_Codes!$E:$E,MATCH($N1840,VAT_Codes!$A:$A,0)),"ANY")&lt;&gt;"ANY",$P1840=""),"MISSING COUNTERPARTY COUNTRY",IF(AND(IFERROR(INDEX(VAT_Codes!$E:$E,MATCH($N1840,VAT_Codes!$A:$A,0)),"ANY")&lt;&gt;"ANY",$P1840&lt;&gt;IFERROR(INDEX(VAT_Codes!$E:$E,MATCH($N1840,VAT_Codes!$A:$A,0)),"ANY")),"REGION MISMATCH","OK")))))))</f>
        <v/>
      </c>
    </row>
    <row r="1841" customFormat="false" ht="15" hidden="false" customHeight="false" outlineLevel="0" collapsed="false">
      <c r="M1841" s="24" t="str">
        <f aca="false">IF($C1841="","",IFERROR(INDEX(Account_Mapping!$C:$C,MATCH($C1841&amp;"",Account_Mapping!$A:$A,0))&amp;"",""))</f>
        <v/>
      </c>
      <c r="N1841" s="24" t="str">
        <f aca="false">IF($K1841&lt;&gt;"",$K1841,$M1841)</f>
        <v/>
      </c>
      <c r="O1841" s="24" t="str">
        <f aca="false">IF($F1841="","",IFERROR(INDEX(Counterparties!$C:$C,MATCH($F1841&amp;"",Counterparties!$A:$A,0))&amp;"",""))</f>
        <v/>
      </c>
      <c r="P1841" s="24" t="str">
        <f aca="false">IF($O1841="","",IF($O1841="CY","CY",IF(ISNUMBER(MATCH($O1841,Lists!$A:$A,0)),"EU","3RD")))</f>
        <v/>
      </c>
      <c r="Q1841" s="24" t="str">
        <f aca="false">IF($F1841="","N",IFERROR(IF(INDEX(Counterparties!$E:$E,MATCH($F1841&amp;"",Counterparties!$A:$A,0))="Y","Y","N"),"N"))</f>
        <v>N</v>
      </c>
      <c r="R1841" s="25" t="n">
        <f aca="false">IF(OR($H1841="",$H1841="EUR"),1,IFERROR(INDEX(FX_Rates!$D:$D,MATCH($H1841,FX_Rates!$A:$A,0)),""))</f>
        <v>1</v>
      </c>
      <c r="S1841" s="26" t="str">
        <f aca="false">IF(AND($I1841="",$J1841=""),"",IF($J1841&lt;&gt;"",$J1841,IF(OR($R1841="",$R1841=0),"",ROUND($I1841/$R1841,2))))</f>
        <v/>
      </c>
      <c r="T1841" s="24" t="str">
        <f aca="false">IF($N1841="","",IFERROR(INDEX(VAT_Codes!$C:$C,MATCH($N1841,VAT_Codes!$A:$A,0)),"")&amp;"")</f>
        <v/>
      </c>
      <c r="U1841" s="26" t="n">
        <f aca="false">IF(OR($S1841="",$T1841="",$T1841="None"),0,IF($T1841="Output",-$S1841,$S1841))</f>
        <v>0</v>
      </c>
      <c r="V1841" s="27" t="n">
        <f aca="false">IF($N1841="",0,IFERROR(INDEX(VAT_Codes!$D:$D,MATCH($N1841,VAT_Codes!$A:$A,0)),0))</f>
        <v>0</v>
      </c>
      <c r="W1841" s="26" t="n">
        <f aca="false">IF($U1841=0,0,IF(IFERROR(INDEX(VAT_Codes!$F:$F,MATCH($N1841,VAT_Codes!$A:$A,0)),"N")="Y",$U1841,IF($L1841&lt;&gt;"",ROUND(ABS($L1841)/IF(OR($R1841="",$R1841=0),1,$R1841),2)*SIGN($U1841),ROUND($U1841*$V1841,2))))</f>
        <v>0</v>
      </c>
      <c r="X1841" s="24" t="str">
        <f aca="false">IF($N1841="","",IFERROR(INDEX(VAT_Codes!$H:$H,MATCH($N1841,VAT_Codes!$A:$A,0)),"")&amp;"")</f>
        <v/>
      </c>
      <c r="Y1841" s="24" t="str">
        <f aca="false">IF($A1841="","",(YEAR($A1841)-YEAR(Settings!$C$8))*12+MONTH($A1841)-MONTH(Settings!$C$8)+1)</f>
        <v/>
      </c>
      <c r="Z1841" s="24" t="str">
        <f aca="false">IF(AND($C1841="",$I1841="",$J1841=""),"",IF($N1841="","NO VAT CODE",IF($T1841="","UNKNOWN VAT CODE",IF($S1841="","MISSING FX RATE",IF(OR($A1841&lt;Settings!$C$8,$A1841&gt;Settings!$C$9),"OUTSIDE PERIOD",IF(AND(IFERROR(INDEX(VAT_Codes!$E:$E,MATCH($N1841,VAT_Codes!$A:$A,0)),"ANY")&lt;&gt;"ANY",$P1841=""),"MISSING COUNTERPARTY COUNTRY",IF(AND(IFERROR(INDEX(VAT_Codes!$E:$E,MATCH($N1841,VAT_Codes!$A:$A,0)),"ANY")&lt;&gt;"ANY",$P1841&lt;&gt;IFERROR(INDEX(VAT_Codes!$E:$E,MATCH($N1841,VAT_Codes!$A:$A,0)),"ANY")),"REGION MISMATCH","OK")))))))</f>
        <v/>
      </c>
    </row>
    <row r="1842" customFormat="false" ht="15" hidden="false" customHeight="false" outlineLevel="0" collapsed="false">
      <c r="M1842" s="24" t="str">
        <f aca="false">IF($C1842="","",IFERROR(INDEX(Account_Mapping!$C:$C,MATCH($C1842&amp;"",Account_Mapping!$A:$A,0))&amp;"",""))</f>
        <v/>
      </c>
      <c r="N1842" s="24" t="str">
        <f aca="false">IF($K1842&lt;&gt;"",$K1842,$M1842)</f>
        <v/>
      </c>
      <c r="O1842" s="24" t="str">
        <f aca="false">IF($F1842="","",IFERROR(INDEX(Counterparties!$C:$C,MATCH($F1842&amp;"",Counterparties!$A:$A,0))&amp;"",""))</f>
        <v/>
      </c>
      <c r="P1842" s="24" t="str">
        <f aca="false">IF($O1842="","",IF($O1842="CY","CY",IF(ISNUMBER(MATCH($O1842,Lists!$A:$A,0)),"EU","3RD")))</f>
        <v/>
      </c>
      <c r="Q1842" s="24" t="str">
        <f aca="false">IF($F1842="","N",IFERROR(IF(INDEX(Counterparties!$E:$E,MATCH($F1842&amp;"",Counterparties!$A:$A,0))="Y","Y","N"),"N"))</f>
        <v>N</v>
      </c>
      <c r="R1842" s="25" t="n">
        <f aca="false">IF(OR($H1842="",$H1842="EUR"),1,IFERROR(INDEX(FX_Rates!$D:$D,MATCH($H1842,FX_Rates!$A:$A,0)),""))</f>
        <v>1</v>
      </c>
      <c r="S1842" s="26" t="str">
        <f aca="false">IF(AND($I1842="",$J1842=""),"",IF($J1842&lt;&gt;"",$J1842,IF(OR($R1842="",$R1842=0),"",ROUND($I1842/$R1842,2))))</f>
        <v/>
      </c>
      <c r="T1842" s="24" t="str">
        <f aca="false">IF($N1842="","",IFERROR(INDEX(VAT_Codes!$C:$C,MATCH($N1842,VAT_Codes!$A:$A,0)),"")&amp;"")</f>
        <v/>
      </c>
      <c r="U1842" s="26" t="n">
        <f aca="false">IF(OR($S1842="",$T1842="",$T1842="None"),0,IF($T1842="Output",-$S1842,$S1842))</f>
        <v>0</v>
      </c>
      <c r="V1842" s="27" t="n">
        <f aca="false">IF($N1842="",0,IFERROR(INDEX(VAT_Codes!$D:$D,MATCH($N1842,VAT_Codes!$A:$A,0)),0))</f>
        <v>0</v>
      </c>
      <c r="W1842" s="26" t="n">
        <f aca="false">IF($U1842=0,0,IF(IFERROR(INDEX(VAT_Codes!$F:$F,MATCH($N1842,VAT_Codes!$A:$A,0)),"N")="Y",$U1842,IF($L1842&lt;&gt;"",ROUND(ABS($L1842)/IF(OR($R1842="",$R1842=0),1,$R1842),2)*SIGN($U1842),ROUND($U1842*$V1842,2))))</f>
        <v>0</v>
      </c>
      <c r="X1842" s="24" t="str">
        <f aca="false">IF($N1842="","",IFERROR(INDEX(VAT_Codes!$H:$H,MATCH($N1842,VAT_Codes!$A:$A,0)),"")&amp;"")</f>
        <v/>
      </c>
      <c r="Y1842" s="24" t="str">
        <f aca="false">IF($A1842="","",(YEAR($A1842)-YEAR(Settings!$C$8))*12+MONTH($A1842)-MONTH(Settings!$C$8)+1)</f>
        <v/>
      </c>
      <c r="Z1842" s="24" t="str">
        <f aca="false">IF(AND($C1842="",$I1842="",$J1842=""),"",IF($N1842="","NO VAT CODE",IF($T1842="","UNKNOWN VAT CODE",IF($S1842="","MISSING FX RATE",IF(OR($A1842&lt;Settings!$C$8,$A1842&gt;Settings!$C$9),"OUTSIDE PERIOD",IF(AND(IFERROR(INDEX(VAT_Codes!$E:$E,MATCH($N1842,VAT_Codes!$A:$A,0)),"ANY")&lt;&gt;"ANY",$P1842=""),"MISSING COUNTERPARTY COUNTRY",IF(AND(IFERROR(INDEX(VAT_Codes!$E:$E,MATCH($N1842,VAT_Codes!$A:$A,0)),"ANY")&lt;&gt;"ANY",$P1842&lt;&gt;IFERROR(INDEX(VAT_Codes!$E:$E,MATCH($N1842,VAT_Codes!$A:$A,0)),"ANY")),"REGION MISMATCH","OK")))))))</f>
        <v/>
      </c>
    </row>
    <row r="1843" customFormat="false" ht="15" hidden="false" customHeight="false" outlineLevel="0" collapsed="false">
      <c r="M1843" s="24" t="str">
        <f aca="false">IF($C1843="","",IFERROR(INDEX(Account_Mapping!$C:$C,MATCH($C1843&amp;"",Account_Mapping!$A:$A,0))&amp;"",""))</f>
        <v/>
      </c>
      <c r="N1843" s="24" t="str">
        <f aca="false">IF($K1843&lt;&gt;"",$K1843,$M1843)</f>
        <v/>
      </c>
      <c r="O1843" s="24" t="str">
        <f aca="false">IF($F1843="","",IFERROR(INDEX(Counterparties!$C:$C,MATCH($F1843&amp;"",Counterparties!$A:$A,0))&amp;"",""))</f>
        <v/>
      </c>
      <c r="P1843" s="24" t="str">
        <f aca="false">IF($O1843="","",IF($O1843="CY","CY",IF(ISNUMBER(MATCH($O1843,Lists!$A:$A,0)),"EU","3RD")))</f>
        <v/>
      </c>
      <c r="Q1843" s="24" t="str">
        <f aca="false">IF($F1843="","N",IFERROR(IF(INDEX(Counterparties!$E:$E,MATCH($F1843&amp;"",Counterparties!$A:$A,0))="Y","Y","N"),"N"))</f>
        <v>N</v>
      </c>
      <c r="R1843" s="25" t="n">
        <f aca="false">IF(OR($H1843="",$H1843="EUR"),1,IFERROR(INDEX(FX_Rates!$D:$D,MATCH($H1843,FX_Rates!$A:$A,0)),""))</f>
        <v>1</v>
      </c>
      <c r="S1843" s="26" t="str">
        <f aca="false">IF(AND($I1843="",$J1843=""),"",IF($J1843&lt;&gt;"",$J1843,IF(OR($R1843="",$R1843=0),"",ROUND($I1843/$R1843,2))))</f>
        <v/>
      </c>
      <c r="T1843" s="24" t="str">
        <f aca="false">IF($N1843="","",IFERROR(INDEX(VAT_Codes!$C:$C,MATCH($N1843,VAT_Codes!$A:$A,0)),"")&amp;"")</f>
        <v/>
      </c>
      <c r="U1843" s="26" t="n">
        <f aca="false">IF(OR($S1843="",$T1843="",$T1843="None"),0,IF($T1843="Output",-$S1843,$S1843))</f>
        <v>0</v>
      </c>
      <c r="V1843" s="27" t="n">
        <f aca="false">IF($N1843="",0,IFERROR(INDEX(VAT_Codes!$D:$D,MATCH($N1843,VAT_Codes!$A:$A,0)),0))</f>
        <v>0</v>
      </c>
      <c r="W1843" s="26" t="n">
        <f aca="false">IF($U1843=0,0,IF(IFERROR(INDEX(VAT_Codes!$F:$F,MATCH($N1843,VAT_Codes!$A:$A,0)),"N")="Y",$U1843,IF($L1843&lt;&gt;"",ROUND(ABS($L1843)/IF(OR($R1843="",$R1843=0),1,$R1843),2)*SIGN($U1843),ROUND($U1843*$V1843,2))))</f>
        <v>0</v>
      </c>
      <c r="X1843" s="24" t="str">
        <f aca="false">IF($N1843="","",IFERROR(INDEX(VAT_Codes!$H:$H,MATCH($N1843,VAT_Codes!$A:$A,0)),"")&amp;"")</f>
        <v/>
      </c>
      <c r="Y1843" s="24" t="str">
        <f aca="false">IF($A1843="","",(YEAR($A1843)-YEAR(Settings!$C$8))*12+MONTH($A1843)-MONTH(Settings!$C$8)+1)</f>
        <v/>
      </c>
      <c r="Z1843" s="24" t="str">
        <f aca="false">IF(AND($C1843="",$I1843="",$J1843=""),"",IF($N1843="","NO VAT CODE",IF($T1843="","UNKNOWN VAT CODE",IF($S1843="","MISSING FX RATE",IF(OR($A1843&lt;Settings!$C$8,$A1843&gt;Settings!$C$9),"OUTSIDE PERIOD",IF(AND(IFERROR(INDEX(VAT_Codes!$E:$E,MATCH($N1843,VAT_Codes!$A:$A,0)),"ANY")&lt;&gt;"ANY",$P1843=""),"MISSING COUNTERPARTY COUNTRY",IF(AND(IFERROR(INDEX(VAT_Codes!$E:$E,MATCH($N1843,VAT_Codes!$A:$A,0)),"ANY")&lt;&gt;"ANY",$P1843&lt;&gt;IFERROR(INDEX(VAT_Codes!$E:$E,MATCH($N1843,VAT_Codes!$A:$A,0)),"ANY")),"REGION MISMATCH","OK")))))))</f>
        <v/>
      </c>
    </row>
    <row r="1844" customFormat="false" ht="15" hidden="false" customHeight="false" outlineLevel="0" collapsed="false">
      <c r="M1844" s="24" t="str">
        <f aca="false">IF($C1844="","",IFERROR(INDEX(Account_Mapping!$C:$C,MATCH($C1844&amp;"",Account_Mapping!$A:$A,0))&amp;"",""))</f>
        <v/>
      </c>
      <c r="N1844" s="24" t="str">
        <f aca="false">IF($K1844&lt;&gt;"",$K1844,$M1844)</f>
        <v/>
      </c>
      <c r="O1844" s="24" t="str">
        <f aca="false">IF($F1844="","",IFERROR(INDEX(Counterparties!$C:$C,MATCH($F1844&amp;"",Counterparties!$A:$A,0))&amp;"",""))</f>
        <v/>
      </c>
      <c r="P1844" s="24" t="str">
        <f aca="false">IF($O1844="","",IF($O1844="CY","CY",IF(ISNUMBER(MATCH($O1844,Lists!$A:$A,0)),"EU","3RD")))</f>
        <v/>
      </c>
      <c r="Q1844" s="24" t="str">
        <f aca="false">IF($F1844="","N",IFERROR(IF(INDEX(Counterparties!$E:$E,MATCH($F1844&amp;"",Counterparties!$A:$A,0))="Y","Y","N"),"N"))</f>
        <v>N</v>
      </c>
      <c r="R1844" s="25" t="n">
        <f aca="false">IF(OR($H1844="",$H1844="EUR"),1,IFERROR(INDEX(FX_Rates!$D:$D,MATCH($H1844,FX_Rates!$A:$A,0)),""))</f>
        <v>1</v>
      </c>
      <c r="S1844" s="26" t="str">
        <f aca="false">IF(AND($I1844="",$J1844=""),"",IF($J1844&lt;&gt;"",$J1844,IF(OR($R1844="",$R1844=0),"",ROUND($I1844/$R1844,2))))</f>
        <v/>
      </c>
      <c r="T1844" s="24" t="str">
        <f aca="false">IF($N1844="","",IFERROR(INDEX(VAT_Codes!$C:$C,MATCH($N1844,VAT_Codes!$A:$A,0)),"")&amp;"")</f>
        <v/>
      </c>
      <c r="U1844" s="26" t="n">
        <f aca="false">IF(OR($S1844="",$T1844="",$T1844="None"),0,IF($T1844="Output",-$S1844,$S1844))</f>
        <v>0</v>
      </c>
      <c r="V1844" s="27" t="n">
        <f aca="false">IF($N1844="",0,IFERROR(INDEX(VAT_Codes!$D:$D,MATCH($N1844,VAT_Codes!$A:$A,0)),0))</f>
        <v>0</v>
      </c>
      <c r="W1844" s="26" t="n">
        <f aca="false">IF($U1844=0,0,IF(IFERROR(INDEX(VAT_Codes!$F:$F,MATCH($N1844,VAT_Codes!$A:$A,0)),"N")="Y",$U1844,IF($L1844&lt;&gt;"",ROUND(ABS($L1844)/IF(OR($R1844="",$R1844=0),1,$R1844),2)*SIGN($U1844),ROUND($U1844*$V1844,2))))</f>
        <v>0</v>
      </c>
      <c r="X1844" s="24" t="str">
        <f aca="false">IF($N1844="","",IFERROR(INDEX(VAT_Codes!$H:$H,MATCH($N1844,VAT_Codes!$A:$A,0)),"")&amp;"")</f>
        <v/>
      </c>
      <c r="Y1844" s="24" t="str">
        <f aca="false">IF($A1844="","",(YEAR($A1844)-YEAR(Settings!$C$8))*12+MONTH($A1844)-MONTH(Settings!$C$8)+1)</f>
        <v/>
      </c>
      <c r="Z1844" s="24" t="str">
        <f aca="false">IF(AND($C1844="",$I1844="",$J1844=""),"",IF($N1844="","NO VAT CODE",IF($T1844="","UNKNOWN VAT CODE",IF($S1844="","MISSING FX RATE",IF(OR($A1844&lt;Settings!$C$8,$A1844&gt;Settings!$C$9),"OUTSIDE PERIOD",IF(AND(IFERROR(INDEX(VAT_Codes!$E:$E,MATCH($N1844,VAT_Codes!$A:$A,0)),"ANY")&lt;&gt;"ANY",$P1844=""),"MISSING COUNTERPARTY COUNTRY",IF(AND(IFERROR(INDEX(VAT_Codes!$E:$E,MATCH($N1844,VAT_Codes!$A:$A,0)),"ANY")&lt;&gt;"ANY",$P1844&lt;&gt;IFERROR(INDEX(VAT_Codes!$E:$E,MATCH($N1844,VAT_Codes!$A:$A,0)),"ANY")),"REGION MISMATCH","OK")))))))</f>
        <v/>
      </c>
    </row>
    <row r="1845" customFormat="false" ht="15" hidden="false" customHeight="false" outlineLevel="0" collapsed="false">
      <c r="M1845" s="24" t="str">
        <f aca="false">IF($C1845="","",IFERROR(INDEX(Account_Mapping!$C:$C,MATCH($C1845&amp;"",Account_Mapping!$A:$A,0))&amp;"",""))</f>
        <v/>
      </c>
      <c r="N1845" s="24" t="str">
        <f aca="false">IF($K1845&lt;&gt;"",$K1845,$M1845)</f>
        <v/>
      </c>
      <c r="O1845" s="24" t="str">
        <f aca="false">IF($F1845="","",IFERROR(INDEX(Counterparties!$C:$C,MATCH($F1845&amp;"",Counterparties!$A:$A,0))&amp;"",""))</f>
        <v/>
      </c>
      <c r="P1845" s="24" t="str">
        <f aca="false">IF($O1845="","",IF($O1845="CY","CY",IF(ISNUMBER(MATCH($O1845,Lists!$A:$A,0)),"EU","3RD")))</f>
        <v/>
      </c>
      <c r="Q1845" s="24" t="str">
        <f aca="false">IF($F1845="","N",IFERROR(IF(INDEX(Counterparties!$E:$E,MATCH($F1845&amp;"",Counterparties!$A:$A,0))="Y","Y","N"),"N"))</f>
        <v>N</v>
      </c>
      <c r="R1845" s="25" t="n">
        <f aca="false">IF(OR($H1845="",$H1845="EUR"),1,IFERROR(INDEX(FX_Rates!$D:$D,MATCH($H1845,FX_Rates!$A:$A,0)),""))</f>
        <v>1</v>
      </c>
      <c r="S1845" s="26" t="str">
        <f aca="false">IF(AND($I1845="",$J1845=""),"",IF($J1845&lt;&gt;"",$J1845,IF(OR($R1845="",$R1845=0),"",ROUND($I1845/$R1845,2))))</f>
        <v/>
      </c>
      <c r="T1845" s="24" t="str">
        <f aca="false">IF($N1845="","",IFERROR(INDEX(VAT_Codes!$C:$C,MATCH($N1845,VAT_Codes!$A:$A,0)),"")&amp;"")</f>
        <v/>
      </c>
      <c r="U1845" s="26" t="n">
        <f aca="false">IF(OR($S1845="",$T1845="",$T1845="None"),0,IF($T1845="Output",-$S1845,$S1845))</f>
        <v>0</v>
      </c>
      <c r="V1845" s="27" t="n">
        <f aca="false">IF($N1845="",0,IFERROR(INDEX(VAT_Codes!$D:$D,MATCH($N1845,VAT_Codes!$A:$A,0)),0))</f>
        <v>0</v>
      </c>
      <c r="W1845" s="26" t="n">
        <f aca="false">IF($U1845=0,0,IF(IFERROR(INDEX(VAT_Codes!$F:$F,MATCH($N1845,VAT_Codes!$A:$A,0)),"N")="Y",$U1845,IF($L1845&lt;&gt;"",ROUND(ABS($L1845)/IF(OR($R1845="",$R1845=0),1,$R1845),2)*SIGN($U1845),ROUND($U1845*$V1845,2))))</f>
        <v>0</v>
      </c>
      <c r="X1845" s="24" t="str">
        <f aca="false">IF($N1845="","",IFERROR(INDEX(VAT_Codes!$H:$H,MATCH($N1845,VAT_Codes!$A:$A,0)),"")&amp;"")</f>
        <v/>
      </c>
      <c r="Y1845" s="24" t="str">
        <f aca="false">IF($A1845="","",(YEAR($A1845)-YEAR(Settings!$C$8))*12+MONTH($A1845)-MONTH(Settings!$C$8)+1)</f>
        <v/>
      </c>
      <c r="Z1845" s="24" t="str">
        <f aca="false">IF(AND($C1845="",$I1845="",$J1845=""),"",IF($N1845="","NO VAT CODE",IF($T1845="","UNKNOWN VAT CODE",IF($S1845="","MISSING FX RATE",IF(OR($A1845&lt;Settings!$C$8,$A1845&gt;Settings!$C$9),"OUTSIDE PERIOD",IF(AND(IFERROR(INDEX(VAT_Codes!$E:$E,MATCH($N1845,VAT_Codes!$A:$A,0)),"ANY")&lt;&gt;"ANY",$P1845=""),"MISSING COUNTERPARTY COUNTRY",IF(AND(IFERROR(INDEX(VAT_Codes!$E:$E,MATCH($N1845,VAT_Codes!$A:$A,0)),"ANY")&lt;&gt;"ANY",$P1845&lt;&gt;IFERROR(INDEX(VAT_Codes!$E:$E,MATCH($N1845,VAT_Codes!$A:$A,0)),"ANY")),"REGION MISMATCH","OK")))))))</f>
        <v/>
      </c>
    </row>
    <row r="1846" customFormat="false" ht="15" hidden="false" customHeight="false" outlineLevel="0" collapsed="false">
      <c r="M1846" s="24" t="str">
        <f aca="false">IF($C1846="","",IFERROR(INDEX(Account_Mapping!$C:$C,MATCH($C1846&amp;"",Account_Mapping!$A:$A,0))&amp;"",""))</f>
        <v/>
      </c>
      <c r="N1846" s="24" t="str">
        <f aca="false">IF($K1846&lt;&gt;"",$K1846,$M1846)</f>
        <v/>
      </c>
      <c r="O1846" s="24" t="str">
        <f aca="false">IF($F1846="","",IFERROR(INDEX(Counterparties!$C:$C,MATCH($F1846&amp;"",Counterparties!$A:$A,0))&amp;"",""))</f>
        <v/>
      </c>
      <c r="P1846" s="24" t="str">
        <f aca="false">IF($O1846="","",IF($O1846="CY","CY",IF(ISNUMBER(MATCH($O1846,Lists!$A:$A,0)),"EU","3RD")))</f>
        <v/>
      </c>
      <c r="Q1846" s="24" t="str">
        <f aca="false">IF($F1846="","N",IFERROR(IF(INDEX(Counterparties!$E:$E,MATCH($F1846&amp;"",Counterparties!$A:$A,0))="Y","Y","N"),"N"))</f>
        <v>N</v>
      </c>
      <c r="R1846" s="25" t="n">
        <f aca="false">IF(OR($H1846="",$H1846="EUR"),1,IFERROR(INDEX(FX_Rates!$D:$D,MATCH($H1846,FX_Rates!$A:$A,0)),""))</f>
        <v>1</v>
      </c>
      <c r="S1846" s="26" t="str">
        <f aca="false">IF(AND($I1846="",$J1846=""),"",IF($J1846&lt;&gt;"",$J1846,IF(OR($R1846="",$R1846=0),"",ROUND($I1846/$R1846,2))))</f>
        <v/>
      </c>
      <c r="T1846" s="24" t="str">
        <f aca="false">IF($N1846="","",IFERROR(INDEX(VAT_Codes!$C:$C,MATCH($N1846,VAT_Codes!$A:$A,0)),"")&amp;"")</f>
        <v/>
      </c>
      <c r="U1846" s="26" t="n">
        <f aca="false">IF(OR($S1846="",$T1846="",$T1846="None"),0,IF($T1846="Output",-$S1846,$S1846))</f>
        <v>0</v>
      </c>
      <c r="V1846" s="27" t="n">
        <f aca="false">IF($N1846="",0,IFERROR(INDEX(VAT_Codes!$D:$D,MATCH($N1846,VAT_Codes!$A:$A,0)),0))</f>
        <v>0</v>
      </c>
      <c r="W1846" s="26" t="n">
        <f aca="false">IF($U1846=0,0,IF(IFERROR(INDEX(VAT_Codes!$F:$F,MATCH($N1846,VAT_Codes!$A:$A,0)),"N")="Y",$U1846,IF($L1846&lt;&gt;"",ROUND(ABS($L1846)/IF(OR($R1846="",$R1846=0),1,$R1846),2)*SIGN($U1846),ROUND($U1846*$V1846,2))))</f>
        <v>0</v>
      </c>
      <c r="X1846" s="24" t="str">
        <f aca="false">IF($N1846="","",IFERROR(INDEX(VAT_Codes!$H:$H,MATCH($N1846,VAT_Codes!$A:$A,0)),"")&amp;"")</f>
        <v/>
      </c>
      <c r="Y1846" s="24" t="str">
        <f aca="false">IF($A1846="","",(YEAR($A1846)-YEAR(Settings!$C$8))*12+MONTH($A1846)-MONTH(Settings!$C$8)+1)</f>
        <v/>
      </c>
      <c r="Z1846" s="24" t="str">
        <f aca="false">IF(AND($C1846="",$I1846="",$J1846=""),"",IF($N1846="","NO VAT CODE",IF($T1846="","UNKNOWN VAT CODE",IF($S1846="","MISSING FX RATE",IF(OR($A1846&lt;Settings!$C$8,$A1846&gt;Settings!$C$9),"OUTSIDE PERIOD",IF(AND(IFERROR(INDEX(VAT_Codes!$E:$E,MATCH($N1846,VAT_Codes!$A:$A,0)),"ANY")&lt;&gt;"ANY",$P1846=""),"MISSING COUNTERPARTY COUNTRY",IF(AND(IFERROR(INDEX(VAT_Codes!$E:$E,MATCH($N1846,VAT_Codes!$A:$A,0)),"ANY")&lt;&gt;"ANY",$P1846&lt;&gt;IFERROR(INDEX(VAT_Codes!$E:$E,MATCH($N1846,VAT_Codes!$A:$A,0)),"ANY")),"REGION MISMATCH","OK")))))))</f>
        <v/>
      </c>
    </row>
    <row r="1847" customFormat="false" ht="15" hidden="false" customHeight="false" outlineLevel="0" collapsed="false">
      <c r="M1847" s="24" t="str">
        <f aca="false">IF($C1847="","",IFERROR(INDEX(Account_Mapping!$C:$C,MATCH($C1847&amp;"",Account_Mapping!$A:$A,0))&amp;"",""))</f>
        <v/>
      </c>
      <c r="N1847" s="24" t="str">
        <f aca="false">IF($K1847&lt;&gt;"",$K1847,$M1847)</f>
        <v/>
      </c>
      <c r="O1847" s="24" t="str">
        <f aca="false">IF($F1847="","",IFERROR(INDEX(Counterparties!$C:$C,MATCH($F1847&amp;"",Counterparties!$A:$A,0))&amp;"",""))</f>
        <v/>
      </c>
      <c r="P1847" s="24" t="str">
        <f aca="false">IF($O1847="","",IF($O1847="CY","CY",IF(ISNUMBER(MATCH($O1847,Lists!$A:$A,0)),"EU","3RD")))</f>
        <v/>
      </c>
      <c r="Q1847" s="24" t="str">
        <f aca="false">IF($F1847="","N",IFERROR(IF(INDEX(Counterparties!$E:$E,MATCH($F1847&amp;"",Counterparties!$A:$A,0))="Y","Y","N"),"N"))</f>
        <v>N</v>
      </c>
      <c r="R1847" s="25" t="n">
        <f aca="false">IF(OR($H1847="",$H1847="EUR"),1,IFERROR(INDEX(FX_Rates!$D:$D,MATCH($H1847,FX_Rates!$A:$A,0)),""))</f>
        <v>1</v>
      </c>
      <c r="S1847" s="26" t="str">
        <f aca="false">IF(AND($I1847="",$J1847=""),"",IF($J1847&lt;&gt;"",$J1847,IF(OR($R1847="",$R1847=0),"",ROUND($I1847/$R1847,2))))</f>
        <v/>
      </c>
      <c r="T1847" s="24" t="str">
        <f aca="false">IF($N1847="","",IFERROR(INDEX(VAT_Codes!$C:$C,MATCH($N1847,VAT_Codes!$A:$A,0)),"")&amp;"")</f>
        <v/>
      </c>
      <c r="U1847" s="26" t="n">
        <f aca="false">IF(OR($S1847="",$T1847="",$T1847="None"),0,IF($T1847="Output",-$S1847,$S1847))</f>
        <v>0</v>
      </c>
      <c r="V1847" s="27" t="n">
        <f aca="false">IF($N1847="",0,IFERROR(INDEX(VAT_Codes!$D:$D,MATCH($N1847,VAT_Codes!$A:$A,0)),0))</f>
        <v>0</v>
      </c>
      <c r="W1847" s="26" t="n">
        <f aca="false">IF($U1847=0,0,IF(IFERROR(INDEX(VAT_Codes!$F:$F,MATCH($N1847,VAT_Codes!$A:$A,0)),"N")="Y",$U1847,IF($L1847&lt;&gt;"",ROUND(ABS($L1847)/IF(OR($R1847="",$R1847=0),1,$R1847),2)*SIGN($U1847),ROUND($U1847*$V1847,2))))</f>
        <v>0</v>
      </c>
      <c r="X1847" s="24" t="str">
        <f aca="false">IF($N1847="","",IFERROR(INDEX(VAT_Codes!$H:$H,MATCH($N1847,VAT_Codes!$A:$A,0)),"")&amp;"")</f>
        <v/>
      </c>
      <c r="Y1847" s="24" t="str">
        <f aca="false">IF($A1847="","",(YEAR($A1847)-YEAR(Settings!$C$8))*12+MONTH($A1847)-MONTH(Settings!$C$8)+1)</f>
        <v/>
      </c>
      <c r="Z1847" s="24" t="str">
        <f aca="false">IF(AND($C1847="",$I1847="",$J1847=""),"",IF($N1847="","NO VAT CODE",IF($T1847="","UNKNOWN VAT CODE",IF($S1847="","MISSING FX RATE",IF(OR($A1847&lt;Settings!$C$8,$A1847&gt;Settings!$C$9),"OUTSIDE PERIOD",IF(AND(IFERROR(INDEX(VAT_Codes!$E:$E,MATCH($N1847,VAT_Codes!$A:$A,0)),"ANY")&lt;&gt;"ANY",$P1847=""),"MISSING COUNTERPARTY COUNTRY",IF(AND(IFERROR(INDEX(VAT_Codes!$E:$E,MATCH($N1847,VAT_Codes!$A:$A,0)),"ANY")&lt;&gt;"ANY",$P1847&lt;&gt;IFERROR(INDEX(VAT_Codes!$E:$E,MATCH($N1847,VAT_Codes!$A:$A,0)),"ANY")),"REGION MISMATCH","OK")))))))</f>
        <v/>
      </c>
    </row>
    <row r="1848" customFormat="false" ht="15" hidden="false" customHeight="false" outlineLevel="0" collapsed="false">
      <c r="M1848" s="24" t="str">
        <f aca="false">IF($C1848="","",IFERROR(INDEX(Account_Mapping!$C:$C,MATCH($C1848&amp;"",Account_Mapping!$A:$A,0))&amp;"",""))</f>
        <v/>
      </c>
      <c r="N1848" s="24" t="str">
        <f aca="false">IF($K1848&lt;&gt;"",$K1848,$M1848)</f>
        <v/>
      </c>
      <c r="O1848" s="24" t="str">
        <f aca="false">IF($F1848="","",IFERROR(INDEX(Counterparties!$C:$C,MATCH($F1848&amp;"",Counterparties!$A:$A,0))&amp;"",""))</f>
        <v/>
      </c>
      <c r="P1848" s="24" t="str">
        <f aca="false">IF($O1848="","",IF($O1848="CY","CY",IF(ISNUMBER(MATCH($O1848,Lists!$A:$A,0)),"EU","3RD")))</f>
        <v/>
      </c>
      <c r="Q1848" s="24" t="str">
        <f aca="false">IF($F1848="","N",IFERROR(IF(INDEX(Counterparties!$E:$E,MATCH($F1848&amp;"",Counterparties!$A:$A,0))="Y","Y","N"),"N"))</f>
        <v>N</v>
      </c>
      <c r="R1848" s="25" t="n">
        <f aca="false">IF(OR($H1848="",$H1848="EUR"),1,IFERROR(INDEX(FX_Rates!$D:$D,MATCH($H1848,FX_Rates!$A:$A,0)),""))</f>
        <v>1</v>
      </c>
      <c r="S1848" s="26" t="str">
        <f aca="false">IF(AND($I1848="",$J1848=""),"",IF($J1848&lt;&gt;"",$J1848,IF(OR($R1848="",$R1848=0),"",ROUND($I1848/$R1848,2))))</f>
        <v/>
      </c>
      <c r="T1848" s="24" t="str">
        <f aca="false">IF($N1848="","",IFERROR(INDEX(VAT_Codes!$C:$C,MATCH($N1848,VAT_Codes!$A:$A,0)),"")&amp;"")</f>
        <v/>
      </c>
      <c r="U1848" s="26" t="n">
        <f aca="false">IF(OR($S1848="",$T1848="",$T1848="None"),0,IF($T1848="Output",-$S1848,$S1848))</f>
        <v>0</v>
      </c>
      <c r="V1848" s="27" t="n">
        <f aca="false">IF($N1848="",0,IFERROR(INDEX(VAT_Codes!$D:$D,MATCH($N1848,VAT_Codes!$A:$A,0)),0))</f>
        <v>0</v>
      </c>
      <c r="W1848" s="26" t="n">
        <f aca="false">IF($U1848=0,0,IF(IFERROR(INDEX(VAT_Codes!$F:$F,MATCH($N1848,VAT_Codes!$A:$A,0)),"N")="Y",$U1848,IF($L1848&lt;&gt;"",ROUND(ABS($L1848)/IF(OR($R1848="",$R1848=0),1,$R1848),2)*SIGN($U1848),ROUND($U1848*$V1848,2))))</f>
        <v>0</v>
      </c>
      <c r="X1848" s="24" t="str">
        <f aca="false">IF($N1848="","",IFERROR(INDEX(VAT_Codes!$H:$H,MATCH($N1848,VAT_Codes!$A:$A,0)),"")&amp;"")</f>
        <v/>
      </c>
      <c r="Y1848" s="24" t="str">
        <f aca="false">IF($A1848="","",(YEAR($A1848)-YEAR(Settings!$C$8))*12+MONTH($A1848)-MONTH(Settings!$C$8)+1)</f>
        <v/>
      </c>
      <c r="Z1848" s="24" t="str">
        <f aca="false">IF(AND($C1848="",$I1848="",$J1848=""),"",IF($N1848="","NO VAT CODE",IF($T1848="","UNKNOWN VAT CODE",IF($S1848="","MISSING FX RATE",IF(OR($A1848&lt;Settings!$C$8,$A1848&gt;Settings!$C$9),"OUTSIDE PERIOD",IF(AND(IFERROR(INDEX(VAT_Codes!$E:$E,MATCH($N1848,VAT_Codes!$A:$A,0)),"ANY")&lt;&gt;"ANY",$P1848=""),"MISSING COUNTERPARTY COUNTRY",IF(AND(IFERROR(INDEX(VAT_Codes!$E:$E,MATCH($N1848,VAT_Codes!$A:$A,0)),"ANY")&lt;&gt;"ANY",$P1848&lt;&gt;IFERROR(INDEX(VAT_Codes!$E:$E,MATCH($N1848,VAT_Codes!$A:$A,0)),"ANY")),"REGION MISMATCH","OK")))))))</f>
        <v/>
      </c>
    </row>
    <row r="1849" customFormat="false" ht="15" hidden="false" customHeight="false" outlineLevel="0" collapsed="false">
      <c r="M1849" s="24" t="str">
        <f aca="false">IF($C1849="","",IFERROR(INDEX(Account_Mapping!$C:$C,MATCH($C1849&amp;"",Account_Mapping!$A:$A,0))&amp;"",""))</f>
        <v/>
      </c>
      <c r="N1849" s="24" t="str">
        <f aca="false">IF($K1849&lt;&gt;"",$K1849,$M1849)</f>
        <v/>
      </c>
      <c r="O1849" s="24" t="str">
        <f aca="false">IF($F1849="","",IFERROR(INDEX(Counterparties!$C:$C,MATCH($F1849&amp;"",Counterparties!$A:$A,0))&amp;"",""))</f>
        <v/>
      </c>
      <c r="P1849" s="24" t="str">
        <f aca="false">IF($O1849="","",IF($O1849="CY","CY",IF(ISNUMBER(MATCH($O1849,Lists!$A:$A,0)),"EU","3RD")))</f>
        <v/>
      </c>
      <c r="Q1849" s="24" t="str">
        <f aca="false">IF($F1849="","N",IFERROR(IF(INDEX(Counterparties!$E:$E,MATCH($F1849&amp;"",Counterparties!$A:$A,0))="Y","Y","N"),"N"))</f>
        <v>N</v>
      </c>
      <c r="R1849" s="25" t="n">
        <f aca="false">IF(OR($H1849="",$H1849="EUR"),1,IFERROR(INDEX(FX_Rates!$D:$D,MATCH($H1849,FX_Rates!$A:$A,0)),""))</f>
        <v>1</v>
      </c>
      <c r="S1849" s="26" t="str">
        <f aca="false">IF(AND($I1849="",$J1849=""),"",IF($J1849&lt;&gt;"",$J1849,IF(OR($R1849="",$R1849=0),"",ROUND($I1849/$R1849,2))))</f>
        <v/>
      </c>
      <c r="T1849" s="24" t="str">
        <f aca="false">IF($N1849="","",IFERROR(INDEX(VAT_Codes!$C:$C,MATCH($N1849,VAT_Codes!$A:$A,0)),"")&amp;"")</f>
        <v/>
      </c>
      <c r="U1849" s="26" t="n">
        <f aca="false">IF(OR($S1849="",$T1849="",$T1849="None"),0,IF($T1849="Output",-$S1849,$S1849))</f>
        <v>0</v>
      </c>
      <c r="V1849" s="27" t="n">
        <f aca="false">IF($N1849="",0,IFERROR(INDEX(VAT_Codes!$D:$D,MATCH($N1849,VAT_Codes!$A:$A,0)),0))</f>
        <v>0</v>
      </c>
      <c r="W1849" s="26" t="n">
        <f aca="false">IF($U1849=0,0,IF(IFERROR(INDEX(VAT_Codes!$F:$F,MATCH($N1849,VAT_Codes!$A:$A,0)),"N")="Y",$U1849,IF($L1849&lt;&gt;"",ROUND(ABS($L1849)/IF(OR($R1849="",$R1849=0),1,$R1849),2)*SIGN($U1849),ROUND($U1849*$V1849,2))))</f>
        <v>0</v>
      </c>
      <c r="X1849" s="24" t="str">
        <f aca="false">IF($N1849="","",IFERROR(INDEX(VAT_Codes!$H:$H,MATCH($N1849,VAT_Codes!$A:$A,0)),"")&amp;"")</f>
        <v/>
      </c>
      <c r="Y1849" s="24" t="str">
        <f aca="false">IF($A1849="","",(YEAR($A1849)-YEAR(Settings!$C$8))*12+MONTH($A1849)-MONTH(Settings!$C$8)+1)</f>
        <v/>
      </c>
      <c r="Z1849" s="24" t="str">
        <f aca="false">IF(AND($C1849="",$I1849="",$J1849=""),"",IF($N1849="","NO VAT CODE",IF($T1849="","UNKNOWN VAT CODE",IF($S1849="","MISSING FX RATE",IF(OR($A1849&lt;Settings!$C$8,$A1849&gt;Settings!$C$9),"OUTSIDE PERIOD",IF(AND(IFERROR(INDEX(VAT_Codes!$E:$E,MATCH($N1849,VAT_Codes!$A:$A,0)),"ANY")&lt;&gt;"ANY",$P1849=""),"MISSING COUNTERPARTY COUNTRY",IF(AND(IFERROR(INDEX(VAT_Codes!$E:$E,MATCH($N1849,VAT_Codes!$A:$A,0)),"ANY")&lt;&gt;"ANY",$P1849&lt;&gt;IFERROR(INDEX(VAT_Codes!$E:$E,MATCH($N1849,VAT_Codes!$A:$A,0)),"ANY")),"REGION MISMATCH","OK")))))))</f>
        <v/>
      </c>
    </row>
    <row r="1850" customFormat="false" ht="15" hidden="false" customHeight="false" outlineLevel="0" collapsed="false">
      <c r="M1850" s="24" t="str">
        <f aca="false">IF($C1850="","",IFERROR(INDEX(Account_Mapping!$C:$C,MATCH($C1850&amp;"",Account_Mapping!$A:$A,0))&amp;"",""))</f>
        <v/>
      </c>
      <c r="N1850" s="24" t="str">
        <f aca="false">IF($K1850&lt;&gt;"",$K1850,$M1850)</f>
        <v/>
      </c>
      <c r="O1850" s="24" t="str">
        <f aca="false">IF($F1850="","",IFERROR(INDEX(Counterparties!$C:$C,MATCH($F1850&amp;"",Counterparties!$A:$A,0))&amp;"",""))</f>
        <v/>
      </c>
      <c r="P1850" s="24" t="str">
        <f aca="false">IF($O1850="","",IF($O1850="CY","CY",IF(ISNUMBER(MATCH($O1850,Lists!$A:$A,0)),"EU","3RD")))</f>
        <v/>
      </c>
      <c r="Q1850" s="24" t="str">
        <f aca="false">IF($F1850="","N",IFERROR(IF(INDEX(Counterparties!$E:$E,MATCH($F1850&amp;"",Counterparties!$A:$A,0))="Y","Y","N"),"N"))</f>
        <v>N</v>
      </c>
      <c r="R1850" s="25" t="n">
        <f aca="false">IF(OR($H1850="",$H1850="EUR"),1,IFERROR(INDEX(FX_Rates!$D:$D,MATCH($H1850,FX_Rates!$A:$A,0)),""))</f>
        <v>1</v>
      </c>
      <c r="S1850" s="26" t="str">
        <f aca="false">IF(AND($I1850="",$J1850=""),"",IF($J1850&lt;&gt;"",$J1850,IF(OR($R1850="",$R1850=0),"",ROUND($I1850/$R1850,2))))</f>
        <v/>
      </c>
      <c r="T1850" s="24" t="str">
        <f aca="false">IF($N1850="","",IFERROR(INDEX(VAT_Codes!$C:$C,MATCH($N1850,VAT_Codes!$A:$A,0)),"")&amp;"")</f>
        <v/>
      </c>
      <c r="U1850" s="26" t="n">
        <f aca="false">IF(OR($S1850="",$T1850="",$T1850="None"),0,IF($T1850="Output",-$S1850,$S1850))</f>
        <v>0</v>
      </c>
      <c r="V1850" s="27" t="n">
        <f aca="false">IF($N1850="",0,IFERROR(INDEX(VAT_Codes!$D:$D,MATCH($N1850,VAT_Codes!$A:$A,0)),0))</f>
        <v>0</v>
      </c>
      <c r="W1850" s="26" t="n">
        <f aca="false">IF($U1850=0,0,IF(IFERROR(INDEX(VAT_Codes!$F:$F,MATCH($N1850,VAT_Codes!$A:$A,0)),"N")="Y",$U1850,IF($L1850&lt;&gt;"",ROUND(ABS($L1850)/IF(OR($R1850="",$R1850=0),1,$R1850),2)*SIGN($U1850),ROUND($U1850*$V1850,2))))</f>
        <v>0</v>
      </c>
      <c r="X1850" s="24" t="str">
        <f aca="false">IF($N1850="","",IFERROR(INDEX(VAT_Codes!$H:$H,MATCH($N1850,VAT_Codes!$A:$A,0)),"")&amp;"")</f>
        <v/>
      </c>
      <c r="Y1850" s="24" t="str">
        <f aca="false">IF($A1850="","",(YEAR($A1850)-YEAR(Settings!$C$8))*12+MONTH($A1850)-MONTH(Settings!$C$8)+1)</f>
        <v/>
      </c>
      <c r="Z1850" s="24" t="str">
        <f aca="false">IF(AND($C1850="",$I1850="",$J1850=""),"",IF($N1850="","NO VAT CODE",IF($T1850="","UNKNOWN VAT CODE",IF($S1850="","MISSING FX RATE",IF(OR($A1850&lt;Settings!$C$8,$A1850&gt;Settings!$C$9),"OUTSIDE PERIOD",IF(AND(IFERROR(INDEX(VAT_Codes!$E:$E,MATCH($N1850,VAT_Codes!$A:$A,0)),"ANY")&lt;&gt;"ANY",$P1850=""),"MISSING COUNTERPARTY COUNTRY",IF(AND(IFERROR(INDEX(VAT_Codes!$E:$E,MATCH($N1850,VAT_Codes!$A:$A,0)),"ANY")&lt;&gt;"ANY",$P1850&lt;&gt;IFERROR(INDEX(VAT_Codes!$E:$E,MATCH($N1850,VAT_Codes!$A:$A,0)),"ANY")),"REGION MISMATCH","OK")))))))</f>
        <v/>
      </c>
    </row>
    <row r="1851" customFormat="false" ht="15" hidden="false" customHeight="false" outlineLevel="0" collapsed="false">
      <c r="M1851" s="24" t="str">
        <f aca="false">IF($C1851="","",IFERROR(INDEX(Account_Mapping!$C:$C,MATCH($C1851&amp;"",Account_Mapping!$A:$A,0))&amp;"",""))</f>
        <v/>
      </c>
      <c r="N1851" s="24" t="str">
        <f aca="false">IF($K1851&lt;&gt;"",$K1851,$M1851)</f>
        <v/>
      </c>
      <c r="O1851" s="24" t="str">
        <f aca="false">IF($F1851="","",IFERROR(INDEX(Counterparties!$C:$C,MATCH($F1851&amp;"",Counterparties!$A:$A,0))&amp;"",""))</f>
        <v/>
      </c>
      <c r="P1851" s="24" t="str">
        <f aca="false">IF($O1851="","",IF($O1851="CY","CY",IF(ISNUMBER(MATCH($O1851,Lists!$A:$A,0)),"EU","3RD")))</f>
        <v/>
      </c>
      <c r="Q1851" s="24" t="str">
        <f aca="false">IF($F1851="","N",IFERROR(IF(INDEX(Counterparties!$E:$E,MATCH($F1851&amp;"",Counterparties!$A:$A,0))="Y","Y","N"),"N"))</f>
        <v>N</v>
      </c>
      <c r="R1851" s="25" t="n">
        <f aca="false">IF(OR($H1851="",$H1851="EUR"),1,IFERROR(INDEX(FX_Rates!$D:$D,MATCH($H1851,FX_Rates!$A:$A,0)),""))</f>
        <v>1</v>
      </c>
      <c r="S1851" s="26" t="str">
        <f aca="false">IF(AND($I1851="",$J1851=""),"",IF($J1851&lt;&gt;"",$J1851,IF(OR($R1851="",$R1851=0),"",ROUND($I1851/$R1851,2))))</f>
        <v/>
      </c>
      <c r="T1851" s="24" t="str">
        <f aca="false">IF($N1851="","",IFERROR(INDEX(VAT_Codes!$C:$C,MATCH($N1851,VAT_Codes!$A:$A,0)),"")&amp;"")</f>
        <v/>
      </c>
      <c r="U1851" s="26" t="n">
        <f aca="false">IF(OR($S1851="",$T1851="",$T1851="None"),0,IF($T1851="Output",-$S1851,$S1851))</f>
        <v>0</v>
      </c>
      <c r="V1851" s="27" t="n">
        <f aca="false">IF($N1851="",0,IFERROR(INDEX(VAT_Codes!$D:$D,MATCH($N1851,VAT_Codes!$A:$A,0)),0))</f>
        <v>0</v>
      </c>
      <c r="W1851" s="26" t="n">
        <f aca="false">IF($U1851=0,0,IF(IFERROR(INDEX(VAT_Codes!$F:$F,MATCH($N1851,VAT_Codes!$A:$A,0)),"N")="Y",$U1851,IF($L1851&lt;&gt;"",ROUND(ABS($L1851)/IF(OR($R1851="",$R1851=0),1,$R1851),2)*SIGN($U1851),ROUND($U1851*$V1851,2))))</f>
        <v>0</v>
      </c>
      <c r="X1851" s="24" t="str">
        <f aca="false">IF($N1851="","",IFERROR(INDEX(VAT_Codes!$H:$H,MATCH($N1851,VAT_Codes!$A:$A,0)),"")&amp;"")</f>
        <v/>
      </c>
      <c r="Y1851" s="24" t="str">
        <f aca="false">IF($A1851="","",(YEAR($A1851)-YEAR(Settings!$C$8))*12+MONTH($A1851)-MONTH(Settings!$C$8)+1)</f>
        <v/>
      </c>
      <c r="Z1851" s="24" t="str">
        <f aca="false">IF(AND($C1851="",$I1851="",$J1851=""),"",IF($N1851="","NO VAT CODE",IF($T1851="","UNKNOWN VAT CODE",IF($S1851="","MISSING FX RATE",IF(OR($A1851&lt;Settings!$C$8,$A1851&gt;Settings!$C$9),"OUTSIDE PERIOD",IF(AND(IFERROR(INDEX(VAT_Codes!$E:$E,MATCH($N1851,VAT_Codes!$A:$A,0)),"ANY")&lt;&gt;"ANY",$P1851=""),"MISSING COUNTERPARTY COUNTRY",IF(AND(IFERROR(INDEX(VAT_Codes!$E:$E,MATCH($N1851,VAT_Codes!$A:$A,0)),"ANY")&lt;&gt;"ANY",$P1851&lt;&gt;IFERROR(INDEX(VAT_Codes!$E:$E,MATCH($N1851,VAT_Codes!$A:$A,0)),"ANY")),"REGION MISMATCH","OK")))))))</f>
        <v/>
      </c>
    </row>
    <row r="1852" customFormat="false" ht="15" hidden="false" customHeight="false" outlineLevel="0" collapsed="false">
      <c r="M1852" s="24" t="str">
        <f aca="false">IF($C1852="","",IFERROR(INDEX(Account_Mapping!$C:$C,MATCH($C1852&amp;"",Account_Mapping!$A:$A,0))&amp;"",""))</f>
        <v/>
      </c>
      <c r="N1852" s="24" t="str">
        <f aca="false">IF($K1852&lt;&gt;"",$K1852,$M1852)</f>
        <v/>
      </c>
      <c r="O1852" s="24" t="str">
        <f aca="false">IF($F1852="","",IFERROR(INDEX(Counterparties!$C:$C,MATCH($F1852&amp;"",Counterparties!$A:$A,0))&amp;"",""))</f>
        <v/>
      </c>
      <c r="P1852" s="24" t="str">
        <f aca="false">IF($O1852="","",IF($O1852="CY","CY",IF(ISNUMBER(MATCH($O1852,Lists!$A:$A,0)),"EU","3RD")))</f>
        <v/>
      </c>
      <c r="Q1852" s="24" t="str">
        <f aca="false">IF($F1852="","N",IFERROR(IF(INDEX(Counterparties!$E:$E,MATCH($F1852&amp;"",Counterparties!$A:$A,0))="Y","Y","N"),"N"))</f>
        <v>N</v>
      </c>
      <c r="R1852" s="25" t="n">
        <f aca="false">IF(OR($H1852="",$H1852="EUR"),1,IFERROR(INDEX(FX_Rates!$D:$D,MATCH($H1852,FX_Rates!$A:$A,0)),""))</f>
        <v>1</v>
      </c>
      <c r="S1852" s="26" t="str">
        <f aca="false">IF(AND($I1852="",$J1852=""),"",IF($J1852&lt;&gt;"",$J1852,IF(OR($R1852="",$R1852=0),"",ROUND($I1852/$R1852,2))))</f>
        <v/>
      </c>
      <c r="T1852" s="24" t="str">
        <f aca="false">IF($N1852="","",IFERROR(INDEX(VAT_Codes!$C:$C,MATCH($N1852,VAT_Codes!$A:$A,0)),"")&amp;"")</f>
        <v/>
      </c>
      <c r="U1852" s="26" t="n">
        <f aca="false">IF(OR($S1852="",$T1852="",$T1852="None"),0,IF($T1852="Output",-$S1852,$S1852))</f>
        <v>0</v>
      </c>
      <c r="V1852" s="27" t="n">
        <f aca="false">IF($N1852="",0,IFERROR(INDEX(VAT_Codes!$D:$D,MATCH($N1852,VAT_Codes!$A:$A,0)),0))</f>
        <v>0</v>
      </c>
      <c r="W1852" s="26" t="n">
        <f aca="false">IF($U1852=0,0,IF(IFERROR(INDEX(VAT_Codes!$F:$F,MATCH($N1852,VAT_Codes!$A:$A,0)),"N")="Y",$U1852,IF($L1852&lt;&gt;"",ROUND(ABS($L1852)/IF(OR($R1852="",$R1852=0),1,$R1852),2)*SIGN($U1852),ROUND($U1852*$V1852,2))))</f>
        <v>0</v>
      </c>
      <c r="X1852" s="24" t="str">
        <f aca="false">IF($N1852="","",IFERROR(INDEX(VAT_Codes!$H:$H,MATCH($N1852,VAT_Codes!$A:$A,0)),"")&amp;"")</f>
        <v/>
      </c>
      <c r="Y1852" s="24" t="str">
        <f aca="false">IF($A1852="","",(YEAR($A1852)-YEAR(Settings!$C$8))*12+MONTH($A1852)-MONTH(Settings!$C$8)+1)</f>
        <v/>
      </c>
      <c r="Z1852" s="24" t="str">
        <f aca="false">IF(AND($C1852="",$I1852="",$J1852=""),"",IF($N1852="","NO VAT CODE",IF($T1852="","UNKNOWN VAT CODE",IF($S1852="","MISSING FX RATE",IF(OR($A1852&lt;Settings!$C$8,$A1852&gt;Settings!$C$9),"OUTSIDE PERIOD",IF(AND(IFERROR(INDEX(VAT_Codes!$E:$E,MATCH($N1852,VAT_Codes!$A:$A,0)),"ANY")&lt;&gt;"ANY",$P1852=""),"MISSING COUNTERPARTY COUNTRY",IF(AND(IFERROR(INDEX(VAT_Codes!$E:$E,MATCH($N1852,VAT_Codes!$A:$A,0)),"ANY")&lt;&gt;"ANY",$P1852&lt;&gt;IFERROR(INDEX(VAT_Codes!$E:$E,MATCH($N1852,VAT_Codes!$A:$A,0)),"ANY")),"REGION MISMATCH","OK")))))))</f>
        <v/>
      </c>
    </row>
    <row r="1853" customFormat="false" ht="15" hidden="false" customHeight="false" outlineLevel="0" collapsed="false">
      <c r="M1853" s="24" t="str">
        <f aca="false">IF($C1853="","",IFERROR(INDEX(Account_Mapping!$C:$C,MATCH($C1853&amp;"",Account_Mapping!$A:$A,0))&amp;"",""))</f>
        <v/>
      </c>
      <c r="N1853" s="24" t="str">
        <f aca="false">IF($K1853&lt;&gt;"",$K1853,$M1853)</f>
        <v/>
      </c>
      <c r="O1853" s="24" t="str">
        <f aca="false">IF($F1853="","",IFERROR(INDEX(Counterparties!$C:$C,MATCH($F1853&amp;"",Counterparties!$A:$A,0))&amp;"",""))</f>
        <v/>
      </c>
      <c r="P1853" s="24" t="str">
        <f aca="false">IF($O1853="","",IF($O1853="CY","CY",IF(ISNUMBER(MATCH($O1853,Lists!$A:$A,0)),"EU","3RD")))</f>
        <v/>
      </c>
      <c r="Q1853" s="24" t="str">
        <f aca="false">IF($F1853="","N",IFERROR(IF(INDEX(Counterparties!$E:$E,MATCH($F1853&amp;"",Counterparties!$A:$A,0))="Y","Y","N"),"N"))</f>
        <v>N</v>
      </c>
      <c r="R1853" s="25" t="n">
        <f aca="false">IF(OR($H1853="",$H1853="EUR"),1,IFERROR(INDEX(FX_Rates!$D:$D,MATCH($H1853,FX_Rates!$A:$A,0)),""))</f>
        <v>1</v>
      </c>
      <c r="S1853" s="26" t="str">
        <f aca="false">IF(AND($I1853="",$J1853=""),"",IF($J1853&lt;&gt;"",$J1853,IF(OR($R1853="",$R1853=0),"",ROUND($I1853/$R1853,2))))</f>
        <v/>
      </c>
      <c r="T1853" s="24" t="str">
        <f aca="false">IF($N1853="","",IFERROR(INDEX(VAT_Codes!$C:$C,MATCH($N1853,VAT_Codes!$A:$A,0)),"")&amp;"")</f>
        <v/>
      </c>
      <c r="U1853" s="26" t="n">
        <f aca="false">IF(OR($S1853="",$T1853="",$T1853="None"),0,IF($T1853="Output",-$S1853,$S1853))</f>
        <v>0</v>
      </c>
      <c r="V1853" s="27" t="n">
        <f aca="false">IF($N1853="",0,IFERROR(INDEX(VAT_Codes!$D:$D,MATCH($N1853,VAT_Codes!$A:$A,0)),0))</f>
        <v>0</v>
      </c>
      <c r="W1853" s="26" t="n">
        <f aca="false">IF($U1853=0,0,IF(IFERROR(INDEX(VAT_Codes!$F:$F,MATCH($N1853,VAT_Codes!$A:$A,0)),"N")="Y",$U1853,IF($L1853&lt;&gt;"",ROUND(ABS($L1853)/IF(OR($R1853="",$R1853=0),1,$R1853),2)*SIGN($U1853),ROUND($U1853*$V1853,2))))</f>
        <v>0</v>
      </c>
      <c r="X1853" s="24" t="str">
        <f aca="false">IF($N1853="","",IFERROR(INDEX(VAT_Codes!$H:$H,MATCH($N1853,VAT_Codes!$A:$A,0)),"")&amp;"")</f>
        <v/>
      </c>
      <c r="Y1853" s="24" t="str">
        <f aca="false">IF($A1853="","",(YEAR($A1853)-YEAR(Settings!$C$8))*12+MONTH($A1853)-MONTH(Settings!$C$8)+1)</f>
        <v/>
      </c>
      <c r="Z1853" s="24" t="str">
        <f aca="false">IF(AND($C1853="",$I1853="",$J1853=""),"",IF($N1853="","NO VAT CODE",IF($T1853="","UNKNOWN VAT CODE",IF($S1853="","MISSING FX RATE",IF(OR($A1853&lt;Settings!$C$8,$A1853&gt;Settings!$C$9),"OUTSIDE PERIOD",IF(AND(IFERROR(INDEX(VAT_Codes!$E:$E,MATCH($N1853,VAT_Codes!$A:$A,0)),"ANY")&lt;&gt;"ANY",$P1853=""),"MISSING COUNTERPARTY COUNTRY",IF(AND(IFERROR(INDEX(VAT_Codes!$E:$E,MATCH($N1853,VAT_Codes!$A:$A,0)),"ANY")&lt;&gt;"ANY",$P1853&lt;&gt;IFERROR(INDEX(VAT_Codes!$E:$E,MATCH($N1853,VAT_Codes!$A:$A,0)),"ANY")),"REGION MISMATCH","OK")))))))</f>
        <v/>
      </c>
    </row>
    <row r="1854" customFormat="false" ht="15" hidden="false" customHeight="false" outlineLevel="0" collapsed="false">
      <c r="M1854" s="24" t="str">
        <f aca="false">IF($C1854="","",IFERROR(INDEX(Account_Mapping!$C:$C,MATCH($C1854&amp;"",Account_Mapping!$A:$A,0))&amp;"",""))</f>
        <v/>
      </c>
      <c r="N1854" s="24" t="str">
        <f aca="false">IF($K1854&lt;&gt;"",$K1854,$M1854)</f>
        <v/>
      </c>
      <c r="O1854" s="24" t="str">
        <f aca="false">IF($F1854="","",IFERROR(INDEX(Counterparties!$C:$C,MATCH($F1854&amp;"",Counterparties!$A:$A,0))&amp;"",""))</f>
        <v/>
      </c>
      <c r="P1854" s="24" t="str">
        <f aca="false">IF($O1854="","",IF($O1854="CY","CY",IF(ISNUMBER(MATCH($O1854,Lists!$A:$A,0)),"EU","3RD")))</f>
        <v/>
      </c>
      <c r="Q1854" s="24" t="str">
        <f aca="false">IF($F1854="","N",IFERROR(IF(INDEX(Counterparties!$E:$E,MATCH($F1854&amp;"",Counterparties!$A:$A,0))="Y","Y","N"),"N"))</f>
        <v>N</v>
      </c>
      <c r="R1854" s="25" t="n">
        <f aca="false">IF(OR($H1854="",$H1854="EUR"),1,IFERROR(INDEX(FX_Rates!$D:$D,MATCH($H1854,FX_Rates!$A:$A,0)),""))</f>
        <v>1</v>
      </c>
      <c r="S1854" s="26" t="str">
        <f aca="false">IF(AND($I1854="",$J1854=""),"",IF($J1854&lt;&gt;"",$J1854,IF(OR($R1854="",$R1854=0),"",ROUND($I1854/$R1854,2))))</f>
        <v/>
      </c>
      <c r="T1854" s="24" t="str">
        <f aca="false">IF($N1854="","",IFERROR(INDEX(VAT_Codes!$C:$C,MATCH($N1854,VAT_Codes!$A:$A,0)),"")&amp;"")</f>
        <v/>
      </c>
      <c r="U1854" s="26" t="n">
        <f aca="false">IF(OR($S1854="",$T1854="",$T1854="None"),0,IF($T1854="Output",-$S1854,$S1854))</f>
        <v>0</v>
      </c>
      <c r="V1854" s="27" t="n">
        <f aca="false">IF($N1854="",0,IFERROR(INDEX(VAT_Codes!$D:$D,MATCH($N1854,VAT_Codes!$A:$A,0)),0))</f>
        <v>0</v>
      </c>
      <c r="W1854" s="26" t="n">
        <f aca="false">IF($U1854=0,0,IF(IFERROR(INDEX(VAT_Codes!$F:$F,MATCH($N1854,VAT_Codes!$A:$A,0)),"N")="Y",$U1854,IF($L1854&lt;&gt;"",ROUND(ABS($L1854)/IF(OR($R1854="",$R1854=0),1,$R1854),2)*SIGN($U1854),ROUND($U1854*$V1854,2))))</f>
        <v>0</v>
      </c>
      <c r="X1854" s="24" t="str">
        <f aca="false">IF($N1854="","",IFERROR(INDEX(VAT_Codes!$H:$H,MATCH($N1854,VAT_Codes!$A:$A,0)),"")&amp;"")</f>
        <v/>
      </c>
      <c r="Y1854" s="24" t="str">
        <f aca="false">IF($A1854="","",(YEAR($A1854)-YEAR(Settings!$C$8))*12+MONTH($A1854)-MONTH(Settings!$C$8)+1)</f>
        <v/>
      </c>
      <c r="Z1854" s="24" t="str">
        <f aca="false">IF(AND($C1854="",$I1854="",$J1854=""),"",IF($N1854="","NO VAT CODE",IF($T1854="","UNKNOWN VAT CODE",IF($S1854="","MISSING FX RATE",IF(OR($A1854&lt;Settings!$C$8,$A1854&gt;Settings!$C$9),"OUTSIDE PERIOD",IF(AND(IFERROR(INDEX(VAT_Codes!$E:$E,MATCH($N1854,VAT_Codes!$A:$A,0)),"ANY")&lt;&gt;"ANY",$P1854=""),"MISSING COUNTERPARTY COUNTRY",IF(AND(IFERROR(INDEX(VAT_Codes!$E:$E,MATCH($N1854,VAT_Codes!$A:$A,0)),"ANY")&lt;&gt;"ANY",$P1854&lt;&gt;IFERROR(INDEX(VAT_Codes!$E:$E,MATCH($N1854,VAT_Codes!$A:$A,0)),"ANY")),"REGION MISMATCH","OK")))))))</f>
        <v/>
      </c>
    </row>
    <row r="1855" customFormat="false" ht="15" hidden="false" customHeight="false" outlineLevel="0" collapsed="false">
      <c r="M1855" s="24" t="str">
        <f aca="false">IF($C1855="","",IFERROR(INDEX(Account_Mapping!$C:$C,MATCH($C1855&amp;"",Account_Mapping!$A:$A,0))&amp;"",""))</f>
        <v/>
      </c>
      <c r="N1855" s="24" t="str">
        <f aca="false">IF($K1855&lt;&gt;"",$K1855,$M1855)</f>
        <v/>
      </c>
      <c r="O1855" s="24" t="str">
        <f aca="false">IF($F1855="","",IFERROR(INDEX(Counterparties!$C:$C,MATCH($F1855&amp;"",Counterparties!$A:$A,0))&amp;"",""))</f>
        <v/>
      </c>
      <c r="P1855" s="24" t="str">
        <f aca="false">IF($O1855="","",IF($O1855="CY","CY",IF(ISNUMBER(MATCH($O1855,Lists!$A:$A,0)),"EU","3RD")))</f>
        <v/>
      </c>
      <c r="Q1855" s="24" t="str">
        <f aca="false">IF($F1855="","N",IFERROR(IF(INDEX(Counterparties!$E:$E,MATCH($F1855&amp;"",Counterparties!$A:$A,0))="Y","Y","N"),"N"))</f>
        <v>N</v>
      </c>
      <c r="R1855" s="25" t="n">
        <f aca="false">IF(OR($H1855="",$H1855="EUR"),1,IFERROR(INDEX(FX_Rates!$D:$D,MATCH($H1855,FX_Rates!$A:$A,0)),""))</f>
        <v>1</v>
      </c>
      <c r="S1855" s="26" t="str">
        <f aca="false">IF(AND($I1855="",$J1855=""),"",IF($J1855&lt;&gt;"",$J1855,IF(OR($R1855="",$R1855=0),"",ROUND($I1855/$R1855,2))))</f>
        <v/>
      </c>
      <c r="T1855" s="24" t="str">
        <f aca="false">IF($N1855="","",IFERROR(INDEX(VAT_Codes!$C:$C,MATCH($N1855,VAT_Codes!$A:$A,0)),"")&amp;"")</f>
        <v/>
      </c>
      <c r="U1855" s="26" t="n">
        <f aca="false">IF(OR($S1855="",$T1855="",$T1855="None"),0,IF($T1855="Output",-$S1855,$S1855))</f>
        <v>0</v>
      </c>
      <c r="V1855" s="27" t="n">
        <f aca="false">IF($N1855="",0,IFERROR(INDEX(VAT_Codes!$D:$D,MATCH($N1855,VAT_Codes!$A:$A,0)),0))</f>
        <v>0</v>
      </c>
      <c r="W1855" s="26" t="n">
        <f aca="false">IF($U1855=0,0,IF(IFERROR(INDEX(VAT_Codes!$F:$F,MATCH($N1855,VAT_Codes!$A:$A,0)),"N")="Y",$U1855,IF($L1855&lt;&gt;"",ROUND(ABS($L1855)/IF(OR($R1855="",$R1855=0),1,$R1855),2)*SIGN($U1855),ROUND($U1855*$V1855,2))))</f>
        <v>0</v>
      </c>
      <c r="X1855" s="24" t="str">
        <f aca="false">IF($N1855="","",IFERROR(INDEX(VAT_Codes!$H:$H,MATCH($N1855,VAT_Codes!$A:$A,0)),"")&amp;"")</f>
        <v/>
      </c>
      <c r="Y1855" s="24" t="str">
        <f aca="false">IF($A1855="","",(YEAR($A1855)-YEAR(Settings!$C$8))*12+MONTH($A1855)-MONTH(Settings!$C$8)+1)</f>
        <v/>
      </c>
      <c r="Z1855" s="24" t="str">
        <f aca="false">IF(AND($C1855="",$I1855="",$J1855=""),"",IF($N1855="","NO VAT CODE",IF($T1855="","UNKNOWN VAT CODE",IF($S1855="","MISSING FX RATE",IF(OR($A1855&lt;Settings!$C$8,$A1855&gt;Settings!$C$9),"OUTSIDE PERIOD",IF(AND(IFERROR(INDEX(VAT_Codes!$E:$E,MATCH($N1855,VAT_Codes!$A:$A,0)),"ANY")&lt;&gt;"ANY",$P1855=""),"MISSING COUNTERPARTY COUNTRY",IF(AND(IFERROR(INDEX(VAT_Codes!$E:$E,MATCH($N1855,VAT_Codes!$A:$A,0)),"ANY")&lt;&gt;"ANY",$P1855&lt;&gt;IFERROR(INDEX(VAT_Codes!$E:$E,MATCH($N1855,VAT_Codes!$A:$A,0)),"ANY")),"REGION MISMATCH","OK")))))))</f>
        <v/>
      </c>
    </row>
    <row r="1856" customFormat="false" ht="15" hidden="false" customHeight="false" outlineLevel="0" collapsed="false">
      <c r="M1856" s="24" t="str">
        <f aca="false">IF($C1856="","",IFERROR(INDEX(Account_Mapping!$C:$C,MATCH($C1856&amp;"",Account_Mapping!$A:$A,0))&amp;"",""))</f>
        <v/>
      </c>
      <c r="N1856" s="24" t="str">
        <f aca="false">IF($K1856&lt;&gt;"",$K1856,$M1856)</f>
        <v/>
      </c>
      <c r="O1856" s="24" t="str">
        <f aca="false">IF($F1856="","",IFERROR(INDEX(Counterparties!$C:$C,MATCH($F1856&amp;"",Counterparties!$A:$A,0))&amp;"",""))</f>
        <v/>
      </c>
      <c r="P1856" s="24" t="str">
        <f aca="false">IF($O1856="","",IF($O1856="CY","CY",IF(ISNUMBER(MATCH($O1856,Lists!$A:$A,0)),"EU","3RD")))</f>
        <v/>
      </c>
      <c r="Q1856" s="24" t="str">
        <f aca="false">IF($F1856="","N",IFERROR(IF(INDEX(Counterparties!$E:$E,MATCH($F1856&amp;"",Counterparties!$A:$A,0))="Y","Y","N"),"N"))</f>
        <v>N</v>
      </c>
      <c r="R1856" s="25" t="n">
        <f aca="false">IF(OR($H1856="",$H1856="EUR"),1,IFERROR(INDEX(FX_Rates!$D:$D,MATCH($H1856,FX_Rates!$A:$A,0)),""))</f>
        <v>1</v>
      </c>
      <c r="S1856" s="26" t="str">
        <f aca="false">IF(AND($I1856="",$J1856=""),"",IF($J1856&lt;&gt;"",$J1856,IF(OR($R1856="",$R1856=0),"",ROUND($I1856/$R1856,2))))</f>
        <v/>
      </c>
      <c r="T1856" s="24" t="str">
        <f aca="false">IF($N1856="","",IFERROR(INDEX(VAT_Codes!$C:$C,MATCH($N1856,VAT_Codes!$A:$A,0)),"")&amp;"")</f>
        <v/>
      </c>
      <c r="U1856" s="26" t="n">
        <f aca="false">IF(OR($S1856="",$T1856="",$T1856="None"),0,IF($T1856="Output",-$S1856,$S1856))</f>
        <v>0</v>
      </c>
      <c r="V1856" s="27" t="n">
        <f aca="false">IF($N1856="",0,IFERROR(INDEX(VAT_Codes!$D:$D,MATCH($N1856,VAT_Codes!$A:$A,0)),0))</f>
        <v>0</v>
      </c>
      <c r="W1856" s="26" t="n">
        <f aca="false">IF($U1856=0,0,IF(IFERROR(INDEX(VAT_Codes!$F:$F,MATCH($N1856,VAT_Codes!$A:$A,0)),"N")="Y",$U1856,IF($L1856&lt;&gt;"",ROUND(ABS($L1856)/IF(OR($R1856="",$R1856=0),1,$R1856),2)*SIGN($U1856),ROUND($U1856*$V1856,2))))</f>
        <v>0</v>
      </c>
      <c r="X1856" s="24" t="str">
        <f aca="false">IF($N1856="","",IFERROR(INDEX(VAT_Codes!$H:$H,MATCH($N1856,VAT_Codes!$A:$A,0)),"")&amp;"")</f>
        <v/>
      </c>
      <c r="Y1856" s="24" t="str">
        <f aca="false">IF($A1856="","",(YEAR($A1856)-YEAR(Settings!$C$8))*12+MONTH($A1856)-MONTH(Settings!$C$8)+1)</f>
        <v/>
      </c>
      <c r="Z1856" s="24" t="str">
        <f aca="false">IF(AND($C1856="",$I1856="",$J1856=""),"",IF($N1856="","NO VAT CODE",IF($T1856="","UNKNOWN VAT CODE",IF($S1856="","MISSING FX RATE",IF(OR($A1856&lt;Settings!$C$8,$A1856&gt;Settings!$C$9),"OUTSIDE PERIOD",IF(AND(IFERROR(INDEX(VAT_Codes!$E:$E,MATCH($N1856,VAT_Codes!$A:$A,0)),"ANY")&lt;&gt;"ANY",$P1856=""),"MISSING COUNTERPARTY COUNTRY",IF(AND(IFERROR(INDEX(VAT_Codes!$E:$E,MATCH($N1856,VAT_Codes!$A:$A,0)),"ANY")&lt;&gt;"ANY",$P1856&lt;&gt;IFERROR(INDEX(VAT_Codes!$E:$E,MATCH($N1856,VAT_Codes!$A:$A,0)),"ANY")),"REGION MISMATCH","OK")))))))</f>
        <v/>
      </c>
    </row>
    <row r="1857" customFormat="false" ht="15" hidden="false" customHeight="false" outlineLevel="0" collapsed="false">
      <c r="M1857" s="24" t="str">
        <f aca="false">IF($C1857="","",IFERROR(INDEX(Account_Mapping!$C:$C,MATCH($C1857&amp;"",Account_Mapping!$A:$A,0))&amp;"",""))</f>
        <v/>
      </c>
      <c r="N1857" s="24" t="str">
        <f aca="false">IF($K1857&lt;&gt;"",$K1857,$M1857)</f>
        <v/>
      </c>
      <c r="O1857" s="24" t="str">
        <f aca="false">IF($F1857="","",IFERROR(INDEX(Counterparties!$C:$C,MATCH($F1857&amp;"",Counterparties!$A:$A,0))&amp;"",""))</f>
        <v/>
      </c>
      <c r="P1857" s="24" t="str">
        <f aca="false">IF($O1857="","",IF($O1857="CY","CY",IF(ISNUMBER(MATCH($O1857,Lists!$A:$A,0)),"EU","3RD")))</f>
        <v/>
      </c>
      <c r="Q1857" s="24" t="str">
        <f aca="false">IF($F1857="","N",IFERROR(IF(INDEX(Counterparties!$E:$E,MATCH($F1857&amp;"",Counterparties!$A:$A,0))="Y","Y","N"),"N"))</f>
        <v>N</v>
      </c>
      <c r="R1857" s="25" t="n">
        <f aca="false">IF(OR($H1857="",$H1857="EUR"),1,IFERROR(INDEX(FX_Rates!$D:$D,MATCH($H1857,FX_Rates!$A:$A,0)),""))</f>
        <v>1</v>
      </c>
      <c r="S1857" s="26" t="str">
        <f aca="false">IF(AND($I1857="",$J1857=""),"",IF($J1857&lt;&gt;"",$J1857,IF(OR($R1857="",$R1857=0),"",ROUND($I1857/$R1857,2))))</f>
        <v/>
      </c>
      <c r="T1857" s="24" t="str">
        <f aca="false">IF($N1857="","",IFERROR(INDEX(VAT_Codes!$C:$C,MATCH($N1857,VAT_Codes!$A:$A,0)),"")&amp;"")</f>
        <v/>
      </c>
      <c r="U1857" s="26" t="n">
        <f aca="false">IF(OR($S1857="",$T1857="",$T1857="None"),0,IF($T1857="Output",-$S1857,$S1857))</f>
        <v>0</v>
      </c>
      <c r="V1857" s="27" t="n">
        <f aca="false">IF($N1857="",0,IFERROR(INDEX(VAT_Codes!$D:$D,MATCH($N1857,VAT_Codes!$A:$A,0)),0))</f>
        <v>0</v>
      </c>
      <c r="W1857" s="26" t="n">
        <f aca="false">IF($U1857=0,0,IF(IFERROR(INDEX(VAT_Codes!$F:$F,MATCH($N1857,VAT_Codes!$A:$A,0)),"N")="Y",$U1857,IF($L1857&lt;&gt;"",ROUND(ABS($L1857)/IF(OR($R1857="",$R1857=0),1,$R1857),2)*SIGN($U1857),ROUND($U1857*$V1857,2))))</f>
        <v>0</v>
      </c>
      <c r="X1857" s="24" t="str">
        <f aca="false">IF($N1857="","",IFERROR(INDEX(VAT_Codes!$H:$H,MATCH($N1857,VAT_Codes!$A:$A,0)),"")&amp;"")</f>
        <v/>
      </c>
      <c r="Y1857" s="24" t="str">
        <f aca="false">IF($A1857="","",(YEAR($A1857)-YEAR(Settings!$C$8))*12+MONTH($A1857)-MONTH(Settings!$C$8)+1)</f>
        <v/>
      </c>
      <c r="Z1857" s="24" t="str">
        <f aca="false">IF(AND($C1857="",$I1857="",$J1857=""),"",IF($N1857="","NO VAT CODE",IF($T1857="","UNKNOWN VAT CODE",IF($S1857="","MISSING FX RATE",IF(OR($A1857&lt;Settings!$C$8,$A1857&gt;Settings!$C$9),"OUTSIDE PERIOD",IF(AND(IFERROR(INDEX(VAT_Codes!$E:$E,MATCH($N1857,VAT_Codes!$A:$A,0)),"ANY")&lt;&gt;"ANY",$P1857=""),"MISSING COUNTERPARTY COUNTRY",IF(AND(IFERROR(INDEX(VAT_Codes!$E:$E,MATCH($N1857,VAT_Codes!$A:$A,0)),"ANY")&lt;&gt;"ANY",$P1857&lt;&gt;IFERROR(INDEX(VAT_Codes!$E:$E,MATCH($N1857,VAT_Codes!$A:$A,0)),"ANY")),"REGION MISMATCH","OK")))))))</f>
        <v/>
      </c>
    </row>
    <row r="1858" customFormat="false" ht="15" hidden="false" customHeight="false" outlineLevel="0" collapsed="false">
      <c r="M1858" s="24" t="str">
        <f aca="false">IF($C1858="","",IFERROR(INDEX(Account_Mapping!$C:$C,MATCH($C1858&amp;"",Account_Mapping!$A:$A,0))&amp;"",""))</f>
        <v/>
      </c>
      <c r="N1858" s="24" t="str">
        <f aca="false">IF($K1858&lt;&gt;"",$K1858,$M1858)</f>
        <v/>
      </c>
      <c r="O1858" s="24" t="str">
        <f aca="false">IF($F1858="","",IFERROR(INDEX(Counterparties!$C:$C,MATCH($F1858&amp;"",Counterparties!$A:$A,0))&amp;"",""))</f>
        <v/>
      </c>
      <c r="P1858" s="24" t="str">
        <f aca="false">IF($O1858="","",IF($O1858="CY","CY",IF(ISNUMBER(MATCH($O1858,Lists!$A:$A,0)),"EU","3RD")))</f>
        <v/>
      </c>
      <c r="Q1858" s="24" t="str">
        <f aca="false">IF($F1858="","N",IFERROR(IF(INDEX(Counterparties!$E:$E,MATCH($F1858&amp;"",Counterparties!$A:$A,0))="Y","Y","N"),"N"))</f>
        <v>N</v>
      </c>
      <c r="R1858" s="25" t="n">
        <f aca="false">IF(OR($H1858="",$H1858="EUR"),1,IFERROR(INDEX(FX_Rates!$D:$D,MATCH($H1858,FX_Rates!$A:$A,0)),""))</f>
        <v>1</v>
      </c>
      <c r="S1858" s="26" t="str">
        <f aca="false">IF(AND($I1858="",$J1858=""),"",IF($J1858&lt;&gt;"",$J1858,IF(OR($R1858="",$R1858=0),"",ROUND($I1858/$R1858,2))))</f>
        <v/>
      </c>
      <c r="T1858" s="24" t="str">
        <f aca="false">IF($N1858="","",IFERROR(INDEX(VAT_Codes!$C:$C,MATCH($N1858,VAT_Codes!$A:$A,0)),"")&amp;"")</f>
        <v/>
      </c>
      <c r="U1858" s="26" t="n">
        <f aca="false">IF(OR($S1858="",$T1858="",$T1858="None"),0,IF($T1858="Output",-$S1858,$S1858))</f>
        <v>0</v>
      </c>
      <c r="V1858" s="27" t="n">
        <f aca="false">IF($N1858="",0,IFERROR(INDEX(VAT_Codes!$D:$D,MATCH($N1858,VAT_Codes!$A:$A,0)),0))</f>
        <v>0</v>
      </c>
      <c r="W1858" s="26" t="n">
        <f aca="false">IF($U1858=0,0,IF(IFERROR(INDEX(VAT_Codes!$F:$F,MATCH($N1858,VAT_Codes!$A:$A,0)),"N")="Y",$U1858,IF($L1858&lt;&gt;"",ROUND(ABS($L1858)/IF(OR($R1858="",$R1858=0),1,$R1858),2)*SIGN($U1858),ROUND($U1858*$V1858,2))))</f>
        <v>0</v>
      </c>
      <c r="X1858" s="24" t="str">
        <f aca="false">IF($N1858="","",IFERROR(INDEX(VAT_Codes!$H:$H,MATCH($N1858,VAT_Codes!$A:$A,0)),"")&amp;"")</f>
        <v/>
      </c>
      <c r="Y1858" s="24" t="str">
        <f aca="false">IF($A1858="","",(YEAR($A1858)-YEAR(Settings!$C$8))*12+MONTH($A1858)-MONTH(Settings!$C$8)+1)</f>
        <v/>
      </c>
      <c r="Z1858" s="24" t="str">
        <f aca="false">IF(AND($C1858="",$I1858="",$J1858=""),"",IF($N1858="","NO VAT CODE",IF($T1858="","UNKNOWN VAT CODE",IF($S1858="","MISSING FX RATE",IF(OR($A1858&lt;Settings!$C$8,$A1858&gt;Settings!$C$9),"OUTSIDE PERIOD",IF(AND(IFERROR(INDEX(VAT_Codes!$E:$E,MATCH($N1858,VAT_Codes!$A:$A,0)),"ANY")&lt;&gt;"ANY",$P1858=""),"MISSING COUNTERPARTY COUNTRY",IF(AND(IFERROR(INDEX(VAT_Codes!$E:$E,MATCH($N1858,VAT_Codes!$A:$A,0)),"ANY")&lt;&gt;"ANY",$P1858&lt;&gt;IFERROR(INDEX(VAT_Codes!$E:$E,MATCH($N1858,VAT_Codes!$A:$A,0)),"ANY")),"REGION MISMATCH","OK")))))))</f>
        <v/>
      </c>
    </row>
    <row r="1859" customFormat="false" ht="15" hidden="false" customHeight="false" outlineLevel="0" collapsed="false">
      <c r="M1859" s="24" t="str">
        <f aca="false">IF($C1859="","",IFERROR(INDEX(Account_Mapping!$C:$C,MATCH($C1859&amp;"",Account_Mapping!$A:$A,0))&amp;"",""))</f>
        <v/>
      </c>
      <c r="N1859" s="24" t="str">
        <f aca="false">IF($K1859&lt;&gt;"",$K1859,$M1859)</f>
        <v/>
      </c>
      <c r="O1859" s="24" t="str">
        <f aca="false">IF($F1859="","",IFERROR(INDEX(Counterparties!$C:$C,MATCH($F1859&amp;"",Counterparties!$A:$A,0))&amp;"",""))</f>
        <v/>
      </c>
      <c r="P1859" s="24" t="str">
        <f aca="false">IF($O1859="","",IF($O1859="CY","CY",IF(ISNUMBER(MATCH($O1859,Lists!$A:$A,0)),"EU","3RD")))</f>
        <v/>
      </c>
      <c r="Q1859" s="24" t="str">
        <f aca="false">IF($F1859="","N",IFERROR(IF(INDEX(Counterparties!$E:$E,MATCH($F1859&amp;"",Counterparties!$A:$A,0))="Y","Y","N"),"N"))</f>
        <v>N</v>
      </c>
      <c r="R1859" s="25" t="n">
        <f aca="false">IF(OR($H1859="",$H1859="EUR"),1,IFERROR(INDEX(FX_Rates!$D:$D,MATCH($H1859,FX_Rates!$A:$A,0)),""))</f>
        <v>1</v>
      </c>
      <c r="S1859" s="26" t="str">
        <f aca="false">IF(AND($I1859="",$J1859=""),"",IF($J1859&lt;&gt;"",$J1859,IF(OR($R1859="",$R1859=0),"",ROUND($I1859/$R1859,2))))</f>
        <v/>
      </c>
      <c r="T1859" s="24" t="str">
        <f aca="false">IF($N1859="","",IFERROR(INDEX(VAT_Codes!$C:$C,MATCH($N1859,VAT_Codes!$A:$A,0)),"")&amp;"")</f>
        <v/>
      </c>
      <c r="U1859" s="26" t="n">
        <f aca="false">IF(OR($S1859="",$T1859="",$T1859="None"),0,IF($T1859="Output",-$S1859,$S1859))</f>
        <v>0</v>
      </c>
      <c r="V1859" s="27" t="n">
        <f aca="false">IF($N1859="",0,IFERROR(INDEX(VAT_Codes!$D:$D,MATCH($N1859,VAT_Codes!$A:$A,0)),0))</f>
        <v>0</v>
      </c>
      <c r="W1859" s="26" t="n">
        <f aca="false">IF($U1859=0,0,IF(IFERROR(INDEX(VAT_Codes!$F:$F,MATCH($N1859,VAT_Codes!$A:$A,0)),"N")="Y",$U1859,IF($L1859&lt;&gt;"",ROUND(ABS($L1859)/IF(OR($R1859="",$R1859=0),1,$R1859),2)*SIGN($U1859),ROUND($U1859*$V1859,2))))</f>
        <v>0</v>
      </c>
      <c r="X1859" s="24" t="str">
        <f aca="false">IF($N1859="","",IFERROR(INDEX(VAT_Codes!$H:$H,MATCH($N1859,VAT_Codes!$A:$A,0)),"")&amp;"")</f>
        <v/>
      </c>
      <c r="Y1859" s="24" t="str">
        <f aca="false">IF($A1859="","",(YEAR($A1859)-YEAR(Settings!$C$8))*12+MONTH($A1859)-MONTH(Settings!$C$8)+1)</f>
        <v/>
      </c>
      <c r="Z1859" s="24" t="str">
        <f aca="false">IF(AND($C1859="",$I1859="",$J1859=""),"",IF($N1859="","NO VAT CODE",IF($T1859="","UNKNOWN VAT CODE",IF($S1859="","MISSING FX RATE",IF(OR($A1859&lt;Settings!$C$8,$A1859&gt;Settings!$C$9),"OUTSIDE PERIOD",IF(AND(IFERROR(INDEX(VAT_Codes!$E:$E,MATCH($N1859,VAT_Codes!$A:$A,0)),"ANY")&lt;&gt;"ANY",$P1859=""),"MISSING COUNTERPARTY COUNTRY",IF(AND(IFERROR(INDEX(VAT_Codes!$E:$E,MATCH($N1859,VAT_Codes!$A:$A,0)),"ANY")&lt;&gt;"ANY",$P1859&lt;&gt;IFERROR(INDEX(VAT_Codes!$E:$E,MATCH($N1859,VAT_Codes!$A:$A,0)),"ANY")),"REGION MISMATCH","OK")))))))</f>
        <v/>
      </c>
    </row>
    <row r="1860" customFormat="false" ht="15" hidden="false" customHeight="false" outlineLevel="0" collapsed="false">
      <c r="M1860" s="24" t="str">
        <f aca="false">IF($C1860="","",IFERROR(INDEX(Account_Mapping!$C:$C,MATCH($C1860&amp;"",Account_Mapping!$A:$A,0))&amp;"",""))</f>
        <v/>
      </c>
      <c r="N1860" s="24" t="str">
        <f aca="false">IF($K1860&lt;&gt;"",$K1860,$M1860)</f>
        <v/>
      </c>
      <c r="O1860" s="24" t="str">
        <f aca="false">IF($F1860="","",IFERROR(INDEX(Counterparties!$C:$C,MATCH($F1860&amp;"",Counterparties!$A:$A,0))&amp;"",""))</f>
        <v/>
      </c>
      <c r="P1860" s="24" t="str">
        <f aca="false">IF($O1860="","",IF($O1860="CY","CY",IF(ISNUMBER(MATCH($O1860,Lists!$A:$A,0)),"EU","3RD")))</f>
        <v/>
      </c>
      <c r="Q1860" s="24" t="str">
        <f aca="false">IF($F1860="","N",IFERROR(IF(INDEX(Counterparties!$E:$E,MATCH($F1860&amp;"",Counterparties!$A:$A,0))="Y","Y","N"),"N"))</f>
        <v>N</v>
      </c>
      <c r="R1860" s="25" t="n">
        <f aca="false">IF(OR($H1860="",$H1860="EUR"),1,IFERROR(INDEX(FX_Rates!$D:$D,MATCH($H1860,FX_Rates!$A:$A,0)),""))</f>
        <v>1</v>
      </c>
      <c r="S1860" s="26" t="str">
        <f aca="false">IF(AND($I1860="",$J1860=""),"",IF($J1860&lt;&gt;"",$J1860,IF(OR($R1860="",$R1860=0),"",ROUND($I1860/$R1860,2))))</f>
        <v/>
      </c>
      <c r="T1860" s="24" t="str">
        <f aca="false">IF($N1860="","",IFERROR(INDEX(VAT_Codes!$C:$C,MATCH($N1860,VAT_Codes!$A:$A,0)),"")&amp;"")</f>
        <v/>
      </c>
      <c r="U1860" s="26" t="n">
        <f aca="false">IF(OR($S1860="",$T1860="",$T1860="None"),0,IF($T1860="Output",-$S1860,$S1860))</f>
        <v>0</v>
      </c>
      <c r="V1860" s="27" t="n">
        <f aca="false">IF($N1860="",0,IFERROR(INDEX(VAT_Codes!$D:$D,MATCH($N1860,VAT_Codes!$A:$A,0)),0))</f>
        <v>0</v>
      </c>
      <c r="W1860" s="26" t="n">
        <f aca="false">IF($U1860=0,0,IF(IFERROR(INDEX(VAT_Codes!$F:$F,MATCH($N1860,VAT_Codes!$A:$A,0)),"N")="Y",$U1860,IF($L1860&lt;&gt;"",ROUND(ABS($L1860)/IF(OR($R1860="",$R1860=0),1,$R1860),2)*SIGN($U1860),ROUND($U1860*$V1860,2))))</f>
        <v>0</v>
      </c>
      <c r="X1860" s="24" t="str">
        <f aca="false">IF($N1860="","",IFERROR(INDEX(VAT_Codes!$H:$H,MATCH($N1860,VAT_Codes!$A:$A,0)),"")&amp;"")</f>
        <v/>
      </c>
      <c r="Y1860" s="24" t="str">
        <f aca="false">IF($A1860="","",(YEAR($A1860)-YEAR(Settings!$C$8))*12+MONTH($A1860)-MONTH(Settings!$C$8)+1)</f>
        <v/>
      </c>
      <c r="Z1860" s="24" t="str">
        <f aca="false">IF(AND($C1860="",$I1860="",$J1860=""),"",IF($N1860="","NO VAT CODE",IF($T1860="","UNKNOWN VAT CODE",IF($S1860="","MISSING FX RATE",IF(OR($A1860&lt;Settings!$C$8,$A1860&gt;Settings!$C$9),"OUTSIDE PERIOD",IF(AND(IFERROR(INDEX(VAT_Codes!$E:$E,MATCH($N1860,VAT_Codes!$A:$A,0)),"ANY")&lt;&gt;"ANY",$P1860=""),"MISSING COUNTERPARTY COUNTRY",IF(AND(IFERROR(INDEX(VAT_Codes!$E:$E,MATCH($N1860,VAT_Codes!$A:$A,0)),"ANY")&lt;&gt;"ANY",$P1860&lt;&gt;IFERROR(INDEX(VAT_Codes!$E:$E,MATCH($N1860,VAT_Codes!$A:$A,0)),"ANY")),"REGION MISMATCH","OK")))))))</f>
        <v/>
      </c>
    </row>
    <row r="1861" customFormat="false" ht="15" hidden="false" customHeight="false" outlineLevel="0" collapsed="false">
      <c r="M1861" s="24" t="str">
        <f aca="false">IF($C1861="","",IFERROR(INDEX(Account_Mapping!$C:$C,MATCH($C1861&amp;"",Account_Mapping!$A:$A,0))&amp;"",""))</f>
        <v/>
      </c>
      <c r="N1861" s="24" t="str">
        <f aca="false">IF($K1861&lt;&gt;"",$K1861,$M1861)</f>
        <v/>
      </c>
      <c r="O1861" s="24" t="str">
        <f aca="false">IF($F1861="","",IFERROR(INDEX(Counterparties!$C:$C,MATCH($F1861&amp;"",Counterparties!$A:$A,0))&amp;"",""))</f>
        <v/>
      </c>
      <c r="P1861" s="24" t="str">
        <f aca="false">IF($O1861="","",IF($O1861="CY","CY",IF(ISNUMBER(MATCH($O1861,Lists!$A:$A,0)),"EU","3RD")))</f>
        <v/>
      </c>
      <c r="Q1861" s="24" t="str">
        <f aca="false">IF($F1861="","N",IFERROR(IF(INDEX(Counterparties!$E:$E,MATCH($F1861&amp;"",Counterparties!$A:$A,0))="Y","Y","N"),"N"))</f>
        <v>N</v>
      </c>
      <c r="R1861" s="25" t="n">
        <f aca="false">IF(OR($H1861="",$H1861="EUR"),1,IFERROR(INDEX(FX_Rates!$D:$D,MATCH($H1861,FX_Rates!$A:$A,0)),""))</f>
        <v>1</v>
      </c>
      <c r="S1861" s="26" t="str">
        <f aca="false">IF(AND($I1861="",$J1861=""),"",IF($J1861&lt;&gt;"",$J1861,IF(OR($R1861="",$R1861=0),"",ROUND($I1861/$R1861,2))))</f>
        <v/>
      </c>
      <c r="T1861" s="24" t="str">
        <f aca="false">IF($N1861="","",IFERROR(INDEX(VAT_Codes!$C:$C,MATCH($N1861,VAT_Codes!$A:$A,0)),"")&amp;"")</f>
        <v/>
      </c>
      <c r="U1861" s="26" t="n">
        <f aca="false">IF(OR($S1861="",$T1861="",$T1861="None"),0,IF($T1861="Output",-$S1861,$S1861))</f>
        <v>0</v>
      </c>
      <c r="V1861" s="27" t="n">
        <f aca="false">IF($N1861="",0,IFERROR(INDEX(VAT_Codes!$D:$D,MATCH($N1861,VAT_Codes!$A:$A,0)),0))</f>
        <v>0</v>
      </c>
      <c r="W1861" s="26" t="n">
        <f aca="false">IF($U1861=0,0,IF(IFERROR(INDEX(VAT_Codes!$F:$F,MATCH($N1861,VAT_Codes!$A:$A,0)),"N")="Y",$U1861,IF($L1861&lt;&gt;"",ROUND(ABS($L1861)/IF(OR($R1861="",$R1861=0),1,$R1861),2)*SIGN($U1861),ROUND($U1861*$V1861,2))))</f>
        <v>0</v>
      </c>
      <c r="X1861" s="24" t="str">
        <f aca="false">IF($N1861="","",IFERROR(INDEX(VAT_Codes!$H:$H,MATCH($N1861,VAT_Codes!$A:$A,0)),"")&amp;"")</f>
        <v/>
      </c>
      <c r="Y1861" s="24" t="str">
        <f aca="false">IF($A1861="","",(YEAR($A1861)-YEAR(Settings!$C$8))*12+MONTH($A1861)-MONTH(Settings!$C$8)+1)</f>
        <v/>
      </c>
      <c r="Z1861" s="24" t="str">
        <f aca="false">IF(AND($C1861="",$I1861="",$J1861=""),"",IF($N1861="","NO VAT CODE",IF($T1861="","UNKNOWN VAT CODE",IF($S1861="","MISSING FX RATE",IF(OR($A1861&lt;Settings!$C$8,$A1861&gt;Settings!$C$9),"OUTSIDE PERIOD",IF(AND(IFERROR(INDEX(VAT_Codes!$E:$E,MATCH($N1861,VAT_Codes!$A:$A,0)),"ANY")&lt;&gt;"ANY",$P1861=""),"MISSING COUNTERPARTY COUNTRY",IF(AND(IFERROR(INDEX(VAT_Codes!$E:$E,MATCH($N1861,VAT_Codes!$A:$A,0)),"ANY")&lt;&gt;"ANY",$P1861&lt;&gt;IFERROR(INDEX(VAT_Codes!$E:$E,MATCH($N1861,VAT_Codes!$A:$A,0)),"ANY")),"REGION MISMATCH","OK")))))))</f>
        <v/>
      </c>
    </row>
    <row r="1862" customFormat="false" ht="15" hidden="false" customHeight="false" outlineLevel="0" collapsed="false">
      <c r="M1862" s="24" t="str">
        <f aca="false">IF($C1862="","",IFERROR(INDEX(Account_Mapping!$C:$C,MATCH($C1862&amp;"",Account_Mapping!$A:$A,0))&amp;"",""))</f>
        <v/>
      </c>
      <c r="N1862" s="24" t="str">
        <f aca="false">IF($K1862&lt;&gt;"",$K1862,$M1862)</f>
        <v/>
      </c>
      <c r="O1862" s="24" t="str">
        <f aca="false">IF($F1862="","",IFERROR(INDEX(Counterparties!$C:$C,MATCH($F1862&amp;"",Counterparties!$A:$A,0))&amp;"",""))</f>
        <v/>
      </c>
      <c r="P1862" s="24" t="str">
        <f aca="false">IF($O1862="","",IF($O1862="CY","CY",IF(ISNUMBER(MATCH($O1862,Lists!$A:$A,0)),"EU","3RD")))</f>
        <v/>
      </c>
      <c r="Q1862" s="24" t="str">
        <f aca="false">IF($F1862="","N",IFERROR(IF(INDEX(Counterparties!$E:$E,MATCH($F1862&amp;"",Counterparties!$A:$A,0))="Y","Y","N"),"N"))</f>
        <v>N</v>
      </c>
      <c r="R1862" s="25" t="n">
        <f aca="false">IF(OR($H1862="",$H1862="EUR"),1,IFERROR(INDEX(FX_Rates!$D:$D,MATCH($H1862,FX_Rates!$A:$A,0)),""))</f>
        <v>1</v>
      </c>
      <c r="S1862" s="26" t="str">
        <f aca="false">IF(AND($I1862="",$J1862=""),"",IF($J1862&lt;&gt;"",$J1862,IF(OR($R1862="",$R1862=0),"",ROUND($I1862/$R1862,2))))</f>
        <v/>
      </c>
      <c r="T1862" s="24" t="str">
        <f aca="false">IF($N1862="","",IFERROR(INDEX(VAT_Codes!$C:$C,MATCH($N1862,VAT_Codes!$A:$A,0)),"")&amp;"")</f>
        <v/>
      </c>
      <c r="U1862" s="26" t="n">
        <f aca="false">IF(OR($S1862="",$T1862="",$T1862="None"),0,IF($T1862="Output",-$S1862,$S1862))</f>
        <v>0</v>
      </c>
      <c r="V1862" s="27" t="n">
        <f aca="false">IF($N1862="",0,IFERROR(INDEX(VAT_Codes!$D:$D,MATCH($N1862,VAT_Codes!$A:$A,0)),0))</f>
        <v>0</v>
      </c>
      <c r="W1862" s="26" t="n">
        <f aca="false">IF($U1862=0,0,IF(IFERROR(INDEX(VAT_Codes!$F:$F,MATCH($N1862,VAT_Codes!$A:$A,0)),"N")="Y",$U1862,IF($L1862&lt;&gt;"",ROUND(ABS($L1862)/IF(OR($R1862="",$R1862=0),1,$R1862),2)*SIGN($U1862),ROUND($U1862*$V1862,2))))</f>
        <v>0</v>
      </c>
      <c r="X1862" s="24" t="str">
        <f aca="false">IF($N1862="","",IFERROR(INDEX(VAT_Codes!$H:$H,MATCH($N1862,VAT_Codes!$A:$A,0)),"")&amp;"")</f>
        <v/>
      </c>
      <c r="Y1862" s="24" t="str">
        <f aca="false">IF($A1862="","",(YEAR($A1862)-YEAR(Settings!$C$8))*12+MONTH($A1862)-MONTH(Settings!$C$8)+1)</f>
        <v/>
      </c>
      <c r="Z1862" s="24" t="str">
        <f aca="false">IF(AND($C1862="",$I1862="",$J1862=""),"",IF($N1862="","NO VAT CODE",IF($T1862="","UNKNOWN VAT CODE",IF($S1862="","MISSING FX RATE",IF(OR($A1862&lt;Settings!$C$8,$A1862&gt;Settings!$C$9),"OUTSIDE PERIOD",IF(AND(IFERROR(INDEX(VAT_Codes!$E:$E,MATCH($N1862,VAT_Codes!$A:$A,0)),"ANY")&lt;&gt;"ANY",$P1862=""),"MISSING COUNTERPARTY COUNTRY",IF(AND(IFERROR(INDEX(VAT_Codes!$E:$E,MATCH($N1862,VAT_Codes!$A:$A,0)),"ANY")&lt;&gt;"ANY",$P1862&lt;&gt;IFERROR(INDEX(VAT_Codes!$E:$E,MATCH($N1862,VAT_Codes!$A:$A,0)),"ANY")),"REGION MISMATCH","OK")))))))</f>
        <v/>
      </c>
    </row>
    <row r="1863" customFormat="false" ht="15" hidden="false" customHeight="false" outlineLevel="0" collapsed="false">
      <c r="M1863" s="24" t="str">
        <f aca="false">IF($C1863="","",IFERROR(INDEX(Account_Mapping!$C:$C,MATCH($C1863&amp;"",Account_Mapping!$A:$A,0))&amp;"",""))</f>
        <v/>
      </c>
      <c r="N1863" s="24" t="str">
        <f aca="false">IF($K1863&lt;&gt;"",$K1863,$M1863)</f>
        <v/>
      </c>
      <c r="O1863" s="24" t="str">
        <f aca="false">IF($F1863="","",IFERROR(INDEX(Counterparties!$C:$C,MATCH($F1863&amp;"",Counterparties!$A:$A,0))&amp;"",""))</f>
        <v/>
      </c>
      <c r="P1863" s="24" t="str">
        <f aca="false">IF($O1863="","",IF($O1863="CY","CY",IF(ISNUMBER(MATCH($O1863,Lists!$A:$A,0)),"EU","3RD")))</f>
        <v/>
      </c>
      <c r="Q1863" s="24" t="str">
        <f aca="false">IF($F1863="","N",IFERROR(IF(INDEX(Counterparties!$E:$E,MATCH($F1863&amp;"",Counterparties!$A:$A,0))="Y","Y","N"),"N"))</f>
        <v>N</v>
      </c>
      <c r="R1863" s="25" t="n">
        <f aca="false">IF(OR($H1863="",$H1863="EUR"),1,IFERROR(INDEX(FX_Rates!$D:$D,MATCH($H1863,FX_Rates!$A:$A,0)),""))</f>
        <v>1</v>
      </c>
      <c r="S1863" s="26" t="str">
        <f aca="false">IF(AND($I1863="",$J1863=""),"",IF($J1863&lt;&gt;"",$J1863,IF(OR($R1863="",$R1863=0),"",ROUND($I1863/$R1863,2))))</f>
        <v/>
      </c>
      <c r="T1863" s="24" t="str">
        <f aca="false">IF($N1863="","",IFERROR(INDEX(VAT_Codes!$C:$C,MATCH($N1863,VAT_Codes!$A:$A,0)),"")&amp;"")</f>
        <v/>
      </c>
      <c r="U1863" s="26" t="n">
        <f aca="false">IF(OR($S1863="",$T1863="",$T1863="None"),0,IF($T1863="Output",-$S1863,$S1863))</f>
        <v>0</v>
      </c>
      <c r="V1863" s="27" t="n">
        <f aca="false">IF($N1863="",0,IFERROR(INDEX(VAT_Codes!$D:$D,MATCH($N1863,VAT_Codes!$A:$A,0)),0))</f>
        <v>0</v>
      </c>
      <c r="W1863" s="26" t="n">
        <f aca="false">IF($U1863=0,0,IF(IFERROR(INDEX(VAT_Codes!$F:$F,MATCH($N1863,VAT_Codes!$A:$A,0)),"N")="Y",$U1863,IF($L1863&lt;&gt;"",ROUND(ABS($L1863)/IF(OR($R1863="",$R1863=0),1,$R1863),2)*SIGN($U1863),ROUND($U1863*$V1863,2))))</f>
        <v>0</v>
      </c>
      <c r="X1863" s="24" t="str">
        <f aca="false">IF($N1863="","",IFERROR(INDEX(VAT_Codes!$H:$H,MATCH($N1863,VAT_Codes!$A:$A,0)),"")&amp;"")</f>
        <v/>
      </c>
      <c r="Y1863" s="24" t="str">
        <f aca="false">IF($A1863="","",(YEAR($A1863)-YEAR(Settings!$C$8))*12+MONTH($A1863)-MONTH(Settings!$C$8)+1)</f>
        <v/>
      </c>
      <c r="Z1863" s="24" t="str">
        <f aca="false">IF(AND($C1863="",$I1863="",$J1863=""),"",IF($N1863="","NO VAT CODE",IF($T1863="","UNKNOWN VAT CODE",IF($S1863="","MISSING FX RATE",IF(OR($A1863&lt;Settings!$C$8,$A1863&gt;Settings!$C$9),"OUTSIDE PERIOD",IF(AND(IFERROR(INDEX(VAT_Codes!$E:$E,MATCH($N1863,VAT_Codes!$A:$A,0)),"ANY")&lt;&gt;"ANY",$P1863=""),"MISSING COUNTERPARTY COUNTRY",IF(AND(IFERROR(INDEX(VAT_Codes!$E:$E,MATCH($N1863,VAT_Codes!$A:$A,0)),"ANY")&lt;&gt;"ANY",$P1863&lt;&gt;IFERROR(INDEX(VAT_Codes!$E:$E,MATCH($N1863,VAT_Codes!$A:$A,0)),"ANY")),"REGION MISMATCH","OK")))))))</f>
        <v/>
      </c>
    </row>
    <row r="1864" customFormat="false" ht="15" hidden="false" customHeight="false" outlineLevel="0" collapsed="false">
      <c r="M1864" s="24" t="str">
        <f aca="false">IF($C1864="","",IFERROR(INDEX(Account_Mapping!$C:$C,MATCH($C1864&amp;"",Account_Mapping!$A:$A,0))&amp;"",""))</f>
        <v/>
      </c>
      <c r="N1864" s="24" t="str">
        <f aca="false">IF($K1864&lt;&gt;"",$K1864,$M1864)</f>
        <v/>
      </c>
      <c r="O1864" s="24" t="str">
        <f aca="false">IF($F1864="","",IFERROR(INDEX(Counterparties!$C:$C,MATCH($F1864&amp;"",Counterparties!$A:$A,0))&amp;"",""))</f>
        <v/>
      </c>
      <c r="P1864" s="24" t="str">
        <f aca="false">IF($O1864="","",IF($O1864="CY","CY",IF(ISNUMBER(MATCH($O1864,Lists!$A:$A,0)),"EU","3RD")))</f>
        <v/>
      </c>
      <c r="Q1864" s="24" t="str">
        <f aca="false">IF($F1864="","N",IFERROR(IF(INDEX(Counterparties!$E:$E,MATCH($F1864&amp;"",Counterparties!$A:$A,0))="Y","Y","N"),"N"))</f>
        <v>N</v>
      </c>
      <c r="R1864" s="25" t="n">
        <f aca="false">IF(OR($H1864="",$H1864="EUR"),1,IFERROR(INDEX(FX_Rates!$D:$D,MATCH($H1864,FX_Rates!$A:$A,0)),""))</f>
        <v>1</v>
      </c>
      <c r="S1864" s="26" t="str">
        <f aca="false">IF(AND($I1864="",$J1864=""),"",IF($J1864&lt;&gt;"",$J1864,IF(OR($R1864="",$R1864=0),"",ROUND($I1864/$R1864,2))))</f>
        <v/>
      </c>
      <c r="T1864" s="24" t="str">
        <f aca="false">IF($N1864="","",IFERROR(INDEX(VAT_Codes!$C:$C,MATCH($N1864,VAT_Codes!$A:$A,0)),"")&amp;"")</f>
        <v/>
      </c>
      <c r="U1864" s="26" t="n">
        <f aca="false">IF(OR($S1864="",$T1864="",$T1864="None"),0,IF($T1864="Output",-$S1864,$S1864))</f>
        <v>0</v>
      </c>
      <c r="V1864" s="27" t="n">
        <f aca="false">IF($N1864="",0,IFERROR(INDEX(VAT_Codes!$D:$D,MATCH($N1864,VAT_Codes!$A:$A,0)),0))</f>
        <v>0</v>
      </c>
      <c r="W1864" s="26" t="n">
        <f aca="false">IF($U1864=0,0,IF(IFERROR(INDEX(VAT_Codes!$F:$F,MATCH($N1864,VAT_Codes!$A:$A,0)),"N")="Y",$U1864,IF($L1864&lt;&gt;"",ROUND(ABS($L1864)/IF(OR($R1864="",$R1864=0),1,$R1864),2)*SIGN($U1864),ROUND($U1864*$V1864,2))))</f>
        <v>0</v>
      </c>
      <c r="X1864" s="24" t="str">
        <f aca="false">IF($N1864="","",IFERROR(INDEX(VAT_Codes!$H:$H,MATCH($N1864,VAT_Codes!$A:$A,0)),"")&amp;"")</f>
        <v/>
      </c>
      <c r="Y1864" s="24" t="str">
        <f aca="false">IF($A1864="","",(YEAR($A1864)-YEAR(Settings!$C$8))*12+MONTH($A1864)-MONTH(Settings!$C$8)+1)</f>
        <v/>
      </c>
      <c r="Z1864" s="24" t="str">
        <f aca="false">IF(AND($C1864="",$I1864="",$J1864=""),"",IF($N1864="","NO VAT CODE",IF($T1864="","UNKNOWN VAT CODE",IF($S1864="","MISSING FX RATE",IF(OR($A1864&lt;Settings!$C$8,$A1864&gt;Settings!$C$9),"OUTSIDE PERIOD",IF(AND(IFERROR(INDEX(VAT_Codes!$E:$E,MATCH($N1864,VAT_Codes!$A:$A,0)),"ANY")&lt;&gt;"ANY",$P1864=""),"MISSING COUNTERPARTY COUNTRY",IF(AND(IFERROR(INDEX(VAT_Codes!$E:$E,MATCH($N1864,VAT_Codes!$A:$A,0)),"ANY")&lt;&gt;"ANY",$P1864&lt;&gt;IFERROR(INDEX(VAT_Codes!$E:$E,MATCH($N1864,VAT_Codes!$A:$A,0)),"ANY")),"REGION MISMATCH","OK")))))))</f>
        <v/>
      </c>
    </row>
    <row r="1865" customFormat="false" ht="15" hidden="false" customHeight="false" outlineLevel="0" collapsed="false">
      <c r="M1865" s="24" t="str">
        <f aca="false">IF($C1865="","",IFERROR(INDEX(Account_Mapping!$C:$C,MATCH($C1865&amp;"",Account_Mapping!$A:$A,0))&amp;"",""))</f>
        <v/>
      </c>
      <c r="N1865" s="24" t="str">
        <f aca="false">IF($K1865&lt;&gt;"",$K1865,$M1865)</f>
        <v/>
      </c>
      <c r="O1865" s="24" t="str">
        <f aca="false">IF($F1865="","",IFERROR(INDEX(Counterparties!$C:$C,MATCH($F1865&amp;"",Counterparties!$A:$A,0))&amp;"",""))</f>
        <v/>
      </c>
      <c r="P1865" s="24" t="str">
        <f aca="false">IF($O1865="","",IF($O1865="CY","CY",IF(ISNUMBER(MATCH($O1865,Lists!$A:$A,0)),"EU","3RD")))</f>
        <v/>
      </c>
      <c r="Q1865" s="24" t="str">
        <f aca="false">IF($F1865="","N",IFERROR(IF(INDEX(Counterparties!$E:$E,MATCH($F1865&amp;"",Counterparties!$A:$A,0))="Y","Y","N"),"N"))</f>
        <v>N</v>
      </c>
      <c r="R1865" s="25" t="n">
        <f aca="false">IF(OR($H1865="",$H1865="EUR"),1,IFERROR(INDEX(FX_Rates!$D:$D,MATCH($H1865,FX_Rates!$A:$A,0)),""))</f>
        <v>1</v>
      </c>
      <c r="S1865" s="26" t="str">
        <f aca="false">IF(AND($I1865="",$J1865=""),"",IF($J1865&lt;&gt;"",$J1865,IF(OR($R1865="",$R1865=0),"",ROUND($I1865/$R1865,2))))</f>
        <v/>
      </c>
      <c r="T1865" s="24" t="str">
        <f aca="false">IF($N1865="","",IFERROR(INDEX(VAT_Codes!$C:$C,MATCH($N1865,VAT_Codes!$A:$A,0)),"")&amp;"")</f>
        <v/>
      </c>
      <c r="U1865" s="26" t="n">
        <f aca="false">IF(OR($S1865="",$T1865="",$T1865="None"),0,IF($T1865="Output",-$S1865,$S1865))</f>
        <v>0</v>
      </c>
      <c r="V1865" s="27" t="n">
        <f aca="false">IF($N1865="",0,IFERROR(INDEX(VAT_Codes!$D:$D,MATCH($N1865,VAT_Codes!$A:$A,0)),0))</f>
        <v>0</v>
      </c>
      <c r="W1865" s="26" t="n">
        <f aca="false">IF($U1865=0,0,IF(IFERROR(INDEX(VAT_Codes!$F:$F,MATCH($N1865,VAT_Codes!$A:$A,0)),"N")="Y",$U1865,IF($L1865&lt;&gt;"",ROUND(ABS($L1865)/IF(OR($R1865="",$R1865=0),1,$R1865),2)*SIGN($U1865),ROUND($U1865*$V1865,2))))</f>
        <v>0</v>
      </c>
      <c r="X1865" s="24" t="str">
        <f aca="false">IF($N1865="","",IFERROR(INDEX(VAT_Codes!$H:$H,MATCH($N1865,VAT_Codes!$A:$A,0)),"")&amp;"")</f>
        <v/>
      </c>
      <c r="Y1865" s="24" t="str">
        <f aca="false">IF($A1865="","",(YEAR($A1865)-YEAR(Settings!$C$8))*12+MONTH($A1865)-MONTH(Settings!$C$8)+1)</f>
        <v/>
      </c>
      <c r="Z1865" s="24" t="str">
        <f aca="false">IF(AND($C1865="",$I1865="",$J1865=""),"",IF($N1865="","NO VAT CODE",IF($T1865="","UNKNOWN VAT CODE",IF($S1865="","MISSING FX RATE",IF(OR($A1865&lt;Settings!$C$8,$A1865&gt;Settings!$C$9),"OUTSIDE PERIOD",IF(AND(IFERROR(INDEX(VAT_Codes!$E:$E,MATCH($N1865,VAT_Codes!$A:$A,0)),"ANY")&lt;&gt;"ANY",$P1865=""),"MISSING COUNTERPARTY COUNTRY",IF(AND(IFERROR(INDEX(VAT_Codes!$E:$E,MATCH($N1865,VAT_Codes!$A:$A,0)),"ANY")&lt;&gt;"ANY",$P1865&lt;&gt;IFERROR(INDEX(VAT_Codes!$E:$E,MATCH($N1865,VAT_Codes!$A:$A,0)),"ANY")),"REGION MISMATCH","OK")))))))</f>
        <v/>
      </c>
    </row>
    <row r="1866" customFormat="false" ht="15" hidden="false" customHeight="false" outlineLevel="0" collapsed="false">
      <c r="M1866" s="24" t="str">
        <f aca="false">IF($C1866="","",IFERROR(INDEX(Account_Mapping!$C:$C,MATCH($C1866&amp;"",Account_Mapping!$A:$A,0))&amp;"",""))</f>
        <v/>
      </c>
      <c r="N1866" s="24" t="str">
        <f aca="false">IF($K1866&lt;&gt;"",$K1866,$M1866)</f>
        <v/>
      </c>
      <c r="O1866" s="24" t="str">
        <f aca="false">IF($F1866="","",IFERROR(INDEX(Counterparties!$C:$C,MATCH($F1866&amp;"",Counterparties!$A:$A,0))&amp;"",""))</f>
        <v/>
      </c>
      <c r="P1866" s="24" t="str">
        <f aca="false">IF($O1866="","",IF($O1866="CY","CY",IF(ISNUMBER(MATCH($O1866,Lists!$A:$A,0)),"EU","3RD")))</f>
        <v/>
      </c>
      <c r="Q1866" s="24" t="str">
        <f aca="false">IF($F1866="","N",IFERROR(IF(INDEX(Counterparties!$E:$E,MATCH($F1866&amp;"",Counterparties!$A:$A,0))="Y","Y","N"),"N"))</f>
        <v>N</v>
      </c>
      <c r="R1866" s="25" t="n">
        <f aca="false">IF(OR($H1866="",$H1866="EUR"),1,IFERROR(INDEX(FX_Rates!$D:$D,MATCH($H1866,FX_Rates!$A:$A,0)),""))</f>
        <v>1</v>
      </c>
      <c r="S1866" s="26" t="str">
        <f aca="false">IF(AND($I1866="",$J1866=""),"",IF($J1866&lt;&gt;"",$J1866,IF(OR($R1866="",$R1866=0),"",ROUND($I1866/$R1866,2))))</f>
        <v/>
      </c>
      <c r="T1866" s="24" t="str">
        <f aca="false">IF($N1866="","",IFERROR(INDEX(VAT_Codes!$C:$C,MATCH($N1866,VAT_Codes!$A:$A,0)),"")&amp;"")</f>
        <v/>
      </c>
      <c r="U1866" s="26" t="n">
        <f aca="false">IF(OR($S1866="",$T1866="",$T1866="None"),0,IF($T1866="Output",-$S1866,$S1866))</f>
        <v>0</v>
      </c>
      <c r="V1866" s="27" t="n">
        <f aca="false">IF($N1866="",0,IFERROR(INDEX(VAT_Codes!$D:$D,MATCH($N1866,VAT_Codes!$A:$A,0)),0))</f>
        <v>0</v>
      </c>
      <c r="W1866" s="26" t="n">
        <f aca="false">IF($U1866=0,0,IF(IFERROR(INDEX(VAT_Codes!$F:$F,MATCH($N1866,VAT_Codes!$A:$A,0)),"N")="Y",$U1866,IF($L1866&lt;&gt;"",ROUND(ABS($L1866)/IF(OR($R1866="",$R1866=0),1,$R1866),2)*SIGN($U1866),ROUND($U1866*$V1866,2))))</f>
        <v>0</v>
      </c>
      <c r="X1866" s="24" t="str">
        <f aca="false">IF($N1866="","",IFERROR(INDEX(VAT_Codes!$H:$H,MATCH($N1866,VAT_Codes!$A:$A,0)),"")&amp;"")</f>
        <v/>
      </c>
      <c r="Y1866" s="24" t="str">
        <f aca="false">IF($A1866="","",(YEAR($A1866)-YEAR(Settings!$C$8))*12+MONTH($A1866)-MONTH(Settings!$C$8)+1)</f>
        <v/>
      </c>
      <c r="Z1866" s="24" t="str">
        <f aca="false">IF(AND($C1866="",$I1866="",$J1866=""),"",IF($N1866="","NO VAT CODE",IF($T1866="","UNKNOWN VAT CODE",IF($S1866="","MISSING FX RATE",IF(OR($A1866&lt;Settings!$C$8,$A1866&gt;Settings!$C$9),"OUTSIDE PERIOD",IF(AND(IFERROR(INDEX(VAT_Codes!$E:$E,MATCH($N1866,VAT_Codes!$A:$A,0)),"ANY")&lt;&gt;"ANY",$P1866=""),"MISSING COUNTERPARTY COUNTRY",IF(AND(IFERROR(INDEX(VAT_Codes!$E:$E,MATCH($N1866,VAT_Codes!$A:$A,0)),"ANY")&lt;&gt;"ANY",$P1866&lt;&gt;IFERROR(INDEX(VAT_Codes!$E:$E,MATCH($N1866,VAT_Codes!$A:$A,0)),"ANY")),"REGION MISMATCH","OK")))))))</f>
        <v/>
      </c>
    </row>
    <row r="1867" customFormat="false" ht="15" hidden="false" customHeight="false" outlineLevel="0" collapsed="false">
      <c r="M1867" s="24" t="str">
        <f aca="false">IF($C1867="","",IFERROR(INDEX(Account_Mapping!$C:$C,MATCH($C1867&amp;"",Account_Mapping!$A:$A,0))&amp;"",""))</f>
        <v/>
      </c>
      <c r="N1867" s="24" t="str">
        <f aca="false">IF($K1867&lt;&gt;"",$K1867,$M1867)</f>
        <v/>
      </c>
      <c r="O1867" s="24" t="str">
        <f aca="false">IF($F1867="","",IFERROR(INDEX(Counterparties!$C:$C,MATCH($F1867&amp;"",Counterparties!$A:$A,0))&amp;"",""))</f>
        <v/>
      </c>
      <c r="P1867" s="24" t="str">
        <f aca="false">IF($O1867="","",IF($O1867="CY","CY",IF(ISNUMBER(MATCH($O1867,Lists!$A:$A,0)),"EU","3RD")))</f>
        <v/>
      </c>
      <c r="Q1867" s="24" t="str">
        <f aca="false">IF($F1867="","N",IFERROR(IF(INDEX(Counterparties!$E:$E,MATCH($F1867&amp;"",Counterparties!$A:$A,0))="Y","Y","N"),"N"))</f>
        <v>N</v>
      </c>
      <c r="R1867" s="25" t="n">
        <f aca="false">IF(OR($H1867="",$H1867="EUR"),1,IFERROR(INDEX(FX_Rates!$D:$D,MATCH($H1867,FX_Rates!$A:$A,0)),""))</f>
        <v>1</v>
      </c>
      <c r="S1867" s="26" t="str">
        <f aca="false">IF(AND($I1867="",$J1867=""),"",IF($J1867&lt;&gt;"",$J1867,IF(OR($R1867="",$R1867=0),"",ROUND($I1867/$R1867,2))))</f>
        <v/>
      </c>
      <c r="T1867" s="24" t="str">
        <f aca="false">IF($N1867="","",IFERROR(INDEX(VAT_Codes!$C:$C,MATCH($N1867,VAT_Codes!$A:$A,0)),"")&amp;"")</f>
        <v/>
      </c>
      <c r="U1867" s="26" t="n">
        <f aca="false">IF(OR($S1867="",$T1867="",$T1867="None"),0,IF($T1867="Output",-$S1867,$S1867))</f>
        <v>0</v>
      </c>
      <c r="V1867" s="27" t="n">
        <f aca="false">IF($N1867="",0,IFERROR(INDEX(VAT_Codes!$D:$D,MATCH($N1867,VAT_Codes!$A:$A,0)),0))</f>
        <v>0</v>
      </c>
      <c r="W1867" s="26" t="n">
        <f aca="false">IF($U1867=0,0,IF(IFERROR(INDEX(VAT_Codes!$F:$F,MATCH($N1867,VAT_Codes!$A:$A,0)),"N")="Y",$U1867,IF($L1867&lt;&gt;"",ROUND(ABS($L1867)/IF(OR($R1867="",$R1867=0),1,$R1867),2)*SIGN($U1867),ROUND($U1867*$V1867,2))))</f>
        <v>0</v>
      </c>
      <c r="X1867" s="24" t="str">
        <f aca="false">IF($N1867="","",IFERROR(INDEX(VAT_Codes!$H:$H,MATCH($N1867,VAT_Codes!$A:$A,0)),"")&amp;"")</f>
        <v/>
      </c>
      <c r="Y1867" s="24" t="str">
        <f aca="false">IF($A1867="","",(YEAR($A1867)-YEAR(Settings!$C$8))*12+MONTH($A1867)-MONTH(Settings!$C$8)+1)</f>
        <v/>
      </c>
      <c r="Z1867" s="24" t="str">
        <f aca="false">IF(AND($C1867="",$I1867="",$J1867=""),"",IF($N1867="","NO VAT CODE",IF($T1867="","UNKNOWN VAT CODE",IF($S1867="","MISSING FX RATE",IF(OR($A1867&lt;Settings!$C$8,$A1867&gt;Settings!$C$9),"OUTSIDE PERIOD",IF(AND(IFERROR(INDEX(VAT_Codes!$E:$E,MATCH($N1867,VAT_Codes!$A:$A,0)),"ANY")&lt;&gt;"ANY",$P1867=""),"MISSING COUNTERPARTY COUNTRY",IF(AND(IFERROR(INDEX(VAT_Codes!$E:$E,MATCH($N1867,VAT_Codes!$A:$A,0)),"ANY")&lt;&gt;"ANY",$P1867&lt;&gt;IFERROR(INDEX(VAT_Codes!$E:$E,MATCH($N1867,VAT_Codes!$A:$A,0)),"ANY")),"REGION MISMATCH","OK")))))))</f>
        <v/>
      </c>
    </row>
    <row r="1868" customFormat="false" ht="15" hidden="false" customHeight="false" outlineLevel="0" collapsed="false">
      <c r="M1868" s="24" t="str">
        <f aca="false">IF($C1868="","",IFERROR(INDEX(Account_Mapping!$C:$C,MATCH($C1868&amp;"",Account_Mapping!$A:$A,0))&amp;"",""))</f>
        <v/>
      </c>
      <c r="N1868" s="24" t="str">
        <f aca="false">IF($K1868&lt;&gt;"",$K1868,$M1868)</f>
        <v/>
      </c>
      <c r="O1868" s="24" t="str">
        <f aca="false">IF($F1868="","",IFERROR(INDEX(Counterparties!$C:$C,MATCH($F1868&amp;"",Counterparties!$A:$A,0))&amp;"",""))</f>
        <v/>
      </c>
      <c r="P1868" s="24" t="str">
        <f aca="false">IF($O1868="","",IF($O1868="CY","CY",IF(ISNUMBER(MATCH($O1868,Lists!$A:$A,0)),"EU","3RD")))</f>
        <v/>
      </c>
      <c r="Q1868" s="24" t="str">
        <f aca="false">IF($F1868="","N",IFERROR(IF(INDEX(Counterparties!$E:$E,MATCH($F1868&amp;"",Counterparties!$A:$A,0))="Y","Y","N"),"N"))</f>
        <v>N</v>
      </c>
      <c r="R1868" s="25" t="n">
        <f aca="false">IF(OR($H1868="",$H1868="EUR"),1,IFERROR(INDEX(FX_Rates!$D:$D,MATCH($H1868,FX_Rates!$A:$A,0)),""))</f>
        <v>1</v>
      </c>
      <c r="S1868" s="26" t="str">
        <f aca="false">IF(AND($I1868="",$J1868=""),"",IF($J1868&lt;&gt;"",$J1868,IF(OR($R1868="",$R1868=0),"",ROUND($I1868/$R1868,2))))</f>
        <v/>
      </c>
      <c r="T1868" s="24" t="str">
        <f aca="false">IF($N1868="","",IFERROR(INDEX(VAT_Codes!$C:$C,MATCH($N1868,VAT_Codes!$A:$A,0)),"")&amp;"")</f>
        <v/>
      </c>
      <c r="U1868" s="26" t="n">
        <f aca="false">IF(OR($S1868="",$T1868="",$T1868="None"),0,IF($T1868="Output",-$S1868,$S1868))</f>
        <v>0</v>
      </c>
      <c r="V1868" s="27" t="n">
        <f aca="false">IF($N1868="",0,IFERROR(INDEX(VAT_Codes!$D:$D,MATCH($N1868,VAT_Codes!$A:$A,0)),0))</f>
        <v>0</v>
      </c>
      <c r="W1868" s="26" t="n">
        <f aca="false">IF($U1868=0,0,IF(IFERROR(INDEX(VAT_Codes!$F:$F,MATCH($N1868,VAT_Codes!$A:$A,0)),"N")="Y",$U1868,IF($L1868&lt;&gt;"",ROUND(ABS($L1868)/IF(OR($R1868="",$R1868=0),1,$R1868),2)*SIGN($U1868),ROUND($U1868*$V1868,2))))</f>
        <v>0</v>
      </c>
      <c r="X1868" s="24" t="str">
        <f aca="false">IF($N1868="","",IFERROR(INDEX(VAT_Codes!$H:$H,MATCH($N1868,VAT_Codes!$A:$A,0)),"")&amp;"")</f>
        <v/>
      </c>
      <c r="Y1868" s="24" t="str">
        <f aca="false">IF($A1868="","",(YEAR($A1868)-YEAR(Settings!$C$8))*12+MONTH($A1868)-MONTH(Settings!$C$8)+1)</f>
        <v/>
      </c>
      <c r="Z1868" s="24" t="str">
        <f aca="false">IF(AND($C1868="",$I1868="",$J1868=""),"",IF($N1868="","NO VAT CODE",IF($T1868="","UNKNOWN VAT CODE",IF($S1868="","MISSING FX RATE",IF(OR($A1868&lt;Settings!$C$8,$A1868&gt;Settings!$C$9),"OUTSIDE PERIOD",IF(AND(IFERROR(INDEX(VAT_Codes!$E:$E,MATCH($N1868,VAT_Codes!$A:$A,0)),"ANY")&lt;&gt;"ANY",$P1868=""),"MISSING COUNTERPARTY COUNTRY",IF(AND(IFERROR(INDEX(VAT_Codes!$E:$E,MATCH($N1868,VAT_Codes!$A:$A,0)),"ANY")&lt;&gt;"ANY",$P1868&lt;&gt;IFERROR(INDEX(VAT_Codes!$E:$E,MATCH($N1868,VAT_Codes!$A:$A,0)),"ANY")),"REGION MISMATCH","OK")))))))</f>
        <v/>
      </c>
    </row>
    <row r="1869" customFormat="false" ht="15" hidden="false" customHeight="false" outlineLevel="0" collapsed="false">
      <c r="M1869" s="24" t="str">
        <f aca="false">IF($C1869="","",IFERROR(INDEX(Account_Mapping!$C:$C,MATCH($C1869&amp;"",Account_Mapping!$A:$A,0))&amp;"",""))</f>
        <v/>
      </c>
      <c r="N1869" s="24" t="str">
        <f aca="false">IF($K1869&lt;&gt;"",$K1869,$M1869)</f>
        <v/>
      </c>
      <c r="O1869" s="24" t="str">
        <f aca="false">IF($F1869="","",IFERROR(INDEX(Counterparties!$C:$C,MATCH($F1869&amp;"",Counterparties!$A:$A,0))&amp;"",""))</f>
        <v/>
      </c>
      <c r="P1869" s="24" t="str">
        <f aca="false">IF($O1869="","",IF($O1869="CY","CY",IF(ISNUMBER(MATCH($O1869,Lists!$A:$A,0)),"EU","3RD")))</f>
        <v/>
      </c>
      <c r="Q1869" s="24" t="str">
        <f aca="false">IF($F1869="","N",IFERROR(IF(INDEX(Counterparties!$E:$E,MATCH($F1869&amp;"",Counterparties!$A:$A,0))="Y","Y","N"),"N"))</f>
        <v>N</v>
      </c>
      <c r="R1869" s="25" t="n">
        <f aca="false">IF(OR($H1869="",$H1869="EUR"),1,IFERROR(INDEX(FX_Rates!$D:$D,MATCH($H1869,FX_Rates!$A:$A,0)),""))</f>
        <v>1</v>
      </c>
      <c r="S1869" s="26" t="str">
        <f aca="false">IF(AND($I1869="",$J1869=""),"",IF($J1869&lt;&gt;"",$J1869,IF(OR($R1869="",$R1869=0),"",ROUND($I1869/$R1869,2))))</f>
        <v/>
      </c>
      <c r="T1869" s="24" t="str">
        <f aca="false">IF($N1869="","",IFERROR(INDEX(VAT_Codes!$C:$C,MATCH($N1869,VAT_Codes!$A:$A,0)),"")&amp;"")</f>
        <v/>
      </c>
      <c r="U1869" s="26" t="n">
        <f aca="false">IF(OR($S1869="",$T1869="",$T1869="None"),0,IF($T1869="Output",-$S1869,$S1869))</f>
        <v>0</v>
      </c>
      <c r="V1869" s="27" t="n">
        <f aca="false">IF($N1869="",0,IFERROR(INDEX(VAT_Codes!$D:$D,MATCH($N1869,VAT_Codes!$A:$A,0)),0))</f>
        <v>0</v>
      </c>
      <c r="W1869" s="26" t="n">
        <f aca="false">IF($U1869=0,0,IF(IFERROR(INDEX(VAT_Codes!$F:$F,MATCH($N1869,VAT_Codes!$A:$A,0)),"N")="Y",$U1869,IF($L1869&lt;&gt;"",ROUND(ABS($L1869)/IF(OR($R1869="",$R1869=0),1,$R1869),2)*SIGN($U1869),ROUND($U1869*$V1869,2))))</f>
        <v>0</v>
      </c>
      <c r="X1869" s="24" t="str">
        <f aca="false">IF($N1869="","",IFERROR(INDEX(VAT_Codes!$H:$H,MATCH($N1869,VAT_Codes!$A:$A,0)),"")&amp;"")</f>
        <v/>
      </c>
      <c r="Y1869" s="24" t="str">
        <f aca="false">IF($A1869="","",(YEAR($A1869)-YEAR(Settings!$C$8))*12+MONTH($A1869)-MONTH(Settings!$C$8)+1)</f>
        <v/>
      </c>
      <c r="Z1869" s="24" t="str">
        <f aca="false">IF(AND($C1869="",$I1869="",$J1869=""),"",IF($N1869="","NO VAT CODE",IF($T1869="","UNKNOWN VAT CODE",IF($S1869="","MISSING FX RATE",IF(OR($A1869&lt;Settings!$C$8,$A1869&gt;Settings!$C$9),"OUTSIDE PERIOD",IF(AND(IFERROR(INDEX(VAT_Codes!$E:$E,MATCH($N1869,VAT_Codes!$A:$A,0)),"ANY")&lt;&gt;"ANY",$P1869=""),"MISSING COUNTERPARTY COUNTRY",IF(AND(IFERROR(INDEX(VAT_Codes!$E:$E,MATCH($N1869,VAT_Codes!$A:$A,0)),"ANY")&lt;&gt;"ANY",$P1869&lt;&gt;IFERROR(INDEX(VAT_Codes!$E:$E,MATCH($N1869,VAT_Codes!$A:$A,0)),"ANY")),"REGION MISMATCH","OK")))))))</f>
        <v/>
      </c>
    </row>
    <row r="1870" customFormat="false" ht="15" hidden="false" customHeight="false" outlineLevel="0" collapsed="false">
      <c r="M1870" s="24" t="str">
        <f aca="false">IF($C1870="","",IFERROR(INDEX(Account_Mapping!$C:$C,MATCH($C1870&amp;"",Account_Mapping!$A:$A,0))&amp;"",""))</f>
        <v/>
      </c>
      <c r="N1870" s="24" t="str">
        <f aca="false">IF($K1870&lt;&gt;"",$K1870,$M1870)</f>
        <v/>
      </c>
      <c r="O1870" s="24" t="str">
        <f aca="false">IF($F1870="","",IFERROR(INDEX(Counterparties!$C:$C,MATCH($F1870&amp;"",Counterparties!$A:$A,0))&amp;"",""))</f>
        <v/>
      </c>
      <c r="P1870" s="24" t="str">
        <f aca="false">IF($O1870="","",IF($O1870="CY","CY",IF(ISNUMBER(MATCH($O1870,Lists!$A:$A,0)),"EU","3RD")))</f>
        <v/>
      </c>
      <c r="Q1870" s="24" t="str">
        <f aca="false">IF($F1870="","N",IFERROR(IF(INDEX(Counterparties!$E:$E,MATCH($F1870&amp;"",Counterparties!$A:$A,0))="Y","Y","N"),"N"))</f>
        <v>N</v>
      </c>
      <c r="R1870" s="25" t="n">
        <f aca="false">IF(OR($H1870="",$H1870="EUR"),1,IFERROR(INDEX(FX_Rates!$D:$D,MATCH($H1870,FX_Rates!$A:$A,0)),""))</f>
        <v>1</v>
      </c>
      <c r="S1870" s="26" t="str">
        <f aca="false">IF(AND($I1870="",$J1870=""),"",IF($J1870&lt;&gt;"",$J1870,IF(OR($R1870="",$R1870=0),"",ROUND($I1870/$R1870,2))))</f>
        <v/>
      </c>
      <c r="T1870" s="24" t="str">
        <f aca="false">IF($N1870="","",IFERROR(INDEX(VAT_Codes!$C:$C,MATCH($N1870,VAT_Codes!$A:$A,0)),"")&amp;"")</f>
        <v/>
      </c>
      <c r="U1870" s="26" t="n">
        <f aca="false">IF(OR($S1870="",$T1870="",$T1870="None"),0,IF($T1870="Output",-$S1870,$S1870))</f>
        <v>0</v>
      </c>
      <c r="V1870" s="27" t="n">
        <f aca="false">IF($N1870="",0,IFERROR(INDEX(VAT_Codes!$D:$D,MATCH($N1870,VAT_Codes!$A:$A,0)),0))</f>
        <v>0</v>
      </c>
      <c r="W1870" s="26" t="n">
        <f aca="false">IF($U1870=0,0,IF(IFERROR(INDEX(VAT_Codes!$F:$F,MATCH($N1870,VAT_Codes!$A:$A,0)),"N")="Y",$U1870,IF($L1870&lt;&gt;"",ROUND(ABS($L1870)/IF(OR($R1870="",$R1870=0),1,$R1870),2)*SIGN($U1870),ROUND($U1870*$V1870,2))))</f>
        <v>0</v>
      </c>
      <c r="X1870" s="24" t="str">
        <f aca="false">IF($N1870="","",IFERROR(INDEX(VAT_Codes!$H:$H,MATCH($N1870,VAT_Codes!$A:$A,0)),"")&amp;"")</f>
        <v/>
      </c>
      <c r="Y1870" s="24" t="str">
        <f aca="false">IF($A1870="","",(YEAR($A1870)-YEAR(Settings!$C$8))*12+MONTH($A1870)-MONTH(Settings!$C$8)+1)</f>
        <v/>
      </c>
      <c r="Z1870" s="24" t="str">
        <f aca="false">IF(AND($C1870="",$I1870="",$J1870=""),"",IF($N1870="","NO VAT CODE",IF($T1870="","UNKNOWN VAT CODE",IF($S1870="","MISSING FX RATE",IF(OR($A1870&lt;Settings!$C$8,$A1870&gt;Settings!$C$9),"OUTSIDE PERIOD",IF(AND(IFERROR(INDEX(VAT_Codes!$E:$E,MATCH($N1870,VAT_Codes!$A:$A,0)),"ANY")&lt;&gt;"ANY",$P1870=""),"MISSING COUNTERPARTY COUNTRY",IF(AND(IFERROR(INDEX(VAT_Codes!$E:$E,MATCH($N1870,VAT_Codes!$A:$A,0)),"ANY")&lt;&gt;"ANY",$P1870&lt;&gt;IFERROR(INDEX(VAT_Codes!$E:$E,MATCH($N1870,VAT_Codes!$A:$A,0)),"ANY")),"REGION MISMATCH","OK")))))))</f>
        <v/>
      </c>
    </row>
    <row r="1871" customFormat="false" ht="15" hidden="false" customHeight="false" outlineLevel="0" collapsed="false">
      <c r="M1871" s="24" t="str">
        <f aca="false">IF($C1871="","",IFERROR(INDEX(Account_Mapping!$C:$C,MATCH($C1871&amp;"",Account_Mapping!$A:$A,0))&amp;"",""))</f>
        <v/>
      </c>
      <c r="N1871" s="24" t="str">
        <f aca="false">IF($K1871&lt;&gt;"",$K1871,$M1871)</f>
        <v/>
      </c>
      <c r="O1871" s="24" t="str">
        <f aca="false">IF($F1871="","",IFERROR(INDEX(Counterparties!$C:$C,MATCH($F1871&amp;"",Counterparties!$A:$A,0))&amp;"",""))</f>
        <v/>
      </c>
      <c r="P1871" s="24" t="str">
        <f aca="false">IF($O1871="","",IF($O1871="CY","CY",IF(ISNUMBER(MATCH($O1871,Lists!$A:$A,0)),"EU","3RD")))</f>
        <v/>
      </c>
      <c r="Q1871" s="24" t="str">
        <f aca="false">IF($F1871="","N",IFERROR(IF(INDEX(Counterparties!$E:$E,MATCH($F1871&amp;"",Counterparties!$A:$A,0))="Y","Y","N"),"N"))</f>
        <v>N</v>
      </c>
      <c r="R1871" s="25" t="n">
        <f aca="false">IF(OR($H1871="",$H1871="EUR"),1,IFERROR(INDEX(FX_Rates!$D:$D,MATCH($H1871,FX_Rates!$A:$A,0)),""))</f>
        <v>1</v>
      </c>
      <c r="S1871" s="26" t="str">
        <f aca="false">IF(AND($I1871="",$J1871=""),"",IF($J1871&lt;&gt;"",$J1871,IF(OR($R1871="",$R1871=0),"",ROUND($I1871/$R1871,2))))</f>
        <v/>
      </c>
      <c r="T1871" s="24" t="str">
        <f aca="false">IF($N1871="","",IFERROR(INDEX(VAT_Codes!$C:$C,MATCH($N1871,VAT_Codes!$A:$A,0)),"")&amp;"")</f>
        <v/>
      </c>
      <c r="U1871" s="26" t="n">
        <f aca="false">IF(OR($S1871="",$T1871="",$T1871="None"),0,IF($T1871="Output",-$S1871,$S1871))</f>
        <v>0</v>
      </c>
      <c r="V1871" s="27" t="n">
        <f aca="false">IF($N1871="",0,IFERROR(INDEX(VAT_Codes!$D:$D,MATCH($N1871,VAT_Codes!$A:$A,0)),0))</f>
        <v>0</v>
      </c>
      <c r="W1871" s="26" t="n">
        <f aca="false">IF($U1871=0,0,IF(IFERROR(INDEX(VAT_Codes!$F:$F,MATCH($N1871,VAT_Codes!$A:$A,0)),"N")="Y",$U1871,IF($L1871&lt;&gt;"",ROUND(ABS($L1871)/IF(OR($R1871="",$R1871=0),1,$R1871),2)*SIGN($U1871),ROUND($U1871*$V1871,2))))</f>
        <v>0</v>
      </c>
      <c r="X1871" s="24" t="str">
        <f aca="false">IF($N1871="","",IFERROR(INDEX(VAT_Codes!$H:$H,MATCH($N1871,VAT_Codes!$A:$A,0)),"")&amp;"")</f>
        <v/>
      </c>
      <c r="Y1871" s="24" t="str">
        <f aca="false">IF($A1871="","",(YEAR($A1871)-YEAR(Settings!$C$8))*12+MONTH($A1871)-MONTH(Settings!$C$8)+1)</f>
        <v/>
      </c>
      <c r="Z1871" s="24" t="str">
        <f aca="false">IF(AND($C1871="",$I1871="",$J1871=""),"",IF($N1871="","NO VAT CODE",IF($T1871="","UNKNOWN VAT CODE",IF($S1871="","MISSING FX RATE",IF(OR($A1871&lt;Settings!$C$8,$A1871&gt;Settings!$C$9),"OUTSIDE PERIOD",IF(AND(IFERROR(INDEX(VAT_Codes!$E:$E,MATCH($N1871,VAT_Codes!$A:$A,0)),"ANY")&lt;&gt;"ANY",$P1871=""),"MISSING COUNTERPARTY COUNTRY",IF(AND(IFERROR(INDEX(VAT_Codes!$E:$E,MATCH($N1871,VAT_Codes!$A:$A,0)),"ANY")&lt;&gt;"ANY",$P1871&lt;&gt;IFERROR(INDEX(VAT_Codes!$E:$E,MATCH($N1871,VAT_Codes!$A:$A,0)),"ANY")),"REGION MISMATCH","OK")))))))</f>
        <v/>
      </c>
    </row>
    <row r="1872" customFormat="false" ht="15" hidden="false" customHeight="false" outlineLevel="0" collapsed="false">
      <c r="M1872" s="24" t="str">
        <f aca="false">IF($C1872="","",IFERROR(INDEX(Account_Mapping!$C:$C,MATCH($C1872&amp;"",Account_Mapping!$A:$A,0))&amp;"",""))</f>
        <v/>
      </c>
      <c r="N1872" s="24" t="str">
        <f aca="false">IF($K1872&lt;&gt;"",$K1872,$M1872)</f>
        <v/>
      </c>
      <c r="O1872" s="24" t="str">
        <f aca="false">IF($F1872="","",IFERROR(INDEX(Counterparties!$C:$C,MATCH($F1872&amp;"",Counterparties!$A:$A,0))&amp;"",""))</f>
        <v/>
      </c>
      <c r="P1872" s="24" t="str">
        <f aca="false">IF($O1872="","",IF($O1872="CY","CY",IF(ISNUMBER(MATCH($O1872,Lists!$A:$A,0)),"EU","3RD")))</f>
        <v/>
      </c>
      <c r="Q1872" s="24" t="str">
        <f aca="false">IF($F1872="","N",IFERROR(IF(INDEX(Counterparties!$E:$E,MATCH($F1872&amp;"",Counterparties!$A:$A,0))="Y","Y","N"),"N"))</f>
        <v>N</v>
      </c>
      <c r="R1872" s="25" t="n">
        <f aca="false">IF(OR($H1872="",$H1872="EUR"),1,IFERROR(INDEX(FX_Rates!$D:$D,MATCH($H1872,FX_Rates!$A:$A,0)),""))</f>
        <v>1</v>
      </c>
      <c r="S1872" s="26" t="str">
        <f aca="false">IF(AND($I1872="",$J1872=""),"",IF($J1872&lt;&gt;"",$J1872,IF(OR($R1872="",$R1872=0),"",ROUND($I1872/$R1872,2))))</f>
        <v/>
      </c>
      <c r="T1872" s="24" t="str">
        <f aca="false">IF($N1872="","",IFERROR(INDEX(VAT_Codes!$C:$C,MATCH($N1872,VAT_Codes!$A:$A,0)),"")&amp;"")</f>
        <v/>
      </c>
      <c r="U1872" s="26" t="n">
        <f aca="false">IF(OR($S1872="",$T1872="",$T1872="None"),0,IF($T1872="Output",-$S1872,$S1872))</f>
        <v>0</v>
      </c>
      <c r="V1872" s="27" t="n">
        <f aca="false">IF($N1872="",0,IFERROR(INDEX(VAT_Codes!$D:$D,MATCH($N1872,VAT_Codes!$A:$A,0)),0))</f>
        <v>0</v>
      </c>
      <c r="W1872" s="26" t="n">
        <f aca="false">IF($U1872=0,0,IF(IFERROR(INDEX(VAT_Codes!$F:$F,MATCH($N1872,VAT_Codes!$A:$A,0)),"N")="Y",$U1872,IF($L1872&lt;&gt;"",ROUND(ABS($L1872)/IF(OR($R1872="",$R1872=0),1,$R1872),2)*SIGN($U1872),ROUND($U1872*$V1872,2))))</f>
        <v>0</v>
      </c>
      <c r="X1872" s="24" t="str">
        <f aca="false">IF($N1872="","",IFERROR(INDEX(VAT_Codes!$H:$H,MATCH($N1872,VAT_Codes!$A:$A,0)),"")&amp;"")</f>
        <v/>
      </c>
      <c r="Y1872" s="24" t="str">
        <f aca="false">IF($A1872="","",(YEAR($A1872)-YEAR(Settings!$C$8))*12+MONTH($A1872)-MONTH(Settings!$C$8)+1)</f>
        <v/>
      </c>
      <c r="Z1872" s="24" t="str">
        <f aca="false">IF(AND($C1872="",$I1872="",$J1872=""),"",IF($N1872="","NO VAT CODE",IF($T1872="","UNKNOWN VAT CODE",IF($S1872="","MISSING FX RATE",IF(OR($A1872&lt;Settings!$C$8,$A1872&gt;Settings!$C$9),"OUTSIDE PERIOD",IF(AND(IFERROR(INDEX(VAT_Codes!$E:$E,MATCH($N1872,VAT_Codes!$A:$A,0)),"ANY")&lt;&gt;"ANY",$P1872=""),"MISSING COUNTERPARTY COUNTRY",IF(AND(IFERROR(INDEX(VAT_Codes!$E:$E,MATCH($N1872,VAT_Codes!$A:$A,0)),"ANY")&lt;&gt;"ANY",$P1872&lt;&gt;IFERROR(INDEX(VAT_Codes!$E:$E,MATCH($N1872,VAT_Codes!$A:$A,0)),"ANY")),"REGION MISMATCH","OK")))))))</f>
        <v/>
      </c>
    </row>
    <row r="1873" customFormat="false" ht="15" hidden="false" customHeight="false" outlineLevel="0" collapsed="false">
      <c r="M1873" s="24" t="str">
        <f aca="false">IF($C1873="","",IFERROR(INDEX(Account_Mapping!$C:$C,MATCH($C1873&amp;"",Account_Mapping!$A:$A,0))&amp;"",""))</f>
        <v/>
      </c>
      <c r="N1873" s="24" t="str">
        <f aca="false">IF($K1873&lt;&gt;"",$K1873,$M1873)</f>
        <v/>
      </c>
      <c r="O1873" s="24" t="str">
        <f aca="false">IF($F1873="","",IFERROR(INDEX(Counterparties!$C:$C,MATCH($F1873&amp;"",Counterparties!$A:$A,0))&amp;"",""))</f>
        <v/>
      </c>
      <c r="P1873" s="24" t="str">
        <f aca="false">IF($O1873="","",IF($O1873="CY","CY",IF(ISNUMBER(MATCH($O1873,Lists!$A:$A,0)),"EU","3RD")))</f>
        <v/>
      </c>
      <c r="Q1873" s="24" t="str">
        <f aca="false">IF($F1873="","N",IFERROR(IF(INDEX(Counterparties!$E:$E,MATCH($F1873&amp;"",Counterparties!$A:$A,0))="Y","Y","N"),"N"))</f>
        <v>N</v>
      </c>
      <c r="R1873" s="25" t="n">
        <f aca="false">IF(OR($H1873="",$H1873="EUR"),1,IFERROR(INDEX(FX_Rates!$D:$D,MATCH($H1873,FX_Rates!$A:$A,0)),""))</f>
        <v>1</v>
      </c>
      <c r="S1873" s="26" t="str">
        <f aca="false">IF(AND($I1873="",$J1873=""),"",IF($J1873&lt;&gt;"",$J1873,IF(OR($R1873="",$R1873=0),"",ROUND($I1873/$R1873,2))))</f>
        <v/>
      </c>
      <c r="T1873" s="24" t="str">
        <f aca="false">IF($N1873="","",IFERROR(INDEX(VAT_Codes!$C:$C,MATCH($N1873,VAT_Codes!$A:$A,0)),"")&amp;"")</f>
        <v/>
      </c>
      <c r="U1873" s="26" t="n">
        <f aca="false">IF(OR($S1873="",$T1873="",$T1873="None"),0,IF($T1873="Output",-$S1873,$S1873))</f>
        <v>0</v>
      </c>
      <c r="V1873" s="27" t="n">
        <f aca="false">IF($N1873="",0,IFERROR(INDEX(VAT_Codes!$D:$D,MATCH($N1873,VAT_Codes!$A:$A,0)),0))</f>
        <v>0</v>
      </c>
      <c r="W1873" s="26" t="n">
        <f aca="false">IF($U1873=0,0,IF(IFERROR(INDEX(VAT_Codes!$F:$F,MATCH($N1873,VAT_Codes!$A:$A,0)),"N")="Y",$U1873,IF($L1873&lt;&gt;"",ROUND(ABS($L1873)/IF(OR($R1873="",$R1873=0),1,$R1873),2)*SIGN($U1873),ROUND($U1873*$V1873,2))))</f>
        <v>0</v>
      </c>
      <c r="X1873" s="24" t="str">
        <f aca="false">IF($N1873="","",IFERROR(INDEX(VAT_Codes!$H:$H,MATCH($N1873,VAT_Codes!$A:$A,0)),"")&amp;"")</f>
        <v/>
      </c>
      <c r="Y1873" s="24" t="str">
        <f aca="false">IF($A1873="","",(YEAR($A1873)-YEAR(Settings!$C$8))*12+MONTH($A1873)-MONTH(Settings!$C$8)+1)</f>
        <v/>
      </c>
      <c r="Z1873" s="24" t="str">
        <f aca="false">IF(AND($C1873="",$I1873="",$J1873=""),"",IF($N1873="","NO VAT CODE",IF($T1873="","UNKNOWN VAT CODE",IF($S1873="","MISSING FX RATE",IF(OR($A1873&lt;Settings!$C$8,$A1873&gt;Settings!$C$9),"OUTSIDE PERIOD",IF(AND(IFERROR(INDEX(VAT_Codes!$E:$E,MATCH($N1873,VAT_Codes!$A:$A,0)),"ANY")&lt;&gt;"ANY",$P1873=""),"MISSING COUNTERPARTY COUNTRY",IF(AND(IFERROR(INDEX(VAT_Codes!$E:$E,MATCH($N1873,VAT_Codes!$A:$A,0)),"ANY")&lt;&gt;"ANY",$P1873&lt;&gt;IFERROR(INDEX(VAT_Codes!$E:$E,MATCH($N1873,VAT_Codes!$A:$A,0)),"ANY")),"REGION MISMATCH","OK")))))))</f>
        <v/>
      </c>
    </row>
    <row r="1874" customFormat="false" ht="15" hidden="false" customHeight="false" outlineLevel="0" collapsed="false">
      <c r="M1874" s="24" t="str">
        <f aca="false">IF($C1874="","",IFERROR(INDEX(Account_Mapping!$C:$C,MATCH($C1874&amp;"",Account_Mapping!$A:$A,0))&amp;"",""))</f>
        <v/>
      </c>
      <c r="N1874" s="24" t="str">
        <f aca="false">IF($K1874&lt;&gt;"",$K1874,$M1874)</f>
        <v/>
      </c>
      <c r="O1874" s="24" t="str">
        <f aca="false">IF($F1874="","",IFERROR(INDEX(Counterparties!$C:$C,MATCH($F1874&amp;"",Counterparties!$A:$A,0))&amp;"",""))</f>
        <v/>
      </c>
      <c r="P1874" s="24" t="str">
        <f aca="false">IF($O1874="","",IF($O1874="CY","CY",IF(ISNUMBER(MATCH($O1874,Lists!$A:$A,0)),"EU","3RD")))</f>
        <v/>
      </c>
      <c r="Q1874" s="24" t="str">
        <f aca="false">IF($F1874="","N",IFERROR(IF(INDEX(Counterparties!$E:$E,MATCH($F1874&amp;"",Counterparties!$A:$A,0))="Y","Y","N"),"N"))</f>
        <v>N</v>
      </c>
      <c r="R1874" s="25" t="n">
        <f aca="false">IF(OR($H1874="",$H1874="EUR"),1,IFERROR(INDEX(FX_Rates!$D:$D,MATCH($H1874,FX_Rates!$A:$A,0)),""))</f>
        <v>1</v>
      </c>
      <c r="S1874" s="26" t="str">
        <f aca="false">IF(AND($I1874="",$J1874=""),"",IF($J1874&lt;&gt;"",$J1874,IF(OR($R1874="",$R1874=0),"",ROUND($I1874/$R1874,2))))</f>
        <v/>
      </c>
      <c r="T1874" s="24" t="str">
        <f aca="false">IF($N1874="","",IFERROR(INDEX(VAT_Codes!$C:$C,MATCH($N1874,VAT_Codes!$A:$A,0)),"")&amp;"")</f>
        <v/>
      </c>
      <c r="U1874" s="26" t="n">
        <f aca="false">IF(OR($S1874="",$T1874="",$T1874="None"),0,IF($T1874="Output",-$S1874,$S1874))</f>
        <v>0</v>
      </c>
      <c r="V1874" s="27" t="n">
        <f aca="false">IF($N1874="",0,IFERROR(INDEX(VAT_Codes!$D:$D,MATCH($N1874,VAT_Codes!$A:$A,0)),0))</f>
        <v>0</v>
      </c>
      <c r="W1874" s="26" t="n">
        <f aca="false">IF($U1874=0,0,IF(IFERROR(INDEX(VAT_Codes!$F:$F,MATCH($N1874,VAT_Codes!$A:$A,0)),"N")="Y",$U1874,IF($L1874&lt;&gt;"",ROUND(ABS($L1874)/IF(OR($R1874="",$R1874=0),1,$R1874),2)*SIGN($U1874),ROUND($U1874*$V1874,2))))</f>
        <v>0</v>
      </c>
      <c r="X1874" s="24" t="str">
        <f aca="false">IF($N1874="","",IFERROR(INDEX(VAT_Codes!$H:$H,MATCH($N1874,VAT_Codes!$A:$A,0)),"")&amp;"")</f>
        <v/>
      </c>
      <c r="Y1874" s="24" t="str">
        <f aca="false">IF($A1874="","",(YEAR($A1874)-YEAR(Settings!$C$8))*12+MONTH($A1874)-MONTH(Settings!$C$8)+1)</f>
        <v/>
      </c>
      <c r="Z1874" s="24" t="str">
        <f aca="false">IF(AND($C1874="",$I1874="",$J1874=""),"",IF($N1874="","NO VAT CODE",IF($T1874="","UNKNOWN VAT CODE",IF($S1874="","MISSING FX RATE",IF(OR($A1874&lt;Settings!$C$8,$A1874&gt;Settings!$C$9),"OUTSIDE PERIOD",IF(AND(IFERROR(INDEX(VAT_Codes!$E:$E,MATCH($N1874,VAT_Codes!$A:$A,0)),"ANY")&lt;&gt;"ANY",$P1874=""),"MISSING COUNTERPARTY COUNTRY",IF(AND(IFERROR(INDEX(VAT_Codes!$E:$E,MATCH($N1874,VAT_Codes!$A:$A,0)),"ANY")&lt;&gt;"ANY",$P1874&lt;&gt;IFERROR(INDEX(VAT_Codes!$E:$E,MATCH($N1874,VAT_Codes!$A:$A,0)),"ANY")),"REGION MISMATCH","OK")))))))</f>
        <v/>
      </c>
    </row>
    <row r="1875" customFormat="false" ht="15" hidden="false" customHeight="false" outlineLevel="0" collapsed="false">
      <c r="M1875" s="24" t="str">
        <f aca="false">IF($C1875="","",IFERROR(INDEX(Account_Mapping!$C:$C,MATCH($C1875&amp;"",Account_Mapping!$A:$A,0))&amp;"",""))</f>
        <v/>
      </c>
      <c r="N1875" s="24" t="str">
        <f aca="false">IF($K1875&lt;&gt;"",$K1875,$M1875)</f>
        <v/>
      </c>
      <c r="O1875" s="24" t="str">
        <f aca="false">IF($F1875="","",IFERROR(INDEX(Counterparties!$C:$C,MATCH($F1875&amp;"",Counterparties!$A:$A,0))&amp;"",""))</f>
        <v/>
      </c>
      <c r="P1875" s="24" t="str">
        <f aca="false">IF($O1875="","",IF($O1875="CY","CY",IF(ISNUMBER(MATCH($O1875,Lists!$A:$A,0)),"EU","3RD")))</f>
        <v/>
      </c>
      <c r="Q1875" s="24" t="str">
        <f aca="false">IF($F1875="","N",IFERROR(IF(INDEX(Counterparties!$E:$E,MATCH($F1875&amp;"",Counterparties!$A:$A,0))="Y","Y","N"),"N"))</f>
        <v>N</v>
      </c>
      <c r="R1875" s="25" t="n">
        <f aca="false">IF(OR($H1875="",$H1875="EUR"),1,IFERROR(INDEX(FX_Rates!$D:$D,MATCH($H1875,FX_Rates!$A:$A,0)),""))</f>
        <v>1</v>
      </c>
      <c r="S1875" s="26" t="str">
        <f aca="false">IF(AND($I1875="",$J1875=""),"",IF($J1875&lt;&gt;"",$J1875,IF(OR($R1875="",$R1875=0),"",ROUND($I1875/$R1875,2))))</f>
        <v/>
      </c>
      <c r="T1875" s="24" t="str">
        <f aca="false">IF($N1875="","",IFERROR(INDEX(VAT_Codes!$C:$C,MATCH($N1875,VAT_Codes!$A:$A,0)),"")&amp;"")</f>
        <v/>
      </c>
      <c r="U1875" s="26" t="n">
        <f aca="false">IF(OR($S1875="",$T1875="",$T1875="None"),0,IF($T1875="Output",-$S1875,$S1875))</f>
        <v>0</v>
      </c>
      <c r="V1875" s="27" t="n">
        <f aca="false">IF($N1875="",0,IFERROR(INDEX(VAT_Codes!$D:$D,MATCH($N1875,VAT_Codes!$A:$A,0)),0))</f>
        <v>0</v>
      </c>
      <c r="W1875" s="26" t="n">
        <f aca="false">IF($U1875=0,0,IF(IFERROR(INDEX(VAT_Codes!$F:$F,MATCH($N1875,VAT_Codes!$A:$A,0)),"N")="Y",$U1875,IF($L1875&lt;&gt;"",ROUND(ABS($L1875)/IF(OR($R1875="",$R1875=0),1,$R1875),2)*SIGN($U1875),ROUND($U1875*$V1875,2))))</f>
        <v>0</v>
      </c>
      <c r="X1875" s="24" t="str">
        <f aca="false">IF($N1875="","",IFERROR(INDEX(VAT_Codes!$H:$H,MATCH($N1875,VAT_Codes!$A:$A,0)),"")&amp;"")</f>
        <v/>
      </c>
      <c r="Y1875" s="24" t="str">
        <f aca="false">IF($A1875="","",(YEAR($A1875)-YEAR(Settings!$C$8))*12+MONTH($A1875)-MONTH(Settings!$C$8)+1)</f>
        <v/>
      </c>
      <c r="Z1875" s="24" t="str">
        <f aca="false">IF(AND($C1875="",$I1875="",$J1875=""),"",IF($N1875="","NO VAT CODE",IF($T1875="","UNKNOWN VAT CODE",IF($S1875="","MISSING FX RATE",IF(OR($A1875&lt;Settings!$C$8,$A1875&gt;Settings!$C$9),"OUTSIDE PERIOD",IF(AND(IFERROR(INDEX(VAT_Codes!$E:$E,MATCH($N1875,VAT_Codes!$A:$A,0)),"ANY")&lt;&gt;"ANY",$P1875=""),"MISSING COUNTERPARTY COUNTRY",IF(AND(IFERROR(INDEX(VAT_Codes!$E:$E,MATCH($N1875,VAT_Codes!$A:$A,0)),"ANY")&lt;&gt;"ANY",$P1875&lt;&gt;IFERROR(INDEX(VAT_Codes!$E:$E,MATCH($N1875,VAT_Codes!$A:$A,0)),"ANY")),"REGION MISMATCH","OK")))))))</f>
        <v/>
      </c>
    </row>
    <row r="1876" customFormat="false" ht="15" hidden="false" customHeight="false" outlineLevel="0" collapsed="false">
      <c r="M1876" s="24" t="str">
        <f aca="false">IF($C1876="","",IFERROR(INDEX(Account_Mapping!$C:$C,MATCH($C1876&amp;"",Account_Mapping!$A:$A,0))&amp;"",""))</f>
        <v/>
      </c>
      <c r="N1876" s="24" t="str">
        <f aca="false">IF($K1876&lt;&gt;"",$K1876,$M1876)</f>
        <v/>
      </c>
      <c r="O1876" s="24" t="str">
        <f aca="false">IF($F1876="","",IFERROR(INDEX(Counterparties!$C:$C,MATCH($F1876&amp;"",Counterparties!$A:$A,0))&amp;"",""))</f>
        <v/>
      </c>
      <c r="P1876" s="24" t="str">
        <f aca="false">IF($O1876="","",IF($O1876="CY","CY",IF(ISNUMBER(MATCH($O1876,Lists!$A:$A,0)),"EU","3RD")))</f>
        <v/>
      </c>
      <c r="Q1876" s="24" t="str">
        <f aca="false">IF($F1876="","N",IFERROR(IF(INDEX(Counterparties!$E:$E,MATCH($F1876&amp;"",Counterparties!$A:$A,0))="Y","Y","N"),"N"))</f>
        <v>N</v>
      </c>
      <c r="R1876" s="25" t="n">
        <f aca="false">IF(OR($H1876="",$H1876="EUR"),1,IFERROR(INDEX(FX_Rates!$D:$D,MATCH($H1876,FX_Rates!$A:$A,0)),""))</f>
        <v>1</v>
      </c>
      <c r="S1876" s="26" t="str">
        <f aca="false">IF(AND($I1876="",$J1876=""),"",IF($J1876&lt;&gt;"",$J1876,IF(OR($R1876="",$R1876=0),"",ROUND($I1876/$R1876,2))))</f>
        <v/>
      </c>
      <c r="T1876" s="24" t="str">
        <f aca="false">IF($N1876="","",IFERROR(INDEX(VAT_Codes!$C:$C,MATCH($N1876,VAT_Codes!$A:$A,0)),"")&amp;"")</f>
        <v/>
      </c>
      <c r="U1876" s="26" t="n">
        <f aca="false">IF(OR($S1876="",$T1876="",$T1876="None"),0,IF($T1876="Output",-$S1876,$S1876))</f>
        <v>0</v>
      </c>
      <c r="V1876" s="27" t="n">
        <f aca="false">IF($N1876="",0,IFERROR(INDEX(VAT_Codes!$D:$D,MATCH($N1876,VAT_Codes!$A:$A,0)),0))</f>
        <v>0</v>
      </c>
      <c r="W1876" s="26" t="n">
        <f aca="false">IF($U1876=0,0,IF(IFERROR(INDEX(VAT_Codes!$F:$F,MATCH($N1876,VAT_Codes!$A:$A,0)),"N")="Y",$U1876,IF($L1876&lt;&gt;"",ROUND(ABS($L1876)/IF(OR($R1876="",$R1876=0),1,$R1876),2)*SIGN($U1876),ROUND($U1876*$V1876,2))))</f>
        <v>0</v>
      </c>
      <c r="X1876" s="24" t="str">
        <f aca="false">IF($N1876="","",IFERROR(INDEX(VAT_Codes!$H:$H,MATCH($N1876,VAT_Codes!$A:$A,0)),"")&amp;"")</f>
        <v/>
      </c>
      <c r="Y1876" s="24" t="str">
        <f aca="false">IF($A1876="","",(YEAR($A1876)-YEAR(Settings!$C$8))*12+MONTH($A1876)-MONTH(Settings!$C$8)+1)</f>
        <v/>
      </c>
      <c r="Z1876" s="24" t="str">
        <f aca="false">IF(AND($C1876="",$I1876="",$J1876=""),"",IF($N1876="","NO VAT CODE",IF($T1876="","UNKNOWN VAT CODE",IF($S1876="","MISSING FX RATE",IF(OR($A1876&lt;Settings!$C$8,$A1876&gt;Settings!$C$9),"OUTSIDE PERIOD",IF(AND(IFERROR(INDEX(VAT_Codes!$E:$E,MATCH($N1876,VAT_Codes!$A:$A,0)),"ANY")&lt;&gt;"ANY",$P1876=""),"MISSING COUNTERPARTY COUNTRY",IF(AND(IFERROR(INDEX(VAT_Codes!$E:$E,MATCH($N1876,VAT_Codes!$A:$A,0)),"ANY")&lt;&gt;"ANY",$P1876&lt;&gt;IFERROR(INDEX(VAT_Codes!$E:$E,MATCH($N1876,VAT_Codes!$A:$A,0)),"ANY")),"REGION MISMATCH","OK")))))))</f>
        <v/>
      </c>
    </row>
    <row r="1877" customFormat="false" ht="15" hidden="false" customHeight="false" outlineLevel="0" collapsed="false">
      <c r="M1877" s="24" t="str">
        <f aca="false">IF($C1877="","",IFERROR(INDEX(Account_Mapping!$C:$C,MATCH($C1877&amp;"",Account_Mapping!$A:$A,0))&amp;"",""))</f>
        <v/>
      </c>
      <c r="N1877" s="24" t="str">
        <f aca="false">IF($K1877&lt;&gt;"",$K1877,$M1877)</f>
        <v/>
      </c>
      <c r="O1877" s="24" t="str">
        <f aca="false">IF($F1877="","",IFERROR(INDEX(Counterparties!$C:$C,MATCH($F1877&amp;"",Counterparties!$A:$A,0))&amp;"",""))</f>
        <v/>
      </c>
      <c r="P1877" s="24" t="str">
        <f aca="false">IF($O1877="","",IF($O1877="CY","CY",IF(ISNUMBER(MATCH($O1877,Lists!$A:$A,0)),"EU","3RD")))</f>
        <v/>
      </c>
      <c r="Q1877" s="24" t="str">
        <f aca="false">IF($F1877="","N",IFERROR(IF(INDEX(Counterparties!$E:$E,MATCH($F1877&amp;"",Counterparties!$A:$A,0))="Y","Y","N"),"N"))</f>
        <v>N</v>
      </c>
      <c r="R1877" s="25" t="n">
        <f aca="false">IF(OR($H1877="",$H1877="EUR"),1,IFERROR(INDEX(FX_Rates!$D:$D,MATCH($H1877,FX_Rates!$A:$A,0)),""))</f>
        <v>1</v>
      </c>
      <c r="S1877" s="26" t="str">
        <f aca="false">IF(AND($I1877="",$J1877=""),"",IF($J1877&lt;&gt;"",$J1877,IF(OR($R1877="",$R1877=0),"",ROUND($I1877/$R1877,2))))</f>
        <v/>
      </c>
      <c r="T1877" s="24" t="str">
        <f aca="false">IF($N1877="","",IFERROR(INDEX(VAT_Codes!$C:$C,MATCH($N1877,VAT_Codes!$A:$A,0)),"")&amp;"")</f>
        <v/>
      </c>
      <c r="U1877" s="26" t="n">
        <f aca="false">IF(OR($S1877="",$T1877="",$T1877="None"),0,IF($T1877="Output",-$S1877,$S1877))</f>
        <v>0</v>
      </c>
      <c r="V1877" s="27" t="n">
        <f aca="false">IF($N1877="",0,IFERROR(INDEX(VAT_Codes!$D:$D,MATCH($N1877,VAT_Codes!$A:$A,0)),0))</f>
        <v>0</v>
      </c>
      <c r="W1877" s="26" t="n">
        <f aca="false">IF($U1877=0,0,IF(IFERROR(INDEX(VAT_Codes!$F:$F,MATCH($N1877,VAT_Codes!$A:$A,0)),"N")="Y",$U1877,IF($L1877&lt;&gt;"",ROUND(ABS($L1877)/IF(OR($R1877="",$R1877=0),1,$R1877),2)*SIGN($U1877),ROUND($U1877*$V1877,2))))</f>
        <v>0</v>
      </c>
      <c r="X1877" s="24" t="str">
        <f aca="false">IF($N1877="","",IFERROR(INDEX(VAT_Codes!$H:$H,MATCH($N1877,VAT_Codes!$A:$A,0)),"")&amp;"")</f>
        <v/>
      </c>
      <c r="Y1877" s="24" t="str">
        <f aca="false">IF($A1877="","",(YEAR($A1877)-YEAR(Settings!$C$8))*12+MONTH($A1877)-MONTH(Settings!$C$8)+1)</f>
        <v/>
      </c>
      <c r="Z1877" s="24" t="str">
        <f aca="false">IF(AND($C1877="",$I1877="",$J1877=""),"",IF($N1877="","NO VAT CODE",IF($T1877="","UNKNOWN VAT CODE",IF($S1877="","MISSING FX RATE",IF(OR($A1877&lt;Settings!$C$8,$A1877&gt;Settings!$C$9),"OUTSIDE PERIOD",IF(AND(IFERROR(INDEX(VAT_Codes!$E:$E,MATCH($N1877,VAT_Codes!$A:$A,0)),"ANY")&lt;&gt;"ANY",$P1877=""),"MISSING COUNTERPARTY COUNTRY",IF(AND(IFERROR(INDEX(VAT_Codes!$E:$E,MATCH($N1877,VAT_Codes!$A:$A,0)),"ANY")&lt;&gt;"ANY",$P1877&lt;&gt;IFERROR(INDEX(VAT_Codes!$E:$E,MATCH($N1877,VAT_Codes!$A:$A,0)),"ANY")),"REGION MISMATCH","OK")))))))</f>
        <v/>
      </c>
    </row>
    <row r="1878" customFormat="false" ht="15" hidden="false" customHeight="false" outlineLevel="0" collapsed="false">
      <c r="M1878" s="24" t="str">
        <f aca="false">IF($C1878="","",IFERROR(INDEX(Account_Mapping!$C:$C,MATCH($C1878&amp;"",Account_Mapping!$A:$A,0))&amp;"",""))</f>
        <v/>
      </c>
      <c r="N1878" s="24" t="str">
        <f aca="false">IF($K1878&lt;&gt;"",$K1878,$M1878)</f>
        <v/>
      </c>
      <c r="O1878" s="24" t="str">
        <f aca="false">IF($F1878="","",IFERROR(INDEX(Counterparties!$C:$C,MATCH($F1878&amp;"",Counterparties!$A:$A,0))&amp;"",""))</f>
        <v/>
      </c>
      <c r="P1878" s="24" t="str">
        <f aca="false">IF($O1878="","",IF($O1878="CY","CY",IF(ISNUMBER(MATCH($O1878,Lists!$A:$A,0)),"EU","3RD")))</f>
        <v/>
      </c>
      <c r="Q1878" s="24" t="str">
        <f aca="false">IF($F1878="","N",IFERROR(IF(INDEX(Counterparties!$E:$E,MATCH($F1878&amp;"",Counterparties!$A:$A,0))="Y","Y","N"),"N"))</f>
        <v>N</v>
      </c>
      <c r="R1878" s="25" t="n">
        <f aca="false">IF(OR($H1878="",$H1878="EUR"),1,IFERROR(INDEX(FX_Rates!$D:$D,MATCH($H1878,FX_Rates!$A:$A,0)),""))</f>
        <v>1</v>
      </c>
      <c r="S1878" s="26" t="str">
        <f aca="false">IF(AND($I1878="",$J1878=""),"",IF($J1878&lt;&gt;"",$J1878,IF(OR($R1878="",$R1878=0),"",ROUND($I1878/$R1878,2))))</f>
        <v/>
      </c>
      <c r="T1878" s="24" t="str">
        <f aca="false">IF($N1878="","",IFERROR(INDEX(VAT_Codes!$C:$C,MATCH($N1878,VAT_Codes!$A:$A,0)),"")&amp;"")</f>
        <v/>
      </c>
      <c r="U1878" s="26" t="n">
        <f aca="false">IF(OR($S1878="",$T1878="",$T1878="None"),0,IF($T1878="Output",-$S1878,$S1878))</f>
        <v>0</v>
      </c>
      <c r="V1878" s="27" t="n">
        <f aca="false">IF($N1878="",0,IFERROR(INDEX(VAT_Codes!$D:$D,MATCH($N1878,VAT_Codes!$A:$A,0)),0))</f>
        <v>0</v>
      </c>
      <c r="W1878" s="26" t="n">
        <f aca="false">IF($U1878=0,0,IF(IFERROR(INDEX(VAT_Codes!$F:$F,MATCH($N1878,VAT_Codes!$A:$A,0)),"N")="Y",$U1878,IF($L1878&lt;&gt;"",ROUND(ABS($L1878)/IF(OR($R1878="",$R1878=0),1,$R1878),2)*SIGN($U1878),ROUND($U1878*$V1878,2))))</f>
        <v>0</v>
      </c>
      <c r="X1878" s="24" t="str">
        <f aca="false">IF($N1878="","",IFERROR(INDEX(VAT_Codes!$H:$H,MATCH($N1878,VAT_Codes!$A:$A,0)),"")&amp;"")</f>
        <v/>
      </c>
      <c r="Y1878" s="24" t="str">
        <f aca="false">IF($A1878="","",(YEAR($A1878)-YEAR(Settings!$C$8))*12+MONTH($A1878)-MONTH(Settings!$C$8)+1)</f>
        <v/>
      </c>
      <c r="Z1878" s="24" t="str">
        <f aca="false">IF(AND($C1878="",$I1878="",$J1878=""),"",IF($N1878="","NO VAT CODE",IF($T1878="","UNKNOWN VAT CODE",IF($S1878="","MISSING FX RATE",IF(OR($A1878&lt;Settings!$C$8,$A1878&gt;Settings!$C$9),"OUTSIDE PERIOD",IF(AND(IFERROR(INDEX(VAT_Codes!$E:$E,MATCH($N1878,VAT_Codes!$A:$A,0)),"ANY")&lt;&gt;"ANY",$P1878=""),"MISSING COUNTERPARTY COUNTRY",IF(AND(IFERROR(INDEX(VAT_Codes!$E:$E,MATCH($N1878,VAT_Codes!$A:$A,0)),"ANY")&lt;&gt;"ANY",$P1878&lt;&gt;IFERROR(INDEX(VAT_Codes!$E:$E,MATCH($N1878,VAT_Codes!$A:$A,0)),"ANY")),"REGION MISMATCH","OK")))))))</f>
        <v/>
      </c>
    </row>
    <row r="1879" customFormat="false" ht="15" hidden="false" customHeight="false" outlineLevel="0" collapsed="false">
      <c r="M1879" s="24" t="str">
        <f aca="false">IF($C1879="","",IFERROR(INDEX(Account_Mapping!$C:$C,MATCH($C1879&amp;"",Account_Mapping!$A:$A,0))&amp;"",""))</f>
        <v/>
      </c>
      <c r="N1879" s="24" t="str">
        <f aca="false">IF($K1879&lt;&gt;"",$K1879,$M1879)</f>
        <v/>
      </c>
      <c r="O1879" s="24" t="str">
        <f aca="false">IF($F1879="","",IFERROR(INDEX(Counterparties!$C:$C,MATCH($F1879&amp;"",Counterparties!$A:$A,0))&amp;"",""))</f>
        <v/>
      </c>
      <c r="P1879" s="24" t="str">
        <f aca="false">IF($O1879="","",IF($O1879="CY","CY",IF(ISNUMBER(MATCH($O1879,Lists!$A:$A,0)),"EU","3RD")))</f>
        <v/>
      </c>
      <c r="Q1879" s="24" t="str">
        <f aca="false">IF($F1879="","N",IFERROR(IF(INDEX(Counterparties!$E:$E,MATCH($F1879&amp;"",Counterparties!$A:$A,0))="Y","Y","N"),"N"))</f>
        <v>N</v>
      </c>
      <c r="R1879" s="25" t="n">
        <f aca="false">IF(OR($H1879="",$H1879="EUR"),1,IFERROR(INDEX(FX_Rates!$D:$D,MATCH($H1879,FX_Rates!$A:$A,0)),""))</f>
        <v>1</v>
      </c>
      <c r="S1879" s="26" t="str">
        <f aca="false">IF(AND($I1879="",$J1879=""),"",IF($J1879&lt;&gt;"",$J1879,IF(OR($R1879="",$R1879=0),"",ROUND($I1879/$R1879,2))))</f>
        <v/>
      </c>
      <c r="T1879" s="24" t="str">
        <f aca="false">IF($N1879="","",IFERROR(INDEX(VAT_Codes!$C:$C,MATCH($N1879,VAT_Codes!$A:$A,0)),"")&amp;"")</f>
        <v/>
      </c>
      <c r="U1879" s="26" t="n">
        <f aca="false">IF(OR($S1879="",$T1879="",$T1879="None"),0,IF($T1879="Output",-$S1879,$S1879))</f>
        <v>0</v>
      </c>
      <c r="V1879" s="27" t="n">
        <f aca="false">IF($N1879="",0,IFERROR(INDEX(VAT_Codes!$D:$D,MATCH($N1879,VAT_Codes!$A:$A,0)),0))</f>
        <v>0</v>
      </c>
      <c r="W1879" s="26" t="n">
        <f aca="false">IF($U1879=0,0,IF(IFERROR(INDEX(VAT_Codes!$F:$F,MATCH($N1879,VAT_Codes!$A:$A,0)),"N")="Y",$U1879,IF($L1879&lt;&gt;"",ROUND(ABS($L1879)/IF(OR($R1879="",$R1879=0),1,$R1879),2)*SIGN($U1879),ROUND($U1879*$V1879,2))))</f>
        <v>0</v>
      </c>
      <c r="X1879" s="24" t="str">
        <f aca="false">IF($N1879="","",IFERROR(INDEX(VAT_Codes!$H:$H,MATCH($N1879,VAT_Codes!$A:$A,0)),"")&amp;"")</f>
        <v/>
      </c>
      <c r="Y1879" s="24" t="str">
        <f aca="false">IF($A1879="","",(YEAR($A1879)-YEAR(Settings!$C$8))*12+MONTH($A1879)-MONTH(Settings!$C$8)+1)</f>
        <v/>
      </c>
      <c r="Z1879" s="24" t="str">
        <f aca="false">IF(AND($C1879="",$I1879="",$J1879=""),"",IF($N1879="","NO VAT CODE",IF($T1879="","UNKNOWN VAT CODE",IF($S1879="","MISSING FX RATE",IF(OR($A1879&lt;Settings!$C$8,$A1879&gt;Settings!$C$9),"OUTSIDE PERIOD",IF(AND(IFERROR(INDEX(VAT_Codes!$E:$E,MATCH($N1879,VAT_Codes!$A:$A,0)),"ANY")&lt;&gt;"ANY",$P1879=""),"MISSING COUNTERPARTY COUNTRY",IF(AND(IFERROR(INDEX(VAT_Codes!$E:$E,MATCH($N1879,VAT_Codes!$A:$A,0)),"ANY")&lt;&gt;"ANY",$P1879&lt;&gt;IFERROR(INDEX(VAT_Codes!$E:$E,MATCH($N1879,VAT_Codes!$A:$A,0)),"ANY")),"REGION MISMATCH","OK")))))))</f>
        <v/>
      </c>
    </row>
    <row r="1880" customFormat="false" ht="15" hidden="false" customHeight="false" outlineLevel="0" collapsed="false">
      <c r="M1880" s="24" t="str">
        <f aca="false">IF($C1880="","",IFERROR(INDEX(Account_Mapping!$C:$C,MATCH($C1880&amp;"",Account_Mapping!$A:$A,0))&amp;"",""))</f>
        <v/>
      </c>
      <c r="N1880" s="24" t="str">
        <f aca="false">IF($K1880&lt;&gt;"",$K1880,$M1880)</f>
        <v/>
      </c>
      <c r="O1880" s="24" t="str">
        <f aca="false">IF($F1880="","",IFERROR(INDEX(Counterparties!$C:$C,MATCH($F1880&amp;"",Counterparties!$A:$A,0))&amp;"",""))</f>
        <v/>
      </c>
      <c r="P1880" s="24" t="str">
        <f aca="false">IF($O1880="","",IF($O1880="CY","CY",IF(ISNUMBER(MATCH($O1880,Lists!$A:$A,0)),"EU","3RD")))</f>
        <v/>
      </c>
      <c r="Q1880" s="24" t="str">
        <f aca="false">IF($F1880="","N",IFERROR(IF(INDEX(Counterparties!$E:$E,MATCH($F1880&amp;"",Counterparties!$A:$A,0))="Y","Y","N"),"N"))</f>
        <v>N</v>
      </c>
      <c r="R1880" s="25" t="n">
        <f aca="false">IF(OR($H1880="",$H1880="EUR"),1,IFERROR(INDEX(FX_Rates!$D:$D,MATCH($H1880,FX_Rates!$A:$A,0)),""))</f>
        <v>1</v>
      </c>
      <c r="S1880" s="26" t="str">
        <f aca="false">IF(AND($I1880="",$J1880=""),"",IF($J1880&lt;&gt;"",$J1880,IF(OR($R1880="",$R1880=0),"",ROUND($I1880/$R1880,2))))</f>
        <v/>
      </c>
      <c r="T1880" s="24" t="str">
        <f aca="false">IF($N1880="","",IFERROR(INDEX(VAT_Codes!$C:$C,MATCH($N1880,VAT_Codes!$A:$A,0)),"")&amp;"")</f>
        <v/>
      </c>
      <c r="U1880" s="26" t="n">
        <f aca="false">IF(OR($S1880="",$T1880="",$T1880="None"),0,IF($T1880="Output",-$S1880,$S1880))</f>
        <v>0</v>
      </c>
      <c r="V1880" s="27" t="n">
        <f aca="false">IF($N1880="",0,IFERROR(INDEX(VAT_Codes!$D:$D,MATCH($N1880,VAT_Codes!$A:$A,0)),0))</f>
        <v>0</v>
      </c>
      <c r="W1880" s="26" t="n">
        <f aca="false">IF($U1880=0,0,IF(IFERROR(INDEX(VAT_Codes!$F:$F,MATCH($N1880,VAT_Codes!$A:$A,0)),"N")="Y",$U1880,IF($L1880&lt;&gt;"",ROUND(ABS($L1880)/IF(OR($R1880="",$R1880=0),1,$R1880),2)*SIGN($U1880),ROUND($U1880*$V1880,2))))</f>
        <v>0</v>
      </c>
      <c r="X1880" s="24" t="str">
        <f aca="false">IF($N1880="","",IFERROR(INDEX(VAT_Codes!$H:$H,MATCH($N1880,VAT_Codes!$A:$A,0)),"")&amp;"")</f>
        <v/>
      </c>
      <c r="Y1880" s="24" t="str">
        <f aca="false">IF($A1880="","",(YEAR($A1880)-YEAR(Settings!$C$8))*12+MONTH($A1880)-MONTH(Settings!$C$8)+1)</f>
        <v/>
      </c>
      <c r="Z1880" s="24" t="str">
        <f aca="false">IF(AND($C1880="",$I1880="",$J1880=""),"",IF($N1880="","NO VAT CODE",IF($T1880="","UNKNOWN VAT CODE",IF($S1880="","MISSING FX RATE",IF(OR($A1880&lt;Settings!$C$8,$A1880&gt;Settings!$C$9),"OUTSIDE PERIOD",IF(AND(IFERROR(INDEX(VAT_Codes!$E:$E,MATCH($N1880,VAT_Codes!$A:$A,0)),"ANY")&lt;&gt;"ANY",$P1880=""),"MISSING COUNTERPARTY COUNTRY",IF(AND(IFERROR(INDEX(VAT_Codes!$E:$E,MATCH($N1880,VAT_Codes!$A:$A,0)),"ANY")&lt;&gt;"ANY",$P1880&lt;&gt;IFERROR(INDEX(VAT_Codes!$E:$E,MATCH($N1880,VAT_Codes!$A:$A,0)),"ANY")),"REGION MISMATCH","OK")))))))</f>
        <v/>
      </c>
    </row>
    <row r="1881" customFormat="false" ht="15" hidden="false" customHeight="false" outlineLevel="0" collapsed="false">
      <c r="M1881" s="24" t="str">
        <f aca="false">IF($C1881="","",IFERROR(INDEX(Account_Mapping!$C:$C,MATCH($C1881&amp;"",Account_Mapping!$A:$A,0))&amp;"",""))</f>
        <v/>
      </c>
      <c r="N1881" s="24" t="str">
        <f aca="false">IF($K1881&lt;&gt;"",$K1881,$M1881)</f>
        <v/>
      </c>
      <c r="O1881" s="24" t="str">
        <f aca="false">IF($F1881="","",IFERROR(INDEX(Counterparties!$C:$C,MATCH($F1881&amp;"",Counterparties!$A:$A,0))&amp;"",""))</f>
        <v/>
      </c>
      <c r="P1881" s="24" t="str">
        <f aca="false">IF($O1881="","",IF($O1881="CY","CY",IF(ISNUMBER(MATCH($O1881,Lists!$A:$A,0)),"EU","3RD")))</f>
        <v/>
      </c>
      <c r="Q1881" s="24" t="str">
        <f aca="false">IF($F1881="","N",IFERROR(IF(INDEX(Counterparties!$E:$E,MATCH($F1881&amp;"",Counterparties!$A:$A,0))="Y","Y","N"),"N"))</f>
        <v>N</v>
      </c>
      <c r="R1881" s="25" t="n">
        <f aca="false">IF(OR($H1881="",$H1881="EUR"),1,IFERROR(INDEX(FX_Rates!$D:$D,MATCH($H1881,FX_Rates!$A:$A,0)),""))</f>
        <v>1</v>
      </c>
      <c r="S1881" s="26" t="str">
        <f aca="false">IF(AND($I1881="",$J1881=""),"",IF($J1881&lt;&gt;"",$J1881,IF(OR($R1881="",$R1881=0),"",ROUND($I1881/$R1881,2))))</f>
        <v/>
      </c>
      <c r="T1881" s="24" t="str">
        <f aca="false">IF($N1881="","",IFERROR(INDEX(VAT_Codes!$C:$C,MATCH($N1881,VAT_Codes!$A:$A,0)),"")&amp;"")</f>
        <v/>
      </c>
      <c r="U1881" s="26" t="n">
        <f aca="false">IF(OR($S1881="",$T1881="",$T1881="None"),0,IF($T1881="Output",-$S1881,$S1881))</f>
        <v>0</v>
      </c>
      <c r="V1881" s="27" t="n">
        <f aca="false">IF($N1881="",0,IFERROR(INDEX(VAT_Codes!$D:$D,MATCH($N1881,VAT_Codes!$A:$A,0)),0))</f>
        <v>0</v>
      </c>
      <c r="W1881" s="26" t="n">
        <f aca="false">IF($U1881=0,0,IF(IFERROR(INDEX(VAT_Codes!$F:$F,MATCH($N1881,VAT_Codes!$A:$A,0)),"N")="Y",$U1881,IF($L1881&lt;&gt;"",ROUND(ABS($L1881)/IF(OR($R1881="",$R1881=0),1,$R1881),2)*SIGN($U1881),ROUND($U1881*$V1881,2))))</f>
        <v>0</v>
      </c>
      <c r="X1881" s="24" t="str">
        <f aca="false">IF($N1881="","",IFERROR(INDEX(VAT_Codes!$H:$H,MATCH($N1881,VAT_Codes!$A:$A,0)),"")&amp;"")</f>
        <v/>
      </c>
      <c r="Y1881" s="24" t="str">
        <f aca="false">IF($A1881="","",(YEAR($A1881)-YEAR(Settings!$C$8))*12+MONTH($A1881)-MONTH(Settings!$C$8)+1)</f>
        <v/>
      </c>
      <c r="Z1881" s="24" t="str">
        <f aca="false">IF(AND($C1881="",$I1881="",$J1881=""),"",IF($N1881="","NO VAT CODE",IF($T1881="","UNKNOWN VAT CODE",IF($S1881="","MISSING FX RATE",IF(OR($A1881&lt;Settings!$C$8,$A1881&gt;Settings!$C$9),"OUTSIDE PERIOD",IF(AND(IFERROR(INDEX(VAT_Codes!$E:$E,MATCH($N1881,VAT_Codes!$A:$A,0)),"ANY")&lt;&gt;"ANY",$P1881=""),"MISSING COUNTERPARTY COUNTRY",IF(AND(IFERROR(INDEX(VAT_Codes!$E:$E,MATCH($N1881,VAT_Codes!$A:$A,0)),"ANY")&lt;&gt;"ANY",$P1881&lt;&gt;IFERROR(INDEX(VAT_Codes!$E:$E,MATCH($N1881,VAT_Codes!$A:$A,0)),"ANY")),"REGION MISMATCH","OK")))))))</f>
        <v/>
      </c>
    </row>
    <row r="1882" customFormat="false" ht="15" hidden="false" customHeight="false" outlineLevel="0" collapsed="false">
      <c r="M1882" s="24" t="str">
        <f aca="false">IF($C1882="","",IFERROR(INDEX(Account_Mapping!$C:$C,MATCH($C1882&amp;"",Account_Mapping!$A:$A,0))&amp;"",""))</f>
        <v/>
      </c>
      <c r="N1882" s="24" t="str">
        <f aca="false">IF($K1882&lt;&gt;"",$K1882,$M1882)</f>
        <v/>
      </c>
      <c r="O1882" s="24" t="str">
        <f aca="false">IF($F1882="","",IFERROR(INDEX(Counterparties!$C:$C,MATCH($F1882&amp;"",Counterparties!$A:$A,0))&amp;"",""))</f>
        <v/>
      </c>
      <c r="P1882" s="24" t="str">
        <f aca="false">IF($O1882="","",IF($O1882="CY","CY",IF(ISNUMBER(MATCH($O1882,Lists!$A:$A,0)),"EU","3RD")))</f>
        <v/>
      </c>
      <c r="Q1882" s="24" t="str">
        <f aca="false">IF($F1882="","N",IFERROR(IF(INDEX(Counterparties!$E:$E,MATCH($F1882&amp;"",Counterparties!$A:$A,0))="Y","Y","N"),"N"))</f>
        <v>N</v>
      </c>
      <c r="R1882" s="25" t="n">
        <f aca="false">IF(OR($H1882="",$H1882="EUR"),1,IFERROR(INDEX(FX_Rates!$D:$D,MATCH($H1882,FX_Rates!$A:$A,0)),""))</f>
        <v>1</v>
      </c>
      <c r="S1882" s="26" t="str">
        <f aca="false">IF(AND($I1882="",$J1882=""),"",IF($J1882&lt;&gt;"",$J1882,IF(OR($R1882="",$R1882=0),"",ROUND($I1882/$R1882,2))))</f>
        <v/>
      </c>
      <c r="T1882" s="24" t="str">
        <f aca="false">IF($N1882="","",IFERROR(INDEX(VAT_Codes!$C:$C,MATCH($N1882,VAT_Codes!$A:$A,0)),"")&amp;"")</f>
        <v/>
      </c>
      <c r="U1882" s="26" t="n">
        <f aca="false">IF(OR($S1882="",$T1882="",$T1882="None"),0,IF($T1882="Output",-$S1882,$S1882))</f>
        <v>0</v>
      </c>
      <c r="V1882" s="27" t="n">
        <f aca="false">IF($N1882="",0,IFERROR(INDEX(VAT_Codes!$D:$D,MATCH($N1882,VAT_Codes!$A:$A,0)),0))</f>
        <v>0</v>
      </c>
      <c r="W1882" s="26" t="n">
        <f aca="false">IF($U1882=0,0,IF(IFERROR(INDEX(VAT_Codes!$F:$F,MATCH($N1882,VAT_Codes!$A:$A,0)),"N")="Y",$U1882,IF($L1882&lt;&gt;"",ROUND(ABS($L1882)/IF(OR($R1882="",$R1882=0),1,$R1882),2)*SIGN($U1882),ROUND($U1882*$V1882,2))))</f>
        <v>0</v>
      </c>
      <c r="X1882" s="24" t="str">
        <f aca="false">IF($N1882="","",IFERROR(INDEX(VAT_Codes!$H:$H,MATCH($N1882,VAT_Codes!$A:$A,0)),"")&amp;"")</f>
        <v/>
      </c>
      <c r="Y1882" s="24" t="str">
        <f aca="false">IF($A1882="","",(YEAR($A1882)-YEAR(Settings!$C$8))*12+MONTH($A1882)-MONTH(Settings!$C$8)+1)</f>
        <v/>
      </c>
      <c r="Z1882" s="24" t="str">
        <f aca="false">IF(AND($C1882="",$I1882="",$J1882=""),"",IF($N1882="","NO VAT CODE",IF($T1882="","UNKNOWN VAT CODE",IF($S1882="","MISSING FX RATE",IF(OR($A1882&lt;Settings!$C$8,$A1882&gt;Settings!$C$9),"OUTSIDE PERIOD",IF(AND(IFERROR(INDEX(VAT_Codes!$E:$E,MATCH($N1882,VAT_Codes!$A:$A,0)),"ANY")&lt;&gt;"ANY",$P1882=""),"MISSING COUNTERPARTY COUNTRY",IF(AND(IFERROR(INDEX(VAT_Codes!$E:$E,MATCH($N1882,VAT_Codes!$A:$A,0)),"ANY")&lt;&gt;"ANY",$P1882&lt;&gt;IFERROR(INDEX(VAT_Codes!$E:$E,MATCH($N1882,VAT_Codes!$A:$A,0)),"ANY")),"REGION MISMATCH","OK")))))))</f>
        <v/>
      </c>
    </row>
    <row r="1883" customFormat="false" ht="15" hidden="false" customHeight="false" outlineLevel="0" collapsed="false">
      <c r="M1883" s="24" t="str">
        <f aca="false">IF($C1883="","",IFERROR(INDEX(Account_Mapping!$C:$C,MATCH($C1883&amp;"",Account_Mapping!$A:$A,0))&amp;"",""))</f>
        <v/>
      </c>
      <c r="N1883" s="24" t="str">
        <f aca="false">IF($K1883&lt;&gt;"",$K1883,$M1883)</f>
        <v/>
      </c>
      <c r="O1883" s="24" t="str">
        <f aca="false">IF($F1883="","",IFERROR(INDEX(Counterparties!$C:$C,MATCH($F1883&amp;"",Counterparties!$A:$A,0))&amp;"",""))</f>
        <v/>
      </c>
      <c r="P1883" s="24" t="str">
        <f aca="false">IF($O1883="","",IF($O1883="CY","CY",IF(ISNUMBER(MATCH($O1883,Lists!$A:$A,0)),"EU","3RD")))</f>
        <v/>
      </c>
      <c r="Q1883" s="24" t="str">
        <f aca="false">IF($F1883="","N",IFERROR(IF(INDEX(Counterparties!$E:$E,MATCH($F1883&amp;"",Counterparties!$A:$A,0))="Y","Y","N"),"N"))</f>
        <v>N</v>
      </c>
      <c r="R1883" s="25" t="n">
        <f aca="false">IF(OR($H1883="",$H1883="EUR"),1,IFERROR(INDEX(FX_Rates!$D:$D,MATCH($H1883,FX_Rates!$A:$A,0)),""))</f>
        <v>1</v>
      </c>
      <c r="S1883" s="26" t="str">
        <f aca="false">IF(AND($I1883="",$J1883=""),"",IF($J1883&lt;&gt;"",$J1883,IF(OR($R1883="",$R1883=0),"",ROUND($I1883/$R1883,2))))</f>
        <v/>
      </c>
      <c r="T1883" s="24" t="str">
        <f aca="false">IF($N1883="","",IFERROR(INDEX(VAT_Codes!$C:$C,MATCH($N1883,VAT_Codes!$A:$A,0)),"")&amp;"")</f>
        <v/>
      </c>
      <c r="U1883" s="26" t="n">
        <f aca="false">IF(OR($S1883="",$T1883="",$T1883="None"),0,IF($T1883="Output",-$S1883,$S1883))</f>
        <v>0</v>
      </c>
      <c r="V1883" s="27" t="n">
        <f aca="false">IF($N1883="",0,IFERROR(INDEX(VAT_Codes!$D:$D,MATCH($N1883,VAT_Codes!$A:$A,0)),0))</f>
        <v>0</v>
      </c>
      <c r="W1883" s="26" t="n">
        <f aca="false">IF($U1883=0,0,IF(IFERROR(INDEX(VAT_Codes!$F:$F,MATCH($N1883,VAT_Codes!$A:$A,0)),"N")="Y",$U1883,IF($L1883&lt;&gt;"",ROUND(ABS($L1883)/IF(OR($R1883="",$R1883=0),1,$R1883),2)*SIGN($U1883),ROUND($U1883*$V1883,2))))</f>
        <v>0</v>
      </c>
      <c r="X1883" s="24" t="str">
        <f aca="false">IF($N1883="","",IFERROR(INDEX(VAT_Codes!$H:$H,MATCH($N1883,VAT_Codes!$A:$A,0)),"")&amp;"")</f>
        <v/>
      </c>
      <c r="Y1883" s="24" t="str">
        <f aca="false">IF($A1883="","",(YEAR($A1883)-YEAR(Settings!$C$8))*12+MONTH($A1883)-MONTH(Settings!$C$8)+1)</f>
        <v/>
      </c>
      <c r="Z1883" s="24" t="str">
        <f aca="false">IF(AND($C1883="",$I1883="",$J1883=""),"",IF($N1883="","NO VAT CODE",IF($T1883="","UNKNOWN VAT CODE",IF($S1883="","MISSING FX RATE",IF(OR($A1883&lt;Settings!$C$8,$A1883&gt;Settings!$C$9),"OUTSIDE PERIOD",IF(AND(IFERROR(INDEX(VAT_Codes!$E:$E,MATCH($N1883,VAT_Codes!$A:$A,0)),"ANY")&lt;&gt;"ANY",$P1883=""),"MISSING COUNTERPARTY COUNTRY",IF(AND(IFERROR(INDEX(VAT_Codes!$E:$E,MATCH($N1883,VAT_Codes!$A:$A,0)),"ANY")&lt;&gt;"ANY",$P1883&lt;&gt;IFERROR(INDEX(VAT_Codes!$E:$E,MATCH($N1883,VAT_Codes!$A:$A,0)),"ANY")),"REGION MISMATCH","OK")))))))</f>
        <v/>
      </c>
    </row>
    <row r="1884" customFormat="false" ht="15" hidden="false" customHeight="false" outlineLevel="0" collapsed="false">
      <c r="M1884" s="24" t="str">
        <f aca="false">IF($C1884="","",IFERROR(INDEX(Account_Mapping!$C:$C,MATCH($C1884&amp;"",Account_Mapping!$A:$A,0))&amp;"",""))</f>
        <v/>
      </c>
      <c r="N1884" s="24" t="str">
        <f aca="false">IF($K1884&lt;&gt;"",$K1884,$M1884)</f>
        <v/>
      </c>
      <c r="O1884" s="24" t="str">
        <f aca="false">IF($F1884="","",IFERROR(INDEX(Counterparties!$C:$C,MATCH($F1884&amp;"",Counterparties!$A:$A,0))&amp;"",""))</f>
        <v/>
      </c>
      <c r="P1884" s="24" t="str">
        <f aca="false">IF($O1884="","",IF($O1884="CY","CY",IF(ISNUMBER(MATCH($O1884,Lists!$A:$A,0)),"EU","3RD")))</f>
        <v/>
      </c>
      <c r="Q1884" s="24" t="str">
        <f aca="false">IF($F1884="","N",IFERROR(IF(INDEX(Counterparties!$E:$E,MATCH($F1884&amp;"",Counterparties!$A:$A,0))="Y","Y","N"),"N"))</f>
        <v>N</v>
      </c>
      <c r="R1884" s="25" t="n">
        <f aca="false">IF(OR($H1884="",$H1884="EUR"),1,IFERROR(INDEX(FX_Rates!$D:$D,MATCH($H1884,FX_Rates!$A:$A,0)),""))</f>
        <v>1</v>
      </c>
      <c r="S1884" s="26" t="str">
        <f aca="false">IF(AND($I1884="",$J1884=""),"",IF($J1884&lt;&gt;"",$J1884,IF(OR($R1884="",$R1884=0),"",ROUND($I1884/$R1884,2))))</f>
        <v/>
      </c>
      <c r="T1884" s="24" t="str">
        <f aca="false">IF($N1884="","",IFERROR(INDEX(VAT_Codes!$C:$C,MATCH($N1884,VAT_Codes!$A:$A,0)),"")&amp;"")</f>
        <v/>
      </c>
      <c r="U1884" s="26" t="n">
        <f aca="false">IF(OR($S1884="",$T1884="",$T1884="None"),0,IF($T1884="Output",-$S1884,$S1884))</f>
        <v>0</v>
      </c>
      <c r="V1884" s="27" t="n">
        <f aca="false">IF($N1884="",0,IFERROR(INDEX(VAT_Codes!$D:$D,MATCH($N1884,VAT_Codes!$A:$A,0)),0))</f>
        <v>0</v>
      </c>
      <c r="W1884" s="26" t="n">
        <f aca="false">IF($U1884=0,0,IF(IFERROR(INDEX(VAT_Codes!$F:$F,MATCH($N1884,VAT_Codes!$A:$A,0)),"N")="Y",$U1884,IF($L1884&lt;&gt;"",ROUND(ABS($L1884)/IF(OR($R1884="",$R1884=0),1,$R1884),2)*SIGN($U1884),ROUND($U1884*$V1884,2))))</f>
        <v>0</v>
      </c>
      <c r="X1884" s="24" t="str">
        <f aca="false">IF($N1884="","",IFERROR(INDEX(VAT_Codes!$H:$H,MATCH($N1884,VAT_Codes!$A:$A,0)),"")&amp;"")</f>
        <v/>
      </c>
      <c r="Y1884" s="24" t="str">
        <f aca="false">IF($A1884="","",(YEAR($A1884)-YEAR(Settings!$C$8))*12+MONTH($A1884)-MONTH(Settings!$C$8)+1)</f>
        <v/>
      </c>
      <c r="Z1884" s="24" t="str">
        <f aca="false">IF(AND($C1884="",$I1884="",$J1884=""),"",IF($N1884="","NO VAT CODE",IF($T1884="","UNKNOWN VAT CODE",IF($S1884="","MISSING FX RATE",IF(OR($A1884&lt;Settings!$C$8,$A1884&gt;Settings!$C$9),"OUTSIDE PERIOD",IF(AND(IFERROR(INDEX(VAT_Codes!$E:$E,MATCH($N1884,VAT_Codes!$A:$A,0)),"ANY")&lt;&gt;"ANY",$P1884=""),"MISSING COUNTERPARTY COUNTRY",IF(AND(IFERROR(INDEX(VAT_Codes!$E:$E,MATCH($N1884,VAT_Codes!$A:$A,0)),"ANY")&lt;&gt;"ANY",$P1884&lt;&gt;IFERROR(INDEX(VAT_Codes!$E:$E,MATCH($N1884,VAT_Codes!$A:$A,0)),"ANY")),"REGION MISMATCH","OK")))))))</f>
        <v/>
      </c>
    </row>
    <row r="1885" customFormat="false" ht="15" hidden="false" customHeight="false" outlineLevel="0" collapsed="false">
      <c r="M1885" s="24" t="str">
        <f aca="false">IF($C1885="","",IFERROR(INDEX(Account_Mapping!$C:$C,MATCH($C1885&amp;"",Account_Mapping!$A:$A,0))&amp;"",""))</f>
        <v/>
      </c>
      <c r="N1885" s="24" t="str">
        <f aca="false">IF($K1885&lt;&gt;"",$K1885,$M1885)</f>
        <v/>
      </c>
      <c r="O1885" s="24" t="str">
        <f aca="false">IF($F1885="","",IFERROR(INDEX(Counterparties!$C:$C,MATCH($F1885&amp;"",Counterparties!$A:$A,0))&amp;"",""))</f>
        <v/>
      </c>
      <c r="P1885" s="24" t="str">
        <f aca="false">IF($O1885="","",IF($O1885="CY","CY",IF(ISNUMBER(MATCH($O1885,Lists!$A:$A,0)),"EU","3RD")))</f>
        <v/>
      </c>
      <c r="Q1885" s="24" t="str">
        <f aca="false">IF($F1885="","N",IFERROR(IF(INDEX(Counterparties!$E:$E,MATCH($F1885&amp;"",Counterparties!$A:$A,0))="Y","Y","N"),"N"))</f>
        <v>N</v>
      </c>
      <c r="R1885" s="25" t="n">
        <f aca="false">IF(OR($H1885="",$H1885="EUR"),1,IFERROR(INDEX(FX_Rates!$D:$D,MATCH($H1885,FX_Rates!$A:$A,0)),""))</f>
        <v>1</v>
      </c>
      <c r="S1885" s="26" t="str">
        <f aca="false">IF(AND($I1885="",$J1885=""),"",IF($J1885&lt;&gt;"",$J1885,IF(OR($R1885="",$R1885=0),"",ROUND($I1885/$R1885,2))))</f>
        <v/>
      </c>
      <c r="T1885" s="24" t="str">
        <f aca="false">IF($N1885="","",IFERROR(INDEX(VAT_Codes!$C:$C,MATCH($N1885,VAT_Codes!$A:$A,0)),"")&amp;"")</f>
        <v/>
      </c>
      <c r="U1885" s="26" t="n">
        <f aca="false">IF(OR($S1885="",$T1885="",$T1885="None"),0,IF($T1885="Output",-$S1885,$S1885))</f>
        <v>0</v>
      </c>
      <c r="V1885" s="27" t="n">
        <f aca="false">IF($N1885="",0,IFERROR(INDEX(VAT_Codes!$D:$D,MATCH($N1885,VAT_Codes!$A:$A,0)),0))</f>
        <v>0</v>
      </c>
      <c r="W1885" s="26" t="n">
        <f aca="false">IF($U1885=0,0,IF(IFERROR(INDEX(VAT_Codes!$F:$F,MATCH($N1885,VAT_Codes!$A:$A,0)),"N")="Y",$U1885,IF($L1885&lt;&gt;"",ROUND(ABS($L1885)/IF(OR($R1885="",$R1885=0),1,$R1885),2)*SIGN($U1885),ROUND($U1885*$V1885,2))))</f>
        <v>0</v>
      </c>
      <c r="X1885" s="24" t="str">
        <f aca="false">IF($N1885="","",IFERROR(INDEX(VAT_Codes!$H:$H,MATCH($N1885,VAT_Codes!$A:$A,0)),"")&amp;"")</f>
        <v/>
      </c>
      <c r="Y1885" s="24" t="str">
        <f aca="false">IF($A1885="","",(YEAR($A1885)-YEAR(Settings!$C$8))*12+MONTH($A1885)-MONTH(Settings!$C$8)+1)</f>
        <v/>
      </c>
      <c r="Z1885" s="24" t="str">
        <f aca="false">IF(AND($C1885="",$I1885="",$J1885=""),"",IF($N1885="","NO VAT CODE",IF($T1885="","UNKNOWN VAT CODE",IF($S1885="","MISSING FX RATE",IF(OR($A1885&lt;Settings!$C$8,$A1885&gt;Settings!$C$9),"OUTSIDE PERIOD",IF(AND(IFERROR(INDEX(VAT_Codes!$E:$E,MATCH($N1885,VAT_Codes!$A:$A,0)),"ANY")&lt;&gt;"ANY",$P1885=""),"MISSING COUNTERPARTY COUNTRY",IF(AND(IFERROR(INDEX(VAT_Codes!$E:$E,MATCH($N1885,VAT_Codes!$A:$A,0)),"ANY")&lt;&gt;"ANY",$P1885&lt;&gt;IFERROR(INDEX(VAT_Codes!$E:$E,MATCH($N1885,VAT_Codes!$A:$A,0)),"ANY")),"REGION MISMATCH","OK")))))))</f>
        <v/>
      </c>
    </row>
    <row r="1886" customFormat="false" ht="15" hidden="false" customHeight="false" outlineLevel="0" collapsed="false">
      <c r="M1886" s="24" t="str">
        <f aca="false">IF($C1886="","",IFERROR(INDEX(Account_Mapping!$C:$C,MATCH($C1886&amp;"",Account_Mapping!$A:$A,0))&amp;"",""))</f>
        <v/>
      </c>
      <c r="N1886" s="24" t="str">
        <f aca="false">IF($K1886&lt;&gt;"",$K1886,$M1886)</f>
        <v/>
      </c>
      <c r="O1886" s="24" t="str">
        <f aca="false">IF($F1886="","",IFERROR(INDEX(Counterparties!$C:$C,MATCH($F1886&amp;"",Counterparties!$A:$A,0))&amp;"",""))</f>
        <v/>
      </c>
      <c r="P1886" s="24" t="str">
        <f aca="false">IF($O1886="","",IF($O1886="CY","CY",IF(ISNUMBER(MATCH($O1886,Lists!$A:$A,0)),"EU","3RD")))</f>
        <v/>
      </c>
      <c r="Q1886" s="24" t="str">
        <f aca="false">IF($F1886="","N",IFERROR(IF(INDEX(Counterparties!$E:$E,MATCH($F1886&amp;"",Counterparties!$A:$A,0))="Y","Y","N"),"N"))</f>
        <v>N</v>
      </c>
      <c r="R1886" s="25" t="n">
        <f aca="false">IF(OR($H1886="",$H1886="EUR"),1,IFERROR(INDEX(FX_Rates!$D:$D,MATCH($H1886,FX_Rates!$A:$A,0)),""))</f>
        <v>1</v>
      </c>
      <c r="S1886" s="26" t="str">
        <f aca="false">IF(AND($I1886="",$J1886=""),"",IF($J1886&lt;&gt;"",$J1886,IF(OR($R1886="",$R1886=0),"",ROUND($I1886/$R1886,2))))</f>
        <v/>
      </c>
      <c r="T1886" s="24" t="str">
        <f aca="false">IF($N1886="","",IFERROR(INDEX(VAT_Codes!$C:$C,MATCH($N1886,VAT_Codes!$A:$A,0)),"")&amp;"")</f>
        <v/>
      </c>
      <c r="U1886" s="26" t="n">
        <f aca="false">IF(OR($S1886="",$T1886="",$T1886="None"),0,IF($T1886="Output",-$S1886,$S1886))</f>
        <v>0</v>
      </c>
      <c r="V1886" s="27" t="n">
        <f aca="false">IF($N1886="",0,IFERROR(INDEX(VAT_Codes!$D:$D,MATCH($N1886,VAT_Codes!$A:$A,0)),0))</f>
        <v>0</v>
      </c>
      <c r="W1886" s="26" t="n">
        <f aca="false">IF($U1886=0,0,IF(IFERROR(INDEX(VAT_Codes!$F:$F,MATCH($N1886,VAT_Codes!$A:$A,0)),"N")="Y",$U1886,IF($L1886&lt;&gt;"",ROUND(ABS($L1886)/IF(OR($R1886="",$R1886=0),1,$R1886),2)*SIGN($U1886),ROUND($U1886*$V1886,2))))</f>
        <v>0</v>
      </c>
      <c r="X1886" s="24" t="str">
        <f aca="false">IF($N1886="","",IFERROR(INDEX(VAT_Codes!$H:$H,MATCH($N1886,VAT_Codes!$A:$A,0)),"")&amp;"")</f>
        <v/>
      </c>
      <c r="Y1886" s="24" t="str">
        <f aca="false">IF($A1886="","",(YEAR($A1886)-YEAR(Settings!$C$8))*12+MONTH($A1886)-MONTH(Settings!$C$8)+1)</f>
        <v/>
      </c>
      <c r="Z1886" s="24" t="str">
        <f aca="false">IF(AND($C1886="",$I1886="",$J1886=""),"",IF($N1886="","NO VAT CODE",IF($T1886="","UNKNOWN VAT CODE",IF($S1886="","MISSING FX RATE",IF(OR($A1886&lt;Settings!$C$8,$A1886&gt;Settings!$C$9),"OUTSIDE PERIOD",IF(AND(IFERROR(INDEX(VAT_Codes!$E:$E,MATCH($N1886,VAT_Codes!$A:$A,0)),"ANY")&lt;&gt;"ANY",$P1886=""),"MISSING COUNTERPARTY COUNTRY",IF(AND(IFERROR(INDEX(VAT_Codes!$E:$E,MATCH($N1886,VAT_Codes!$A:$A,0)),"ANY")&lt;&gt;"ANY",$P1886&lt;&gt;IFERROR(INDEX(VAT_Codes!$E:$E,MATCH($N1886,VAT_Codes!$A:$A,0)),"ANY")),"REGION MISMATCH","OK")))))))</f>
        <v/>
      </c>
    </row>
    <row r="1887" customFormat="false" ht="15" hidden="false" customHeight="false" outlineLevel="0" collapsed="false">
      <c r="M1887" s="24" t="str">
        <f aca="false">IF($C1887="","",IFERROR(INDEX(Account_Mapping!$C:$C,MATCH($C1887&amp;"",Account_Mapping!$A:$A,0))&amp;"",""))</f>
        <v/>
      </c>
      <c r="N1887" s="24" t="str">
        <f aca="false">IF($K1887&lt;&gt;"",$K1887,$M1887)</f>
        <v/>
      </c>
      <c r="O1887" s="24" t="str">
        <f aca="false">IF($F1887="","",IFERROR(INDEX(Counterparties!$C:$C,MATCH($F1887&amp;"",Counterparties!$A:$A,0))&amp;"",""))</f>
        <v/>
      </c>
      <c r="P1887" s="24" t="str">
        <f aca="false">IF($O1887="","",IF($O1887="CY","CY",IF(ISNUMBER(MATCH($O1887,Lists!$A:$A,0)),"EU","3RD")))</f>
        <v/>
      </c>
      <c r="Q1887" s="24" t="str">
        <f aca="false">IF($F1887="","N",IFERROR(IF(INDEX(Counterparties!$E:$E,MATCH($F1887&amp;"",Counterparties!$A:$A,0))="Y","Y","N"),"N"))</f>
        <v>N</v>
      </c>
      <c r="R1887" s="25" t="n">
        <f aca="false">IF(OR($H1887="",$H1887="EUR"),1,IFERROR(INDEX(FX_Rates!$D:$D,MATCH($H1887,FX_Rates!$A:$A,0)),""))</f>
        <v>1</v>
      </c>
      <c r="S1887" s="26" t="str">
        <f aca="false">IF(AND($I1887="",$J1887=""),"",IF($J1887&lt;&gt;"",$J1887,IF(OR($R1887="",$R1887=0),"",ROUND($I1887/$R1887,2))))</f>
        <v/>
      </c>
      <c r="T1887" s="24" t="str">
        <f aca="false">IF($N1887="","",IFERROR(INDEX(VAT_Codes!$C:$C,MATCH($N1887,VAT_Codes!$A:$A,0)),"")&amp;"")</f>
        <v/>
      </c>
      <c r="U1887" s="26" t="n">
        <f aca="false">IF(OR($S1887="",$T1887="",$T1887="None"),0,IF($T1887="Output",-$S1887,$S1887))</f>
        <v>0</v>
      </c>
      <c r="V1887" s="27" t="n">
        <f aca="false">IF($N1887="",0,IFERROR(INDEX(VAT_Codes!$D:$D,MATCH($N1887,VAT_Codes!$A:$A,0)),0))</f>
        <v>0</v>
      </c>
      <c r="W1887" s="26" t="n">
        <f aca="false">IF($U1887=0,0,IF(IFERROR(INDEX(VAT_Codes!$F:$F,MATCH($N1887,VAT_Codes!$A:$A,0)),"N")="Y",$U1887,IF($L1887&lt;&gt;"",ROUND(ABS($L1887)/IF(OR($R1887="",$R1887=0),1,$R1887),2)*SIGN($U1887),ROUND($U1887*$V1887,2))))</f>
        <v>0</v>
      </c>
      <c r="X1887" s="24" t="str">
        <f aca="false">IF($N1887="","",IFERROR(INDEX(VAT_Codes!$H:$H,MATCH($N1887,VAT_Codes!$A:$A,0)),"")&amp;"")</f>
        <v/>
      </c>
      <c r="Y1887" s="24" t="str">
        <f aca="false">IF($A1887="","",(YEAR($A1887)-YEAR(Settings!$C$8))*12+MONTH($A1887)-MONTH(Settings!$C$8)+1)</f>
        <v/>
      </c>
      <c r="Z1887" s="24" t="str">
        <f aca="false">IF(AND($C1887="",$I1887="",$J1887=""),"",IF($N1887="","NO VAT CODE",IF($T1887="","UNKNOWN VAT CODE",IF($S1887="","MISSING FX RATE",IF(OR($A1887&lt;Settings!$C$8,$A1887&gt;Settings!$C$9),"OUTSIDE PERIOD",IF(AND(IFERROR(INDEX(VAT_Codes!$E:$E,MATCH($N1887,VAT_Codes!$A:$A,0)),"ANY")&lt;&gt;"ANY",$P1887=""),"MISSING COUNTERPARTY COUNTRY",IF(AND(IFERROR(INDEX(VAT_Codes!$E:$E,MATCH($N1887,VAT_Codes!$A:$A,0)),"ANY")&lt;&gt;"ANY",$P1887&lt;&gt;IFERROR(INDEX(VAT_Codes!$E:$E,MATCH($N1887,VAT_Codes!$A:$A,0)),"ANY")),"REGION MISMATCH","OK")))))))</f>
        <v/>
      </c>
    </row>
    <row r="1888" customFormat="false" ht="15" hidden="false" customHeight="false" outlineLevel="0" collapsed="false">
      <c r="M1888" s="24" t="str">
        <f aca="false">IF($C1888="","",IFERROR(INDEX(Account_Mapping!$C:$C,MATCH($C1888&amp;"",Account_Mapping!$A:$A,0))&amp;"",""))</f>
        <v/>
      </c>
      <c r="N1888" s="24" t="str">
        <f aca="false">IF($K1888&lt;&gt;"",$K1888,$M1888)</f>
        <v/>
      </c>
      <c r="O1888" s="24" t="str">
        <f aca="false">IF($F1888="","",IFERROR(INDEX(Counterparties!$C:$C,MATCH($F1888&amp;"",Counterparties!$A:$A,0))&amp;"",""))</f>
        <v/>
      </c>
      <c r="P1888" s="24" t="str">
        <f aca="false">IF($O1888="","",IF($O1888="CY","CY",IF(ISNUMBER(MATCH($O1888,Lists!$A:$A,0)),"EU","3RD")))</f>
        <v/>
      </c>
      <c r="Q1888" s="24" t="str">
        <f aca="false">IF($F1888="","N",IFERROR(IF(INDEX(Counterparties!$E:$E,MATCH($F1888&amp;"",Counterparties!$A:$A,0))="Y","Y","N"),"N"))</f>
        <v>N</v>
      </c>
      <c r="R1888" s="25" t="n">
        <f aca="false">IF(OR($H1888="",$H1888="EUR"),1,IFERROR(INDEX(FX_Rates!$D:$D,MATCH($H1888,FX_Rates!$A:$A,0)),""))</f>
        <v>1</v>
      </c>
      <c r="S1888" s="26" t="str">
        <f aca="false">IF(AND($I1888="",$J1888=""),"",IF($J1888&lt;&gt;"",$J1888,IF(OR($R1888="",$R1888=0),"",ROUND($I1888/$R1888,2))))</f>
        <v/>
      </c>
      <c r="T1888" s="24" t="str">
        <f aca="false">IF($N1888="","",IFERROR(INDEX(VAT_Codes!$C:$C,MATCH($N1888,VAT_Codes!$A:$A,0)),"")&amp;"")</f>
        <v/>
      </c>
      <c r="U1888" s="26" t="n">
        <f aca="false">IF(OR($S1888="",$T1888="",$T1888="None"),0,IF($T1888="Output",-$S1888,$S1888))</f>
        <v>0</v>
      </c>
      <c r="V1888" s="27" t="n">
        <f aca="false">IF($N1888="",0,IFERROR(INDEX(VAT_Codes!$D:$D,MATCH($N1888,VAT_Codes!$A:$A,0)),0))</f>
        <v>0</v>
      </c>
      <c r="W1888" s="26" t="n">
        <f aca="false">IF($U1888=0,0,IF(IFERROR(INDEX(VAT_Codes!$F:$F,MATCH($N1888,VAT_Codes!$A:$A,0)),"N")="Y",$U1888,IF($L1888&lt;&gt;"",ROUND(ABS($L1888)/IF(OR($R1888="",$R1888=0),1,$R1888),2)*SIGN($U1888),ROUND($U1888*$V1888,2))))</f>
        <v>0</v>
      </c>
      <c r="X1888" s="24" t="str">
        <f aca="false">IF($N1888="","",IFERROR(INDEX(VAT_Codes!$H:$H,MATCH($N1888,VAT_Codes!$A:$A,0)),"")&amp;"")</f>
        <v/>
      </c>
      <c r="Y1888" s="24" t="str">
        <f aca="false">IF($A1888="","",(YEAR($A1888)-YEAR(Settings!$C$8))*12+MONTH($A1888)-MONTH(Settings!$C$8)+1)</f>
        <v/>
      </c>
      <c r="Z1888" s="24" t="str">
        <f aca="false">IF(AND($C1888="",$I1888="",$J1888=""),"",IF($N1888="","NO VAT CODE",IF($T1888="","UNKNOWN VAT CODE",IF($S1888="","MISSING FX RATE",IF(OR($A1888&lt;Settings!$C$8,$A1888&gt;Settings!$C$9),"OUTSIDE PERIOD",IF(AND(IFERROR(INDEX(VAT_Codes!$E:$E,MATCH($N1888,VAT_Codes!$A:$A,0)),"ANY")&lt;&gt;"ANY",$P1888=""),"MISSING COUNTERPARTY COUNTRY",IF(AND(IFERROR(INDEX(VAT_Codes!$E:$E,MATCH($N1888,VAT_Codes!$A:$A,0)),"ANY")&lt;&gt;"ANY",$P1888&lt;&gt;IFERROR(INDEX(VAT_Codes!$E:$E,MATCH($N1888,VAT_Codes!$A:$A,0)),"ANY")),"REGION MISMATCH","OK")))))))</f>
        <v/>
      </c>
    </row>
    <row r="1889" customFormat="false" ht="15" hidden="false" customHeight="false" outlineLevel="0" collapsed="false">
      <c r="M1889" s="24" t="str">
        <f aca="false">IF($C1889="","",IFERROR(INDEX(Account_Mapping!$C:$C,MATCH($C1889&amp;"",Account_Mapping!$A:$A,0))&amp;"",""))</f>
        <v/>
      </c>
      <c r="N1889" s="24" t="str">
        <f aca="false">IF($K1889&lt;&gt;"",$K1889,$M1889)</f>
        <v/>
      </c>
      <c r="O1889" s="24" t="str">
        <f aca="false">IF($F1889="","",IFERROR(INDEX(Counterparties!$C:$C,MATCH($F1889&amp;"",Counterparties!$A:$A,0))&amp;"",""))</f>
        <v/>
      </c>
      <c r="P1889" s="24" t="str">
        <f aca="false">IF($O1889="","",IF($O1889="CY","CY",IF(ISNUMBER(MATCH($O1889,Lists!$A:$A,0)),"EU","3RD")))</f>
        <v/>
      </c>
      <c r="Q1889" s="24" t="str">
        <f aca="false">IF($F1889="","N",IFERROR(IF(INDEX(Counterparties!$E:$E,MATCH($F1889&amp;"",Counterparties!$A:$A,0))="Y","Y","N"),"N"))</f>
        <v>N</v>
      </c>
      <c r="R1889" s="25" t="n">
        <f aca="false">IF(OR($H1889="",$H1889="EUR"),1,IFERROR(INDEX(FX_Rates!$D:$D,MATCH($H1889,FX_Rates!$A:$A,0)),""))</f>
        <v>1</v>
      </c>
      <c r="S1889" s="26" t="str">
        <f aca="false">IF(AND($I1889="",$J1889=""),"",IF($J1889&lt;&gt;"",$J1889,IF(OR($R1889="",$R1889=0),"",ROUND($I1889/$R1889,2))))</f>
        <v/>
      </c>
      <c r="T1889" s="24" t="str">
        <f aca="false">IF($N1889="","",IFERROR(INDEX(VAT_Codes!$C:$C,MATCH($N1889,VAT_Codes!$A:$A,0)),"")&amp;"")</f>
        <v/>
      </c>
      <c r="U1889" s="26" t="n">
        <f aca="false">IF(OR($S1889="",$T1889="",$T1889="None"),0,IF($T1889="Output",-$S1889,$S1889))</f>
        <v>0</v>
      </c>
      <c r="V1889" s="27" t="n">
        <f aca="false">IF($N1889="",0,IFERROR(INDEX(VAT_Codes!$D:$D,MATCH($N1889,VAT_Codes!$A:$A,0)),0))</f>
        <v>0</v>
      </c>
      <c r="W1889" s="26" t="n">
        <f aca="false">IF($U1889=0,0,IF(IFERROR(INDEX(VAT_Codes!$F:$F,MATCH($N1889,VAT_Codes!$A:$A,0)),"N")="Y",$U1889,IF($L1889&lt;&gt;"",ROUND(ABS($L1889)/IF(OR($R1889="",$R1889=0),1,$R1889),2)*SIGN($U1889),ROUND($U1889*$V1889,2))))</f>
        <v>0</v>
      </c>
      <c r="X1889" s="24" t="str">
        <f aca="false">IF($N1889="","",IFERROR(INDEX(VAT_Codes!$H:$H,MATCH($N1889,VAT_Codes!$A:$A,0)),"")&amp;"")</f>
        <v/>
      </c>
      <c r="Y1889" s="24" t="str">
        <f aca="false">IF($A1889="","",(YEAR($A1889)-YEAR(Settings!$C$8))*12+MONTH($A1889)-MONTH(Settings!$C$8)+1)</f>
        <v/>
      </c>
      <c r="Z1889" s="24" t="str">
        <f aca="false">IF(AND($C1889="",$I1889="",$J1889=""),"",IF($N1889="","NO VAT CODE",IF($T1889="","UNKNOWN VAT CODE",IF($S1889="","MISSING FX RATE",IF(OR($A1889&lt;Settings!$C$8,$A1889&gt;Settings!$C$9),"OUTSIDE PERIOD",IF(AND(IFERROR(INDEX(VAT_Codes!$E:$E,MATCH($N1889,VAT_Codes!$A:$A,0)),"ANY")&lt;&gt;"ANY",$P1889=""),"MISSING COUNTERPARTY COUNTRY",IF(AND(IFERROR(INDEX(VAT_Codes!$E:$E,MATCH($N1889,VAT_Codes!$A:$A,0)),"ANY")&lt;&gt;"ANY",$P1889&lt;&gt;IFERROR(INDEX(VAT_Codes!$E:$E,MATCH($N1889,VAT_Codes!$A:$A,0)),"ANY")),"REGION MISMATCH","OK")))))))</f>
        <v/>
      </c>
    </row>
    <row r="1890" customFormat="false" ht="15" hidden="false" customHeight="false" outlineLevel="0" collapsed="false">
      <c r="M1890" s="24" t="str">
        <f aca="false">IF($C1890="","",IFERROR(INDEX(Account_Mapping!$C:$C,MATCH($C1890&amp;"",Account_Mapping!$A:$A,0))&amp;"",""))</f>
        <v/>
      </c>
      <c r="N1890" s="24" t="str">
        <f aca="false">IF($K1890&lt;&gt;"",$K1890,$M1890)</f>
        <v/>
      </c>
      <c r="O1890" s="24" t="str">
        <f aca="false">IF($F1890="","",IFERROR(INDEX(Counterparties!$C:$C,MATCH($F1890&amp;"",Counterparties!$A:$A,0))&amp;"",""))</f>
        <v/>
      </c>
      <c r="P1890" s="24" t="str">
        <f aca="false">IF($O1890="","",IF($O1890="CY","CY",IF(ISNUMBER(MATCH($O1890,Lists!$A:$A,0)),"EU","3RD")))</f>
        <v/>
      </c>
      <c r="Q1890" s="24" t="str">
        <f aca="false">IF($F1890="","N",IFERROR(IF(INDEX(Counterparties!$E:$E,MATCH($F1890&amp;"",Counterparties!$A:$A,0))="Y","Y","N"),"N"))</f>
        <v>N</v>
      </c>
      <c r="R1890" s="25" t="n">
        <f aca="false">IF(OR($H1890="",$H1890="EUR"),1,IFERROR(INDEX(FX_Rates!$D:$D,MATCH($H1890,FX_Rates!$A:$A,0)),""))</f>
        <v>1</v>
      </c>
      <c r="S1890" s="26" t="str">
        <f aca="false">IF(AND($I1890="",$J1890=""),"",IF($J1890&lt;&gt;"",$J1890,IF(OR($R1890="",$R1890=0),"",ROUND($I1890/$R1890,2))))</f>
        <v/>
      </c>
      <c r="T1890" s="24" t="str">
        <f aca="false">IF($N1890="","",IFERROR(INDEX(VAT_Codes!$C:$C,MATCH($N1890,VAT_Codes!$A:$A,0)),"")&amp;"")</f>
        <v/>
      </c>
      <c r="U1890" s="26" t="n">
        <f aca="false">IF(OR($S1890="",$T1890="",$T1890="None"),0,IF($T1890="Output",-$S1890,$S1890))</f>
        <v>0</v>
      </c>
      <c r="V1890" s="27" t="n">
        <f aca="false">IF($N1890="",0,IFERROR(INDEX(VAT_Codes!$D:$D,MATCH($N1890,VAT_Codes!$A:$A,0)),0))</f>
        <v>0</v>
      </c>
      <c r="W1890" s="26" t="n">
        <f aca="false">IF($U1890=0,0,IF(IFERROR(INDEX(VAT_Codes!$F:$F,MATCH($N1890,VAT_Codes!$A:$A,0)),"N")="Y",$U1890,IF($L1890&lt;&gt;"",ROUND(ABS($L1890)/IF(OR($R1890="",$R1890=0),1,$R1890),2)*SIGN($U1890),ROUND($U1890*$V1890,2))))</f>
        <v>0</v>
      </c>
      <c r="X1890" s="24" t="str">
        <f aca="false">IF($N1890="","",IFERROR(INDEX(VAT_Codes!$H:$H,MATCH($N1890,VAT_Codes!$A:$A,0)),"")&amp;"")</f>
        <v/>
      </c>
      <c r="Y1890" s="24" t="str">
        <f aca="false">IF($A1890="","",(YEAR($A1890)-YEAR(Settings!$C$8))*12+MONTH($A1890)-MONTH(Settings!$C$8)+1)</f>
        <v/>
      </c>
      <c r="Z1890" s="24" t="str">
        <f aca="false">IF(AND($C1890="",$I1890="",$J1890=""),"",IF($N1890="","NO VAT CODE",IF($T1890="","UNKNOWN VAT CODE",IF($S1890="","MISSING FX RATE",IF(OR($A1890&lt;Settings!$C$8,$A1890&gt;Settings!$C$9),"OUTSIDE PERIOD",IF(AND(IFERROR(INDEX(VAT_Codes!$E:$E,MATCH($N1890,VAT_Codes!$A:$A,0)),"ANY")&lt;&gt;"ANY",$P1890=""),"MISSING COUNTERPARTY COUNTRY",IF(AND(IFERROR(INDEX(VAT_Codes!$E:$E,MATCH($N1890,VAT_Codes!$A:$A,0)),"ANY")&lt;&gt;"ANY",$P1890&lt;&gt;IFERROR(INDEX(VAT_Codes!$E:$E,MATCH($N1890,VAT_Codes!$A:$A,0)),"ANY")),"REGION MISMATCH","OK")))))))</f>
        <v/>
      </c>
    </row>
    <row r="1891" customFormat="false" ht="15" hidden="false" customHeight="false" outlineLevel="0" collapsed="false">
      <c r="M1891" s="24" t="str">
        <f aca="false">IF($C1891="","",IFERROR(INDEX(Account_Mapping!$C:$C,MATCH($C1891&amp;"",Account_Mapping!$A:$A,0))&amp;"",""))</f>
        <v/>
      </c>
      <c r="N1891" s="24" t="str">
        <f aca="false">IF($K1891&lt;&gt;"",$K1891,$M1891)</f>
        <v/>
      </c>
      <c r="O1891" s="24" t="str">
        <f aca="false">IF($F1891="","",IFERROR(INDEX(Counterparties!$C:$C,MATCH($F1891&amp;"",Counterparties!$A:$A,0))&amp;"",""))</f>
        <v/>
      </c>
      <c r="P1891" s="24" t="str">
        <f aca="false">IF($O1891="","",IF($O1891="CY","CY",IF(ISNUMBER(MATCH($O1891,Lists!$A:$A,0)),"EU","3RD")))</f>
        <v/>
      </c>
      <c r="Q1891" s="24" t="str">
        <f aca="false">IF($F1891="","N",IFERROR(IF(INDEX(Counterparties!$E:$E,MATCH($F1891&amp;"",Counterparties!$A:$A,0))="Y","Y","N"),"N"))</f>
        <v>N</v>
      </c>
      <c r="R1891" s="25" t="n">
        <f aca="false">IF(OR($H1891="",$H1891="EUR"),1,IFERROR(INDEX(FX_Rates!$D:$D,MATCH($H1891,FX_Rates!$A:$A,0)),""))</f>
        <v>1</v>
      </c>
      <c r="S1891" s="26" t="str">
        <f aca="false">IF(AND($I1891="",$J1891=""),"",IF($J1891&lt;&gt;"",$J1891,IF(OR($R1891="",$R1891=0),"",ROUND($I1891/$R1891,2))))</f>
        <v/>
      </c>
      <c r="T1891" s="24" t="str">
        <f aca="false">IF($N1891="","",IFERROR(INDEX(VAT_Codes!$C:$C,MATCH($N1891,VAT_Codes!$A:$A,0)),"")&amp;"")</f>
        <v/>
      </c>
      <c r="U1891" s="26" t="n">
        <f aca="false">IF(OR($S1891="",$T1891="",$T1891="None"),0,IF($T1891="Output",-$S1891,$S1891))</f>
        <v>0</v>
      </c>
      <c r="V1891" s="27" t="n">
        <f aca="false">IF($N1891="",0,IFERROR(INDEX(VAT_Codes!$D:$D,MATCH($N1891,VAT_Codes!$A:$A,0)),0))</f>
        <v>0</v>
      </c>
      <c r="W1891" s="26" t="n">
        <f aca="false">IF($U1891=0,0,IF(IFERROR(INDEX(VAT_Codes!$F:$F,MATCH($N1891,VAT_Codes!$A:$A,0)),"N")="Y",$U1891,IF($L1891&lt;&gt;"",ROUND(ABS($L1891)/IF(OR($R1891="",$R1891=0),1,$R1891),2)*SIGN($U1891),ROUND($U1891*$V1891,2))))</f>
        <v>0</v>
      </c>
      <c r="X1891" s="24" t="str">
        <f aca="false">IF($N1891="","",IFERROR(INDEX(VAT_Codes!$H:$H,MATCH($N1891,VAT_Codes!$A:$A,0)),"")&amp;"")</f>
        <v/>
      </c>
      <c r="Y1891" s="24" t="str">
        <f aca="false">IF($A1891="","",(YEAR($A1891)-YEAR(Settings!$C$8))*12+MONTH($A1891)-MONTH(Settings!$C$8)+1)</f>
        <v/>
      </c>
      <c r="Z1891" s="24" t="str">
        <f aca="false">IF(AND($C1891="",$I1891="",$J1891=""),"",IF($N1891="","NO VAT CODE",IF($T1891="","UNKNOWN VAT CODE",IF($S1891="","MISSING FX RATE",IF(OR($A1891&lt;Settings!$C$8,$A1891&gt;Settings!$C$9),"OUTSIDE PERIOD",IF(AND(IFERROR(INDEX(VAT_Codes!$E:$E,MATCH($N1891,VAT_Codes!$A:$A,0)),"ANY")&lt;&gt;"ANY",$P1891=""),"MISSING COUNTERPARTY COUNTRY",IF(AND(IFERROR(INDEX(VAT_Codes!$E:$E,MATCH($N1891,VAT_Codes!$A:$A,0)),"ANY")&lt;&gt;"ANY",$P1891&lt;&gt;IFERROR(INDEX(VAT_Codes!$E:$E,MATCH($N1891,VAT_Codes!$A:$A,0)),"ANY")),"REGION MISMATCH","OK")))))))</f>
        <v/>
      </c>
    </row>
    <row r="1892" customFormat="false" ht="15" hidden="false" customHeight="false" outlineLevel="0" collapsed="false">
      <c r="M1892" s="24" t="str">
        <f aca="false">IF($C1892="","",IFERROR(INDEX(Account_Mapping!$C:$C,MATCH($C1892&amp;"",Account_Mapping!$A:$A,0))&amp;"",""))</f>
        <v/>
      </c>
      <c r="N1892" s="24" t="str">
        <f aca="false">IF($K1892&lt;&gt;"",$K1892,$M1892)</f>
        <v/>
      </c>
      <c r="O1892" s="24" t="str">
        <f aca="false">IF($F1892="","",IFERROR(INDEX(Counterparties!$C:$C,MATCH($F1892&amp;"",Counterparties!$A:$A,0))&amp;"",""))</f>
        <v/>
      </c>
      <c r="P1892" s="24" t="str">
        <f aca="false">IF($O1892="","",IF($O1892="CY","CY",IF(ISNUMBER(MATCH($O1892,Lists!$A:$A,0)),"EU","3RD")))</f>
        <v/>
      </c>
      <c r="Q1892" s="24" t="str">
        <f aca="false">IF($F1892="","N",IFERROR(IF(INDEX(Counterparties!$E:$E,MATCH($F1892&amp;"",Counterparties!$A:$A,0))="Y","Y","N"),"N"))</f>
        <v>N</v>
      </c>
      <c r="R1892" s="25" t="n">
        <f aca="false">IF(OR($H1892="",$H1892="EUR"),1,IFERROR(INDEX(FX_Rates!$D:$D,MATCH($H1892,FX_Rates!$A:$A,0)),""))</f>
        <v>1</v>
      </c>
      <c r="S1892" s="26" t="str">
        <f aca="false">IF(AND($I1892="",$J1892=""),"",IF($J1892&lt;&gt;"",$J1892,IF(OR($R1892="",$R1892=0),"",ROUND($I1892/$R1892,2))))</f>
        <v/>
      </c>
      <c r="T1892" s="24" t="str">
        <f aca="false">IF($N1892="","",IFERROR(INDEX(VAT_Codes!$C:$C,MATCH($N1892,VAT_Codes!$A:$A,0)),"")&amp;"")</f>
        <v/>
      </c>
      <c r="U1892" s="26" t="n">
        <f aca="false">IF(OR($S1892="",$T1892="",$T1892="None"),0,IF($T1892="Output",-$S1892,$S1892))</f>
        <v>0</v>
      </c>
      <c r="V1892" s="27" t="n">
        <f aca="false">IF($N1892="",0,IFERROR(INDEX(VAT_Codes!$D:$D,MATCH($N1892,VAT_Codes!$A:$A,0)),0))</f>
        <v>0</v>
      </c>
      <c r="W1892" s="26" t="n">
        <f aca="false">IF($U1892=0,0,IF(IFERROR(INDEX(VAT_Codes!$F:$F,MATCH($N1892,VAT_Codes!$A:$A,0)),"N")="Y",$U1892,IF($L1892&lt;&gt;"",ROUND(ABS($L1892)/IF(OR($R1892="",$R1892=0),1,$R1892),2)*SIGN($U1892),ROUND($U1892*$V1892,2))))</f>
        <v>0</v>
      </c>
      <c r="X1892" s="24" t="str">
        <f aca="false">IF($N1892="","",IFERROR(INDEX(VAT_Codes!$H:$H,MATCH($N1892,VAT_Codes!$A:$A,0)),"")&amp;"")</f>
        <v/>
      </c>
      <c r="Y1892" s="24" t="str">
        <f aca="false">IF($A1892="","",(YEAR($A1892)-YEAR(Settings!$C$8))*12+MONTH($A1892)-MONTH(Settings!$C$8)+1)</f>
        <v/>
      </c>
      <c r="Z1892" s="24" t="str">
        <f aca="false">IF(AND($C1892="",$I1892="",$J1892=""),"",IF($N1892="","NO VAT CODE",IF($T1892="","UNKNOWN VAT CODE",IF($S1892="","MISSING FX RATE",IF(OR($A1892&lt;Settings!$C$8,$A1892&gt;Settings!$C$9),"OUTSIDE PERIOD",IF(AND(IFERROR(INDEX(VAT_Codes!$E:$E,MATCH($N1892,VAT_Codes!$A:$A,0)),"ANY")&lt;&gt;"ANY",$P1892=""),"MISSING COUNTERPARTY COUNTRY",IF(AND(IFERROR(INDEX(VAT_Codes!$E:$E,MATCH($N1892,VAT_Codes!$A:$A,0)),"ANY")&lt;&gt;"ANY",$P1892&lt;&gt;IFERROR(INDEX(VAT_Codes!$E:$E,MATCH($N1892,VAT_Codes!$A:$A,0)),"ANY")),"REGION MISMATCH","OK")))))))</f>
        <v/>
      </c>
    </row>
    <row r="1893" customFormat="false" ht="15" hidden="false" customHeight="false" outlineLevel="0" collapsed="false">
      <c r="M1893" s="24" t="str">
        <f aca="false">IF($C1893="","",IFERROR(INDEX(Account_Mapping!$C:$C,MATCH($C1893&amp;"",Account_Mapping!$A:$A,0))&amp;"",""))</f>
        <v/>
      </c>
      <c r="N1893" s="24" t="str">
        <f aca="false">IF($K1893&lt;&gt;"",$K1893,$M1893)</f>
        <v/>
      </c>
      <c r="O1893" s="24" t="str">
        <f aca="false">IF($F1893="","",IFERROR(INDEX(Counterparties!$C:$C,MATCH($F1893&amp;"",Counterparties!$A:$A,0))&amp;"",""))</f>
        <v/>
      </c>
      <c r="P1893" s="24" t="str">
        <f aca="false">IF($O1893="","",IF($O1893="CY","CY",IF(ISNUMBER(MATCH($O1893,Lists!$A:$A,0)),"EU","3RD")))</f>
        <v/>
      </c>
      <c r="Q1893" s="24" t="str">
        <f aca="false">IF($F1893="","N",IFERROR(IF(INDEX(Counterparties!$E:$E,MATCH($F1893&amp;"",Counterparties!$A:$A,0))="Y","Y","N"),"N"))</f>
        <v>N</v>
      </c>
      <c r="R1893" s="25" t="n">
        <f aca="false">IF(OR($H1893="",$H1893="EUR"),1,IFERROR(INDEX(FX_Rates!$D:$D,MATCH($H1893,FX_Rates!$A:$A,0)),""))</f>
        <v>1</v>
      </c>
      <c r="S1893" s="26" t="str">
        <f aca="false">IF(AND($I1893="",$J1893=""),"",IF($J1893&lt;&gt;"",$J1893,IF(OR($R1893="",$R1893=0),"",ROUND($I1893/$R1893,2))))</f>
        <v/>
      </c>
      <c r="T1893" s="24" t="str">
        <f aca="false">IF($N1893="","",IFERROR(INDEX(VAT_Codes!$C:$C,MATCH($N1893,VAT_Codes!$A:$A,0)),"")&amp;"")</f>
        <v/>
      </c>
      <c r="U1893" s="26" t="n">
        <f aca="false">IF(OR($S1893="",$T1893="",$T1893="None"),0,IF($T1893="Output",-$S1893,$S1893))</f>
        <v>0</v>
      </c>
      <c r="V1893" s="27" t="n">
        <f aca="false">IF($N1893="",0,IFERROR(INDEX(VAT_Codes!$D:$D,MATCH($N1893,VAT_Codes!$A:$A,0)),0))</f>
        <v>0</v>
      </c>
      <c r="W1893" s="26" t="n">
        <f aca="false">IF($U1893=0,0,IF(IFERROR(INDEX(VAT_Codes!$F:$F,MATCH($N1893,VAT_Codes!$A:$A,0)),"N")="Y",$U1893,IF($L1893&lt;&gt;"",ROUND(ABS($L1893)/IF(OR($R1893="",$R1893=0),1,$R1893),2)*SIGN($U1893),ROUND($U1893*$V1893,2))))</f>
        <v>0</v>
      </c>
      <c r="X1893" s="24" t="str">
        <f aca="false">IF($N1893="","",IFERROR(INDEX(VAT_Codes!$H:$H,MATCH($N1893,VAT_Codes!$A:$A,0)),"")&amp;"")</f>
        <v/>
      </c>
      <c r="Y1893" s="24" t="str">
        <f aca="false">IF($A1893="","",(YEAR($A1893)-YEAR(Settings!$C$8))*12+MONTH($A1893)-MONTH(Settings!$C$8)+1)</f>
        <v/>
      </c>
      <c r="Z1893" s="24" t="str">
        <f aca="false">IF(AND($C1893="",$I1893="",$J1893=""),"",IF($N1893="","NO VAT CODE",IF($T1893="","UNKNOWN VAT CODE",IF($S1893="","MISSING FX RATE",IF(OR($A1893&lt;Settings!$C$8,$A1893&gt;Settings!$C$9),"OUTSIDE PERIOD",IF(AND(IFERROR(INDEX(VAT_Codes!$E:$E,MATCH($N1893,VAT_Codes!$A:$A,0)),"ANY")&lt;&gt;"ANY",$P1893=""),"MISSING COUNTERPARTY COUNTRY",IF(AND(IFERROR(INDEX(VAT_Codes!$E:$E,MATCH($N1893,VAT_Codes!$A:$A,0)),"ANY")&lt;&gt;"ANY",$P1893&lt;&gt;IFERROR(INDEX(VAT_Codes!$E:$E,MATCH($N1893,VAT_Codes!$A:$A,0)),"ANY")),"REGION MISMATCH","OK")))))))</f>
        <v/>
      </c>
    </row>
    <row r="1894" customFormat="false" ht="15" hidden="false" customHeight="false" outlineLevel="0" collapsed="false">
      <c r="M1894" s="24" t="str">
        <f aca="false">IF($C1894="","",IFERROR(INDEX(Account_Mapping!$C:$C,MATCH($C1894&amp;"",Account_Mapping!$A:$A,0))&amp;"",""))</f>
        <v/>
      </c>
      <c r="N1894" s="24" t="str">
        <f aca="false">IF($K1894&lt;&gt;"",$K1894,$M1894)</f>
        <v/>
      </c>
      <c r="O1894" s="24" t="str">
        <f aca="false">IF($F1894="","",IFERROR(INDEX(Counterparties!$C:$C,MATCH($F1894&amp;"",Counterparties!$A:$A,0))&amp;"",""))</f>
        <v/>
      </c>
      <c r="P1894" s="24" t="str">
        <f aca="false">IF($O1894="","",IF($O1894="CY","CY",IF(ISNUMBER(MATCH($O1894,Lists!$A:$A,0)),"EU","3RD")))</f>
        <v/>
      </c>
      <c r="Q1894" s="24" t="str">
        <f aca="false">IF($F1894="","N",IFERROR(IF(INDEX(Counterparties!$E:$E,MATCH($F1894&amp;"",Counterparties!$A:$A,0))="Y","Y","N"),"N"))</f>
        <v>N</v>
      </c>
      <c r="R1894" s="25" t="n">
        <f aca="false">IF(OR($H1894="",$H1894="EUR"),1,IFERROR(INDEX(FX_Rates!$D:$D,MATCH($H1894,FX_Rates!$A:$A,0)),""))</f>
        <v>1</v>
      </c>
      <c r="S1894" s="26" t="str">
        <f aca="false">IF(AND($I1894="",$J1894=""),"",IF($J1894&lt;&gt;"",$J1894,IF(OR($R1894="",$R1894=0),"",ROUND($I1894/$R1894,2))))</f>
        <v/>
      </c>
      <c r="T1894" s="24" t="str">
        <f aca="false">IF($N1894="","",IFERROR(INDEX(VAT_Codes!$C:$C,MATCH($N1894,VAT_Codes!$A:$A,0)),"")&amp;"")</f>
        <v/>
      </c>
      <c r="U1894" s="26" t="n">
        <f aca="false">IF(OR($S1894="",$T1894="",$T1894="None"),0,IF($T1894="Output",-$S1894,$S1894))</f>
        <v>0</v>
      </c>
      <c r="V1894" s="27" t="n">
        <f aca="false">IF($N1894="",0,IFERROR(INDEX(VAT_Codes!$D:$D,MATCH($N1894,VAT_Codes!$A:$A,0)),0))</f>
        <v>0</v>
      </c>
      <c r="W1894" s="26" t="n">
        <f aca="false">IF($U1894=0,0,IF(IFERROR(INDEX(VAT_Codes!$F:$F,MATCH($N1894,VAT_Codes!$A:$A,0)),"N")="Y",$U1894,IF($L1894&lt;&gt;"",ROUND(ABS($L1894)/IF(OR($R1894="",$R1894=0),1,$R1894),2)*SIGN($U1894),ROUND($U1894*$V1894,2))))</f>
        <v>0</v>
      </c>
      <c r="X1894" s="24" t="str">
        <f aca="false">IF($N1894="","",IFERROR(INDEX(VAT_Codes!$H:$H,MATCH($N1894,VAT_Codes!$A:$A,0)),"")&amp;"")</f>
        <v/>
      </c>
      <c r="Y1894" s="24" t="str">
        <f aca="false">IF($A1894="","",(YEAR($A1894)-YEAR(Settings!$C$8))*12+MONTH($A1894)-MONTH(Settings!$C$8)+1)</f>
        <v/>
      </c>
      <c r="Z1894" s="24" t="str">
        <f aca="false">IF(AND($C1894="",$I1894="",$J1894=""),"",IF($N1894="","NO VAT CODE",IF($T1894="","UNKNOWN VAT CODE",IF($S1894="","MISSING FX RATE",IF(OR($A1894&lt;Settings!$C$8,$A1894&gt;Settings!$C$9),"OUTSIDE PERIOD",IF(AND(IFERROR(INDEX(VAT_Codes!$E:$E,MATCH($N1894,VAT_Codes!$A:$A,0)),"ANY")&lt;&gt;"ANY",$P1894=""),"MISSING COUNTERPARTY COUNTRY",IF(AND(IFERROR(INDEX(VAT_Codes!$E:$E,MATCH($N1894,VAT_Codes!$A:$A,0)),"ANY")&lt;&gt;"ANY",$P1894&lt;&gt;IFERROR(INDEX(VAT_Codes!$E:$E,MATCH($N1894,VAT_Codes!$A:$A,0)),"ANY")),"REGION MISMATCH","OK")))))))</f>
        <v/>
      </c>
    </row>
    <row r="1895" customFormat="false" ht="15" hidden="false" customHeight="false" outlineLevel="0" collapsed="false">
      <c r="M1895" s="24" t="str">
        <f aca="false">IF($C1895="","",IFERROR(INDEX(Account_Mapping!$C:$C,MATCH($C1895&amp;"",Account_Mapping!$A:$A,0))&amp;"",""))</f>
        <v/>
      </c>
      <c r="N1895" s="24" t="str">
        <f aca="false">IF($K1895&lt;&gt;"",$K1895,$M1895)</f>
        <v/>
      </c>
      <c r="O1895" s="24" t="str">
        <f aca="false">IF($F1895="","",IFERROR(INDEX(Counterparties!$C:$C,MATCH($F1895&amp;"",Counterparties!$A:$A,0))&amp;"",""))</f>
        <v/>
      </c>
      <c r="P1895" s="24" t="str">
        <f aca="false">IF($O1895="","",IF($O1895="CY","CY",IF(ISNUMBER(MATCH($O1895,Lists!$A:$A,0)),"EU","3RD")))</f>
        <v/>
      </c>
      <c r="Q1895" s="24" t="str">
        <f aca="false">IF($F1895="","N",IFERROR(IF(INDEX(Counterparties!$E:$E,MATCH($F1895&amp;"",Counterparties!$A:$A,0))="Y","Y","N"),"N"))</f>
        <v>N</v>
      </c>
      <c r="R1895" s="25" t="n">
        <f aca="false">IF(OR($H1895="",$H1895="EUR"),1,IFERROR(INDEX(FX_Rates!$D:$D,MATCH($H1895,FX_Rates!$A:$A,0)),""))</f>
        <v>1</v>
      </c>
      <c r="S1895" s="26" t="str">
        <f aca="false">IF(AND($I1895="",$J1895=""),"",IF($J1895&lt;&gt;"",$J1895,IF(OR($R1895="",$R1895=0),"",ROUND($I1895/$R1895,2))))</f>
        <v/>
      </c>
      <c r="T1895" s="24" t="str">
        <f aca="false">IF($N1895="","",IFERROR(INDEX(VAT_Codes!$C:$C,MATCH($N1895,VAT_Codes!$A:$A,0)),"")&amp;"")</f>
        <v/>
      </c>
      <c r="U1895" s="26" t="n">
        <f aca="false">IF(OR($S1895="",$T1895="",$T1895="None"),0,IF($T1895="Output",-$S1895,$S1895))</f>
        <v>0</v>
      </c>
      <c r="V1895" s="27" t="n">
        <f aca="false">IF($N1895="",0,IFERROR(INDEX(VAT_Codes!$D:$D,MATCH($N1895,VAT_Codes!$A:$A,0)),0))</f>
        <v>0</v>
      </c>
      <c r="W1895" s="26" t="n">
        <f aca="false">IF($U1895=0,0,IF(IFERROR(INDEX(VAT_Codes!$F:$F,MATCH($N1895,VAT_Codes!$A:$A,0)),"N")="Y",$U1895,IF($L1895&lt;&gt;"",ROUND(ABS($L1895)/IF(OR($R1895="",$R1895=0),1,$R1895),2)*SIGN($U1895),ROUND($U1895*$V1895,2))))</f>
        <v>0</v>
      </c>
      <c r="X1895" s="24" t="str">
        <f aca="false">IF($N1895="","",IFERROR(INDEX(VAT_Codes!$H:$H,MATCH($N1895,VAT_Codes!$A:$A,0)),"")&amp;"")</f>
        <v/>
      </c>
      <c r="Y1895" s="24" t="str">
        <f aca="false">IF($A1895="","",(YEAR($A1895)-YEAR(Settings!$C$8))*12+MONTH($A1895)-MONTH(Settings!$C$8)+1)</f>
        <v/>
      </c>
      <c r="Z1895" s="24" t="str">
        <f aca="false">IF(AND($C1895="",$I1895="",$J1895=""),"",IF($N1895="","NO VAT CODE",IF($T1895="","UNKNOWN VAT CODE",IF($S1895="","MISSING FX RATE",IF(OR($A1895&lt;Settings!$C$8,$A1895&gt;Settings!$C$9),"OUTSIDE PERIOD",IF(AND(IFERROR(INDEX(VAT_Codes!$E:$E,MATCH($N1895,VAT_Codes!$A:$A,0)),"ANY")&lt;&gt;"ANY",$P1895=""),"MISSING COUNTERPARTY COUNTRY",IF(AND(IFERROR(INDEX(VAT_Codes!$E:$E,MATCH($N1895,VAT_Codes!$A:$A,0)),"ANY")&lt;&gt;"ANY",$P1895&lt;&gt;IFERROR(INDEX(VAT_Codes!$E:$E,MATCH($N1895,VAT_Codes!$A:$A,0)),"ANY")),"REGION MISMATCH","OK")))))))</f>
        <v/>
      </c>
    </row>
    <row r="1896" customFormat="false" ht="15" hidden="false" customHeight="false" outlineLevel="0" collapsed="false">
      <c r="M1896" s="24" t="str">
        <f aca="false">IF($C1896="","",IFERROR(INDEX(Account_Mapping!$C:$C,MATCH($C1896&amp;"",Account_Mapping!$A:$A,0))&amp;"",""))</f>
        <v/>
      </c>
      <c r="N1896" s="24" t="str">
        <f aca="false">IF($K1896&lt;&gt;"",$K1896,$M1896)</f>
        <v/>
      </c>
      <c r="O1896" s="24" t="str">
        <f aca="false">IF($F1896="","",IFERROR(INDEX(Counterparties!$C:$C,MATCH($F1896&amp;"",Counterparties!$A:$A,0))&amp;"",""))</f>
        <v/>
      </c>
      <c r="P1896" s="24" t="str">
        <f aca="false">IF($O1896="","",IF($O1896="CY","CY",IF(ISNUMBER(MATCH($O1896,Lists!$A:$A,0)),"EU","3RD")))</f>
        <v/>
      </c>
      <c r="Q1896" s="24" t="str">
        <f aca="false">IF($F1896="","N",IFERROR(IF(INDEX(Counterparties!$E:$E,MATCH($F1896&amp;"",Counterparties!$A:$A,0))="Y","Y","N"),"N"))</f>
        <v>N</v>
      </c>
      <c r="R1896" s="25" t="n">
        <f aca="false">IF(OR($H1896="",$H1896="EUR"),1,IFERROR(INDEX(FX_Rates!$D:$D,MATCH($H1896,FX_Rates!$A:$A,0)),""))</f>
        <v>1</v>
      </c>
      <c r="S1896" s="26" t="str">
        <f aca="false">IF(AND($I1896="",$J1896=""),"",IF($J1896&lt;&gt;"",$J1896,IF(OR($R1896="",$R1896=0),"",ROUND($I1896/$R1896,2))))</f>
        <v/>
      </c>
      <c r="T1896" s="24" t="str">
        <f aca="false">IF($N1896="","",IFERROR(INDEX(VAT_Codes!$C:$C,MATCH($N1896,VAT_Codes!$A:$A,0)),"")&amp;"")</f>
        <v/>
      </c>
      <c r="U1896" s="26" t="n">
        <f aca="false">IF(OR($S1896="",$T1896="",$T1896="None"),0,IF($T1896="Output",-$S1896,$S1896))</f>
        <v>0</v>
      </c>
      <c r="V1896" s="27" t="n">
        <f aca="false">IF($N1896="",0,IFERROR(INDEX(VAT_Codes!$D:$D,MATCH($N1896,VAT_Codes!$A:$A,0)),0))</f>
        <v>0</v>
      </c>
      <c r="W1896" s="26" t="n">
        <f aca="false">IF($U1896=0,0,IF(IFERROR(INDEX(VAT_Codes!$F:$F,MATCH($N1896,VAT_Codes!$A:$A,0)),"N")="Y",$U1896,IF($L1896&lt;&gt;"",ROUND(ABS($L1896)/IF(OR($R1896="",$R1896=0),1,$R1896),2)*SIGN($U1896),ROUND($U1896*$V1896,2))))</f>
        <v>0</v>
      </c>
      <c r="X1896" s="24" t="str">
        <f aca="false">IF($N1896="","",IFERROR(INDEX(VAT_Codes!$H:$H,MATCH($N1896,VAT_Codes!$A:$A,0)),"")&amp;"")</f>
        <v/>
      </c>
      <c r="Y1896" s="24" t="str">
        <f aca="false">IF($A1896="","",(YEAR($A1896)-YEAR(Settings!$C$8))*12+MONTH($A1896)-MONTH(Settings!$C$8)+1)</f>
        <v/>
      </c>
      <c r="Z1896" s="24" t="str">
        <f aca="false">IF(AND($C1896="",$I1896="",$J1896=""),"",IF($N1896="","NO VAT CODE",IF($T1896="","UNKNOWN VAT CODE",IF($S1896="","MISSING FX RATE",IF(OR($A1896&lt;Settings!$C$8,$A1896&gt;Settings!$C$9),"OUTSIDE PERIOD",IF(AND(IFERROR(INDEX(VAT_Codes!$E:$E,MATCH($N1896,VAT_Codes!$A:$A,0)),"ANY")&lt;&gt;"ANY",$P1896=""),"MISSING COUNTERPARTY COUNTRY",IF(AND(IFERROR(INDEX(VAT_Codes!$E:$E,MATCH($N1896,VAT_Codes!$A:$A,0)),"ANY")&lt;&gt;"ANY",$P1896&lt;&gt;IFERROR(INDEX(VAT_Codes!$E:$E,MATCH($N1896,VAT_Codes!$A:$A,0)),"ANY")),"REGION MISMATCH","OK")))))))</f>
        <v/>
      </c>
    </row>
    <row r="1897" customFormat="false" ht="15" hidden="false" customHeight="false" outlineLevel="0" collapsed="false">
      <c r="M1897" s="24" t="str">
        <f aca="false">IF($C1897="","",IFERROR(INDEX(Account_Mapping!$C:$C,MATCH($C1897&amp;"",Account_Mapping!$A:$A,0))&amp;"",""))</f>
        <v/>
      </c>
      <c r="N1897" s="24" t="str">
        <f aca="false">IF($K1897&lt;&gt;"",$K1897,$M1897)</f>
        <v/>
      </c>
      <c r="O1897" s="24" t="str">
        <f aca="false">IF($F1897="","",IFERROR(INDEX(Counterparties!$C:$C,MATCH($F1897&amp;"",Counterparties!$A:$A,0))&amp;"",""))</f>
        <v/>
      </c>
      <c r="P1897" s="24" t="str">
        <f aca="false">IF($O1897="","",IF($O1897="CY","CY",IF(ISNUMBER(MATCH($O1897,Lists!$A:$A,0)),"EU","3RD")))</f>
        <v/>
      </c>
      <c r="Q1897" s="24" t="str">
        <f aca="false">IF($F1897="","N",IFERROR(IF(INDEX(Counterparties!$E:$E,MATCH($F1897&amp;"",Counterparties!$A:$A,0))="Y","Y","N"),"N"))</f>
        <v>N</v>
      </c>
      <c r="R1897" s="25" t="n">
        <f aca="false">IF(OR($H1897="",$H1897="EUR"),1,IFERROR(INDEX(FX_Rates!$D:$D,MATCH($H1897,FX_Rates!$A:$A,0)),""))</f>
        <v>1</v>
      </c>
      <c r="S1897" s="26" t="str">
        <f aca="false">IF(AND($I1897="",$J1897=""),"",IF($J1897&lt;&gt;"",$J1897,IF(OR($R1897="",$R1897=0),"",ROUND($I1897/$R1897,2))))</f>
        <v/>
      </c>
      <c r="T1897" s="24" t="str">
        <f aca="false">IF($N1897="","",IFERROR(INDEX(VAT_Codes!$C:$C,MATCH($N1897,VAT_Codes!$A:$A,0)),"")&amp;"")</f>
        <v/>
      </c>
      <c r="U1897" s="26" t="n">
        <f aca="false">IF(OR($S1897="",$T1897="",$T1897="None"),0,IF($T1897="Output",-$S1897,$S1897))</f>
        <v>0</v>
      </c>
      <c r="V1897" s="27" t="n">
        <f aca="false">IF($N1897="",0,IFERROR(INDEX(VAT_Codes!$D:$D,MATCH($N1897,VAT_Codes!$A:$A,0)),0))</f>
        <v>0</v>
      </c>
      <c r="W1897" s="26" t="n">
        <f aca="false">IF($U1897=0,0,IF(IFERROR(INDEX(VAT_Codes!$F:$F,MATCH($N1897,VAT_Codes!$A:$A,0)),"N")="Y",$U1897,IF($L1897&lt;&gt;"",ROUND(ABS($L1897)/IF(OR($R1897="",$R1897=0),1,$R1897),2)*SIGN($U1897),ROUND($U1897*$V1897,2))))</f>
        <v>0</v>
      </c>
      <c r="X1897" s="24" t="str">
        <f aca="false">IF($N1897="","",IFERROR(INDEX(VAT_Codes!$H:$H,MATCH($N1897,VAT_Codes!$A:$A,0)),"")&amp;"")</f>
        <v/>
      </c>
      <c r="Y1897" s="24" t="str">
        <f aca="false">IF($A1897="","",(YEAR($A1897)-YEAR(Settings!$C$8))*12+MONTH($A1897)-MONTH(Settings!$C$8)+1)</f>
        <v/>
      </c>
      <c r="Z1897" s="24" t="str">
        <f aca="false">IF(AND($C1897="",$I1897="",$J1897=""),"",IF($N1897="","NO VAT CODE",IF($T1897="","UNKNOWN VAT CODE",IF($S1897="","MISSING FX RATE",IF(OR($A1897&lt;Settings!$C$8,$A1897&gt;Settings!$C$9),"OUTSIDE PERIOD",IF(AND(IFERROR(INDEX(VAT_Codes!$E:$E,MATCH($N1897,VAT_Codes!$A:$A,0)),"ANY")&lt;&gt;"ANY",$P1897=""),"MISSING COUNTERPARTY COUNTRY",IF(AND(IFERROR(INDEX(VAT_Codes!$E:$E,MATCH($N1897,VAT_Codes!$A:$A,0)),"ANY")&lt;&gt;"ANY",$P1897&lt;&gt;IFERROR(INDEX(VAT_Codes!$E:$E,MATCH($N1897,VAT_Codes!$A:$A,0)),"ANY")),"REGION MISMATCH","OK")))))))</f>
        <v/>
      </c>
    </row>
    <row r="1898" customFormat="false" ht="15" hidden="false" customHeight="false" outlineLevel="0" collapsed="false">
      <c r="M1898" s="24" t="str">
        <f aca="false">IF($C1898="","",IFERROR(INDEX(Account_Mapping!$C:$C,MATCH($C1898&amp;"",Account_Mapping!$A:$A,0))&amp;"",""))</f>
        <v/>
      </c>
      <c r="N1898" s="24" t="str">
        <f aca="false">IF($K1898&lt;&gt;"",$K1898,$M1898)</f>
        <v/>
      </c>
      <c r="O1898" s="24" t="str">
        <f aca="false">IF($F1898="","",IFERROR(INDEX(Counterparties!$C:$C,MATCH($F1898&amp;"",Counterparties!$A:$A,0))&amp;"",""))</f>
        <v/>
      </c>
      <c r="P1898" s="24" t="str">
        <f aca="false">IF($O1898="","",IF($O1898="CY","CY",IF(ISNUMBER(MATCH($O1898,Lists!$A:$A,0)),"EU","3RD")))</f>
        <v/>
      </c>
      <c r="Q1898" s="24" t="str">
        <f aca="false">IF($F1898="","N",IFERROR(IF(INDEX(Counterparties!$E:$E,MATCH($F1898&amp;"",Counterparties!$A:$A,0))="Y","Y","N"),"N"))</f>
        <v>N</v>
      </c>
      <c r="R1898" s="25" t="n">
        <f aca="false">IF(OR($H1898="",$H1898="EUR"),1,IFERROR(INDEX(FX_Rates!$D:$D,MATCH($H1898,FX_Rates!$A:$A,0)),""))</f>
        <v>1</v>
      </c>
      <c r="S1898" s="26" t="str">
        <f aca="false">IF(AND($I1898="",$J1898=""),"",IF($J1898&lt;&gt;"",$J1898,IF(OR($R1898="",$R1898=0),"",ROUND($I1898/$R1898,2))))</f>
        <v/>
      </c>
      <c r="T1898" s="24" t="str">
        <f aca="false">IF($N1898="","",IFERROR(INDEX(VAT_Codes!$C:$C,MATCH($N1898,VAT_Codes!$A:$A,0)),"")&amp;"")</f>
        <v/>
      </c>
      <c r="U1898" s="26" t="n">
        <f aca="false">IF(OR($S1898="",$T1898="",$T1898="None"),0,IF($T1898="Output",-$S1898,$S1898))</f>
        <v>0</v>
      </c>
      <c r="V1898" s="27" t="n">
        <f aca="false">IF($N1898="",0,IFERROR(INDEX(VAT_Codes!$D:$D,MATCH($N1898,VAT_Codes!$A:$A,0)),0))</f>
        <v>0</v>
      </c>
      <c r="W1898" s="26" t="n">
        <f aca="false">IF($U1898=0,0,IF(IFERROR(INDEX(VAT_Codes!$F:$F,MATCH($N1898,VAT_Codes!$A:$A,0)),"N")="Y",$U1898,IF($L1898&lt;&gt;"",ROUND(ABS($L1898)/IF(OR($R1898="",$R1898=0),1,$R1898),2)*SIGN($U1898),ROUND($U1898*$V1898,2))))</f>
        <v>0</v>
      </c>
      <c r="X1898" s="24" t="str">
        <f aca="false">IF($N1898="","",IFERROR(INDEX(VAT_Codes!$H:$H,MATCH($N1898,VAT_Codes!$A:$A,0)),"")&amp;"")</f>
        <v/>
      </c>
      <c r="Y1898" s="24" t="str">
        <f aca="false">IF($A1898="","",(YEAR($A1898)-YEAR(Settings!$C$8))*12+MONTH($A1898)-MONTH(Settings!$C$8)+1)</f>
        <v/>
      </c>
      <c r="Z1898" s="24" t="str">
        <f aca="false">IF(AND($C1898="",$I1898="",$J1898=""),"",IF($N1898="","NO VAT CODE",IF($T1898="","UNKNOWN VAT CODE",IF($S1898="","MISSING FX RATE",IF(OR($A1898&lt;Settings!$C$8,$A1898&gt;Settings!$C$9),"OUTSIDE PERIOD",IF(AND(IFERROR(INDEX(VAT_Codes!$E:$E,MATCH($N1898,VAT_Codes!$A:$A,0)),"ANY")&lt;&gt;"ANY",$P1898=""),"MISSING COUNTERPARTY COUNTRY",IF(AND(IFERROR(INDEX(VAT_Codes!$E:$E,MATCH($N1898,VAT_Codes!$A:$A,0)),"ANY")&lt;&gt;"ANY",$P1898&lt;&gt;IFERROR(INDEX(VAT_Codes!$E:$E,MATCH($N1898,VAT_Codes!$A:$A,0)),"ANY")),"REGION MISMATCH","OK")))))))</f>
        <v/>
      </c>
    </row>
    <row r="1899" customFormat="false" ht="15" hidden="false" customHeight="false" outlineLevel="0" collapsed="false">
      <c r="M1899" s="24" t="str">
        <f aca="false">IF($C1899="","",IFERROR(INDEX(Account_Mapping!$C:$C,MATCH($C1899&amp;"",Account_Mapping!$A:$A,0))&amp;"",""))</f>
        <v/>
      </c>
      <c r="N1899" s="24" t="str">
        <f aca="false">IF($K1899&lt;&gt;"",$K1899,$M1899)</f>
        <v/>
      </c>
      <c r="O1899" s="24" t="str">
        <f aca="false">IF($F1899="","",IFERROR(INDEX(Counterparties!$C:$C,MATCH($F1899&amp;"",Counterparties!$A:$A,0))&amp;"",""))</f>
        <v/>
      </c>
      <c r="P1899" s="24" t="str">
        <f aca="false">IF($O1899="","",IF($O1899="CY","CY",IF(ISNUMBER(MATCH($O1899,Lists!$A:$A,0)),"EU","3RD")))</f>
        <v/>
      </c>
      <c r="Q1899" s="24" t="str">
        <f aca="false">IF($F1899="","N",IFERROR(IF(INDEX(Counterparties!$E:$E,MATCH($F1899&amp;"",Counterparties!$A:$A,0))="Y","Y","N"),"N"))</f>
        <v>N</v>
      </c>
      <c r="R1899" s="25" t="n">
        <f aca="false">IF(OR($H1899="",$H1899="EUR"),1,IFERROR(INDEX(FX_Rates!$D:$D,MATCH($H1899,FX_Rates!$A:$A,0)),""))</f>
        <v>1</v>
      </c>
      <c r="S1899" s="26" t="str">
        <f aca="false">IF(AND($I1899="",$J1899=""),"",IF($J1899&lt;&gt;"",$J1899,IF(OR($R1899="",$R1899=0),"",ROUND($I1899/$R1899,2))))</f>
        <v/>
      </c>
      <c r="T1899" s="24" t="str">
        <f aca="false">IF($N1899="","",IFERROR(INDEX(VAT_Codes!$C:$C,MATCH($N1899,VAT_Codes!$A:$A,0)),"")&amp;"")</f>
        <v/>
      </c>
      <c r="U1899" s="26" t="n">
        <f aca="false">IF(OR($S1899="",$T1899="",$T1899="None"),0,IF($T1899="Output",-$S1899,$S1899))</f>
        <v>0</v>
      </c>
      <c r="V1899" s="27" t="n">
        <f aca="false">IF($N1899="",0,IFERROR(INDEX(VAT_Codes!$D:$D,MATCH($N1899,VAT_Codes!$A:$A,0)),0))</f>
        <v>0</v>
      </c>
      <c r="W1899" s="26" t="n">
        <f aca="false">IF($U1899=0,0,IF(IFERROR(INDEX(VAT_Codes!$F:$F,MATCH($N1899,VAT_Codes!$A:$A,0)),"N")="Y",$U1899,IF($L1899&lt;&gt;"",ROUND(ABS($L1899)/IF(OR($R1899="",$R1899=0),1,$R1899),2)*SIGN($U1899),ROUND($U1899*$V1899,2))))</f>
        <v>0</v>
      </c>
      <c r="X1899" s="24" t="str">
        <f aca="false">IF($N1899="","",IFERROR(INDEX(VAT_Codes!$H:$H,MATCH($N1899,VAT_Codes!$A:$A,0)),"")&amp;"")</f>
        <v/>
      </c>
      <c r="Y1899" s="24" t="str">
        <f aca="false">IF($A1899="","",(YEAR($A1899)-YEAR(Settings!$C$8))*12+MONTH($A1899)-MONTH(Settings!$C$8)+1)</f>
        <v/>
      </c>
      <c r="Z1899" s="24" t="str">
        <f aca="false">IF(AND($C1899="",$I1899="",$J1899=""),"",IF($N1899="","NO VAT CODE",IF($T1899="","UNKNOWN VAT CODE",IF($S1899="","MISSING FX RATE",IF(OR($A1899&lt;Settings!$C$8,$A1899&gt;Settings!$C$9),"OUTSIDE PERIOD",IF(AND(IFERROR(INDEX(VAT_Codes!$E:$E,MATCH($N1899,VAT_Codes!$A:$A,0)),"ANY")&lt;&gt;"ANY",$P1899=""),"MISSING COUNTERPARTY COUNTRY",IF(AND(IFERROR(INDEX(VAT_Codes!$E:$E,MATCH($N1899,VAT_Codes!$A:$A,0)),"ANY")&lt;&gt;"ANY",$P1899&lt;&gt;IFERROR(INDEX(VAT_Codes!$E:$E,MATCH($N1899,VAT_Codes!$A:$A,0)),"ANY")),"REGION MISMATCH","OK")))))))</f>
        <v/>
      </c>
    </row>
    <row r="1900" customFormat="false" ht="15" hidden="false" customHeight="false" outlineLevel="0" collapsed="false">
      <c r="M1900" s="24" t="str">
        <f aca="false">IF($C1900="","",IFERROR(INDEX(Account_Mapping!$C:$C,MATCH($C1900&amp;"",Account_Mapping!$A:$A,0))&amp;"",""))</f>
        <v/>
      </c>
      <c r="N1900" s="24" t="str">
        <f aca="false">IF($K1900&lt;&gt;"",$K1900,$M1900)</f>
        <v/>
      </c>
      <c r="O1900" s="24" t="str">
        <f aca="false">IF($F1900="","",IFERROR(INDEX(Counterparties!$C:$C,MATCH($F1900&amp;"",Counterparties!$A:$A,0))&amp;"",""))</f>
        <v/>
      </c>
      <c r="P1900" s="24" t="str">
        <f aca="false">IF($O1900="","",IF($O1900="CY","CY",IF(ISNUMBER(MATCH($O1900,Lists!$A:$A,0)),"EU","3RD")))</f>
        <v/>
      </c>
      <c r="Q1900" s="24" t="str">
        <f aca="false">IF($F1900="","N",IFERROR(IF(INDEX(Counterparties!$E:$E,MATCH($F1900&amp;"",Counterparties!$A:$A,0))="Y","Y","N"),"N"))</f>
        <v>N</v>
      </c>
      <c r="R1900" s="25" t="n">
        <f aca="false">IF(OR($H1900="",$H1900="EUR"),1,IFERROR(INDEX(FX_Rates!$D:$D,MATCH($H1900,FX_Rates!$A:$A,0)),""))</f>
        <v>1</v>
      </c>
      <c r="S1900" s="26" t="str">
        <f aca="false">IF(AND($I1900="",$J1900=""),"",IF($J1900&lt;&gt;"",$J1900,IF(OR($R1900="",$R1900=0),"",ROUND($I1900/$R1900,2))))</f>
        <v/>
      </c>
      <c r="T1900" s="24" t="str">
        <f aca="false">IF($N1900="","",IFERROR(INDEX(VAT_Codes!$C:$C,MATCH($N1900,VAT_Codes!$A:$A,0)),"")&amp;"")</f>
        <v/>
      </c>
      <c r="U1900" s="26" t="n">
        <f aca="false">IF(OR($S1900="",$T1900="",$T1900="None"),0,IF($T1900="Output",-$S1900,$S1900))</f>
        <v>0</v>
      </c>
      <c r="V1900" s="27" t="n">
        <f aca="false">IF($N1900="",0,IFERROR(INDEX(VAT_Codes!$D:$D,MATCH($N1900,VAT_Codes!$A:$A,0)),0))</f>
        <v>0</v>
      </c>
      <c r="W1900" s="26" t="n">
        <f aca="false">IF($U1900=0,0,IF(IFERROR(INDEX(VAT_Codes!$F:$F,MATCH($N1900,VAT_Codes!$A:$A,0)),"N")="Y",$U1900,IF($L1900&lt;&gt;"",ROUND(ABS($L1900)/IF(OR($R1900="",$R1900=0),1,$R1900),2)*SIGN($U1900),ROUND($U1900*$V1900,2))))</f>
        <v>0</v>
      </c>
      <c r="X1900" s="24" t="str">
        <f aca="false">IF($N1900="","",IFERROR(INDEX(VAT_Codes!$H:$H,MATCH($N1900,VAT_Codes!$A:$A,0)),"")&amp;"")</f>
        <v/>
      </c>
      <c r="Y1900" s="24" t="str">
        <f aca="false">IF($A1900="","",(YEAR($A1900)-YEAR(Settings!$C$8))*12+MONTH($A1900)-MONTH(Settings!$C$8)+1)</f>
        <v/>
      </c>
      <c r="Z1900" s="24" t="str">
        <f aca="false">IF(AND($C1900="",$I1900="",$J1900=""),"",IF($N1900="","NO VAT CODE",IF($T1900="","UNKNOWN VAT CODE",IF($S1900="","MISSING FX RATE",IF(OR($A1900&lt;Settings!$C$8,$A1900&gt;Settings!$C$9),"OUTSIDE PERIOD",IF(AND(IFERROR(INDEX(VAT_Codes!$E:$E,MATCH($N1900,VAT_Codes!$A:$A,0)),"ANY")&lt;&gt;"ANY",$P1900=""),"MISSING COUNTERPARTY COUNTRY",IF(AND(IFERROR(INDEX(VAT_Codes!$E:$E,MATCH($N1900,VAT_Codes!$A:$A,0)),"ANY")&lt;&gt;"ANY",$P1900&lt;&gt;IFERROR(INDEX(VAT_Codes!$E:$E,MATCH($N1900,VAT_Codes!$A:$A,0)),"ANY")),"REGION MISMATCH","OK")))))))</f>
        <v/>
      </c>
    </row>
    <row r="1901" customFormat="false" ht="15" hidden="false" customHeight="false" outlineLevel="0" collapsed="false">
      <c r="M1901" s="24" t="str">
        <f aca="false">IF($C1901="","",IFERROR(INDEX(Account_Mapping!$C:$C,MATCH($C1901&amp;"",Account_Mapping!$A:$A,0))&amp;"",""))</f>
        <v/>
      </c>
      <c r="N1901" s="24" t="str">
        <f aca="false">IF($K1901&lt;&gt;"",$K1901,$M1901)</f>
        <v/>
      </c>
      <c r="O1901" s="24" t="str">
        <f aca="false">IF($F1901="","",IFERROR(INDEX(Counterparties!$C:$C,MATCH($F1901&amp;"",Counterparties!$A:$A,0))&amp;"",""))</f>
        <v/>
      </c>
      <c r="P1901" s="24" t="str">
        <f aca="false">IF($O1901="","",IF($O1901="CY","CY",IF(ISNUMBER(MATCH($O1901,Lists!$A:$A,0)),"EU","3RD")))</f>
        <v/>
      </c>
      <c r="Q1901" s="24" t="str">
        <f aca="false">IF($F1901="","N",IFERROR(IF(INDEX(Counterparties!$E:$E,MATCH($F1901&amp;"",Counterparties!$A:$A,0))="Y","Y","N"),"N"))</f>
        <v>N</v>
      </c>
      <c r="R1901" s="25" t="n">
        <f aca="false">IF(OR($H1901="",$H1901="EUR"),1,IFERROR(INDEX(FX_Rates!$D:$D,MATCH($H1901,FX_Rates!$A:$A,0)),""))</f>
        <v>1</v>
      </c>
      <c r="S1901" s="26" t="str">
        <f aca="false">IF(AND($I1901="",$J1901=""),"",IF($J1901&lt;&gt;"",$J1901,IF(OR($R1901="",$R1901=0),"",ROUND($I1901/$R1901,2))))</f>
        <v/>
      </c>
      <c r="T1901" s="24" t="str">
        <f aca="false">IF($N1901="","",IFERROR(INDEX(VAT_Codes!$C:$C,MATCH($N1901,VAT_Codes!$A:$A,0)),"")&amp;"")</f>
        <v/>
      </c>
      <c r="U1901" s="26" t="n">
        <f aca="false">IF(OR($S1901="",$T1901="",$T1901="None"),0,IF($T1901="Output",-$S1901,$S1901))</f>
        <v>0</v>
      </c>
      <c r="V1901" s="27" t="n">
        <f aca="false">IF($N1901="",0,IFERROR(INDEX(VAT_Codes!$D:$D,MATCH($N1901,VAT_Codes!$A:$A,0)),0))</f>
        <v>0</v>
      </c>
      <c r="W1901" s="26" t="n">
        <f aca="false">IF($U1901=0,0,IF(IFERROR(INDEX(VAT_Codes!$F:$F,MATCH($N1901,VAT_Codes!$A:$A,0)),"N")="Y",$U1901,IF($L1901&lt;&gt;"",ROUND(ABS($L1901)/IF(OR($R1901="",$R1901=0),1,$R1901),2)*SIGN($U1901),ROUND($U1901*$V1901,2))))</f>
        <v>0</v>
      </c>
      <c r="X1901" s="24" t="str">
        <f aca="false">IF($N1901="","",IFERROR(INDEX(VAT_Codes!$H:$H,MATCH($N1901,VAT_Codes!$A:$A,0)),"")&amp;"")</f>
        <v/>
      </c>
      <c r="Y1901" s="24" t="str">
        <f aca="false">IF($A1901="","",(YEAR($A1901)-YEAR(Settings!$C$8))*12+MONTH($A1901)-MONTH(Settings!$C$8)+1)</f>
        <v/>
      </c>
      <c r="Z1901" s="24" t="str">
        <f aca="false">IF(AND($C1901="",$I1901="",$J1901=""),"",IF($N1901="","NO VAT CODE",IF($T1901="","UNKNOWN VAT CODE",IF($S1901="","MISSING FX RATE",IF(OR($A1901&lt;Settings!$C$8,$A1901&gt;Settings!$C$9),"OUTSIDE PERIOD",IF(AND(IFERROR(INDEX(VAT_Codes!$E:$E,MATCH($N1901,VAT_Codes!$A:$A,0)),"ANY")&lt;&gt;"ANY",$P1901=""),"MISSING COUNTERPARTY COUNTRY",IF(AND(IFERROR(INDEX(VAT_Codes!$E:$E,MATCH($N1901,VAT_Codes!$A:$A,0)),"ANY")&lt;&gt;"ANY",$P1901&lt;&gt;IFERROR(INDEX(VAT_Codes!$E:$E,MATCH($N1901,VAT_Codes!$A:$A,0)),"ANY")),"REGION MISMATCH","OK")))))))</f>
        <v/>
      </c>
    </row>
    <row r="1902" customFormat="false" ht="15" hidden="false" customHeight="false" outlineLevel="0" collapsed="false">
      <c r="M1902" s="24" t="str">
        <f aca="false">IF($C1902="","",IFERROR(INDEX(Account_Mapping!$C:$C,MATCH($C1902&amp;"",Account_Mapping!$A:$A,0))&amp;"",""))</f>
        <v/>
      </c>
      <c r="N1902" s="24" t="str">
        <f aca="false">IF($K1902&lt;&gt;"",$K1902,$M1902)</f>
        <v/>
      </c>
      <c r="O1902" s="24" t="str">
        <f aca="false">IF($F1902="","",IFERROR(INDEX(Counterparties!$C:$C,MATCH($F1902&amp;"",Counterparties!$A:$A,0))&amp;"",""))</f>
        <v/>
      </c>
      <c r="P1902" s="24" t="str">
        <f aca="false">IF($O1902="","",IF($O1902="CY","CY",IF(ISNUMBER(MATCH($O1902,Lists!$A:$A,0)),"EU","3RD")))</f>
        <v/>
      </c>
      <c r="Q1902" s="24" t="str">
        <f aca="false">IF($F1902="","N",IFERROR(IF(INDEX(Counterparties!$E:$E,MATCH($F1902&amp;"",Counterparties!$A:$A,0))="Y","Y","N"),"N"))</f>
        <v>N</v>
      </c>
      <c r="R1902" s="25" t="n">
        <f aca="false">IF(OR($H1902="",$H1902="EUR"),1,IFERROR(INDEX(FX_Rates!$D:$D,MATCH($H1902,FX_Rates!$A:$A,0)),""))</f>
        <v>1</v>
      </c>
      <c r="S1902" s="26" t="str">
        <f aca="false">IF(AND($I1902="",$J1902=""),"",IF($J1902&lt;&gt;"",$J1902,IF(OR($R1902="",$R1902=0),"",ROUND($I1902/$R1902,2))))</f>
        <v/>
      </c>
      <c r="T1902" s="24" t="str">
        <f aca="false">IF($N1902="","",IFERROR(INDEX(VAT_Codes!$C:$C,MATCH($N1902,VAT_Codes!$A:$A,0)),"")&amp;"")</f>
        <v/>
      </c>
      <c r="U1902" s="26" t="n">
        <f aca="false">IF(OR($S1902="",$T1902="",$T1902="None"),0,IF($T1902="Output",-$S1902,$S1902))</f>
        <v>0</v>
      </c>
      <c r="V1902" s="27" t="n">
        <f aca="false">IF($N1902="",0,IFERROR(INDEX(VAT_Codes!$D:$D,MATCH($N1902,VAT_Codes!$A:$A,0)),0))</f>
        <v>0</v>
      </c>
      <c r="W1902" s="26" t="n">
        <f aca="false">IF($U1902=0,0,IF(IFERROR(INDEX(VAT_Codes!$F:$F,MATCH($N1902,VAT_Codes!$A:$A,0)),"N")="Y",$U1902,IF($L1902&lt;&gt;"",ROUND(ABS($L1902)/IF(OR($R1902="",$R1902=0),1,$R1902),2)*SIGN($U1902),ROUND($U1902*$V1902,2))))</f>
        <v>0</v>
      </c>
      <c r="X1902" s="24" t="str">
        <f aca="false">IF($N1902="","",IFERROR(INDEX(VAT_Codes!$H:$H,MATCH($N1902,VAT_Codes!$A:$A,0)),"")&amp;"")</f>
        <v/>
      </c>
      <c r="Y1902" s="24" t="str">
        <f aca="false">IF($A1902="","",(YEAR($A1902)-YEAR(Settings!$C$8))*12+MONTH($A1902)-MONTH(Settings!$C$8)+1)</f>
        <v/>
      </c>
      <c r="Z1902" s="24" t="str">
        <f aca="false">IF(AND($C1902="",$I1902="",$J1902=""),"",IF($N1902="","NO VAT CODE",IF($T1902="","UNKNOWN VAT CODE",IF($S1902="","MISSING FX RATE",IF(OR($A1902&lt;Settings!$C$8,$A1902&gt;Settings!$C$9),"OUTSIDE PERIOD",IF(AND(IFERROR(INDEX(VAT_Codes!$E:$E,MATCH($N1902,VAT_Codes!$A:$A,0)),"ANY")&lt;&gt;"ANY",$P1902=""),"MISSING COUNTERPARTY COUNTRY",IF(AND(IFERROR(INDEX(VAT_Codes!$E:$E,MATCH($N1902,VAT_Codes!$A:$A,0)),"ANY")&lt;&gt;"ANY",$P1902&lt;&gt;IFERROR(INDEX(VAT_Codes!$E:$E,MATCH($N1902,VAT_Codes!$A:$A,0)),"ANY")),"REGION MISMATCH","OK")))))))</f>
        <v/>
      </c>
    </row>
    <row r="1903" customFormat="false" ht="15" hidden="false" customHeight="false" outlineLevel="0" collapsed="false">
      <c r="M1903" s="24" t="str">
        <f aca="false">IF($C1903="","",IFERROR(INDEX(Account_Mapping!$C:$C,MATCH($C1903&amp;"",Account_Mapping!$A:$A,0))&amp;"",""))</f>
        <v/>
      </c>
      <c r="N1903" s="24" t="str">
        <f aca="false">IF($K1903&lt;&gt;"",$K1903,$M1903)</f>
        <v/>
      </c>
      <c r="O1903" s="24" t="str">
        <f aca="false">IF($F1903="","",IFERROR(INDEX(Counterparties!$C:$C,MATCH($F1903&amp;"",Counterparties!$A:$A,0))&amp;"",""))</f>
        <v/>
      </c>
      <c r="P1903" s="24" t="str">
        <f aca="false">IF($O1903="","",IF($O1903="CY","CY",IF(ISNUMBER(MATCH($O1903,Lists!$A:$A,0)),"EU","3RD")))</f>
        <v/>
      </c>
      <c r="Q1903" s="24" t="str">
        <f aca="false">IF($F1903="","N",IFERROR(IF(INDEX(Counterparties!$E:$E,MATCH($F1903&amp;"",Counterparties!$A:$A,0))="Y","Y","N"),"N"))</f>
        <v>N</v>
      </c>
      <c r="R1903" s="25" t="n">
        <f aca="false">IF(OR($H1903="",$H1903="EUR"),1,IFERROR(INDEX(FX_Rates!$D:$D,MATCH($H1903,FX_Rates!$A:$A,0)),""))</f>
        <v>1</v>
      </c>
      <c r="S1903" s="26" t="str">
        <f aca="false">IF(AND($I1903="",$J1903=""),"",IF($J1903&lt;&gt;"",$J1903,IF(OR($R1903="",$R1903=0),"",ROUND($I1903/$R1903,2))))</f>
        <v/>
      </c>
      <c r="T1903" s="24" t="str">
        <f aca="false">IF($N1903="","",IFERROR(INDEX(VAT_Codes!$C:$C,MATCH($N1903,VAT_Codes!$A:$A,0)),"")&amp;"")</f>
        <v/>
      </c>
      <c r="U1903" s="26" t="n">
        <f aca="false">IF(OR($S1903="",$T1903="",$T1903="None"),0,IF($T1903="Output",-$S1903,$S1903))</f>
        <v>0</v>
      </c>
      <c r="V1903" s="27" t="n">
        <f aca="false">IF($N1903="",0,IFERROR(INDEX(VAT_Codes!$D:$D,MATCH($N1903,VAT_Codes!$A:$A,0)),0))</f>
        <v>0</v>
      </c>
      <c r="W1903" s="26" t="n">
        <f aca="false">IF($U1903=0,0,IF(IFERROR(INDEX(VAT_Codes!$F:$F,MATCH($N1903,VAT_Codes!$A:$A,0)),"N")="Y",$U1903,IF($L1903&lt;&gt;"",ROUND(ABS($L1903)/IF(OR($R1903="",$R1903=0),1,$R1903),2)*SIGN($U1903),ROUND($U1903*$V1903,2))))</f>
        <v>0</v>
      </c>
      <c r="X1903" s="24" t="str">
        <f aca="false">IF($N1903="","",IFERROR(INDEX(VAT_Codes!$H:$H,MATCH($N1903,VAT_Codes!$A:$A,0)),"")&amp;"")</f>
        <v/>
      </c>
      <c r="Y1903" s="24" t="str">
        <f aca="false">IF($A1903="","",(YEAR($A1903)-YEAR(Settings!$C$8))*12+MONTH($A1903)-MONTH(Settings!$C$8)+1)</f>
        <v/>
      </c>
      <c r="Z1903" s="24" t="str">
        <f aca="false">IF(AND($C1903="",$I1903="",$J1903=""),"",IF($N1903="","NO VAT CODE",IF($T1903="","UNKNOWN VAT CODE",IF($S1903="","MISSING FX RATE",IF(OR($A1903&lt;Settings!$C$8,$A1903&gt;Settings!$C$9),"OUTSIDE PERIOD",IF(AND(IFERROR(INDEX(VAT_Codes!$E:$E,MATCH($N1903,VAT_Codes!$A:$A,0)),"ANY")&lt;&gt;"ANY",$P1903=""),"MISSING COUNTERPARTY COUNTRY",IF(AND(IFERROR(INDEX(VAT_Codes!$E:$E,MATCH($N1903,VAT_Codes!$A:$A,0)),"ANY")&lt;&gt;"ANY",$P1903&lt;&gt;IFERROR(INDEX(VAT_Codes!$E:$E,MATCH($N1903,VAT_Codes!$A:$A,0)),"ANY")),"REGION MISMATCH","OK")))))))</f>
        <v/>
      </c>
    </row>
    <row r="1904" customFormat="false" ht="15" hidden="false" customHeight="false" outlineLevel="0" collapsed="false">
      <c r="M1904" s="24" t="str">
        <f aca="false">IF($C1904="","",IFERROR(INDEX(Account_Mapping!$C:$C,MATCH($C1904&amp;"",Account_Mapping!$A:$A,0))&amp;"",""))</f>
        <v/>
      </c>
      <c r="N1904" s="24" t="str">
        <f aca="false">IF($K1904&lt;&gt;"",$K1904,$M1904)</f>
        <v/>
      </c>
      <c r="O1904" s="24" t="str">
        <f aca="false">IF($F1904="","",IFERROR(INDEX(Counterparties!$C:$C,MATCH($F1904&amp;"",Counterparties!$A:$A,0))&amp;"",""))</f>
        <v/>
      </c>
      <c r="P1904" s="24" t="str">
        <f aca="false">IF($O1904="","",IF($O1904="CY","CY",IF(ISNUMBER(MATCH($O1904,Lists!$A:$A,0)),"EU","3RD")))</f>
        <v/>
      </c>
      <c r="Q1904" s="24" t="str">
        <f aca="false">IF($F1904="","N",IFERROR(IF(INDEX(Counterparties!$E:$E,MATCH($F1904&amp;"",Counterparties!$A:$A,0))="Y","Y","N"),"N"))</f>
        <v>N</v>
      </c>
      <c r="R1904" s="25" t="n">
        <f aca="false">IF(OR($H1904="",$H1904="EUR"),1,IFERROR(INDEX(FX_Rates!$D:$D,MATCH($H1904,FX_Rates!$A:$A,0)),""))</f>
        <v>1</v>
      </c>
      <c r="S1904" s="26" t="str">
        <f aca="false">IF(AND($I1904="",$J1904=""),"",IF($J1904&lt;&gt;"",$J1904,IF(OR($R1904="",$R1904=0),"",ROUND($I1904/$R1904,2))))</f>
        <v/>
      </c>
      <c r="T1904" s="24" t="str">
        <f aca="false">IF($N1904="","",IFERROR(INDEX(VAT_Codes!$C:$C,MATCH($N1904,VAT_Codes!$A:$A,0)),"")&amp;"")</f>
        <v/>
      </c>
      <c r="U1904" s="26" t="n">
        <f aca="false">IF(OR($S1904="",$T1904="",$T1904="None"),0,IF($T1904="Output",-$S1904,$S1904))</f>
        <v>0</v>
      </c>
      <c r="V1904" s="27" t="n">
        <f aca="false">IF($N1904="",0,IFERROR(INDEX(VAT_Codes!$D:$D,MATCH($N1904,VAT_Codes!$A:$A,0)),0))</f>
        <v>0</v>
      </c>
      <c r="W1904" s="26" t="n">
        <f aca="false">IF($U1904=0,0,IF(IFERROR(INDEX(VAT_Codes!$F:$F,MATCH($N1904,VAT_Codes!$A:$A,0)),"N")="Y",$U1904,IF($L1904&lt;&gt;"",ROUND(ABS($L1904)/IF(OR($R1904="",$R1904=0),1,$R1904),2)*SIGN($U1904),ROUND($U1904*$V1904,2))))</f>
        <v>0</v>
      </c>
      <c r="X1904" s="24" t="str">
        <f aca="false">IF($N1904="","",IFERROR(INDEX(VAT_Codes!$H:$H,MATCH($N1904,VAT_Codes!$A:$A,0)),"")&amp;"")</f>
        <v/>
      </c>
      <c r="Y1904" s="24" t="str">
        <f aca="false">IF($A1904="","",(YEAR($A1904)-YEAR(Settings!$C$8))*12+MONTH($A1904)-MONTH(Settings!$C$8)+1)</f>
        <v/>
      </c>
      <c r="Z1904" s="24" t="str">
        <f aca="false">IF(AND($C1904="",$I1904="",$J1904=""),"",IF($N1904="","NO VAT CODE",IF($T1904="","UNKNOWN VAT CODE",IF($S1904="","MISSING FX RATE",IF(OR($A1904&lt;Settings!$C$8,$A1904&gt;Settings!$C$9),"OUTSIDE PERIOD",IF(AND(IFERROR(INDEX(VAT_Codes!$E:$E,MATCH($N1904,VAT_Codes!$A:$A,0)),"ANY")&lt;&gt;"ANY",$P1904=""),"MISSING COUNTERPARTY COUNTRY",IF(AND(IFERROR(INDEX(VAT_Codes!$E:$E,MATCH($N1904,VAT_Codes!$A:$A,0)),"ANY")&lt;&gt;"ANY",$P1904&lt;&gt;IFERROR(INDEX(VAT_Codes!$E:$E,MATCH($N1904,VAT_Codes!$A:$A,0)),"ANY")),"REGION MISMATCH","OK")))))))</f>
        <v/>
      </c>
    </row>
    <row r="1905" customFormat="false" ht="15" hidden="false" customHeight="false" outlineLevel="0" collapsed="false">
      <c r="M1905" s="24" t="str">
        <f aca="false">IF($C1905="","",IFERROR(INDEX(Account_Mapping!$C:$C,MATCH($C1905&amp;"",Account_Mapping!$A:$A,0))&amp;"",""))</f>
        <v/>
      </c>
      <c r="N1905" s="24" t="str">
        <f aca="false">IF($K1905&lt;&gt;"",$K1905,$M1905)</f>
        <v/>
      </c>
      <c r="O1905" s="24" t="str">
        <f aca="false">IF($F1905="","",IFERROR(INDEX(Counterparties!$C:$C,MATCH($F1905&amp;"",Counterparties!$A:$A,0))&amp;"",""))</f>
        <v/>
      </c>
      <c r="P1905" s="24" t="str">
        <f aca="false">IF($O1905="","",IF($O1905="CY","CY",IF(ISNUMBER(MATCH($O1905,Lists!$A:$A,0)),"EU","3RD")))</f>
        <v/>
      </c>
      <c r="Q1905" s="24" t="str">
        <f aca="false">IF($F1905="","N",IFERROR(IF(INDEX(Counterparties!$E:$E,MATCH($F1905&amp;"",Counterparties!$A:$A,0))="Y","Y","N"),"N"))</f>
        <v>N</v>
      </c>
      <c r="R1905" s="25" t="n">
        <f aca="false">IF(OR($H1905="",$H1905="EUR"),1,IFERROR(INDEX(FX_Rates!$D:$D,MATCH($H1905,FX_Rates!$A:$A,0)),""))</f>
        <v>1</v>
      </c>
      <c r="S1905" s="26" t="str">
        <f aca="false">IF(AND($I1905="",$J1905=""),"",IF($J1905&lt;&gt;"",$J1905,IF(OR($R1905="",$R1905=0),"",ROUND($I1905/$R1905,2))))</f>
        <v/>
      </c>
      <c r="T1905" s="24" t="str">
        <f aca="false">IF($N1905="","",IFERROR(INDEX(VAT_Codes!$C:$C,MATCH($N1905,VAT_Codes!$A:$A,0)),"")&amp;"")</f>
        <v/>
      </c>
      <c r="U1905" s="26" t="n">
        <f aca="false">IF(OR($S1905="",$T1905="",$T1905="None"),0,IF($T1905="Output",-$S1905,$S1905))</f>
        <v>0</v>
      </c>
      <c r="V1905" s="27" t="n">
        <f aca="false">IF($N1905="",0,IFERROR(INDEX(VAT_Codes!$D:$D,MATCH($N1905,VAT_Codes!$A:$A,0)),0))</f>
        <v>0</v>
      </c>
      <c r="W1905" s="26" t="n">
        <f aca="false">IF($U1905=0,0,IF(IFERROR(INDEX(VAT_Codes!$F:$F,MATCH($N1905,VAT_Codes!$A:$A,0)),"N")="Y",$U1905,IF($L1905&lt;&gt;"",ROUND(ABS($L1905)/IF(OR($R1905="",$R1905=0),1,$R1905),2)*SIGN($U1905),ROUND($U1905*$V1905,2))))</f>
        <v>0</v>
      </c>
      <c r="X1905" s="24" t="str">
        <f aca="false">IF($N1905="","",IFERROR(INDEX(VAT_Codes!$H:$H,MATCH($N1905,VAT_Codes!$A:$A,0)),"")&amp;"")</f>
        <v/>
      </c>
      <c r="Y1905" s="24" t="str">
        <f aca="false">IF($A1905="","",(YEAR($A1905)-YEAR(Settings!$C$8))*12+MONTH($A1905)-MONTH(Settings!$C$8)+1)</f>
        <v/>
      </c>
      <c r="Z1905" s="24" t="str">
        <f aca="false">IF(AND($C1905="",$I1905="",$J1905=""),"",IF($N1905="","NO VAT CODE",IF($T1905="","UNKNOWN VAT CODE",IF($S1905="","MISSING FX RATE",IF(OR($A1905&lt;Settings!$C$8,$A1905&gt;Settings!$C$9),"OUTSIDE PERIOD",IF(AND(IFERROR(INDEX(VAT_Codes!$E:$E,MATCH($N1905,VAT_Codes!$A:$A,0)),"ANY")&lt;&gt;"ANY",$P1905=""),"MISSING COUNTERPARTY COUNTRY",IF(AND(IFERROR(INDEX(VAT_Codes!$E:$E,MATCH($N1905,VAT_Codes!$A:$A,0)),"ANY")&lt;&gt;"ANY",$P1905&lt;&gt;IFERROR(INDEX(VAT_Codes!$E:$E,MATCH($N1905,VAT_Codes!$A:$A,0)),"ANY")),"REGION MISMATCH","OK")))))))</f>
        <v/>
      </c>
    </row>
    <row r="1906" customFormat="false" ht="15" hidden="false" customHeight="false" outlineLevel="0" collapsed="false">
      <c r="M1906" s="24" t="str">
        <f aca="false">IF($C1906="","",IFERROR(INDEX(Account_Mapping!$C:$C,MATCH($C1906&amp;"",Account_Mapping!$A:$A,0))&amp;"",""))</f>
        <v/>
      </c>
      <c r="N1906" s="24" t="str">
        <f aca="false">IF($K1906&lt;&gt;"",$K1906,$M1906)</f>
        <v/>
      </c>
      <c r="O1906" s="24" t="str">
        <f aca="false">IF($F1906="","",IFERROR(INDEX(Counterparties!$C:$C,MATCH($F1906&amp;"",Counterparties!$A:$A,0))&amp;"",""))</f>
        <v/>
      </c>
      <c r="P1906" s="24" t="str">
        <f aca="false">IF($O1906="","",IF($O1906="CY","CY",IF(ISNUMBER(MATCH($O1906,Lists!$A:$A,0)),"EU","3RD")))</f>
        <v/>
      </c>
      <c r="Q1906" s="24" t="str">
        <f aca="false">IF($F1906="","N",IFERROR(IF(INDEX(Counterparties!$E:$E,MATCH($F1906&amp;"",Counterparties!$A:$A,0))="Y","Y","N"),"N"))</f>
        <v>N</v>
      </c>
      <c r="R1906" s="25" t="n">
        <f aca="false">IF(OR($H1906="",$H1906="EUR"),1,IFERROR(INDEX(FX_Rates!$D:$D,MATCH($H1906,FX_Rates!$A:$A,0)),""))</f>
        <v>1</v>
      </c>
      <c r="S1906" s="26" t="str">
        <f aca="false">IF(AND($I1906="",$J1906=""),"",IF($J1906&lt;&gt;"",$J1906,IF(OR($R1906="",$R1906=0),"",ROUND($I1906/$R1906,2))))</f>
        <v/>
      </c>
      <c r="T1906" s="24" t="str">
        <f aca="false">IF($N1906="","",IFERROR(INDEX(VAT_Codes!$C:$C,MATCH($N1906,VAT_Codes!$A:$A,0)),"")&amp;"")</f>
        <v/>
      </c>
      <c r="U1906" s="26" t="n">
        <f aca="false">IF(OR($S1906="",$T1906="",$T1906="None"),0,IF($T1906="Output",-$S1906,$S1906))</f>
        <v>0</v>
      </c>
      <c r="V1906" s="27" t="n">
        <f aca="false">IF($N1906="",0,IFERROR(INDEX(VAT_Codes!$D:$D,MATCH($N1906,VAT_Codes!$A:$A,0)),0))</f>
        <v>0</v>
      </c>
      <c r="W1906" s="26" t="n">
        <f aca="false">IF($U1906=0,0,IF(IFERROR(INDEX(VAT_Codes!$F:$F,MATCH($N1906,VAT_Codes!$A:$A,0)),"N")="Y",$U1906,IF($L1906&lt;&gt;"",ROUND(ABS($L1906)/IF(OR($R1906="",$R1906=0),1,$R1906),2)*SIGN($U1906),ROUND($U1906*$V1906,2))))</f>
        <v>0</v>
      </c>
      <c r="X1906" s="24" t="str">
        <f aca="false">IF($N1906="","",IFERROR(INDEX(VAT_Codes!$H:$H,MATCH($N1906,VAT_Codes!$A:$A,0)),"")&amp;"")</f>
        <v/>
      </c>
      <c r="Y1906" s="24" t="str">
        <f aca="false">IF($A1906="","",(YEAR($A1906)-YEAR(Settings!$C$8))*12+MONTH($A1906)-MONTH(Settings!$C$8)+1)</f>
        <v/>
      </c>
      <c r="Z1906" s="24" t="str">
        <f aca="false">IF(AND($C1906="",$I1906="",$J1906=""),"",IF($N1906="","NO VAT CODE",IF($T1906="","UNKNOWN VAT CODE",IF($S1906="","MISSING FX RATE",IF(OR($A1906&lt;Settings!$C$8,$A1906&gt;Settings!$C$9),"OUTSIDE PERIOD",IF(AND(IFERROR(INDEX(VAT_Codes!$E:$E,MATCH($N1906,VAT_Codes!$A:$A,0)),"ANY")&lt;&gt;"ANY",$P1906=""),"MISSING COUNTERPARTY COUNTRY",IF(AND(IFERROR(INDEX(VAT_Codes!$E:$E,MATCH($N1906,VAT_Codes!$A:$A,0)),"ANY")&lt;&gt;"ANY",$P1906&lt;&gt;IFERROR(INDEX(VAT_Codes!$E:$E,MATCH($N1906,VAT_Codes!$A:$A,0)),"ANY")),"REGION MISMATCH","OK")))))))</f>
        <v/>
      </c>
    </row>
    <row r="1907" customFormat="false" ht="15" hidden="false" customHeight="false" outlineLevel="0" collapsed="false">
      <c r="M1907" s="24" t="str">
        <f aca="false">IF($C1907="","",IFERROR(INDEX(Account_Mapping!$C:$C,MATCH($C1907&amp;"",Account_Mapping!$A:$A,0))&amp;"",""))</f>
        <v/>
      </c>
      <c r="N1907" s="24" t="str">
        <f aca="false">IF($K1907&lt;&gt;"",$K1907,$M1907)</f>
        <v/>
      </c>
      <c r="O1907" s="24" t="str">
        <f aca="false">IF($F1907="","",IFERROR(INDEX(Counterparties!$C:$C,MATCH($F1907&amp;"",Counterparties!$A:$A,0))&amp;"",""))</f>
        <v/>
      </c>
      <c r="P1907" s="24" t="str">
        <f aca="false">IF($O1907="","",IF($O1907="CY","CY",IF(ISNUMBER(MATCH($O1907,Lists!$A:$A,0)),"EU","3RD")))</f>
        <v/>
      </c>
      <c r="Q1907" s="24" t="str">
        <f aca="false">IF($F1907="","N",IFERROR(IF(INDEX(Counterparties!$E:$E,MATCH($F1907&amp;"",Counterparties!$A:$A,0))="Y","Y","N"),"N"))</f>
        <v>N</v>
      </c>
      <c r="R1907" s="25" t="n">
        <f aca="false">IF(OR($H1907="",$H1907="EUR"),1,IFERROR(INDEX(FX_Rates!$D:$D,MATCH($H1907,FX_Rates!$A:$A,0)),""))</f>
        <v>1</v>
      </c>
      <c r="S1907" s="26" t="str">
        <f aca="false">IF(AND($I1907="",$J1907=""),"",IF($J1907&lt;&gt;"",$J1907,IF(OR($R1907="",$R1907=0),"",ROUND($I1907/$R1907,2))))</f>
        <v/>
      </c>
      <c r="T1907" s="24" t="str">
        <f aca="false">IF($N1907="","",IFERROR(INDEX(VAT_Codes!$C:$C,MATCH($N1907,VAT_Codes!$A:$A,0)),"")&amp;"")</f>
        <v/>
      </c>
      <c r="U1907" s="26" t="n">
        <f aca="false">IF(OR($S1907="",$T1907="",$T1907="None"),0,IF($T1907="Output",-$S1907,$S1907))</f>
        <v>0</v>
      </c>
      <c r="V1907" s="27" t="n">
        <f aca="false">IF($N1907="",0,IFERROR(INDEX(VAT_Codes!$D:$D,MATCH($N1907,VAT_Codes!$A:$A,0)),0))</f>
        <v>0</v>
      </c>
      <c r="W1907" s="26" t="n">
        <f aca="false">IF($U1907=0,0,IF(IFERROR(INDEX(VAT_Codes!$F:$F,MATCH($N1907,VAT_Codes!$A:$A,0)),"N")="Y",$U1907,IF($L1907&lt;&gt;"",ROUND(ABS($L1907)/IF(OR($R1907="",$R1907=0),1,$R1907),2)*SIGN($U1907),ROUND($U1907*$V1907,2))))</f>
        <v>0</v>
      </c>
      <c r="X1907" s="24" t="str">
        <f aca="false">IF($N1907="","",IFERROR(INDEX(VAT_Codes!$H:$H,MATCH($N1907,VAT_Codes!$A:$A,0)),"")&amp;"")</f>
        <v/>
      </c>
      <c r="Y1907" s="24" t="str">
        <f aca="false">IF($A1907="","",(YEAR($A1907)-YEAR(Settings!$C$8))*12+MONTH($A1907)-MONTH(Settings!$C$8)+1)</f>
        <v/>
      </c>
      <c r="Z1907" s="24" t="str">
        <f aca="false">IF(AND($C1907="",$I1907="",$J1907=""),"",IF($N1907="","NO VAT CODE",IF($T1907="","UNKNOWN VAT CODE",IF($S1907="","MISSING FX RATE",IF(OR($A1907&lt;Settings!$C$8,$A1907&gt;Settings!$C$9),"OUTSIDE PERIOD",IF(AND(IFERROR(INDEX(VAT_Codes!$E:$E,MATCH($N1907,VAT_Codes!$A:$A,0)),"ANY")&lt;&gt;"ANY",$P1907=""),"MISSING COUNTERPARTY COUNTRY",IF(AND(IFERROR(INDEX(VAT_Codes!$E:$E,MATCH($N1907,VAT_Codes!$A:$A,0)),"ANY")&lt;&gt;"ANY",$P1907&lt;&gt;IFERROR(INDEX(VAT_Codes!$E:$E,MATCH($N1907,VAT_Codes!$A:$A,0)),"ANY")),"REGION MISMATCH","OK")))))))</f>
        <v/>
      </c>
    </row>
    <row r="1908" customFormat="false" ht="15" hidden="false" customHeight="false" outlineLevel="0" collapsed="false">
      <c r="M1908" s="24" t="str">
        <f aca="false">IF($C1908="","",IFERROR(INDEX(Account_Mapping!$C:$C,MATCH($C1908&amp;"",Account_Mapping!$A:$A,0))&amp;"",""))</f>
        <v/>
      </c>
      <c r="N1908" s="24" t="str">
        <f aca="false">IF($K1908&lt;&gt;"",$K1908,$M1908)</f>
        <v/>
      </c>
      <c r="O1908" s="24" t="str">
        <f aca="false">IF($F1908="","",IFERROR(INDEX(Counterparties!$C:$C,MATCH($F1908&amp;"",Counterparties!$A:$A,0))&amp;"",""))</f>
        <v/>
      </c>
      <c r="P1908" s="24" t="str">
        <f aca="false">IF($O1908="","",IF($O1908="CY","CY",IF(ISNUMBER(MATCH($O1908,Lists!$A:$A,0)),"EU","3RD")))</f>
        <v/>
      </c>
      <c r="Q1908" s="24" t="str">
        <f aca="false">IF($F1908="","N",IFERROR(IF(INDEX(Counterparties!$E:$E,MATCH($F1908&amp;"",Counterparties!$A:$A,0))="Y","Y","N"),"N"))</f>
        <v>N</v>
      </c>
      <c r="R1908" s="25" t="n">
        <f aca="false">IF(OR($H1908="",$H1908="EUR"),1,IFERROR(INDEX(FX_Rates!$D:$D,MATCH($H1908,FX_Rates!$A:$A,0)),""))</f>
        <v>1</v>
      </c>
      <c r="S1908" s="26" t="str">
        <f aca="false">IF(AND($I1908="",$J1908=""),"",IF($J1908&lt;&gt;"",$J1908,IF(OR($R1908="",$R1908=0),"",ROUND($I1908/$R1908,2))))</f>
        <v/>
      </c>
      <c r="T1908" s="24" t="str">
        <f aca="false">IF($N1908="","",IFERROR(INDEX(VAT_Codes!$C:$C,MATCH($N1908,VAT_Codes!$A:$A,0)),"")&amp;"")</f>
        <v/>
      </c>
      <c r="U1908" s="26" t="n">
        <f aca="false">IF(OR($S1908="",$T1908="",$T1908="None"),0,IF($T1908="Output",-$S1908,$S1908))</f>
        <v>0</v>
      </c>
      <c r="V1908" s="27" t="n">
        <f aca="false">IF($N1908="",0,IFERROR(INDEX(VAT_Codes!$D:$D,MATCH($N1908,VAT_Codes!$A:$A,0)),0))</f>
        <v>0</v>
      </c>
      <c r="W1908" s="26" t="n">
        <f aca="false">IF($U1908=0,0,IF(IFERROR(INDEX(VAT_Codes!$F:$F,MATCH($N1908,VAT_Codes!$A:$A,0)),"N")="Y",$U1908,IF($L1908&lt;&gt;"",ROUND(ABS($L1908)/IF(OR($R1908="",$R1908=0),1,$R1908),2)*SIGN($U1908),ROUND($U1908*$V1908,2))))</f>
        <v>0</v>
      </c>
      <c r="X1908" s="24" t="str">
        <f aca="false">IF($N1908="","",IFERROR(INDEX(VAT_Codes!$H:$H,MATCH($N1908,VAT_Codes!$A:$A,0)),"")&amp;"")</f>
        <v/>
      </c>
      <c r="Y1908" s="24" t="str">
        <f aca="false">IF($A1908="","",(YEAR($A1908)-YEAR(Settings!$C$8))*12+MONTH($A1908)-MONTH(Settings!$C$8)+1)</f>
        <v/>
      </c>
      <c r="Z1908" s="24" t="str">
        <f aca="false">IF(AND($C1908="",$I1908="",$J1908=""),"",IF($N1908="","NO VAT CODE",IF($T1908="","UNKNOWN VAT CODE",IF($S1908="","MISSING FX RATE",IF(OR($A1908&lt;Settings!$C$8,$A1908&gt;Settings!$C$9),"OUTSIDE PERIOD",IF(AND(IFERROR(INDEX(VAT_Codes!$E:$E,MATCH($N1908,VAT_Codes!$A:$A,0)),"ANY")&lt;&gt;"ANY",$P1908=""),"MISSING COUNTERPARTY COUNTRY",IF(AND(IFERROR(INDEX(VAT_Codes!$E:$E,MATCH($N1908,VAT_Codes!$A:$A,0)),"ANY")&lt;&gt;"ANY",$P1908&lt;&gt;IFERROR(INDEX(VAT_Codes!$E:$E,MATCH($N1908,VAT_Codes!$A:$A,0)),"ANY")),"REGION MISMATCH","OK")))))))</f>
        <v/>
      </c>
    </row>
    <row r="1909" customFormat="false" ht="15" hidden="false" customHeight="false" outlineLevel="0" collapsed="false">
      <c r="M1909" s="24" t="str">
        <f aca="false">IF($C1909="","",IFERROR(INDEX(Account_Mapping!$C:$C,MATCH($C1909&amp;"",Account_Mapping!$A:$A,0))&amp;"",""))</f>
        <v/>
      </c>
      <c r="N1909" s="24" t="str">
        <f aca="false">IF($K1909&lt;&gt;"",$K1909,$M1909)</f>
        <v/>
      </c>
      <c r="O1909" s="24" t="str">
        <f aca="false">IF($F1909="","",IFERROR(INDEX(Counterparties!$C:$C,MATCH($F1909&amp;"",Counterparties!$A:$A,0))&amp;"",""))</f>
        <v/>
      </c>
      <c r="P1909" s="24" t="str">
        <f aca="false">IF($O1909="","",IF($O1909="CY","CY",IF(ISNUMBER(MATCH($O1909,Lists!$A:$A,0)),"EU","3RD")))</f>
        <v/>
      </c>
      <c r="Q1909" s="24" t="str">
        <f aca="false">IF($F1909="","N",IFERROR(IF(INDEX(Counterparties!$E:$E,MATCH($F1909&amp;"",Counterparties!$A:$A,0))="Y","Y","N"),"N"))</f>
        <v>N</v>
      </c>
      <c r="R1909" s="25" t="n">
        <f aca="false">IF(OR($H1909="",$H1909="EUR"),1,IFERROR(INDEX(FX_Rates!$D:$D,MATCH($H1909,FX_Rates!$A:$A,0)),""))</f>
        <v>1</v>
      </c>
      <c r="S1909" s="26" t="str">
        <f aca="false">IF(AND($I1909="",$J1909=""),"",IF($J1909&lt;&gt;"",$J1909,IF(OR($R1909="",$R1909=0),"",ROUND($I1909/$R1909,2))))</f>
        <v/>
      </c>
      <c r="T1909" s="24" t="str">
        <f aca="false">IF($N1909="","",IFERROR(INDEX(VAT_Codes!$C:$C,MATCH($N1909,VAT_Codes!$A:$A,0)),"")&amp;"")</f>
        <v/>
      </c>
      <c r="U1909" s="26" t="n">
        <f aca="false">IF(OR($S1909="",$T1909="",$T1909="None"),0,IF($T1909="Output",-$S1909,$S1909))</f>
        <v>0</v>
      </c>
      <c r="V1909" s="27" t="n">
        <f aca="false">IF($N1909="",0,IFERROR(INDEX(VAT_Codes!$D:$D,MATCH($N1909,VAT_Codes!$A:$A,0)),0))</f>
        <v>0</v>
      </c>
      <c r="W1909" s="26" t="n">
        <f aca="false">IF($U1909=0,0,IF(IFERROR(INDEX(VAT_Codes!$F:$F,MATCH($N1909,VAT_Codes!$A:$A,0)),"N")="Y",$U1909,IF($L1909&lt;&gt;"",ROUND(ABS($L1909)/IF(OR($R1909="",$R1909=0),1,$R1909),2)*SIGN($U1909),ROUND($U1909*$V1909,2))))</f>
        <v>0</v>
      </c>
      <c r="X1909" s="24" t="str">
        <f aca="false">IF($N1909="","",IFERROR(INDEX(VAT_Codes!$H:$H,MATCH($N1909,VAT_Codes!$A:$A,0)),"")&amp;"")</f>
        <v/>
      </c>
      <c r="Y1909" s="24" t="str">
        <f aca="false">IF($A1909="","",(YEAR($A1909)-YEAR(Settings!$C$8))*12+MONTH($A1909)-MONTH(Settings!$C$8)+1)</f>
        <v/>
      </c>
      <c r="Z1909" s="24" t="str">
        <f aca="false">IF(AND($C1909="",$I1909="",$J1909=""),"",IF($N1909="","NO VAT CODE",IF($T1909="","UNKNOWN VAT CODE",IF($S1909="","MISSING FX RATE",IF(OR($A1909&lt;Settings!$C$8,$A1909&gt;Settings!$C$9),"OUTSIDE PERIOD",IF(AND(IFERROR(INDEX(VAT_Codes!$E:$E,MATCH($N1909,VAT_Codes!$A:$A,0)),"ANY")&lt;&gt;"ANY",$P1909=""),"MISSING COUNTERPARTY COUNTRY",IF(AND(IFERROR(INDEX(VAT_Codes!$E:$E,MATCH($N1909,VAT_Codes!$A:$A,0)),"ANY")&lt;&gt;"ANY",$P1909&lt;&gt;IFERROR(INDEX(VAT_Codes!$E:$E,MATCH($N1909,VAT_Codes!$A:$A,0)),"ANY")),"REGION MISMATCH","OK")))))))</f>
        <v/>
      </c>
    </row>
    <row r="1910" customFormat="false" ht="15" hidden="false" customHeight="false" outlineLevel="0" collapsed="false">
      <c r="M1910" s="24" t="str">
        <f aca="false">IF($C1910="","",IFERROR(INDEX(Account_Mapping!$C:$C,MATCH($C1910&amp;"",Account_Mapping!$A:$A,0))&amp;"",""))</f>
        <v/>
      </c>
      <c r="N1910" s="24" t="str">
        <f aca="false">IF($K1910&lt;&gt;"",$K1910,$M1910)</f>
        <v/>
      </c>
      <c r="O1910" s="24" t="str">
        <f aca="false">IF($F1910="","",IFERROR(INDEX(Counterparties!$C:$C,MATCH($F1910&amp;"",Counterparties!$A:$A,0))&amp;"",""))</f>
        <v/>
      </c>
      <c r="P1910" s="24" t="str">
        <f aca="false">IF($O1910="","",IF($O1910="CY","CY",IF(ISNUMBER(MATCH($O1910,Lists!$A:$A,0)),"EU","3RD")))</f>
        <v/>
      </c>
      <c r="Q1910" s="24" t="str">
        <f aca="false">IF($F1910="","N",IFERROR(IF(INDEX(Counterparties!$E:$E,MATCH($F1910&amp;"",Counterparties!$A:$A,0))="Y","Y","N"),"N"))</f>
        <v>N</v>
      </c>
      <c r="R1910" s="25" t="n">
        <f aca="false">IF(OR($H1910="",$H1910="EUR"),1,IFERROR(INDEX(FX_Rates!$D:$D,MATCH($H1910,FX_Rates!$A:$A,0)),""))</f>
        <v>1</v>
      </c>
      <c r="S1910" s="26" t="str">
        <f aca="false">IF(AND($I1910="",$J1910=""),"",IF($J1910&lt;&gt;"",$J1910,IF(OR($R1910="",$R1910=0),"",ROUND($I1910/$R1910,2))))</f>
        <v/>
      </c>
      <c r="T1910" s="24" t="str">
        <f aca="false">IF($N1910="","",IFERROR(INDEX(VAT_Codes!$C:$C,MATCH($N1910,VAT_Codes!$A:$A,0)),"")&amp;"")</f>
        <v/>
      </c>
      <c r="U1910" s="26" t="n">
        <f aca="false">IF(OR($S1910="",$T1910="",$T1910="None"),0,IF($T1910="Output",-$S1910,$S1910))</f>
        <v>0</v>
      </c>
      <c r="V1910" s="27" t="n">
        <f aca="false">IF($N1910="",0,IFERROR(INDEX(VAT_Codes!$D:$D,MATCH($N1910,VAT_Codes!$A:$A,0)),0))</f>
        <v>0</v>
      </c>
      <c r="W1910" s="26" t="n">
        <f aca="false">IF($U1910=0,0,IF(IFERROR(INDEX(VAT_Codes!$F:$F,MATCH($N1910,VAT_Codes!$A:$A,0)),"N")="Y",$U1910,IF($L1910&lt;&gt;"",ROUND(ABS($L1910)/IF(OR($R1910="",$R1910=0),1,$R1910),2)*SIGN($U1910),ROUND($U1910*$V1910,2))))</f>
        <v>0</v>
      </c>
      <c r="X1910" s="24" t="str">
        <f aca="false">IF($N1910="","",IFERROR(INDEX(VAT_Codes!$H:$H,MATCH($N1910,VAT_Codes!$A:$A,0)),"")&amp;"")</f>
        <v/>
      </c>
      <c r="Y1910" s="24" t="str">
        <f aca="false">IF($A1910="","",(YEAR($A1910)-YEAR(Settings!$C$8))*12+MONTH($A1910)-MONTH(Settings!$C$8)+1)</f>
        <v/>
      </c>
      <c r="Z1910" s="24" t="str">
        <f aca="false">IF(AND($C1910="",$I1910="",$J1910=""),"",IF($N1910="","NO VAT CODE",IF($T1910="","UNKNOWN VAT CODE",IF($S1910="","MISSING FX RATE",IF(OR($A1910&lt;Settings!$C$8,$A1910&gt;Settings!$C$9),"OUTSIDE PERIOD",IF(AND(IFERROR(INDEX(VAT_Codes!$E:$E,MATCH($N1910,VAT_Codes!$A:$A,0)),"ANY")&lt;&gt;"ANY",$P1910=""),"MISSING COUNTERPARTY COUNTRY",IF(AND(IFERROR(INDEX(VAT_Codes!$E:$E,MATCH($N1910,VAT_Codes!$A:$A,0)),"ANY")&lt;&gt;"ANY",$P1910&lt;&gt;IFERROR(INDEX(VAT_Codes!$E:$E,MATCH($N1910,VAT_Codes!$A:$A,0)),"ANY")),"REGION MISMATCH","OK")))))))</f>
        <v/>
      </c>
    </row>
    <row r="1911" customFormat="false" ht="15" hidden="false" customHeight="false" outlineLevel="0" collapsed="false">
      <c r="M1911" s="24" t="str">
        <f aca="false">IF($C1911="","",IFERROR(INDEX(Account_Mapping!$C:$C,MATCH($C1911&amp;"",Account_Mapping!$A:$A,0))&amp;"",""))</f>
        <v/>
      </c>
      <c r="N1911" s="24" t="str">
        <f aca="false">IF($K1911&lt;&gt;"",$K1911,$M1911)</f>
        <v/>
      </c>
      <c r="O1911" s="24" t="str">
        <f aca="false">IF($F1911="","",IFERROR(INDEX(Counterparties!$C:$C,MATCH($F1911&amp;"",Counterparties!$A:$A,0))&amp;"",""))</f>
        <v/>
      </c>
      <c r="P1911" s="24" t="str">
        <f aca="false">IF($O1911="","",IF($O1911="CY","CY",IF(ISNUMBER(MATCH($O1911,Lists!$A:$A,0)),"EU","3RD")))</f>
        <v/>
      </c>
      <c r="Q1911" s="24" t="str">
        <f aca="false">IF($F1911="","N",IFERROR(IF(INDEX(Counterparties!$E:$E,MATCH($F1911&amp;"",Counterparties!$A:$A,0))="Y","Y","N"),"N"))</f>
        <v>N</v>
      </c>
      <c r="R1911" s="25" t="n">
        <f aca="false">IF(OR($H1911="",$H1911="EUR"),1,IFERROR(INDEX(FX_Rates!$D:$D,MATCH($H1911,FX_Rates!$A:$A,0)),""))</f>
        <v>1</v>
      </c>
      <c r="S1911" s="26" t="str">
        <f aca="false">IF(AND($I1911="",$J1911=""),"",IF($J1911&lt;&gt;"",$J1911,IF(OR($R1911="",$R1911=0),"",ROUND($I1911/$R1911,2))))</f>
        <v/>
      </c>
      <c r="T1911" s="24" t="str">
        <f aca="false">IF($N1911="","",IFERROR(INDEX(VAT_Codes!$C:$C,MATCH($N1911,VAT_Codes!$A:$A,0)),"")&amp;"")</f>
        <v/>
      </c>
      <c r="U1911" s="26" t="n">
        <f aca="false">IF(OR($S1911="",$T1911="",$T1911="None"),0,IF($T1911="Output",-$S1911,$S1911))</f>
        <v>0</v>
      </c>
      <c r="V1911" s="27" t="n">
        <f aca="false">IF($N1911="",0,IFERROR(INDEX(VAT_Codes!$D:$D,MATCH($N1911,VAT_Codes!$A:$A,0)),0))</f>
        <v>0</v>
      </c>
      <c r="W1911" s="26" t="n">
        <f aca="false">IF($U1911=0,0,IF(IFERROR(INDEX(VAT_Codes!$F:$F,MATCH($N1911,VAT_Codes!$A:$A,0)),"N")="Y",$U1911,IF($L1911&lt;&gt;"",ROUND(ABS($L1911)/IF(OR($R1911="",$R1911=0),1,$R1911),2)*SIGN($U1911),ROUND($U1911*$V1911,2))))</f>
        <v>0</v>
      </c>
      <c r="X1911" s="24" t="str">
        <f aca="false">IF($N1911="","",IFERROR(INDEX(VAT_Codes!$H:$H,MATCH($N1911,VAT_Codes!$A:$A,0)),"")&amp;"")</f>
        <v/>
      </c>
      <c r="Y1911" s="24" t="str">
        <f aca="false">IF($A1911="","",(YEAR($A1911)-YEAR(Settings!$C$8))*12+MONTH($A1911)-MONTH(Settings!$C$8)+1)</f>
        <v/>
      </c>
      <c r="Z1911" s="24" t="str">
        <f aca="false">IF(AND($C1911="",$I1911="",$J1911=""),"",IF($N1911="","NO VAT CODE",IF($T1911="","UNKNOWN VAT CODE",IF($S1911="","MISSING FX RATE",IF(OR($A1911&lt;Settings!$C$8,$A1911&gt;Settings!$C$9),"OUTSIDE PERIOD",IF(AND(IFERROR(INDEX(VAT_Codes!$E:$E,MATCH($N1911,VAT_Codes!$A:$A,0)),"ANY")&lt;&gt;"ANY",$P1911=""),"MISSING COUNTERPARTY COUNTRY",IF(AND(IFERROR(INDEX(VAT_Codes!$E:$E,MATCH($N1911,VAT_Codes!$A:$A,0)),"ANY")&lt;&gt;"ANY",$P1911&lt;&gt;IFERROR(INDEX(VAT_Codes!$E:$E,MATCH($N1911,VAT_Codes!$A:$A,0)),"ANY")),"REGION MISMATCH","OK")))))))</f>
        <v/>
      </c>
    </row>
    <row r="1912" customFormat="false" ht="15" hidden="false" customHeight="false" outlineLevel="0" collapsed="false">
      <c r="M1912" s="24" t="str">
        <f aca="false">IF($C1912="","",IFERROR(INDEX(Account_Mapping!$C:$C,MATCH($C1912&amp;"",Account_Mapping!$A:$A,0))&amp;"",""))</f>
        <v/>
      </c>
      <c r="N1912" s="24" t="str">
        <f aca="false">IF($K1912&lt;&gt;"",$K1912,$M1912)</f>
        <v/>
      </c>
      <c r="O1912" s="24" t="str">
        <f aca="false">IF($F1912="","",IFERROR(INDEX(Counterparties!$C:$C,MATCH($F1912&amp;"",Counterparties!$A:$A,0))&amp;"",""))</f>
        <v/>
      </c>
      <c r="P1912" s="24" t="str">
        <f aca="false">IF($O1912="","",IF($O1912="CY","CY",IF(ISNUMBER(MATCH($O1912,Lists!$A:$A,0)),"EU","3RD")))</f>
        <v/>
      </c>
      <c r="Q1912" s="24" t="str">
        <f aca="false">IF($F1912="","N",IFERROR(IF(INDEX(Counterparties!$E:$E,MATCH($F1912&amp;"",Counterparties!$A:$A,0))="Y","Y","N"),"N"))</f>
        <v>N</v>
      </c>
      <c r="R1912" s="25" t="n">
        <f aca="false">IF(OR($H1912="",$H1912="EUR"),1,IFERROR(INDEX(FX_Rates!$D:$D,MATCH($H1912,FX_Rates!$A:$A,0)),""))</f>
        <v>1</v>
      </c>
      <c r="S1912" s="26" t="str">
        <f aca="false">IF(AND($I1912="",$J1912=""),"",IF($J1912&lt;&gt;"",$J1912,IF(OR($R1912="",$R1912=0),"",ROUND($I1912/$R1912,2))))</f>
        <v/>
      </c>
      <c r="T1912" s="24" t="str">
        <f aca="false">IF($N1912="","",IFERROR(INDEX(VAT_Codes!$C:$C,MATCH($N1912,VAT_Codes!$A:$A,0)),"")&amp;"")</f>
        <v/>
      </c>
      <c r="U1912" s="26" t="n">
        <f aca="false">IF(OR($S1912="",$T1912="",$T1912="None"),0,IF($T1912="Output",-$S1912,$S1912))</f>
        <v>0</v>
      </c>
      <c r="V1912" s="27" t="n">
        <f aca="false">IF($N1912="",0,IFERROR(INDEX(VAT_Codes!$D:$D,MATCH($N1912,VAT_Codes!$A:$A,0)),0))</f>
        <v>0</v>
      </c>
      <c r="W1912" s="26" t="n">
        <f aca="false">IF($U1912=0,0,IF(IFERROR(INDEX(VAT_Codes!$F:$F,MATCH($N1912,VAT_Codes!$A:$A,0)),"N")="Y",$U1912,IF($L1912&lt;&gt;"",ROUND(ABS($L1912)/IF(OR($R1912="",$R1912=0),1,$R1912),2)*SIGN($U1912),ROUND($U1912*$V1912,2))))</f>
        <v>0</v>
      </c>
      <c r="X1912" s="24" t="str">
        <f aca="false">IF($N1912="","",IFERROR(INDEX(VAT_Codes!$H:$H,MATCH($N1912,VAT_Codes!$A:$A,0)),"")&amp;"")</f>
        <v/>
      </c>
      <c r="Y1912" s="24" t="str">
        <f aca="false">IF($A1912="","",(YEAR($A1912)-YEAR(Settings!$C$8))*12+MONTH($A1912)-MONTH(Settings!$C$8)+1)</f>
        <v/>
      </c>
      <c r="Z1912" s="24" t="str">
        <f aca="false">IF(AND($C1912="",$I1912="",$J1912=""),"",IF($N1912="","NO VAT CODE",IF($T1912="","UNKNOWN VAT CODE",IF($S1912="","MISSING FX RATE",IF(OR($A1912&lt;Settings!$C$8,$A1912&gt;Settings!$C$9),"OUTSIDE PERIOD",IF(AND(IFERROR(INDEX(VAT_Codes!$E:$E,MATCH($N1912,VAT_Codes!$A:$A,0)),"ANY")&lt;&gt;"ANY",$P1912=""),"MISSING COUNTERPARTY COUNTRY",IF(AND(IFERROR(INDEX(VAT_Codes!$E:$E,MATCH($N1912,VAT_Codes!$A:$A,0)),"ANY")&lt;&gt;"ANY",$P1912&lt;&gt;IFERROR(INDEX(VAT_Codes!$E:$E,MATCH($N1912,VAT_Codes!$A:$A,0)),"ANY")),"REGION MISMATCH","OK")))))))</f>
        <v/>
      </c>
    </row>
    <row r="1913" customFormat="false" ht="15" hidden="false" customHeight="false" outlineLevel="0" collapsed="false">
      <c r="M1913" s="24" t="str">
        <f aca="false">IF($C1913="","",IFERROR(INDEX(Account_Mapping!$C:$C,MATCH($C1913&amp;"",Account_Mapping!$A:$A,0))&amp;"",""))</f>
        <v/>
      </c>
      <c r="N1913" s="24" t="str">
        <f aca="false">IF($K1913&lt;&gt;"",$K1913,$M1913)</f>
        <v/>
      </c>
      <c r="O1913" s="24" t="str">
        <f aca="false">IF($F1913="","",IFERROR(INDEX(Counterparties!$C:$C,MATCH($F1913&amp;"",Counterparties!$A:$A,0))&amp;"",""))</f>
        <v/>
      </c>
      <c r="P1913" s="24" t="str">
        <f aca="false">IF($O1913="","",IF($O1913="CY","CY",IF(ISNUMBER(MATCH($O1913,Lists!$A:$A,0)),"EU","3RD")))</f>
        <v/>
      </c>
      <c r="Q1913" s="24" t="str">
        <f aca="false">IF($F1913="","N",IFERROR(IF(INDEX(Counterparties!$E:$E,MATCH($F1913&amp;"",Counterparties!$A:$A,0))="Y","Y","N"),"N"))</f>
        <v>N</v>
      </c>
      <c r="R1913" s="25" t="n">
        <f aca="false">IF(OR($H1913="",$H1913="EUR"),1,IFERROR(INDEX(FX_Rates!$D:$D,MATCH($H1913,FX_Rates!$A:$A,0)),""))</f>
        <v>1</v>
      </c>
      <c r="S1913" s="26" t="str">
        <f aca="false">IF(AND($I1913="",$J1913=""),"",IF($J1913&lt;&gt;"",$J1913,IF(OR($R1913="",$R1913=0),"",ROUND($I1913/$R1913,2))))</f>
        <v/>
      </c>
      <c r="T1913" s="24" t="str">
        <f aca="false">IF($N1913="","",IFERROR(INDEX(VAT_Codes!$C:$C,MATCH($N1913,VAT_Codes!$A:$A,0)),"")&amp;"")</f>
        <v/>
      </c>
      <c r="U1913" s="26" t="n">
        <f aca="false">IF(OR($S1913="",$T1913="",$T1913="None"),0,IF($T1913="Output",-$S1913,$S1913))</f>
        <v>0</v>
      </c>
      <c r="V1913" s="27" t="n">
        <f aca="false">IF($N1913="",0,IFERROR(INDEX(VAT_Codes!$D:$D,MATCH($N1913,VAT_Codes!$A:$A,0)),0))</f>
        <v>0</v>
      </c>
      <c r="W1913" s="26" t="n">
        <f aca="false">IF($U1913=0,0,IF(IFERROR(INDEX(VAT_Codes!$F:$F,MATCH($N1913,VAT_Codes!$A:$A,0)),"N")="Y",$U1913,IF($L1913&lt;&gt;"",ROUND(ABS($L1913)/IF(OR($R1913="",$R1913=0),1,$R1913),2)*SIGN($U1913),ROUND($U1913*$V1913,2))))</f>
        <v>0</v>
      </c>
      <c r="X1913" s="24" t="str">
        <f aca="false">IF($N1913="","",IFERROR(INDEX(VAT_Codes!$H:$H,MATCH($N1913,VAT_Codes!$A:$A,0)),"")&amp;"")</f>
        <v/>
      </c>
      <c r="Y1913" s="24" t="str">
        <f aca="false">IF($A1913="","",(YEAR($A1913)-YEAR(Settings!$C$8))*12+MONTH($A1913)-MONTH(Settings!$C$8)+1)</f>
        <v/>
      </c>
      <c r="Z1913" s="24" t="str">
        <f aca="false">IF(AND($C1913="",$I1913="",$J1913=""),"",IF($N1913="","NO VAT CODE",IF($T1913="","UNKNOWN VAT CODE",IF($S1913="","MISSING FX RATE",IF(OR($A1913&lt;Settings!$C$8,$A1913&gt;Settings!$C$9),"OUTSIDE PERIOD",IF(AND(IFERROR(INDEX(VAT_Codes!$E:$E,MATCH($N1913,VAT_Codes!$A:$A,0)),"ANY")&lt;&gt;"ANY",$P1913=""),"MISSING COUNTERPARTY COUNTRY",IF(AND(IFERROR(INDEX(VAT_Codes!$E:$E,MATCH($N1913,VAT_Codes!$A:$A,0)),"ANY")&lt;&gt;"ANY",$P1913&lt;&gt;IFERROR(INDEX(VAT_Codes!$E:$E,MATCH($N1913,VAT_Codes!$A:$A,0)),"ANY")),"REGION MISMATCH","OK")))))))</f>
        <v/>
      </c>
    </row>
    <row r="1914" customFormat="false" ht="15" hidden="false" customHeight="false" outlineLevel="0" collapsed="false">
      <c r="M1914" s="24" t="str">
        <f aca="false">IF($C1914="","",IFERROR(INDEX(Account_Mapping!$C:$C,MATCH($C1914&amp;"",Account_Mapping!$A:$A,0))&amp;"",""))</f>
        <v/>
      </c>
      <c r="N1914" s="24" t="str">
        <f aca="false">IF($K1914&lt;&gt;"",$K1914,$M1914)</f>
        <v/>
      </c>
      <c r="O1914" s="24" t="str">
        <f aca="false">IF($F1914="","",IFERROR(INDEX(Counterparties!$C:$C,MATCH($F1914&amp;"",Counterparties!$A:$A,0))&amp;"",""))</f>
        <v/>
      </c>
      <c r="P1914" s="24" t="str">
        <f aca="false">IF($O1914="","",IF($O1914="CY","CY",IF(ISNUMBER(MATCH($O1914,Lists!$A:$A,0)),"EU","3RD")))</f>
        <v/>
      </c>
      <c r="Q1914" s="24" t="str">
        <f aca="false">IF($F1914="","N",IFERROR(IF(INDEX(Counterparties!$E:$E,MATCH($F1914&amp;"",Counterparties!$A:$A,0))="Y","Y","N"),"N"))</f>
        <v>N</v>
      </c>
      <c r="R1914" s="25" t="n">
        <f aca="false">IF(OR($H1914="",$H1914="EUR"),1,IFERROR(INDEX(FX_Rates!$D:$D,MATCH($H1914,FX_Rates!$A:$A,0)),""))</f>
        <v>1</v>
      </c>
      <c r="S1914" s="26" t="str">
        <f aca="false">IF(AND($I1914="",$J1914=""),"",IF($J1914&lt;&gt;"",$J1914,IF(OR($R1914="",$R1914=0),"",ROUND($I1914/$R1914,2))))</f>
        <v/>
      </c>
      <c r="T1914" s="24" t="str">
        <f aca="false">IF($N1914="","",IFERROR(INDEX(VAT_Codes!$C:$C,MATCH($N1914,VAT_Codes!$A:$A,0)),"")&amp;"")</f>
        <v/>
      </c>
      <c r="U1914" s="26" t="n">
        <f aca="false">IF(OR($S1914="",$T1914="",$T1914="None"),0,IF($T1914="Output",-$S1914,$S1914))</f>
        <v>0</v>
      </c>
      <c r="V1914" s="27" t="n">
        <f aca="false">IF($N1914="",0,IFERROR(INDEX(VAT_Codes!$D:$D,MATCH($N1914,VAT_Codes!$A:$A,0)),0))</f>
        <v>0</v>
      </c>
      <c r="W1914" s="26" t="n">
        <f aca="false">IF($U1914=0,0,IF(IFERROR(INDEX(VAT_Codes!$F:$F,MATCH($N1914,VAT_Codes!$A:$A,0)),"N")="Y",$U1914,IF($L1914&lt;&gt;"",ROUND(ABS($L1914)/IF(OR($R1914="",$R1914=0),1,$R1914),2)*SIGN($U1914),ROUND($U1914*$V1914,2))))</f>
        <v>0</v>
      </c>
      <c r="X1914" s="24" t="str">
        <f aca="false">IF($N1914="","",IFERROR(INDEX(VAT_Codes!$H:$H,MATCH($N1914,VAT_Codes!$A:$A,0)),"")&amp;"")</f>
        <v/>
      </c>
      <c r="Y1914" s="24" t="str">
        <f aca="false">IF($A1914="","",(YEAR($A1914)-YEAR(Settings!$C$8))*12+MONTH($A1914)-MONTH(Settings!$C$8)+1)</f>
        <v/>
      </c>
      <c r="Z1914" s="24" t="str">
        <f aca="false">IF(AND($C1914="",$I1914="",$J1914=""),"",IF($N1914="","NO VAT CODE",IF($T1914="","UNKNOWN VAT CODE",IF($S1914="","MISSING FX RATE",IF(OR($A1914&lt;Settings!$C$8,$A1914&gt;Settings!$C$9),"OUTSIDE PERIOD",IF(AND(IFERROR(INDEX(VAT_Codes!$E:$E,MATCH($N1914,VAT_Codes!$A:$A,0)),"ANY")&lt;&gt;"ANY",$P1914=""),"MISSING COUNTERPARTY COUNTRY",IF(AND(IFERROR(INDEX(VAT_Codes!$E:$E,MATCH($N1914,VAT_Codes!$A:$A,0)),"ANY")&lt;&gt;"ANY",$P1914&lt;&gt;IFERROR(INDEX(VAT_Codes!$E:$E,MATCH($N1914,VAT_Codes!$A:$A,0)),"ANY")),"REGION MISMATCH","OK")))))))</f>
        <v/>
      </c>
    </row>
    <row r="1915" customFormat="false" ht="15" hidden="false" customHeight="false" outlineLevel="0" collapsed="false">
      <c r="M1915" s="24" t="str">
        <f aca="false">IF($C1915="","",IFERROR(INDEX(Account_Mapping!$C:$C,MATCH($C1915&amp;"",Account_Mapping!$A:$A,0))&amp;"",""))</f>
        <v/>
      </c>
      <c r="N1915" s="24" t="str">
        <f aca="false">IF($K1915&lt;&gt;"",$K1915,$M1915)</f>
        <v/>
      </c>
      <c r="O1915" s="24" t="str">
        <f aca="false">IF($F1915="","",IFERROR(INDEX(Counterparties!$C:$C,MATCH($F1915&amp;"",Counterparties!$A:$A,0))&amp;"",""))</f>
        <v/>
      </c>
      <c r="P1915" s="24" t="str">
        <f aca="false">IF($O1915="","",IF($O1915="CY","CY",IF(ISNUMBER(MATCH($O1915,Lists!$A:$A,0)),"EU","3RD")))</f>
        <v/>
      </c>
      <c r="Q1915" s="24" t="str">
        <f aca="false">IF($F1915="","N",IFERROR(IF(INDEX(Counterparties!$E:$E,MATCH($F1915&amp;"",Counterparties!$A:$A,0))="Y","Y","N"),"N"))</f>
        <v>N</v>
      </c>
      <c r="R1915" s="25" t="n">
        <f aca="false">IF(OR($H1915="",$H1915="EUR"),1,IFERROR(INDEX(FX_Rates!$D:$D,MATCH($H1915,FX_Rates!$A:$A,0)),""))</f>
        <v>1</v>
      </c>
      <c r="S1915" s="26" t="str">
        <f aca="false">IF(AND($I1915="",$J1915=""),"",IF($J1915&lt;&gt;"",$J1915,IF(OR($R1915="",$R1915=0),"",ROUND($I1915/$R1915,2))))</f>
        <v/>
      </c>
      <c r="T1915" s="24" t="str">
        <f aca="false">IF($N1915="","",IFERROR(INDEX(VAT_Codes!$C:$C,MATCH($N1915,VAT_Codes!$A:$A,0)),"")&amp;"")</f>
        <v/>
      </c>
      <c r="U1915" s="26" t="n">
        <f aca="false">IF(OR($S1915="",$T1915="",$T1915="None"),0,IF($T1915="Output",-$S1915,$S1915))</f>
        <v>0</v>
      </c>
      <c r="V1915" s="27" t="n">
        <f aca="false">IF($N1915="",0,IFERROR(INDEX(VAT_Codes!$D:$D,MATCH($N1915,VAT_Codes!$A:$A,0)),0))</f>
        <v>0</v>
      </c>
      <c r="W1915" s="26" t="n">
        <f aca="false">IF($U1915=0,0,IF(IFERROR(INDEX(VAT_Codes!$F:$F,MATCH($N1915,VAT_Codes!$A:$A,0)),"N")="Y",$U1915,IF($L1915&lt;&gt;"",ROUND(ABS($L1915)/IF(OR($R1915="",$R1915=0),1,$R1915),2)*SIGN($U1915),ROUND($U1915*$V1915,2))))</f>
        <v>0</v>
      </c>
      <c r="X1915" s="24" t="str">
        <f aca="false">IF($N1915="","",IFERROR(INDEX(VAT_Codes!$H:$H,MATCH($N1915,VAT_Codes!$A:$A,0)),"")&amp;"")</f>
        <v/>
      </c>
      <c r="Y1915" s="24" t="str">
        <f aca="false">IF($A1915="","",(YEAR($A1915)-YEAR(Settings!$C$8))*12+MONTH($A1915)-MONTH(Settings!$C$8)+1)</f>
        <v/>
      </c>
      <c r="Z1915" s="24" t="str">
        <f aca="false">IF(AND($C1915="",$I1915="",$J1915=""),"",IF($N1915="","NO VAT CODE",IF($T1915="","UNKNOWN VAT CODE",IF($S1915="","MISSING FX RATE",IF(OR($A1915&lt;Settings!$C$8,$A1915&gt;Settings!$C$9),"OUTSIDE PERIOD",IF(AND(IFERROR(INDEX(VAT_Codes!$E:$E,MATCH($N1915,VAT_Codes!$A:$A,0)),"ANY")&lt;&gt;"ANY",$P1915=""),"MISSING COUNTERPARTY COUNTRY",IF(AND(IFERROR(INDEX(VAT_Codes!$E:$E,MATCH($N1915,VAT_Codes!$A:$A,0)),"ANY")&lt;&gt;"ANY",$P1915&lt;&gt;IFERROR(INDEX(VAT_Codes!$E:$E,MATCH($N1915,VAT_Codes!$A:$A,0)),"ANY")),"REGION MISMATCH","OK")))))))</f>
        <v/>
      </c>
    </row>
    <row r="1916" customFormat="false" ht="15" hidden="false" customHeight="false" outlineLevel="0" collapsed="false">
      <c r="M1916" s="24" t="str">
        <f aca="false">IF($C1916="","",IFERROR(INDEX(Account_Mapping!$C:$C,MATCH($C1916&amp;"",Account_Mapping!$A:$A,0))&amp;"",""))</f>
        <v/>
      </c>
      <c r="N1916" s="24" t="str">
        <f aca="false">IF($K1916&lt;&gt;"",$K1916,$M1916)</f>
        <v/>
      </c>
      <c r="O1916" s="24" t="str">
        <f aca="false">IF($F1916="","",IFERROR(INDEX(Counterparties!$C:$C,MATCH($F1916&amp;"",Counterparties!$A:$A,0))&amp;"",""))</f>
        <v/>
      </c>
      <c r="P1916" s="24" t="str">
        <f aca="false">IF($O1916="","",IF($O1916="CY","CY",IF(ISNUMBER(MATCH($O1916,Lists!$A:$A,0)),"EU","3RD")))</f>
        <v/>
      </c>
      <c r="Q1916" s="24" t="str">
        <f aca="false">IF($F1916="","N",IFERROR(IF(INDEX(Counterparties!$E:$E,MATCH($F1916&amp;"",Counterparties!$A:$A,0))="Y","Y","N"),"N"))</f>
        <v>N</v>
      </c>
      <c r="R1916" s="25" t="n">
        <f aca="false">IF(OR($H1916="",$H1916="EUR"),1,IFERROR(INDEX(FX_Rates!$D:$D,MATCH($H1916,FX_Rates!$A:$A,0)),""))</f>
        <v>1</v>
      </c>
      <c r="S1916" s="26" t="str">
        <f aca="false">IF(AND($I1916="",$J1916=""),"",IF($J1916&lt;&gt;"",$J1916,IF(OR($R1916="",$R1916=0),"",ROUND($I1916/$R1916,2))))</f>
        <v/>
      </c>
      <c r="T1916" s="24" t="str">
        <f aca="false">IF($N1916="","",IFERROR(INDEX(VAT_Codes!$C:$C,MATCH($N1916,VAT_Codes!$A:$A,0)),"")&amp;"")</f>
        <v/>
      </c>
      <c r="U1916" s="26" t="n">
        <f aca="false">IF(OR($S1916="",$T1916="",$T1916="None"),0,IF($T1916="Output",-$S1916,$S1916))</f>
        <v>0</v>
      </c>
      <c r="V1916" s="27" t="n">
        <f aca="false">IF($N1916="",0,IFERROR(INDEX(VAT_Codes!$D:$D,MATCH($N1916,VAT_Codes!$A:$A,0)),0))</f>
        <v>0</v>
      </c>
      <c r="W1916" s="26" t="n">
        <f aca="false">IF($U1916=0,0,IF(IFERROR(INDEX(VAT_Codes!$F:$F,MATCH($N1916,VAT_Codes!$A:$A,0)),"N")="Y",$U1916,IF($L1916&lt;&gt;"",ROUND(ABS($L1916)/IF(OR($R1916="",$R1916=0),1,$R1916),2)*SIGN($U1916),ROUND($U1916*$V1916,2))))</f>
        <v>0</v>
      </c>
      <c r="X1916" s="24" t="str">
        <f aca="false">IF($N1916="","",IFERROR(INDEX(VAT_Codes!$H:$H,MATCH($N1916,VAT_Codes!$A:$A,0)),"")&amp;"")</f>
        <v/>
      </c>
      <c r="Y1916" s="24" t="str">
        <f aca="false">IF($A1916="","",(YEAR($A1916)-YEAR(Settings!$C$8))*12+MONTH($A1916)-MONTH(Settings!$C$8)+1)</f>
        <v/>
      </c>
      <c r="Z1916" s="24" t="str">
        <f aca="false">IF(AND($C1916="",$I1916="",$J1916=""),"",IF($N1916="","NO VAT CODE",IF($T1916="","UNKNOWN VAT CODE",IF($S1916="","MISSING FX RATE",IF(OR($A1916&lt;Settings!$C$8,$A1916&gt;Settings!$C$9),"OUTSIDE PERIOD",IF(AND(IFERROR(INDEX(VAT_Codes!$E:$E,MATCH($N1916,VAT_Codes!$A:$A,0)),"ANY")&lt;&gt;"ANY",$P1916=""),"MISSING COUNTERPARTY COUNTRY",IF(AND(IFERROR(INDEX(VAT_Codes!$E:$E,MATCH($N1916,VAT_Codes!$A:$A,0)),"ANY")&lt;&gt;"ANY",$P1916&lt;&gt;IFERROR(INDEX(VAT_Codes!$E:$E,MATCH($N1916,VAT_Codes!$A:$A,0)),"ANY")),"REGION MISMATCH","OK")))))))</f>
        <v/>
      </c>
    </row>
    <row r="1917" customFormat="false" ht="15" hidden="false" customHeight="false" outlineLevel="0" collapsed="false">
      <c r="M1917" s="24" t="str">
        <f aca="false">IF($C1917="","",IFERROR(INDEX(Account_Mapping!$C:$C,MATCH($C1917&amp;"",Account_Mapping!$A:$A,0))&amp;"",""))</f>
        <v/>
      </c>
      <c r="N1917" s="24" t="str">
        <f aca="false">IF($K1917&lt;&gt;"",$K1917,$M1917)</f>
        <v/>
      </c>
      <c r="O1917" s="24" t="str">
        <f aca="false">IF($F1917="","",IFERROR(INDEX(Counterparties!$C:$C,MATCH($F1917&amp;"",Counterparties!$A:$A,0))&amp;"",""))</f>
        <v/>
      </c>
      <c r="P1917" s="24" t="str">
        <f aca="false">IF($O1917="","",IF($O1917="CY","CY",IF(ISNUMBER(MATCH($O1917,Lists!$A:$A,0)),"EU","3RD")))</f>
        <v/>
      </c>
      <c r="Q1917" s="24" t="str">
        <f aca="false">IF($F1917="","N",IFERROR(IF(INDEX(Counterparties!$E:$E,MATCH($F1917&amp;"",Counterparties!$A:$A,0))="Y","Y","N"),"N"))</f>
        <v>N</v>
      </c>
      <c r="R1917" s="25" t="n">
        <f aca="false">IF(OR($H1917="",$H1917="EUR"),1,IFERROR(INDEX(FX_Rates!$D:$D,MATCH($H1917,FX_Rates!$A:$A,0)),""))</f>
        <v>1</v>
      </c>
      <c r="S1917" s="26" t="str">
        <f aca="false">IF(AND($I1917="",$J1917=""),"",IF($J1917&lt;&gt;"",$J1917,IF(OR($R1917="",$R1917=0),"",ROUND($I1917/$R1917,2))))</f>
        <v/>
      </c>
      <c r="T1917" s="24" t="str">
        <f aca="false">IF($N1917="","",IFERROR(INDEX(VAT_Codes!$C:$C,MATCH($N1917,VAT_Codes!$A:$A,0)),"")&amp;"")</f>
        <v/>
      </c>
      <c r="U1917" s="26" t="n">
        <f aca="false">IF(OR($S1917="",$T1917="",$T1917="None"),0,IF($T1917="Output",-$S1917,$S1917))</f>
        <v>0</v>
      </c>
      <c r="V1917" s="27" t="n">
        <f aca="false">IF($N1917="",0,IFERROR(INDEX(VAT_Codes!$D:$D,MATCH($N1917,VAT_Codes!$A:$A,0)),0))</f>
        <v>0</v>
      </c>
      <c r="W1917" s="26" t="n">
        <f aca="false">IF($U1917=0,0,IF(IFERROR(INDEX(VAT_Codes!$F:$F,MATCH($N1917,VAT_Codes!$A:$A,0)),"N")="Y",$U1917,IF($L1917&lt;&gt;"",ROUND(ABS($L1917)/IF(OR($R1917="",$R1917=0),1,$R1917),2)*SIGN($U1917),ROUND($U1917*$V1917,2))))</f>
        <v>0</v>
      </c>
      <c r="X1917" s="24" t="str">
        <f aca="false">IF($N1917="","",IFERROR(INDEX(VAT_Codes!$H:$H,MATCH($N1917,VAT_Codes!$A:$A,0)),"")&amp;"")</f>
        <v/>
      </c>
      <c r="Y1917" s="24" t="str">
        <f aca="false">IF($A1917="","",(YEAR($A1917)-YEAR(Settings!$C$8))*12+MONTH($A1917)-MONTH(Settings!$C$8)+1)</f>
        <v/>
      </c>
      <c r="Z1917" s="24" t="str">
        <f aca="false">IF(AND($C1917="",$I1917="",$J1917=""),"",IF($N1917="","NO VAT CODE",IF($T1917="","UNKNOWN VAT CODE",IF($S1917="","MISSING FX RATE",IF(OR($A1917&lt;Settings!$C$8,$A1917&gt;Settings!$C$9),"OUTSIDE PERIOD",IF(AND(IFERROR(INDEX(VAT_Codes!$E:$E,MATCH($N1917,VAT_Codes!$A:$A,0)),"ANY")&lt;&gt;"ANY",$P1917=""),"MISSING COUNTERPARTY COUNTRY",IF(AND(IFERROR(INDEX(VAT_Codes!$E:$E,MATCH($N1917,VAT_Codes!$A:$A,0)),"ANY")&lt;&gt;"ANY",$P1917&lt;&gt;IFERROR(INDEX(VAT_Codes!$E:$E,MATCH($N1917,VAT_Codes!$A:$A,0)),"ANY")),"REGION MISMATCH","OK")))))))</f>
        <v/>
      </c>
    </row>
    <row r="1918" customFormat="false" ht="15" hidden="false" customHeight="false" outlineLevel="0" collapsed="false">
      <c r="M1918" s="24" t="str">
        <f aca="false">IF($C1918="","",IFERROR(INDEX(Account_Mapping!$C:$C,MATCH($C1918&amp;"",Account_Mapping!$A:$A,0))&amp;"",""))</f>
        <v/>
      </c>
      <c r="N1918" s="24" t="str">
        <f aca="false">IF($K1918&lt;&gt;"",$K1918,$M1918)</f>
        <v/>
      </c>
      <c r="O1918" s="24" t="str">
        <f aca="false">IF($F1918="","",IFERROR(INDEX(Counterparties!$C:$C,MATCH($F1918&amp;"",Counterparties!$A:$A,0))&amp;"",""))</f>
        <v/>
      </c>
      <c r="P1918" s="24" t="str">
        <f aca="false">IF($O1918="","",IF($O1918="CY","CY",IF(ISNUMBER(MATCH($O1918,Lists!$A:$A,0)),"EU","3RD")))</f>
        <v/>
      </c>
      <c r="Q1918" s="24" t="str">
        <f aca="false">IF($F1918="","N",IFERROR(IF(INDEX(Counterparties!$E:$E,MATCH($F1918&amp;"",Counterparties!$A:$A,0))="Y","Y","N"),"N"))</f>
        <v>N</v>
      </c>
      <c r="R1918" s="25" t="n">
        <f aca="false">IF(OR($H1918="",$H1918="EUR"),1,IFERROR(INDEX(FX_Rates!$D:$D,MATCH($H1918,FX_Rates!$A:$A,0)),""))</f>
        <v>1</v>
      </c>
      <c r="S1918" s="26" t="str">
        <f aca="false">IF(AND($I1918="",$J1918=""),"",IF($J1918&lt;&gt;"",$J1918,IF(OR($R1918="",$R1918=0),"",ROUND($I1918/$R1918,2))))</f>
        <v/>
      </c>
      <c r="T1918" s="24" t="str">
        <f aca="false">IF($N1918="","",IFERROR(INDEX(VAT_Codes!$C:$C,MATCH($N1918,VAT_Codes!$A:$A,0)),"")&amp;"")</f>
        <v/>
      </c>
      <c r="U1918" s="26" t="n">
        <f aca="false">IF(OR($S1918="",$T1918="",$T1918="None"),0,IF($T1918="Output",-$S1918,$S1918))</f>
        <v>0</v>
      </c>
      <c r="V1918" s="27" t="n">
        <f aca="false">IF($N1918="",0,IFERROR(INDEX(VAT_Codes!$D:$D,MATCH($N1918,VAT_Codes!$A:$A,0)),0))</f>
        <v>0</v>
      </c>
      <c r="W1918" s="26" t="n">
        <f aca="false">IF($U1918=0,0,IF(IFERROR(INDEX(VAT_Codes!$F:$F,MATCH($N1918,VAT_Codes!$A:$A,0)),"N")="Y",$U1918,IF($L1918&lt;&gt;"",ROUND(ABS($L1918)/IF(OR($R1918="",$R1918=0),1,$R1918),2)*SIGN($U1918),ROUND($U1918*$V1918,2))))</f>
        <v>0</v>
      </c>
      <c r="X1918" s="24" t="str">
        <f aca="false">IF($N1918="","",IFERROR(INDEX(VAT_Codes!$H:$H,MATCH($N1918,VAT_Codes!$A:$A,0)),"")&amp;"")</f>
        <v/>
      </c>
      <c r="Y1918" s="24" t="str">
        <f aca="false">IF($A1918="","",(YEAR($A1918)-YEAR(Settings!$C$8))*12+MONTH($A1918)-MONTH(Settings!$C$8)+1)</f>
        <v/>
      </c>
      <c r="Z1918" s="24" t="str">
        <f aca="false">IF(AND($C1918="",$I1918="",$J1918=""),"",IF($N1918="","NO VAT CODE",IF($T1918="","UNKNOWN VAT CODE",IF($S1918="","MISSING FX RATE",IF(OR($A1918&lt;Settings!$C$8,$A1918&gt;Settings!$C$9),"OUTSIDE PERIOD",IF(AND(IFERROR(INDEX(VAT_Codes!$E:$E,MATCH($N1918,VAT_Codes!$A:$A,0)),"ANY")&lt;&gt;"ANY",$P1918=""),"MISSING COUNTERPARTY COUNTRY",IF(AND(IFERROR(INDEX(VAT_Codes!$E:$E,MATCH($N1918,VAT_Codes!$A:$A,0)),"ANY")&lt;&gt;"ANY",$P1918&lt;&gt;IFERROR(INDEX(VAT_Codes!$E:$E,MATCH($N1918,VAT_Codes!$A:$A,0)),"ANY")),"REGION MISMATCH","OK")))))))</f>
        <v/>
      </c>
    </row>
    <row r="1919" customFormat="false" ht="15" hidden="false" customHeight="false" outlineLevel="0" collapsed="false">
      <c r="M1919" s="24" t="str">
        <f aca="false">IF($C1919="","",IFERROR(INDEX(Account_Mapping!$C:$C,MATCH($C1919&amp;"",Account_Mapping!$A:$A,0))&amp;"",""))</f>
        <v/>
      </c>
      <c r="N1919" s="24" t="str">
        <f aca="false">IF($K1919&lt;&gt;"",$K1919,$M1919)</f>
        <v/>
      </c>
      <c r="O1919" s="24" t="str">
        <f aca="false">IF($F1919="","",IFERROR(INDEX(Counterparties!$C:$C,MATCH($F1919&amp;"",Counterparties!$A:$A,0))&amp;"",""))</f>
        <v/>
      </c>
      <c r="P1919" s="24" t="str">
        <f aca="false">IF($O1919="","",IF($O1919="CY","CY",IF(ISNUMBER(MATCH($O1919,Lists!$A:$A,0)),"EU","3RD")))</f>
        <v/>
      </c>
      <c r="Q1919" s="24" t="str">
        <f aca="false">IF($F1919="","N",IFERROR(IF(INDEX(Counterparties!$E:$E,MATCH($F1919&amp;"",Counterparties!$A:$A,0))="Y","Y","N"),"N"))</f>
        <v>N</v>
      </c>
      <c r="R1919" s="25" t="n">
        <f aca="false">IF(OR($H1919="",$H1919="EUR"),1,IFERROR(INDEX(FX_Rates!$D:$D,MATCH($H1919,FX_Rates!$A:$A,0)),""))</f>
        <v>1</v>
      </c>
      <c r="S1919" s="26" t="str">
        <f aca="false">IF(AND($I1919="",$J1919=""),"",IF($J1919&lt;&gt;"",$J1919,IF(OR($R1919="",$R1919=0),"",ROUND($I1919/$R1919,2))))</f>
        <v/>
      </c>
      <c r="T1919" s="24" t="str">
        <f aca="false">IF($N1919="","",IFERROR(INDEX(VAT_Codes!$C:$C,MATCH($N1919,VAT_Codes!$A:$A,0)),"")&amp;"")</f>
        <v/>
      </c>
      <c r="U1919" s="26" t="n">
        <f aca="false">IF(OR($S1919="",$T1919="",$T1919="None"),0,IF($T1919="Output",-$S1919,$S1919))</f>
        <v>0</v>
      </c>
      <c r="V1919" s="27" t="n">
        <f aca="false">IF($N1919="",0,IFERROR(INDEX(VAT_Codes!$D:$D,MATCH($N1919,VAT_Codes!$A:$A,0)),0))</f>
        <v>0</v>
      </c>
      <c r="W1919" s="26" t="n">
        <f aca="false">IF($U1919=0,0,IF(IFERROR(INDEX(VAT_Codes!$F:$F,MATCH($N1919,VAT_Codes!$A:$A,0)),"N")="Y",$U1919,IF($L1919&lt;&gt;"",ROUND(ABS($L1919)/IF(OR($R1919="",$R1919=0),1,$R1919),2)*SIGN($U1919),ROUND($U1919*$V1919,2))))</f>
        <v>0</v>
      </c>
      <c r="X1919" s="24" t="str">
        <f aca="false">IF($N1919="","",IFERROR(INDEX(VAT_Codes!$H:$H,MATCH($N1919,VAT_Codes!$A:$A,0)),"")&amp;"")</f>
        <v/>
      </c>
      <c r="Y1919" s="24" t="str">
        <f aca="false">IF($A1919="","",(YEAR($A1919)-YEAR(Settings!$C$8))*12+MONTH($A1919)-MONTH(Settings!$C$8)+1)</f>
        <v/>
      </c>
      <c r="Z1919" s="24" t="str">
        <f aca="false">IF(AND($C1919="",$I1919="",$J1919=""),"",IF($N1919="","NO VAT CODE",IF($T1919="","UNKNOWN VAT CODE",IF($S1919="","MISSING FX RATE",IF(OR($A1919&lt;Settings!$C$8,$A1919&gt;Settings!$C$9),"OUTSIDE PERIOD",IF(AND(IFERROR(INDEX(VAT_Codes!$E:$E,MATCH($N1919,VAT_Codes!$A:$A,0)),"ANY")&lt;&gt;"ANY",$P1919=""),"MISSING COUNTERPARTY COUNTRY",IF(AND(IFERROR(INDEX(VAT_Codes!$E:$E,MATCH($N1919,VAT_Codes!$A:$A,0)),"ANY")&lt;&gt;"ANY",$P1919&lt;&gt;IFERROR(INDEX(VAT_Codes!$E:$E,MATCH($N1919,VAT_Codes!$A:$A,0)),"ANY")),"REGION MISMATCH","OK")))))))</f>
        <v/>
      </c>
    </row>
    <row r="1920" customFormat="false" ht="15" hidden="false" customHeight="false" outlineLevel="0" collapsed="false">
      <c r="M1920" s="24" t="str">
        <f aca="false">IF($C1920="","",IFERROR(INDEX(Account_Mapping!$C:$C,MATCH($C1920&amp;"",Account_Mapping!$A:$A,0))&amp;"",""))</f>
        <v/>
      </c>
      <c r="N1920" s="24" t="str">
        <f aca="false">IF($K1920&lt;&gt;"",$K1920,$M1920)</f>
        <v/>
      </c>
      <c r="O1920" s="24" t="str">
        <f aca="false">IF($F1920="","",IFERROR(INDEX(Counterparties!$C:$C,MATCH($F1920&amp;"",Counterparties!$A:$A,0))&amp;"",""))</f>
        <v/>
      </c>
      <c r="P1920" s="24" t="str">
        <f aca="false">IF($O1920="","",IF($O1920="CY","CY",IF(ISNUMBER(MATCH($O1920,Lists!$A:$A,0)),"EU","3RD")))</f>
        <v/>
      </c>
      <c r="Q1920" s="24" t="str">
        <f aca="false">IF($F1920="","N",IFERROR(IF(INDEX(Counterparties!$E:$E,MATCH($F1920&amp;"",Counterparties!$A:$A,0))="Y","Y","N"),"N"))</f>
        <v>N</v>
      </c>
      <c r="R1920" s="25" t="n">
        <f aca="false">IF(OR($H1920="",$H1920="EUR"),1,IFERROR(INDEX(FX_Rates!$D:$D,MATCH($H1920,FX_Rates!$A:$A,0)),""))</f>
        <v>1</v>
      </c>
      <c r="S1920" s="26" t="str">
        <f aca="false">IF(AND($I1920="",$J1920=""),"",IF($J1920&lt;&gt;"",$J1920,IF(OR($R1920="",$R1920=0),"",ROUND($I1920/$R1920,2))))</f>
        <v/>
      </c>
      <c r="T1920" s="24" t="str">
        <f aca="false">IF($N1920="","",IFERROR(INDEX(VAT_Codes!$C:$C,MATCH($N1920,VAT_Codes!$A:$A,0)),"")&amp;"")</f>
        <v/>
      </c>
      <c r="U1920" s="26" t="n">
        <f aca="false">IF(OR($S1920="",$T1920="",$T1920="None"),0,IF($T1920="Output",-$S1920,$S1920))</f>
        <v>0</v>
      </c>
      <c r="V1920" s="27" t="n">
        <f aca="false">IF($N1920="",0,IFERROR(INDEX(VAT_Codes!$D:$D,MATCH($N1920,VAT_Codes!$A:$A,0)),0))</f>
        <v>0</v>
      </c>
      <c r="W1920" s="26" t="n">
        <f aca="false">IF($U1920=0,0,IF(IFERROR(INDEX(VAT_Codes!$F:$F,MATCH($N1920,VAT_Codes!$A:$A,0)),"N")="Y",$U1920,IF($L1920&lt;&gt;"",ROUND(ABS($L1920)/IF(OR($R1920="",$R1920=0),1,$R1920),2)*SIGN($U1920),ROUND($U1920*$V1920,2))))</f>
        <v>0</v>
      </c>
      <c r="X1920" s="24" t="str">
        <f aca="false">IF($N1920="","",IFERROR(INDEX(VAT_Codes!$H:$H,MATCH($N1920,VAT_Codes!$A:$A,0)),"")&amp;"")</f>
        <v/>
      </c>
      <c r="Y1920" s="24" t="str">
        <f aca="false">IF($A1920="","",(YEAR($A1920)-YEAR(Settings!$C$8))*12+MONTH($A1920)-MONTH(Settings!$C$8)+1)</f>
        <v/>
      </c>
      <c r="Z1920" s="24" t="str">
        <f aca="false">IF(AND($C1920="",$I1920="",$J1920=""),"",IF($N1920="","NO VAT CODE",IF($T1920="","UNKNOWN VAT CODE",IF($S1920="","MISSING FX RATE",IF(OR($A1920&lt;Settings!$C$8,$A1920&gt;Settings!$C$9),"OUTSIDE PERIOD",IF(AND(IFERROR(INDEX(VAT_Codes!$E:$E,MATCH($N1920,VAT_Codes!$A:$A,0)),"ANY")&lt;&gt;"ANY",$P1920=""),"MISSING COUNTERPARTY COUNTRY",IF(AND(IFERROR(INDEX(VAT_Codes!$E:$E,MATCH($N1920,VAT_Codes!$A:$A,0)),"ANY")&lt;&gt;"ANY",$P1920&lt;&gt;IFERROR(INDEX(VAT_Codes!$E:$E,MATCH($N1920,VAT_Codes!$A:$A,0)),"ANY")),"REGION MISMATCH","OK")))))))</f>
        <v/>
      </c>
    </row>
    <row r="1921" customFormat="false" ht="15" hidden="false" customHeight="false" outlineLevel="0" collapsed="false">
      <c r="M1921" s="24" t="str">
        <f aca="false">IF($C1921="","",IFERROR(INDEX(Account_Mapping!$C:$C,MATCH($C1921&amp;"",Account_Mapping!$A:$A,0))&amp;"",""))</f>
        <v/>
      </c>
      <c r="N1921" s="24" t="str">
        <f aca="false">IF($K1921&lt;&gt;"",$K1921,$M1921)</f>
        <v/>
      </c>
      <c r="O1921" s="24" t="str">
        <f aca="false">IF($F1921="","",IFERROR(INDEX(Counterparties!$C:$C,MATCH($F1921&amp;"",Counterparties!$A:$A,0))&amp;"",""))</f>
        <v/>
      </c>
      <c r="P1921" s="24" t="str">
        <f aca="false">IF($O1921="","",IF($O1921="CY","CY",IF(ISNUMBER(MATCH($O1921,Lists!$A:$A,0)),"EU","3RD")))</f>
        <v/>
      </c>
      <c r="Q1921" s="24" t="str">
        <f aca="false">IF($F1921="","N",IFERROR(IF(INDEX(Counterparties!$E:$E,MATCH($F1921&amp;"",Counterparties!$A:$A,0))="Y","Y","N"),"N"))</f>
        <v>N</v>
      </c>
      <c r="R1921" s="25" t="n">
        <f aca="false">IF(OR($H1921="",$H1921="EUR"),1,IFERROR(INDEX(FX_Rates!$D:$D,MATCH($H1921,FX_Rates!$A:$A,0)),""))</f>
        <v>1</v>
      </c>
      <c r="S1921" s="26" t="str">
        <f aca="false">IF(AND($I1921="",$J1921=""),"",IF($J1921&lt;&gt;"",$J1921,IF(OR($R1921="",$R1921=0),"",ROUND($I1921/$R1921,2))))</f>
        <v/>
      </c>
      <c r="T1921" s="24" t="str">
        <f aca="false">IF($N1921="","",IFERROR(INDEX(VAT_Codes!$C:$C,MATCH($N1921,VAT_Codes!$A:$A,0)),"")&amp;"")</f>
        <v/>
      </c>
      <c r="U1921" s="26" t="n">
        <f aca="false">IF(OR($S1921="",$T1921="",$T1921="None"),0,IF($T1921="Output",-$S1921,$S1921))</f>
        <v>0</v>
      </c>
      <c r="V1921" s="27" t="n">
        <f aca="false">IF($N1921="",0,IFERROR(INDEX(VAT_Codes!$D:$D,MATCH($N1921,VAT_Codes!$A:$A,0)),0))</f>
        <v>0</v>
      </c>
      <c r="W1921" s="26" t="n">
        <f aca="false">IF($U1921=0,0,IF(IFERROR(INDEX(VAT_Codes!$F:$F,MATCH($N1921,VAT_Codes!$A:$A,0)),"N")="Y",$U1921,IF($L1921&lt;&gt;"",ROUND(ABS($L1921)/IF(OR($R1921="",$R1921=0),1,$R1921),2)*SIGN($U1921),ROUND($U1921*$V1921,2))))</f>
        <v>0</v>
      </c>
      <c r="X1921" s="24" t="str">
        <f aca="false">IF($N1921="","",IFERROR(INDEX(VAT_Codes!$H:$H,MATCH($N1921,VAT_Codes!$A:$A,0)),"")&amp;"")</f>
        <v/>
      </c>
      <c r="Y1921" s="24" t="str">
        <f aca="false">IF($A1921="","",(YEAR($A1921)-YEAR(Settings!$C$8))*12+MONTH($A1921)-MONTH(Settings!$C$8)+1)</f>
        <v/>
      </c>
      <c r="Z1921" s="24" t="str">
        <f aca="false">IF(AND($C1921="",$I1921="",$J1921=""),"",IF($N1921="","NO VAT CODE",IF($T1921="","UNKNOWN VAT CODE",IF($S1921="","MISSING FX RATE",IF(OR($A1921&lt;Settings!$C$8,$A1921&gt;Settings!$C$9),"OUTSIDE PERIOD",IF(AND(IFERROR(INDEX(VAT_Codes!$E:$E,MATCH($N1921,VAT_Codes!$A:$A,0)),"ANY")&lt;&gt;"ANY",$P1921=""),"MISSING COUNTERPARTY COUNTRY",IF(AND(IFERROR(INDEX(VAT_Codes!$E:$E,MATCH($N1921,VAT_Codes!$A:$A,0)),"ANY")&lt;&gt;"ANY",$P1921&lt;&gt;IFERROR(INDEX(VAT_Codes!$E:$E,MATCH($N1921,VAT_Codes!$A:$A,0)),"ANY")),"REGION MISMATCH","OK")))))))</f>
        <v/>
      </c>
    </row>
    <row r="1922" customFormat="false" ht="15" hidden="false" customHeight="false" outlineLevel="0" collapsed="false">
      <c r="M1922" s="24" t="str">
        <f aca="false">IF($C1922="","",IFERROR(INDEX(Account_Mapping!$C:$C,MATCH($C1922&amp;"",Account_Mapping!$A:$A,0))&amp;"",""))</f>
        <v/>
      </c>
      <c r="N1922" s="24" t="str">
        <f aca="false">IF($K1922&lt;&gt;"",$K1922,$M1922)</f>
        <v/>
      </c>
      <c r="O1922" s="24" t="str">
        <f aca="false">IF($F1922="","",IFERROR(INDEX(Counterparties!$C:$C,MATCH($F1922&amp;"",Counterparties!$A:$A,0))&amp;"",""))</f>
        <v/>
      </c>
      <c r="P1922" s="24" t="str">
        <f aca="false">IF($O1922="","",IF($O1922="CY","CY",IF(ISNUMBER(MATCH($O1922,Lists!$A:$A,0)),"EU","3RD")))</f>
        <v/>
      </c>
      <c r="Q1922" s="24" t="str">
        <f aca="false">IF($F1922="","N",IFERROR(IF(INDEX(Counterparties!$E:$E,MATCH($F1922&amp;"",Counterparties!$A:$A,0))="Y","Y","N"),"N"))</f>
        <v>N</v>
      </c>
      <c r="R1922" s="25" t="n">
        <f aca="false">IF(OR($H1922="",$H1922="EUR"),1,IFERROR(INDEX(FX_Rates!$D:$D,MATCH($H1922,FX_Rates!$A:$A,0)),""))</f>
        <v>1</v>
      </c>
      <c r="S1922" s="26" t="str">
        <f aca="false">IF(AND($I1922="",$J1922=""),"",IF($J1922&lt;&gt;"",$J1922,IF(OR($R1922="",$R1922=0),"",ROUND($I1922/$R1922,2))))</f>
        <v/>
      </c>
      <c r="T1922" s="24" t="str">
        <f aca="false">IF($N1922="","",IFERROR(INDEX(VAT_Codes!$C:$C,MATCH($N1922,VAT_Codes!$A:$A,0)),"")&amp;"")</f>
        <v/>
      </c>
      <c r="U1922" s="26" t="n">
        <f aca="false">IF(OR($S1922="",$T1922="",$T1922="None"),0,IF($T1922="Output",-$S1922,$S1922))</f>
        <v>0</v>
      </c>
      <c r="V1922" s="27" t="n">
        <f aca="false">IF($N1922="",0,IFERROR(INDEX(VAT_Codes!$D:$D,MATCH($N1922,VAT_Codes!$A:$A,0)),0))</f>
        <v>0</v>
      </c>
      <c r="W1922" s="26" t="n">
        <f aca="false">IF($U1922=0,0,IF(IFERROR(INDEX(VAT_Codes!$F:$F,MATCH($N1922,VAT_Codes!$A:$A,0)),"N")="Y",$U1922,IF($L1922&lt;&gt;"",ROUND(ABS($L1922)/IF(OR($R1922="",$R1922=0),1,$R1922),2)*SIGN($U1922),ROUND($U1922*$V1922,2))))</f>
        <v>0</v>
      </c>
      <c r="X1922" s="24" t="str">
        <f aca="false">IF($N1922="","",IFERROR(INDEX(VAT_Codes!$H:$H,MATCH($N1922,VAT_Codes!$A:$A,0)),"")&amp;"")</f>
        <v/>
      </c>
      <c r="Y1922" s="24" t="str">
        <f aca="false">IF($A1922="","",(YEAR($A1922)-YEAR(Settings!$C$8))*12+MONTH($A1922)-MONTH(Settings!$C$8)+1)</f>
        <v/>
      </c>
      <c r="Z1922" s="24" t="str">
        <f aca="false">IF(AND($C1922="",$I1922="",$J1922=""),"",IF($N1922="","NO VAT CODE",IF($T1922="","UNKNOWN VAT CODE",IF($S1922="","MISSING FX RATE",IF(OR($A1922&lt;Settings!$C$8,$A1922&gt;Settings!$C$9),"OUTSIDE PERIOD",IF(AND(IFERROR(INDEX(VAT_Codes!$E:$E,MATCH($N1922,VAT_Codes!$A:$A,0)),"ANY")&lt;&gt;"ANY",$P1922=""),"MISSING COUNTERPARTY COUNTRY",IF(AND(IFERROR(INDEX(VAT_Codes!$E:$E,MATCH($N1922,VAT_Codes!$A:$A,0)),"ANY")&lt;&gt;"ANY",$P1922&lt;&gt;IFERROR(INDEX(VAT_Codes!$E:$E,MATCH($N1922,VAT_Codes!$A:$A,0)),"ANY")),"REGION MISMATCH","OK")))))))</f>
        <v/>
      </c>
    </row>
    <row r="1923" customFormat="false" ht="15" hidden="false" customHeight="false" outlineLevel="0" collapsed="false">
      <c r="M1923" s="24" t="str">
        <f aca="false">IF($C1923="","",IFERROR(INDEX(Account_Mapping!$C:$C,MATCH($C1923&amp;"",Account_Mapping!$A:$A,0))&amp;"",""))</f>
        <v/>
      </c>
      <c r="N1923" s="24" t="str">
        <f aca="false">IF($K1923&lt;&gt;"",$K1923,$M1923)</f>
        <v/>
      </c>
      <c r="O1923" s="24" t="str">
        <f aca="false">IF($F1923="","",IFERROR(INDEX(Counterparties!$C:$C,MATCH($F1923&amp;"",Counterparties!$A:$A,0))&amp;"",""))</f>
        <v/>
      </c>
      <c r="P1923" s="24" t="str">
        <f aca="false">IF($O1923="","",IF($O1923="CY","CY",IF(ISNUMBER(MATCH($O1923,Lists!$A:$A,0)),"EU","3RD")))</f>
        <v/>
      </c>
      <c r="Q1923" s="24" t="str">
        <f aca="false">IF($F1923="","N",IFERROR(IF(INDEX(Counterparties!$E:$E,MATCH($F1923&amp;"",Counterparties!$A:$A,0))="Y","Y","N"),"N"))</f>
        <v>N</v>
      </c>
      <c r="R1923" s="25" t="n">
        <f aca="false">IF(OR($H1923="",$H1923="EUR"),1,IFERROR(INDEX(FX_Rates!$D:$D,MATCH($H1923,FX_Rates!$A:$A,0)),""))</f>
        <v>1</v>
      </c>
      <c r="S1923" s="26" t="str">
        <f aca="false">IF(AND($I1923="",$J1923=""),"",IF($J1923&lt;&gt;"",$J1923,IF(OR($R1923="",$R1923=0),"",ROUND($I1923/$R1923,2))))</f>
        <v/>
      </c>
      <c r="T1923" s="24" t="str">
        <f aca="false">IF($N1923="","",IFERROR(INDEX(VAT_Codes!$C:$C,MATCH($N1923,VAT_Codes!$A:$A,0)),"")&amp;"")</f>
        <v/>
      </c>
      <c r="U1923" s="26" t="n">
        <f aca="false">IF(OR($S1923="",$T1923="",$T1923="None"),0,IF($T1923="Output",-$S1923,$S1923))</f>
        <v>0</v>
      </c>
      <c r="V1923" s="27" t="n">
        <f aca="false">IF($N1923="",0,IFERROR(INDEX(VAT_Codes!$D:$D,MATCH($N1923,VAT_Codes!$A:$A,0)),0))</f>
        <v>0</v>
      </c>
      <c r="W1923" s="26" t="n">
        <f aca="false">IF($U1923=0,0,IF(IFERROR(INDEX(VAT_Codes!$F:$F,MATCH($N1923,VAT_Codes!$A:$A,0)),"N")="Y",$U1923,IF($L1923&lt;&gt;"",ROUND(ABS($L1923)/IF(OR($R1923="",$R1923=0),1,$R1923),2)*SIGN($U1923),ROUND($U1923*$V1923,2))))</f>
        <v>0</v>
      </c>
      <c r="X1923" s="24" t="str">
        <f aca="false">IF($N1923="","",IFERROR(INDEX(VAT_Codes!$H:$H,MATCH($N1923,VAT_Codes!$A:$A,0)),"")&amp;"")</f>
        <v/>
      </c>
      <c r="Y1923" s="24" t="str">
        <f aca="false">IF($A1923="","",(YEAR($A1923)-YEAR(Settings!$C$8))*12+MONTH($A1923)-MONTH(Settings!$C$8)+1)</f>
        <v/>
      </c>
      <c r="Z1923" s="24" t="str">
        <f aca="false">IF(AND($C1923="",$I1923="",$J1923=""),"",IF($N1923="","NO VAT CODE",IF($T1923="","UNKNOWN VAT CODE",IF($S1923="","MISSING FX RATE",IF(OR($A1923&lt;Settings!$C$8,$A1923&gt;Settings!$C$9),"OUTSIDE PERIOD",IF(AND(IFERROR(INDEX(VAT_Codes!$E:$E,MATCH($N1923,VAT_Codes!$A:$A,0)),"ANY")&lt;&gt;"ANY",$P1923=""),"MISSING COUNTERPARTY COUNTRY",IF(AND(IFERROR(INDEX(VAT_Codes!$E:$E,MATCH($N1923,VAT_Codes!$A:$A,0)),"ANY")&lt;&gt;"ANY",$P1923&lt;&gt;IFERROR(INDEX(VAT_Codes!$E:$E,MATCH($N1923,VAT_Codes!$A:$A,0)),"ANY")),"REGION MISMATCH","OK")))))))</f>
        <v/>
      </c>
    </row>
    <row r="1924" customFormat="false" ht="15" hidden="false" customHeight="false" outlineLevel="0" collapsed="false">
      <c r="M1924" s="24" t="str">
        <f aca="false">IF($C1924="","",IFERROR(INDEX(Account_Mapping!$C:$C,MATCH($C1924&amp;"",Account_Mapping!$A:$A,0))&amp;"",""))</f>
        <v/>
      </c>
      <c r="N1924" s="24" t="str">
        <f aca="false">IF($K1924&lt;&gt;"",$K1924,$M1924)</f>
        <v/>
      </c>
      <c r="O1924" s="24" t="str">
        <f aca="false">IF($F1924="","",IFERROR(INDEX(Counterparties!$C:$C,MATCH($F1924&amp;"",Counterparties!$A:$A,0))&amp;"",""))</f>
        <v/>
      </c>
      <c r="P1924" s="24" t="str">
        <f aca="false">IF($O1924="","",IF($O1924="CY","CY",IF(ISNUMBER(MATCH($O1924,Lists!$A:$A,0)),"EU","3RD")))</f>
        <v/>
      </c>
      <c r="Q1924" s="24" t="str">
        <f aca="false">IF($F1924="","N",IFERROR(IF(INDEX(Counterparties!$E:$E,MATCH($F1924&amp;"",Counterparties!$A:$A,0))="Y","Y","N"),"N"))</f>
        <v>N</v>
      </c>
      <c r="R1924" s="25" t="n">
        <f aca="false">IF(OR($H1924="",$H1924="EUR"),1,IFERROR(INDEX(FX_Rates!$D:$D,MATCH($H1924,FX_Rates!$A:$A,0)),""))</f>
        <v>1</v>
      </c>
      <c r="S1924" s="26" t="str">
        <f aca="false">IF(AND($I1924="",$J1924=""),"",IF($J1924&lt;&gt;"",$J1924,IF(OR($R1924="",$R1924=0),"",ROUND($I1924/$R1924,2))))</f>
        <v/>
      </c>
      <c r="T1924" s="24" t="str">
        <f aca="false">IF($N1924="","",IFERROR(INDEX(VAT_Codes!$C:$C,MATCH($N1924,VAT_Codes!$A:$A,0)),"")&amp;"")</f>
        <v/>
      </c>
      <c r="U1924" s="26" t="n">
        <f aca="false">IF(OR($S1924="",$T1924="",$T1924="None"),0,IF($T1924="Output",-$S1924,$S1924))</f>
        <v>0</v>
      </c>
      <c r="V1924" s="27" t="n">
        <f aca="false">IF($N1924="",0,IFERROR(INDEX(VAT_Codes!$D:$D,MATCH($N1924,VAT_Codes!$A:$A,0)),0))</f>
        <v>0</v>
      </c>
      <c r="W1924" s="26" t="n">
        <f aca="false">IF($U1924=0,0,IF(IFERROR(INDEX(VAT_Codes!$F:$F,MATCH($N1924,VAT_Codes!$A:$A,0)),"N")="Y",$U1924,IF($L1924&lt;&gt;"",ROUND(ABS($L1924)/IF(OR($R1924="",$R1924=0),1,$R1924),2)*SIGN($U1924),ROUND($U1924*$V1924,2))))</f>
        <v>0</v>
      </c>
      <c r="X1924" s="24" t="str">
        <f aca="false">IF($N1924="","",IFERROR(INDEX(VAT_Codes!$H:$H,MATCH($N1924,VAT_Codes!$A:$A,0)),"")&amp;"")</f>
        <v/>
      </c>
      <c r="Y1924" s="24" t="str">
        <f aca="false">IF($A1924="","",(YEAR($A1924)-YEAR(Settings!$C$8))*12+MONTH($A1924)-MONTH(Settings!$C$8)+1)</f>
        <v/>
      </c>
      <c r="Z1924" s="24" t="str">
        <f aca="false">IF(AND($C1924="",$I1924="",$J1924=""),"",IF($N1924="","NO VAT CODE",IF($T1924="","UNKNOWN VAT CODE",IF($S1924="","MISSING FX RATE",IF(OR($A1924&lt;Settings!$C$8,$A1924&gt;Settings!$C$9),"OUTSIDE PERIOD",IF(AND(IFERROR(INDEX(VAT_Codes!$E:$E,MATCH($N1924,VAT_Codes!$A:$A,0)),"ANY")&lt;&gt;"ANY",$P1924=""),"MISSING COUNTERPARTY COUNTRY",IF(AND(IFERROR(INDEX(VAT_Codes!$E:$E,MATCH($N1924,VAT_Codes!$A:$A,0)),"ANY")&lt;&gt;"ANY",$P1924&lt;&gt;IFERROR(INDEX(VAT_Codes!$E:$E,MATCH($N1924,VAT_Codes!$A:$A,0)),"ANY")),"REGION MISMATCH","OK")))))))</f>
        <v/>
      </c>
    </row>
    <row r="1925" customFormat="false" ht="15" hidden="false" customHeight="false" outlineLevel="0" collapsed="false">
      <c r="M1925" s="24" t="str">
        <f aca="false">IF($C1925="","",IFERROR(INDEX(Account_Mapping!$C:$C,MATCH($C1925&amp;"",Account_Mapping!$A:$A,0))&amp;"",""))</f>
        <v/>
      </c>
      <c r="N1925" s="24" t="str">
        <f aca="false">IF($K1925&lt;&gt;"",$K1925,$M1925)</f>
        <v/>
      </c>
      <c r="O1925" s="24" t="str">
        <f aca="false">IF($F1925="","",IFERROR(INDEX(Counterparties!$C:$C,MATCH($F1925&amp;"",Counterparties!$A:$A,0))&amp;"",""))</f>
        <v/>
      </c>
      <c r="P1925" s="24" t="str">
        <f aca="false">IF($O1925="","",IF($O1925="CY","CY",IF(ISNUMBER(MATCH($O1925,Lists!$A:$A,0)),"EU","3RD")))</f>
        <v/>
      </c>
      <c r="Q1925" s="24" t="str">
        <f aca="false">IF($F1925="","N",IFERROR(IF(INDEX(Counterparties!$E:$E,MATCH($F1925&amp;"",Counterparties!$A:$A,0))="Y","Y","N"),"N"))</f>
        <v>N</v>
      </c>
      <c r="R1925" s="25" t="n">
        <f aca="false">IF(OR($H1925="",$H1925="EUR"),1,IFERROR(INDEX(FX_Rates!$D:$D,MATCH($H1925,FX_Rates!$A:$A,0)),""))</f>
        <v>1</v>
      </c>
      <c r="S1925" s="26" t="str">
        <f aca="false">IF(AND($I1925="",$J1925=""),"",IF($J1925&lt;&gt;"",$J1925,IF(OR($R1925="",$R1925=0),"",ROUND($I1925/$R1925,2))))</f>
        <v/>
      </c>
      <c r="T1925" s="24" t="str">
        <f aca="false">IF($N1925="","",IFERROR(INDEX(VAT_Codes!$C:$C,MATCH($N1925,VAT_Codes!$A:$A,0)),"")&amp;"")</f>
        <v/>
      </c>
      <c r="U1925" s="26" t="n">
        <f aca="false">IF(OR($S1925="",$T1925="",$T1925="None"),0,IF($T1925="Output",-$S1925,$S1925))</f>
        <v>0</v>
      </c>
      <c r="V1925" s="27" t="n">
        <f aca="false">IF($N1925="",0,IFERROR(INDEX(VAT_Codes!$D:$D,MATCH($N1925,VAT_Codes!$A:$A,0)),0))</f>
        <v>0</v>
      </c>
      <c r="W1925" s="26" t="n">
        <f aca="false">IF($U1925=0,0,IF(IFERROR(INDEX(VAT_Codes!$F:$F,MATCH($N1925,VAT_Codes!$A:$A,0)),"N")="Y",$U1925,IF($L1925&lt;&gt;"",ROUND(ABS($L1925)/IF(OR($R1925="",$R1925=0),1,$R1925),2)*SIGN($U1925),ROUND($U1925*$V1925,2))))</f>
        <v>0</v>
      </c>
      <c r="X1925" s="24" t="str">
        <f aca="false">IF($N1925="","",IFERROR(INDEX(VAT_Codes!$H:$H,MATCH($N1925,VAT_Codes!$A:$A,0)),"")&amp;"")</f>
        <v/>
      </c>
      <c r="Y1925" s="24" t="str">
        <f aca="false">IF($A1925="","",(YEAR($A1925)-YEAR(Settings!$C$8))*12+MONTH($A1925)-MONTH(Settings!$C$8)+1)</f>
        <v/>
      </c>
      <c r="Z1925" s="24" t="str">
        <f aca="false">IF(AND($C1925="",$I1925="",$J1925=""),"",IF($N1925="","NO VAT CODE",IF($T1925="","UNKNOWN VAT CODE",IF($S1925="","MISSING FX RATE",IF(OR($A1925&lt;Settings!$C$8,$A1925&gt;Settings!$C$9),"OUTSIDE PERIOD",IF(AND(IFERROR(INDEX(VAT_Codes!$E:$E,MATCH($N1925,VAT_Codes!$A:$A,0)),"ANY")&lt;&gt;"ANY",$P1925=""),"MISSING COUNTERPARTY COUNTRY",IF(AND(IFERROR(INDEX(VAT_Codes!$E:$E,MATCH($N1925,VAT_Codes!$A:$A,0)),"ANY")&lt;&gt;"ANY",$P1925&lt;&gt;IFERROR(INDEX(VAT_Codes!$E:$E,MATCH($N1925,VAT_Codes!$A:$A,0)),"ANY")),"REGION MISMATCH","OK")))))))</f>
        <v/>
      </c>
    </row>
    <row r="1926" customFormat="false" ht="15" hidden="false" customHeight="false" outlineLevel="0" collapsed="false">
      <c r="M1926" s="24" t="str">
        <f aca="false">IF($C1926="","",IFERROR(INDEX(Account_Mapping!$C:$C,MATCH($C1926&amp;"",Account_Mapping!$A:$A,0))&amp;"",""))</f>
        <v/>
      </c>
      <c r="N1926" s="24" t="str">
        <f aca="false">IF($K1926&lt;&gt;"",$K1926,$M1926)</f>
        <v/>
      </c>
      <c r="O1926" s="24" t="str">
        <f aca="false">IF($F1926="","",IFERROR(INDEX(Counterparties!$C:$C,MATCH($F1926&amp;"",Counterparties!$A:$A,0))&amp;"",""))</f>
        <v/>
      </c>
      <c r="P1926" s="24" t="str">
        <f aca="false">IF($O1926="","",IF($O1926="CY","CY",IF(ISNUMBER(MATCH($O1926,Lists!$A:$A,0)),"EU","3RD")))</f>
        <v/>
      </c>
      <c r="Q1926" s="24" t="str">
        <f aca="false">IF($F1926="","N",IFERROR(IF(INDEX(Counterparties!$E:$E,MATCH($F1926&amp;"",Counterparties!$A:$A,0))="Y","Y","N"),"N"))</f>
        <v>N</v>
      </c>
      <c r="R1926" s="25" t="n">
        <f aca="false">IF(OR($H1926="",$H1926="EUR"),1,IFERROR(INDEX(FX_Rates!$D:$D,MATCH($H1926,FX_Rates!$A:$A,0)),""))</f>
        <v>1</v>
      </c>
      <c r="S1926" s="26" t="str">
        <f aca="false">IF(AND($I1926="",$J1926=""),"",IF($J1926&lt;&gt;"",$J1926,IF(OR($R1926="",$R1926=0),"",ROUND($I1926/$R1926,2))))</f>
        <v/>
      </c>
      <c r="T1926" s="24" t="str">
        <f aca="false">IF($N1926="","",IFERROR(INDEX(VAT_Codes!$C:$C,MATCH($N1926,VAT_Codes!$A:$A,0)),"")&amp;"")</f>
        <v/>
      </c>
      <c r="U1926" s="26" t="n">
        <f aca="false">IF(OR($S1926="",$T1926="",$T1926="None"),0,IF($T1926="Output",-$S1926,$S1926))</f>
        <v>0</v>
      </c>
      <c r="V1926" s="27" t="n">
        <f aca="false">IF($N1926="",0,IFERROR(INDEX(VAT_Codes!$D:$D,MATCH($N1926,VAT_Codes!$A:$A,0)),0))</f>
        <v>0</v>
      </c>
      <c r="W1926" s="26" t="n">
        <f aca="false">IF($U1926=0,0,IF(IFERROR(INDEX(VAT_Codes!$F:$F,MATCH($N1926,VAT_Codes!$A:$A,0)),"N")="Y",$U1926,IF($L1926&lt;&gt;"",ROUND(ABS($L1926)/IF(OR($R1926="",$R1926=0),1,$R1926),2)*SIGN($U1926),ROUND($U1926*$V1926,2))))</f>
        <v>0</v>
      </c>
      <c r="X1926" s="24" t="str">
        <f aca="false">IF($N1926="","",IFERROR(INDEX(VAT_Codes!$H:$H,MATCH($N1926,VAT_Codes!$A:$A,0)),"")&amp;"")</f>
        <v/>
      </c>
      <c r="Y1926" s="24" t="str">
        <f aca="false">IF($A1926="","",(YEAR($A1926)-YEAR(Settings!$C$8))*12+MONTH($A1926)-MONTH(Settings!$C$8)+1)</f>
        <v/>
      </c>
      <c r="Z1926" s="24" t="str">
        <f aca="false">IF(AND($C1926="",$I1926="",$J1926=""),"",IF($N1926="","NO VAT CODE",IF($T1926="","UNKNOWN VAT CODE",IF($S1926="","MISSING FX RATE",IF(OR($A1926&lt;Settings!$C$8,$A1926&gt;Settings!$C$9),"OUTSIDE PERIOD",IF(AND(IFERROR(INDEX(VAT_Codes!$E:$E,MATCH($N1926,VAT_Codes!$A:$A,0)),"ANY")&lt;&gt;"ANY",$P1926=""),"MISSING COUNTERPARTY COUNTRY",IF(AND(IFERROR(INDEX(VAT_Codes!$E:$E,MATCH($N1926,VAT_Codes!$A:$A,0)),"ANY")&lt;&gt;"ANY",$P1926&lt;&gt;IFERROR(INDEX(VAT_Codes!$E:$E,MATCH($N1926,VAT_Codes!$A:$A,0)),"ANY")),"REGION MISMATCH","OK")))))))</f>
        <v/>
      </c>
    </row>
    <row r="1927" customFormat="false" ht="15" hidden="false" customHeight="false" outlineLevel="0" collapsed="false">
      <c r="M1927" s="24" t="str">
        <f aca="false">IF($C1927="","",IFERROR(INDEX(Account_Mapping!$C:$C,MATCH($C1927&amp;"",Account_Mapping!$A:$A,0))&amp;"",""))</f>
        <v/>
      </c>
      <c r="N1927" s="24" t="str">
        <f aca="false">IF($K1927&lt;&gt;"",$K1927,$M1927)</f>
        <v/>
      </c>
      <c r="O1927" s="24" t="str">
        <f aca="false">IF($F1927="","",IFERROR(INDEX(Counterparties!$C:$C,MATCH($F1927&amp;"",Counterparties!$A:$A,0))&amp;"",""))</f>
        <v/>
      </c>
      <c r="P1927" s="24" t="str">
        <f aca="false">IF($O1927="","",IF($O1927="CY","CY",IF(ISNUMBER(MATCH($O1927,Lists!$A:$A,0)),"EU","3RD")))</f>
        <v/>
      </c>
      <c r="Q1927" s="24" t="str">
        <f aca="false">IF($F1927="","N",IFERROR(IF(INDEX(Counterparties!$E:$E,MATCH($F1927&amp;"",Counterparties!$A:$A,0))="Y","Y","N"),"N"))</f>
        <v>N</v>
      </c>
      <c r="R1927" s="25" t="n">
        <f aca="false">IF(OR($H1927="",$H1927="EUR"),1,IFERROR(INDEX(FX_Rates!$D:$D,MATCH($H1927,FX_Rates!$A:$A,0)),""))</f>
        <v>1</v>
      </c>
      <c r="S1927" s="26" t="str">
        <f aca="false">IF(AND($I1927="",$J1927=""),"",IF($J1927&lt;&gt;"",$J1927,IF(OR($R1927="",$R1927=0),"",ROUND($I1927/$R1927,2))))</f>
        <v/>
      </c>
      <c r="T1927" s="24" t="str">
        <f aca="false">IF($N1927="","",IFERROR(INDEX(VAT_Codes!$C:$C,MATCH($N1927,VAT_Codes!$A:$A,0)),"")&amp;"")</f>
        <v/>
      </c>
      <c r="U1927" s="26" t="n">
        <f aca="false">IF(OR($S1927="",$T1927="",$T1927="None"),0,IF($T1927="Output",-$S1927,$S1927))</f>
        <v>0</v>
      </c>
      <c r="V1927" s="27" t="n">
        <f aca="false">IF($N1927="",0,IFERROR(INDEX(VAT_Codes!$D:$D,MATCH($N1927,VAT_Codes!$A:$A,0)),0))</f>
        <v>0</v>
      </c>
      <c r="W1927" s="26" t="n">
        <f aca="false">IF($U1927=0,0,IF(IFERROR(INDEX(VAT_Codes!$F:$F,MATCH($N1927,VAT_Codes!$A:$A,0)),"N")="Y",$U1927,IF($L1927&lt;&gt;"",ROUND(ABS($L1927)/IF(OR($R1927="",$R1927=0),1,$R1927),2)*SIGN($U1927),ROUND($U1927*$V1927,2))))</f>
        <v>0</v>
      </c>
      <c r="X1927" s="24" t="str">
        <f aca="false">IF($N1927="","",IFERROR(INDEX(VAT_Codes!$H:$H,MATCH($N1927,VAT_Codes!$A:$A,0)),"")&amp;"")</f>
        <v/>
      </c>
      <c r="Y1927" s="24" t="str">
        <f aca="false">IF($A1927="","",(YEAR($A1927)-YEAR(Settings!$C$8))*12+MONTH($A1927)-MONTH(Settings!$C$8)+1)</f>
        <v/>
      </c>
      <c r="Z1927" s="24" t="str">
        <f aca="false">IF(AND($C1927="",$I1927="",$J1927=""),"",IF($N1927="","NO VAT CODE",IF($T1927="","UNKNOWN VAT CODE",IF($S1927="","MISSING FX RATE",IF(OR($A1927&lt;Settings!$C$8,$A1927&gt;Settings!$C$9),"OUTSIDE PERIOD",IF(AND(IFERROR(INDEX(VAT_Codes!$E:$E,MATCH($N1927,VAT_Codes!$A:$A,0)),"ANY")&lt;&gt;"ANY",$P1927=""),"MISSING COUNTERPARTY COUNTRY",IF(AND(IFERROR(INDEX(VAT_Codes!$E:$E,MATCH($N1927,VAT_Codes!$A:$A,0)),"ANY")&lt;&gt;"ANY",$P1927&lt;&gt;IFERROR(INDEX(VAT_Codes!$E:$E,MATCH($N1927,VAT_Codes!$A:$A,0)),"ANY")),"REGION MISMATCH","OK")))))))</f>
        <v/>
      </c>
    </row>
    <row r="1928" customFormat="false" ht="15" hidden="false" customHeight="false" outlineLevel="0" collapsed="false">
      <c r="M1928" s="24" t="str">
        <f aca="false">IF($C1928="","",IFERROR(INDEX(Account_Mapping!$C:$C,MATCH($C1928&amp;"",Account_Mapping!$A:$A,0))&amp;"",""))</f>
        <v/>
      </c>
      <c r="N1928" s="24" t="str">
        <f aca="false">IF($K1928&lt;&gt;"",$K1928,$M1928)</f>
        <v/>
      </c>
      <c r="O1928" s="24" t="str">
        <f aca="false">IF($F1928="","",IFERROR(INDEX(Counterparties!$C:$C,MATCH($F1928&amp;"",Counterparties!$A:$A,0))&amp;"",""))</f>
        <v/>
      </c>
      <c r="P1928" s="24" t="str">
        <f aca="false">IF($O1928="","",IF($O1928="CY","CY",IF(ISNUMBER(MATCH($O1928,Lists!$A:$A,0)),"EU","3RD")))</f>
        <v/>
      </c>
      <c r="Q1928" s="24" t="str">
        <f aca="false">IF($F1928="","N",IFERROR(IF(INDEX(Counterparties!$E:$E,MATCH($F1928&amp;"",Counterparties!$A:$A,0))="Y","Y","N"),"N"))</f>
        <v>N</v>
      </c>
      <c r="R1928" s="25" t="n">
        <f aca="false">IF(OR($H1928="",$H1928="EUR"),1,IFERROR(INDEX(FX_Rates!$D:$D,MATCH($H1928,FX_Rates!$A:$A,0)),""))</f>
        <v>1</v>
      </c>
      <c r="S1928" s="26" t="str">
        <f aca="false">IF(AND($I1928="",$J1928=""),"",IF($J1928&lt;&gt;"",$J1928,IF(OR($R1928="",$R1928=0),"",ROUND($I1928/$R1928,2))))</f>
        <v/>
      </c>
      <c r="T1928" s="24" t="str">
        <f aca="false">IF($N1928="","",IFERROR(INDEX(VAT_Codes!$C:$C,MATCH($N1928,VAT_Codes!$A:$A,0)),"")&amp;"")</f>
        <v/>
      </c>
      <c r="U1928" s="26" t="n">
        <f aca="false">IF(OR($S1928="",$T1928="",$T1928="None"),0,IF($T1928="Output",-$S1928,$S1928))</f>
        <v>0</v>
      </c>
      <c r="V1928" s="27" t="n">
        <f aca="false">IF($N1928="",0,IFERROR(INDEX(VAT_Codes!$D:$D,MATCH($N1928,VAT_Codes!$A:$A,0)),0))</f>
        <v>0</v>
      </c>
      <c r="W1928" s="26" t="n">
        <f aca="false">IF($U1928=0,0,IF(IFERROR(INDEX(VAT_Codes!$F:$F,MATCH($N1928,VAT_Codes!$A:$A,0)),"N")="Y",$U1928,IF($L1928&lt;&gt;"",ROUND(ABS($L1928)/IF(OR($R1928="",$R1928=0),1,$R1928),2)*SIGN($U1928),ROUND($U1928*$V1928,2))))</f>
        <v>0</v>
      </c>
      <c r="X1928" s="24" t="str">
        <f aca="false">IF($N1928="","",IFERROR(INDEX(VAT_Codes!$H:$H,MATCH($N1928,VAT_Codes!$A:$A,0)),"")&amp;"")</f>
        <v/>
      </c>
      <c r="Y1928" s="24" t="str">
        <f aca="false">IF($A1928="","",(YEAR($A1928)-YEAR(Settings!$C$8))*12+MONTH($A1928)-MONTH(Settings!$C$8)+1)</f>
        <v/>
      </c>
      <c r="Z1928" s="24" t="str">
        <f aca="false">IF(AND($C1928="",$I1928="",$J1928=""),"",IF($N1928="","NO VAT CODE",IF($T1928="","UNKNOWN VAT CODE",IF($S1928="","MISSING FX RATE",IF(OR($A1928&lt;Settings!$C$8,$A1928&gt;Settings!$C$9),"OUTSIDE PERIOD",IF(AND(IFERROR(INDEX(VAT_Codes!$E:$E,MATCH($N1928,VAT_Codes!$A:$A,0)),"ANY")&lt;&gt;"ANY",$P1928=""),"MISSING COUNTERPARTY COUNTRY",IF(AND(IFERROR(INDEX(VAT_Codes!$E:$E,MATCH($N1928,VAT_Codes!$A:$A,0)),"ANY")&lt;&gt;"ANY",$P1928&lt;&gt;IFERROR(INDEX(VAT_Codes!$E:$E,MATCH($N1928,VAT_Codes!$A:$A,0)),"ANY")),"REGION MISMATCH","OK")))))))</f>
        <v/>
      </c>
    </row>
    <row r="1929" customFormat="false" ht="15" hidden="false" customHeight="false" outlineLevel="0" collapsed="false">
      <c r="M1929" s="24" t="str">
        <f aca="false">IF($C1929="","",IFERROR(INDEX(Account_Mapping!$C:$C,MATCH($C1929&amp;"",Account_Mapping!$A:$A,0))&amp;"",""))</f>
        <v/>
      </c>
      <c r="N1929" s="24" t="str">
        <f aca="false">IF($K1929&lt;&gt;"",$K1929,$M1929)</f>
        <v/>
      </c>
      <c r="O1929" s="24" t="str">
        <f aca="false">IF($F1929="","",IFERROR(INDEX(Counterparties!$C:$C,MATCH($F1929&amp;"",Counterparties!$A:$A,0))&amp;"",""))</f>
        <v/>
      </c>
      <c r="P1929" s="24" t="str">
        <f aca="false">IF($O1929="","",IF($O1929="CY","CY",IF(ISNUMBER(MATCH($O1929,Lists!$A:$A,0)),"EU","3RD")))</f>
        <v/>
      </c>
      <c r="Q1929" s="24" t="str">
        <f aca="false">IF($F1929="","N",IFERROR(IF(INDEX(Counterparties!$E:$E,MATCH($F1929&amp;"",Counterparties!$A:$A,0))="Y","Y","N"),"N"))</f>
        <v>N</v>
      </c>
      <c r="R1929" s="25" t="n">
        <f aca="false">IF(OR($H1929="",$H1929="EUR"),1,IFERROR(INDEX(FX_Rates!$D:$D,MATCH($H1929,FX_Rates!$A:$A,0)),""))</f>
        <v>1</v>
      </c>
      <c r="S1929" s="26" t="str">
        <f aca="false">IF(AND($I1929="",$J1929=""),"",IF($J1929&lt;&gt;"",$J1929,IF(OR($R1929="",$R1929=0),"",ROUND($I1929/$R1929,2))))</f>
        <v/>
      </c>
      <c r="T1929" s="24" t="str">
        <f aca="false">IF($N1929="","",IFERROR(INDEX(VAT_Codes!$C:$C,MATCH($N1929,VAT_Codes!$A:$A,0)),"")&amp;"")</f>
        <v/>
      </c>
      <c r="U1929" s="26" t="n">
        <f aca="false">IF(OR($S1929="",$T1929="",$T1929="None"),0,IF($T1929="Output",-$S1929,$S1929))</f>
        <v>0</v>
      </c>
      <c r="V1929" s="27" t="n">
        <f aca="false">IF($N1929="",0,IFERROR(INDEX(VAT_Codes!$D:$D,MATCH($N1929,VAT_Codes!$A:$A,0)),0))</f>
        <v>0</v>
      </c>
      <c r="W1929" s="26" t="n">
        <f aca="false">IF($U1929=0,0,IF(IFERROR(INDEX(VAT_Codes!$F:$F,MATCH($N1929,VAT_Codes!$A:$A,0)),"N")="Y",$U1929,IF($L1929&lt;&gt;"",ROUND(ABS($L1929)/IF(OR($R1929="",$R1929=0),1,$R1929),2)*SIGN($U1929),ROUND($U1929*$V1929,2))))</f>
        <v>0</v>
      </c>
      <c r="X1929" s="24" t="str">
        <f aca="false">IF($N1929="","",IFERROR(INDEX(VAT_Codes!$H:$H,MATCH($N1929,VAT_Codes!$A:$A,0)),"")&amp;"")</f>
        <v/>
      </c>
      <c r="Y1929" s="24" t="str">
        <f aca="false">IF($A1929="","",(YEAR($A1929)-YEAR(Settings!$C$8))*12+MONTH($A1929)-MONTH(Settings!$C$8)+1)</f>
        <v/>
      </c>
      <c r="Z1929" s="24" t="str">
        <f aca="false">IF(AND($C1929="",$I1929="",$J1929=""),"",IF($N1929="","NO VAT CODE",IF($T1929="","UNKNOWN VAT CODE",IF($S1929="","MISSING FX RATE",IF(OR($A1929&lt;Settings!$C$8,$A1929&gt;Settings!$C$9),"OUTSIDE PERIOD",IF(AND(IFERROR(INDEX(VAT_Codes!$E:$E,MATCH($N1929,VAT_Codes!$A:$A,0)),"ANY")&lt;&gt;"ANY",$P1929=""),"MISSING COUNTERPARTY COUNTRY",IF(AND(IFERROR(INDEX(VAT_Codes!$E:$E,MATCH($N1929,VAT_Codes!$A:$A,0)),"ANY")&lt;&gt;"ANY",$P1929&lt;&gt;IFERROR(INDEX(VAT_Codes!$E:$E,MATCH($N1929,VAT_Codes!$A:$A,0)),"ANY")),"REGION MISMATCH","OK")))))))</f>
        <v/>
      </c>
    </row>
    <row r="1930" customFormat="false" ht="15" hidden="false" customHeight="false" outlineLevel="0" collapsed="false">
      <c r="M1930" s="24" t="str">
        <f aca="false">IF($C1930="","",IFERROR(INDEX(Account_Mapping!$C:$C,MATCH($C1930&amp;"",Account_Mapping!$A:$A,0))&amp;"",""))</f>
        <v/>
      </c>
      <c r="N1930" s="24" t="str">
        <f aca="false">IF($K1930&lt;&gt;"",$K1930,$M1930)</f>
        <v/>
      </c>
      <c r="O1930" s="24" t="str">
        <f aca="false">IF($F1930="","",IFERROR(INDEX(Counterparties!$C:$C,MATCH($F1930&amp;"",Counterparties!$A:$A,0))&amp;"",""))</f>
        <v/>
      </c>
      <c r="P1930" s="24" t="str">
        <f aca="false">IF($O1930="","",IF($O1930="CY","CY",IF(ISNUMBER(MATCH($O1930,Lists!$A:$A,0)),"EU","3RD")))</f>
        <v/>
      </c>
      <c r="Q1930" s="24" t="str">
        <f aca="false">IF($F1930="","N",IFERROR(IF(INDEX(Counterparties!$E:$E,MATCH($F1930&amp;"",Counterparties!$A:$A,0))="Y","Y","N"),"N"))</f>
        <v>N</v>
      </c>
      <c r="R1930" s="25" t="n">
        <f aca="false">IF(OR($H1930="",$H1930="EUR"),1,IFERROR(INDEX(FX_Rates!$D:$D,MATCH($H1930,FX_Rates!$A:$A,0)),""))</f>
        <v>1</v>
      </c>
      <c r="S1930" s="26" t="str">
        <f aca="false">IF(AND($I1930="",$J1930=""),"",IF($J1930&lt;&gt;"",$J1930,IF(OR($R1930="",$R1930=0),"",ROUND($I1930/$R1930,2))))</f>
        <v/>
      </c>
      <c r="T1930" s="24" t="str">
        <f aca="false">IF($N1930="","",IFERROR(INDEX(VAT_Codes!$C:$C,MATCH($N1930,VAT_Codes!$A:$A,0)),"")&amp;"")</f>
        <v/>
      </c>
      <c r="U1930" s="26" t="n">
        <f aca="false">IF(OR($S1930="",$T1930="",$T1930="None"),0,IF($T1930="Output",-$S1930,$S1930))</f>
        <v>0</v>
      </c>
      <c r="V1930" s="27" t="n">
        <f aca="false">IF($N1930="",0,IFERROR(INDEX(VAT_Codes!$D:$D,MATCH($N1930,VAT_Codes!$A:$A,0)),0))</f>
        <v>0</v>
      </c>
      <c r="W1930" s="26" t="n">
        <f aca="false">IF($U1930=0,0,IF(IFERROR(INDEX(VAT_Codes!$F:$F,MATCH($N1930,VAT_Codes!$A:$A,0)),"N")="Y",$U1930,IF($L1930&lt;&gt;"",ROUND(ABS($L1930)/IF(OR($R1930="",$R1930=0),1,$R1930),2)*SIGN($U1930),ROUND($U1930*$V1930,2))))</f>
        <v>0</v>
      </c>
      <c r="X1930" s="24" t="str">
        <f aca="false">IF($N1930="","",IFERROR(INDEX(VAT_Codes!$H:$H,MATCH($N1930,VAT_Codes!$A:$A,0)),"")&amp;"")</f>
        <v/>
      </c>
      <c r="Y1930" s="24" t="str">
        <f aca="false">IF($A1930="","",(YEAR($A1930)-YEAR(Settings!$C$8))*12+MONTH($A1930)-MONTH(Settings!$C$8)+1)</f>
        <v/>
      </c>
      <c r="Z1930" s="24" t="str">
        <f aca="false">IF(AND($C1930="",$I1930="",$J1930=""),"",IF($N1930="","NO VAT CODE",IF($T1930="","UNKNOWN VAT CODE",IF($S1930="","MISSING FX RATE",IF(OR($A1930&lt;Settings!$C$8,$A1930&gt;Settings!$C$9),"OUTSIDE PERIOD",IF(AND(IFERROR(INDEX(VAT_Codes!$E:$E,MATCH($N1930,VAT_Codes!$A:$A,0)),"ANY")&lt;&gt;"ANY",$P1930=""),"MISSING COUNTERPARTY COUNTRY",IF(AND(IFERROR(INDEX(VAT_Codes!$E:$E,MATCH($N1930,VAT_Codes!$A:$A,0)),"ANY")&lt;&gt;"ANY",$P1930&lt;&gt;IFERROR(INDEX(VAT_Codes!$E:$E,MATCH($N1930,VAT_Codes!$A:$A,0)),"ANY")),"REGION MISMATCH","OK")))))))</f>
        <v/>
      </c>
    </row>
    <row r="1931" customFormat="false" ht="15" hidden="false" customHeight="false" outlineLevel="0" collapsed="false">
      <c r="M1931" s="24" t="str">
        <f aca="false">IF($C1931="","",IFERROR(INDEX(Account_Mapping!$C:$C,MATCH($C1931&amp;"",Account_Mapping!$A:$A,0))&amp;"",""))</f>
        <v/>
      </c>
      <c r="N1931" s="24" t="str">
        <f aca="false">IF($K1931&lt;&gt;"",$K1931,$M1931)</f>
        <v/>
      </c>
      <c r="O1931" s="24" t="str">
        <f aca="false">IF($F1931="","",IFERROR(INDEX(Counterparties!$C:$C,MATCH($F1931&amp;"",Counterparties!$A:$A,0))&amp;"",""))</f>
        <v/>
      </c>
      <c r="P1931" s="24" t="str">
        <f aca="false">IF($O1931="","",IF($O1931="CY","CY",IF(ISNUMBER(MATCH($O1931,Lists!$A:$A,0)),"EU","3RD")))</f>
        <v/>
      </c>
      <c r="Q1931" s="24" t="str">
        <f aca="false">IF($F1931="","N",IFERROR(IF(INDEX(Counterparties!$E:$E,MATCH($F1931&amp;"",Counterparties!$A:$A,0))="Y","Y","N"),"N"))</f>
        <v>N</v>
      </c>
      <c r="R1931" s="25" t="n">
        <f aca="false">IF(OR($H1931="",$H1931="EUR"),1,IFERROR(INDEX(FX_Rates!$D:$D,MATCH($H1931,FX_Rates!$A:$A,0)),""))</f>
        <v>1</v>
      </c>
      <c r="S1931" s="26" t="str">
        <f aca="false">IF(AND($I1931="",$J1931=""),"",IF($J1931&lt;&gt;"",$J1931,IF(OR($R1931="",$R1931=0),"",ROUND($I1931/$R1931,2))))</f>
        <v/>
      </c>
      <c r="T1931" s="24" t="str">
        <f aca="false">IF($N1931="","",IFERROR(INDEX(VAT_Codes!$C:$C,MATCH($N1931,VAT_Codes!$A:$A,0)),"")&amp;"")</f>
        <v/>
      </c>
      <c r="U1931" s="26" t="n">
        <f aca="false">IF(OR($S1931="",$T1931="",$T1931="None"),0,IF($T1931="Output",-$S1931,$S1931))</f>
        <v>0</v>
      </c>
      <c r="V1931" s="27" t="n">
        <f aca="false">IF($N1931="",0,IFERROR(INDEX(VAT_Codes!$D:$D,MATCH($N1931,VAT_Codes!$A:$A,0)),0))</f>
        <v>0</v>
      </c>
      <c r="W1931" s="26" t="n">
        <f aca="false">IF($U1931=0,0,IF(IFERROR(INDEX(VAT_Codes!$F:$F,MATCH($N1931,VAT_Codes!$A:$A,0)),"N")="Y",$U1931,IF($L1931&lt;&gt;"",ROUND(ABS($L1931)/IF(OR($R1931="",$R1931=0),1,$R1931),2)*SIGN($U1931),ROUND($U1931*$V1931,2))))</f>
        <v>0</v>
      </c>
      <c r="X1931" s="24" t="str">
        <f aca="false">IF($N1931="","",IFERROR(INDEX(VAT_Codes!$H:$H,MATCH($N1931,VAT_Codes!$A:$A,0)),"")&amp;"")</f>
        <v/>
      </c>
      <c r="Y1931" s="24" t="str">
        <f aca="false">IF($A1931="","",(YEAR($A1931)-YEAR(Settings!$C$8))*12+MONTH($A1931)-MONTH(Settings!$C$8)+1)</f>
        <v/>
      </c>
      <c r="Z1931" s="24" t="str">
        <f aca="false">IF(AND($C1931="",$I1931="",$J1931=""),"",IF($N1931="","NO VAT CODE",IF($T1931="","UNKNOWN VAT CODE",IF($S1931="","MISSING FX RATE",IF(OR($A1931&lt;Settings!$C$8,$A1931&gt;Settings!$C$9),"OUTSIDE PERIOD",IF(AND(IFERROR(INDEX(VAT_Codes!$E:$E,MATCH($N1931,VAT_Codes!$A:$A,0)),"ANY")&lt;&gt;"ANY",$P1931=""),"MISSING COUNTERPARTY COUNTRY",IF(AND(IFERROR(INDEX(VAT_Codes!$E:$E,MATCH($N1931,VAT_Codes!$A:$A,0)),"ANY")&lt;&gt;"ANY",$P1931&lt;&gt;IFERROR(INDEX(VAT_Codes!$E:$E,MATCH($N1931,VAT_Codes!$A:$A,0)),"ANY")),"REGION MISMATCH","OK")))))))</f>
        <v/>
      </c>
    </row>
    <row r="1932" customFormat="false" ht="15" hidden="false" customHeight="false" outlineLevel="0" collapsed="false">
      <c r="M1932" s="24" t="str">
        <f aca="false">IF($C1932="","",IFERROR(INDEX(Account_Mapping!$C:$C,MATCH($C1932&amp;"",Account_Mapping!$A:$A,0))&amp;"",""))</f>
        <v/>
      </c>
      <c r="N1932" s="24" t="str">
        <f aca="false">IF($K1932&lt;&gt;"",$K1932,$M1932)</f>
        <v/>
      </c>
      <c r="O1932" s="24" t="str">
        <f aca="false">IF($F1932="","",IFERROR(INDEX(Counterparties!$C:$C,MATCH($F1932&amp;"",Counterparties!$A:$A,0))&amp;"",""))</f>
        <v/>
      </c>
      <c r="P1932" s="24" t="str">
        <f aca="false">IF($O1932="","",IF($O1932="CY","CY",IF(ISNUMBER(MATCH($O1932,Lists!$A:$A,0)),"EU","3RD")))</f>
        <v/>
      </c>
      <c r="Q1932" s="24" t="str">
        <f aca="false">IF($F1932="","N",IFERROR(IF(INDEX(Counterparties!$E:$E,MATCH($F1932&amp;"",Counterparties!$A:$A,0))="Y","Y","N"),"N"))</f>
        <v>N</v>
      </c>
      <c r="R1932" s="25" t="n">
        <f aca="false">IF(OR($H1932="",$H1932="EUR"),1,IFERROR(INDEX(FX_Rates!$D:$D,MATCH($H1932,FX_Rates!$A:$A,0)),""))</f>
        <v>1</v>
      </c>
      <c r="S1932" s="26" t="str">
        <f aca="false">IF(AND($I1932="",$J1932=""),"",IF($J1932&lt;&gt;"",$J1932,IF(OR($R1932="",$R1932=0),"",ROUND($I1932/$R1932,2))))</f>
        <v/>
      </c>
      <c r="T1932" s="24" t="str">
        <f aca="false">IF($N1932="","",IFERROR(INDEX(VAT_Codes!$C:$C,MATCH($N1932,VAT_Codes!$A:$A,0)),"")&amp;"")</f>
        <v/>
      </c>
      <c r="U1932" s="26" t="n">
        <f aca="false">IF(OR($S1932="",$T1932="",$T1932="None"),0,IF($T1932="Output",-$S1932,$S1932))</f>
        <v>0</v>
      </c>
      <c r="V1932" s="27" t="n">
        <f aca="false">IF($N1932="",0,IFERROR(INDEX(VAT_Codes!$D:$D,MATCH($N1932,VAT_Codes!$A:$A,0)),0))</f>
        <v>0</v>
      </c>
      <c r="W1932" s="26" t="n">
        <f aca="false">IF($U1932=0,0,IF(IFERROR(INDEX(VAT_Codes!$F:$F,MATCH($N1932,VAT_Codes!$A:$A,0)),"N")="Y",$U1932,IF($L1932&lt;&gt;"",ROUND(ABS($L1932)/IF(OR($R1932="",$R1932=0),1,$R1932),2)*SIGN($U1932),ROUND($U1932*$V1932,2))))</f>
        <v>0</v>
      </c>
      <c r="X1932" s="24" t="str">
        <f aca="false">IF($N1932="","",IFERROR(INDEX(VAT_Codes!$H:$H,MATCH($N1932,VAT_Codes!$A:$A,0)),"")&amp;"")</f>
        <v/>
      </c>
      <c r="Y1932" s="24" t="str">
        <f aca="false">IF($A1932="","",(YEAR($A1932)-YEAR(Settings!$C$8))*12+MONTH($A1932)-MONTH(Settings!$C$8)+1)</f>
        <v/>
      </c>
      <c r="Z1932" s="24" t="str">
        <f aca="false">IF(AND($C1932="",$I1932="",$J1932=""),"",IF($N1932="","NO VAT CODE",IF($T1932="","UNKNOWN VAT CODE",IF($S1932="","MISSING FX RATE",IF(OR($A1932&lt;Settings!$C$8,$A1932&gt;Settings!$C$9),"OUTSIDE PERIOD",IF(AND(IFERROR(INDEX(VAT_Codes!$E:$E,MATCH($N1932,VAT_Codes!$A:$A,0)),"ANY")&lt;&gt;"ANY",$P1932=""),"MISSING COUNTERPARTY COUNTRY",IF(AND(IFERROR(INDEX(VAT_Codes!$E:$E,MATCH($N1932,VAT_Codes!$A:$A,0)),"ANY")&lt;&gt;"ANY",$P1932&lt;&gt;IFERROR(INDEX(VAT_Codes!$E:$E,MATCH($N1932,VAT_Codes!$A:$A,0)),"ANY")),"REGION MISMATCH","OK")))))))</f>
        <v/>
      </c>
    </row>
    <row r="1933" customFormat="false" ht="15" hidden="false" customHeight="false" outlineLevel="0" collapsed="false">
      <c r="M1933" s="24" t="str">
        <f aca="false">IF($C1933="","",IFERROR(INDEX(Account_Mapping!$C:$C,MATCH($C1933&amp;"",Account_Mapping!$A:$A,0))&amp;"",""))</f>
        <v/>
      </c>
      <c r="N1933" s="24" t="str">
        <f aca="false">IF($K1933&lt;&gt;"",$K1933,$M1933)</f>
        <v/>
      </c>
      <c r="O1933" s="24" t="str">
        <f aca="false">IF($F1933="","",IFERROR(INDEX(Counterparties!$C:$C,MATCH($F1933&amp;"",Counterparties!$A:$A,0))&amp;"",""))</f>
        <v/>
      </c>
      <c r="P1933" s="24" t="str">
        <f aca="false">IF($O1933="","",IF($O1933="CY","CY",IF(ISNUMBER(MATCH($O1933,Lists!$A:$A,0)),"EU","3RD")))</f>
        <v/>
      </c>
      <c r="Q1933" s="24" t="str">
        <f aca="false">IF($F1933="","N",IFERROR(IF(INDEX(Counterparties!$E:$E,MATCH($F1933&amp;"",Counterparties!$A:$A,0))="Y","Y","N"),"N"))</f>
        <v>N</v>
      </c>
      <c r="R1933" s="25" t="n">
        <f aca="false">IF(OR($H1933="",$H1933="EUR"),1,IFERROR(INDEX(FX_Rates!$D:$D,MATCH($H1933,FX_Rates!$A:$A,0)),""))</f>
        <v>1</v>
      </c>
      <c r="S1933" s="26" t="str">
        <f aca="false">IF(AND($I1933="",$J1933=""),"",IF($J1933&lt;&gt;"",$J1933,IF(OR($R1933="",$R1933=0),"",ROUND($I1933/$R1933,2))))</f>
        <v/>
      </c>
      <c r="T1933" s="24" t="str">
        <f aca="false">IF($N1933="","",IFERROR(INDEX(VAT_Codes!$C:$C,MATCH($N1933,VAT_Codes!$A:$A,0)),"")&amp;"")</f>
        <v/>
      </c>
      <c r="U1933" s="26" t="n">
        <f aca="false">IF(OR($S1933="",$T1933="",$T1933="None"),0,IF($T1933="Output",-$S1933,$S1933))</f>
        <v>0</v>
      </c>
      <c r="V1933" s="27" t="n">
        <f aca="false">IF($N1933="",0,IFERROR(INDEX(VAT_Codes!$D:$D,MATCH($N1933,VAT_Codes!$A:$A,0)),0))</f>
        <v>0</v>
      </c>
      <c r="W1933" s="26" t="n">
        <f aca="false">IF($U1933=0,0,IF(IFERROR(INDEX(VAT_Codes!$F:$F,MATCH($N1933,VAT_Codes!$A:$A,0)),"N")="Y",$U1933,IF($L1933&lt;&gt;"",ROUND(ABS($L1933)/IF(OR($R1933="",$R1933=0),1,$R1933),2)*SIGN($U1933),ROUND($U1933*$V1933,2))))</f>
        <v>0</v>
      </c>
      <c r="X1933" s="24" t="str">
        <f aca="false">IF($N1933="","",IFERROR(INDEX(VAT_Codes!$H:$H,MATCH($N1933,VAT_Codes!$A:$A,0)),"")&amp;"")</f>
        <v/>
      </c>
      <c r="Y1933" s="24" t="str">
        <f aca="false">IF($A1933="","",(YEAR($A1933)-YEAR(Settings!$C$8))*12+MONTH($A1933)-MONTH(Settings!$C$8)+1)</f>
        <v/>
      </c>
      <c r="Z1933" s="24" t="str">
        <f aca="false">IF(AND($C1933="",$I1933="",$J1933=""),"",IF($N1933="","NO VAT CODE",IF($T1933="","UNKNOWN VAT CODE",IF($S1933="","MISSING FX RATE",IF(OR($A1933&lt;Settings!$C$8,$A1933&gt;Settings!$C$9),"OUTSIDE PERIOD",IF(AND(IFERROR(INDEX(VAT_Codes!$E:$E,MATCH($N1933,VAT_Codes!$A:$A,0)),"ANY")&lt;&gt;"ANY",$P1933=""),"MISSING COUNTERPARTY COUNTRY",IF(AND(IFERROR(INDEX(VAT_Codes!$E:$E,MATCH($N1933,VAT_Codes!$A:$A,0)),"ANY")&lt;&gt;"ANY",$P1933&lt;&gt;IFERROR(INDEX(VAT_Codes!$E:$E,MATCH($N1933,VAT_Codes!$A:$A,0)),"ANY")),"REGION MISMATCH","OK")))))))</f>
        <v/>
      </c>
    </row>
    <row r="1934" customFormat="false" ht="15" hidden="false" customHeight="false" outlineLevel="0" collapsed="false">
      <c r="M1934" s="24" t="str">
        <f aca="false">IF($C1934="","",IFERROR(INDEX(Account_Mapping!$C:$C,MATCH($C1934&amp;"",Account_Mapping!$A:$A,0))&amp;"",""))</f>
        <v/>
      </c>
      <c r="N1934" s="24" t="str">
        <f aca="false">IF($K1934&lt;&gt;"",$K1934,$M1934)</f>
        <v/>
      </c>
      <c r="O1934" s="24" t="str">
        <f aca="false">IF($F1934="","",IFERROR(INDEX(Counterparties!$C:$C,MATCH($F1934&amp;"",Counterparties!$A:$A,0))&amp;"",""))</f>
        <v/>
      </c>
      <c r="P1934" s="24" t="str">
        <f aca="false">IF($O1934="","",IF($O1934="CY","CY",IF(ISNUMBER(MATCH($O1934,Lists!$A:$A,0)),"EU","3RD")))</f>
        <v/>
      </c>
      <c r="Q1934" s="24" t="str">
        <f aca="false">IF($F1934="","N",IFERROR(IF(INDEX(Counterparties!$E:$E,MATCH($F1934&amp;"",Counterparties!$A:$A,0))="Y","Y","N"),"N"))</f>
        <v>N</v>
      </c>
      <c r="R1934" s="25" t="n">
        <f aca="false">IF(OR($H1934="",$H1934="EUR"),1,IFERROR(INDEX(FX_Rates!$D:$D,MATCH($H1934,FX_Rates!$A:$A,0)),""))</f>
        <v>1</v>
      </c>
      <c r="S1934" s="26" t="str">
        <f aca="false">IF(AND($I1934="",$J1934=""),"",IF($J1934&lt;&gt;"",$J1934,IF(OR($R1934="",$R1934=0),"",ROUND($I1934/$R1934,2))))</f>
        <v/>
      </c>
      <c r="T1934" s="24" t="str">
        <f aca="false">IF($N1934="","",IFERROR(INDEX(VAT_Codes!$C:$C,MATCH($N1934,VAT_Codes!$A:$A,0)),"")&amp;"")</f>
        <v/>
      </c>
      <c r="U1934" s="26" t="n">
        <f aca="false">IF(OR($S1934="",$T1934="",$T1934="None"),0,IF($T1934="Output",-$S1934,$S1934))</f>
        <v>0</v>
      </c>
      <c r="V1934" s="27" t="n">
        <f aca="false">IF($N1934="",0,IFERROR(INDEX(VAT_Codes!$D:$D,MATCH($N1934,VAT_Codes!$A:$A,0)),0))</f>
        <v>0</v>
      </c>
      <c r="W1934" s="26" t="n">
        <f aca="false">IF($U1934=0,0,IF(IFERROR(INDEX(VAT_Codes!$F:$F,MATCH($N1934,VAT_Codes!$A:$A,0)),"N")="Y",$U1934,IF($L1934&lt;&gt;"",ROUND(ABS($L1934)/IF(OR($R1934="",$R1934=0),1,$R1934),2)*SIGN($U1934),ROUND($U1934*$V1934,2))))</f>
        <v>0</v>
      </c>
      <c r="X1934" s="24" t="str">
        <f aca="false">IF($N1934="","",IFERROR(INDEX(VAT_Codes!$H:$H,MATCH($N1934,VAT_Codes!$A:$A,0)),"")&amp;"")</f>
        <v/>
      </c>
      <c r="Y1934" s="24" t="str">
        <f aca="false">IF($A1934="","",(YEAR($A1934)-YEAR(Settings!$C$8))*12+MONTH($A1934)-MONTH(Settings!$C$8)+1)</f>
        <v/>
      </c>
      <c r="Z1934" s="24" t="str">
        <f aca="false">IF(AND($C1934="",$I1934="",$J1934=""),"",IF($N1934="","NO VAT CODE",IF($T1934="","UNKNOWN VAT CODE",IF($S1934="","MISSING FX RATE",IF(OR($A1934&lt;Settings!$C$8,$A1934&gt;Settings!$C$9),"OUTSIDE PERIOD",IF(AND(IFERROR(INDEX(VAT_Codes!$E:$E,MATCH($N1934,VAT_Codes!$A:$A,0)),"ANY")&lt;&gt;"ANY",$P1934=""),"MISSING COUNTERPARTY COUNTRY",IF(AND(IFERROR(INDEX(VAT_Codes!$E:$E,MATCH($N1934,VAT_Codes!$A:$A,0)),"ANY")&lt;&gt;"ANY",$P1934&lt;&gt;IFERROR(INDEX(VAT_Codes!$E:$E,MATCH($N1934,VAT_Codes!$A:$A,0)),"ANY")),"REGION MISMATCH","OK")))))))</f>
        <v/>
      </c>
    </row>
    <row r="1935" customFormat="false" ht="15" hidden="false" customHeight="false" outlineLevel="0" collapsed="false">
      <c r="M1935" s="24" t="str">
        <f aca="false">IF($C1935="","",IFERROR(INDEX(Account_Mapping!$C:$C,MATCH($C1935&amp;"",Account_Mapping!$A:$A,0))&amp;"",""))</f>
        <v/>
      </c>
      <c r="N1935" s="24" t="str">
        <f aca="false">IF($K1935&lt;&gt;"",$K1935,$M1935)</f>
        <v/>
      </c>
      <c r="O1935" s="24" t="str">
        <f aca="false">IF($F1935="","",IFERROR(INDEX(Counterparties!$C:$C,MATCH($F1935&amp;"",Counterparties!$A:$A,0))&amp;"",""))</f>
        <v/>
      </c>
      <c r="P1935" s="24" t="str">
        <f aca="false">IF($O1935="","",IF($O1935="CY","CY",IF(ISNUMBER(MATCH($O1935,Lists!$A:$A,0)),"EU","3RD")))</f>
        <v/>
      </c>
      <c r="Q1935" s="24" t="str">
        <f aca="false">IF($F1935="","N",IFERROR(IF(INDEX(Counterparties!$E:$E,MATCH($F1935&amp;"",Counterparties!$A:$A,0))="Y","Y","N"),"N"))</f>
        <v>N</v>
      </c>
      <c r="R1935" s="25" t="n">
        <f aca="false">IF(OR($H1935="",$H1935="EUR"),1,IFERROR(INDEX(FX_Rates!$D:$D,MATCH($H1935,FX_Rates!$A:$A,0)),""))</f>
        <v>1</v>
      </c>
      <c r="S1935" s="26" t="str">
        <f aca="false">IF(AND($I1935="",$J1935=""),"",IF($J1935&lt;&gt;"",$J1935,IF(OR($R1935="",$R1935=0),"",ROUND($I1935/$R1935,2))))</f>
        <v/>
      </c>
      <c r="T1935" s="24" t="str">
        <f aca="false">IF($N1935="","",IFERROR(INDEX(VAT_Codes!$C:$C,MATCH($N1935,VAT_Codes!$A:$A,0)),"")&amp;"")</f>
        <v/>
      </c>
      <c r="U1935" s="26" t="n">
        <f aca="false">IF(OR($S1935="",$T1935="",$T1935="None"),0,IF($T1935="Output",-$S1935,$S1935))</f>
        <v>0</v>
      </c>
      <c r="V1935" s="27" t="n">
        <f aca="false">IF($N1935="",0,IFERROR(INDEX(VAT_Codes!$D:$D,MATCH($N1935,VAT_Codes!$A:$A,0)),0))</f>
        <v>0</v>
      </c>
      <c r="W1935" s="26" t="n">
        <f aca="false">IF($U1935=0,0,IF(IFERROR(INDEX(VAT_Codes!$F:$F,MATCH($N1935,VAT_Codes!$A:$A,0)),"N")="Y",$U1935,IF($L1935&lt;&gt;"",ROUND(ABS($L1935)/IF(OR($R1935="",$R1935=0),1,$R1935),2)*SIGN($U1935),ROUND($U1935*$V1935,2))))</f>
        <v>0</v>
      </c>
      <c r="X1935" s="24" t="str">
        <f aca="false">IF($N1935="","",IFERROR(INDEX(VAT_Codes!$H:$H,MATCH($N1935,VAT_Codes!$A:$A,0)),"")&amp;"")</f>
        <v/>
      </c>
      <c r="Y1935" s="24" t="str">
        <f aca="false">IF($A1935="","",(YEAR($A1935)-YEAR(Settings!$C$8))*12+MONTH($A1935)-MONTH(Settings!$C$8)+1)</f>
        <v/>
      </c>
      <c r="Z1935" s="24" t="str">
        <f aca="false">IF(AND($C1935="",$I1935="",$J1935=""),"",IF($N1935="","NO VAT CODE",IF($T1935="","UNKNOWN VAT CODE",IF($S1935="","MISSING FX RATE",IF(OR($A1935&lt;Settings!$C$8,$A1935&gt;Settings!$C$9),"OUTSIDE PERIOD",IF(AND(IFERROR(INDEX(VAT_Codes!$E:$E,MATCH($N1935,VAT_Codes!$A:$A,0)),"ANY")&lt;&gt;"ANY",$P1935=""),"MISSING COUNTERPARTY COUNTRY",IF(AND(IFERROR(INDEX(VAT_Codes!$E:$E,MATCH($N1935,VAT_Codes!$A:$A,0)),"ANY")&lt;&gt;"ANY",$P1935&lt;&gt;IFERROR(INDEX(VAT_Codes!$E:$E,MATCH($N1935,VAT_Codes!$A:$A,0)),"ANY")),"REGION MISMATCH","OK")))))))</f>
        <v/>
      </c>
    </row>
    <row r="1936" customFormat="false" ht="15" hidden="false" customHeight="false" outlineLevel="0" collapsed="false">
      <c r="M1936" s="24" t="str">
        <f aca="false">IF($C1936="","",IFERROR(INDEX(Account_Mapping!$C:$C,MATCH($C1936&amp;"",Account_Mapping!$A:$A,0))&amp;"",""))</f>
        <v/>
      </c>
      <c r="N1936" s="24" t="str">
        <f aca="false">IF($K1936&lt;&gt;"",$K1936,$M1936)</f>
        <v/>
      </c>
      <c r="O1936" s="24" t="str">
        <f aca="false">IF($F1936="","",IFERROR(INDEX(Counterparties!$C:$C,MATCH($F1936&amp;"",Counterparties!$A:$A,0))&amp;"",""))</f>
        <v/>
      </c>
      <c r="P1936" s="24" t="str">
        <f aca="false">IF($O1936="","",IF($O1936="CY","CY",IF(ISNUMBER(MATCH($O1936,Lists!$A:$A,0)),"EU","3RD")))</f>
        <v/>
      </c>
      <c r="Q1936" s="24" t="str">
        <f aca="false">IF($F1936="","N",IFERROR(IF(INDEX(Counterparties!$E:$E,MATCH($F1936&amp;"",Counterparties!$A:$A,0))="Y","Y","N"),"N"))</f>
        <v>N</v>
      </c>
      <c r="R1936" s="25" t="n">
        <f aca="false">IF(OR($H1936="",$H1936="EUR"),1,IFERROR(INDEX(FX_Rates!$D:$D,MATCH($H1936,FX_Rates!$A:$A,0)),""))</f>
        <v>1</v>
      </c>
      <c r="S1936" s="26" t="str">
        <f aca="false">IF(AND($I1936="",$J1936=""),"",IF($J1936&lt;&gt;"",$J1936,IF(OR($R1936="",$R1936=0),"",ROUND($I1936/$R1936,2))))</f>
        <v/>
      </c>
      <c r="T1936" s="24" t="str">
        <f aca="false">IF($N1936="","",IFERROR(INDEX(VAT_Codes!$C:$C,MATCH($N1936,VAT_Codes!$A:$A,0)),"")&amp;"")</f>
        <v/>
      </c>
      <c r="U1936" s="26" t="n">
        <f aca="false">IF(OR($S1936="",$T1936="",$T1936="None"),0,IF($T1936="Output",-$S1936,$S1936))</f>
        <v>0</v>
      </c>
      <c r="V1936" s="27" t="n">
        <f aca="false">IF($N1936="",0,IFERROR(INDEX(VAT_Codes!$D:$D,MATCH($N1936,VAT_Codes!$A:$A,0)),0))</f>
        <v>0</v>
      </c>
      <c r="W1936" s="26" t="n">
        <f aca="false">IF($U1936=0,0,IF(IFERROR(INDEX(VAT_Codes!$F:$F,MATCH($N1936,VAT_Codes!$A:$A,0)),"N")="Y",$U1936,IF($L1936&lt;&gt;"",ROUND(ABS($L1936)/IF(OR($R1936="",$R1936=0),1,$R1936),2)*SIGN($U1936),ROUND($U1936*$V1936,2))))</f>
        <v>0</v>
      </c>
      <c r="X1936" s="24" t="str">
        <f aca="false">IF($N1936="","",IFERROR(INDEX(VAT_Codes!$H:$H,MATCH($N1936,VAT_Codes!$A:$A,0)),"")&amp;"")</f>
        <v/>
      </c>
      <c r="Y1936" s="24" t="str">
        <f aca="false">IF($A1936="","",(YEAR($A1936)-YEAR(Settings!$C$8))*12+MONTH($A1936)-MONTH(Settings!$C$8)+1)</f>
        <v/>
      </c>
      <c r="Z1936" s="24" t="str">
        <f aca="false">IF(AND($C1936="",$I1936="",$J1936=""),"",IF($N1936="","NO VAT CODE",IF($T1936="","UNKNOWN VAT CODE",IF($S1936="","MISSING FX RATE",IF(OR($A1936&lt;Settings!$C$8,$A1936&gt;Settings!$C$9),"OUTSIDE PERIOD",IF(AND(IFERROR(INDEX(VAT_Codes!$E:$E,MATCH($N1936,VAT_Codes!$A:$A,0)),"ANY")&lt;&gt;"ANY",$P1936=""),"MISSING COUNTERPARTY COUNTRY",IF(AND(IFERROR(INDEX(VAT_Codes!$E:$E,MATCH($N1936,VAT_Codes!$A:$A,0)),"ANY")&lt;&gt;"ANY",$P1936&lt;&gt;IFERROR(INDEX(VAT_Codes!$E:$E,MATCH($N1936,VAT_Codes!$A:$A,0)),"ANY")),"REGION MISMATCH","OK")))))))</f>
        <v/>
      </c>
    </row>
    <row r="1937" customFormat="false" ht="15" hidden="false" customHeight="false" outlineLevel="0" collapsed="false">
      <c r="M1937" s="24" t="str">
        <f aca="false">IF($C1937="","",IFERROR(INDEX(Account_Mapping!$C:$C,MATCH($C1937&amp;"",Account_Mapping!$A:$A,0))&amp;"",""))</f>
        <v/>
      </c>
      <c r="N1937" s="24" t="str">
        <f aca="false">IF($K1937&lt;&gt;"",$K1937,$M1937)</f>
        <v/>
      </c>
      <c r="O1937" s="24" t="str">
        <f aca="false">IF($F1937="","",IFERROR(INDEX(Counterparties!$C:$C,MATCH($F1937&amp;"",Counterparties!$A:$A,0))&amp;"",""))</f>
        <v/>
      </c>
      <c r="P1937" s="24" t="str">
        <f aca="false">IF($O1937="","",IF($O1937="CY","CY",IF(ISNUMBER(MATCH($O1937,Lists!$A:$A,0)),"EU","3RD")))</f>
        <v/>
      </c>
      <c r="Q1937" s="24" t="str">
        <f aca="false">IF($F1937="","N",IFERROR(IF(INDEX(Counterparties!$E:$E,MATCH($F1937&amp;"",Counterparties!$A:$A,0))="Y","Y","N"),"N"))</f>
        <v>N</v>
      </c>
      <c r="R1937" s="25" t="n">
        <f aca="false">IF(OR($H1937="",$H1937="EUR"),1,IFERROR(INDEX(FX_Rates!$D:$D,MATCH($H1937,FX_Rates!$A:$A,0)),""))</f>
        <v>1</v>
      </c>
      <c r="S1937" s="26" t="str">
        <f aca="false">IF(AND($I1937="",$J1937=""),"",IF($J1937&lt;&gt;"",$J1937,IF(OR($R1937="",$R1937=0),"",ROUND($I1937/$R1937,2))))</f>
        <v/>
      </c>
      <c r="T1937" s="24" t="str">
        <f aca="false">IF($N1937="","",IFERROR(INDEX(VAT_Codes!$C:$C,MATCH($N1937,VAT_Codes!$A:$A,0)),"")&amp;"")</f>
        <v/>
      </c>
      <c r="U1937" s="26" t="n">
        <f aca="false">IF(OR($S1937="",$T1937="",$T1937="None"),0,IF($T1937="Output",-$S1937,$S1937))</f>
        <v>0</v>
      </c>
      <c r="V1937" s="27" t="n">
        <f aca="false">IF($N1937="",0,IFERROR(INDEX(VAT_Codes!$D:$D,MATCH($N1937,VAT_Codes!$A:$A,0)),0))</f>
        <v>0</v>
      </c>
      <c r="W1937" s="26" t="n">
        <f aca="false">IF($U1937=0,0,IF(IFERROR(INDEX(VAT_Codes!$F:$F,MATCH($N1937,VAT_Codes!$A:$A,0)),"N")="Y",$U1937,IF($L1937&lt;&gt;"",ROUND(ABS($L1937)/IF(OR($R1937="",$R1937=0),1,$R1937),2)*SIGN($U1937),ROUND($U1937*$V1937,2))))</f>
        <v>0</v>
      </c>
      <c r="X1937" s="24" t="str">
        <f aca="false">IF($N1937="","",IFERROR(INDEX(VAT_Codes!$H:$H,MATCH($N1937,VAT_Codes!$A:$A,0)),"")&amp;"")</f>
        <v/>
      </c>
      <c r="Y1937" s="24" t="str">
        <f aca="false">IF($A1937="","",(YEAR($A1937)-YEAR(Settings!$C$8))*12+MONTH($A1937)-MONTH(Settings!$C$8)+1)</f>
        <v/>
      </c>
      <c r="Z1937" s="24" t="str">
        <f aca="false">IF(AND($C1937="",$I1937="",$J1937=""),"",IF($N1937="","NO VAT CODE",IF($T1937="","UNKNOWN VAT CODE",IF($S1937="","MISSING FX RATE",IF(OR($A1937&lt;Settings!$C$8,$A1937&gt;Settings!$C$9),"OUTSIDE PERIOD",IF(AND(IFERROR(INDEX(VAT_Codes!$E:$E,MATCH($N1937,VAT_Codes!$A:$A,0)),"ANY")&lt;&gt;"ANY",$P1937=""),"MISSING COUNTERPARTY COUNTRY",IF(AND(IFERROR(INDEX(VAT_Codes!$E:$E,MATCH($N1937,VAT_Codes!$A:$A,0)),"ANY")&lt;&gt;"ANY",$P1937&lt;&gt;IFERROR(INDEX(VAT_Codes!$E:$E,MATCH($N1937,VAT_Codes!$A:$A,0)),"ANY")),"REGION MISMATCH","OK")))))))</f>
        <v/>
      </c>
    </row>
    <row r="1938" customFormat="false" ht="15" hidden="false" customHeight="false" outlineLevel="0" collapsed="false">
      <c r="M1938" s="24" t="str">
        <f aca="false">IF($C1938="","",IFERROR(INDEX(Account_Mapping!$C:$C,MATCH($C1938&amp;"",Account_Mapping!$A:$A,0))&amp;"",""))</f>
        <v/>
      </c>
      <c r="N1938" s="24" t="str">
        <f aca="false">IF($K1938&lt;&gt;"",$K1938,$M1938)</f>
        <v/>
      </c>
      <c r="O1938" s="24" t="str">
        <f aca="false">IF($F1938="","",IFERROR(INDEX(Counterparties!$C:$C,MATCH($F1938&amp;"",Counterparties!$A:$A,0))&amp;"",""))</f>
        <v/>
      </c>
      <c r="P1938" s="24" t="str">
        <f aca="false">IF($O1938="","",IF($O1938="CY","CY",IF(ISNUMBER(MATCH($O1938,Lists!$A:$A,0)),"EU","3RD")))</f>
        <v/>
      </c>
      <c r="Q1938" s="24" t="str">
        <f aca="false">IF($F1938="","N",IFERROR(IF(INDEX(Counterparties!$E:$E,MATCH($F1938&amp;"",Counterparties!$A:$A,0))="Y","Y","N"),"N"))</f>
        <v>N</v>
      </c>
      <c r="R1938" s="25" t="n">
        <f aca="false">IF(OR($H1938="",$H1938="EUR"),1,IFERROR(INDEX(FX_Rates!$D:$D,MATCH($H1938,FX_Rates!$A:$A,0)),""))</f>
        <v>1</v>
      </c>
      <c r="S1938" s="26" t="str">
        <f aca="false">IF(AND($I1938="",$J1938=""),"",IF($J1938&lt;&gt;"",$J1938,IF(OR($R1938="",$R1938=0),"",ROUND($I1938/$R1938,2))))</f>
        <v/>
      </c>
      <c r="T1938" s="24" t="str">
        <f aca="false">IF($N1938="","",IFERROR(INDEX(VAT_Codes!$C:$C,MATCH($N1938,VAT_Codes!$A:$A,0)),"")&amp;"")</f>
        <v/>
      </c>
      <c r="U1938" s="26" t="n">
        <f aca="false">IF(OR($S1938="",$T1938="",$T1938="None"),0,IF($T1938="Output",-$S1938,$S1938))</f>
        <v>0</v>
      </c>
      <c r="V1938" s="27" t="n">
        <f aca="false">IF($N1938="",0,IFERROR(INDEX(VAT_Codes!$D:$D,MATCH($N1938,VAT_Codes!$A:$A,0)),0))</f>
        <v>0</v>
      </c>
      <c r="W1938" s="26" t="n">
        <f aca="false">IF($U1938=0,0,IF(IFERROR(INDEX(VAT_Codes!$F:$F,MATCH($N1938,VAT_Codes!$A:$A,0)),"N")="Y",$U1938,IF($L1938&lt;&gt;"",ROUND(ABS($L1938)/IF(OR($R1938="",$R1938=0),1,$R1938),2)*SIGN($U1938),ROUND($U1938*$V1938,2))))</f>
        <v>0</v>
      </c>
      <c r="X1938" s="24" t="str">
        <f aca="false">IF($N1938="","",IFERROR(INDEX(VAT_Codes!$H:$H,MATCH($N1938,VAT_Codes!$A:$A,0)),"")&amp;"")</f>
        <v/>
      </c>
      <c r="Y1938" s="24" t="str">
        <f aca="false">IF($A1938="","",(YEAR($A1938)-YEAR(Settings!$C$8))*12+MONTH($A1938)-MONTH(Settings!$C$8)+1)</f>
        <v/>
      </c>
      <c r="Z1938" s="24" t="str">
        <f aca="false">IF(AND($C1938="",$I1938="",$J1938=""),"",IF($N1938="","NO VAT CODE",IF($T1938="","UNKNOWN VAT CODE",IF($S1938="","MISSING FX RATE",IF(OR($A1938&lt;Settings!$C$8,$A1938&gt;Settings!$C$9),"OUTSIDE PERIOD",IF(AND(IFERROR(INDEX(VAT_Codes!$E:$E,MATCH($N1938,VAT_Codes!$A:$A,0)),"ANY")&lt;&gt;"ANY",$P1938=""),"MISSING COUNTERPARTY COUNTRY",IF(AND(IFERROR(INDEX(VAT_Codes!$E:$E,MATCH($N1938,VAT_Codes!$A:$A,0)),"ANY")&lt;&gt;"ANY",$P1938&lt;&gt;IFERROR(INDEX(VAT_Codes!$E:$E,MATCH($N1938,VAT_Codes!$A:$A,0)),"ANY")),"REGION MISMATCH","OK")))))))</f>
        <v/>
      </c>
    </row>
    <row r="1939" customFormat="false" ht="15" hidden="false" customHeight="false" outlineLevel="0" collapsed="false">
      <c r="M1939" s="24" t="str">
        <f aca="false">IF($C1939="","",IFERROR(INDEX(Account_Mapping!$C:$C,MATCH($C1939&amp;"",Account_Mapping!$A:$A,0))&amp;"",""))</f>
        <v/>
      </c>
      <c r="N1939" s="24" t="str">
        <f aca="false">IF($K1939&lt;&gt;"",$K1939,$M1939)</f>
        <v/>
      </c>
      <c r="O1939" s="24" t="str">
        <f aca="false">IF($F1939="","",IFERROR(INDEX(Counterparties!$C:$C,MATCH($F1939&amp;"",Counterparties!$A:$A,0))&amp;"",""))</f>
        <v/>
      </c>
      <c r="P1939" s="24" t="str">
        <f aca="false">IF($O1939="","",IF($O1939="CY","CY",IF(ISNUMBER(MATCH($O1939,Lists!$A:$A,0)),"EU","3RD")))</f>
        <v/>
      </c>
      <c r="Q1939" s="24" t="str">
        <f aca="false">IF($F1939="","N",IFERROR(IF(INDEX(Counterparties!$E:$E,MATCH($F1939&amp;"",Counterparties!$A:$A,0))="Y","Y","N"),"N"))</f>
        <v>N</v>
      </c>
      <c r="R1939" s="25" t="n">
        <f aca="false">IF(OR($H1939="",$H1939="EUR"),1,IFERROR(INDEX(FX_Rates!$D:$D,MATCH($H1939,FX_Rates!$A:$A,0)),""))</f>
        <v>1</v>
      </c>
      <c r="S1939" s="26" t="str">
        <f aca="false">IF(AND($I1939="",$J1939=""),"",IF($J1939&lt;&gt;"",$J1939,IF(OR($R1939="",$R1939=0),"",ROUND($I1939/$R1939,2))))</f>
        <v/>
      </c>
      <c r="T1939" s="24" t="str">
        <f aca="false">IF($N1939="","",IFERROR(INDEX(VAT_Codes!$C:$C,MATCH($N1939,VAT_Codes!$A:$A,0)),"")&amp;"")</f>
        <v/>
      </c>
      <c r="U1939" s="26" t="n">
        <f aca="false">IF(OR($S1939="",$T1939="",$T1939="None"),0,IF($T1939="Output",-$S1939,$S1939))</f>
        <v>0</v>
      </c>
      <c r="V1939" s="27" t="n">
        <f aca="false">IF($N1939="",0,IFERROR(INDEX(VAT_Codes!$D:$D,MATCH($N1939,VAT_Codes!$A:$A,0)),0))</f>
        <v>0</v>
      </c>
      <c r="W1939" s="26" t="n">
        <f aca="false">IF($U1939=0,0,IF(IFERROR(INDEX(VAT_Codes!$F:$F,MATCH($N1939,VAT_Codes!$A:$A,0)),"N")="Y",$U1939,IF($L1939&lt;&gt;"",ROUND(ABS($L1939)/IF(OR($R1939="",$R1939=0),1,$R1939),2)*SIGN($U1939),ROUND($U1939*$V1939,2))))</f>
        <v>0</v>
      </c>
      <c r="X1939" s="24" t="str">
        <f aca="false">IF($N1939="","",IFERROR(INDEX(VAT_Codes!$H:$H,MATCH($N1939,VAT_Codes!$A:$A,0)),"")&amp;"")</f>
        <v/>
      </c>
      <c r="Y1939" s="24" t="str">
        <f aca="false">IF($A1939="","",(YEAR($A1939)-YEAR(Settings!$C$8))*12+MONTH($A1939)-MONTH(Settings!$C$8)+1)</f>
        <v/>
      </c>
      <c r="Z1939" s="24" t="str">
        <f aca="false">IF(AND($C1939="",$I1939="",$J1939=""),"",IF($N1939="","NO VAT CODE",IF($T1939="","UNKNOWN VAT CODE",IF($S1939="","MISSING FX RATE",IF(OR($A1939&lt;Settings!$C$8,$A1939&gt;Settings!$C$9),"OUTSIDE PERIOD",IF(AND(IFERROR(INDEX(VAT_Codes!$E:$E,MATCH($N1939,VAT_Codes!$A:$A,0)),"ANY")&lt;&gt;"ANY",$P1939=""),"MISSING COUNTERPARTY COUNTRY",IF(AND(IFERROR(INDEX(VAT_Codes!$E:$E,MATCH($N1939,VAT_Codes!$A:$A,0)),"ANY")&lt;&gt;"ANY",$P1939&lt;&gt;IFERROR(INDEX(VAT_Codes!$E:$E,MATCH($N1939,VAT_Codes!$A:$A,0)),"ANY")),"REGION MISMATCH","OK")))))))</f>
        <v/>
      </c>
    </row>
    <row r="1940" customFormat="false" ht="15" hidden="false" customHeight="false" outlineLevel="0" collapsed="false">
      <c r="M1940" s="24" t="str">
        <f aca="false">IF($C1940="","",IFERROR(INDEX(Account_Mapping!$C:$C,MATCH($C1940&amp;"",Account_Mapping!$A:$A,0))&amp;"",""))</f>
        <v/>
      </c>
      <c r="N1940" s="24" t="str">
        <f aca="false">IF($K1940&lt;&gt;"",$K1940,$M1940)</f>
        <v/>
      </c>
      <c r="O1940" s="24" t="str">
        <f aca="false">IF($F1940="","",IFERROR(INDEX(Counterparties!$C:$C,MATCH($F1940&amp;"",Counterparties!$A:$A,0))&amp;"",""))</f>
        <v/>
      </c>
      <c r="P1940" s="24" t="str">
        <f aca="false">IF($O1940="","",IF($O1940="CY","CY",IF(ISNUMBER(MATCH($O1940,Lists!$A:$A,0)),"EU","3RD")))</f>
        <v/>
      </c>
      <c r="Q1940" s="24" t="str">
        <f aca="false">IF($F1940="","N",IFERROR(IF(INDEX(Counterparties!$E:$E,MATCH($F1940&amp;"",Counterparties!$A:$A,0))="Y","Y","N"),"N"))</f>
        <v>N</v>
      </c>
      <c r="R1940" s="25" t="n">
        <f aca="false">IF(OR($H1940="",$H1940="EUR"),1,IFERROR(INDEX(FX_Rates!$D:$D,MATCH($H1940,FX_Rates!$A:$A,0)),""))</f>
        <v>1</v>
      </c>
      <c r="S1940" s="26" t="str">
        <f aca="false">IF(AND($I1940="",$J1940=""),"",IF($J1940&lt;&gt;"",$J1940,IF(OR($R1940="",$R1940=0),"",ROUND($I1940/$R1940,2))))</f>
        <v/>
      </c>
      <c r="T1940" s="24" t="str">
        <f aca="false">IF($N1940="","",IFERROR(INDEX(VAT_Codes!$C:$C,MATCH($N1940,VAT_Codes!$A:$A,0)),"")&amp;"")</f>
        <v/>
      </c>
      <c r="U1940" s="26" t="n">
        <f aca="false">IF(OR($S1940="",$T1940="",$T1940="None"),0,IF($T1940="Output",-$S1940,$S1940))</f>
        <v>0</v>
      </c>
      <c r="V1940" s="27" t="n">
        <f aca="false">IF($N1940="",0,IFERROR(INDEX(VAT_Codes!$D:$D,MATCH($N1940,VAT_Codes!$A:$A,0)),0))</f>
        <v>0</v>
      </c>
      <c r="W1940" s="26" t="n">
        <f aca="false">IF($U1940=0,0,IF(IFERROR(INDEX(VAT_Codes!$F:$F,MATCH($N1940,VAT_Codes!$A:$A,0)),"N")="Y",$U1940,IF($L1940&lt;&gt;"",ROUND(ABS($L1940)/IF(OR($R1940="",$R1940=0),1,$R1940),2)*SIGN($U1940),ROUND($U1940*$V1940,2))))</f>
        <v>0</v>
      </c>
      <c r="X1940" s="24" t="str">
        <f aca="false">IF($N1940="","",IFERROR(INDEX(VAT_Codes!$H:$H,MATCH($N1940,VAT_Codes!$A:$A,0)),"")&amp;"")</f>
        <v/>
      </c>
      <c r="Y1940" s="24" t="str">
        <f aca="false">IF($A1940="","",(YEAR($A1940)-YEAR(Settings!$C$8))*12+MONTH($A1940)-MONTH(Settings!$C$8)+1)</f>
        <v/>
      </c>
      <c r="Z1940" s="24" t="str">
        <f aca="false">IF(AND($C1940="",$I1940="",$J1940=""),"",IF($N1940="","NO VAT CODE",IF($T1940="","UNKNOWN VAT CODE",IF($S1940="","MISSING FX RATE",IF(OR($A1940&lt;Settings!$C$8,$A1940&gt;Settings!$C$9),"OUTSIDE PERIOD",IF(AND(IFERROR(INDEX(VAT_Codes!$E:$E,MATCH($N1940,VAT_Codes!$A:$A,0)),"ANY")&lt;&gt;"ANY",$P1940=""),"MISSING COUNTERPARTY COUNTRY",IF(AND(IFERROR(INDEX(VAT_Codes!$E:$E,MATCH($N1940,VAT_Codes!$A:$A,0)),"ANY")&lt;&gt;"ANY",$P1940&lt;&gt;IFERROR(INDEX(VAT_Codes!$E:$E,MATCH($N1940,VAT_Codes!$A:$A,0)),"ANY")),"REGION MISMATCH","OK")))))))</f>
        <v/>
      </c>
    </row>
    <row r="1941" customFormat="false" ht="15" hidden="false" customHeight="false" outlineLevel="0" collapsed="false">
      <c r="M1941" s="24" t="str">
        <f aca="false">IF($C1941="","",IFERROR(INDEX(Account_Mapping!$C:$C,MATCH($C1941&amp;"",Account_Mapping!$A:$A,0))&amp;"",""))</f>
        <v/>
      </c>
      <c r="N1941" s="24" t="str">
        <f aca="false">IF($K1941&lt;&gt;"",$K1941,$M1941)</f>
        <v/>
      </c>
      <c r="O1941" s="24" t="str">
        <f aca="false">IF($F1941="","",IFERROR(INDEX(Counterparties!$C:$C,MATCH($F1941&amp;"",Counterparties!$A:$A,0))&amp;"",""))</f>
        <v/>
      </c>
      <c r="P1941" s="24" t="str">
        <f aca="false">IF($O1941="","",IF($O1941="CY","CY",IF(ISNUMBER(MATCH($O1941,Lists!$A:$A,0)),"EU","3RD")))</f>
        <v/>
      </c>
      <c r="Q1941" s="24" t="str">
        <f aca="false">IF($F1941="","N",IFERROR(IF(INDEX(Counterparties!$E:$E,MATCH($F1941&amp;"",Counterparties!$A:$A,0))="Y","Y","N"),"N"))</f>
        <v>N</v>
      </c>
      <c r="R1941" s="25" t="n">
        <f aca="false">IF(OR($H1941="",$H1941="EUR"),1,IFERROR(INDEX(FX_Rates!$D:$D,MATCH($H1941,FX_Rates!$A:$A,0)),""))</f>
        <v>1</v>
      </c>
      <c r="S1941" s="26" t="str">
        <f aca="false">IF(AND($I1941="",$J1941=""),"",IF($J1941&lt;&gt;"",$J1941,IF(OR($R1941="",$R1941=0),"",ROUND($I1941/$R1941,2))))</f>
        <v/>
      </c>
      <c r="T1941" s="24" t="str">
        <f aca="false">IF($N1941="","",IFERROR(INDEX(VAT_Codes!$C:$C,MATCH($N1941,VAT_Codes!$A:$A,0)),"")&amp;"")</f>
        <v/>
      </c>
      <c r="U1941" s="26" t="n">
        <f aca="false">IF(OR($S1941="",$T1941="",$T1941="None"),0,IF($T1941="Output",-$S1941,$S1941))</f>
        <v>0</v>
      </c>
      <c r="V1941" s="27" t="n">
        <f aca="false">IF($N1941="",0,IFERROR(INDEX(VAT_Codes!$D:$D,MATCH($N1941,VAT_Codes!$A:$A,0)),0))</f>
        <v>0</v>
      </c>
      <c r="W1941" s="26" t="n">
        <f aca="false">IF($U1941=0,0,IF(IFERROR(INDEX(VAT_Codes!$F:$F,MATCH($N1941,VAT_Codes!$A:$A,0)),"N")="Y",$U1941,IF($L1941&lt;&gt;"",ROUND(ABS($L1941)/IF(OR($R1941="",$R1941=0),1,$R1941),2)*SIGN($U1941),ROUND($U1941*$V1941,2))))</f>
        <v>0</v>
      </c>
      <c r="X1941" s="24" t="str">
        <f aca="false">IF($N1941="","",IFERROR(INDEX(VAT_Codes!$H:$H,MATCH($N1941,VAT_Codes!$A:$A,0)),"")&amp;"")</f>
        <v/>
      </c>
      <c r="Y1941" s="24" t="str">
        <f aca="false">IF($A1941="","",(YEAR($A1941)-YEAR(Settings!$C$8))*12+MONTH($A1941)-MONTH(Settings!$C$8)+1)</f>
        <v/>
      </c>
      <c r="Z1941" s="24" t="str">
        <f aca="false">IF(AND($C1941="",$I1941="",$J1941=""),"",IF($N1941="","NO VAT CODE",IF($T1941="","UNKNOWN VAT CODE",IF($S1941="","MISSING FX RATE",IF(OR($A1941&lt;Settings!$C$8,$A1941&gt;Settings!$C$9),"OUTSIDE PERIOD",IF(AND(IFERROR(INDEX(VAT_Codes!$E:$E,MATCH($N1941,VAT_Codes!$A:$A,0)),"ANY")&lt;&gt;"ANY",$P1941=""),"MISSING COUNTERPARTY COUNTRY",IF(AND(IFERROR(INDEX(VAT_Codes!$E:$E,MATCH($N1941,VAT_Codes!$A:$A,0)),"ANY")&lt;&gt;"ANY",$P1941&lt;&gt;IFERROR(INDEX(VAT_Codes!$E:$E,MATCH($N1941,VAT_Codes!$A:$A,0)),"ANY")),"REGION MISMATCH","OK")))))))</f>
        <v/>
      </c>
    </row>
    <row r="1942" customFormat="false" ht="15" hidden="false" customHeight="false" outlineLevel="0" collapsed="false">
      <c r="M1942" s="24" t="str">
        <f aca="false">IF($C1942="","",IFERROR(INDEX(Account_Mapping!$C:$C,MATCH($C1942&amp;"",Account_Mapping!$A:$A,0))&amp;"",""))</f>
        <v/>
      </c>
      <c r="N1942" s="24" t="str">
        <f aca="false">IF($K1942&lt;&gt;"",$K1942,$M1942)</f>
        <v/>
      </c>
      <c r="O1942" s="24" t="str">
        <f aca="false">IF($F1942="","",IFERROR(INDEX(Counterparties!$C:$C,MATCH($F1942&amp;"",Counterparties!$A:$A,0))&amp;"",""))</f>
        <v/>
      </c>
      <c r="P1942" s="24" t="str">
        <f aca="false">IF($O1942="","",IF($O1942="CY","CY",IF(ISNUMBER(MATCH($O1942,Lists!$A:$A,0)),"EU","3RD")))</f>
        <v/>
      </c>
      <c r="Q1942" s="24" t="str">
        <f aca="false">IF($F1942="","N",IFERROR(IF(INDEX(Counterparties!$E:$E,MATCH($F1942&amp;"",Counterparties!$A:$A,0))="Y","Y","N"),"N"))</f>
        <v>N</v>
      </c>
      <c r="R1942" s="25" t="n">
        <f aca="false">IF(OR($H1942="",$H1942="EUR"),1,IFERROR(INDEX(FX_Rates!$D:$D,MATCH($H1942,FX_Rates!$A:$A,0)),""))</f>
        <v>1</v>
      </c>
      <c r="S1942" s="26" t="str">
        <f aca="false">IF(AND($I1942="",$J1942=""),"",IF($J1942&lt;&gt;"",$J1942,IF(OR($R1942="",$R1942=0),"",ROUND($I1942/$R1942,2))))</f>
        <v/>
      </c>
      <c r="T1942" s="24" t="str">
        <f aca="false">IF($N1942="","",IFERROR(INDEX(VAT_Codes!$C:$C,MATCH($N1942,VAT_Codes!$A:$A,0)),"")&amp;"")</f>
        <v/>
      </c>
      <c r="U1942" s="26" t="n">
        <f aca="false">IF(OR($S1942="",$T1942="",$T1942="None"),0,IF($T1942="Output",-$S1942,$S1942))</f>
        <v>0</v>
      </c>
      <c r="V1942" s="27" t="n">
        <f aca="false">IF($N1942="",0,IFERROR(INDEX(VAT_Codes!$D:$D,MATCH($N1942,VAT_Codes!$A:$A,0)),0))</f>
        <v>0</v>
      </c>
      <c r="W1942" s="26" t="n">
        <f aca="false">IF($U1942=0,0,IF(IFERROR(INDEX(VAT_Codes!$F:$F,MATCH($N1942,VAT_Codes!$A:$A,0)),"N")="Y",$U1942,IF($L1942&lt;&gt;"",ROUND(ABS($L1942)/IF(OR($R1942="",$R1942=0),1,$R1942),2)*SIGN($U1942),ROUND($U1942*$V1942,2))))</f>
        <v>0</v>
      </c>
      <c r="X1942" s="24" t="str">
        <f aca="false">IF($N1942="","",IFERROR(INDEX(VAT_Codes!$H:$H,MATCH($N1942,VAT_Codes!$A:$A,0)),"")&amp;"")</f>
        <v/>
      </c>
      <c r="Y1942" s="24" t="str">
        <f aca="false">IF($A1942="","",(YEAR($A1942)-YEAR(Settings!$C$8))*12+MONTH($A1942)-MONTH(Settings!$C$8)+1)</f>
        <v/>
      </c>
      <c r="Z1942" s="24" t="str">
        <f aca="false">IF(AND($C1942="",$I1942="",$J1942=""),"",IF($N1942="","NO VAT CODE",IF($T1942="","UNKNOWN VAT CODE",IF($S1942="","MISSING FX RATE",IF(OR($A1942&lt;Settings!$C$8,$A1942&gt;Settings!$C$9),"OUTSIDE PERIOD",IF(AND(IFERROR(INDEX(VAT_Codes!$E:$E,MATCH($N1942,VAT_Codes!$A:$A,0)),"ANY")&lt;&gt;"ANY",$P1942=""),"MISSING COUNTERPARTY COUNTRY",IF(AND(IFERROR(INDEX(VAT_Codes!$E:$E,MATCH($N1942,VAT_Codes!$A:$A,0)),"ANY")&lt;&gt;"ANY",$P1942&lt;&gt;IFERROR(INDEX(VAT_Codes!$E:$E,MATCH($N1942,VAT_Codes!$A:$A,0)),"ANY")),"REGION MISMATCH","OK")))))))</f>
        <v/>
      </c>
    </row>
    <row r="1943" customFormat="false" ht="15" hidden="false" customHeight="false" outlineLevel="0" collapsed="false">
      <c r="M1943" s="24" t="str">
        <f aca="false">IF($C1943="","",IFERROR(INDEX(Account_Mapping!$C:$C,MATCH($C1943&amp;"",Account_Mapping!$A:$A,0))&amp;"",""))</f>
        <v/>
      </c>
      <c r="N1943" s="24" t="str">
        <f aca="false">IF($K1943&lt;&gt;"",$K1943,$M1943)</f>
        <v/>
      </c>
      <c r="O1943" s="24" t="str">
        <f aca="false">IF($F1943="","",IFERROR(INDEX(Counterparties!$C:$C,MATCH($F1943&amp;"",Counterparties!$A:$A,0))&amp;"",""))</f>
        <v/>
      </c>
      <c r="P1943" s="24" t="str">
        <f aca="false">IF($O1943="","",IF($O1943="CY","CY",IF(ISNUMBER(MATCH($O1943,Lists!$A:$A,0)),"EU","3RD")))</f>
        <v/>
      </c>
      <c r="Q1943" s="24" t="str">
        <f aca="false">IF($F1943="","N",IFERROR(IF(INDEX(Counterparties!$E:$E,MATCH($F1943&amp;"",Counterparties!$A:$A,0))="Y","Y","N"),"N"))</f>
        <v>N</v>
      </c>
      <c r="R1943" s="25" t="n">
        <f aca="false">IF(OR($H1943="",$H1943="EUR"),1,IFERROR(INDEX(FX_Rates!$D:$D,MATCH($H1943,FX_Rates!$A:$A,0)),""))</f>
        <v>1</v>
      </c>
      <c r="S1943" s="26" t="str">
        <f aca="false">IF(AND($I1943="",$J1943=""),"",IF($J1943&lt;&gt;"",$J1943,IF(OR($R1943="",$R1943=0),"",ROUND($I1943/$R1943,2))))</f>
        <v/>
      </c>
      <c r="T1943" s="24" t="str">
        <f aca="false">IF($N1943="","",IFERROR(INDEX(VAT_Codes!$C:$C,MATCH($N1943,VAT_Codes!$A:$A,0)),"")&amp;"")</f>
        <v/>
      </c>
      <c r="U1943" s="26" t="n">
        <f aca="false">IF(OR($S1943="",$T1943="",$T1943="None"),0,IF($T1943="Output",-$S1943,$S1943))</f>
        <v>0</v>
      </c>
      <c r="V1943" s="27" t="n">
        <f aca="false">IF($N1943="",0,IFERROR(INDEX(VAT_Codes!$D:$D,MATCH($N1943,VAT_Codes!$A:$A,0)),0))</f>
        <v>0</v>
      </c>
      <c r="W1943" s="26" t="n">
        <f aca="false">IF($U1943=0,0,IF(IFERROR(INDEX(VAT_Codes!$F:$F,MATCH($N1943,VAT_Codes!$A:$A,0)),"N")="Y",$U1943,IF($L1943&lt;&gt;"",ROUND(ABS($L1943)/IF(OR($R1943="",$R1943=0),1,$R1943),2)*SIGN($U1943),ROUND($U1943*$V1943,2))))</f>
        <v>0</v>
      </c>
      <c r="X1943" s="24" t="str">
        <f aca="false">IF($N1943="","",IFERROR(INDEX(VAT_Codes!$H:$H,MATCH($N1943,VAT_Codes!$A:$A,0)),"")&amp;"")</f>
        <v/>
      </c>
      <c r="Y1943" s="24" t="str">
        <f aca="false">IF($A1943="","",(YEAR($A1943)-YEAR(Settings!$C$8))*12+MONTH($A1943)-MONTH(Settings!$C$8)+1)</f>
        <v/>
      </c>
      <c r="Z1943" s="24" t="str">
        <f aca="false">IF(AND($C1943="",$I1943="",$J1943=""),"",IF($N1943="","NO VAT CODE",IF($T1943="","UNKNOWN VAT CODE",IF($S1943="","MISSING FX RATE",IF(OR($A1943&lt;Settings!$C$8,$A1943&gt;Settings!$C$9),"OUTSIDE PERIOD",IF(AND(IFERROR(INDEX(VAT_Codes!$E:$E,MATCH($N1943,VAT_Codes!$A:$A,0)),"ANY")&lt;&gt;"ANY",$P1943=""),"MISSING COUNTERPARTY COUNTRY",IF(AND(IFERROR(INDEX(VAT_Codes!$E:$E,MATCH($N1943,VAT_Codes!$A:$A,0)),"ANY")&lt;&gt;"ANY",$P1943&lt;&gt;IFERROR(INDEX(VAT_Codes!$E:$E,MATCH($N1943,VAT_Codes!$A:$A,0)),"ANY")),"REGION MISMATCH","OK")))))))</f>
        <v/>
      </c>
    </row>
    <row r="1944" customFormat="false" ht="15" hidden="false" customHeight="false" outlineLevel="0" collapsed="false">
      <c r="M1944" s="24" t="str">
        <f aca="false">IF($C1944="","",IFERROR(INDEX(Account_Mapping!$C:$C,MATCH($C1944&amp;"",Account_Mapping!$A:$A,0))&amp;"",""))</f>
        <v/>
      </c>
      <c r="N1944" s="24" t="str">
        <f aca="false">IF($K1944&lt;&gt;"",$K1944,$M1944)</f>
        <v/>
      </c>
      <c r="O1944" s="24" t="str">
        <f aca="false">IF($F1944="","",IFERROR(INDEX(Counterparties!$C:$C,MATCH($F1944&amp;"",Counterparties!$A:$A,0))&amp;"",""))</f>
        <v/>
      </c>
      <c r="P1944" s="24" t="str">
        <f aca="false">IF($O1944="","",IF($O1944="CY","CY",IF(ISNUMBER(MATCH($O1944,Lists!$A:$A,0)),"EU","3RD")))</f>
        <v/>
      </c>
      <c r="Q1944" s="24" t="str">
        <f aca="false">IF($F1944="","N",IFERROR(IF(INDEX(Counterparties!$E:$E,MATCH($F1944&amp;"",Counterparties!$A:$A,0))="Y","Y","N"),"N"))</f>
        <v>N</v>
      </c>
      <c r="R1944" s="25" t="n">
        <f aca="false">IF(OR($H1944="",$H1944="EUR"),1,IFERROR(INDEX(FX_Rates!$D:$D,MATCH($H1944,FX_Rates!$A:$A,0)),""))</f>
        <v>1</v>
      </c>
      <c r="S1944" s="26" t="str">
        <f aca="false">IF(AND($I1944="",$J1944=""),"",IF($J1944&lt;&gt;"",$J1944,IF(OR($R1944="",$R1944=0),"",ROUND($I1944/$R1944,2))))</f>
        <v/>
      </c>
      <c r="T1944" s="24" t="str">
        <f aca="false">IF($N1944="","",IFERROR(INDEX(VAT_Codes!$C:$C,MATCH($N1944,VAT_Codes!$A:$A,0)),"")&amp;"")</f>
        <v/>
      </c>
      <c r="U1944" s="26" t="n">
        <f aca="false">IF(OR($S1944="",$T1944="",$T1944="None"),0,IF($T1944="Output",-$S1944,$S1944))</f>
        <v>0</v>
      </c>
      <c r="V1944" s="27" t="n">
        <f aca="false">IF($N1944="",0,IFERROR(INDEX(VAT_Codes!$D:$D,MATCH($N1944,VAT_Codes!$A:$A,0)),0))</f>
        <v>0</v>
      </c>
      <c r="W1944" s="26" t="n">
        <f aca="false">IF($U1944=0,0,IF(IFERROR(INDEX(VAT_Codes!$F:$F,MATCH($N1944,VAT_Codes!$A:$A,0)),"N")="Y",$U1944,IF($L1944&lt;&gt;"",ROUND(ABS($L1944)/IF(OR($R1944="",$R1944=0),1,$R1944),2)*SIGN($U1944),ROUND($U1944*$V1944,2))))</f>
        <v>0</v>
      </c>
      <c r="X1944" s="24" t="str">
        <f aca="false">IF($N1944="","",IFERROR(INDEX(VAT_Codes!$H:$H,MATCH($N1944,VAT_Codes!$A:$A,0)),"")&amp;"")</f>
        <v/>
      </c>
      <c r="Y1944" s="24" t="str">
        <f aca="false">IF($A1944="","",(YEAR($A1944)-YEAR(Settings!$C$8))*12+MONTH($A1944)-MONTH(Settings!$C$8)+1)</f>
        <v/>
      </c>
      <c r="Z1944" s="24" t="str">
        <f aca="false">IF(AND($C1944="",$I1944="",$J1944=""),"",IF($N1944="","NO VAT CODE",IF($T1944="","UNKNOWN VAT CODE",IF($S1944="","MISSING FX RATE",IF(OR($A1944&lt;Settings!$C$8,$A1944&gt;Settings!$C$9),"OUTSIDE PERIOD",IF(AND(IFERROR(INDEX(VAT_Codes!$E:$E,MATCH($N1944,VAT_Codes!$A:$A,0)),"ANY")&lt;&gt;"ANY",$P1944=""),"MISSING COUNTERPARTY COUNTRY",IF(AND(IFERROR(INDEX(VAT_Codes!$E:$E,MATCH($N1944,VAT_Codes!$A:$A,0)),"ANY")&lt;&gt;"ANY",$P1944&lt;&gt;IFERROR(INDEX(VAT_Codes!$E:$E,MATCH($N1944,VAT_Codes!$A:$A,0)),"ANY")),"REGION MISMATCH","OK")))))))</f>
        <v/>
      </c>
    </row>
    <row r="1945" customFormat="false" ht="15" hidden="false" customHeight="false" outlineLevel="0" collapsed="false">
      <c r="M1945" s="24" t="str">
        <f aca="false">IF($C1945="","",IFERROR(INDEX(Account_Mapping!$C:$C,MATCH($C1945&amp;"",Account_Mapping!$A:$A,0))&amp;"",""))</f>
        <v/>
      </c>
      <c r="N1945" s="24" t="str">
        <f aca="false">IF($K1945&lt;&gt;"",$K1945,$M1945)</f>
        <v/>
      </c>
      <c r="O1945" s="24" t="str">
        <f aca="false">IF($F1945="","",IFERROR(INDEX(Counterparties!$C:$C,MATCH($F1945&amp;"",Counterparties!$A:$A,0))&amp;"",""))</f>
        <v/>
      </c>
      <c r="P1945" s="24" t="str">
        <f aca="false">IF($O1945="","",IF($O1945="CY","CY",IF(ISNUMBER(MATCH($O1945,Lists!$A:$A,0)),"EU","3RD")))</f>
        <v/>
      </c>
      <c r="Q1945" s="24" t="str">
        <f aca="false">IF($F1945="","N",IFERROR(IF(INDEX(Counterparties!$E:$E,MATCH($F1945&amp;"",Counterparties!$A:$A,0))="Y","Y","N"),"N"))</f>
        <v>N</v>
      </c>
      <c r="R1945" s="25" t="n">
        <f aca="false">IF(OR($H1945="",$H1945="EUR"),1,IFERROR(INDEX(FX_Rates!$D:$D,MATCH($H1945,FX_Rates!$A:$A,0)),""))</f>
        <v>1</v>
      </c>
      <c r="S1945" s="26" t="str">
        <f aca="false">IF(AND($I1945="",$J1945=""),"",IF($J1945&lt;&gt;"",$J1945,IF(OR($R1945="",$R1945=0),"",ROUND($I1945/$R1945,2))))</f>
        <v/>
      </c>
      <c r="T1945" s="24" t="str">
        <f aca="false">IF($N1945="","",IFERROR(INDEX(VAT_Codes!$C:$C,MATCH($N1945,VAT_Codes!$A:$A,0)),"")&amp;"")</f>
        <v/>
      </c>
      <c r="U1945" s="26" t="n">
        <f aca="false">IF(OR($S1945="",$T1945="",$T1945="None"),0,IF($T1945="Output",-$S1945,$S1945))</f>
        <v>0</v>
      </c>
      <c r="V1945" s="27" t="n">
        <f aca="false">IF($N1945="",0,IFERROR(INDEX(VAT_Codes!$D:$D,MATCH($N1945,VAT_Codes!$A:$A,0)),0))</f>
        <v>0</v>
      </c>
      <c r="W1945" s="26" t="n">
        <f aca="false">IF($U1945=0,0,IF(IFERROR(INDEX(VAT_Codes!$F:$F,MATCH($N1945,VAT_Codes!$A:$A,0)),"N")="Y",$U1945,IF($L1945&lt;&gt;"",ROUND(ABS($L1945)/IF(OR($R1945="",$R1945=0),1,$R1945),2)*SIGN($U1945),ROUND($U1945*$V1945,2))))</f>
        <v>0</v>
      </c>
      <c r="X1945" s="24" t="str">
        <f aca="false">IF($N1945="","",IFERROR(INDEX(VAT_Codes!$H:$H,MATCH($N1945,VAT_Codes!$A:$A,0)),"")&amp;"")</f>
        <v/>
      </c>
      <c r="Y1945" s="24" t="str">
        <f aca="false">IF($A1945="","",(YEAR($A1945)-YEAR(Settings!$C$8))*12+MONTH($A1945)-MONTH(Settings!$C$8)+1)</f>
        <v/>
      </c>
      <c r="Z1945" s="24" t="str">
        <f aca="false">IF(AND($C1945="",$I1945="",$J1945=""),"",IF($N1945="","NO VAT CODE",IF($T1945="","UNKNOWN VAT CODE",IF($S1945="","MISSING FX RATE",IF(OR($A1945&lt;Settings!$C$8,$A1945&gt;Settings!$C$9),"OUTSIDE PERIOD",IF(AND(IFERROR(INDEX(VAT_Codes!$E:$E,MATCH($N1945,VAT_Codes!$A:$A,0)),"ANY")&lt;&gt;"ANY",$P1945=""),"MISSING COUNTERPARTY COUNTRY",IF(AND(IFERROR(INDEX(VAT_Codes!$E:$E,MATCH($N1945,VAT_Codes!$A:$A,0)),"ANY")&lt;&gt;"ANY",$P1945&lt;&gt;IFERROR(INDEX(VAT_Codes!$E:$E,MATCH($N1945,VAT_Codes!$A:$A,0)),"ANY")),"REGION MISMATCH","OK")))))))</f>
        <v/>
      </c>
    </row>
    <row r="1946" customFormat="false" ht="15" hidden="false" customHeight="false" outlineLevel="0" collapsed="false">
      <c r="M1946" s="24" t="str">
        <f aca="false">IF($C1946="","",IFERROR(INDEX(Account_Mapping!$C:$C,MATCH($C1946&amp;"",Account_Mapping!$A:$A,0))&amp;"",""))</f>
        <v/>
      </c>
      <c r="N1946" s="24" t="str">
        <f aca="false">IF($K1946&lt;&gt;"",$K1946,$M1946)</f>
        <v/>
      </c>
      <c r="O1946" s="24" t="str">
        <f aca="false">IF($F1946="","",IFERROR(INDEX(Counterparties!$C:$C,MATCH($F1946&amp;"",Counterparties!$A:$A,0))&amp;"",""))</f>
        <v/>
      </c>
      <c r="P1946" s="24" t="str">
        <f aca="false">IF($O1946="","",IF($O1946="CY","CY",IF(ISNUMBER(MATCH($O1946,Lists!$A:$A,0)),"EU","3RD")))</f>
        <v/>
      </c>
      <c r="Q1946" s="24" t="str">
        <f aca="false">IF($F1946="","N",IFERROR(IF(INDEX(Counterparties!$E:$E,MATCH($F1946&amp;"",Counterparties!$A:$A,0))="Y","Y","N"),"N"))</f>
        <v>N</v>
      </c>
      <c r="R1946" s="25" t="n">
        <f aca="false">IF(OR($H1946="",$H1946="EUR"),1,IFERROR(INDEX(FX_Rates!$D:$D,MATCH($H1946,FX_Rates!$A:$A,0)),""))</f>
        <v>1</v>
      </c>
      <c r="S1946" s="26" t="str">
        <f aca="false">IF(AND($I1946="",$J1946=""),"",IF($J1946&lt;&gt;"",$J1946,IF(OR($R1946="",$R1946=0),"",ROUND($I1946/$R1946,2))))</f>
        <v/>
      </c>
      <c r="T1946" s="24" t="str">
        <f aca="false">IF($N1946="","",IFERROR(INDEX(VAT_Codes!$C:$C,MATCH($N1946,VAT_Codes!$A:$A,0)),"")&amp;"")</f>
        <v/>
      </c>
      <c r="U1946" s="26" t="n">
        <f aca="false">IF(OR($S1946="",$T1946="",$T1946="None"),0,IF($T1946="Output",-$S1946,$S1946))</f>
        <v>0</v>
      </c>
      <c r="V1946" s="27" t="n">
        <f aca="false">IF($N1946="",0,IFERROR(INDEX(VAT_Codes!$D:$D,MATCH($N1946,VAT_Codes!$A:$A,0)),0))</f>
        <v>0</v>
      </c>
      <c r="W1946" s="26" t="n">
        <f aca="false">IF($U1946=0,0,IF(IFERROR(INDEX(VAT_Codes!$F:$F,MATCH($N1946,VAT_Codes!$A:$A,0)),"N")="Y",$U1946,IF($L1946&lt;&gt;"",ROUND(ABS($L1946)/IF(OR($R1946="",$R1946=0),1,$R1946),2)*SIGN($U1946),ROUND($U1946*$V1946,2))))</f>
        <v>0</v>
      </c>
      <c r="X1946" s="24" t="str">
        <f aca="false">IF($N1946="","",IFERROR(INDEX(VAT_Codes!$H:$H,MATCH($N1946,VAT_Codes!$A:$A,0)),"")&amp;"")</f>
        <v/>
      </c>
      <c r="Y1946" s="24" t="str">
        <f aca="false">IF($A1946="","",(YEAR($A1946)-YEAR(Settings!$C$8))*12+MONTH($A1946)-MONTH(Settings!$C$8)+1)</f>
        <v/>
      </c>
      <c r="Z1946" s="24" t="str">
        <f aca="false">IF(AND($C1946="",$I1946="",$J1946=""),"",IF($N1946="","NO VAT CODE",IF($T1946="","UNKNOWN VAT CODE",IF($S1946="","MISSING FX RATE",IF(OR($A1946&lt;Settings!$C$8,$A1946&gt;Settings!$C$9),"OUTSIDE PERIOD",IF(AND(IFERROR(INDEX(VAT_Codes!$E:$E,MATCH($N1946,VAT_Codes!$A:$A,0)),"ANY")&lt;&gt;"ANY",$P1946=""),"MISSING COUNTERPARTY COUNTRY",IF(AND(IFERROR(INDEX(VAT_Codes!$E:$E,MATCH($N1946,VAT_Codes!$A:$A,0)),"ANY")&lt;&gt;"ANY",$P1946&lt;&gt;IFERROR(INDEX(VAT_Codes!$E:$E,MATCH($N1946,VAT_Codes!$A:$A,0)),"ANY")),"REGION MISMATCH","OK")))))))</f>
        <v/>
      </c>
    </row>
    <row r="1947" customFormat="false" ht="15" hidden="false" customHeight="false" outlineLevel="0" collapsed="false">
      <c r="M1947" s="24" t="str">
        <f aca="false">IF($C1947="","",IFERROR(INDEX(Account_Mapping!$C:$C,MATCH($C1947&amp;"",Account_Mapping!$A:$A,0))&amp;"",""))</f>
        <v/>
      </c>
      <c r="N1947" s="24" t="str">
        <f aca="false">IF($K1947&lt;&gt;"",$K1947,$M1947)</f>
        <v/>
      </c>
      <c r="O1947" s="24" t="str">
        <f aca="false">IF($F1947="","",IFERROR(INDEX(Counterparties!$C:$C,MATCH($F1947&amp;"",Counterparties!$A:$A,0))&amp;"",""))</f>
        <v/>
      </c>
      <c r="P1947" s="24" t="str">
        <f aca="false">IF($O1947="","",IF($O1947="CY","CY",IF(ISNUMBER(MATCH($O1947,Lists!$A:$A,0)),"EU","3RD")))</f>
        <v/>
      </c>
      <c r="Q1947" s="24" t="str">
        <f aca="false">IF($F1947="","N",IFERROR(IF(INDEX(Counterparties!$E:$E,MATCH($F1947&amp;"",Counterparties!$A:$A,0))="Y","Y","N"),"N"))</f>
        <v>N</v>
      </c>
      <c r="R1947" s="25" t="n">
        <f aca="false">IF(OR($H1947="",$H1947="EUR"),1,IFERROR(INDEX(FX_Rates!$D:$D,MATCH($H1947,FX_Rates!$A:$A,0)),""))</f>
        <v>1</v>
      </c>
      <c r="S1947" s="26" t="str">
        <f aca="false">IF(AND($I1947="",$J1947=""),"",IF($J1947&lt;&gt;"",$J1947,IF(OR($R1947="",$R1947=0),"",ROUND($I1947/$R1947,2))))</f>
        <v/>
      </c>
      <c r="T1947" s="24" t="str">
        <f aca="false">IF($N1947="","",IFERROR(INDEX(VAT_Codes!$C:$C,MATCH($N1947,VAT_Codes!$A:$A,0)),"")&amp;"")</f>
        <v/>
      </c>
      <c r="U1947" s="26" t="n">
        <f aca="false">IF(OR($S1947="",$T1947="",$T1947="None"),0,IF($T1947="Output",-$S1947,$S1947))</f>
        <v>0</v>
      </c>
      <c r="V1947" s="27" t="n">
        <f aca="false">IF($N1947="",0,IFERROR(INDEX(VAT_Codes!$D:$D,MATCH($N1947,VAT_Codes!$A:$A,0)),0))</f>
        <v>0</v>
      </c>
      <c r="W1947" s="26" t="n">
        <f aca="false">IF($U1947=0,0,IF(IFERROR(INDEX(VAT_Codes!$F:$F,MATCH($N1947,VAT_Codes!$A:$A,0)),"N")="Y",$U1947,IF($L1947&lt;&gt;"",ROUND(ABS($L1947)/IF(OR($R1947="",$R1947=0),1,$R1947),2)*SIGN($U1947),ROUND($U1947*$V1947,2))))</f>
        <v>0</v>
      </c>
      <c r="X1947" s="24" t="str">
        <f aca="false">IF($N1947="","",IFERROR(INDEX(VAT_Codes!$H:$H,MATCH($N1947,VAT_Codes!$A:$A,0)),"")&amp;"")</f>
        <v/>
      </c>
      <c r="Y1947" s="24" t="str">
        <f aca="false">IF($A1947="","",(YEAR($A1947)-YEAR(Settings!$C$8))*12+MONTH($A1947)-MONTH(Settings!$C$8)+1)</f>
        <v/>
      </c>
      <c r="Z1947" s="24" t="str">
        <f aca="false">IF(AND($C1947="",$I1947="",$J1947=""),"",IF($N1947="","NO VAT CODE",IF($T1947="","UNKNOWN VAT CODE",IF($S1947="","MISSING FX RATE",IF(OR($A1947&lt;Settings!$C$8,$A1947&gt;Settings!$C$9),"OUTSIDE PERIOD",IF(AND(IFERROR(INDEX(VAT_Codes!$E:$E,MATCH($N1947,VAT_Codes!$A:$A,0)),"ANY")&lt;&gt;"ANY",$P1947=""),"MISSING COUNTERPARTY COUNTRY",IF(AND(IFERROR(INDEX(VAT_Codes!$E:$E,MATCH($N1947,VAT_Codes!$A:$A,0)),"ANY")&lt;&gt;"ANY",$P1947&lt;&gt;IFERROR(INDEX(VAT_Codes!$E:$E,MATCH($N1947,VAT_Codes!$A:$A,0)),"ANY")),"REGION MISMATCH","OK")))))))</f>
        <v/>
      </c>
    </row>
    <row r="1948" customFormat="false" ht="15" hidden="false" customHeight="false" outlineLevel="0" collapsed="false">
      <c r="M1948" s="24" t="str">
        <f aca="false">IF($C1948="","",IFERROR(INDEX(Account_Mapping!$C:$C,MATCH($C1948&amp;"",Account_Mapping!$A:$A,0))&amp;"",""))</f>
        <v/>
      </c>
      <c r="N1948" s="24" t="str">
        <f aca="false">IF($K1948&lt;&gt;"",$K1948,$M1948)</f>
        <v/>
      </c>
      <c r="O1948" s="24" t="str">
        <f aca="false">IF($F1948="","",IFERROR(INDEX(Counterparties!$C:$C,MATCH($F1948&amp;"",Counterparties!$A:$A,0))&amp;"",""))</f>
        <v/>
      </c>
      <c r="P1948" s="24" t="str">
        <f aca="false">IF($O1948="","",IF($O1948="CY","CY",IF(ISNUMBER(MATCH($O1948,Lists!$A:$A,0)),"EU","3RD")))</f>
        <v/>
      </c>
      <c r="Q1948" s="24" t="str">
        <f aca="false">IF($F1948="","N",IFERROR(IF(INDEX(Counterparties!$E:$E,MATCH($F1948&amp;"",Counterparties!$A:$A,0))="Y","Y","N"),"N"))</f>
        <v>N</v>
      </c>
      <c r="R1948" s="25" t="n">
        <f aca="false">IF(OR($H1948="",$H1948="EUR"),1,IFERROR(INDEX(FX_Rates!$D:$D,MATCH($H1948,FX_Rates!$A:$A,0)),""))</f>
        <v>1</v>
      </c>
      <c r="S1948" s="26" t="str">
        <f aca="false">IF(AND($I1948="",$J1948=""),"",IF($J1948&lt;&gt;"",$J1948,IF(OR($R1948="",$R1948=0),"",ROUND($I1948/$R1948,2))))</f>
        <v/>
      </c>
      <c r="T1948" s="24" t="str">
        <f aca="false">IF($N1948="","",IFERROR(INDEX(VAT_Codes!$C:$C,MATCH($N1948,VAT_Codes!$A:$A,0)),"")&amp;"")</f>
        <v/>
      </c>
      <c r="U1948" s="26" t="n">
        <f aca="false">IF(OR($S1948="",$T1948="",$T1948="None"),0,IF($T1948="Output",-$S1948,$S1948))</f>
        <v>0</v>
      </c>
      <c r="V1948" s="27" t="n">
        <f aca="false">IF($N1948="",0,IFERROR(INDEX(VAT_Codes!$D:$D,MATCH($N1948,VAT_Codes!$A:$A,0)),0))</f>
        <v>0</v>
      </c>
      <c r="W1948" s="26" t="n">
        <f aca="false">IF($U1948=0,0,IF(IFERROR(INDEX(VAT_Codes!$F:$F,MATCH($N1948,VAT_Codes!$A:$A,0)),"N")="Y",$U1948,IF($L1948&lt;&gt;"",ROUND(ABS($L1948)/IF(OR($R1948="",$R1948=0),1,$R1948),2)*SIGN($U1948),ROUND($U1948*$V1948,2))))</f>
        <v>0</v>
      </c>
      <c r="X1948" s="24" t="str">
        <f aca="false">IF($N1948="","",IFERROR(INDEX(VAT_Codes!$H:$H,MATCH($N1948,VAT_Codes!$A:$A,0)),"")&amp;"")</f>
        <v/>
      </c>
      <c r="Y1948" s="24" t="str">
        <f aca="false">IF($A1948="","",(YEAR($A1948)-YEAR(Settings!$C$8))*12+MONTH($A1948)-MONTH(Settings!$C$8)+1)</f>
        <v/>
      </c>
      <c r="Z1948" s="24" t="str">
        <f aca="false">IF(AND($C1948="",$I1948="",$J1948=""),"",IF($N1948="","NO VAT CODE",IF($T1948="","UNKNOWN VAT CODE",IF($S1948="","MISSING FX RATE",IF(OR($A1948&lt;Settings!$C$8,$A1948&gt;Settings!$C$9),"OUTSIDE PERIOD",IF(AND(IFERROR(INDEX(VAT_Codes!$E:$E,MATCH($N1948,VAT_Codes!$A:$A,0)),"ANY")&lt;&gt;"ANY",$P1948=""),"MISSING COUNTERPARTY COUNTRY",IF(AND(IFERROR(INDEX(VAT_Codes!$E:$E,MATCH($N1948,VAT_Codes!$A:$A,0)),"ANY")&lt;&gt;"ANY",$P1948&lt;&gt;IFERROR(INDEX(VAT_Codes!$E:$E,MATCH($N1948,VAT_Codes!$A:$A,0)),"ANY")),"REGION MISMATCH","OK")))))))</f>
        <v/>
      </c>
    </row>
    <row r="1949" customFormat="false" ht="15" hidden="false" customHeight="false" outlineLevel="0" collapsed="false">
      <c r="M1949" s="24" t="str">
        <f aca="false">IF($C1949="","",IFERROR(INDEX(Account_Mapping!$C:$C,MATCH($C1949&amp;"",Account_Mapping!$A:$A,0))&amp;"",""))</f>
        <v/>
      </c>
      <c r="N1949" s="24" t="str">
        <f aca="false">IF($K1949&lt;&gt;"",$K1949,$M1949)</f>
        <v/>
      </c>
      <c r="O1949" s="24" t="str">
        <f aca="false">IF($F1949="","",IFERROR(INDEX(Counterparties!$C:$C,MATCH($F1949&amp;"",Counterparties!$A:$A,0))&amp;"",""))</f>
        <v/>
      </c>
      <c r="P1949" s="24" t="str">
        <f aca="false">IF($O1949="","",IF($O1949="CY","CY",IF(ISNUMBER(MATCH($O1949,Lists!$A:$A,0)),"EU","3RD")))</f>
        <v/>
      </c>
      <c r="Q1949" s="24" t="str">
        <f aca="false">IF($F1949="","N",IFERROR(IF(INDEX(Counterparties!$E:$E,MATCH($F1949&amp;"",Counterparties!$A:$A,0))="Y","Y","N"),"N"))</f>
        <v>N</v>
      </c>
      <c r="R1949" s="25" t="n">
        <f aca="false">IF(OR($H1949="",$H1949="EUR"),1,IFERROR(INDEX(FX_Rates!$D:$D,MATCH($H1949,FX_Rates!$A:$A,0)),""))</f>
        <v>1</v>
      </c>
      <c r="S1949" s="26" t="str">
        <f aca="false">IF(AND($I1949="",$J1949=""),"",IF($J1949&lt;&gt;"",$J1949,IF(OR($R1949="",$R1949=0),"",ROUND($I1949/$R1949,2))))</f>
        <v/>
      </c>
      <c r="T1949" s="24" t="str">
        <f aca="false">IF($N1949="","",IFERROR(INDEX(VAT_Codes!$C:$C,MATCH($N1949,VAT_Codes!$A:$A,0)),"")&amp;"")</f>
        <v/>
      </c>
      <c r="U1949" s="26" t="n">
        <f aca="false">IF(OR($S1949="",$T1949="",$T1949="None"),0,IF($T1949="Output",-$S1949,$S1949))</f>
        <v>0</v>
      </c>
      <c r="V1949" s="27" t="n">
        <f aca="false">IF($N1949="",0,IFERROR(INDEX(VAT_Codes!$D:$D,MATCH($N1949,VAT_Codes!$A:$A,0)),0))</f>
        <v>0</v>
      </c>
      <c r="W1949" s="26" t="n">
        <f aca="false">IF($U1949=0,0,IF(IFERROR(INDEX(VAT_Codes!$F:$F,MATCH($N1949,VAT_Codes!$A:$A,0)),"N")="Y",$U1949,IF($L1949&lt;&gt;"",ROUND(ABS($L1949)/IF(OR($R1949="",$R1949=0),1,$R1949),2)*SIGN($U1949),ROUND($U1949*$V1949,2))))</f>
        <v>0</v>
      </c>
      <c r="X1949" s="24" t="str">
        <f aca="false">IF($N1949="","",IFERROR(INDEX(VAT_Codes!$H:$H,MATCH($N1949,VAT_Codes!$A:$A,0)),"")&amp;"")</f>
        <v/>
      </c>
      <c r="Y1949" s="24" t="str">
        <f aca="false">IF($A1949="","",(YEAR($A1949)-YEAR(Settings!$C$8))*12+MONTH($A1949)-MONTH(Settings!$C$8)+1)</f>
        <v/>
      </c>
      <c r="Z1949" s="24" t="str">
        <f aca="false">IF(AND($C1949="",$I1949="",$J1949=""),"",IF($N1949="","NO VAT CODE",IF($T1949="","UNKNOWN VAT CODE",IF($S1949="","MISSING FX RATE",IF(OR($A1949&lt;Settings!$C$8,$A1949&gt;Settings!$C$9),"OUTSIDE PERIOD",IF(AND(IFERROR(INDEX(VAT_Codes!$E:$E,MATCH($N1949,VAT_Codes!$A:$A,0)),"ANY")&lt;&gt;"ANY",$P1949=""),"MISSING COUNTERPARTY COUNTRY",IF(AND(IFERROR(INDEX(VAT_Codes!$E:$E,MATCH($N1949,VAT_Codes!$A:$A,0)),"ANY")&lt;&gt;"ANY",$P1949&lt;&gt;IFERROR(INDEX(VAT_Codes!$E:$E,MATCH($N1949,VAT_Codes!$A:$A,0)),"ANY")),"REGION MISMATCH","OK")))))))</f>
        <v/>
      </c>
    </row>
    <row r="1950" customFormat="false" ht="15" hidden="false" customHeight="false" outlineLevel="0" collapsed="false">
      <c r="M1950" s="24" t="str">
        <f aca="false">IF($C1950="","",IFERROR(INDEX(Account_Mapping!$C:$C,MATCH($C1950&amp;"",Account_Mapping!$A:$A,0))&amp;"",""))</f>
        <v/>
      </c>
      <c r="N1950" s="24" t="str">
        <f aca="false">IF($K1950&lt;&gt;"",$K1950,$M1950)</f>
        <v/>
      </c>
      <c r="O1950" s="24" t="str">
        <f aca="false">IF($F1950="","",IFERROR(INDEX(Counterparties!$C:$C,MATCH($F1950&amp;"",Counterparties!$A:$A,0))&amp;"",""))</f>
        <v/>
      </c>
      <c r="P1950" s="24" t="str">
        <f aca="false">IF($O1950="","",IF($O1950="CY","CY",IF(ISNUMBER(MATCH($O1950,Lists!$A:$A,0)),"EU","3RD")))</f>
        <v/>
      </c>
      <c r="Q1950" s="24" t="str">
        <f aca="false">IF($F1950="","N",IFERROR(IF(INDEX(Counterparties!$E:$E,MATCH($F1950&amp;"",Counterparties!$A:$A,0))="Y","Y","N"),"N"))</f>
        <v>N</v>
      </c>
      <c r="R1950" s="25" t="n">
        <f aca="false">IF(OR($H1950="",$H1950="EUR"),1,IFERROR(INDEX(FX_Rates!$D:$D,MATCH($H1950,FX_Rates!$A:$A,0)),""))</f>
        <v>1</v>
      </c>
      <c r="S1950" s="26" t="str">
        <f aca="false">IF(AND($I1950="",$J1950=""),"",IF($J1950&lt;&gt;"",$J1950,IF(OR($R1950="",$R1950=0),"",ROUND($I1950/$R1950,2))))</f>
        <v/>
      </c>
      <c r="T1950" s="24" t="str">
        <f aca="false">IF($N1950="","",IFERROR(INDEX(VAT_Codes!$C:$C,MATCH($N1950,VAT_Codes!$A:$A,0)),"")&amp;"")</f>
        <v/>
      </c>
      <c r="U1950" s="26" t="n">
        <f aca="false">IF(OR($S1950="",$T1950="",$T1950="None"),0,IF($T1950="Output",-$S1950,$S1950))</f>
        <v>0</v>
      </c>
      <c r="V1950" s="27" t="n">
        <f aca="false">IF($N1950="",0,IFERROR(INDEX(VAT_Codes!$D:$D,MATCH($N1950,VAT_Codes!$A:$A,0)),0))</f>
        <v>0</v>
      </c>
      <c r="W1950" s="26" t="n">
        <f aca="false">IF($U1950=0,0,IF(IFERROR(INDEX(VAT_Codes!$F:$F,MATCH($N1950,VAT_Codes!$A:$A,0)),"N")="Y",$U1950,IF($L1950&lt;&gt;"",ROUND(ABS($L1950)/IF(OR($R1950="",$R1950=0),1,$R1950),2)*SIGN($U1950),ROUND($U1950*$V1950,2))))</f>
        <v>0</v>
      </c>
      <c r="X1950" s="24" t="str">
        <f aca="false">IF($N1950="","",IFERROR(INDEX(VAT_Codes!$H:$H,MATCH($N1950,VAT_Codes!$A:$A,0)),"")&amp;"")</f>
        <v/>
      </c>
      <c r="Y1950" s="24" t="str">
        <f aca="false">IF($A1950="","",(YEAR($A1950)-YEAR(Settings!$C$8))*12+MONTH($A1950)-MONTH(Settings!$C$8)+1)</f>
        <v/>
      </c>
      <c r="Z1950" s="24" t="str">
        <f aca="false">IF(AND($C1950="",$I1950="",$J1950=""),"",IF($N1950="","NO VAT CODE",IF($T1950="","UNKNOWN VAT CODE",IF($S1950="","MISSING FX RATE",IF(OR($A1950&lt;Settings!$C$8,$A1950&gt;Settings!$C$9),"OUTSIDE PERIOD",IF(AND(IFERROR(INDEX(VAT_Codes!$E:$E,MATCH($N1950,VAT_Codes!$A:$A,0)),"ANY")&lt;&gt;"ANY",$P1950=""),"MISSING COUNTERPARTY COUNTRY",IF(AND(IFERROR(INDEX(VAT_Codes!$E:$E,MATCH($N1950,VAT_Codes!$A:$A,0)),"ANY")&lt;&gt;"ANY",$P1950&lt;&gt;IFERROR(INDEX(VAT_Codes!$E:$E,MATCH($N1950,VAT_Codes!$A:$A,0)),"ANY")),"REGION MISMATCH","OK")))))))</f>
        <v/>
      </c>
    </row>
    <row r="1951" customFormat="false" ht="15" hidden="false" customHeight="false" outlineLevel="0" collapsed="false">
      <c r="M1951" s="24" t="str">
        <f aca="false">IF($C1951="","",IFERROR(INDEX(Account_Mapping!$C:$C,MATCH($C1951&amp;"",Account_Mapping!$A:$A,0))&amp;"",""))</f>
        <v/>
      </c>
      <c r="N1951" s="24" t="str">
        <f aca="false">IF($K1951&lt;&gt;"",$K1951,$M1951)</f>
        <v/>
      </c>
      <c r="O1951" s="24" t="str">
        <f aca="false">IF($F1951="","",IFERROR(INDEX(Counterparties!$C:$C,MATCH($F1951&amp;"",Counterparties!$A:$A,0))&amp;"",""))</f>
        <v/>
      </c>
      <c r="P1951" s="24" t="str">
        <f aca="false">IF($O1951="","",IF($O1951="CY","CY",IF(ISNUMBER(MATCH($O1951,Lists!$A:$A,0)),"EU","3RD")))</f>
        <v/>
      </c>
      <c r="Q1951" s="24" t="str">
        <f aca="false">IF($F1951="","N",IFERROR(IF(INDEX(Counterparties!$E:$E,MATCH($F1951&amp;"",Counterparties!$A:$A,0))="Y","Y","N"),"N"))</f>
        <v>N</v>
      </c>
      <c r="R1951" s="25" t="n">
        <f aca="false">IF(OR($H1951="",$H1951="EUR"),1,IFERROR(INDEX(FX_Rates!$D:$D,MATCH($H1951,FX_Rates!$A:$A,0)),""))</f>
        <v>1</v>
      </c>
      <c r="S1951" s="26" t="str">
        <f aca="false">IF(AND($I1951="",$J1951=""),"",IF($J1951&lt;&gt;"",$J1951,IF(OR($R1951="",$R1951=0),"",ROUND($I1951/$R1951,2))))</f>
        <v/>
      </c>
      <c r="T1951" s="24" t="str">
        <f aca="false">IF($N1951="","",IFERROR(INDEX(VAT_Codes!$C:$C,MATCH($N1951,VAT_Codes!$A:$A,0)),"")&amp;"")</f>
        <v/>
      </c>
      <c r="U1951" s="26" t="n">
        <f aca="false">IF(OR($S1951="",$T1951="",$T1951="None"),0,IF($T1951="Output",-$S1951,$S1951))</f>
        <v>0</v>
      </c>
      <c r="V1951" s="27" t="n">
        <f aca="false">IF($N1951="",0,IFERROR(INDEX(VAT_Codes!$D:$D,MATCH($N1951,VAT_Codes!$A:$A,0)),0))</f>
        <v>0</v>
      </c>
      <c r="W1951" s="26" t="n">
        <f aca="false">IF($U1951=0,0,IF(IFERROR(INDEX(VAT_Codes!$F:$F,MATCH($N1951,VAT_Codes!$A:$A,0)),"N")="Y",$U1951,IF($L1951&lt;&gt;"",ROUND(ABS($L1951)/IF(OR($R1951="",$R1951=0),1,$R1951),2)*SIGN($U1951),ROUND($U1951*$V1951,2))))</f>
        <v>0</v>
      </c>
      <c r="X1951" s="24" t="str">
        <f aca="false">IF($N1951="","",IFERROR(INDEX(VAT_Codes!$H:$H,MATCH($N1951,VAT_Codes!$A:$A,0)),"")&amp;"")</f>
        <v/>
      </c>
      <c r="Y1951" s="24" t="str">
        <f aca="false">IF($A1951="","",(YEAR($A1951)-YEAR(Settings!$C$8))*12+MONTH($A1951)-MONTH(Settings!$C$8)+1)</f>
        <v/>
      </c>
      <c r="Z1951" s="24" t="str">
        <f aca="false">IF(AND($C1951="",$I1951="",$J1951=""),"",IF($N1951="","NO VAT CODE",IF($T1951="","UNKNOWN VAT CODE",IF($S1951="","MISSING FX RATE",IF(OR($A1951&lt;Settings!$C$8,$A1951&gt;Settings!$C$9),"OUTSIDE PERIOD",IF(AND(IFERROR(INDEX(VAT_Codes!$E:$E,MATCH($N1951,VAT_Codes!$A:$A,0)),"ANY")&lt;&gt;"ANY",$P1951=""),"MISSING COUNTERPARTY COUNTRY",IF(AND(IFERROR(INDEX(VAT_Codes!$E:$E,MATCH($N1951,VAT_Codes!$A:$A,0)),"ANY")&lt;&gt;"ANY",$P1951&lt;&gt;IFERROR(INDEX(VAT_Codes!$E:$E,MATCH($N1951,VAT_Codes!$A:$A,0)),"ANY")),"REGION MISMATCH","OK")))))))</f>
        <v/>
      </c>
    </row>
    <row r="1952" customFormat="false" ht="15" hidden="false" customHeight="false" outlineLevel="0" collapsed="false">
      <c r="M1952" s="24" t="str">
        <f aca="false">IF($C1952="","",IFERROR(INDEX(Account_Mapping!$C:$C,MATCH($C1952&amp;"",Account_Mapping!$A:$A,0))&amp;"",""))</f>
        <v/>
      </c>
      <c r="N1952" s="24" t="str">
        <f aca="false">IF($K1952&lt;&gt;"",$K1952,$M1952)</f>
        <v/>
      </c>
      <c r="O1952" s="24" t="str">
        <f aca="false">IF($F1952="","",IFERROR(INDEX(Counterparties!$C:$C,MATCH($F1952&amp;"",Counterparties!$A:$A,0))&amp;"",""))</f>
        <v/>
      </c>
      <c r="P1952" s="24" t="str">
        <f aca="false">IF($O1952="","",IF($O1952="CY","CY",IF(ISNUMBER(MATCH($O1952,Lists!$A:$A,0)),"EU","3RD")))</f>
        <v/>
      </c>
      <c r="Q1952" s="24" t="str">
        <f aca="false">IF($F1952="","N",IFERROR(IF(INDEX(Counterparties!$E:$E,MATCH($F1952&amp;"",Counterparties!$A:$A,0))="Y","Y","N"),"N"))</f>
        <v>N</v>
      </c>
      <c r="R1952" s="25" t="n">
        <f aca="false">IF(OR($H1952="",$H1952="EUR"),1,IFERROR(INDEX(FX_Rates!$D:$D,MATCH($H1952,FX_Rates!$A:$A,0)),""))</f>
        <v>1</v>
      </c>
      <c r="S1952" s="26" t="str">
        <f aca="false">IF(AND($I1952="",$J1952=""),"",IF($J1952&lt;&gt;"",$J1952,IF(OR($R1952="",$R1952=0),"",ROUND($I1952/$R1952,2))))</f>
        <v/>
      </c>
      <c r="T1952" s="24" t="str">
        <f aca="false">IF($N1952="","",IFERROR(INDEX(VAT_Codes!$C:$C,MATCH($N1952,VAT_Codes!$A:$A,0)),"")&amp;"")</f>
        <v/>
      </c>
      <c r="U1952" s="26" t="n">
        <f aca="false">IF(OR($S1952="",$T1952="",$T1952="None"),0,IF($T1952="Output",-$S1952,$S1952))</f>
        <v>0</v>
      </c>
      <c r="V1952" s="27" t="n">
        <f aca="false">IF($N1952="",0,IFERROR(INDEX(VAT_Codes!$D:$D,MATCH($N1952,VAT_Codes!$A:$A,0)),0))</f>
        <v>0</v>
      </c>
      <c r="W1952" s="26" t="n">
        <f aca="false">IF($U1952=0,0,IF(IFERROR(INDEX(VAT_Codes!$F:$F,MATCH($N1952,VAT_Codes!$A:$A,0)),"N")="Y",$U1952,IF($L1952&lt;&gt;"",ROUND(ABS($L1952)/IF(OR($R1952="",$R1952=0),1,$R1952),2)*SIGN($U1952),ROUND($U1952*$V1952,2))))</f>
        <v>0</v>
      </c>
      <c r="X1952" s="24" t="str">
        <f aca="false">IF($N1952="","",IFERROR(INDEX(VAT_Codes!$H:$H,MATCH($N1952,VAT_Codes!$A:$A,0)),"")&amp;"")</f>
        <v/>
      </c>
      <c r="Y1952" s="24" t="str">
        <f aca="false">IF($A1952="","",(YEAR($A1952)-YEAR(Settings!$C$8))*12+MONTH($A1952)-MONTH(Settings!$C$8)+1)</f>
        <v/>
      </c>
      <c r="Z1952" s="24" t="str">
        <f aca="false">IF(AND($C1952="",$I1952="",$J1952=""),"",IF($N1952="","NO VAT CODE",IF($T1952="","UNKNOWN VAT CODE",IF($S1952="","MISSING FX RATE",IF(OR($A1952&lt;Settings!$C$8,$A1952&gt;Settings!$C$9),"OUTSIDE PERIOD",IF(AND(IFERROR(INDEX(VAT_Codes!$E:$E,MATCH($N1952,VAT_Codes!$A:$A,0)),"ANY")&lt;&gt;"ANY",$P1952=""),"MISSING COUNTERPARTY COUNTRY",IF(AND(IFERROR(INDEX(VAT_Codes!$E:$E,MATCH($N1952,VAT_Codes!$A:$A,0)),"ANY")&lt;&gt;"ANY",$P1952&lt;&gt;IFERROR(INDEX(VAT_Codes!$E:$E,MATCH($N1952,VAT_Codes!$A:$A,0)),"ANY")),"REGION MISMATCH","OK")))))))</f>
        <v/>
      </c>
    </row>
    <row r="1953" customFormat="false" ht="15" hidden="false" customHeight="false" outlineLevel="0" collapsed="false">
      <c r="M1953" s="24" t="str">
        <f aca="false">IF($C1953="","",IFERROR(INDEX(Account_Mapping!$C:$C,MATCH($C1953&amp;"",Account_Mapping!$A:$A,0))&amp;"",""))</f>
        <v/>
      </c>
      <c r="N1953" s="24" t="str">
        <f aca="false">IF($K1953&lt;&gt;"",$K1953,$M1953)</f>
        <v/>
      </c>
      <c r="O1953" s="24" t="str">
        <f aca="false">IF($F1953="","",IFERROR(INDEX(Counterparties!$C:$C,MATCH($F1953&amp;"",Counterparties!$A:$A,0))&amp;"",""))</f>
        <v/>
      </c>
      <c r="P1953" s="24" t="str">
        <f aca="false">IF($O1953="","",IF($O1953="CY","CY",IF(ISNUMBER(MATCH($O1953,Lists!$A:$A,0)),"EU","3RD")))</f>
        <v/>
      </c>
      <c r="Q1953" s="24" t="str">
        <f aca="false">IF($F1953="","N",IFERROR(IF(INDEX(Counterparties!$E:$E,MATCH($F1953&amp;"",Counterparties!$A:$A,0))="Y","Y","N"),"N"))</f>
        <v>N</v>
      </c>
      <c r="R1953" s="25" t="n">
        <f aca="false">IF(OR($H1953="",$H1953="EUR"),1,IFERROR(INDEX(FX_Rates!$D:$D,MATCH($H1953,FX_Rates!$A:$A,0)),""))</f>
        <v>1</v>
      </c>
      <c r="S1953" s="26" t="str">
        <f aca="false">IF(AND($I1953="",$J1953=""),"",IF($J1953&lt;&gt;"",$J1953,IF(OR($R1953="",$R1953=0),"",ROUND($I1953/$R1953,2))))</f>
        <v/>
      </c>
      <c r="T1953" s="24" t="str">
        <f aca="false">IF($N1953="","",IFERROR(INDEX(VAT_Codes!$C:$C,MATCH($N1953,VAT_Codes!$A:$A,0)),"")&amp;"")</f>
        <v/>
      </c>
      <c r="U1953" s="26" t="n">
        <f aca="false">IF(OR($S1953="",$T1953="",$T1953="None"),0,IF($T1953="Output",-$S1953,$S1953))</f>
        <v>0</v>
      </c>
      <c r="V1953" s="27" t="n">
        <f aca="false">IF($N1953="",0,IFERROR(INDEX(VAT_Codes!$D:$D,MATCH($N1953,VAT_Codes!$A:$A,0)),0))</f>
        <v>0</v>
      </c>
      <c r="W1953" s="26" t="n">
        <f aca="false">IF($U1953=0,0,IF(IFERROR(INDEX(VAT_Codes!$F:$F,MATCH($N1953,VAT_Codes!$A:$A,0)),"N")="Y",$U1953,IF($L1953&lt;&gt;"",ROUND(ABS($L1953)/IF(OR($R1953="",$R1953=0),1,$R1953),2)*SIGN($U1953),ROUND($U1953*$V1953,2))))</f>
        <v>0</v>
      </c>
      <c r="X1953" s="24" t="str">
        <f aca="false">IF($N1953="","",IFERROR(INDEX(VAT_Codes!$H:$H,MATCH($N1953,VAT_Codes!$A:$A,0)),"")&amp;"")</f>
        <v/>
      </c>
      <c r="Y1953" s="24" t="str">
        <f aca="false">IF($A1953="","",(YEAR($A1953)-YEAR(Settings!$C$8))*12+MONTH($A1953)-MONTH(Settings!$C$8)+1)</f>
        <v/>
      </c>
      <c r="Z1953" s="24" t="str">
        <f aca="false">IF(AND($C1953="",$I1953="",$J1953=""),"",IF($N1953="","NO VAT CODE",IF($T1953="","UNKNOWN VAT CODE",IF($S1953="","MISSING FX RATE",IF(OR($A1953&lt;Settings!$C$8,$A1953&gt;Settings!$C$9),"OUTSIDE PERIOD",IF(AND(IFERROR(INDEX(VAT_Codes!$E:$E,MATCH($N1953,VAT_Codes!$A:$A,0)),"ANY")&lt;&gt;"ANY",$P1953=""),"MISSING COUNTERPARTY COUNTRY",IF(AND(IFERROR(INDEX(VAT_Codes!$E:$E,MATCH($N1953,VAT_Codes!$A:$A,0)),"ANY")&lt;&gt;"ANY",$P1953&lt;&gt;IFERROR(INDEX(VAT_Codes!$E:$E,MATCH($N1953,VAT_Codes!$A:$A,0)),"ANY")),"REGION MISMATCH","OK")))))))</f>
        <v/>
      </c>
    </row>
    <row r="1954" customFormat="false" ht="15" hidden="false" customHeight="false" outlineLevel="0" collapsed="false">
      <c r="M1954" s="24" t="str">
        <f aca="false">IF($C1954="","",IFERROR(INDEX(Account_Mapping!$C:$C,MATCH($C1954&amp;"",Account_Mapping!$A:$A,0))&amp;"",""))</f>
        <v/>
      </c>
      <c r="N1954" s="24" t="str">
        <f aca="false">IF($K1954&lt;&gt;"",$K1954,$M1954)</f>
        <v/>
      </c>
      <c r="O1954" s="24" t="str">
        <f aca="false">IF($F1954="","",IFERROR(INDEX(Counterparties!$C:$C,MATCH($F1954&amp;"",Counterparties!$A:$A,0))&amp;"",""))</f>
        <v/>
      </c>
      <c r="P1954" s="24" t="str">
        <f aca="false">IF($O1954="","",IF($O1954="CY","CY",IF(ISNUMBER(MATCH($O1954,Lists!$A:$A,0)),"EU","3RD")))</f>
        <v/>
      </c>
      <c r="Q1954" s="24" t="str">
        <f aca="false">IF($F1954="","N",IFERROR(IF(INDEX(Counterparties!$E:$E,MATCH($F1954&amp;"",Counterparties!$A:$A,0))="Y","Y","N"),"N"))</f>
        <v>N</v>
      </c>
      <c r="R1954" s="25" t="n">
        <f aca="false">IF(OR($H1954="",$H1954="EUR"),1,IFERROR(INDEX(FX_Rates!$D:$D,MATCH($H1954,FX_Rates!$A:$A,0)),""))</f>
        <v>1</v>
      </c>
      <c r="S1954" s="26" t="str">
        <f aca="false">IF(AND($I1954="",$J1954=""),"",IF($J1954&lt;&gt;"",$J1954,IF(OR($R1954="",$R1954=0),"",ROUND($I1954/$R1954,2))))</f>
        <v/>
      </c>
      <c r="T1954" s="24" t="str">
        <f aca="false">IF($N1954="","",IFERROR(INDEX(VAT_Codes!$C:$C,MATCH($N1954,VAT_Codes!$A:$A,0)),"")&amp;"")</f>
        <v/>
      </c>
      <c r="U1954" s="26" t="n">
        <f aca="false">IF(OR($S1954="",$T1954="",$T1954="None"),0,IF($T1954="Output",-$S1954,$S1954))</f>
        <v>0</v>
      </c>
      <c r="V1954" s="27" t="n">
        <f aca="false">IF($N1954="",0,IFERROR(INDEX(VAT_Codes!$D:$D,MATCH($N1954,VAT_Codes!$A:$A,0)),0))</f>
        <v>0</v>
      </c>
      <c r="W1954" s="26" t="n">
        <f aca="false">IF($U1954=0,0,IF(IFERROR(INDEX(VAT_Codes!$F:$F,MATCH($N1954,VAT_Codes!$A:$A,0)),"N")="Y",$U1954,IF($L1954&lt;&gt;"",ROUND(ABS($L1954)/IF(OR($R1954="",$R1954=0),1,$R1954),2)*SIGN($U1954),ROUND($U1954*$V1954,2))))</f>
        <v>0</v>
      </c>
      <c r="X1954" s="24" t="str">
        <f aca="false">IF($N1954="","",IFERROR(INDEX(VAT_Codes!$H:$H,MATCH($N1954,VAT_Codes!$A:$A,0)),"")&amp;"")</f>
        <v/>
      </c>
      <c r="Y1954" s="24" t="str">
        <f aca="false">IF($A1954="","",(YEAR($A1954)-YEAR(Settings!$C$8))*12+MONTH($A1954)-MONTH(Settings!$C$8)+1)</f>
        <v/>
      </c>
      <c r="Z1954" s="24" t="str">
        <f aca="false">IF(AND($C1954="",$I1954="",$J1954=""),"",IF($N1954="","NO VAT CODE",IF($T1954="","UNKNOWN VAT CODE",IF($S1954="","MISSING FX RATE",IF(OR($A1954&lt;Settings!$C$8,$A1954&gt;Settings!$C$9),"OUTSIDE PERIOD",IF(AND(IFERROR(INDEX(VAT_Codes!$E:$E,MATCH($N1954,VAT_Codes!$A:$A,0)),"ANY")&lt;&gt;"ANY",$P1954=""),"MISSING COUNTERPARTY COUNTRY",IF(AND(IFERROR(INDEX(VAT_Codes!$E:$E,MATCH($N1954,VAT_Codes!$A:$A,0)),"ANY")&lt;&gt;"ANY",$P1954&lt;&gt;IFERROR(INDEX(VAT_Codes!$E:$E,MATCH($N1954,VAT_Codes!$A:$A,0)),"ANY")),"REGION MISMATCH","OK")))))))</f>
        <v/>
      </c>
    </row>
    <row r="1955" customFormat="false" ht="15" hidden="false" customHeight="false" outlineLevel="0" collapsed="false">
      <c r="M1955" s="24" t="str">
        <f aca="false">IF($C1955="","",IFERROR(INDEX(Account_Mapping!$C:$C,MATCH($C1955&amp;"",Account_Mapping!$A:$A,0))&amp;"",""))</f>
        <v/>
      </c>
      <c r="N1955" s="24" t="str">
        <f aca="false">IF($K1955&lt;&gt;"",$K1955,$M1955)</f>
        <v/>
      </c>
      <c r="O1955" s="24" t="str">
        <f aca="false">IF($F1955="","",IFERROR(INDEX(Counterparties!$C:$C,MATCH($F1955&amp;"",Counterparties!$A:$A,0))&amp;"",""))</f>
        <v/>
      </c>
      <c r="P1955" s="24" t="str">
        <f aca="false">IF($O1955="","",IF($O1955="CY","CY",IF(ISNUMBER(MATCH($O1955,Lists!$A:$A,0)),"EU","3RD")))</f>
        <v/>
      </c>
      <c r="Q1955" s="24" t="str">
        <f aca="false">IF($F1955="","N",IFERROR(IF(INDEX(Counterparties!$E:$E,MATCH($F1955&amp;"",Counterparties!$A:$A,0))="Y","Y","N"),"N"))</f>
        <v>N</v>
      </c>
      <c r="R1955" s="25" t="n">
        <f aca="false">IF(OR($H1955="",$H1955="EUR"),1,IFERROR(INDEX(FX_Rates!$D:$D,MATCH($H1955,FX_Rates!$A:$A,0)),""))</f>
        <v>1</v>
      </c>
      <c r="S1955" s="26" t="str">
        <f aca="false">IF(AND($I1955="",$J1955=""),"",IF($J1955&lt;&gt;"",$J1955,IF(OR($R1955="",$R1955=0),"",ROUND($I1955/$R1955,2))))</f>
        <v/>
      </c>
      <c r="T1955" s="24" t="str">
        <f aca="false">IF($N1955="","",IFERROR(INDEX(VAT_Codes!$C:$C,MATCH($N1955,VAT_Codes!$A:$A,0)),"")&amp;"")</f>
        <v/>
      </c>
      <c r="U1955" s="26" t="n">
        <f aca="false">IF(OR($S1955="",$T1955="",$T1955="None"),0,IF($T1955="Output",-$S1955,$S1955))</f>
        <v>0</v>
      </c>
      <c r="V1955" s="27" t="n">
        <f aca="false">IF($N1955="",0,IFERROR(INDEX(VAT_Codes!$D:$D,MATCH($N1955,VAT_Codes!$A:$A,0)),0))</f>
        <v>0</v>
      </c>
      <c r="W1955" s="26" t="n">
        <f aca="false">IF($U1955=0,0,IF(IFERROR(INDEX(VAT_Codes!$F:$F,MATCH($N1955,VAT_Codes!$A:$A,0)),"N")="Y",$U1955,IF($L1955&lt;&gt;"",ROUND(ABS($L1955)/IF(OR($R1955="",$R1955=0),1,$R1955),2)*SIGN($U1955),ROUND($U1955*$V1955,2))))</f>
        <v>0</v>
      </c>
      <c r="X1955" s="24" t="str">
        <f aca="false">IF($N1955="","",IFERROR(INDEX(VAT_Codes!$H:$H,MATCH($N1955,VAT_Codes!$A:$A,0)),"")&amp;"")</f>
        <v/>
      </c>
      <c r="Y1955" s="24" t="str">
        <f aca="false">IF($A1955="","",(YEAR($A1955)-YEAR(Settings!$C$8))*12+MONTH($A1955)-MONTH(Settings!$C$8)+1)</f>
        <v/>
      </c>
      <c r="Z1955" s="24" t="str">
        <f aca="false">IF(AND($C1955="",$I1955="",$J1955=""),"",IF($N1955="","NO VAT CODE",IF($T1955="","UNKNOWN VAT CODE",IF($S1955="","MISSING FX RATE",IF(OR($A1955&lt;Settings!$C$8,$A1955&gt;Settings!$C$9),"OUTSIDE PERIOD",IF(AND(IFERROR(INDEX(VAT_Codes!$E:$E,MATCH($N1955,VAT_Codes!$A:$A,0)),"ANY")&lt;&gt;"ANY",$P1955=""),"MISSING COUNTERPARTY COUNTRY",IF(AND(IFERROR(INDEX(VAT_Codes!$E:$E,MATCH($N1955,VAT_Codes!$A:$A,0)),"ANY")&lt;&gt;"ANY",$P1955&lt;&gt;IFERROR(INDEX(VAT_Codes!$E:$E,MATCH($N1955,VAT_Codes!$A:$A,0)),"ANY")),"REGION MISMATCH","OK")))))))</f>
        <v/>
      </c>
    </row>
    <row r="1956" customFormat="false" ht="15" hidden="false" customHeight="false" outlineLevel="0" collapsed="false">
      <c r="M1956" s="24" t="str">
        <f aca="false">IF($C1956="","",IFERROR(INDEX(Account_Mapping!$C:$C,MATCH($C1956&amp;"",Account_Mapping!$A:$A,0))&amp;"",""))</f>
        <v/>
      </c>
      <c r="N1956" s="24" t="str">
        <f aca="false">IF($K1956&lt;&gt;"",$K1956,$M1956)</f>
        <v/>
      </c>
      <c r="O1956" s="24" t="str">
        <f aca="false">IF($F1956="","",IFERROR(INDEX(Counterparties!$C:$C,MATCH($F1956&amp;"",Counterparties!$A:$A,0))&amp;"",""))</f>
        <v/>
      </c>
      <c r="P1956" s="24" t="str">
        <f aca="false">IF($O1956="","",IF($O1956="CY","CY",IF(ISNUMBER(MATCH($O1956,Lists!$A:$A,0)),"EU","3RD")))</f>
        <v/>
      </c>
      <c r="Q1956" s="24" t="str">
        <f aca="false">IF($F1956="","N",IFERROR(IF(INDEX(Counterparties!$E:$E,MATCH($F1956&amp;"",Counterparties!$A:$A,0))="Y","Y","N"),"N"))</f>
        <v>N</v>
      </c>
      <c r="R1956" s="25" t="n">
        <f aca="false">IF(OR($H1956="",$H1956="EUR"),1,IFERROR(INDEX(FX_Rates!$D:$D,MATCH($H1956,FX_Rates!$A:$A,0)),""))</f>
        <v>1</v>
      </c>
      <c r="S1956" s="26" t="str">
        <f aca="false">IF(AND($I1956="",$J1956=""),"",IF($J1956&lt;&gt;"",$J1956,IF(OR($R1956="",$R1956=0),"",ROUND($I1956/$R1956,2))))</f>
        <v/>
      </c>
      <c r="T1956" s="24" t="str">
        <f aca="false">IF($N1956="","",IFERROR(INDEX(VAT_Codes!$C:$C,MATCH($N1956,VAT_Codes!$A:$A,0)),"")&amp;"")</f>
        <v/>
      </c>
      <c r="U1956" s="26" t="n">
        <f aca="false">IF(OR($S1956="",$T1956="",$T1956="None"),0,IF($T1956="Output",-$S1956,$S1956))</f>
        <v>0</v>
      </c>
      <c r="V1956" s="27" t="n">
        <f aca="false">IF($N1956="",0,IFERROR(INDEX(VAT_Codes!$D:$D,MATCH($N1956,VAT_Codes!$A:$A,0)),0))</f>
        <v>0</v>
      </c>
      <c r="W1956" s="26" t="n">
        <f aca="false">IF($U1956=0,0,IF(IFERROR(INDEX(VAT_Codes!$F:$F,MATCH($N1956,VAT_Codes!$A:$A,0)),"N")="Y",$U1956,IF($L1956&lt;&gt;"",ROUND(ABS($L1956)/IF(OR($R1956="",$R1956=0),1,$R1956),2)*SIGN($U1956),ROUND($U1956*$V1956,2))))</f>
        <v>0</v>
      </c>
      <c r="X1956" s="24" t="str">
        <f aca="false">IF($N1956="","",IFERROR(INDEX(VAT_Codes!$H:$H,MATCH($N1956,VAT_Codes!$A:$A,0)),"")&amp;"")</f>
        <v/>
      </c>
      <c r="Y1956" s="24" t="str">
        <f aca="false">IF($A1956="","",(YEAR($A1956)-YEAR(Settings!$C$8))*12+MONTH($A1956)-MONTH(Settings!$C$8)+1)</f>
        <v/>
      </c>
      <c r="Z1956" s="24" t="str">
        <f aca="false">IF(AND($C1956="",$I1956="",$J1956=""),"",IF($N1956="","NO VAT CODE",IF($T1956="","UNKNOWN VAT CODE",IF($S1956="","MISSING FX RATE",IF(OR($A1956&lt;Settings!$C$8,$A1956&gt;Settings!$C$9),"OUTSIDE PERIOD",IF(AND(IFERROR(INDEX(VAT_Codes!$E:$E,MATCH($N1956,VAT_Codes!$A:$A,0)),"ANY")&lt;&gt;"ANY",$P1956=""),"MISSING COUNTERPARTY COUNTRY",IF(AND(IFERROR(INDEX(VAT_Codes!$E:$E,MATCH($N1956,VAT_Codes!$A:$A,0)),"ANY")&lt;&gt;"ANY",$P1956&lt;&gt;IFERROR(INDEX(VAT_Codes!$E:$E,MATCH($N1956,VAT_Codes!$A:$A,0)),"ANY")),"REGION MISMATCH","OK")))))))</f>
        <v/>
      </c>
    </row>
    <row r="1957" customFormat="false" ht="15" hidden="false" customHeight="false" outlineLevel="0" collapsed="false">
      <c r="M1957" s="24" t="str">
        <f aca="false">IF($C1957="","",IFERROR(INDEX(Account_Mapping!$C:$C,MATCH($C1957&amp;"",Account_Mapping!$A:$A,0))&amp;"",""))</f>
        <v/>
      </c>
      <c r="N1957" s="24" t="str">
        <f aca="false">IF($K1957&lt;&gt;"",$K1957,$M1957)</f>
        <v/>
      </c>
      <c r="O1957" s="24" t="str">
        <f aca="false">IF($F1957="","",IFERROR(INDEX(Counterparties!$C:$C,MATCH($F1957&amp;"",Counterparties!$A:$A,0))&amp;"",""))</f>
        <v/>
      </c>
      <c r="P1957" s="24" t="str">
        <f aca="false">IF($O1957="","",IF($O1957="CY","CY",IF(ISNUMBER(MATCH($O1957,Lists!$A:$A,0)),"EU","3RD")))</f>
        <v/>
      </c>
      <c r="Q1957" s="24" t="str">
        <f aca="false">IF($F1957="","N",IFERROR(IF(INDEX(Counterparties!$E:$E,MATCH($F1957&amp;"",Counterparties!$A:$A,0))="Y","Y","N"),"N"))</f>
        <v>N</v>
      </c>
      <c r="R1957" s="25" t="n">
        <f aca="false">IF(OR($H1957="",$H1957="EUR"),1,IFERROR(INDEX(FX_Rates!$D:$D,MATCH($H1957,FX_Rates!$A:$A,0)),""))</f>
        <v>1</v>
      </c>
      <c r="S1957" s="26" t="str">
        <f aca="false">IF(AND($I1957="",$J1957=""),"",IF($J1957&lt;&gt;"",$J1957,IF(OR($R1957="",$R1957=0),"",ROUND($I1957/$R1957,2))))</f>
        <v/>
      </c>
      <c r="T1957" s="24" t="str">
        <f aca="false">IF($N1957="","",IFERROR(INDEX(VAT_Codes!$C:$C,MATCH($N1957,VAT_Codes!$A:$A,0)),"")&amp;"")</f>
        <v/>
      </c>
      <c r="U1957" s="26" t="n">
        <f aca="false">IF(OR($S1957="",$T1957="",$T1957="None"),0,IF($T1957="Output",-$S1957,$S1957))</f>
        <v>0</v>
      </c>
      <c r="V1957" s="27" t="n">
        <f aca="false">IF($N1957="",0,IFERROR(INDEX(VAT_Codes!$D:$D,MATCH($N1957,VAT_Codes!$A:$A,0)),0))</f>
        <v>0</v>
      </c>
      <c r="W1957" s="26" t="n">
        <f aca="false">IF($U1957=0,0,IF(IFERROR(INDEX(VAT_Codes!$F:$F,MATCH($N1957,VAT_Codes!$A:$A,0)),"N")="Y",$U1957,IF($L1957&lt;&gt;"",ROUND(ABS($L1957)/IF(OR($R1957="",$R1957=0),1,$R1957),2)*SIGN($U1957),ROUND($U1957*$V1957,2))))</f>
        <v>0</v>
      </c>
      <c r="X1957" s="24" t="str">
        <f aca="false">IF($N1957="","",IFERROR(INDEX(VAT_Codes!$H:$H,MATCH($N1957,VAT_Codes!$A:$A,0)),"")&amp;"")</f>
        <v/>
      </c>
      <c r="Y1957" s="24" t="str">
        <f aca="false">IF($A1957="","",(YEAR($A1957)-YEAR(Settings!$C$8))*12+MONTH($A1957)-MONTH(Settings!$C$8)+1)</f>
        <v/>
      </c>
      <c r="Z1957" s="24" t="str">
        <f aca="false">IF(AND($C1957="",$I1957="",$J1957=""),"",IF($N1957="","NO VAT CODE",IF($T1957="","UNKNOWN VAT CODE",IF($S1957="","MISSING FX RATE",IF(OR($A1957&lt;Settings!$C$8,$A1957&gt;Settings!$C$9),"OUTSIDE PERIOD",IF(AND(IFERROR(INDEX(VAT_Codes!$E:$E,MATCH($N1957,VAT_Codes!$A:$A,0)),"ANY")&lt;&gt;"ANY",$P1957=""),"MISSING COUNTERPARTY COUNTRY",IF(AND(IFERROR(INDEX(VAT_Codes!$E:$E,MATCH($N1957,VAT_Codes!$A:$A,0)),"ANY")&lt;&gt;"ANY",$P1957&lt;&gt;IFERROR(INDEX(VAT_Codes!$E:$E,MATCH($N1957,VAT_Codes!$A:$A,0)),"ANY")),"REGION MISMATCH","OK")))))))</f>
        <v/>
      </c>
    </row>
    <row r="1958" customFormat="false" ht="15" hidden="false" customHeight="false" outlineLevel="0" collapsed="false">
      <c r="M1958" s="24" t="str">
        <f aca="false">IF($C1958="","",IFERROR(INDEX(Account_Mapping!$C:$C,MATCH($C1958&amp;"",Account_Mapping!$A:$A,0))&amp;"",""))</f>
        <v/>
      </c>
      <c r="N1958" s="24" t="str">
        <f aca="false">IF($K1958&lt;&gt;"",$K1958,$M1958)</f>
        <v/>
      </c>
      <c r="O1958" s="24" t="str">
        <f aca="false">IF($F1958="","",IFERROR(INDEX(Counterparties!$C:$C,MATCH($F1958&amp;"",Counterparties!$A:$A,0))&amp;"",""))</f>
        <v/>
      </c>
      <c r="P1958" s="24" t="str">
        <f aca="false">IF($O1958="","",IF($O1958="CY","CY",IF(ISNUMBER(MATCH($O1958,Lists!$A:$A,0)),"EU","3RD")))</f>
        <v/>
      </c>
      <c r="Q1958" s="24" t="str">
        <f aca="false">IF($F1958="","N",IFERROR(IF(INDEX(Counterparties!$E:$E,MATCH($F1958&amp;"",Counterparties!$A:$A,0))="Y","Y","N"),"N"))</f>
        <v>N</v>
      </c>
      <c r="R1958" s="25" t="n">
        <f aca="false">IF(OR($H1958="",$H1958="EUR"),1,IFERROR(INDEX(FX_Rates!$D:$D,MATCH($H1958,FX_Rates!$A:$A,0)),""))</f>
        <v>1</v>
      </c>
      <c r="S1958" s="26" t="str">
        <f aca="false">IF(AND($I1958="",$J1958=""),"",IF($J1958&lt;&gt;"",$J1958,IF(OR($R1958="",$R1958=0),"",ROUND($I1958/$R1958,2))))</f>
        <v/>
      </c>
      <c r="T1958" s="24" t="str">
        <f aca="false">IF($N1958="","",IFERROR(INDEX(VAT_Codes!$C:$C,MATCH($N1958,VAT_Codes!$A:$A,0)),"")&amp;"")</f>
        <v/>
      </c>
      <c r="U1958" s="26" t="n">
        <f aca="false">IF(OR($S1958="",$T1958="",$T1958="None"),0,IF($T1958="Output",-$S1958,$S1958))</f>
        <v>0</v>
      </c>
      <c r="V1958" s="27" t="n">
        <f aca="false">IF($N1958="",0,IFERROR(INDEX(VAT_Codes!$D:$D,MATCH($N1958,VAT_Codes!$A:$A,0)),0))</f>
        <v>0</v>
      </c>
      <c r="W1958" s="26" t="n">
        <f aca="false">IF($U1958=0,0,IF(IFERROR(INDEX(VAT_Codes!$F:$F,MATCH($N1958,VAT_Codes!$A:$A,0)),"N")="Y",$U1958,IF($L1958&lt;&gt;"",ROUND(ABS($L1958)/IF(OR($R1958="",$R1958=0),1,$R1958),2)*SIGN($U1958),ROUND($U1958*$V1958,2))))</f>
        <v>0</v>
      </c>
      <c r="X1958" s="24" t="str">
        <f aca="false">IF($N1958="","",IFERROR(INDEX(VAT_Codes!$H:$H,MATCH($N1958,VAT_Codes!$A:$A,0)),"")&amp;"")</f>
        <v/>
      </c>
      <c r="Y1958" s="24" t="str">
        <f aca="false">IF($A1958="","",(YEAR($A1958)-YEAR(Settings!$C$8))*12+MONTH($A1958)-MONTH(Settings!$C$8)+1)</f>
        <v/>
      </c>
      <c r="Z1958" s="24" t="str">
        <f aca="false">IF(AND($C1958="",$I1958="",$J1958=""),"",IF($N1958="","NO VAT CODE",IF($T1958="","UNKNOWN VAT CODE",IF($S1958="","MISSING FX RATE",IF(OR($A1958&lt;Settings!$C$8,$A1958&gt;Settings!$C$9),"OUTSIDE PERIOD",IF(AND(IFERROR(INDEX(VAT_Codes!$E:$E,MATCH($N1958,VAT_Codes!$A:$A,0)),"ANY")&lt;&gt;"ANY",$P1958=""),"MISSING COUNTERPARTY COUNTRY",IF(AND(IFERROR(INDEX(VAT_Codes!$E:$E,MATCH($N1958,VAT_Codes!$A:$A,0)),"ANY")&lt;&gt;"ANY",$P1958&lt;&gt;IFERROR(INDEX(VAT_Codes!$E:$E,MATCH($N1958,VAT_Codes!$A:$A,0)),"ANY")),"REGION MISMATCH","OK")))))))</f>
        <v/>
      </c>
    </row>
    <row r="1959" customFormat="false" ht="15" hidden="false" customHeight="false" outlineLevel="0" collapsed="false">
      <c r="M1959" s="24" t="str">
        <f aca="false">IF($C1959="","",IFERROR(INDEX(Account_Mapping!$C:$C,MATCH($C1959&amp;"",Account_Mapping!$A:$A,0))&amp;"",""))</f>
        <v/>
      </c>
      <c r="N1959" s="24" t="str">
        <f aca="false">IF($K1959&lt;&gt;"",$K1959,$M1959)</f>
        <v/>
      </c>
      <c r="O1959" s="24" t="str">
        <f aca="false">IF($F1959="","",IFERROR(INDEX(Counterparties!$C:$C,MATCH($F1959&amp;"",Counterparties!$A:$A,0))&amp;"",""))</f>
        <v/>
      </c>
      <c r="P1959" s="24" t="str">
        <f aca="false">IF($O1959="","",IF($O1959="CY","CY",IF(ISNUMBER(MATCH($O1959,Lists!$A:$A,0)),"EU","3RD")))</f>
        <v/>
      </c>
      <c r="Q1959" s="24" t="str">
        <f aca="false">IF($F1959="","N",IFERROR(IF(INDEX(Counterparties!$E:$E,MATCH($F1959&amp;"",Counterparties!$A:$A,0))="Y","Y","N"),"N"))</f>
        <v>N</v>
      </c>
      <c r="R1959" s="25" t="n">
        <f aca="false">IF(OR($H1959="",$H1959="EUR"),1,IFERROR(INDEX(FX_Rates!$D:$D,MATCH($H1959,FX_Rates!$A:$A,0)),""))</f>
        <v>1</v>
      </c>
      <c r="S1959" s="26" t="str">
        <f aca="false">IF(AND($I1959="",$J1959=""),"",IF($J1959&lt;&gt;"",$J1959,IF(OR($R1959="",$R1959=0),"",ROUND($I1959/$R1959,2))))</f>
        <v/>
      </c>
      <c r="T1959" s="24" t="str">
        <f aca="false">IF($N1959="","",IFERROR(INDEX(VAT_Codes!$C:$C,MATCH($N1959,VAT_Codes!$A:$A,0)),"")&amp;"")</f>
        <v/>
      </c>
      <c r="U1959" s="26" t="n">
        <f aca="false">IF(OR($S1959="",$T1959="",$T1959="None"),0,IF($T1959="Output",-$S1959,$S1959))</f>
        <v>0</v>
      </c>
      <c r="V1959" s="27" t="n">
        <f aca="false">IF($N1959="",0,IFERROR(INDEX(VAT_Codes!$D:$D,MATCH($N1959,VAT_Codes!$A:$A,0)),0))</f>
        <v>0</v>
      </c>
      <c r="W1959" s="26" t="n">
        <f aca="false">IF($U1959=0,0,IF(IFERROR(INDEX(VAT_Codes!$F:$F,MATCH($N1959,VAT_Codes!$A:$A,0)),"N")="Y",$U1959,IF($L1959&lt;&gt;"",ROUND(ABS($L1959)/IF(OR($R1959="",$R1959=0),1,$R1959),2)*SIGN($U1959),ROUND($U1959*$V1959,2))))</f>
        <v>0</v>
      </c>
      <c r="X1959" s="24" t="str">
        <f aca="false">IF($N1959="","",IFERROR(INDEX(VAT_Codes!$H:$H,MATCH($N1959,VAT_Codes!$A:$A,0)),"")&amp;"")</f>
        <v/>
      </c>
      <c r="Y1959" s="24" t="str">
        <f aca="false">IF($A1959="","",(YEAR($A1959)-YEAR(Settings!$C$8))*12+MONTH($A1959)-MONTH(Settings!$C$8)+1)</f>
        <v/>
      </c>
      <c r="Z1959" s="24" t="str">
        <f aca="false">IF(AND($C1959="",$I1959="",$J1959=""),"",IF($N1959="","NO VAT CODE",IF($T1959="","UNKNOWN VAT CODE",IF($S1959="","MISSING FX RATE",IF(OR($A1959&lt;Settings!$C$8,$A1959&gt;Settings!$C$9),"OUTSIDE PERIOD",IF(AND(IFERROR(INDEX(VAT_Codes!$E:$E,MATCH($N1959,VAT_Codes!$A:$A,0)),"ANY")&lt;&gt;"ANY",$P1959=""),"MISSING COUNTERPARTY COUNTRY",IF(AND(IFERROR(INDEX(VAT_Codes!$E:$E,MATCH($N1959,VAT_Codes!$A:$A,0)),"ANY")&lt;&gt;"ANY",$P1959&lt;&gt;IFERROR(INDEX(VAT_Codes!$E:$E,MATCH($N1959,VAT_Codes!$A:$A,0)),"ANY")),"REGION MISMATCH","OK")))))))</f>
        <v/>
      </c>
    </row>
    <row r="1960" customFormat="false" ht="15" hidden="false" customHeight="false" outlineLevel="0" collapsed="false">
      <c r="M1960" s="24" t="str">
        <f aca="false">IF($C1960="","",IFERROR(INDEX(Account_Mapping!$C:$C,MATCH($C1960&amp;"",Account_Mapping!$A:$A,0))&amp;"",""))</f>
        <v/>
      </c>
      <c r="N1960" s="24" t="str">
        <f aca="false">IF($K1960&lt;&gt;"",$K1960,$M1960)</f>
        <v/>
      </c>
      <c r="O1960" s="24" t="str">
        <f aca="false">IF($F1960="","",IFERROR(INDEX(Counterparties!$C:$C,MATCH($F1960&amp;"",Counterparties!$A:$A,0))&amp;"",""))</f>
        <v/>
      </c>
      <c r="P1960" s="24" t="str">
        <f aca="false">IF($O1960="","",IF($O1960="CY","CY",IF(ISNUMBER(MATCH($O1960,Lists!$A:$A,0)),"EU","3RD")))</f>
        <v/>
      </c>
      <c r="Q1960" s="24" t="str">
        <f aca="false">IF($F1960="","N",IFERROR(IF(INDEX(Counterparties!$E:$E,MATCH($F1960&amp;"",Counterparties!$A:$A,0))="Y","Y","N"),"N"))</f>
        <v>N</v>
      </c>
      <c r="R1960" s="25" t="n">
        <f aca="false">IF(OR($H1960="",$H1960="EUR"),1,IFERROR(INDEX(FX_Rates!$D:$D,MATCH($H1960,FX_Rates!$A:$A,0)),""))</f>
        <v>1</v>
      </c>
      <c r="S1960" s="26" t="str">
        <f aca="false">IF(AND($I1960="",$J1960=""),"",IF($J1960&lt;&gt;"",$J1960,IF(OR($R1960="",$R1960=0),"",ROUND($I1960/$R1960,2))))</f>
        <v/>
      </c>
      <c r="T1960" s="24" t="str">
        <f aca="false">IF($N1960="","",IFERROR(INDEX(VAT_Codes!$C:$C,MATCH($N1960,VAT_Codes!$A:$A,0)),"")&amp;"")</f>
        <v/>
      </c>
      <c r="U1960" s="26" t="n">
        <f aca="false">IF(OR($S1960="",$T1960="",$T1960="None"),0,IF($T1960="Output",-$S1960,$S1960))</f>
        <v>0</v>
      </c>
      <c r="V1960" s="27" t="n">
        <f aca="false">IF($N1960="",0,IFERROR(INDEX(VAT_Codes!$D:$D,MATCH($N1960,VAT_Codes!$A:$A,0)),0))</f>
        <v>0</v>
      </c>
      <c r="W1960" s="26" t="n">
        <f aca="false">IF($U1960=0,0,IF(IFERROR(INDEX(VAT_Codes!$F:$F,MATCH($N1960,VAT_Codes!$A:$A,0)),"N")="Y",$U1960,IF($L1960&lt;&gt;"",ROUND(ABS($L1960)/IF(OR($R1960="",$R1960=0),1,$R1960),2)*SIGN($U1960),ROUND($U1960*$V1960,2))))</f>
        <v>0</v>
      </c>
      <c r="X1960" s="24" t="str">
        <f aca="false">IF($N1960="","",IFERROR(INDEX(VAT_Codes!$H:$H,MATCH($N1960,VAT_Codes!$A:$A,0)),"")&amp;"")</f>
        <v/>
      </c>
      <c r="Y1960" s="24" t="str">
        <f aca="false">IF($A1960="","",(YEAR($A1960)-YEAR(Settings!$C$8))*12+MONTH($A1960)-MONTH(Settings!$C$8)+1)</f>
        <v/>
      </c>
      <c r="Z1960" s="24" t="str">
        <f aca="false">IF(AND($C1960="",$I1960="",$J1960=""),"",IF($N1960="","NO VAT CODE",IF($T1960="","UNKNOWN VAT CODE",IF($S1960="","MISSING FX RATE",IF(OR($A1960&lt;Settings!$C$8,$A1960&gt;Settings!$C$9),"OUTSIDE PERIOD",IF(AND(IFERROR(INDEX(VAT_Codes!$E:$E,MATCH($N1960,VAT_Codes!$A:$A,0)),"ANY")&lt;&gt;"ANY",$P1960=""),"MISSING COUNTERPARTY COUNTRY",IF(AND(IFERROR(INDEX(VAT_Codes!$E:$E,MATCH($N1960,VAT_Codes!$A:$A,0)),"ANY")&lt;&gt;"ANY",$P1960&lt;&gt;IFERROR(INDEX(VAT_Codes!$E:$E,MATCH($N1960,VAT_Codes!$A:$A,0)),"ANY")),"REGION MISMATCH","OK")))))))</f>
        <v/>
      </c>
    </row>
    <row r="1961" customFormat="false" ht="15" hidden="false" customHeight="false" outlineLevel="0" collapsed="false">
      <c r="M1961" s="24" t="str">
        <f aca="false">IF($C1961="","",IFERROR(INDEX(Account_Mapping!$C:$C,MATCH($C1961&amp;"",Account_Mapping!$A:$A,0))&amp;"",""))</f>
        <v/>
      </c>
      <c r="N1961" s="24" t="str">
        <f aca="false">IF($K1961&lt;&gt;"",$K1961,$M1961)</f>
        <v/>
      </c>
      <c r="O1961" s="24" t="str">
        <f aca="false">IF($F1961="","",IFERROR(INDEX(Counterparties!$C:$C,MATCH($F1961&amp;"",Counterparties!$A:$A,0))&amp;"",""))</f>
        <v/>
      </c>
      <c r="P1961" s="24" t="str">
        <f aca="false">IF($O1961="","",IF($O1961="CY","CY",IF(ISNUMBER(MATCH($O1961,Lists!$A:$A,0)),"EU","3RD")))</f>
        <v/>
      </c>
      <c r="Q1961" s="24" t="str">
        <f aca="false">IF($F1961="","N",IFERROR(IF(INDEX(Counterparties!$E:$E,MATCH($F1961&amp;"",Counterparties!$A:$A,0))="Y","Y","N"),"N"))</f>
        <v>N</v>
      </c>
      <c r="R1961" s="25" t="n">
        <f aca="false">IF(OR($H1961="",$H1961="EUR"),1,IFERROR(INDEX(FX_Rates!$D:$D,MATCH($H1961,FX_Rates!$A:$A,0)),""))</f>
        <v>1</v>
      </c>
      <c r="S1961" s="26" t="str">
        <f aca="false">IF(AND($I1961="",$J1961=""),"",IF($J1961&lt;&gt;"",$J1961,IF(OR($R1961="",$R1961=0),"",ROUND($I1961/$R1961,2))))</f>
        <v/>
      </c>
      <c r="T1961" s="24" t="str">
        <f aca="false">IF($N1961="","",IFERROR(INDEX(VAT_Codes!$C:$C,MATCH($N1961,VAT_Codes!$A:$A,0)),"")&amp;"")</f>
        <v/>
      </c>
      <c r="U1961" s="26" t="n">
        <f aca="false">IF(OR($S1961="",$T1961="",$T1961="None"),0,IF($T1961="Output",-$S1961,$S1961))</f>
        <v>0</v>
      </c>
      <c r="V1961" s="27" t="n">
        <f aca="false">IF($N1961="",0,IFERROR(INDEX(VAT_Codes!$D:$D,MATCH($N1961,VAT_Codes!$A:$A,0)),0))</f>
        <v>0</v>
      </c>
      <c r="W1961" s="26" t="n">
        <f aca="false">IF($U1961=0,0,IF(IFERROR(INDEX(VAT_Codes!$F:$F,MATCH($N1961,VAT_Codes!$A:$A,0)),"N")="Y",$U1961,IF($L1961&lt;&gt;"",ROUND(ABS($L1961)/IF(OR($R1961="",$R1961=0),1,$R1961),2)*SIGN($U1961),ROUND($U1961*$V1961,2))))</f>
        <v>0</v>
      </c>
      <c r="X1961" s="24" t="str">
        <f aca="false">IF($N1961="","",IFERROR(INDEX(VAT_Codes!$H:$H,MATCH($N1961,VAT_Codes!$A:$A,0)),"")&amp;"")</f>
        <v/>
      </c>
      <c r="Y1961" s="24" t="str">
        <f aca="false">IF($A1961="","",(YEAR($A1961)-YEAR(Settings!$C$8))*12+MONTH($A1961)-MONTH(Settings!$C$8)+1)</f>
        <v/>
      </c>
      <c r="Z1961" s="24" t="str">
        <f aca="false">IF(AND($C1961="",$I1961="",$J1961=""),"",IF($N1961="","NO VAT CODE",IF($T1961="","UNKNOWN VAT CODE",IF($S1961="","MISSING FX RATE",IF(OR($A1961&lt;Settings!$C$8,$A1961&gt;Settings!$C$9),"OUTSIDE PERIOD",IF(AND(IFERROR(INDEX(VAT_Codes!$E:$E,MATCH($N1961,VAT_Codes!$A:$A,0)),"ANY")&lt;&gt;"ANY",$P1961=""),"MISSING COUNTERPARTY COUNTRY",IF(AND(IFERROR(INDEX(VAT_Codes!$E:$E,MATCH($N1961,VAT_Codes!$A:$A,0)),"ANY")&lt;&gt;"ANY",$P1961&lt;&gt;IFERROR(INDEX(VAT_Codes!$E:$E,MATCH($N1961,VAT_Codes!$A:$A,0)),"ANY")),"REGION MISMATCH","OK")))))))</f>
        <v/>
      </c>
    </row>
    <row r="1962" customFormat="false" ht="15" hidden="false" customHeight="false" outlineLevel="0" collapsed="false">
      <c r="M1962" s="24" t="str">
        <f aca="false">IF($C1962="","",IFERROR(INDEX(Account_Mapping!$C:$C,MATCH($C1962&amp;"",Account_Mapping!$A:$A,0))&amp;"",""))</f>
        <v/>
      </c>
      <c r="N1962" s="24" t="str">
        <f aca="false">IF($K1962&lt;&gt;"",$K1962,$M1962)</f>
        <v/>
      </c>
      <c r="O1962" s="24" t="str">
        <f aca="false">IF($F1962="","",IFERROR(INDEX(Counterparties!$C:$C,MATCH($F1962&amp;"",Counterparties!$A:$A,0))&amp;"",""))</f>
        <v/>
      </c>
      <c r="P1962" s="24" t="str">
        <f aca="false">IF($O1962="","",IF($O1962="CY","CY",IF(ISNUMBER(MATCH($O1962,Lists!$A:$A,0)),"EU","3RD")))</f>
        <v/>
      </c>
      <c r="Q1962" s="24" t="str">
        <f aca="false">IF($F1962="","N",IFERROR(IF(INDEX(Counterparties!$E:$E,MATCH($F1962&amp;"",Counterparties!$A:$A,0))="Y","Y","N"),"N"))</f>
        <v>N</v>
      </c>
      <c r="R1962" s="25" t="n">
        <f aca="false">IF(OR($H1962="",$H1962="EUR"),1,IFERROR(INDEX(FX_Rates!$D:$D,MATCH($H1962,FX_Rates!$A:$A,0)),""))</f>
        <v>1</v>
      </c>
      <c r="S1962" s="26" t="str">
        <f aca="false">IF(AND($I1962="",$J1962=""),"",IF($J1962&lt;&gt;"",$J1962,IF(OR($R1962="",$R1962=0),"",ROUND($I1962/$R1962,2))))</f>
        <v/>
      </c>
      <c r="T1962" s="24" t="str">
        <f aca="false">IF($N1962="","",IFERROR(INDEX(VAT_Codes!$C:$C,MATCH($N1962,VAT_Codes!$A:$A,0)),"")&amp;"")</f>
        <v/>
      </c>
      <c r="U1962" s="26" t="n">
        <f aca="false">IF(OR($S1962="",$T1962="",$T1962="None"),0,IF($T1962="Output",-$S1962,$S1962))</f>
        <v>0</v>
      </c>
      <c r="V1962" s="27" t="n">
        <f aca="false">IF($N1962="",0,IFERROR(INDEX(VAT_Codes!$D:$D,MATCH($N1962,VAT_Codes!$A:$A,0)),0))</f>
        <v>0</v>
      </c>
      <c r="W1962" s="26" t="n">
        <f aca="false">IF($U1962=0,0,IF(IFERROR(INDEX(VAT_Codes!$F:$F,MATCH($N1962,VAT_Codes!$A:$A,0)),"N")="Y",$U1962,IF($L1962&lt;&gt;"",ROUND(ABS($L1962)/IF(OR($R1962="",$R1962=0),1,$R1962),2)*SIGN($U1962),ROUND($U1962*$V1962,2))))</f>
        <v>0</v>
      </c>
      <c r="X1962" s="24" t="str">
        <f aca="false">IF($N1962="","",IFERROR(INDEX(VAT_Codes!$H:$H,MATCH($N1962,VAT_Codes!$A:$A,0)),"")&amp;"")</f>
        <v/>
      </c>
      <c r="Y1962" s="24" t="str">
        <f aca="false">IF($A1962="","",(YEAR($A1962)-YEAR(Settings!$C$8))*12+MONTH($A1962)-MONTH(Settings!$C$8)+1)</f>
        <v/>
      </c>
      <c r="Z1962" s="24" t="str">
        <f aca="false">IF(AND($C1962="",$I1962="",$J1962=""),"",IF($N1962="","NO VAT CODE",IF($T1962="","UNKNOWN VAT CODE",IF($S1962="","MISSING FX RATE",IF(OR($A1962&lt;Settings!$C$8,$A1962&gt;Settings!$C$9),"OUTSIDE PERIOD",IF(AND(IFERROR(INDEX(VAT_Codes!$E:$E,MATCH($N1962,VAT_Codes!$A:$A,0)),"ANY")&lt;&gt;"ANY",$P1962=""),"MISSING COUNTERPARTY COUNTRY",IF(AND(IFERROR(INDEX(VAT_Codes!$E:$E,MATCH($N1962,VAT_Codes!$A:$A,0)),"ANY")&lt;&gt;"ANY",$P1962&lt;&gt;IFERROR(INDEX(VAT_Codes!$E:$E,MATCH($N1962,VAT_Codes!$A:$A,0)),"ANY")),"REGION MISMATCH","OK")))))))</f>
        <v/>
      </c>
    </row>
    <row r="1963" customFormat="false" ht="15" hidden="false" customHeight="false" outlineLevel="0" collapsed="false">
      <c r="M1963" s="24" t="str">
        <f aca="false">IF($C1963="","",IFERROR(INDEX(Account_Mapping!$C:$C,MATCH($C1963&amp;"",Account_Mapping!$A:$A,0))&amp;"",""))</f>
        <v/>
      </c>
      <c r="N1963" s="24" t="str">
        <f aca="false">IF($K1963&lt;&gt;"",$K1963,$M1963)</f>
        <v/>
      </c>
      <c r="O1963" s="24" t="str">
        <f aca="false">IF($F1963="","",IFERROR(INDEX(Counterparties!$C:$C,MATCH($F1963&amp;"",Counterparties!$A:$A,0))&amp;"",""))</f>
        <v/>
      </c>
      <c r="P1963" s="24" t="str">
        <f aca="false">IF($O1963="","",IF($O1963="CY","CY",IF(ISNUMBER(MATCH($O1963,Lists!$A:$A,0)),"EU","3RD")))</f>
        <v/>
      </c>
      <c r="Q1963" s="24" t="str">
        <f aca="false">IF($F1963="","N",IFERROR(IF(INDEX(Counterparties!$E:$E,MATCH($F1963&amp;"",Counterparties!$A:$A,0))="Y","Y","N"),"N"))</f>
        <v>N</v>
      </c>
      <c r="R1963" s="25" t="n">
        <f aca="false">IF(OR($H1963="",$H1963="EUR"),1,IFERROR(INDEX(FX_Rates!$D:$D,MATCH($H1963,FX_Rates!$A:$A,0)),""))</f>
        <v>1</v>
      </c>
      <c r="S1963" s="26" t="str">
        <f aca="false">IF(AND($I1963="",$J1963=""),"",IF($J1963&lt;&gt;"",$J1963,IF(OR($R1963="",$R1963=0),"",ROUND($I1963/$R1963,2))))</f>
        <v/>
      </c>
      <c r="T1963" s="24" t="str">
        <f aca="false">IF($N1963="","",IFERROR(INDEX(VAT_Codes!$C:$C,MATCH($N1963,VAT_Codes!$A:$A,0)),"")&amp;"")</f>
        <v/>
      </c>
      <c r="U1963" s="26" t="n">
        <f aca="false">IF(OR($S1963="",$T1963="",$T1963="None"),0,IF($T1963="Output",-$S1963,$S1963))</f>
        <v>0</v>
      </c>
      <c r="V1963" s="27" t="n">
        <f aca="false">IF($N1963="",0,IFERROR(INDEX(VAT_Codes!$D:$D,MATCH($N1963,VAT_Codes!$A:$A,0)),0))</f>
        <v>0</v>
      </c>
      <c r="W1963" s="26" t="n">
        <f aca="false">IF($U1963=0,0,IF(IFERROR(INDEX(VAT_Codes!$F:$F,MATCH($N1963,VAT_Codes!$A:$A,0)),"N")="Y",$U1963,IF($L1963&lt;&gt;"",ROUND(ABS($L1963)/IF(OR($R1963="",$R1963=0),1,$R1963),2)*SIGN($U1963),ROUND($U1963*$V1963,2))))</f>
        <v>0</v>
      </c>
      <c r="X1963" s="24" t="str">
        <f aca="false">IF($N1963="","",IFERROR(INDEX(VAT_Codes!$H:$H,MATCH($N1963,VAT_Codes!$A:$A,0)),"")&amp;"")</f>
        <v/>
      </c>
      <c r="Y1963" s="24" t="str">
        <f aca="false">IF($A1963="","",(YEAR($A1963)-YEAR(Settings!$C$8))*12+MONTH($A1963)-MONTH(Settings!$C$8)+1)</f>
        <v/>
      </c>
      <c r="Z1963" s="24" t="str">
        <f aca="false">IF(AND($C1963="",$I1963="",$J1963=""),"",IF($N1963="","NO VAT CODE",IF($T1963="","UNKNOWN VAT CODE",IF($S1963="","MISSING FX RATE",IF(OR($A1963&lt;Settings!$C$8,$A1963&gt;Settings!$C$9),"OUTSIDE PERIOD",IF(AND(IFERROR(INDEX(VAT_Codes!$E:$E,MATCH($N1963,VAT_Codes!$A:$A,0)),"ANY")&lt;&gt;"ANY",$P1963=""),"MISSING COUNTERPARTY COUNTRY",IF(AND(IFERROR(INDEX(VAT_Codes!$E:$E,MATCH($N1963,VAT_Codes!$A:$A,0)),"ANY")&lt;&gt;"ANY",$P1963&lt;&gt;IFERROR(INDEX(VAT_Codes!$E:$E,MATCH($N1963,VAT_Codes!$A:$A,0)),"ANY")),"REGION MISMATCH","OK")))))))</f>
        <v/>
      </c>
    </row>
    <row r="1964" customFormat="false" ht="15" hidden="false" customHeight="false" outlineLevel="0" collapsed="false">
      <c r="M1964" s="24" t="str">
        <f aca="false">IF($C1964="","",IFERROR(INDEX(Account_Mapping!$C:$C,MATCH($C1964&amp;"",Account_Mapping!$A:$A,0))&amp;"",""))</f>
        <v/>
      </c>
      <c r="N1964" s="24" t="str">
        <f aca="false">IF($K1964&lt;&gt;"",$K1964,$M1964)</f>
        <v/>
      </c>
      <c r="O1964" s="24" t="str">
        <f aca="false">IF($F1964="","",IFERROR(INDEX(Counterparties!$C:$C,MATCH($F1964&amp;"",Counterparties!$A:$A,0))&amp;"",""))</f>
        <v/>
      </c>
      <c r="P1964" s="24" t="str">
        <f aca="false">IF($O1964="","",IF($O1964="CY","CY",IF(ISNUMBER(MATCH($O1964,Lists!$A:$A,0)),"EU","3RD")))</f>
        <v/>
      </c>
      <c r="Q1964" s="24" t="str">
        <f aca="false">IF($F1964="","N",IFERROR(IF(INDEX(Counterparties!$E:$E,MATCH($F1964&amp;"",Counterparties!$A:$A,0))="Y","Y","N"),"N"))</f>
        <v>N</v>
      </c>
      <c r="R1964" s="25" t="n">
        <f aca="false">IF(OR($H1964="",$H1964="EUR"),1,IFERROR(INDEX(FX_Rates!$D:$D,MATCH($H1964,FX_Rates!$A:$A,0)),""))</f>
        <v>1</v>
      </c>
      <c r="S1964" s="26" t="str">
        <f aca="false">IF(AND($I1964="",$J1964=""),"",IF($J1964&lt;&gt;"",$J1964,IF(OR($R1964="",$R1964=0),"",ROUND($I1964/$R1964,2))))</f>
        <v/>
      </c>
      <c r="T1964" s="24" t="str">
        <f aca="false">IF($N1964="","",IFERROR(INDEX(VAT_Codes!$C:$C,MATCH($N1964,VAT_Codes!$A:$A,0)),"")&amp;"")</f>
        <v/>
      </c>
      <c r="U1964" s="26" t="n">
        <f aca="false">IF(OR($S1964="",$T1964="",$T1964="None"),0,IF($T1964="Output",-$S1964,$S1964))</f>
        <v>0</v>
      </c>
      <c r="V1964" s="27" t="n">
        <f aca="false">IF($N1964="",0,IFERROR(INDEX(VAT_Codes!$D:$D,MATCH($N1964,VAT_Codes!$A:$A,0)),0))</f>
        <v>0</v>
      </c>
      <c r="W1964" s="26" t="n">
        <f aca="false">IF($U1964=0,0,IF(IFERROR(INDEX(VAT_Codes!$F:$F,MATCH($N1964,VAT_Codes!$A:$A,0)),"N")="Y",$U1964,IF($L1964&lt;&gt;"",ROUND(ABS($L1964)/IF(OR($R1964="",$R1964=0),1,$R1964),2)*SIGN($U1964),ROUND($U1964*$V1964,2))))</f>
        <v>0</v>
      </c>
      <c r="X1964" s="24" t="str">
        <f aca="false">IF($N1964="","",IFERROR(INDEX(VAT_Codes!$H:$H,MATCH($N1964,VAT_Codes!$A:$A,0)),"")&amp;"")</f>
        <v/>
      </c>
      <c r="Y1964" s="24" t="str">
        <f aca="false">IF($A1964="","",(YEAR($A1964)-YEAR(Settings!$C$8))*12+MONTH($A1964)-MONTH(Settings!$C$8)+1)</f>
        <v/>
      </c>
      <c r="Z1964" s="24" t="str">
        <f aca="false">IF(AND($C1964="",$I1964="",$J1964=""),"",IF($N1964="","NO VAT CODE",IF($T1964="","UNKNOWN VAT CODE",IF($S1964="","MISSING FX RATE",IF(OR($A1964&lt;Settings!$C$8,$A1964&gt;Settings!$C$9),"OUTSIDE PERIOD",IF(AND(IFERROR(INDEX(VAT_Codes!$E:$E,MATCH($N1964,VAT_Codes!$A:$A,0)),"ANY")&lt;&gt;"ANY",$P1964=""),"MISSING COUNTERPARTY COUNTRY",IF(AND(IFERROR(INDEX(VAT_Codes!$E:$E,MATCH($N1964,VAT_Codes!$A:$A,0)),"ANY")&lt;&gt;"ANY",$P1964&lt;&gt;IFERROR(INDEX(VAT_Codes!$E:$E,MATCH($N1964,VAT_Codes!$A:$A,0)),"ANY")),"REGION MISMATCH","OK")))))))</f>
        <v/>
      </c>
    </row>
    <row r="1965" customFormat="false" ht="15" hidden="false" customHeight="false" outlineLevel="0" collapsed="false">
      <c r="M1965" s="24" t="str">
        <f aca="false">IF($C1965="","",IFERROR(INDEX(Account_Mapping!$C:$C,MATCH($C1965&amp;"",Account_Mapping!$A:$A,0))&amp;"",""))</f>
        <v/>
      </c>
      <c r="N1965" s="24" t="str">
        <f aca="false">IF($K1965&lt;&gt;"",$K1965,$M1965)</f>
        <v/>
      </c>
      <c r="O1965" s="24" t="str">
        <f aca="false">IF($F1965="","",IFERROR(INDEX(Counterparties!$C:$C,MATCH($F1965&amp;"",Counterparties!$A:$A,0))&amp;"",""))</f>
        <v/>
      </c>
      <c r="P1965" s="24" t="str">
        <f aca="false">IF($O1965="","",IF($O1965="CY","CY",IF(ISNUMBER(MATCH($O1965,Lists!$A:$A,0)),"EU","3RD")))</f>
        <v/>
      </c>
      <c r="Q1965" s="24" t="str">
        <f aca="false">IF($F1965="","N",IFERROR(IF(INDEX(Counterparties!$E:$E,MATCH($F1965&amp;"",Counterparties!$A:$A,0))="Y","Y","N"),"N"))</f>
        <v>N</v>
      </c>
      <c r="R1965" s="25" t="n">
        <f aca="false">IF(OR($H1965="",$H1965="EUR"),1,IFERROR(INDEX(FX_Rates!$D:$D,MATCH($H1965,FX_Rates!$A:$A,0)),""))</f>
        <v>1</v>
      </c>
      <c r="S1965" s="26" t="str">
        <f aca="false">IF(AND($I1965="",$J1965=""),"",IF($J1965&lt;&gt;"",$J1965,IF(OR($R1965="",$R1965=0),"",ROUND($I1965/$R1965,2))))</f>
        <v/>
      </c>
      <c r="T1965" s="24" t="str">
        <f aca="false">IF($N1965="","",IFERROR(INDEX(VAT_Codes!$C:$C,MATCH($N1965,VAT_Codes!$A:$A,0)),"")&amp;"")</f>
        <v/>
      </c>
      <c r="U1965" s="26" t="n">
        <f aca="false">IF(OR($S1965="",$T1965="",$T1965="None"),0,IF($T1965="Output",-$S1965,$S1965))</f>
        <v>0</v>
      </c>
      <c r="V1965" s="27" t="n">
        <f aca="false">IF($N1965="",0,IFERROR(INDEX(VAT_Codes!$D:$D,MATCH($N1965,VAT_Codes!$A:$A,0)),0))</f>
        <v>0</v>
      </c>
      <c r="W1965" s="26" t="n">
        <f aca="false">IF($U1965=0,0,IF(IFERROR(INDEX(VAT_Codes!$F:$F,MATCH($N1965,VAT_Codes!$A:$A,0)),"N")="Y",$U1965,IF($L1965&lt;&gt;"",ROUND(ABS($L1965)/IF(OR($R1965="",$R1965=0),1,$R1965),2)*SIGN($U1965),ROUND($U1965*$V1965,2))))</f>
        <v>0</v>
      </c>
      <c r="X1965" s="24" t="str">
        <f aca="false">IF($N1965="","",IFERROR(INDEX(VAT_Codes!$H:$H,MATCH($N1965,VAT_Codes!$A:$A,0)),"")&amp;"")</f>
        <v/>
      </c>
      <c r="Y1965" s="24" t="str">
        <f aca="false">IF($A1965="","",(YEAR($A1965)-YEAR(Settings!$C$8))*12+MONTH($A1965)-MONTH(Settings!$C$8)+1)</f>
        <v/>
      </c>
      <c r="Z1965" s="24" t="str">
        <f aca="false">IF(AND($C1965="",$I1965="",$J1965=""),"",IF($N1965="","NO VAT CODE",IF($T1965="","UNKNOWN VAT CODE",IF($S1965="","MISSING FX RATE",IF(OR($A1965&lt;Settings!$C$8,$A1965&gt;Settings!$C$9),"OUTSIDE PERIOD",IF(AND(IFERROR(INDEX(VAT_Codes!$E:$E,MATCH($N1965,VAT_Codes!$A:$A,0)),"ANY")&lt;&gt;"ANY",$P1965=""),"MISSING COUNTERPARTY COUNTRY",IF(AND(IFERROR(INDEX(VAT_Codes!$E:$E,MATCH($N1965,VAT_Codes!$A:$A,0)),"ANY")&lt;&gt;"ANY",$P1965&lt;&gt;IFERROR(INDEX(VAT_Codes!$E:$E,MATCH($N1965,VAT_Codes!$A:$A,0)),"ANY")),"REGION MISMATCH","OK")))))))</f>
        <v/>
      </c>
    </row>
    <row r="1966" customFormat="false" ht="15" hidden="false" customHeight="false" outlineLevel="0" collapsed="false">
      <c r="M1966" s="24" t="str">
        <f aca="false">IF($C1966="","",IFERROR(INDEX(Account_Mapping!$C:$C,MATCH($C1966&amp;"",Account_Mapping!$A:$A,0))&amp;"",""))</f>
        <v/>
      </c>
      <c r="N1966" s="24" t="str">
        <f aca="false">IF($K1966&lt;&gt;"",$K1966,$M1966)</f>
        <v/>
      </c>
      <c r="O1966" s="24" t="str">
        <f aca="false">IF($F1966="","",IFERROR(INDEX(Counterparties!$C:$C,MATCH($F1966&amp;"",Counterparties!$A:$A,0))&amp;"",""))</f>
        <v/>
      </c>
      <c r="P1966" s="24" t="str">
        <f aca="false">IF($O1966="","",IF($O1966="CY","CY",IF(ISNUMBER(MATCH($O1966,Lists!$A:$A,0)),"EU","3RD")))</f>
        <v/>
      </c>
      <c r="Q1966" s="24" t="str">
        <f aca="false">IF($F1966="","N",IFERROR(IF(INDEX(Counterparties!$E:$E,MATCH($F1966&amp;"",Counterparties!$A:$A,0))="Y","Y","N"),"N"))</f>
        <v>N</v>
      </c>
      <c r="R1966" s="25" t="n">
        <f aca="false">IF(OR($H1966="",$H1966="EUR"),1,IFERROR(INDEX(FX_Rates!$D:$D,MATCH($H1966,FX_Rates!$A:$A,0)),""))</f>
        <v>1</v>
      </c>
      <c r="S1966" s="26" t="str">
        <f aca="false">IF(AND($I1966="",$J1966=""),"",IF($J1966&lt;&gt;"",$J1966,IF(OR($R1966="",$R1966=0),"",ROUND($I1966/$R1966,2))))</f>
        <v/>
      </c>
      <c r="T1966" s="24" t="str">
        <f aca="false">IF($N1966="","",IFERROR(INDEX(VAT_Codes!$C:$C,MATCH($N1966,VAT_Codes!$A:$A,0)),"")&amp;"")</f>
        <v/>
      </c>
      <c r="U1966" s="26" t="n">
        <f aca="false">IF(OR($S1966="",$T1966="",$T1966="None"),0,IF($T1966="Output",-$S1966,$S1966))</f>
        <v>0</v>
      </c>
      <c r="V1966" s="27" t="n">
        <f aca="false">IF($N1966="",0,IFERROR(INDEX(VAT_Codes!$D:$D,MATCH($N1966,VAT_Codes!$A:$A,0)),0))</f>
        <v>0</v>
      </c>
      <c r="W1966" s="26" t="n">
        <f aca="false">IF($U1966=0,0,IF(IFERROR(INDEX(VAT_Codes!$F:$F,MATCH($N1966,VAT_Codes!$A:$A,0)),"N")="Y",$U1966,IF($L1966&lt;&gt;"",ROUND(ABS($L1966)/IF(OR($R1966="",$R1966=0),1,$R1966),2)*SIGN($U1966),ROUND($U1966*$V1966,2))))</f>
        <v>0</v>
      </c>
      <c r="X1966" s="24" t="str">
        <f aca="false">IF($N1966="","",IFERROR(INDEX(VAT_Codes!$H:$H,MATCH($N1966,VAT_Codes!$A:$A,0)),"")&amp;"")</f>
        <v/>
      </c>
      <c r="Y1966" s="24" t="str">
        <f aca="false">IF($A1966="","",(YEAR($A1966)-YEAR(Settings!$C$8))*12+MONTH($A1966)-MONTH(Settings!$C$8)+1)</f>
        <v/>
      </c>
      <c r="Z1966" s="24" t="str">
        <f aca="false">IF(AND($C1966="",$I1966="",$J1966=""),"",IF($N1966="","NO VAT CODE",IF($T1966="","UNKNOWN VAT CODE",IF($S1966="","MISSING FX RATE",IF(OR($A1966&lt;Settings!$C$8,$A1966&gt;Settings!$C$9),"OUTSIDE PERIOD",IF(AND(IFERROR(INDEX(VAT_Codes!$E:$E,MATCH($N1966,VAT_Codes!$A:$A,0)),"ANY")&lt;&gt;"ANY",$P1966=""),"MISSING COUNTERPARTY COUNTRY",IF(AND(IFERROR(INDEX(VAT_Codes!$E:$E,MATCH($N1966,VAT_Codes!$A:$A,0)),"ANY")&lt;&gt;"ANY",$P1966&lt;&gt;IFERROR(INDEX(VAT_Codes!$E:$E,MATCH($N1966,VAT_Codes!$A:$A,0)),"ANY")),"REGION MISMATCH","OK")))))))</f>
        <v/>
      </c>
    </row>
    <row r="1967" customFormat="false" ht="15" hidden="false" customHeight="false" outlineLevel="0" collapsed="false">
      <c r="M1967" s="24" t="str">
        <f aca="false">IF($C1967="","",IFERROR(INDEX(Account_Mapping!$C:$C,MATCH($C1967&amp;"",Account_Mapping!$A:$A,0))&amp;"",""))</f>
        <v/>
      </c>
      <c r="N1967" s="24" t="str">
        <f aca="false">IF($K1967&lt;&gt;"",$K1967,$M1967)</f>
        <v/>
      </c>
      <c r="O1967" s="24" t="str">
        <f aca="false">IF($F1967="","",IFERROR(INDEX(Counterparties!$C:$C,MATCH($F1967&amp;"",Counterparties!$A:$A,0))&amp;"",""))</f>
        <v/>
      </c>
      <c r="P1967" s="24" t="str">
        <f aca="false">IF($O1967="","",IF($O1967="CY","CY",IF(ISNUMBER(MATCH($O1967,Lists!$A:$A,0)),"EU","3RD")))</f>
        <v/>
      </c>
      <c r="Q1967" s="24" t="str">
        <f aca="false">IF($F1967="","N",IFERROR(IF(INDEX(Counterparties!$E:$E,MATCH($F1967&amp;"",Counterparties!$A:$A,0))="Y","Y","N"),"N"))</f>
        <v>N</v>
      </c>
      <c r="R1967" s="25" t="n">
        <f aca="false">IF(OR($H1967="",$H1967="EUR"),1,IFERROR(INDEX(FX_Rates!$D:$D,MATCH($H1967,FX_Rates!$A:$A,0)),""))</f>
        <v>1</v>
      </c>
      <c r="S1967" s="26" t="str">
        <f aca="false">IF(AND($I1967="",$J1967=""),"",IF($J1967&lt;&gt;"",$J1967,IF(OR($R1967="",$R1967=0),"",ROUND($I1967/$R1967,2))))</f>
        <v/>
      </c>
      <c r="T1967" s="24" t="str">
        <f aca="false">IF($N1967="","",IFERROR(INDEX(VAT_Codes!$C:$C,MATCH($N1967,VAT_Codes!$A:$A,0)),"")&amp;"")</f>
        <v/>
      </c>
      <c r="U1967" s="26" t="n">
        <f aca="false">IF(OR($S1967="",$T1967="",$T1967="None"),0,IF($T1967="Output",-$S1967,$S1967))</f>
        <v>0</v>
      </c>
      <c r="V1967" s="27" t="n">
        <f aca="false">IF($N1967="",0,IFERROR(INDEX(VAT_Codes!$D:$D,MATCH($N1967,VAT_Codes!$A:$A,0)),0))</f>
        <v>0</v>
      </c>
      <c r="W1967" s="26" t="n">
        <f aca="false">IF($U1967=0,0,IF(IFERROR(INDEX(VAT_Codes!$F:$F,MATCH($N1967,VAT_Codes!$A:$A,0)),"N")="Y",$U1967,IF($L1967&lt;&gt;"",ROUND(ABS($L1967)/IF(OR($R1967="",$R1967=0),1,$R1967),2)*SIGN($U1967),ROUND($U1967*$V1967,2))))</f>
        <v>0</v>
      </c>
      <c r="X1967" s="24" t="str">
        <f aca="false">IF($N1967="","",IFERROR(INDEX(VAT_Codes!$H:$H,MATCH($N1967,VAT_Codes!$A:$A,0)),"")&amp;"")</f>
        <v/>
      </c>
      <c r="Y1967" s="24" t="str">
        <f aca="false">IF($A1967="","",(YEAR($A1967)-YEAR(Settings!$C$8))*12+MONTH($A1967)-MONTH(Settings!$C$8)+1)</f>
        <v/>
      </c>
      <c r="Z1967" s="24" t="str">
        <f aca="false">IF(AND($C1967="",$I1967="",$J1967=""),"",IF($N1967="","NO VAT CODE",IF($T1967="","UNKNOWN VAT CODE",IF($S1967="","MISSING FX RATE",IF(OR($A1967&lt;Settings!$C$8,$A1967&gt;Settings!$C$9),"OUTSIDE PERIOD",IF(AND(IFERROR(INDEX(VAT_Codes!$E:$E,MATCH($N1967,VAT_Codes!$A:$A,0)),"ANY")&lt;&gt;"ANY",$P1967=""),"MISSING COUNTERPARTY COUNTRY",IF(AND(IFERROR(INDEX(VAT_Codes!$E:$E,MATCH($N1967,VAT_Codes!$A:$A,0)),"ANY")&lt;&gt;"ANY",$P1967&lt;&gt;IFERROR(INDEX(VAT_Codes!$E:$E,MATCH($N1967,VAT_Codes!$A:$A,0)),"ANY")),"REGION MISMATCH","OK")))))))</f>
        <v/>
      </c>
    </row>
    <row r="1968" customFormat="false" ht="15" hidden="false" customHeight="false" outlineLevel="0" collapsed="false">
      <c r="M1968" s="24" t="str">
        <f aca="false">IF($C1968="","",IFERROR(INDEX(Account_Mapping!$C:$C,MATCH($C1968&amp;"",Account_Mapping!$A:$A,0))&amp;"",""))</f>
        <v/>
      </c>
      <c r="N1968" s="24" t="str">
        <f aca="false">IF($K1968&lt;&gt;"",$K1968,$M1968)</f>
        <v/>
      </c>
      <c r="O1968" s="24" t="str">
        <f aca="false">IF($F1968="","",IFERROR(INDEX(Counterparties!$C:$C,MATCH($F1968&amp;"",Counterparties!$A:$A,0))&amp;"",""))</f>
        <v/>
      </c>
      <c r="P1968" s="24" t="str">
        <f aca="false">IF($O1968="","",IF($O1968="CY","CY",IF(ISNUMBER(MATCH($O1968,Lists!$A:$A,0)),"EU","3RD")))</f>
        <v/>
      </c>
      <c r="Q1968" s="24" t="str">
        <f aca="false">IF($F1968="","N",IFERROR(IF(INDEX(Counterparties!$E:$E,MATCH($F1968&amp;"",Counterparties!$A:$A,0))="Y","Y","N"),"N"))</f>
        <v>N</v>
      </c>
      <c r="R1968" s="25" t="n">
        <f aca="false">IF(OR($H1968="",$H1968="EUR"),1,IFERROR(INDEX(FX_Rates!$D:$D,MATCH($H1968,FX_Rates!$A:$A,0)),""))</f>
        <v>1</v>
      </c>
      <c r="S1968" s="26" t="str">
        <f aca="false">IF(AND($I1968="",$J1968=""),"",IF($J1968&lt;&gt;"",$J1968,IF(OR($R1968="",$R1968=0),"",ROUND($I1968/$R1968,2))))</f>
        <v/>
      </c>
      <c r="T1968" s="24" t="str">
        <f aca="false">IF($N1968="","",IFERROR(INDEX(VAT_Codes!$C:$C,MATCH($N1968,VAT_Codes!$A:$A,0)),"")&amp;"")</f>
        <v/>
      </c>
      <c r="U1968" s="26" t="n">
        <f aca="false">IF(OR($S1968="",$T1968="",$T1968="None"),0,IF($T1968="Output",-$S1968,$S1968))</f>
        <v>0</v>
      </c>
      <c r="V1968" s="27" t="n">
        <f aca="false">IF($N1968="",0,IFERROR(INDEX(VAT_Codes!$D:$D,MATCH($N1968,VAT_Codes!$A:$A,0)),0))</f>
        <v>0</v>
      </c>
      <c r="W1968" s="26" t="n">
        <f aca="false">IF($U1968=0,0,IF(IFERROR(INDEX(VAT_Codes!$F:$F,MATCH($N1968,VAT_Codes!$A:$A,0)),"N")="Y",$U1968,IF($L1968&lt;&gt;"",ROUND(ABS($L1968)/IF(OR($R1968="",$R1968=0),1,$R1968),2)*SIGN($U1968),ROUND($U1968*$V1968,2))))</f>
        <v>0</v>
      </c>
      <c r="X1968" s="24" t="str">
        <f aca="false">IF($N1968="","",IFERROR(INDEX(VAT_Codes!$H:$H,MATCH($N1968,VAT_Codes!$A:$A,0)),"")&amp;"")</f>
        <v/>
      </c>
      <c r="Y1968" s="24" t="str">
        <f aca="false">IF($A1968="","",(YEAR($A1968)-YEAR(Settings!$C$8))*12+MONTH($A1968)-MONTH(Settings!$C$8)+1)</f>
        <v/>
      </c>
      <c r="Z1968" s="24" t="str">
        <f aca="false">IF(AND($C1968="",$I1968="",$J1968=""),"",IF($N1968="","NO VAT CODE",IF($T1968="","UNKNOWN VAT CODE",IF($S1968="","MISSING FX RATE",IF(OR($A1968&lt;Settings!$C$8,$A1968&gt;Settings!$C$9),"OUTSIDE PERIOD",IF(AND(IFERROR(INDEX(VAT_Codes!$E:$E,MATCH($N1968,VAT_Codes!$A:$A,0)),"ANY")&lt;&gt;"ANY",$P1968=""),"MISSING COUNTERPARTY COUNTRY",IF(AND(IFERROR(INDEX(VAT_Codes!$E:$E,MATCH($N1968,VAT_Codes!$A:$A,0)),"ANY")&lt;&gt;"ANY",$P1968&lt;&gt;IFERROR(INDEX(VAT_Codes!$E:$E,MATCH($N1968,VAT_Codes!$A:$A,0)),"ANY")),"REGION MISMATCH","OK")))))))</f>
        <v/>
      </c>
    </row>
    <row r="1969" customFormat="false" ht="15" hidden="false" customHeight="false" outlineLevel="0" collapsed="false">
      <c r="M1969" s="24" t="str">
        <f aca="false">IF($C1969="","",IFERROR(INDEX(Account_Mapping!$C:$C,MATCH($C1969&amp;"",Account_Mapping!$A:$A,0))&amp;"",""))</f>
        <v/>
      </c>
      <c r="N1969" s="24" t="str">
        <f aca="false">IF($K1969&lt;&gt;"",$K1969,$M1969)</f>
        <v/>
      </c>
      <c r="O1969" s="24" t="str">
        <f aca="false">IF($F1969="","",IFERROR(INDEX(Counterparties!$C:$C,MATCH($F1969&amp;"",Counterparties!$A:$A,0))&amp;"",""))</f>
        <v/>
      </c>
      <c r="P1969" s="24" t="str">
        <f aca="false">IF($O1969="","",IF($O1969="CY","CY",IF(ISNUMBER(MATCH($O1969,Lists!$A:$A,0)),"EU","3RD")))</f>
        <v/>
      </c>
      <c r="Q1969" s="24" t="str">
        <f aca="false">IF($F1969="","N",IFERROR(IF(INDEX(Counterparties!$E:$E,MATCH($F1969&amp;"",Counterparties!$A:$A,0))="Y","Y","N"),"N"))</f>
        <v>N</v>
      </c>
      <c r="R1969" s="25" t="n">
        <f aca="false">IF(OR($H1969="",$H1969="EUR"),1,IFERROR(INDEX(FX_Rates!$D:$D,MATCH($H1969,FX_Rates!$A:$A,0)),""))</f>
        <v>1</v>
      </c>
      <c r="S1969" s="26" t="str">
        <f aca="false">IF(AND($I1969="",$J1969=""),"",IF($J1969&lt;&gt;"",$J1969,IF(OR($R1969="",$R1969=0),"",ROUND($I1969/$R1969,2))))</f>
        <v/>
      </c>
      <c r="T1969" s="24" t="str">
        <f aca="false">IF($N1969="","",IFERROR(INDEX(VAT_Codes!$C:$C,MATCH($N1969,VAT_Codes!$A:$A,0)),"")&amp;"")</f>
        <v/>
      </c>
      <c r="U1969" s="26" t="n">
        <f aca="false">IF(OR($S1969="",$T1969="",$T1969="None"),0,IF($T1969="Output",-$S1969,$S1969))</f>
        <v>0</v>
      </c>
      <c r="V1969" s="27" t="n">
        <f aca="false">IF($N1969="",0,IFERROR(INDEX(VAT_Codes!$D:$D,MATCH($N1969,VAT_Codes!$A:$A,0)),0))</f>
        <v>0</v>
      </c>
      <c r="W1969" s="26" t="n">
        <f aca="false">IF($U1969=0,0,IF(IFERROR(INDEX(VAT_Codes!$F:$F,MATCH($N1969,VAT_Codes!$A:$A,0)),"N")="Y",$U1969,IF($L1969&lt;&gt;"",ROUND(ABS($L1969)/IF(OR($R1969="",$R1969=0),1,$R1969),2)*SIGN($U1969),ROUND($U1969*$V1969,2))))</f>
        <v>0</v>
      </c>
      <c r="X1969" s="24" t="str">
        <f aca="false">IF($N1969="","",IFERROR(INDEX(VAT_Codes!$H:$H,MATCH($N1969,VAT_Codes!$A:$A,0)),"")&amp;"")</f>
        <v/>
      </c>
      <c r="Y1969" s="24" t="str">
        <f aca="false">IF($A1969="","",(YEAR($A1969)-YEAR(Settings!$C$8))*12+MONTH($A1969)-MONTH(Settings!$C$8)+1)</f>
        <v/>
      </c>
      <c r="Z1969" s="24" t="str">
        <f aca="false">IF(AND($C1969="",$I1969="",$J1969=""),"",IF($N1969="","NO VAT CODE",IF($T1969="","UNKNOWN VAT CODE",IF($S1969="","MISSING FX RATE",IF(OR($A1969&lt;Settings!$C$8,$A1969&gt;Settings!$C$9),"OUTSIDE PERIOD",IF(AND(IFERROR(INDEX(VAT_Codes!$E:$E,MATCH($N1969,VAT_Codes!$A:$A,0)),"ANY")&lt;&gt;"ANY",$P1969=""),"MISSING COUNTERPARTY COUNTRY",IF(AND(IFERROR(INDEX(VAT_Codes!$E:$E,MATCH($N1969,VAT_Codes!$A:$A,0)),"ANY")&lt;&gt;"ANY",$P1969&lt;&gt;IFERROR(INDEX(VAT_Codes!$E:$E,MATCH($N1969,VAT_Codes!$A:$A,0)),"ANY")),"REGION MISMATCH","OK")))))))</f>
        <v/>
      </c>
    </row>
    <row r="1970" customFormat="false" ht="15" hidden="false" customHeight="false" outlineLevel="0" collapsed="false">
      <c r="M1970" s="24" t="str">
        <f aca="false">IF($C1970="","",IFERROR(INDEX(Account_Mapping!$C:$C,MATCH($C1970&amp;"",Account_Mapping!$A:$A,0))&amp;"",""))</f>
        <v/>
      </c>
      <c r="N1970" s="24" t="str">
        <f aca="false">IF($K1970&lt;&gt;"",$K1970,$M1970)</f>
        <v/>
      </c>
      <c r="O1970" s="24" t="str">
        <f aca="false">IF($F1970="","",IFERROR(INDEX(Counterparties!$C:$C,MATCH($F1970&amp;"",Counterparties!$A:$A,0))&amp;"",""))</f>
        <v/>
      </c>
      <c r="P1970" s="24" t="str">
        <f aca="false">IF($O1970="","",IF($O1970="CY","CY",IF(ISNUMBER(MATCH($O1970,Lists!$A:$A,0)),"EU","3RD")))</f>
        <v/>
      </c>
      <c r="Q1970" s="24" t="str">
        <f aca="false">IF($F1970="","N",IFERROR(IF(INDEX(Counterparties!$E:$E,MATCH($F1970&amp;"",Counterparties!$A:$A,0))="Y","Y","N"),"N"))</f>
        <v>N</v>
      </c>
      <c r="R1970" s="25" t="n">
        <f aca="false">IF(OR($H1970="",$H1970="EUR"),1,IFERROR(INDEX(FX_Rates!$D:$D,MATCH($H1970,FX_Rates!$A:$A,0)),""))</f>
        <v>1</v>
      </c>
      <c r="S1970" s="26" t="str">
        <f aca="false">IF(AND($I1970="",$J1970=""),"",IF($J1970&lt;&gt;"",$J1970,IF(OR($R1970="",$R1970=0),"",ROUND($I1970/$R1970,2))))</f>
        <v/>
      </c>
      <c r="T1970" s="24" t="str">
        <f aca="false">IF($N1970="","",IFERROR(INDEX(VAT_Codes!$C:$C,MATCH($N1970,VAT_Codes!$A:$A,0)),"")&amp;"")</f>
        <v/>
      </c>
      <c r="U1970" s="26" t="n">
        <f aca="false">IF(OR($S1970="",$T1970="",$T1970="None"),0,IF($T1970="Output",-$S1970,$S1970))</f>
        <v>0</v>
      </c>
      <c r="V1970" s="27" t="n">
        <f aca="false">IF($N1970="",0,IFERROR(INDEX(VAT_Codes!$D:$D,MATCH($N1970,VAT_Codes!$A:$A,0)),0))</f>
        <v>0</v>
      </c>
      <c r="W1970" s="26" t="n">
        <f aca="false">IF($U1970=0,0,IF(IFERROR(INDEX(VAT_Codes!$F:$F,MATCH($N1970,VAT_Codes!$A:$A,0)),"N")="Y",$U1970,IF($L1970&lt;&gt;"",ROUND(ABS($L1970)/IF(OR($R1970="",$R1970=0),1,$R1970),2)*SIGN($U1970),ROUND($U1970*$V1970,2))))</f>
        <v>0</v>
      </c>
      <c r="X1970" s="24" t="str">
        <f aca="false">IF($N1970="","",IFERROR(INDEX(VAT_Codes!$H:$H,MATCH($N1970,VAT_Codes!$A:$A,0)),"")&amp;"")</f>
        <v/>
      </c>
      <c r="Y1970" s="24" t="str">
        <f aca="false">IF($A1970="","",(YEAR($A1970)-YEAR(Settings!$C$8))*12+MONTH($A1970)-MONTH(Settings!$C$8)+1)</f>
        <v/>
      </c>
      <c r="Z1970" s="24" t="str">
        <f aca="false">IF(AND($C1970="",$I1970="",$J1970=""),"",IF($N1970="","NO VAT CODE",IF($T1970="","UNKNOWN VAT CODE",IF($S1970="","MISSING FX RATE",IF(OR($A1970&lt;Settings!$C$8,$A1970&gt;Settings!$C$9),"OUTSIDE PERIOD",IF(AND(IFERROR(INDEX(VAT_Codes!$E:$E,MATCH($N1970,VAT_Codes!$A:$A,0)),"ANY")&lt;&gt;"ANY",$P1970=""),"MISSING COUNTERPARTY COUNTRY",IF(AND(IFERROR(INDEX(VAT_Codes!$E:$E,MATCH($N1970,VAT_Codes!$A:$A,0)),"ANY")&lt;&gt;"ANY",$P1970&lt;&gt;IFERROR(INDEX(VAT_Codes!$E:$E,MATCH($N1970,VAT_Codes!$A:$A,0)),"ANY")),"REGION MISMATCH","OK")))))))</f>
        <v/>
      </c>
    </row>
    <row r="1971" customFormat="false" ht="15" hidden="false" customHeight="false" outlineLevel="0" collapsed="false">
      <c r="M1971" s="24" t="str">
        <f aca="false">IF($C1971="","",IFERROR(INDEX(Account_Mapping!$C:$C,MATCH($C1971&amp;"",Account_Mapping!$A:$A,0))&amp;"",""))</f>
        <v/>
      </c>
      <c r="N1971" s="24" t="str">
        <f aca="false">IF($K1971&lt;&gt;"",$K1971,$M1971)</f>
        <v/>
      </c>
      <c r="O1971" s="24" t="str">
        <f aca="false">IF($F1971="","",IFERROR(INDEX(Counterparties!$C:$C,MATCH($F1971&amp;"",Counterparties!$A:$A,0))&amp;"",""))</f>
        <v/>
      </c>
      <c r="P1971" s="24" t="str">
        <f aca="false">IF($O1971="","",IF($O1971="CY","CY",IF(ISNUMBER(MATCH($O1971,Lists!$A:$A,0)),"EU","3RD")))</f>
        <v/>
      </c>
      <c r="Q1971" s="24" t="str">
        <f aca="false">IF($F1971="","N",IFERROR(IF(INDEX(Counterparties!$E:$E,MATCH($F1971&amp;"",Counterparties!$A:$A,0))="Y","Y","N"),"N"))</f>
        <v>N</v>
      </c>
      <c r="R1971" s="25" t="n">
        <f aca="false">IF(OR($H1971="",$H1971="EUR"),1,IFERROR(INDEX(FX_Rates!$D:$D,MATCH($H1971,FX_Rates!$A:$A,0)),""))</f>
        <v>1</v>
      </c>
      <c r="S1971" s="26" t="str">
        <f aca="false">IF(AND($I1971="",$J1971=""),"",IF($J1971&lt;&gt;"",$J1971,IF(OR($R1971="",$R1971=0),"",ROUND($I1971/$R1971,2))))</f>
        <v/>
      </c>
      <c r="T1971" s="24" t="str">
        <f aca="false">IF($N1971="","",IFERROR(INDEX(VAT_Codes!$C:$C,MATCH($N1971,VAT_Codes!$A:$A,0)),"")&amp;"")</f>
        <v/>
      </c>
      <c r="U1971" s="26" t="n">
        <f aca="false">IF(OR($S1971="",$T1971="",$T1971="None"),0,IF($T1971="Output",-$S1971,$S1971))</f>
        <v>0</v>
      </c>
      <c r="V1971" s="27" t="n">
        <f aca="false">IF($N1971="",0,IFERROR(INDEX(VAT_Codes!$D:$D,MATCH($N1971,VAT_Codes!$A:$A,0)),0))</f>
        <v>0</v>
      </c>
      <c r="W1971" s="26" t="n">
        <f aca="false">IF($U1971=0,0,IF(IFERROR(INDEX(VAT_Codes!$F:$F,MATCH($N1971,VAT_Codes!$A:$A,0)),"N")="Y",$U1971,IF($L1971&lt;&gt;"",ROUND(ABS($L1971)/IF(OR($R1971="",$R1971=0),1,$R1971),2)*SIGN($U1971),ROUND($U1971*$V1971,2))))</f>
        <v>0</v>
      </c>
      <c r="X1971" s="24" t="str">
        <f aca="false">IF($N1971="","",IFERROR(INDEX(VAT_Codes!$H:$H,MATCH($N1971,VAT_Codes!$A:$A,0)),"")&amp;"")</f>
        <v/>
      </c>
      <c r="Y1971" s="24" t="str">
        <f aca="false">IF($A1971="","",(YEAR($A1971)-YEAR(Settings!$C$8))*12+MONTH($A1971)-MONTH(Settings!$C$8)+1)</f>
        <v/>
      </c>
      <c r="Z1971" s="24" t="str">
        <f aca="false">IF(AND($C1971="",$I1971="",$J1971=""),"",IF($N1971="","NO VAT CODE",IF($T1971="","UNKNOWN VAT CODE",IF($S1971="","MISSING FX RATE",IF(OR($A1971&lt;Settings!$C$8,$A1971&gt;Settings!$C$9),"OUTSIDE PERIOD",IF(AND(IFERROR(INDEX(VAT_Codes!$E:$E,MATCH($N1971,VAT_Codes!$A:$A,0)),"ANY")&lt;&gt;"ANY",$P1971=""),"MISSING COUNTERPARTY COUNTRY",IF(AND(IFERROR(INDEX(VAT_Codes!$E:$E,MATCH($N1971,VAT_Codes!$A:$A,0)),"ANY")&lt;&gt;"ANY",$P1971&lt;&gt;IFERROR(INDEX(VAT_Codes!$E:$E,MATCH($N1971,VAT_Codes!$A:$A,0)),"ANY")),"REGION MISMATCH","OK")))))))</f>
        <v/>
      </c>
    </row>
    <row r="1972" customFormat="false" ht="15" hidden="false" customHeight="false" outlineLevel="0" collapsed="false">
      <c r="M1972" s="24" t="str">
        <f aca="false">IF($C1972="","",IFERROR(INDEX(Account_Mapping!$C:$C,MATCH($C1972&amp;"",Account_Mapping!$A:$A,0))&amp;"",""))</f>
        <v/>
      </c>
      <c r="N1972" s="24" t="str">
        <f aca="false">IF($K1972&lt;&gt;"",$K1972,$M1972)</f>
        <v/>
      </c>
      <c r="O1972" s="24" t="str">
        <f aca="false">IF($F1972="","",IFERROR(INDEX(Counterparties!$C:$C,MATCH($F1972&amp;"",Counterparties!$A:$A,0))&amp;"",""))</f>
        <v/>
      </c>
      <c r="P1972" s="24" t="str">
        <f aca="false">IF($O1972="","",IF($O1972="CY","CY",IF(ISNUMBER(MATCH($O1972,Lists!$A:$A,0)),"EU","3RD")))</f>
        <v/>
      </c>
      <c r="Q1972" s="24" t="str">
        <f aca="false">IF($F1972="","N",IFERROR(IF(INDEX(Counterparties!$E:$E,MATCH($F1972&amp;"",Counterparties!$A:$A,0))="Y","Y","N"),"N"))</f>
        <v>N</v>
      </c>
      <c r="R1972" s="25" t="n">
        <f aca="false">IF(OR($H1972="",$H1972="EUR"),1,IFERROR(INDEX(FX_Rates!$D:$D,MATCH($H1972,FX_Rates!$A:$A,0)),""))</f>
        <v>1</v>
      </c>
      <c r="S1972" s="26" t="str">
        <f aca="false">IF(AND($I1972="",$J1972=""),"",IF($J1972&lt;&gt;"",$J1972,IF(OR($R1972="",$R1972=0),"",ROUND($I1972/$R1972,2))))</f>
        <v/>
      </c>
      <c r="T1972" s="24" t="str">
        <f aca="false">IF($N1972="","",IFERROR(INDEX(VAT_Codes!$C:$C,MATCH($N1972,VAT_Codes!$A:$A,0)),"")&amp;"")</f>
        <v/>
      </c>
      <c r="U1972" s="26" t="n">
        <f aca="false">IF(OR($S1972="",$T1972="",$T1972="None"),0,IF($T1972="Output",-$S1972,$S1972))</f>
        <v>0</v>
      </c>
      <c r="V1972" s="27" t="n">
        <f aca="false">IF($N1972="",0,IFERROR(INDEX(VAT_Codes!$D:$D,MATCH($N1972,VAT_Codes!$A:$A,0)),0))</f>
        <v>0</v>
      </c>
      <c r="W1972" s="26" t="n">
        <f aca="false">IF($U1972=0,0,IF(IFERROR(INDEX(VAT_Codes!$F:$F,MATCH($N1972,VAT_Codes!$A:$A,0)),"N")="Y",$U1972,IF($L1972&lt;&gt;"",ROUND(ABS($L1972)/IF(OR($R1972="",$R1972=0),1,$R1972),2)*SIGN($U1972),ROUND($U1972*$V1972,2))))</f>
        <v>0</v>
      </c>
      <c r="X1972" s="24" t="str">
        <f aca="false">IF($N1972="","",IFERROR(INDEX(VAT_Codes!$H:$H,MATCH($N1972,VAT_Codes!$A:$A,0)),"")&amp;"")</f>
        <v/>
      </c>
      <c r="Y1972" s="24" t="str">
        <f aca="false">IF($A1972="","",(YEAR($A1972)-YEAR(Settings!$C$8))*12+MONTH($A1972)-MONTH(Settings!$C$8)+1)</f>
        <v/>
      </c>
      <c r="Z1972" s="24" t="str">
        <f aca="false">IF(AND($C1972="",$I1972="",$J1972=""),"",IF($N1972="","NO VAT CODE",IF($T1972="","UNKNOWN VAT CODE",IF($S1972="","MISSING FX RATE",IF(OR($A1972&lt;Settings!$C$8,$A1972&gt;Settings!$C$9),"OUTSIDE PERIOD",IF(AND(IFERROR(INDEX(VAT_Codes!$E:$E,MATCH($N1972,VAT_Codes!$A:$A,0)),"ANY")&lt;&gt;"ANY",$P1972=""),"MISSING COUNTERPARTY COUNTRY",IF(AND(IFERROR(INDEX(VAT_Codes!$E:$E,MATCH($N1972,VAT_Codes!$A:$A,0)),"ANY")&lt;&gt;"ANY",$P1972&lt;&gt;IFERROR(INDEX(VAT_Codes!$E:$E,MATCH($N1972,VAT_Codes!$A:$A,0)),"ANY")),"REGION MISMATCH","OK")))))))</f>
        <v/>
      </c>
    </row>
    <row r="1973" customFormat="false" ht="15" hidden="false" customHeight="false" outlineLevel="0" collapsed="false">
      <c r="M1973" s="24" t="str">
        <f aca="false">IF($C1973="","",IFERROR(INDEX(Account_Mapping!$C:$C,MATCH($C1973&amp;"",Account_Mapping!$A:$A,0))&amp;"",""))</f>
        <v/>
      </c>
      <c r="N1973" s="24" t="str">
        <f aca="false">IF($K1973&lt;&gt;"",$K1973,$M1973)</f>
        <v/>
      </c>
      <c r="O1973" s="24" t="str">
        <f aca="false">IF($F1973="","",IFERROR(INDEX(Counterparties!$C:$C,MATCH($F1973&amp;"",Counterparties!$A:$A,0))&amp;"",""))</f>
        <v/>
      </c>
      <c r="P1973" s="24" t="str">
        <f aca="false">IF($O1973="","",IF($O1973="CY","CY",IF(ISNUMBER(MATCH($O1973,Lists!$A:$A,0)),"EU","3RD")))</f>
        <v/>
      </c>
      <c r="Q1973" s="24" t="str">
        <f aca="false">IF($F1973="","N",IFERROR(IF(INDEX(Counterparties!$E:$E,MATCH($F1973&amp;"",Counterparties!$A:$A,0))="Y","Y","N"),"N"))</f>
        <v>N</v>
      </c>
      <c r="R1973" s="25" t="n">
        <f aca="false">IF(OR($H1973="",$H1973="EUR"),1,IFERROR(INDEX(FX_Rates!$D:$D,MATCH($H1973,FX_Rates!$A:$A,0)),""))</f>
        <v>1</v>
      </c>
      <c r="S1973" s="26" t="str">
        <f aca="false">IF(AND($I1973="",$J1973=""),"",IF($J1973&lt;&gt;"",$J1973,IF(OR($R1973="",$R1973=0),"",ROUND($I1973/$R1973,2))))</f>
        <v/>
      </c>
      <c r="T1973" s="24" t="str">
        <f aca="false">IF($N1973="","",IFERROR(INDEX(VAT_Codes!$C:$C,MATCH($N1973,VAT_Codes!$A:$A,0)),"")&amp;"")</f>
        <v/>
      </c>
      <c r="U1973" s="26" t="n">
        <f aca="false">IF(OR($S1973="",$T1973="",$T1973="None"),0,IF($T1973="Output",-$S1973,$S1973))</f>
        <v>0</v>
      </c>
      <c r="V1973" s="27" t="n">
        <f aca="false">IF($N1973="",0,IFERROR(INDEX(VAT_Codes!$D:$D,MATCH($N1973,VAT_Codes!$A:$A,0)),0))</f>
        <v>0</v>
      </c>
      <c r="W1973" s="26" t="n">
        <f aca="false">IF($U1973=0,0,IF(IFERROR(INDEX(VAT_Codes!$F:$F,MATCH($N1973,VAT_Codes!$A:$A,0)),"N")="Y",$U1973,IF($L1973&lt;&gt;"",ROUND(ABS($L1973)/IF(OR($R1973="",$R1973=0),1,$R1973),2)*SIGN($U1973),ROUND($U1973*$V1973,2))))</f>
        <v>0</v>
      </c>
      <c r="X1973" s="24" t="str">
        <f aca="false">IF($N1973="","",IFERROR(INDEX(VAT_Codes!$H:$H,MATCH($N1973,VAT_Codes!$A:$A,0)),"")&amp;"")</f>
        <v/>
      </c>
      <c r="Y1973" s="24" t="str">
        <f aca="false">IF($A1973="","",(YEAR($A1973)-YEAR(Settings!$C$8))*12+MONTH($A1973)-MONTH(Settings!$C$8)+1)</f>
        <v/>
      </c>
      <c r="Z1973" s="24" t="str">
        <f aca="false">IF(AND($C1973="",$I1973="",$J1973=""),"",IF($N1973="","NO VAT CODE",IF($T1973="","UNKNOWN VAT CODE",IF($S1973="","MISSING FX RATE",IF(OR($A1973&lt;Settings!$C$8,$A1973&gt;Settings!$C$9),"OUTSIDE PERIOD",IF(AND(IFERROR(INDEX(VAT_Codes!$E:$E,MATCH($N1973,VAT_Codes!$A:$A,0)),"ANY")&lt;&gt;"ANY",$P1973=""),"MISSING COUNTERPARTY COUNTRY",IF(AND(IFERROR(INDEX(VAT_Codes!$E:$E,MATCH($N1973,VAT_Codes!$A:$A,0)),"ANY")&lt;&gt;"ANY",$P1973&lt;&gt;IFERROR(INDEX(VAT_Codes!$E:$E,MATCH($N1973,VAT_Codes!$A:$A,0)),"ANY")),"REGION MISMATCH","OK")))))))</f>
        <v/>
      </c>
    </row>
    <row r="1974" customFormat="false" ht="15" hidden="false" customHeight="false" outlineLevel="0" collapsed="false">
      <c r="M1974" s="24" t="str">
        <f aca="false">IF($C1974="","",IFERROR(INDEX(Account_Mapping!$C:$C,MATCH($C1974&amp;"",Account_Mapping!$A:$A,0))&amp;"",""))</f>
        <v/>
      </c>
      <c r="N1974" s="24" t="str">
        <f aca="false">IF($K1974&lt;&gt;"",$K1974,$M1974)</f>
        <v/>
      </c>
      <c r="O1974" s="24" t="str">
        <f aca="false">IF($F1974="","",IFERROR(INDEX(Counterparties!$C:$C,MATCH($F1974&amp;"",Counterparties!$A:$A,0))&amp;"",""))</f>
        <v/>
      </c>
      <c r="P1974" s="24" t="str">
        <f aca="false">IF($O1974="","",IF($O1974="CY","CY",IF(ISNUMBER(MATCH($O1974,Lists!$A:$A,0)),"EU","3RD")))</f>
        <v/>
      </c>
      <c r="Q1974" s="24" t="str">
        <f aca="false">IF($F1974="","N",IFERROR(IF(INDEX(Counterparties!$E:$E,MATCH($F1974&amp;"",Counterparties!$A:$A,0))="Y","Y","N"),"N"))</f>
        <v>N</v>
      </c>
      <c r="R1974" s="25" t="n">
        <f aca="false">IF(OR($H1974="",$H1974="EUR"),1,IFERROR(INDEX(FX_Rates!$D:$D,MATCH($H1974,FX_Rates!$A:$A,0)),""))</f>
        <v>1</v>
      </c>
      <c r="S1974" s="26" t="str">
        <f aca="false">IF(AND($I1974="",$J1974=""),"",IF($J1974&lt;&gt;"",$J1974,IF(OR($R1974="",$R1974=0),"",ROUND($I1974/$R1974,2))))</f>
        <v/>
      </c>
      <c r="T1974" s="24" t="str">
        <f aca="false">IF($N1974="","",IFERROR(INDEX(VAT_Codes!$C:$C,MATCH($N1974,VAT_Codes!$A:$A,0)),"")&amp;"")</f>
        <v/>
      </c>
      <c r="U1974" s="26" t="n">
        <f aca="false">IF(OR($S1974="",$T1974="",$T1974="None"),0,IF($T1974="Output",-$S1974,$S1974))</f>
        <v>0</v>
      </c>
      <c r="V1974" s="27" t="n">
        <f aca="false">IF($N1974="",0,IFERROR(INDEX(VAT_Codes!$D:$D,MATCH($N1974,VAT_Codes!$A:$A,0)),0))</f>
        <v>0</v>
      </c>
      <c r="W1974" s="26" t="n">
        <f aca="false">IF($U1974=0,0,IF(IFERROR(INDEX(VAT_Codes!$F:$F,MATCH($N1974,VAT_Codes!$A:$A,0)),"N")="Y",$U1974,IF($L1974&lt;&gt;"",ROUND(ABS($L1974)/IF(OR($R1974="",$R1974=0),1,$R1974),2)*SIGN($U1974),ROUND($U1974*$V1974,2))))</f>
        <v>0</v>
      </c>
      <c r="X1974" s="24" t="str">
        <f aca="false">IF($N1974="","",IFERROR(INDEX(VAT_Codes!$H:$H,MATCH($N1974,VAT_Codes!$A:$A,0)),"")&amp;"")</f>
        <v/>
      </c>
      <c r="Y1974" s="24" t="str">
        <f aca="false">IF($A1974="","",(YEAR($A1974)-YEAR(Settings!$C$8))*12+MONTH($A1974)-MONTH(Settings!$C$8)+1)</f>
        <v/>
      </c>
      <c r="Z1974" s="24" t="str">
        <f aca="false">IF(AND($C1974="",$I1974="",$J1974=""),"",IF($N1974="","NO VAT CODE",IF($T1974="","UNKNOWN VAT CODE",IF($S1974="","MISSING FX RATE",IF(OR($A1974&lt;Settings!$C$8,$A1974&gt;Settings!$C$9),"OUTSIDE PERIOD",IF(AND(IFERROR(INDEX(VAT_Codes!$E:$E,MATCH($N1974,VAT_Codes!$A:$A,0)),"ANY")&lt;&gt;"ANY",$P1974=""),"MISSING COUNTERPARTY COUNTRY",IF(AND(IFERROR(INDEX(VAT_Codes!$E:$E,MATCH($N1974,VAT_Codes!$A:$A,0)),"ANY")&lt;&gt;"ANY",$P1974&lt;&gt;IFERROR(INDEX(VAT_Codes!$E:$E,MATCH($N1974,VAT_Codes!$A:$A,0)),"ANY")),"REGION MISMATCH","OK")))))))</f>
        <v/>
      </c>
    </row>
    <row r="1975" customFormat="false" ht="15" hidden="false" customHeight="false" outlineLevel="0" collapsed="false">
      <c r="M1975" s="24" t="str">
        <f aca="false">IF($C1975="","",IFERROR(INDEX(Account_Mapping!$C:$C,MATCH($C1975&amp;"",Account_Mapping!$A:$A,0))&amp;"",""))</f>
        <v/>
      </c>
      <c r="N1975" s="24" t="str">
        <f aca="false">IF($K1975&lt;&gt;"",$K1975,$M1975)</f>
        <v/>
      </c>
      <c r="O1975" s="24" t="str">
        <f aca="false">IF($F1975="","",IFERROR(INDEX(Counterparties!$C:$C,MATCH($F1975&amp;"",Counterparties!$A:$A,0))&amp;"",""))</f>
        <v/>
      </c>
      <c r="P1975" s="24" t="str">
        <f aca="false">IF($O1975="","",IF($O1975="CY","CY",IF(ISNUMBER(MATCH($O1975,Lists!$A:$A,0)),"EU","3RD")))</f>
        <v/>
      </c>
      <c r="Q1975" s="24" t="str">
        <f aca="false">IF($F1975="","N",IFERROR(IF(INDEX(Counterparties!$E:$E,MATCH($F1975&amp;"",Counterparties!$A:$A,0))="Y","Y","N"),"N"))</f>
        <v>N</v>
      </c>
      <c r="R1975" s="25" t="n">
        <f aca="false">IF(OR($H1975="",$H1975="EUR"),1,IFERROR(INDEX(FX_Rates!$D:$D,MATCH($H1975,FX_Rates!$A:$A,0)),""))</f>
        <v>1</v>
      </c>
      <c r="S1975" s="26" t="str">
        <f aca="false">IF(AND($I1975="",$J1975=""),"",IF($J1975&lt;&gt;"",$J1975,IF(OR($R1975="",$R1975=0),"",ROUND($I1975/$R1975,2))))</f>
        <v/>
      </c>
      <c r="T1975" s="24" t="str">
        <f aca="false">IF($N1975="","",IFERROR(INDEX(VAT_Codes!$C:$C,MATCH($N1975,VAT_Codes!$A:$A,0)),"")&amp;"")</f>
        <v/>
      </c>
      <c r="U1975" s="26" t="n">
        <f aca="false">IF(OR($S1975="",$T1975="",$T1975="None"),0,IF($T1975="Output",-$S1975,$S1975))</f>
        <v>0</v>
      </c>
      <c r="V1975" s="27" t="n">
        <f aca="false">IF($N1975="",0,IFERROR(INDEX(VAT_Codes!$D:$D,MATCH($N1975,VAT_Codes!$A:$A,0)),0))</f>
        <v>0</v>
      </c>
      <c r="W1975" s="26" t="n">
        <f aca="false">IF($U1975=0,0,IF(IFERROR(INDEX(VAT_Codes!$F:$F,MATCH($N1975,VAT_Codes!$A:$A,0)),"N")="Y",$U1975,IF($L1975&lt;&gt;"",ROUND(ABS($L1975)/IF(OR($R1975="",$R1975=0),1,$R1975),2)*SIGN($U1975),ROUND($U1975*$V1975,2))))</f>
        <v>0</v>
      </c>
      <c r="X1975" s="24" t="str">
        <f aca="false">IF($N1975="","",IFERROR(INDEX(VAT_Codes!$H:$H,MATCH($N1975,VAT_Codes!$A:$A,0)),"")&amp;"")</f>
        <v/>
      </c>
      <c r="Y1975" s="24" t="str">
        <f aca="false">IF($A1975="","",(YEAR($A1975)-YEAR(Settings!$C$8))*12+MONTH($A1975)-MONTH(Settings!$C$8)+1)</f>
        <v/>
      </c>
      <c r="Z1975" s="24" t="str">
        <f aca="false">IF(AND($C1975="",$I1975="",$J1975=""),"",IF($N1975="","NO VAT CODE",IF($T1975="","UNKNOWN VAT CODE",IF($S1975="","MISSING FX RATE",IF(OR($A1975&lt;Settings!$C$8,$A1975&gt;Settings!$C$9),"OUTSIDE PERIOD",IF(AND(IFERROR(INDEX(VAT_Codes!$E:$E,MATCH($N1975,VAT_Codes!$A:$A,0)),"ANY")&lt;&gt;"ANY",$P1975=""),"MISSING COUNTERPARTY COUNTRY",IF(AND(IFERROR(INDEX(VAT_Codes!$E:$E,MATCH($N1975,VAT_Codes!$A:$A,0)),"ANY")&lt;&gt;"ANY",$P1975&lt;&gt;IFERROR(INDEX(VAT_Codes!$E:$E,MATCH($N1975,VAT_Codes!$A:$A,0)),"ANY")),"REGION MISMATCH","OK")))))))</f>
        <v/>
      </c>
    </row>
    <row r="1976" customFormat="false" ht="15" hidden="false" customHeight="false" outlineLevel="0" collapsed="false">
      <c r="M1976" s="24" t="str">
        <f aca="false">IF($C1976="","",IFERROR(INDEX(Account_Mapping!$C:$C,MATCH($C1976&amp;"",Account_Mapping!$A:$A,0))&amp;"",""))</f>
        <v/>
      </c>
      <c r="N1976" s="24" t="str">
        <f aca="false">IF($K1976&lt;&gt;"",$K1976,$M1976)</f>
        <v/>
      </c>
      <c r="O1976" s="24" t="str">
        <f aca="false">IF($F1976="","",IFERROR(INDEX(Counterparties!$C:$C,MATCH($F1976&amp;"",Counterparties!$A:$A,0))&amp;"",""))</f>
        <v/>
      </c>
      <c r="P1976" s="24" t="str">
        <f aca="false">IF($O1976="","",IF($O1976="CY","CY",IF(ISNUMBER(MATCH($O1976,Lists!$A:$A,0)),"EU","3RD")))</f>
        <v/>
      </c>
      <c r="Q1976" s="24" t="str">
        <f aca="false">IF($F1976="","N",IFERROR(IF(INDEX(Counterparties!$E:$E,MATCH($F1976&amp;"",Counterparties!$A:$A,0))="Y","Y","N"),"N"))</f>
        <v>N</v>
      </c>
      <c r="R1976" s="25" t="n">
        <f aca="false">IF(OR($H1976="",$H1976="EUR"),1,IFERROR(INDEX(FX_Rates!$D:$D,MATCH($H1976,FX_Rates!$A:$A,0)),""))</f>
        <v>1</v>
      </c>
      <c r="S1976" s="26" t="str">
        <f aca="false">IF(AND($I1976="",$J1976=""),"",IF($J1976&lt;&gt;"",$J1976,IF(OR($R1976="",$R1976=0),"",ROUND($I1976/$R1976,2))))</f>
        <v/>
      </c>
      <c r="T1976" s="24" t="str">
        <f aca="false">IF($N1976="","",IFERROR(INDEX(VAT_Codes!$C:$C,MATCH($N1976,VAT_Codes!$A:$A,0)),"")&amp;"")</f>
        <v/>
      </c>
      <c r="U1976" s="26" t="n">
        <f aca="false">IF(OR($S1976="",$T1976="",$T1976="None"),0,IF($T1976="Output",-$S1976,$S1976))</f>
        <v>0</v>
      </c>
      <c r="V1976" s="27" t="n">
        <f aca="false">IF($N1976="",0,IFERROR(INDEX(VAT_Codes!$D:$D,MATCH($N1976,VAT_Codes!$A:$A,0)),0))</f>
        <v>0</v>
      </c>
      <c r="W1976" s="26" t="n">
        <f aca="false">IF($U1976=0,0,IF(IFERROR(INDEX(VAT_Codes!$F:$F,MATCH($N1976,VAT_Codes!$A:$A,0)),"N")="Y",$U1976,IF($L1976&lt;&gt;"",ROUND(ABS($L1976)/IF(OR($R1976="",$R1976=0),1,$R1976),2)*SIGN($U1976),ROUND($U1976*$V1976,2))))</f>
        <v>0</v>
      </c>
      <c r="X1976" s="24" t="str">
        <f aca="false">IF($N1976="","",IFERROR(INDEX(VAT_Codes!$H:$H,MATCH($N1976,VAT_Codes!$A:$A,0)),"")&amp;"")</f>
        <v/>
      </c>
      <c r="Y1976" s="24" t="str">
        <f aca="false">IF($A1976="","",(YEAR($A1976)-YEAR(Settings!$C$8))*12+MONTH($A1976)-MONTH(Settings!$C$8)+1)</f>
        <v/>
      </c>
      <c r="Z1976" s="24" t="str">
        <f aca="false">IF(AND($C1976="",$I1976="",$J1976=""),"",IF($N1976="","NO VAT CODE",IF($T1976="","UNKNOWN VAT CODE",IF($S1976="","MISSING FX RATE",IF(OR($A1976&lt;Settings!$C$8,$A1976&gt;Settings!$C$9),"OUTSIDE PERIOD",IF(AND(IFERROR(INDEX(VAT_Codes!$E:$E,MATCH($N1976,VAT_Codes!$A:$A,0)),"ANY")&lt;&gt;"ANY",$P1976=""),"MISSING COUNTERPARTY COUNTRY",IF(AND(IFERROR(INDEX(VAT_Codes!$E:$E,MATCH($N1976,VAT_Codes!$A:$A,0)),"ANY")&lt;&gt;"ANY",$P1976&lt;&gt;IFERROR(INDEX(VAT_Codes!$E:$E,MATCH($N1976,VAT_Codes!$A:$A,0)),"ANY")),"REGION MISMATCH","OK")))))))</f>
        <v/>
      </c>
    </row>
    <row r="1977" customFormat="false" ht="15" hidden="false" customHeight="false" outlineLevel="0" collapsed="false">
      <c r="M1977" s="24" t="str">
        <f aca="false">IF($C1977="","",IFERROR(INDEX(Account_Mapping!$C:$C,MATCH($C1977&amp;"",Account_Mapping!$A:$A,0))&amp;"",""))</f>
        <v/>
      </c>
      <c r="N1977" s="24" t="str">
        <f aca="false">IF($K1977&lt;&gt;"",$K1977,$M1977)</f>
        <v/>
      </c>
      <c r="O1977" s="24" t="str">
        <f aca="false">IF($F1977="","",IFERROR(INDEX(Counterparties!$C:$C,MATCH($F1977&amp;"",Counterparties!$A:$A,0))&amp;"",""))</f>
        <v/>
      </c>
      <c r="P1977" s="24" t="str">
        <f aca="false">IF($O1977="","",IF($O1977="CY","CY",IF(ISNUMBER(MATCH($O1977,Lists!$A:$A,0)),"EU","3RD")))</f>
        <v/>
      </c>
      <c r="Q1977" s="24" t="str">
        <f aca="false">IF($F1977="","N",IFERROR(IF(INDEX(Counterparties!$E:$E,MATCH($F1977&amp;"",Counterparties!$A:$A,0))="Y","Y","N"),"N"))</f>
        <v>N</v>
      </c>
      <c r="R1977" s="25" t="n">
        <f aca="false">IF(OR($H1977="",$H1977="EUR"),1,IFERROR(INDEX(FX_Rates!$D:$D,MATCH($H1977,FX_Rates!$A:$A,0)),""))</f>
        <v>1</v>
      </c>
      <c r="S1977" s="26" t="str">
        <f aca="false">IF(AND($I1977="",$J1977=""),"",IF($J1977&lt;&gt;"",$J1977,IF(OR($R1977="",$R1977=0),"",ROUND($I1977/$R1977,2))))</f>
        <v/>
      </c>
      <c r="T1977" s="24" t="str">
        <f aca="false">IF($N1977="","",IFERROR(INDEX(VAT_Codes!$C:$C,MATCH($N1977,VAT_Codes!$A:$A,0)),"")&amp;"")</f>
        <v/>
      </c>
      <c r="U1977" s="26" t="n">
        <f aca="false">IF(OR($S1977="",$T1977="",$T1977="None"),0,IF($T1977="Output",-$S1977,$S1977))</f>
        <v>0</v>
      </c>
      <c r="V1977" s="27" t="n">
        <f aca="false">IF($N1977="",0,IFERROR(INDEX(VAT_Codes!$D:$D,MATCH($N1977,VAT_Codes!$A:$A,0)),0))</f>
        <v>0</v>
      </c>
      <c r="W1977" s="26" t="n">
        <f aca="false">IF($U1977=0,0,IF(IFERROR(INDEX(VAT_Codes!$F:$F,MATCH($N1977,VAT_Codes!$A:$A,0)),"N")="Y",$U1977,IF($L1977&lt;&gt;"",ROUND(ABS($L1977)/IF(OR($R1977="",$R1977=0),1,$R1977),2)*SIGN($U1977),ROUND($U1977*$V1977,2))))</f>
        <v>0</v>
      </c>
      <c r="X1977" s="24" t="str">
        <f aca="false">IF($N1977="","",IFERROR(INDEX(VAT_Codes!$H:$H,MATCH($N1977,VAT_Codes!$A:$A,0)),"")&amp;"")</f>
        <v/>
      </c>
      <c r="Y1977" s="24" t="str">
        <f aca="false">IF($A1977="","",(YEAR($A1977)-YEAR(Settings!$C$8))*12+MONTH($A1977)-MONTH(Settings!$C$8)+1)</f>
        <v/>
      </c>
      <c r="Z1977" s="24" t="str">
        <f aca="false">IF(AND($C1977="",$I1977="",$J1977=""),"",IF($N1977="","NO VAT CODE",IF($T1977="","UNKNOWN VAT CODE",IF($S1977="","MISSING FX RATE",IF(OR($A1977&lt;Settings!$C$8,$A1977&gt;Settings!$C$9),"OUTSIDE PERIOD",IF(AND(IFERROR(INDEX(VAT_Codes!$E:$E,MATCH($N1977,VAT_Codes!$A:$A,0)),"ANY")&lt;&gt;"ANY",$P1977=""),"MISSING COUNTERPARTY COUNTRY",IF(AND(IFERROR(INDEX(VAT_Codes!$E:$E,MATCH($N1977,VAT_Codes!$A:$A,0)),"ANY")&lt;&gt;"ANY",$P1977&lt;&gt;IFERROR(INDEX(VAT_Codes!$E:$E,MATCH($N1977,VAT_Codes!$A:$A,0)),"ANY")),"REGION MISMATCH","OK")))))))</f>
        <v/>
      </c>
    </row>
    <row r="1978" customFormat="false" ht="15" hidden="false" customHeight="false" outlineLevel="0" collapsed="false">
      <c r="M1978" s="24" t="str">
        <f aca="false">IF($C1978="","",IFERROR(INDEX(Account_Mapping!$C:$C,MATCH($C1978&amp;"",Account_Mapping!$A:$A,0))&amp;"",""))</f>
        <v/>
      </c>
      <c r="N1978" s="24" t="str">
        <f aca="false">IF($K1978&lt;&gt;"",$K1978,$M1978)</f>
        <v/>
      </c>
      <c r="O1978" s="24" t="str">
        <f aca="false">IF($F1978="","",IFERROR(INDEX(Counterparties!$C:$C,MATCH($F1978&amp;"",Counterparties!$A:$A,0))&amp;"",""))</f>
        <v/>
      </c>
      <c r="P1978" s="24" t="str">
        <f aca="false">IF($O1978="","",IF($O1978="CY","CY",IF(ISNUMBER(MATCH($O1978,Lists!$A:$A,0)),"EU","3RD")))</f>
        <v/>
      </c>
      <c r="Q1978" s="24" t="str">
        <f aca="false">IF($F1978="","N",IFERROR(IF(INDEX(Counterparties!$E:$E,MATCH($F1978&amp;"",Counterparties!$A:$A,0))="Y","Y","N"),"N"))</f>
        <v>N</v>
      </c>
      <c r="R1978" s="25" t="n">
        <f aca="false">IF(OR($H1978="",$H1978="EUR"),1,IFERROR(INDEX(FX_Rates!$D:$D,MATCH($H1978,FX_Rates!$A:$A,0)),""))</f>
        <v>1</v>
      </c>
      <c r="S1978" s="26" t="str">
        <f aca="false">IF(AND($I1978="",$J1978=""),"",IF($J1978&lt;&gt;"",$J1978,IF(OR($R1978="",$R1978=0),"",ROUND($I1978/$R1978,2))))</f>
        <v/>
      </c>
      <c r="T1978" s="24" t="str">
        <f aca="false">IF($N1978="","",IFERROR(INDEX(VAT_Codes!$C:$C,MATCH($N1978,VAT_Codes!$A:$A,0)),"")&amp;"")</f>
        <v/>
      </c>
      <c r="U1978" s="26" t="n">
        <f aca="false">IF(OR($S1978="",$T1978="",$T1978="None"),0,IF($T1978="Output",-$S1978,$S1978))</f>
        <v>0</v>
      </c>
      <c r="V1978" s="27" t="n">
        <f aca="false">IF($N1978="",0,IFERROR(INDEX(VAT_Codes!$D:$D,MATCH($N1978,VAT_Codes!$A:$A,0)),0))</f>
        <v>0</v>
      </c>
      <c r="W1978" s="26" t="n">
        <f aca="false">IF($U1978=0,0,IF(IFERROR(INDEX(VAT_Codes!$F:$F,MATCH($N1978,VAT_Codes!$A:$A,0)),"N")="Y",$U1978,IF($L1978&lt;&gt;"",ROUND(ABS($L1978)/IF(OR($R1978="",$R1978=0),1,$R1978),2)*SIGN($U1978),ROUND($U1978*$V1978,2))))</f>
        <v>0</v>
      </c>
      <c r="X1978" s="24" t="str">
        <f aca="false">IF($N1978="","",IFERROR(INDEX(VAT_Codes!$H:$H,MATCH($N1978,VAT_Codes!$A:$A,0)),"")&amp;"")</f>
        <v/>
      </c>
      <c r="Y1978" s="24" t="str">
        <f aca="false">IF($A1978="","",(YEAR($A1978)-YEAR(Settings!$C$8))*12+MONTH($A1978)-MONTH(Settings!$C$8)+1)</f>
        <v/>
      </c>
      <c r="Z1978" s="24" t="str">
        <f aca="false">IF(AND($C1978="",$I1978="",$J1978=""),"",IF($N1978="","NO VAT CODE",IF($T1978="","UNKNOWN VAT CODE",IF($S1978="","MISSING FX RATE",IF(OR($A1978&lt;Settings!$C$8,$A1978&gt;Settings!$C$9),"OUTSIDE PERIOD",IF(AND(IFERROR(INDEX(VAT_Codes!$E:$E,MATCH($N1978,VAT_Codes!$A:$A,0)),"ANY")&lt;&gt;"ANY",$P1978=""),"MISSING COUNTERPARTY COUNTRY",IF(AND(IFERROR(INDEX(VAT_Codes!$E:$E,MATCH($N1978,VAT_Codes!$A:$A,0)),"ANY")&lt;&gt;"ANY",$P1978&lt;&gt;IFERROR(INDEX(VAT_Codes!$E:$E,MATCH($N1978,VAT_Codes!$A:$A,0)),"ANY")),"REGION MISMATCH","OK")))))))</f>
        <v/>
      </c>
    </row>
    <row r="1979" customFormat="false" ht="15" hidden="false" customHeight="false" outlineLevel="0" collapsed="false">
      <c r="M1979" s="24" t="str">
        <f aca="false">IF($C1979="","",IFERROR(INDEX(Account_Mapping!$C:$C,MATCH($C1979&amp;"",Account_Mapping!$A:$A,0))&amp;"",""))</f>
        <v/>
      </c>
      <c r="N1979" s="24" t="str">
        <f aca="false">IF($K1979&lt;&gt;"",$K1979,$M1979)</f>
        <v/>
      </c>
      <c r="O1979" s="24" t="str">
        <f aca="false">IF($F1979="","",IFERROR(INDEX(Counterparties!$C:$C,MATCH($F1979&amp;"",Counterparties!$A:$A,0))&amp;"",""))</f>
        <v/>
      </c>
      <c r="P1979" s="24" t="str">
        <f aca="false">IF($O1979="","",IF($O1979="CY","CY",IF(ISNUMBER(MATCH($O1979,Lists!$A:$A,0)),"EU","3RD")))</f>
        <v/>
      </c>
      <c r="Q1979" s="24" t="str">
        <f aca="false">IF($F1979="","N",IFERROR(IF(INDEX(Counterparties!$E:$E,MATCH($F1979&amp;"",Counterparties!$A:$A,0))="Y","Y","N"),"N"))</f>
        <v>N</v>
      </c>
      <c r="R1979" s="25" t="n">
        <f aca="false">IF(OR($H1979="",$H1979="EUR"),1,IFERROR(INDEX(FX_Rates!$D:$D,MATCH($H1979,FX_Rates!$A:$A,0)),""))</f>
        <v>1</v>
      </c>
      <c r="S1979" s="26" t="str">
        <f aca="false">IF(AND($I1979="",$J1979=""),"",IF($J1979&lt;&gt;"",$J1979,IF(OR($R1979="",$R1979=0),"",ROUND($I1979/$R1979,2))))</f>
        <v/>
      </c>
      <c r="T1979" s="24" t="str">
        <f aca="false">IF($N1979="","",IFERROR(INDEX(VAT_Codes!$C:$C,MATCH($N1979,VAT_Codes!$A:$A,0)),"")&amp;"")</f>
        <v/>
      </c>
      <c r="U1979" s="26" t="n">
        <f aca="false">IF(OR($S1979="",$T1979="",$T1979="None"),0,IF($T1979="Output",-$S1979,$S1979))</f>
        <v>0</v>
      </c>
      <c r="V1979" s="27" t="n">
        <f aca="false">IF($N1979="",0,IFERROR(INDEX(VAT_Codes!$D:$D,MATCH($N1979,VAT_Codes!$A:$A,0)),0))</f>
        <v>0</v>
      </c>
      <c r="W1979" s="26" t="n">
        <f aca="false">IF($U1979=0,0,IF(IFERROR(INDEX(VAT_Codes!$F:$F,MATCH($N1979,VAT_Codes!$A:$A,0)),"N")="Y",$U1979,IF($L1979&lt;&gt;"",ROUND(ABS($L1979)/IF(OR($R1979="",$R1979=0),1,$R1979),2)*SIGN($U1979),ROUND($U1979*$V1979,2))))</f>
        <v>0</v>
      </c>
      <c r="X1979" s="24" t="str">
        <f aca="false">IF($N1979="","",IFERROR(INDEX(VAT_Codes!$H:$H,MATCH($N1979,VAT_Codes!$A:$A,0)),"")&amp;"")</f>
        <v/>
      </c>
      <c r="Y1979" s="24" t="str">
        <f aca="false">IF($A1979="","",(YEAR($A1979)-YEAR(Settings!$C$8))*12+MONTH($A1979)-MONTH(Settings!$C$8)+1)</f>
        <v/>
      </c>
      <c r="Z1979" s="24" t="str">
        <f aca="false">IF(AND($C1979="",$I1979="",$J1979=""),"",IF($N1979="","NO VAT CODE",IF($T1979="","UNKNOWN VAT CODE",IF($S1979="","MISSING FX RATE",IF(OR($A1979&lt;Settings!$C$8,$A1979&gt;Settings!$C$9),"OUTSIDE PERIOD",IF(AND(IFERROR(INDEX(VAT_Codes!$E:$E,MATCH($N1979,VAT_Codes!$A:$A,0)),"ANY")&lt;&gt;"ANY",$P1979=""),"MISSING COUNTERPARTY COUNTRY",IF(AND(IFERROR(INDEX(VAT_Codes!$E:$E,MATCH($N1979,VAT_Codes!$A:$A,0)),"ANY")&lt;&gt;"ANY",$P1979&lt;&gt;IFERROR(INDEX(VAT_Codes!$E:$E,MATCH($N1979,VAT_Codes!$A:$A,0)),"ANY")),"REGION MISMATCH","OK")))))))</f>
        <v/>
      </c>
    </row>
    <row r="1980" customFormat="false" ht="15" hidden="false" customHeight="false" outlineLevel="0" collapsed="false">
      <c r="M1980" s="24" t="str">
        <f aca="false">IF($C1980="","",IFERROR(INDEX(Account_Mapping!$C:$C,MATCH($C1980&amp;"",Account_Mapping!$A:$A,0))&amp;"",""))</f>
        <v/>
      </c>
      <c r="N1980" s="24" t="str">
        <f aca="false">IF($K1980&lt;&gt;"",$K1980,$M1980)</f>
        <v/>
      </c>
      <c r="O1980" s="24" t="str">
        <f aca="false">IF($F1980="","",IFERROR(INDEX(Counterparties!$C:$C,MATCH($F1980&amp;"",Counterparties!$A:$A,0))&amp;"",""))</f>
        <v/>
      </c>
      <c r="P1980" s="24" t="str">
        <f aca="false">IF($O1980="","",IF($O1980="CY","CY",IF(ISNUMBER(MATCH($O1980,Lists!$A:$A,0)),"EU","3RD")))</f>
        <v/>
      </c>
      <c r="Q1980" s="24" t="str">
        <f aca="false">IF($F1980="","N",IFERROR(IF(INDEX(Counterparties!$E:$E,MATCH($F1980&amp;"",Counterparties!$A:$A,0))="Y","Y","N"),"N"))</f>
        <v>N</v>
      </c>
      <c r="R1980" s="25" t="n">
        <f aca="false">IF(OR($H1980="",$H1980="EUR"),1,IFERROR(INDEX(FX_Rates!$D:$D,MATCH($H1980,FX_Rates!$A:$A,0)),""))</f>
        <v>1</v>
      </c>
      <c r="S1980" s="26" t="str">
        <f aca="false">IF(AND($I1980="",$J1980=""),"",IF($J1980&lt;&gt;"",$J1980,IF(OR($R1980="",$R1980=0),"",ROUND($I1980/$R1980,2))))</f>
        <v/>
      </c>
      <c r="T1980" s="24" t="str">
        <f aca="false">IF($N1980="","",IFERROR(INDEX(VAT_Codes!$C:$C,MATCH($N1980,VAT_Codes!$A:$A,0)),"")&amp;"")</f>
        <v/>
      </c>
      <c r="U1980" s="26" t="n">
        <f aca="false">IF(OR($S1980="",$T1980="",$T1980="None"),0,IF($T1980="Output",-$S1980,$S1980))</f>
        <v>0</v>
      </c>
      <c r="V1980" s="27" t="n">
        <f aca="false">IF($N1980="",0,IFERROR(INDEX(VAT_Codes!$D:$D,MATCH($N1980,VAT_Codes!$A:$A,0)),0))</f>
        <v>0</v>
      </c>
      <c r="W1980" s="26" t="n">
        <f aca="false">IF($U1980=0,0,IF(IFERROR(INDEX(VAT_Codes!$F:$F,MATCH($N1980,VAT_Codes!$A:$A,0)),"N")="Y",$U1980,IF($L1980&lt;&gt;"",ROUND(ABS($L1980)/IF(OR($R1980="",$R1980=0),1,$R1980),2)*SIGN($U1980),ROUND($U1980*$V1980,2))))</f>
        <v>0</v>
      </c>
      <c r="X1980" s="24" t="str">
        <f aca="false">IF($N1980="","",IFERROR(INDEX(VAT_Codes!$H:$H,MATCH($N1980,VAT_Codes!$A:$A,0)),"")&amp;"")</f>
        <v/>
      </c>
      <c r="Y1980" s="24" t="str">
        <f aca="false">IF($A1980="","",(YEAR($A1980)-YEAR(Settings!$C$8))*12+MONTH($A1980)-MONTH(Settings!$C$8)+1)</f>
        <v/>
      </c>
      <c r="Z1980" s="24" t="str">
        <f aca="false">IF(AND($C1980="",$I1980="",$J1980=""),"",IF($N1980="","NO VAT CODE",IF($T1980="","UNKNOWN VAT CODE",IF($S1980="","MISSING FX RATE",IF(OR($A1980&lt;Settings!$C$8,$A1980&gt;Settings!$C$9),"OUTSIDE PERIOD",IF(AND(IFERROR(INDEX(VAT_Codes!$E:$E,MATCH($N1980,VAT_Codes!$A:$A,0)),"ANY")&lt;&gt;"ANY",$P1980=""),"MISSING COUNTERPARTY COUNTRY",IF(AND(IFERROR(INDEX(VAT_Codes!$E:$E,MATCH($N1980,VAT_Codes!$A:$A,0)),"ANY")&lt;&gt;"ANY",$P1980&lt;&gt;IFERROR(INDEX(VAT_Codes!$E:$E,MATCH($N1980,VAT_Codes!$A:$A,0)),"ANY")),"REGION MISMATCH","OK")))))))</f>
        <v/>
      </c>
    </row>
    <row r="1981" customFormat="false" ht="15" hidden="false" customHeight="false" outlineLevel="0" collapsed="false">
      <c r="M1981" s="24" t="str">
        <f aca="false">IF($C1981="","",IFERROR(INDEX(Account_Mapping!$C:$C,MATCH($C1981&amp;"",Account_Mapping!$A:$A,0))&amp;"",""))</f>
        <v/>
      </c>
      <c r="N1981" s="24" t="str">
        <f aca="false">IF($K1981&lt;&gt;"",$K1981,$M1981)</f>
        <v/>
      </c>
      <c r="O1981" s="24" t="str">
        <f aca="false">IF($F1981="","",IFERROR(INDEX(Counterparties!$C:$C,MATCH($F1981&amp;"",Counterparties!$A:$A,0))&amp;"",""))</f>
        <v/>
      </c>
      <c r="P1981" s="24" t="str">
        <f aca="false">IF($O1981="","",IF($O1981="CY","CY",IF(ISNUMBER(MATCH($O1981,Lists!$A:$A,0)),"EU","3RD")))</f>
        <v/>
      </c>
      <c r="Q1981" s="24" t="str">
        <f aca="false">IF($F1981="","N",IFERROR(IF(INDEX(Counterparties!$E:$E,MATCH($F1981&amp;"",Counterparties!$A:$A,0))="Y","Y","N"),"N"))</f>
        <v>N</v>
      </c>
      <c r="R1981" s="25" t="n">
        <f aca="false">IF(OR($H1981="",$H1981="EUR"),1,IFERROR(INDEX(FX_Rates!$D:$D,MATCH($H1981,FX_Rates!$A:$A,0)),""))</f>
        <v>1</v>
      </c>
      <c r="S1981" s="26" t="str">
        <f aca="false">IF(AND($I1981="",$J1981=""),"",IF($J1981&lt;&gt;"",$J1981,IF(OR($R1981="",$R1981=0),"",ROUND($I1981/$R1981,2))))</f>
        <v/>
      </c>
      <c r="T1981" s="24" t="str">
        <f aca="false">IF($N1981="","",IFERROR(INDEX(VAT_Codes!$C:$C,MATCH($N1981,VAT_Codes!$A:$A,0)),"")&amp;"")</f>
        <v/>
      </c>
      <c r="U1981" s="26" t="n">
        <f aca="false">IF(OR($S1981="",$T1981="",$T1981="None"),0,IF($T1981="Output",-$S1981,$S1981))</f>
        <v>0</v>
      </c>
      <c r="V1981" s="27" t="n">
        <f aca="false">IF($N1981="",0,IFERROR(INDEX(VAT_Codes!$D:$D,MATCH($N1981,VAT_Codes!$A:$A,0)),0))</f>
        <v>0</v>
      </c>
      <c r="W1981" s="26" t="n">
        <f aca="false">IF($U1981=0,0,IF(IFERROR(INDEX(VAT_Codes!$F:$F,MATCH($N1981,VAT_Codes!$A:$A,0)),"N")="Y",$U1981,IF($L1981&lt;&gt;"",ROUND(ABS($L1981)/IF(OR($R1981="",$R1981=0),1,$R1981),2)*SIGN($U1981),ROUND($U1981*$V1981,2))))</f>
        <v>0</v>
      </c>
      <c r="X1981" s="24" t="str">
        <f aca="false">IF($N1981="","",IFERROR(INDEX(VAT_Codes!$H:$H,MATCH($N1981,VAT_Codes!$A:$A,0)),"")&amp;"")</f>
        <v/>
      </c>
      <c r="Y1981" s="24" t="str">
        <f aca="false">IF($A1981="","",(YEAR($A1981)-YEAR(Settings!$C$8))*12+MONTH($A1981)-MONTH(Settings!$C$8)+1)</f>
        <v/>
      </c>
      <c r="Z1981" s="24" t="str">
        <f aca="false">IF(AND($C1981="",$I1981="",$J1981=""),"",IF($N1981="","NO VAT CODE",IF($T1981="","UNKNOWN VAT CODE",IF($S1981="","MISSING FX RATE",IF(OR($A1981&lt;Settings!$C$8,$A1981&gt;Settings!$C$9),"OUTSIDE PERIOD",IF(AND(IFERROR(INDEX(VAT_Codes!$E:$E,MATCH($N1981,VAT_Codes!$A:$A,0)),"ANY")&lt;&gt;"ANY",$P1981=""),"MISSING COUNTERPARTY COUNTRY",IF(AND(IFERROR(INDEX(VAT_Codes!$E:$E,MATCH($N1981,VAT_Codes!$A:$A,0)),"ANY")&lt;&gt;"ANY",$P1981&lt;&gt;IFERROR(INDEX(VAT_Codes!$E:$E,MATCH($N1981,VAT_Codes!$A:$A,0)),"ANY")),"REGION MISMATCH","OK")))))))</f>
        <v/>
      </c>
    </row>
    <row r="1982" customFormat="false" ht="15" hidden="false" customHeight="false" outlineLevel="0" collapsed="false">
      <c r="M1982" s="24" t="str">
        <f aca="false">IF($C1982="","",IFERROR(INDEX(Account_Mapping!$C:$C,MATCH($C1982&amp;"",Account_Mapping!$A:$A,0))&amp;"",""))</f>
        <v/>
      </c>
      <c r="N1982" s="24" t="str">
        <f aca="false">IF($K1982&lt;&gt;"",$K1982,$M1982)</f>
        <v/>
      </c>
      <c r="O1982" s="24" t="str">
        <f aca="false">IF($F1982="","",IFERROR(INDEX(Counterparties!$C:$C,MATCH($F1982&amp;"",Counterparties!$A:$A,0))&amp;"",""))</f>
        <v/>
      </c>
      <c r="P1982" s="24" t="str">
        <f aca="false">IF($O1982="","",IF($O1982="CY","CY",IF(ISNUMBER(MATCH($O1982,Lists!$A:$A,0)),"EU","3RD")))</f>
        <v/>
      </c>
      <c r="Q1982" s="24" t="str">
        <f aca="false">IF($F1982="","N",IFERROR(IF(INDEX(Counterparties!$E:$E,MATCH($F1982&amp;"",Counterparties!$A:$A,0))="Y","Y","N"),"N"))</f>
        <v>N</v>
      </c>
      <c r="R1982" s="25" t="n">
        <f aca="false">IF(OR($H1982="",$H1982="EUR"),1,IFERROR(INDEX(FX_Rates!$D:$D,MATCH($H1982,FX_Rates!$A:$A,0)),""))</f>
        <v>1</v>
      </c>
      <c r="S1982" s="26" t="str">
        <f aca="false">IF(AND($I1982="",$J1982=""),"",IF($J1982&lt;&gt;"",$J1982,IF(OR($R1982="",$R1982=0),"",ROUND($I1982/$R1982,2))))</f>
        <v/>
      </c>
      <c r="T1982" s="24" t="str">
        <f aca="false">IF($N1982="","",IFERROR(INDEX(VAT_Codes!$C:$C,MATCH($N1982,VAT_Codes!$A:$A,0)),"")&amp;"")</f>
        <v/>
      </c>
      <c r="U1982" s="26" t="n">
        <f aca="false">IF(OR($S1982="",$T1982="",$T1982="None"),0,IF($T1982="Output",-$S1982,$S1982))</f>
        <v>0</v>
      </c>
      <c r="V1982" s="27" t="n">
        <f aca="false">IF($N1982="",0,IFERROR(INDEX(VAT_Codes!$D:$D,MATCH($N1982,VAT_Codes!$A:$A,0)),0))</f>
        <v>0</v>
      </c>
      <c r="W1982" s="26" t="n">
        <f aca="false">IF($U1982=0,0,IF(IFERROR(INDEX(VAT_Codes!$F:$F,MATCH($N1982,VAT_Codes!$A:$A,0)),"N")="Y",$U1982,IF($L1982&lt;&gt;"",ROUND(ABS($L1982)/IF(OR($R1982="",$R1982=0),1,$R1982),2)*SIGN($U1982),ROUND($U1982*$V1982,2))))</f>
        <v>0</v>
      </c>
      <c r="X1982" s="24" t="str">
        <f aca="false">IF($N1982="","",IFERROR(INDEX(VAT_Codes!$H:$H,MATCH($N1982,VAT_Codes!$A:$A,0)),"")&amp;"")</f>
        <v/>
      </c>
      <c r="Y1982" s="24" t="str">
        <f aca="false">IF($A1982="","",(YEAR($A1982)-YEAR(Settings!$C$8))*12+MONTH($A1982)-MONTH(Settings!$C$8)+1)</f>
        <v/>
      </c>
      <c r="Z1982" s="24" t="str">
        <f aca="false">IF(AND($C1982="",$I1982="",$J1982=""),"",IF($N1982="","NO VAT CODE",IF($T1982="","UNKNOWN VAT CODE",IF($S1982="","MISSING FX RATE",IF(OR($A1982&lt;Settings!$C$8,$A1982&gt;Settings!$C$9),"OUTSIDE PERIOD",IF(AND(IFERROR(INDEX(VAT_Codes!$E:$E,MATCH($N1982,VAT_Codes!$A:$A,0)),"ANY")&lt;&gt;"ANY",$P1982=""),"MISSING COUNTERPARTY COUNTRY",IF(AND(IFERROR(INDEX(VAT_Codes!$E:$E,MATCH($N1982,VAT_Codes!$A:$A,0)),"ANY")&lt;&gt;"ANY",$P1982&lt;&gt;IFERROR(INDEX(VAT_Codes!$E:$E,MATCH($N1982,VAT_Codes!$A:$A,0)),"ANY")),"REGION MISMATCH","OK")))))))</f>
        <v/>
      </c>
    </row>
    <row r="1983" customFormat="false" ht="15" hidden="false" customHeight="false" outlineLevel="0" collapsed="false">
      <c r="M1983" s="24" t="str">
        <f aca="false">IF($C1983="","",IFERROR(INDEX(Account_Mapping!$C:$C,MATCH($C1983&amp;"",Account_Mapping!$A:$A,0))&amp;"",""))</f>
        <v/>
      </c>
      <c r="N1983" s="24" t="str">
        <f aca="false">IF($K1983&lt;&gt;"",$K1983,$M1983)</f>
        <v/>
      </c>
      <c r="O1983" s="24" t="str">
        <f aca="false">IF($F1983="","",IFERROR(INDEX(Counterparties!$C:$C,MATCH($F1983&amp;"",Counterparties!$A:$A,0))&amp;"",""))</f>
        <v/>
      </c>
      <c r="P1983" s="24" t="str">
        <f aca="false">IF($O1983="","",IF($O1983="CY","CY",IF(ISNUMBER(MATCH($O1983,Lists!$A:$A,0)),"EU","3RD")))</f>
        <v/>
      </c>
      <c r="Q1983" s="24" t="str">
        <f aca="false">IF($F1983="","N",IFERROR(IF(INDEX(Counterparties!$E:$E,MATCH($F1983&amp;"",Counterparties!$A:$A,0))="Y","Y","N"),"N"))</f>
        <v>N</v>
      </c>
      <c r="R1983" s="25" t="n">
        <f aca="false">IF(OR($H1983="",$H1983="EUR"),1,IFERROR(INDEX(FX_Rates!$D:$D,MATCH($H1983,FX_Rates!$A:$A,0)),""))</f>
        <v>1</v>
      </c>
      <c r="S1983" s="26" t="str">
        <f aca="false">IF(AND($I1983="",$J1983=""),"",IF($J1983&lt;&gt;"",$J1983,IF(OR($R1983="",$R1983=0),"",ROUND($I1983/$R1983,2))))</f>
        <v/>
      </c>
      <c r="T1983" s="24" t="str">
        <f aca="false">IF($N1983="","",IFERROR(INDEX(VAT_Codes!$C:$C,MATCH($N1983,VAT_Codes!$A:$A,0)),"")&amp;"")</f>
        <v/>
      </c>
      <c r="U1983" s="26" t="n">
        <f aca="false">IF(OR($S1983="",$T1983="",$T1983="None"),0,IF($T1983="Output",-$S1983,$S1983))</f>
        <v>0</v>
      </c>
      <c r="V1983" s="27" t="n">
        <f aca="false">IF($N1983="",0,IFERROR(INDEX(VAT_Codes!$D:$D,MATCH($N1983,VAT_Codes!$A:$A,0)),0))</f>
        <v>0</v>
      </c>
      <c r="W1983" s="26" t="n">
        <f aca="false">IF($U1983=0,0,IF(IFERROR(INDEX(VAT_Codes!$F:$F,MATCH($N1983,VAT_Codes!$A:$A,0)),"N")="Y",$U1983,IF($L1983&lt;&gt;"",ROUND(ABS($L1983)/IF(OR($R1983="",$R1983=0),1,$R1983),2)*SIGN($U1983),ROUND($U1983*$V1983,2))))</f>
        <v>0</v>
      </c>
      <c r="X1983" s="24" t="str">
        <f aca="false">IF($N1983="","",IFERROR(INDEX(VAT_Codes!$H:$H,MATCH($N1983,VAT_Codes!$A:$A,0)),"")&amp;"")</f>
        <v/>
      </c>
      <c r="Y1983" s="24" t="str">
        <f aca="false">IF($A1983="","",(YEAR($A1983)-YEAR(Settings!$C$8))*12+MONTH($A1983)-MONTH(Settings!$C$8)+1)</f>
        <v/>
      </c>
      <c r="Z1983" s="24" t="str">
        <f aca="false">IF(AND($C1983="",$I1983="",$J1983=""),"",IF($N1983="","NO VAT CODE",IF($T1983="","UNKNOWN VAT CODE",IF($S1983="","MISSING FX RATE",IF(OR($A1983&lt;Settings!$C$8,$A1983&gt;Settings!$C$9),"OUTSIDE PERIOD",IF(AND(IFERROR(INDEX(VAT_Codes!$E:$E,MATCH($N1983,VAT_Codes!$A:$A,0)),"ANY")&lt;&gt;"ANY",$P1983=""),"MISSING COUNTERPARTY COUNTRY",IF(AND(IFERROR(INDEX(VAT_Codes!$E:$E,MATCH($N1983,VAT_Codes!$A:$A,0)),"ANY")&lt;&gt;"ANY",$P1983&lt;&gt;IFERROR(INDEX(VAT_Codes!$E:$E,MATCH($N1983,VAT_Codes!$A:$A,0)),"ANY")),"REGION MISMATCH","OK")))))))</f>
        <v/>
      </c>
    </row>
    <row r="1984" customFormat="false" ht="15" hidden="false" customHeight="false" outlineLevel="0" collapsed="false">
      <c r="M1984" s="24" t="str">
        <f aca="false">IF($C1984="","",IFERROR(INDEX(Account_Mapping!$C:$C,MATCH($C1984&amp;"",Account_Mapping!$A:$A,0))&amp;"",""))</f>
        <v/>
      </c>
      <c r="N1984" s="24" t="str">
        <f aca="false">IF($K1984&lt;&gt;"",$K1984,$M1984)</f>
        <v/>
      </c>
      <c r="O1984" s="24" t="str">
        <f aca="false">IF($F1984="","",IFERROR(INDEX(Counterparties!$C:$C,MATCH($F1984&amp;"",Counterparties!$A:$A,0))&amp;"",""))</f>
        <v/>
      </c>
      <c r="P1984" s="24" t="str">
        <f aca="false">IF($O1984="","",IF($O1984="CY","CY",IF(ISNUMBER(MATCH($O1984,Lists!$A:$A,0)),"EU","3RD")))</f>
        <v/>
      </c>
      <c r="Q1984" s="24" t="str">
        <f aca="false">IF($F1984="","N",IFERROR(IF(INDEX(Counterparties!$E:$E,MATCH($F1984&amp;"",Counterparties!$A:$A,0))="Y","Y","N"),"N"))</f>
        <v>N</v>
      </c>
      <c r="R1984" s="25" t="n">
        <f aca="false">IF(OR($H1984="",$H1984="EUR"),1,IFERROR(INDEX(FX_Rates!$D:$D,MATCH($H1984,FX_Rates!$A:$A,0)),""))</f>
        <v>1</v>
      </c>
      <c r="S1984" s="26" t="str">
        <f aca="false">IF(AND($I1984="",$J1984=""),"",IF($J1984&lt;&gt;"",$J1984,IF(OR($R1984="",$R1984=0),"",ROUND($I1984/$R1984,2))))</f>
        <v/>
      </c>
      <c r="T1984" s="24" t="str">
        <f aca="false">IF($N1984="","",IFERROR(INDEX(VAT_Codes!$C:$C,MATCH($N1984,VAT_Codes!$A:$A,0)),"")&amp;"")</f>
        <v/>
      </c>
      <c r="U1984" s="26" t="n">
        <f aca="false">IF(OR($S1984="",$T1984="",$T1984="None"),0,IF($T1984="Output",-$S1984,$S1984))</f>
        <v>0</v>
      </c>
      <c r="V1984" s="27" t="n">
        <f aca="false">IF($N1984="",0,IFERROR(INDEX(VAT_Codes!$D:$D,MATCH($N1984,VAT_Codes!$A:$A,0)),0))</f>
        <v>0</v>
      </c>
      <c r="W1984" s="26" t="n">
        <f aca="false">IF($U1984=0,0,IF(IFERROR(INDEX(VAT_Codes!$F:$F,MATCH($N1984,VAT_Codes!$A:$A,0)),"N")="Y",$U1984,IF($L1984&lt;&gt;"",ROUND(ABS($L1984)/IF(OR($R1984="",$R1984=0),1,$R1984),2)*SIGN($U1984),ROUND($U1984*$V1984,2))))</f>
        <v>0</v>
      </c>
      <c r="X1984" s="24" t="str">
        <f aca="false">IF($N1984="","",IFERROR(INDEX(VAT_Codes!$H:$H,MATCH($N1984,VAT_Codes!$A:$A,0)),"")&amp;"")</f>
        <v/>
      </c>
      <c r="Y1984" s="24" t="str">
        <f aca="false">IF($A1984="","",(YEAR($A1984)-YEAR(Settings!$C$8))*12+MONTH($A1984)-MONTH(Settings!$C$8)+1)</f>
        <v/>
      </c>
      <c r="Z1984" s="24" t="str">
        <f aca="false">IF(AND($C1984="",$I1984="",$J1984=""),"",IF($N1984="","NO VAT CODE",IF($T1984="","UNKNOWN VAT CODE",IF($S1984="","MISSING FX RATE",IF(OR($A1984&lt;Settings!$C$8,$A1984&gt;Settings!$C$9),"OUTSIDE PERIOD",IF(AND(IFERROR(INDEX(VAT_Codes!$E:$E,MATCH($N1984,VAT_Codes!$A:$A,0)),"ANY")&lt;&gt;"ANY",$P1984=""),"MISSING COUNTERPARTY COUNTRY",IF(AND(IFERROR(INDEX(VAT_Codes!$E:$E,MATCH($N1984,VAT_Codes!$A:$A,0)),"ANY")&lt;&gt;"ANY",$P1984&lt;&gt;IFERROR(INDEX(VAT_Codes!$E:$E,MATCH($N1984,VAT_Codes!$A:$A,0)),"ANY")),"REGION MISMATCH","OK")))))))</f>
        <v/>
      </c>
    </row>
    <row r="1985" customFormat="false" ht="15" hidden="false" customHeight="false" outlineLevel="0" collapsed="false">
      <c r="M1985" s="24" t="str">
        <f aca="false">IF($C1985="","",IFERROR(INDEX(Account_Mapping!$C:$C,MATCH($C1985&amp;"",Account_Mapping!$A:$A,0))&amp;"",""))</f>
        <v/>
      </c>
      <c r="N1985" s="24" t="str">
        <f aca="false">IF($K1985&lt;&gt;"",$K1985,$M1985)</f>
        <v/>
      </c>
      <c r="O1985" s="24" t="str">
        <f aca="false">IF($F1985="","",IFERROR(INDEX(Counterparties!$C:$C,MATCH($F1985&amp;"",Counterparties!$A:$A,0))&amp;"",""))</f>
        <v/>
      </c>
      <c r="P1985" s="24" t="str">
        <f aca="false">IF($O1985="","",IF($O1985="CY","CY",IF(ISNUMBER(MATCH($O1985,Lists!$A:$A,0)),"EU","3RD")))</f>
        <v/>
      </c>
      <c r="Q1985" s="24" t="str">
        <f aca="false">IF($F1985="","N",IFERROR(IF(INDEX(Counterparties!$E:$E,MATCH($F1985&amp;"",Counterparties!$A:$A,0))="Y","Y","N"),"N"))</f>
        <v>N</v>
      </c>
      <c r="R1985" s="25" t="n">
        <f aca="false">IF(OR($H1985="",$H1985="EUR"),1,IFERROR(INDEX(FX_Rates!$D:$D,MATCH($H1985,FX_Rates!$A:$A,0)),""))</f>
        <v>1</v>
      </c>
      <c r="S1985" s="26" t="str">
        <f aca="false">IF(AND($I1985="",$J1985=""),"",IF($J1985&lt;&gt;"",$J1985,IF(OR($R1985="",$R1985=0),"",ROUND($I1985/$R1985,2))))</f>
        <v/>
      </c>
      <c r="T1985" s="24" t="str">
        <f aca="false">IF($N1985="","",IFERROR(INDEX(VAT_Codes!$C:$C,MATCH($N1985,VAT_Codes!$A:$A,0)),"")&amp;"")</f>
        <v/>
      </c>
      <c r="U1985" s="26" t="n">
        <f aca="false">IF(OR($S1985="",$T1985="",$T1985="None"),0,IF($T1985="Output",-$S1985,$S1985))</f>
        <v>0</v>
      </c>
      <c r="V1985" s="27" t="n">
        <f aca="false">IF($N1985="",0,IFERROR(INDEX(VAT_Codes!$D:$D,MATCH($N1985,VAT_Codes!$A:$A,0)),0))</f>
        <v>0</v>
      </c>
      <c r="W1985" s="26" t="n">
        <f aca="false">IF($U1985=0,0,IF(IFERROR(INDEX(VAT_Codes!$F:$F,MATCH($N1985,VAT_Codes!$A:$A,0)),"N")="Y",$U1985,IF($L1985&lt;&gt;"",ROUND(ABS($L1985)/IF(OR($R1985="",$R1985=0),1,$R1985),2)*SIGN($U1985),ROUND($U1985*$V1985,2))))</f>
        <v>0</v>
      </c>
      <c r="X1985" s="24" t="str">
        <f aca="false">IF($N1985="","",IFERROR(INDEX(VAT_Codes!$H:$H,MATCH($N1985,VAT_Codes!$A:$A,0)),"")&amp;"")</f>
        <v/>
      </c>
      <c r="Y1985" s="24" t="str">
        <f aca="false">IF($A1985="","",(YEAR($A1985)-YEAR(Settings!$C$8))*12+MONTH($A1985)-MONTH(Settings!$C$8)+1)</f>
        <v/>
      </c>
      <c r="Z1985" s="24" t="str">
        <f aca="false">IF(AND($C1985="",$I1985="",$J1985=""),"",IF($N1985="","NO VAT CODE",IF($T1985="","UNKNOWN VAT CODE",IF($S1985="","MISSING FX RATE",IF(OR($A1985&lt;Settings!$C$8,$A1985&gt;Settings!$C$9),"OUTSIDE PERIOD",IF(AND(IFERROR(INDEX(VAT_Codes!$E:$E,MATCH($N1985,VAT_Codes!$A:$A,0)),"ANY")&lt;&gt;"ANY",$P1985=""),"MISSING COUNTERPARTY COUNTRY",IF(AND(IFERROR(INDEX(VAT_Codes!$E:$E,MATCH($N1985,VAT_Codes!$A:$A,0)),"ANY")&lt;&gt;"ANY",$P1985&lt;&gt;IFERROR(INDEX(VAT_Codes!$E:$E,MATCH($N1985,VAT_Codes!$A:$A,0)),"ANY")),"REGION MISMATCH","OK")))))))</f>
        <v/>
      </c>
    </row>
    <row r="1986" customFormat="false" ht="15" hidden="false" customHeight="false" outlineLevel="0" collapsed="false">
      <c r="M1986" s="24" t="str">
        <f aca="false">IF($C1986="","",IFERROR(INDEX(Account_Mapping!$C:$C,MATCH($C1986&amp;"",Account_Mapping!$A:$A,0))&amp;"",""))</f>
        <v/>
      </c>
      <c r="N1986" s="24" t="str">
        <f aca="false">IF($K1986&lt;&gt;"",$K1986,$M1986)</f>
        <v/>
      </c>
      <c r="O1986" s="24" t="str">
        <f aca="false">IF($F1986="","",IFERROR(INDEX(Counterparties!$C:$C,MATCH($F1986&amp;"",Counterparties!$A:$A,0))&amp;"",""))</f>
        <v/>
      </c>
      <c r="P1986" s="24" t="str">
        <f aca="false">IF($O1986="","",IF($O1986="CY","CY",IF(ISNUMBER(MATCH($O1986,Lists!$A:$A,0)),"EU","3RD")))</f>
        <v/>
      </c>
      <c r="Q1986" s="24" t="str">
        <f aca="false">IF($F1986="","N",IFERROR(IF(INDEX(Counterparties!$E:$E,MATCH($F1986&amp;"",Counterparties!$A:$A,0))="Y","Y","N"),"N"))</f>
        <v>N</v>
      </c>
      <c r="R1986" s="25" t="n">
        <f aca="false">IF(OR($H1986="",$H1986="EUR"),1,IFERROR(INDEX(FX_Rates!$D:$D,MATCH($H1986,FX_Rates!$A:$A,0)),""))</f>
        <v>1</v>
      </c>
      <c r="S1986" s="26" t="str">
        <f aca="false">IF(AND($I1986="",$J1986=""),"",IF($J1986&lt;&gt;"",$J1986,IF(OR($R1986="",$R1986=0),"",ROUND($I1986/$R1986,2))))</f>
        <v/>
      </c>
      <c r="T1986" s="24" t="str">
        <f aca="false">IF($N1986="","",IFERROR(INDEX(VAT_Codes!$C:$C,MATCH($N1986,VAT_Codes!$A:$A,0)),"")&amp;"")</f>
        <v/>
      </c>
      <c r="U1986" s="26" t="n">
        <f aca="false">IF(OR($S1986="",$T1986="",$T1986="None"),0,IF($T1986="Output",-$S1986,$S1986))</f>
        <v>0</v>
      </c>
      <c r="V1986" s="27" t="n">
        <f aca="false">IF($N1986="",0,IFERROR(INDEX(VAT_Codes!$D:$D,MATCH($N1986,VAT_Codes!$A:$A,0)),0))</f>
        <v>0</v>
      </c>
      <c r="W1986" s="26" t="n">
        <f aca="false">IF($U1986=0,0,IF(IFERROR(INDEX(VAT_Codes!$F:$F,MATCH($N1986,VAT_Codes!$A:$A,0)),"N")="Y",$U1986,IF($L1986&lt;&gt;"",ROUND(ABS($L1986)/IF(OR($R1986="",$R1986=0),1,$R1986),2)*SIGN($U1986),ROUND($U1986*$V1986,2))))</f>
        <v>0</v>
      </c>
      <c r="X1986" s="24" t="str">
        <f aca="false">IF($N1986="","",IFERROR(INDEX(VAT_Codes!$H:$H,MATCH($N1986,VAT_Codes!$A:$A,0)),"")&amp;"")</f>
        <v/>
      </c>
      <c r="Y1986" s="24" t="str">
        <f aca="false">IF($A1986="","",(YEAR($A1986)-YEAR(Settings!$C$8))*12+MONTH($A1986)-MONTH(Settings!$C$8)+1)</f>
        <v/>
      </c>
      <c r="Z1986" s="24" t="str">
        <f aca="false">IF(AND($C1986="",$I1986="",$J1986=""),"",IF($N1986="","NO VAT CODE",IF($T1986="","UNKNOWN VAT CODE",IF($S1986="","MISSING FX RATE",IF(OR($A1986&lt;Settings!$C$8,$A1986&gt;Settings!$C$9),"OUTSIDE PERIOD",IF(AND(IFERROR(INDEX(VAT_Codes!$E:$E,MATCH($N1986,VAT_Codes!$A:$A,0)),"ANY")&lt;&gt;"ANY",$P1986=""),"MISSING COUNTERPARTY COUNTRY",IF(AND(IFERROR(INDEX(VAT_Codes!$E:$E,MATCH($N1986,VAT_Codes!$A:$A,0)),"ANY")&lt;&gt;"ANY",$P1986&lt;&gt;IFERROR(INDEX(VAT_Codes!$E:$E,MATCH($N1986,VAT_Codes!$A:$A,0)),"ANY")),"REGION MISMATCH","OK")))))))</f>
        <v/>
      </c>
    </row>
    <row r="1987" customFormat="false" ht="15" hidden="false" customHeight="false" outlineLevel="0" collapsed="false">
      <c r="M1987" s="24" t="str">
        <f aca="false">IF($C1987="","",IFERROR(INDEX(Account_Mapping!$C:$C,MATCH($C1987&amp;"",Account_Mapping!$A:$A,0))&amp;"",""))</f>
        <v/>
      </c>
      <c r="N1987" s="24" t="str">
        <f aca="false">IF($K1987&lt;&gt;"",$K1987,$M1987)</f>
        <v/>
      </c>
      <c r="O1987" s="24" t="str">
        <f aca="false">IF($F1987="","",IFERROR(INDEX(Counterparties!$C:$C,MATCH($F1987&amp;"",Counterparties!$A:$A,0))&amp;"",""))</f>
        <v/>
      </c>
      <c r="P1987" s="24" t="str">
        <f aca="false">IF($O1987="","",IF($O1987="CY","CY",IF(ISNUMBER(MATCH($O1987,Lists!$A:$A,0)),"EU","3RD")))</f>
        <v/>
      </c>
      <c r="Q1987" s="24" t="str">
        <f aca="false">IF($F1987="","N",IFERROR(IF(INDEX(Counterparties!$E:$E,MATCH($F1987&amp;"",Counterparties!$A:$A,0))="Y","Y","N"),"N"))</f>
        <v>N</v>
      </c>
      <c r="R1987" s="25" t="n">
        <f aca="false">IF(OR($H1987="",$H1987="EUR"),1,IFERROR(INDEX(FX_Rates!$D:$D,MATCH($H1987,FX_Rates!$A:$A,0)),""))</f>
        <v>1</v>
      </c>
      <c r="S1987" s="26" t="str">
        <f aca="false">IF(AND($I1987="",$J1987=""),"",IF($J1987&lt;&gt;"",$J1987,IF(OR($R1987="",$R1987=0),"",ROUND($I1987/$R1987,2))))</f>
        <v/>
      </c>
      <c r="T1987" s="24" t="str">
        <f aca="false">IF($N1987="","",IFERROR(INDEX(VAT_Codes!$C:$C,MATCH($N1987,VAT_Codes!$A:$A,0)),"")&amp;"")</f>
        <v/>
      </c>
      <c r="U1987" s="26" t="n">
        <f aca="false">IF(OR($S1987="",$T1987="",$T1987="None"),0,IF($T1987="Output",-$S1987,$S1987))</f>
        <v>0</v>
      </c>
      <c r="V1987" s="27" t="n">
        <f aca="false">IF($N1987="",0,IFERROR(INDEX(VAT_Codes!$D:$D,MATCH($N1987,VAT_Codes!$A:$A,0)),0))</f>
        <v>0</v>
      </c>
      <c r="W1987" s="26" t="n">
        <f aca="false">IF($U1987=0,0,IF(IFERROR(INDEX(VAT_Codes!$F:$F,MATCH($N1987,VAT_Codes!$A:$A,0)),"N")="Y",$U1987,IF($L1987&lt;&gt;"",ROUND(ABS($L1987)/IF(OR($R1987="",$R1987=0),1,$R1987),2)*SIGN($U1987),ROUND($U1987*$V1987,2))))</f>
        <v>0</v>
      </c>
      <c r="X1987" s="24" t="str">
        <f aca="false">IF($N1987="","",IFERROR(INDEX(VAT_Codes!$H:$H,MATCH($N1987,VAT_Codes!$A:$A,0)),"")&amp;"")</f>
        <v/>
      </c>
      <c r="Y1987" s="24" t="str">
        <f aca="false">IF($A1987="","",(YEAR($A1987)-YEAR(Settings!$C$8))*12+MONTH($A1987)-MONTH(Settings!$C$8)+1)</f>
        <v/>
      </c>
      <c r="Z1987" s="24" t="str">
        <f aca="false">IF(AND($C1987="",$I1987="",$J1987=""),"",IF($N1987="","NO VAT CODE",IF($T1987="","UNKNOWN VAT CODE",IF($S1987="","MISSING FX RATE",IF(OR($A1987&lt;Settings!$C$8,$A1987&gt;Settings!$C$9),"OUTSIDE PERIOD",IF(AND(IFERROR(INDEX(VAT_Codes!$E:$E,MATCH($N1987,VAT_Codes!$A:$A,0)),"ANY")&lt;&gt;"ANY",$P1987=""),"MISSING COUNTERPARTY COUNTRY",IF(AND(IFERROR(INDEX(VAT_Codes!$E:$E,MATCH($N1987,VAT_Codes!$A:$A,0)),"ANY")&lt;&gt;"ANY",$P1987&lt;&gt;IFERROR(INDEX(VAT_Codes!$E:$E,MATCH($N1987,VAT_Codes!$A:$A,0)),"ANY")),"REGION MISMATCH","OK")))))))</f>
        <v/>
      </c>
    </row>
    <row r="1988" customFormat="false" ht="15" hidden="false" customHeight="false" outlineLevel="0" collapsed="false">
      <c r="M1988" s="24" t="str">
        <f aca="false">IF($C1988="","",IFERROR(INDEX(Account_Mapping!$C:$C,MATCH($C1988&amp;"",Account_Mapping!$A:$A,0))&amp;"",""))</f>
        <v/>
      </c>
      <c r="N1988" s="24" t="str">
        <f aca="false">IF($K1988&lt;&gt;"",$K1988,$M1988)</f>
        <v/>
      </c>
      <c r="O1988" s="24" t="str">
        <f aca="false">IF($F1988="","",IFERROR(INDEX(Counterparties!$C:$C,MATCH($F1988&amp;"",Counterparties!$A:$A,0))&amp;"",""))</f>
        <v/>
      </c>
      <c r="P1988" s="24" t="str">
        <f aca="false">IF($O1988="","",IF($O1988="CY","CY",IF(ISNUMBER(MATCH($O1988,Lists!$A:$A,0)),"EU","3RD")))</f>
        <v/>
      </c>
      <c r="Q1988" s="24" t="str">
        <f aca="false">IF($F1988="","N",IFERROR(IF(INDEX(Counterparties!$E:$E,MATCH($F1988&amp;"",Counterparties!$A:$A,0))="Y","Y","N"),"N"))</f>
        <v>N</v>
      </c>
      <c r="R1988" s="25" t="n">
        <f aca="false">IF(OR($H1988="",$H1988="EUR"),1,IFERROR(INDEX(FX_Rates!$D:$D,MATCH($H1988,FX_Rates!$A:$A,0)),""))</f>
        <v>1</v>
      </c>
      <c r="S1988" s="26" t="str">
        <f aca="false">IF(AND($I1988="",$J1988=""),"",IF($J1988&lt;&gt;"",$J1988,IF(OR($R1988="",$R1988=0),"",ROUND($I1988/$R1988,2))))</f>
        <v/>
      </c>
      <c r="T1988" s="24" t="str">
        <f aca="false">IF($N1988="","",IFERROR(INDEX(VAT_Codes!$C:$C,MATCH($N1988,VAT_Codes!$A:$A,0)),"")&amp;"")</f>
        <v/>
      </c>
      <c r="U1988" s="26" t="n">
        <f aca="false">IF(OR($S1988="",$T1988="",$T1988="None"),0,IF($T1988="Output",-$S1988,$S1988))</f>
        <v>0</v>
      </c>
      <c r="V1988" s="27" t="n">
        <f aca="false">IF($N1988="",0,IFERROR(INDEX(VAT_Codes!$D:$D,MATCH($N1988,VAT_Codes!$A:$A,0)),0))</f>
        <v>0</v>
      </c>
      <c r="W1988" s="26" t="n">
        <f aca="false">IF($U1988=0,0,IF(IFERROR(INDEX(VAT_Codes!$F:$F,MATCH($N1988,VAT_Codes!$A:$A,0)),"N")="Y",$U1988,IF($L1988&lt;&gt;"",ROUND(ABS($L1988)/IF(OR($R1988="",$R1988=0),1,$R1988),2)*SIGN($U1988),ROUND($U1988*$V1988,2))))</f>
        <v>0</v>
      </c>
      <c r="X1988" s="24" t="str">
        <f aca="false">IF($N1988="","",IFERROR(INDEX(VAT_Codes!$H:$H,MATCH($N1988,VAT_Codes!$A:$A,0)),"")&amp;"")</f>
        <v/>
      </c>
      <c r="Y1988" s="24" t="str">
        <f aca="false">IF($A1988="","",(YEAR($A1988)-YEAR(Settings!$C$8))*12+MONTH($A1988)-MONTH(Settings!$C$8)+1)</f>
        <v/>
      </c>
      <c r="Z1988" s="24" t="str">
        <f aca="false">IF(AND($C1988="",$I1988="",$J1988=""),"",IF($N1988="","NO VAT CODE",IF($T1988="","UNKNOWN VAT CODE",IF($S1988="","MISSING FX RATE",IF(OR($A1988&lt;Settings!$C$8,$A1988&gt;Settings!$C$9),"OUTSIDE PERIOD",IF(AND(IFERROR(INDEX(VAT_Codes!$E:$E,MATCH($N1988,VAT_Codes!$A:$A,0)),"ANY")&lt;&gt;"ANY",$P1988=""),"MISSING COUNTERPARTY COUNTRY",IF(AND(IFERROR(INDEX(VAT_Codes!$E:$E,MATCH($N1988,VAT_Codes!$A:$A,0)),"ANY")&lt;&gt;"ANY",$P1988&lt;&gt;IFERROR(INDEX(VAT_Codes!$E:$E,MATCH($N1988,VAT_Codes!$A:$A,0)),"ANY")),"REGION MISMATCH","OK")))))))</f>
        <v/>
      </c>
    </row>
    <row r="1989" customFormat="false" ht="15" hidden="false" customHeight="false" outlineLevel="0" collapsed="false">
      <c r="M1989" s="24" t="str">
        <f aca="false">IF($C1989="","",IFERROR(INDEX(Account_Mapping!$C:$C,MATCH($C1989&amp;"",Account_Mapping!$A:$A,0))&amp;"",""))</f>
        <v/>
      </c>
      <c r="N1989" s="24" t="str">
        <f aca="false">IF($K1989&lt;&gt;"",$K1989,$M1989)</f>
        <v/>
      </c>
      <c r="O1989" s="24" t="str">
        <f aca="false">IF($F1989="","",IFERROR(INDEX(Counterparties!$C:$C,MATCH($F1989&amp;"",Counterparties!$A:$A,0))&amp;"",""))</f>
        <v/>
      </c>
      <c r="P1989" s="24" t="str">
        <f aca="false">IF($O1989="","",IF($O1989="CY","CY",IF(ISNUMBER(MATCH($O1989,Lists!$A:$A,0)),"EU","3RD")))</f>
        <v/>
      </c>
      <c r="Q1989" s="24" t="str">
        <f aca="false">IF($F1989="","N",IFERROR(IF(INDEX(Counterparties!$E:$E,MATCH($F1989&amp;"",Counterparties!$A:$A,0))="Y","Y","N"),"N"))</f>
        <v>N</v>
      </c>
      <c r="R1989" s="25" t="n">
        <f aca="false">IF(OR($H1989="",$H1989="EUR"),1,IFERROR(INDEX(FX_Rates!$D:$D,MATCH($H1989,FX_Rates!$A:$A,0)),""))</f>
        <v>1</v>
      </c>
      <c r="S1989" s="26" t="str">
        <f aca="false">IF(AND($I1989="",$J1989=""),"",IF($J1989&lt;&gt;"",$J1989,IF(OR($R1989="",$R1989=0),"",ROUND($I1989/$R1989,2))))</f>
        <v/>
      </c>
      <c r="T1989" s="24" t="str">
        <f aca="false">IF($N1989="","",IFERROR(INDEX(VAT_Codes!$C:$C,MATCH($N1989,VAT_Codes!$A:$A,0)),"")&amp;"")</f>
        <v/>
      </c>
      <c r="U1989" s="26" t="n">
        <f aca="false">IF(OR($S1989="",$T1989="",$T1989="None"),0,IF($T1989="Output",-$S1989,$S1989))</f>
        <v>0</v>
      </c>
      <c r="V1989" s="27" t="n">
        <f aca="false">IF($N1989="",0,IFERROR(INDEX(VAT_Codes!$D:$D,MATCH($N1989,VAT_Codes!$A:$A,0)),0))</f>
        <v>0</v>
      </c>
      <c r="W1989" s="26" t="n">
        <f aca="false">IF($U1989=0,0,IF(IFERROR(INDEX(VAT_Codes!$F:$F,MATCH($N1989,VAT_Codes!$A:$A,0)),"N")="Y",$U1989,IF($L1989&lt;&gt;"",ROUND(ABS($L1989)/IF(OR($R1989="",$R1989=0),1,$R1989),2)*SIGN($U1989),ROUND($U1989*$V1989,2))))</f>
        <v>0</v>
      </c>
      <c r="X1989" s="24" t="str">
        <f aca="false">IF($N1989="","",IFERROR(INDEX(VAT_Codes!$H:$H,MATCH($N1989,VAT_Codes!$A:$A,0)),"")&amp;"")</f>
        <v/>
      </c>
      <c r="Y1989" s="24" t="str">
        <f aca="false">IF($A1989="","",(YEAR($A1989)-YEAR(Settings!$C$8))*12+MONTH($A1989)-MONTH(Settings!$C$8)+1)</f>
        <v/>
      </c>
      <c r="Z1989" s="24" t="str">
        <f aca="false">IF(AND($C1989="",$I1989="",$J1989=""),"",IF($N1989="","NO VAT CODE",IF($T1989="","UNKNOWN VAT CODE",IF($S1989="","MISSING FX RATE",IF(OR($A1989&lt;Settings!$C$8,$A1989&gt;Settings!$C$9),"OUTSIDE PERIOD",IF(AND(IFERROR(INDEX(VAT_Codes!$E:$E,MATCH($N1989,VAT_Codes!$A:$A,0)),"ANY")&lt;&gt;"ANY",$P1989=""),"MISSING COUNTERPARTY COUNTRY",IF(AND(IFERROR(INDEX(VAT_Codes!$E:$E,MATCH($N1989,VAT_Codes!$A:$A,0)),"ANY")&lt;&gt;"ANY",$P1989&lt;&gt;IFERROR(INDEX(VAT_Codes!$E:$E,MATCH($N1989,VAT_Codes!$A:$A,0)),"ANY")),"REGION MISMATCH","OK")))))))</f>
        <v/>
      </c>
    </row>
    <row r="1990" customFormat="false" ht="15" hidden="false" customHeight="false" outlineLevel="0" collapsed="false">
      <c r="M1990" s="24" t="str">
        <f aca="false">IF($C1990="","",IFERROR(INDEX(Account_Mapping!$C:$C,MATCH($C1990&amp;"",Account_Mapping!$A:$A,0))&amp;"",""))</f>
        <v/>
      </c>
      <c r="N1990" s="24" t="str">
        <f aca="false">IF($K1990&lt;&gt;"",$K1990,$M1990)</f>
        <v/>
      </c>
      <c r="O1990" s="24" t="str">
        <f aca="false">IF($F1990="","",IFERROR(INDEX(Counterparties!$C:$C,MATCH($F1990&amp;"",Counterparties!$A:$A,0))&amp;"",""))</f>
        <v/>
      </c>
      <c r="P1990" s="24" t="str">
        <f aca="false">IF($O1990="","",IF($O1990="CY","CY",IF(ISNUMBER(MATCH($O1990,Lists!$A:$A,0)),"EU","3RD")))</f>
        <v/>
      </c>
      <c r="Q1990" s="24" t="str">
        <f aca="false">IF($F1990="","N",IFERROR(IF(INDEX(Counterparties!$E:$E,MATCH($F1990&amp;"",Counterparties!$A:$A,0))="Y","Y","N"),"N"))</f>
        <v>N</v>
      </c>
      <c r="R1990" s="25" t="n">
        <f aca="false">IF(OR($H1990="",$H1990="EUR"),1,IFERROR(INDEX(FX_Rates!$D:$D,MATCH($H1990,FX_Rates!$A:$A,0)),""))</f>
        <v>1</v>
      </c>
      <c r="S1990" s="26" t="str">
        <f aca="false">IF(AND($I1990="",$J1990=""),"",IF($J1990&lt;&gt;"",$J1990,IF(OR($R1990="",$R1990=0),"",ROUND($I1990/$R1990,2))))</f>
        <v/>
      </c>
      <c r="T1990" s="24" t="str">
        <f aca="false">IF($N1990="","",IFERROR(INDEX(VAT_Codes!$C:$C,MATCH($N1990,VAT_Codes!$A:$A,0)),"")&amp;"")</f>
        <v/>
      </c>
      <c r="U1990" s="26" t="n">
        <f aca="false">IF(OR($S1990="",$T1990="",$T1990="None"),0,IF($T1990="Output",-$S1990,$S1990))</f>
        <v>0</v>
      </c>
      <c r="V1990" s="27" t="n">
        <f aca="false">IF($N1990="",0,IFERROR(INDEX(VAT_Codes!$D:$D,MATCH($N1990,VAT_Codes!$A:$A,0)),0))</f>
        <v>0</v>
      </c>
      <c r="W1990" s="26" t="n">
        <f aca="false">IF($U1990=0,0,IF(IFERROR(INDEX(VAT_Codes!$F:$F,MATCH($N1990,VAT_Codes!$A:$A,0)),"N")="Y",$U1990,IF($L1990&lt;&gt;"",ROUND(ABS($L1990)/IF(OR($R1990="",$R1990=0),1,$R1990),2)*SIGN($U1990),ROUND($U1990*$V1990,2))))</f>
        <v>0</v>
      </c>
      <c r="X1990" s="24" t="str">
        <f aca="false">IF($N1990="","",IFERROR(INDEX(VAT_Codes!$H:$H,MATCH($N1990,VAT_Codes!$A:$A,0)),"")&amp;"")</f>
        <v/>
      </c>
      <c r="Y1990" s="24" t="str">
        <f aca="false">IF($A1990="","",(YEAR($A1990)-YEAR(Settings!$C$8))*12+MONTH($A1990)-MONTH(Settings!$C$8)+1)</f>
        <v/>
      </c>
      <c r="Z1990" s="24" t="str">
        <f aca="false">IF(AND($C1990="",$I1990="",$J1990=""),"",IF($N1990="","NO VAT CODE",IF($T1990="","UNKNOWN VAT CODE",IF($S1990="","MISSING FX RATE",IF(OR($A1990&lt;Settings!$C$8,$A1990&gt;Settings!$C$9),"OUTSIDE PERIOD",IF(AND(IFERROR(INDEX(VAT_Codes!$E:$E,MATCH($N1990,VAT_Codes!$A:$A,0)),"ANY")&lt;&gt;"ANY",$P1990=""),"MISSING COUNTERPARTY COUNTRY",IF(AND(IFERROR(INDEX(VAT_Codes!$E:$E,MATCH($N1990,VAT_Codes!$A:$A,0)),"ANY")&lt;&gt;"ANY",$P1990&lt;&gt;IFERROR(INDEX(VAT_Codes!$E:$E,MATCH($N1990,VAT_Codes!$A:$A,0)),"ANY")),"REGION MISMATCH","OK")))))))</f>
        <v/>
      </c>
    </row>
    <row r="1991" customFormat="false" ht="15" hidden="false" customHeight="false" outlineLevel="0" collapsed="false">
      <c r="M1991" s="24" t="str">
        <f aca="false">IF($C1991="","",IFERROR(INDEX(Account_Mapping!$C:$C,MATCH($C1991&amp;"",Account_Mapping!$A:$A,0))&amp;"",""))</f>
        <v/>
      </c>
      <c r="N1991" s="24" t="str">
        <f aca="false">IF($K1991&lt;&gt;"",$K1991,$M1991)</f>
        <v/>
      </c>
      <c r="O1991" s="24" t="str">
        <f aca="false">IF($F1991="","",IFERROR(INDEX(Counterparties!$C:$C,MATCH($F1991&amp;"",Counterparties!$A:$A,0))&amp;"",""))</f>
        <v/>
      </c>
      <c r="P1991" s="24" t="str">
        <f aca="false">IF($O1991="","",IF($O1991="CY","CY",IF(ISNUMBER(MATCH($O1991,Lists!$A:$A,0)),"EU","3RD")))</f>
        <v/>
      </c>
      <c r="Q1991" s="24" t="str">
        <f aca="false">IF($F1991="","N",IFERROR(IF(INDEX(Counterparties!$E:$E,MATCH($F1991&amp;"",Counterparties!$A:$A,0))="Y","Y","N"),"N"))</f>
        <v>N</v>
      </c>
      <c r="R1991" s="25" t="n">
        <f aca="false">IF(OR($H1991="",$H1991="EUR"),1,IFERROR(INDEX(FX_Rates!$D:$D,MATCH($H1991,FX_Rates!$A:$A,0)),""))</f>
        <v>1</v>
      </c>
      <c r="S1991" s="26" t="str">
        <f aca="false">IF(AND($I1991="",$J1991=""),"",IF($J1991&lt;&gt;"",$J1991,IF(OR($R1991="",$R1991=0),"",ROUND($I1991/$R1991,2))))</f>
        <v/>
      </c>
      <c r="T1991" s="24" t="str">
        <f aca="false">IF($N1991="","",IFERROR(INDEX(VAT_Codes!$C:$C,MATCH($N1991,VAT_Codes!$A:$A,0)),"")&amp;"")</f>
        <v/>
      </c>
      <c r="U1991" s="26" t="n">
        <f aca="false">IF(OR($S1991="",$T1991="",$T1991="None"),0,IF($T1991="Output",-$S1991,$S1991))</f>
        <v>0</v>
      </c>
      <c r="V1991" s="27" t="n">
        <f aca="false">IF($N1991="",0,IFERROR(INDEX(VAT_Codes!$D:$D,MATCH($N1991,VAT_Codes!$A:$A,0)),0))</f>
        <v>0</v>
      </c>
      <c r="W1991" s="26" t="n">
        <f aca="false">IF($U1991=0,0,IF(IFERROR(INDEX(VAT_Codes!$F:$F,MATCH($N1991,VAT_Codes!$A:$A,0)),"N")="Y",$U1991,IF($L1991&lt;&gt;"",ROUND(ABS($L1991)/IF(OR($R1991="",$R1991=0),1,$R1991),2)*SIGN($U1991),ROUND($U1991*$V1991,2))))</f>
        <v>0</v>
      </c>
      <c r="X1991" s="24" t="str">
        <f aca="false">IF($N1991="","",IFERROR(INDEX(VAT_Codes!$H:$H,MATCH($N1991,VAT_Codes!$A:$A,0)),"")&amp;"")</f>
        <v/>
      </c>
      <c r="Y1991" s="24" t="str">
        <f aca="false">IF($A1991="","",(YEAR($A1991)-YEAR(Settings!$C$8))*12+MONTH($A1991)-MONTH(Settings!$C$8)+1)</f>
        <v/>
      </c>
      <c r="Z1991" s="24" t="str">
        <f aca="false">IF(AND($C1991="",$I1991="",$J1991=""),"",IF($N1991="","NO VAT CODE",IF($T1991="","UNKNOWN VAT CODE",IF($S1991="","MISSING FX RATE",IF(OR($A1991&lt;Settings!$C$8,$A1991&gt;Settings!$C$9),"OUTSIDE PERIOD",IF(AND(IFERROR(INDEX(VAT_Codes!$E:$E,MATCH($N1991,VAT_Codes!$A:$A,0)),"ANY")&lt;&gt;"ANY",$P1991=""),"MISSING COUNTERPARTY COUNTRY",IF(AND(IFERROR(INDEX(VAT_Codes!$E:$E,MATCH($N1991,VAT_Codes!$A:$A,0)),"ANY")&lt;&gt;"ANY",$P1991&lt;&gt;IFERROR(INDEX(VAT_Codes!$E:$E,MATCH($N1991,VAT_Codes!$A:$A,0)),"ANY")),"REGION MISMATCH","OK")))))))</f>
        <v/>
      </c>
    </row>
    <row r="1992" customFormat="false" ht="15" hidden="false" customHeight="false" outlineLevel="0" collapsed="false">
      <c r="M1992" s="24" t="str">
        <f aca="false">IF($C1992="","",IFERROR(INDEX(Account_Mapping!$C:$C,MATCH($C1992&amp;"",Account_Mapping!$A:$A,0))&amp;"",""))</f>
        <v/>
      </c>
      <c r="N1992" s="24" t="str">
        <f aca="false">IF($K1992&lt;&gt;"",$K1992,$M1992)</f>
        <v/>
      </c>
      <c r="O1992" s="24" t="str">
        <f aca="false">IF($F1992="","",IFERROR(INDEX(Counterparties!$C:$C,MATCH($F1992&amp;"",Counterparties!$A:$A,0))&amp;"",""))</f>
        <v/>
      </c>
      <c r="P1992" s="24" t="str">
        <f aca="false">IF($O1992="","",IF($O1992="CY","CY",IF(ISNUMBER(MATCH($O1992,Lists!$A:$A,0)),"EU","3RD")))</f>
        <v/>
      </c>
      <c r="Q1992" s="24" t="str">
        <f aca="false">IF($F1992="","N",IFERROR(IF(INDEX(Counterparties!$E:$E,MATCH($F1992&amp;"",Counterparties!$A:$A,0))="Y","Y","N"),"N"))</f>
        <v>N</v>
      </c>
      <c r="R1992" s="25" t="n">
        <f aca="false">IF(OR($H1992="",$H1992="EUR"),1,IFERROR(INDEX(FX_Rates!$D:$D,MATCH($H1992,FX_Rates!$A:$A,0)),""))</f>
        <v>1</v>
      </c>
      <c r="S1992" s="26" t="str">
        <f aca="false">IF(AND($I1992="",$J1992=""),"",IF($J1992&lt;&gt;"",$J1992,IF(OR($R1992="",$R1992=0),"",ROUND($I1992/$R1992,2))))</f>
        <v/>
      </c>
      <c r="T1992" s="24" t="str">
        <f aca="false">IF($N1992="","",IFERROR(INDEX(VAT_Codes!$C:$C,MATCH($N1992,VAT_Codes!$A:$A,0)),"")&amp;"")</f>
        <v/>
      </c>
      <c r="U1992" s="26" t="n">
        <f aca="false">IF(OR($S1992="",$T1992="",$T1992="None"),0,IF($T1992="Output",-$S1992,$S1992))</f>
        <v>0</v>
      </c>
      <c r="V1992" s="27" t="n">
        <f aca="false">IF($N1992="",0,IFERROR(INDEX(VAT_Codes!$D:$D,MATCH($N1992,VAT_Codes!$A:$A,0)),0))</f>
        <v>0</v>
      </c>
      <c r="W1992" s="26" t="n">
        <f aca="false">IF($U1992=0,0,IF(IFERROR(INDEX(VAT_Codes!$F:$F,MATCH($N1992,VAT_Codes!$A:$A,0)),"N")="Y",$U1992,IF($L1992&lt;&gt;"",ROUND(ABS($L1992)/IF(OR($R1992="",$R1992=0),1,$R1992),2)*SIGN($U1992),ROUND($U1992*$V1992,2))))</f>
        <v>0</v>
      </c>
      <c r="X1992" s="24" t="str">
        <f aca="false">IF($N1992="","",IFERROR(INDEX(VAT_Codes!$H:$H,MATCH($N1992,VAT_Codes!$A:$A,0)),"")&amp;"")</f>
        <v/>
      </c>
      <c r="Y1992" s="24" t="str">
        <f aca="false">IF($A1992="","",(YEAR($A1992)-YEAR(Settings!$C$8))*12+MONTH($A1992)-MONTH(Settings!$C$8)+1)</f>
        <v/>
      </c>
      <c r="Z1992" s="24" t="str">
        <f aca="false">IF(AND($C1992="",$I1992="",$J1992=""),"",IF($N1992="","NO VAT CODE",IF($T1992="","UNKNOWN VAT CODE",IF($S1992="","MISSING FX RATE",IF(OR($A1992&lt;Settings!$C$8,$A1992&gt;Settings!$C$9),"OUTSIDE PERIOD",IF(AND(IFERROR(INDEX(VAT_Codes!$E:$E,MATCH($N1992,VAT_Codes!$A:$A,0)),"ANY")&lt;&gt;"ANY",$P1992=""),"MISSING COUNTERPARTY COUNTRY",IF(AND(IFERROR(INDEX(VAT_Codes!$E:$E,MATCH($N1992,VAT_Codes!$A:$A,0)),"ANY")&lt;&gt;"ANY",$P1992&lt;&gt;IFERROR(INDEX(VAT_Codes!$E:$E,MATCH($N1992,VAT_Codes!$A:$A,0)),"ANY")),"REGION MISMATCH","OK")))))))</f>
        <v/>
      </c>
    </row>
    <row r="1993" customFormat="false" ht="15" hidden="false" customHeight="false" outlineLevel="0" collapsed="false">
      <c r="M1993" s="24" t="str">
        <f aca="false">IF($C1993="","",IFERROR(INDEX(Account_Mapping!$C:$C,MATCH($C1993&amp;"",Account_Mapping!$A:$A,0))&amp;"",""))</f>
        <v/>
      </c>
      <c r="N1993" s="24" t="str">
        <f aca="false">IF($K1993&lt;&gt;"",$K1993,$M1993)</f>
        <v/>
      </c>
      <c r="O1993" s="24" t="str">
        <f aca="false">IF($F1993="","",IFERROR(INDEX(Counterparties!$C:$C,MATCH($F1993&amp;"",Counterparties!$A:$A,0))&amp;"",""))</f>
        <v/>
      </c>
      <c r="P1993" s="24" t="str">
        <f aca="false">IF($O1993="","",IF($O1993="CY","CY",IF(ISNUMBER(MATCH($O1993,Lists!$A:$A,0)),"EU","3RD")))</f>
        <v/>
      </c>
      <c r="Q1993" s="24" t="str">
        <f aca="false">IF($F1993="","N",IFERROR(IF(INDEX(Counterparties!$E:$E,MATCH($F1993&amp;"",Counterparties!$A:$A,0))="Y","Y","N"),"N"))</f>
        <v>N</v>
      </c>
      <c r="R1993" s="25" t="n">
        <f aca="false">IF(OR($H1993="",$H1993="EUR"),1,IFERROR(INDEX(FX_Rates!$D:$D,MATCH($H1993,FX_Rates!$A:$A,0)),""))</f>
        <v>1</v>
      </c>
      <c r="S1993" s="26" t="str">
        <f aca="false">IF(AND($I1993="",$J1993=""),"",IF($J1993&lt;&gt;"",$J1993,IF(OR($R1993="",$R1993=0),"",ROUND($I1993/$R1993,2))))</f>
        <v/>
      </c>
      <c r="T1993" s="24" t="str">
        <f aca="false">IF($N1993="","",IFERROR(INDEX(VAT_Codes!$C:$C,MATCH($N1993,VAT_Codes!$A:$A,0)),"")&amp;"")</f>
        <v/>
      </c>
      <c r="U1993" s="26" t="n">
        <f aca="false">IF(OR($S1993="",$T1993="",$T1993="None"),0,IF($T1993="Output",-$S1993,$S1993))</f>
        <v>0</v>
      </c>
      <c r="V1993" s="27" t="n">
        <f aca="false">IF($N1993="",0,IFERROR(INDEX(VAT_Codes!$D:$D,MATCH($N1993,VAT_Codes!$A:$A,0)),0))</f>
        <v>0</v>
      </c>
      <c r="W1993" s="26" t="n">
        <f aca="false">IF($U1993=0,0,IF(IFERROR(INDEX(VAT_Codes!$F:$F,MATCH($N1993,VAT_Codes!$A:$A,0)),"N")="Y",$U1993,IF($L1993&lt;&gt;"",ROUND(ABS($L1993)/IF(OR($R1993="",$R1993=0),1,$R1993),2)*SIGN($U1993),ROUND($U1993*$V1993,2))))</f>
        <v>0</v>
      </c>
      <c r="X1993" s="24" t="str">
        <f aca="false">IF($N1993="","",IFERROR(INDEX(VAT_Codes!$H:$H,MATCH($N1993,VAT_Codes!$A:$A,0)),"")&amp;"")</f>
        <v/>
      </c>
      <c r="Y1993" s="24" t="str">
        <f aca="false">IF($A1993="","",(YEAR($A1993)-YEAR(Settings!$C$8))*12+MONTH($A1993)-MONTH(Settings!$C$8)+1)</f>
        <v/>
      </c>
      <c r="Z1993" s="24" t="str">
        <f aca="false">IF(AND($C1993="",$I1993="",$J1993=""),"",IF($N1993="","NO VAT CODE",IF($T1993="","UNKNOWN VAT CODE",IF($S1993="","MISSING FX RATE",IF(OR($A1993&lt;Settings!$C$8,$A1993&gt;Settings!$C$9),"OUTSIDE PERIOD",IF(AND(IFERROR(INDEX(VAT_Codes!$E:$E,MATCH($N1993,VAT_Codes!$A:$A,0)),"ANY")&lt;&gt;"ANY",$P1993=""),"MISSING COUNTERPARTY COUNTRY",IF(AND(IFERROR(INDEX(VAT_Codes!$E:$E,MATCH($N1993,VAT_Codes!$A:$A,0)),"ANY")&lt;&gt;"ANY",$P1993&lt;&gt;IFERROR(INDEX(VAT_Codes!$E:$E,MATCH($N1993,VAT_Codes!$A:$A,0)),"ANY")),"REGION MISMATCH","OK")))))))</f>
        <v/>
      </c>
    </row>
    <row r="1994" customFormat="false" ht="15" hidden="false" customHeight="false" outlineLevel="0" collapsed="false">
      <c r="M1994" s="24" t="str">
        <f aca="false">IF($C1994="","",IFERROR(INDEX(Account_Mapping!$C:$C,MATCH($C1994&amp;"",Account_Mapping!$A:$A,0))&amp;"",""))</f>
        <v/>
      </c>
      <c r="N1994" s="24" t="str">
        <f aca="false">IF($K1994&lt;&gt;"",$K1994,$M1994)</f>
        <v/>
      </c>
      <c r="O1994" s="24" t="str">
        <f aca="false">IF($F1994="","",IFERROR(INDEX(Counterparties!$C:$C,MATCH($F1994&amp;"",Counterparties!$A:$A,0))&amp;"",""))</f>
        <v/>
      </c>
      <c r="P1994" s="24" t="str">
        <f aca="false">IF($O1994="","",IF($O1994="CY","CY",IF(ISNUMBER(MATCH($O1994,Lists!$A:$A,0)),"EU","3RD")))</f>
        <v/>
      </c>
      <c r="Q1994" s="24" t="str">
        <f aca="false">IF($F1994="","N",IFERROR(IF(INDEX(Counterparties!$E:$E,MATCH($F1994&amp;"",Counterparties!$A:$A,0))="Y","Y","N"),"N"))</f>
        <v>N</v>
      </c>
      <c r="R1994" s="25" t="n">
        <f aca="false">IF(OR($H1994="",$H1994="EUR"),1,IFERROR(INDEX(FX_Rates!$D:$D,MATCH($H1994,FX_Rates!$A:$A,0)),""))</f>
        <v>1</v>
      </c>
      <c r="S1994" s="26" t="str">
        <f aca="false">IF(AND($I1994="",$J1994=""),"",IF($J1994&lt;&gt;"",$J1994,IF(OR($R1994="",$R1994=0),"",ROUND($I1994/$R1994,2))))</f>
        <v/>
      </c>
      <c r="T1994" s="24" t="str">
        <f aca="false">IF($N1994="","",IFERROR(INDEX(VAT_Codes!$C:$C,MATCH($N1994,VAT_Codes!$A:$A,0)),"")&amp;"")</f>
        <v/>
      </c>
      <c r="U1994" s="26" t="n">
        <f aca="false">IF(OR($S1994="",$T1994="",$T1994="None"),0,IF($T1994="Output",-$S1994,$S1994))</f>
        <v>0</v>
      </c>
      <c r="V1994" s="27" t="n">
        <f aca="false">IF($N1994="",0,IFERROR(INDEX(VAT_Codes!$D:$D,MATCH($N1994,VAT_Codes!$A:$A,0)),0))</f>
        <v>0</v>
      </c>
      <c r="W1994" s="26" t="n">
        <f aca="false">IF($U1994=0,0,IF(IFERROR(INDEX(VAT_Codes!$F:$F,MATCH($N1994,VAT_Codes!$A:$A,0)),"N")="Y",$U1994,IF($L1994&lt;&gt;"",ROUND(ABS($L1994)/IF(OR($R1994="",$R1994=0),1,$R1994),2)*SIGN($U1994),ROUND($U1994*$V1994,2))))</f>
        <v>0</v>
      </c>
      <c r="X1994" s="24" t="str">
        <f aca="false">IF($N1994="","",IFERROR(INDEX(VAT_Codes!$H:$H,MATCH($N1994,VAT_Codes!$A:$A,0)),"")&amp;"")</f>
        <v/>
      </c>
      <c r="Y1994" s="24" t="str">
        <f aca="false">IF($A1994="","",(YEAR($A1994)-YEAR(Settings!$C$8))*12+MONTH($A1994)-MONTH(Settings!$C$8)+1)</f>
        <v/>
      </c>
      <c r="Z1994" s="24" t="str">
        <f aca="false">IF(AND($C1994="",$I1994="",$J1994=""),"",IF($N1994="","NO VAT CODE",IF($T1994="","UNKNOWN VAT CODE",IF($S1994="","MISSING FX RATE",IF(OR($A1994&lt;Settings!$C$8,$A1994&gt;Settings!$C$9),"OUTSIDE PERIOD",IF(AND(IFERROR(INDEX(VAT_Codes!$E:$E,MATCH($N1994,VAT_Codes!$A:$A,0)),"ANY")&lt;&gt;"ANY",$P1994=""),"MISSING COUNTERPARTY COUNTRY",IF(AND(IFERROR(INDEX(VAT_Codes!$E:$E,MATCH($N1994,VAT_Codes!$A:$A,0)),"ANY")&lt;&gt;"ANY",$P1994&lt;&gt;IFERROR(INDEX(VAT_Codes!$E:$E,MATCH($N1994,VAT_Codes!$A:$A,0)),"ANY")),"REGION MISMATCH","OK")))))))</f>
        <v/>
      </c>
    </row>
    <row r="1995" customFormat="false" ht="15" hidden="false" customHeight="false" outlineLevel="0" collapsed="false">
      <c r="M1995" s="24" t="str">
        <f aca="false">IF($C1995="","",IFERROR(INDEX(Account_Mapping!$C:$C,MATCH($C1995&amp;"",Account_Mapping!$A:$A,0))&amp;"",""))</f>
        <v/>
      </c>
      <c r="N1995" s="24" t="str">
        <f aca="false">IF($K1995&lt;&gt;"",$K1995,$M1995)</f>
        <v/>
      </c>
      <c r="O1995" s="24" t="str">
        <f aca="false">IF($F1995="","",IFERROR(INDEX(Counterparties!$C:$C,MATCH($F1995&amp;"",Counterparties!$A:$A,0))&amp;"",""))</f>
        <v/>
      </c>
      <c r="P1995" s="24" t="str">
        <f aca="false">IF($O1995="","",IF($O1995="CY","CY",IF(ISNUMBER(MATCH($O1995,Lists!$A:$A,0)),"EU","3RD")))</f>
        <v/>
      </c>
      <c r="Q1995" s="24" t="str">
        <f aca="false">IF($F1995="","N",IFERROR(IF(INDEX(Counterparties!$E:$E,MATCH($F1995&amp;"",Counterparties!$A:$A,0))="Y","Y","N"),"N"))</f>
        <v>N</v>
      </c>
      <c r="R1995" s="25" t="n">
        <f aca="false">IF(OR($H1995="",$H1995="EUR"),1,IFERROR(INDEX(FX_Rates!$D:$D,MATCH($H1995,FX_Rates!$A:$A,0)),""))</f>
        <v>1</v>
      </c>
      <c r="S1995" s="26" t="str">
        <f aca="false">IF(AND($I1995="",$J1995=""),"",IF($J1995&lt;&gt;"",$J1995,IF(OR($R1995="",$R1995=0),"",ROUND($I1995/$R1995,2))))</f>
        <v/>
      </c>
      <c r="T1995" s="24" t="str">
        <f aca="false">IF($N1995="","",IFERROR(INDEX(VAT_Codes!$C:$C,MATCH($N1995,VAT_Codes!$A:$A,0)),"")&amp;"")</f>
        <v/>
      </c>
      <c r="U1995" s="26" t="n">
        <f aca="false">IF(OR($S1995="",$T1995="",$T1995="None"),0,IF($T1995="Output",-$S1995,$S1995))</f>
        <v>0</v>
      </c>
      <c r="V1995" s="27" t="n">
        <f aca="false">IF($N1995="",0,IFERROR(INDEX(VAT_Codes!$D:$D,MATCH($N1995,VAT_Codes!$A:$A,0)),0))</f>
        <v>0</v>
      </c>
      <c r="W1995" s="26" t="n">
        <f aca="false">IF($U1995=0,0,IF(IFERROR(INDEX(VAT_Codes!$F:$F,MATCH($N1995,VAT_Codes!$A:$A,0)),"N")="Y",$U1995,IF($L1995&lt;&gt;"",ROUND(ABS($L1995)/IF(OR($R1995="",$R1995=0),1,$R1995),2)*SIGN($U1995),ROUND($U1995*$V1995,2))))</f>
        <v>0</v>
      </c>
      <c r="X1995" s="24" t="str">
        <f aca="false">IF($N1995="","",IFERROR(INDEX(VAT_Codes!$H:$H,MATCH($N1995,VAT_Codes!$A:$A,0)),"")&amp;"")</f>
        <v/>
      </c>
      <c r="Y1995" s="24" t="str">
        <f aca="false">IF($A1995="","",(YEAR($A1995)-YEAR(Settings!$C$8))*12+MONTH($A1995)-MONTH(Settings!$C$8)+1)</f>
        <v/>
      </c>
      <c r="Z1995" s="24" t="str">
        <f aca="false">IF(AND($C1995="",$I1995="",$J1995=""),"",IF($N1995="","NO VAT CODE",IF($T1995="","UNKNOWN VAT CODE",IF($S1995="","MISSING FX RATE",IF(OR($A1995&lt;Settings!$C$8,$A1995&gt;Settings!$C$9),"OUTSIDE PERIOD",IF(AND(IFERROR(INDEX(VAT_Codes!$E:$E,MATCH($N1995,VAT_Codes!$A:$A,0)),"ANY")&lt;&gt;"ANY",$P1995=""),"MISSING COUNTERPARTY COUNTRY",IF(AND(IFERROR(INDEX(VAT_Codes!$E:$E,MATCH($N1995,VAT_Codes!$A:$A,0)),"ANY")&lt;&gt;"ANY",$P1995&lt;&gt;IFERROR(INDEX(VAT_Codes!$E:$E,MATCH($N1995,VAT_Codes!$A:$A,0)),"ANY")),"REGION MISMATCH","OK")))))))</f>
        <v/>
      </c>
    </row>
    <row r="1996" customFormat="false" ht="15" hidden="false" customHeight="false" outlineLevel="0" collapsed="false">
      <c r="M1996" s="24" t="str">
        <f aca="false">IF($C1996="","",IFERROR(INDEX(Account_Mapping!$C:$C,MATCH($C1996&amp;"",Account_Mapping!$A:$A,0))&amp;"",""))</f>
        <v/>
      </c>
      <c r="N1996" s="24" t="str">
        <f aca="false">IF($K1996&lt;&gt;"",$K1996,$M1996)</f>
        <v/>
      </c>
      <c r="O1996" s="24" t="str">
        <f aca="false">IF($F1996="","",IFERROR(INDEX(Counterparties!$C:$C,MATCH($F1996&amp;"",Counterparties!$A:$A,0))&amp;"",""))</f>
        <v/>
      </c>
      <c r="P1996" s="24" t="str">
        <f aca="false">IF($O1996="","",IF($O1996="CY","CY",IF(ISNUMBER(MATCH($O1996,Lists!$A:$A,0)),"EU","3RD")))</f>
        <v/>
      </c>
      <c r="Q1996" s="24" t="str">
        <f aca="false">IF($F1996="","N",IFERROR(IF(INDEX(Counterparties!$E:$E,MATCH($F1996&amp;"",Counterparties!$A:$A,0))="Y","Y","N"),"N"))</f>
        <v>N</v>
      </c>
      <c r="R1996" s="25" t="n">
        <f aca="false">IF(OR($H1996="",$H1996="EUR"),1,IFERROR(INDEX(FX_Rates!$D:$D,MATCH($H1996,FX_Rates!$A:$A,0)),""))</f>
        <v>1</v>
      </c>
      <c r="S1996" s="26" t="str">
        <f aca="false">IF(AND($I1996="",$J1996=""),"",IF($J1996&lt;&gt;"",$J1996,IF(OR($R1996="",$R1996=0),"",ROUND($I1996/$R1996,2))))</f>
        <v/>
      </c>
      <c r="T1996" s="24" t="str">
        <f aca="false">IF($N1996="","",IFERROR(INDEX(VAT_Codes!$C:$C,MATCH($N1996,VAT_Codes!$A:$A,0)),"")&amp;"")</f>
        <v/>
      </c>
      <c r="U1996" s="26" t="n">
        <f aca="false">IF(OR($S1996="",$T1996="",$T1996="None"),0,IF($T1996="Output",-$S1996,$S1996))</f>
        <v>0</v>
      </c>
      <c r="V1996" s="27" t="n">
        <f aca="false">IF($N1996="",0,IFERROR(INDEX(VAT_Codes!$D:$D,MATCH($N1996,VAT_Codes!$A:$A,0)),0))</f>
        <v>0</v>
      </c>
      <c r="W1996" s="26" t="n">
        <f aca="false">IF($U1996=0,0,IF(IFERROR(INDEX(VAT_Codes!$F:$F,MATCH($N1996,VAT_Codes!$A:$A,0)),"N")="Y",$U1996,IF($L1996&lt;&gt;"",ROUND(ABS($L1996)/IF(OR($R1996="",$R1996=0),1,$R1996),2)*SIGN($U1996),ROUND($U1996*$V1996,2))))</f>
        <v>0</v>
      </c>
      <c r="X1996" s="24" t="str">
        <f aca="false">IF($N1996="","",IFERROR(INDEX(VAT_Codes!$H:$H,MATCH($N1996,VAT_Codes!$A:$A,0)),"")&amp;"")</f>
        <v/>
      </c>
      <c r="Y1996" s="24" t="str">
        <f aca="false">IF($A1996="","",(YEAR($A1996)-YEAR(Settings!$C$8))*12+MONTH($A1996)-MONTH(Settings!$C$8)+1)</f>
        <v/>
      </c>
      <c r="Z1996" s="24" t="str">
        <f aca="false">IF(AND($C1996="",$I1996="",$J1996=""),"",IF($N1996="","NO VAT CODE",IF($T1996="","UNKNOWN VAT CODE",IF($S1996="","MISSING FX RATE",IF(OR($A1996&lt;Settings!$C$8,$A1996&gt;Settings!$C$9),"OUTSIDE PERIOD",IF(AND(IFERROR(INDEX(VAT_Codes!$E:$E,MATCH($N1996,VAT_Codes!$A:$A,0)),"ANY")&lt;&gt;"ANY",$P1996=""),"MISSING COUNTERPARTY COUNTRY",IF(AND(IFERROR(INDEX(VAT_Codes!$E:$E,MATCH($N1996,VAT_Codes!$A:$A,0)),"ANY")&lt;&gt;"ANY",$P1996&lt;&gt;IFERROR(INDEX(VAT_Codes!$E:$E,MATCH($N1996,VAT_Codes!$A:$A,0)),"ANY")),"REGION MISMATCH","OK")))))))</f>
        <v/>
      </c>
    </row>
    <row r="1997" customFormat="false" ht="15" hidden="false" customHeight="false" outlineLevel="0" collapsed="false">
      <c r="M1997" s="24" t="str">
        <f aca="false">IF($C1997="","",IFERROR(INDEX(Account_Mapping!$C:$C,MATCH($C1997&amp;"",Account_Mapping!$A:$A,0))&amp;"",""))</f>
        <v/>
      </c>
      <c r="N1997" s="24" t="str">
        <f aca="false">IF($K1997&lt;&gt;"",$K1997,$M1997)</f>
        <v/>
      </c>
      <c r="O1997" s="24" t="str">
        <f aca="false">IF($F1997="","",IFERROR(INDEX(Counterparties!$C:$C,MATCH($F1997&amp;"",Counterparties!$A:$A,0))&amp;"",""))</f>
        <v/>
      </c>
      <c r="P1997" s="24" t="str">
        <f aca="false">IF($O1997="","",IF($O1997="CY","CY",IF(ISNUMBER(MATCH($O1997,Lists!$A:$A,0)),"EU","3RD")))</f>
        <v/>
      </c>
      <c r="Q1997" s="24" t="str">
        <f aca="false">IF($F1997="","N",IFERROR(IF(INDEX(Counterparties!$E:$E,MATCH($F1997&amp;"",Counterparties!$A:$A,0))="Y","Y","N"),"N"))</f>
        <v>N</v>
      </c>
      <c r="R1997" s="25" t="n">
        <f aca="false">IF(OR($H1997="",$H1997="EUR"),1,IFERROR(INDEX(FX_Rates!$D:$D,MATCH($H1997,FX_Rates!$A:$A,0)),""))</f>
        <v>1</v>
      </c>
      <c r="S1997" s="26" t="str">
        <f aca="false">IF(AND($I1997="",$J1997=""),"",IF($J1997&lt;&gt;"",$J1997,IF(OR($R1997="",$R1997=0),"",ROUND($I1997/$R1997,2))))</f>
        <v/>
      </c>
      <c r="T1997" s="24" t="str">
        <f aca="false">IF($N1997="","",IFERROR(INDEX(VAT_Codes!$C:$C,MATCH($N1997,VAT_Codes!$A:$A,0)),"")&amp;"")</f>
        <v/>
      </c>
      <c r="U1997" s="26" t="n">
        <f aca="false">IF(OR($S1997="",$T1997="",$T1997="None"),0,IF($T1997="Output",-$S1997,$S1997))</f>
        <v>0</v>
      </c>
      <c r="V1997" s="27" t="n">
        <f aca="false">IF($N1997="",0,IFERROR(INDEX(VAT_Codes!$D:$D,MATCH($N1997,VAT_Codes!$A:$A,0)),0))</f>
        <v>0</v>
      </c>
      <c r="W1997" s="26" t="n">
        <f aca="false">IF($U1997=0,0,IF(IFERROR(INDEX(VAT_Codes!$F:$F,MATCH($N1997,VAT_Codes!$A:$A,0)),"N")="Y",$U1997,IF($L1997&lt;&gt;"",ROUND(ABS($L1997)/IF(OR($R1997="",$R1997=0),1,$R1997),2)*SIGN($U1997),ROUND($U1997*$V1997,2))))</f>
        <v>0</v>
      </c>
      <c r="X1997" s="24" t="str">
        <f aca="false">IF($N1997="","",IFERROR(INDEX(VAT_Codes!$H:$H,MATCH($N1997,VAT_Codes!$A:$A,0)),"")&amp;"")</f>
        <v/>
      </c>
      <c r="Y1997" s="24" t="str">
        <f aca="false">IF($A1997="","",(YEAR($A1997)-YEAR(Settings!$C$8))*12+MONTH($A1997)-MONTH(Settings!$C$8)+1)</f>
        <v/>
      </c>
      <c r="Z1997" s="24" t="str">
        <f aca="false">IF(AND($C1997="",$I1997="",$J1997=""),"",IF($N1997="","NO VAT CODE",IF($T1997="","UNKNOWN VAT CODE",IF($S1997="","MISSING FX RATE",IF(OR($A1997&lt;Settings!$C$8,$A1997&gt;Settings!$C$9),"OUTSIDE PERIOD",IF(AND(IFERROR(INDEX(VAT_Codes!$E:$E,MATCH($N1997,VAT_Codes!$A:$A,0)),"ANY")&lt;&gt;"ANY",$P1997=""),"MISSING COUNTERPARTY COUNTRY",IF(AND(IFERROR(INDEX(VAT_Codes!$E:$E,MATCH($N1997,VAT_Codes!$A:$A,0)),"ANY")&lt;&gt;"ANY",$P1997&lt;&gt;IFERROR(INDEX(VAT_Codes!$E:$E,MATCH($N1997,VAT_Codes!$A:$A,0)),"ANY")),"REGION MISMATCH","OK")))))))</f>
        <v/>
      </c>
    </row>
    <row r="1998" customFormat="false" ht="15" hidden="false" customHeight="false" outlineLevel="0" collapsed="false">
      <c r="M1998" s="24" t="str">
        <f aca="false">IF($C1998="","",IFERROR(INDEX(Account_Mapping!$C:$C,MATCH($C1998&amp;"",Account_Mapping!$A:$A,0))&amp;"",""))</f>
        <v/>
      </c>
      <c r="N1998" s="24" t="str">
        <f aca="false">IF($K1998&lt;&gt;"",$K1998,$M1998)</f>
        <v/>
      </c>
      <c r="O1998" s="24" t="str">
        <f aca="false">IF($F1998="","",IFERROR(INDEX(Counterparties!$C:$C,MATCH($F1998&amp;"",Counterparties!$A:$A,0))&amp;"",""))</f>
        <v/>
      </c>
      <c r="P1998" s="24" t="str">
        <f aca="false">IF($O1998="","",IF($O1998="CY","CY",IF(ISNUMBER(MATCH($O1998,Lists!$A:$A,0)),"EU","3RD")))</f>
        <v/>
      </c>
      <c r="Q1998" s="24" t="str">
        <f aca="false">IF($F1998="","N",IFERROR(IF(INDEX(Counterparties!$E:$E,MATCH($F1998&amp;"",Counterparties!$A:$A,0))="Y","Y","N"),"N"))</f>
        <v>N</v>
      </c>
      <c r="R1998" s="25" t="n">
        <f aca="false">IF(OR($H1998="",$H1998="EUR"),1,IFERROR(INDEX(FX_Rates!$D:$D,MATCH($H1998,FX_Rates!$A:$A,0)),""))</f>
        <v>1</v>
      </c>
      <c r="S1998" s="26" t="str">
        <f aca="false">IF(AND($I1998="",$J1998=""),"",IF($J1998&lt;&gt;"",$J1998,IF(OR($R1998="",$R1998=0),"",ROUND($I1998/$R1998,2))))</f>
        <v/>
      </c>
      <c r="T1998" s="24" t="str">
        <f aca="false">IF($N1998="","",IFERROR(INDEX(VAT_Codes!$C:$C,MATCH($N1998,VAT_Codes!$A:$A,0)),"")&amp;"")</f>
        <v/>
      </c>
      <c r="U1998" s="26" t="n">
        <f aca="false">IF(OR($S1998="",$T1998="",$T1998="None"),0,IF($T1998="Output",-$S1998,$S1998))</f>
        <v>0</v>
      </c>
      <c r="V1998" s="27" t="n">
        <f aca="false">IF($N1998="",0,IFERROR(INDEX(VAT_Codes!$D:$D,MATCH($N1998,VAT_Codes!$A:$A,0)),0))</f>
        <v>0</v>
      </c>
      <c r="W1998" s="26" t="n">
        <f aca="false">IF($U1998=0,0,IF(IFERROR(INDEX(VAT_Codes!$F:$F,MATCH($N1998,VAT_Codes!$A:$A,0)),"N")="Y",$U1998,IF($L1998&lt;&gt;"",ROUND(ABS($L1998)/IF(OR($R1998="",$R1998=0),1,$R1998),2)*SIGN($U1998),ROUND($U1998*$V1998,2))))</f>
        <v>0</v>
      </c>
      <c r="X1998" s="24" t="str">
        <f aca="false">IF($N1998="","",IFERROR(INDEX(VAT_Codes!$H:$H,MATCH($N1998,VAT_Codes!$A:$A,0)),"")&amp;"")</f>
        <v/>
      </c>
      <c r="Y1998" s="24" t="str">
        <f aca="false">IF($A1998="","",(YEAR($A1998)-YEAR(Settings!$C$8))*12+MONTH($A1998)-MONTH(Settings!$C$8)+1)</f>
        <v/>
      </c>
      <c r="Z1998" s="24" t="str">
        <f aca="false">IF(AND($C1998="",$I1998="",$J1998=""),"",IF($N1998="","NO VAT CODE",IF($T1998="","UNKNOWN VAT CODE",IF($S1998="","MISSING FX RATE",IF(OR($A1998&lt;Settings!$C$8,$A1998&gt;Settings!$C$9),"OUTSIDE PERIOD",IF(AND(IFERROR(INDEX(VAT_Codes!$E:$E,MATCH($N1998,VAT_Codes!$A:$A,0)),"ANY")&lt;&gt;"ANY",$P1998=""),"MISSING COUNTERPARTY COUNTRY",IF(AND(IFERROR(INDEX(VAT_Codes!$E:$E,MATCH($N1998,VAT_Codes!$A:$A,0)),"ANY")&lt;&gt;"ANY",$P1998&lt;&gt;IFERROR(INDEX(VAT_Codes!$E:$E,MATCH($N1998,VAT_Codes!$A:$A,0)),"ANY")),"REGION MISMATCH","OK")))))))</f>
        <v/>
      </c>
    </row>
    <row r="1999" customFormat="false" ht="15" hidden="false" customHeight="false" outlineLevel="0" collapsed="false">
      <c r="M1999" s="24" t="str">
        <f aca="false">IF($C1999="","",IFERROR(INDEX(Account_Mapping!$C:$C,MATCH($C1999&amp;"",Account_Mapping!$A:$A,0))&amp;"",""))</f>
        <v/>
      </c>
      <c r="N1999" s="24" t="str">
        <f aca="false">IF($K1999&lt;&gt;"",$K1999,$M1999)</f>
        <v/>
      </c>
      <c r="O1999" s="24" t="str">
        <f aca="false">IF($F1999="","",IFERROR(INDEX(Counterparties!$C:$C,MATCH($F1999&amp;"",Counterparties!$A:$A,0))&amp;"",""))</f>
        <v/>
      </c>
      <c r="P1999" s="24" t="str">
        <f aca="false">IF($O1999="","",IF($O1999="CY","CY",IF(ISNUMBER(MATCH($O1999,Lists!$A:$A,0)),"EU","3RD")))</f>
        <v/>
      </c>
      <c r="Q1999" s="24" t="str">
        <f aca="false">IF($F1999="","N",IFERROR(IF(INDEX(Counterparties!$E:$E,MATCH($F1999&amp;"",Counterparties!$A:$A,0))="Y","Y","N"),"N"))</f>
        <v>N</v>
      </c>
      <c r="R1999" s="25" t="n">
        <f aca="false">IF(OR($H1999="",$H1999="EUR"),1,IFERROR(INDEX(FX_Rates!$D:$D,MATCH($H1999,FX_Rates!$A:$A,0)),""))</f>
        <v>1</v>
      </c>
      <c r="S1999" s="26" t="str">
        <f aca="false">IF(AND($I1999="",$J1999=""),"",IF($J1999&lt;&gt;"",$J1999,IF(OR($R1999="",$R1999=0),"",ROUND($I1999/$R1999,2))))</f>
        <v/>
      </c>
      <c r="T1999" s="24" t="str">
        <f aca="false">IF($N1999="","",IFERROR(INDEX(VAT_Codes!$C:$C,MATCH($N1999,VAT_Codes!$A:$A,0)),"")&amp;"")</f>
        <v/>
      </c>
      <c r="U1999" s="26" t="n">
        <f aca="false">IF(OR($S1999="",$T1999="",$T1999="None"),0,IF($T1999="Output",-$S1999,$S1999))</f>
        <v>0</v>
      </c>
      <c r="V1999" s="27" t="n">
        <f aca="false">IF($N1999="",0,IFERROR(INDEX(VAT_Codes!$D:$D,MATCH($N1999,VAT_Codes!$A:$A,0)),0))</f>
        <v>0</v>
      </c>
      <c r="W1999" s="26" t="n">
        <f aca="false">IF($U1999=0,0,IF(IFERROR(INDEX(VAT_Codes!$F:$F,MATCH($N1999,VAT_Codes!$A:$A,0)),"N")="Y",$U1999,IF($L1999&lt;&gt;"",ROUND(ABS($L1999)/IF(OR($R1999="",$R1999=0),1,$R1999),2)*SIGN($U1999),ROUND($U1999*$V1999,2))))</f>
        <v>0</v>
      </c>
      <c r="X1999" s="24" t="str">
        <f aca="false">IF($N1999="","",IFERROR(INDEX(VAT_Codes!$H:$H,MATCH($N1999,VAT_Codes!$A:$A,0)),"")&amp;"")</f>
        <v/>
      </c>
      <c r="Y1999" s="24" t="str">
        <f aca="false">IF($A1999="","",(YEAR($A1999)-YEAR(Settings!$C$8))*12+MONTH($A1999)-MONTH(Settings!$C$8)+1)</f>
        <v/>
      </c>
      <c r="Z1999" s="24" t="str">
        <f aca="false">IF(AND($C1999="",$I1999="",$J1999=""),"",IF($N1999="","NO VAT CODE",IF($T1999="","UNKNOWN VAT CODE",IF($S1999="","MISSING FX RATE",IF(OR($A1999&lt;Settings!$C$8,$A1999&gt;Settings!$C$9),"OUTSIDE PERIOD",IF(AND(IFERROR(INDEX(VAT_Codes!$E:$E,MATCH($N1999,VAT_Codes!$A:$A,0)),"ANY")&lt;&gt;"ANY",$P1999=""),"MISSING COUNTERPARTY COUNTRY",IF(AND(IFERROR(INDEX(VAT_Codes!$E:$E,MATCH($N1999,VAT_Codes!$A:$A,0)),"ANY")&lt;&gt;"ANY",$P1999&lt;&gt;IFERROR(INDEX(VAT_Codes!$E:$E,MATCH($N1999,VAT_Codes!$A:$A,0)),"ANY")),"REGION MISMATCH","OK")))))))</f>
        <v/>
      </c>
    </row>
    <row r="2000" customFormat="false" ht="15" hidden="false" customHeight="false" outlineLevel="0" collapsed="false">
      <c r="M2000" s="24" t="str">
        <f aca="false">IF($C2000="","",IFERROR(INDEX(Account_Mapping!$C:$C,MATCH($C2000&amp;"",Account_Mapping!$A:$A,0))&amp;"",""))</f>
        <v/>
      </c>
      <c r="N2000" s="24" t="str">
        <f aca="false">IF($K2000&lt;&gt;"",$K2000,$M2000)</f>
        <v/>
      </c>
      <c r="O2000" s="24" t="str">
        <f aca="false">IF($F2000="","",IFERROR(INDEX(Counterparties!$C:$C,MATCH($F2000&amp;"",Counterparties!$A:$A,0))&amp;"",""))</f>
        <v/>
      </c>
      <c r="P2000" s="24" t="str">
        <f aca="false">IF($O2000="","",IF($O2000="CY","CY",IF(ISNUMBER(MATCH($O2000,Lists!$A:$A,0)),"EU","3RD")))</f>
        <v/>
      </c>
      <c r="Q2000" s="24" t="str">
        <f aca="false">IF($F2000="","N",IFERROR(IF(INDEX(Counterparties!$E:$E,MATCH($F2000&amp;"",Counterparties!$A:$A,0))="Y","Y","N"),"N"))</f>
        <v>N</v>
      </c>
      <c r="R2000" s="25" t="n">
        <f aca="false">IF(OR($H2000="",$H2000="EUR"),1,IFERROR(INDEX(FX_Rates!$D:$D,MATCH($H2000,FX_Rates!$A:$A,0)),""))</f>
        <v>1</v>
      </c>
      <c r="S2000" s="26" t="str">
        <f aca="false">IF(AND($I2000="",$J2000=""),"",IF($J2000&lt;&gt;"",$J2000,IF(OR($R2000="",$R2000=0),"",ROUND($I2000/$R2000,2))))</f>
        <v/>
      </c>
      <c r="T2000" s="24" t="str">
        <f aca="false">IF($N2000="","",IFERROR(INDEX(VAT_Codes!$C:$C,MATCH($N2000,VAT_Codes!$A:$A,0)),"")&amp;"")</f>
        <v/>
      </c>
      <c r="U2000" s="26" t="n">
        <f aca="false">IF(OR($S2000="",$T2000="",$T2000="None"),0,IF($T2000="Output",-$S2000,$S2000))</f>
        <v>0</v>
      </c>
      <c r="V2000" s="27" t="n">
        <f aca="false">IF($N2000="",0,IFERROR(INDEX(VAT_Codes!$D:$D,MATCH($N2000,VAT_Codes!$A:$A,0)),0))</f>
        <v>0</v>
      </c>
      <c r="W2000" s="26" t="n">
        <f aca="false">IF($U2000=0,0,IF(IFERROR(INDEX(VAT_Codes!$F:$F,MATCH($N2000,VAT_Codes!$A:$A,0)),"N")="Y",$U2000,IF($L2000&lt;&gt;"",ROUND(ABS($L2000)/IF(OR($R2000="",$R2000=0),1,$R2000),2)*SIGN($U2000),ROUND($U2000*$V2000,2))))</f>
        <v>0</v>
      </c>
      <c r="X2000" s="24" t="str">
        <f aca="false">IF($N2000="","",IFERROR(INDEX(VAT_Codes!$H:$H,MATCH($N2000,VAT_Codes!$A:$A,0)),"")&amp;"")</f>
        <v/>
      </c>
      <c r="Y2000" s="24" t="str">
        <f aca="false">IF($A2000="","",(YEAR($A2000)-YEAR(Settings!$C$8))*12+MONTH($A2000)-MONTH(Settings!$C$8)+1)</f>
        <v/>
      </c>
      <c r="Z2000" s="24" t="str">
        <f aca="false">IF(AND($C2000="",$I2000="",$J2000=""),"",IF($N2000="","NO VAT CODE",IF($T2000="","UNKNOWN VAT CODE",IF($S2000="","MISSING FX RATE",IF(OR($A2000&lt;Settings!$C$8,$A2000&gt;Settings!$C$9),"OUTSIDE PERIOD",IF(AND(IFERROR(INDEX(VAT_Codes!$E:$E,MATCH($N2000,VAT_Codes!$A:$A,0)),"ANY")&lt;&gt;"ANY",$P2000=""),"MISSING COUNTERPARTY COUNTRY",IF(AND(IFERROR(INDEX(VAT_Codes!$E:$E,MATCH($N2000,VAT_Codes!$A:$A,0)),"ANY")&lt;&gt;"ANY",$P2000&lt;&gt;IFERROR(INDEX(VAT_Codes!$E:$E,MATCH($N2000,VAT_Codes!$A:$A,0)),"ANY")),"REGION MISMATCH","OK")))))))</f>
        <v/>
      </c>
    </row>
    <row r="2001" customFormat="false" ht="15" hidden="false" customHeight="false" outlineLevel="0" collapsed="false">
      <c r="M2001" s="24" t="str">
        <f aca="false">IF($C2001="","",IFERROR(INDEX(Account_Mapping!$C:$C,MATCH($C2001&amp;"",Account_Mapping!$A:$A,0))&amp;"",""))</f>
        <v/>
      </c>
      <c r="N2001" s="24" t="str">
        <f aca="false">IF($K2001&lt;&gt;"",$K2001,$M2001)</f>
        <v/>
      </c>
      <c r="O2001" s="24" t="str">
        <f aca="false">IF($F2001="","",IFERROR(INDEX(Counterparties!$C:$C,MATCH($F2001&amp;"",Counterparties!$A:$A,0))&amp;"",""))</f>
        <v/>
      </c>
      <c r="P2001" s="24" t="str">
        <f aca="false">IF($O2001="","",IF($O2001="CY","CY",IF(ISNUMBER(MATCH($O2001,Lists!$A:$A,0)),"EU","3RD")))</f>
        <v/>
      </c>
      <c r="Q2001" s="24" t="str">
        <f aca="false">IF($F2001="","N",IFERROR(IF(INDEX(Counterparties!$E:$E,MATCH($F2001&amp;"",Counterparties!$A:$A,0))="Y","Y","N"),"N"))</f>
        <v>N</v>
      </c>
      <c r="R2001" s="25" t="n">
        <f aca="false">IF(OR($H2001="",$H2001="EUR"),1,IFERROR(INDEX(FX_Rates!$D:$D,MATCH($H2001,FX_Rates!$A:$A,0)),""))</f>
        <v>1</v>
      </c>
      <c r="S2001" s="26" t="str">
        <f aca="false">IF(AND($I2001="",$J2001=""),"",IF($J2001&lt;&gt;"",$J2001,IF(OR($R2001="",$R2001=0),"",ROUND($I2001/$R2001,2))))</f>
        <v/>
      </c>
      <c r="T2001" s="24" t="str">
        <f aca="false">IF($N2001="","",IFERROR(INDEX(VAT_Codes!$C:$C,MATCH($N2001,VAT_Codes!$A:$A,0)),"")&amp;"")</f>
        <v/>
      </c>
      <c r="U2001" s="26" t="n">
        <f aca="false">IF(OR($S2001="",$T2001="",$T2001="None"),0,IF($T2001="Output",-$S2001,$S2001))</f>
        <v>0</v>
      </c>
      <c r="V2001" s="27" t="n">
        <f aca="false">IF($N2001="",0,IFERROR(INDEX(VAT_Codes!$D:$D,MATCH($N2001,VAT_Codes!$A:$A,0)),0))</f>
        <v>0</v>
      </c>
      <c r="W2001" s="26" t="n">
        <f aca="false">IF($U2001=0,0,IF(IFERROR(INDEX(VAT_Codes!$F:$F,MATCH($N2001,VAT_Codes!$A:$A,0)),"N")="Y",$U2001,IF($L2001&lt;&gt;"",ROUND(ABS($L2001)/IF(OR($R2001="",$R2001=0),1,$R2001),2)*SIGN($U2001),ROUND($U2001*$V2001,2))))</f>
        <v>0</v>
      </c>
      <c r="X2001" s="24" t="str">
        <f aca="false">IF($N2001="","",IFERROR(INDEX(VAT_Codes!$H:$H,MATCH($N2001,VAT_Codes!$A:$A,0)),"")&amp;"")</f>
        <v/>
      </c>
      <c r="Y2001" s="24" t="str">
        <f aca="false">IF($A2001="","",(YEAR($A2001)-YEAR(Settings!$C$8))*12+MONTH($A2001)-MONTH(Settings!$C$8)+1)</f>
        <v/>
      </c>
      <c r="Z2001" s="24" t="str">
        <f aca="false">IF(AND($C2001="",$I2001="",$J2001=""),"",IF($N2001="","NO VAT CODE",IF($T2001="","UNKNOWN VAT CODE",IF($S2001="","MISSING FX RATE",IF(OR($A2001&lt;Settings!$C$8,$A2001&gt;Settings!$C$9),"OUTSIDE PERIOD",IF(AND(IFERROR(INDEX(VAT_Codes!$E:$E,MATCH($N2001,VAT_Codes!$A:$A,0)),"ANY")&lt;&gt;"ANY",$P2001=""),"MISSING COUNTERPARTY COUNTRY",IF(AND(IFERROR(INDEX(VAT_Codes!$E:$E,MATCH($N2001,VAT_Codes!$A:$A,0)),"ANY")&lt;&gt;"ANY",$P2001&lt;&gt;IFERROR(INDEX(VAT_Codes!$E:$E,MATCH($N2001,VAT_Codes!$A:$A,0)),"ANY")),"REGION MISMATCH","OK")))))))</f>
        <v/>
      </c>
    </row>
    <row r="2002" customFormat="false" ht="15" hidden="false" customHeight="false" outlineLevel="0" collapsed="false">
      <c r="M2002" s="24" t="str">
        <f aca="false">IF($C2002="","",IFERROR(INDEX(Account_Mapping!$C:$C,MATCH($C2002&amp;"",Account_Mapping!$A:$A,0))&amp;"",""))</f>
        <v/>
      </c>
      <c r="N2002" s="24" t="str">
        <f aca="false">IF($K2002&lt;&gt;"",$K2002,$M2002)</f>
        <v/>
      </c>
      <c r="O2002" s="24" t="str">
        <f aca="false">IF($F2002="","",IFERROR(INDEX(Counterparties!$C:$C,MATCH($F2002&amp;"",Counterparties!$A:$A,0))&amp;"",""))</f>
        <v/>
      </c>
      <c r="P2002" s="24" t="str">
        <f aca="false">IF($O2002="","",IF($O2002="CY","CY",IF(ISNUMBER(MATCH($O2002,Lists!$A:$A,0)),"EU","3RD")))</f>
        <v/>
      </c>
      <c r="Q2002" s="24" t="str">
        <f aca="false">IF($F2002="","N",IFERROR(IF(INDEX(Counterparties!$E:$E,MATCH($F2002&amp;"",Counterparties!$A:$A,0))="Y","Y","N"),"N"))</f>
        <v>N</v>
      </c>
      <c r="R2002" s="25" t="n">
        <f aca="false">IF(OR($H2002="",$H2002="EUR"),1,IFERROR(INDEX(FX_Rates!$D:$D,MATCH($H2002,FX_Rates!$A:$A,0)),""))</f>
        <v>1</v>
      </c>
      <c r="S2002" s="26" t="str">
        <f aca="false">IF(AND($I2002="",$J2002=""),"",IF($J2002&lt;&gt;"",$J2002,IF(OR($R2002="",$R2002=0),"",ROUND($I2002/$R2002,2))))</f>
        <v/>
      </c>
      <c r="T2002" s="24" t="str">
        <f aca="false">IF($N2002="","",IFERROR(INDEX(VAT_Codes!$C:$C,MATCH($N2002,VAT_Codes!$A:$A,0)),"")&amp;"")</f>
        <v/>
      </c>
      <c r="U2002" s="26" t="n">
        <f aca="false">IF(OR($S2002="",$T2002="",$T2002="None"),0,IF($T2002="Output",-$S2002,$S2002))</f>
        <v>0</v>
      </c>
      <c r="V2002" s="27" t="n">
        <f aca="false">IF($N2002="",0,IFERROR(INDEX(VAT_Codes!$D:$D,MATCH($N2002,VAT_Codes!$A:$A,0)),0))</f>
        <v>0</v>
      </c>
      <c r="W2002" s="26" t="n">
        <f aca="false">IF($U2002=0,0,IF(IFERROR(INDEX(VAT_Codes!$F:$F,MATCH($N2002,VAT_Codes!$A:$A,0)),"N")="Y",$U2002,IF($L2002&lt;&gt;"",ROUND(ABS($L2002)/IF(OR($R2002="",$R2002=0),1,$R2002),2)*SIGN($U2002),ROUND($U2002*$V2002,2))))</f>
        <v>0</v>
      </c>
      <c r="X2002" s="24" t="str">
        <f aca="false">IF($N2002="","",IFERROR(INDEX(VAT_Codes!$H:$H,MATCH($N2002,VAT_Codes!$A:$A,0)),"")&amp;"")</f>
        <v/>
      </c>
      <c r="Y2002" s="24" t="str">
        <f aca="false">IF($A2002="","",(YEAR($A2002)-YEAR(Settings!$C$8))*12+MONTH($A2002)-MONTH(Settings!$C$8)+1)</f>
        <v/>
      </c>
      <c r="Z2002" s="24" t="str">
        <f aca="false">IF(AND($C2002="",$I2002="",$J2002=""),"",IF($N2002="","NO VAT CODE",IF($T2002="","UNKNOWN VAT CODE",IF($S2002="","MISSING FX RATE",IF(OR($A2002&lt;Settings!$C$8,$A2002&gt;Settings!$C$9),"OUTSIDE PERIOD",IF(AND(IFERROR(INDEX(VAT_Codes!$E:$E,MATCH($N2002,VAT_Codes!$A:$A,0)),"ANY")&lt;&gt;"ANY",$P2002=""),"MISSING COUNTERPARTY COUNTRY",IF(AND(IFERROR(INDEX(VAT_Codes!$E:$E,MATCH($N2002,VAT_Codes!$A:$A,0)),"ANY")&lt;&gt;"ANY",$P2002&lt;&gt;IFERROR(INDEX(VAT_Codes!$E:$E,MATCH($N2002,VAT_Codes!$A:$A,0)),"ANY")),"REGION MISMATCH","OK")))))))</f>
        <v/>
      </c>
    </row>
    <row r="2003" customFormat="false" ht="15" hidden="false" customHeight="false" outlineLevel="0" collapsed="false">
      <c r="M2003" s="24" t="str">
        <f aca="false">IF($C2003="","",IFERROR(INDEX(Account_Mapping!$C:$C,MATCH($C2003&amp;"",Account_Mapping!$A:$A,0))&amp;"",""))</f>
        <v/>
      </c>
      <c r="N2003" s="24" t="str">
        <f aca="false">IF($K2003&lt;&gt;"",$K2003,$M2003)</f>
        <v/>
      </c>
      <c r="O2003" s="24" t="str">
        <f aca="false">IF($F2003="","",IFERROR(INDEX(Counterparties!$C:$C,MATCH($F2003&amp;"",Counterparties!$A:$A,0))&amp;"",""))</f>
        <v/>
      </c>
      <c r="P2003" s="24" t="str">
        <f aca="false">IF($O2003="","",IF($O2003="CY","CY",IF(ISNUMBER(MATCH($O2003,Lists!$A:$A,0)),"EU","3RD")))</f>
        <v/>
      </c>
      <c r="Q2003" s="24" t="str">
        <f aca="false">IF($F2003="","N",IFERROR(IF(INDEX(Counterparties!$E:$E,MATCH($F2003&amp;"",Counterparties!$A:$A,0))="Y","Y","N"),"N"))</f>
        <v>N</v>
      </c>
      <c r="R2003" s="25" t="n">
        <f aca="false">IF(OR($H2003="",$H2003="EUR"),1,IFERROR(INDEX(FX_Rates!$D:$D,MATCH($H2003,FX_Rates!$A:$A,0)),""))</f>
        <v>1</v>
      </c>
      <c r="S2003" s="26" t="str">
        <f aca="false">IF(AND($I2003="",$J2003=""),"",IF($J2003&lt;&gt;"",$J2003,IF(OR($R2003="",$R2003=0),"",ROUND($I2003/$R2003,2))))</f>
        <v/>
      </c>
      <c r="T2003" s="24" t="str">
        <f aca="false">IF($N2003="","",IFERROR(INDEX(VAT_Codes!$C:$C,MATCH($N2003,VAT_Codes!$A:$A,0)),"")&amp;"")</f>
        <v/>
      </c>
      <c r="U2003" s="26" t="n">
        <f aca="false">IF(OR($S2003="",$T2003="",$T2003="None"),0,IF($T2003="Output",-$S2003,$S2003))</f>
        <v>0</v>
      </c>
      <c r="V2003" s="27" t="n">
        <f aca="false">IF($N2003="",0,IFERROR(INDEX(VAT_Codes!$D:$D,MATCH($N2003,VAT_Codes!$A:$A,0)),0))</f>
        <v>0</v>
      </c>
      <c r="W2003" s="26" t="n">
        <f aca="false">IF($U2003=0,0,IF(IFERROR(INDEX(VAT_Codes!$F:$F,MATCH($N2003,VAT_Codes!$A:$A,0)),"N")="Y",$U2003,IF($L2003&lt;&gt;"",ROUND(ABS($L2003)/IF(OR($R2003="",$R2003=0),1,$R2003),2)*SIGN($U2003),ROUND($U2003*$V2003,2))))</f>
        <v>0</v>
      </c>
      <c r="X2003" s="24" t="str">
        <f aca="false">IF($N2003="","",IFERROR(INDEX(VAT_Codes!$H:$H,MATCH($N2003,VAT_Codes!$A:$A,0)),"")&amp;"")</f>
        <v/>
      </c>
      <c r="Y2003" s="24" t="str">
        <f aca="false">IF($A2003="","",(YEAR($A2003)-YEAR(Settings!$C$8))*12+MONTH($A2003)-MONTH(Settings!$C$8)+1)</f>
        <v/>
      </c>
      <c r="Z2003" s="24" t="str">
        <f aca="false">IF(AND($C2003="",$I2003="",$J2003=""),"",IF($N2003="","NO VAT CODE",IF($T2003="","UNKNOWN VAT CODE",IF($S2003="","MISSING FX RATE",IF(OR($A2003&lt;Settings!$C$8,$A2003&gt;Settings!$C$9),"OUTSIDE PERIOD",IF(AND(IFERROR(INDEX(VAT_Codes!$E:$E,MATCH($N2003,VAT_Codes!$A:$A,0)),"ANY")&lt;&gt;"ANY",$P2003=""),"MISSING COUNTERPARTY COUNTRY",IF(AND(IFERROR(INDEX(VAT_Codes!$E:$E,MATCH($N2003,VAT_Codes!$A:$A,0)),"ANY")&lt;&gt;"ANY",$P2003&lt;&gt;IFERROR(INDEX(VAT_Codes!$E:$E,MATCH($N2003,VAT_Codes!$A:$A,0)),"ANY")),"REGION MISMATCH","OK")))))))</f>
        <v/>
      </c>
    </row>
    <row r="2004" customFormat="false" ht="15" hidden="false" customHeight="false" outlineLevel="0" collapsed="false">
      <c r="M2004" s="24" t="str">
        <f aca="false">IF($C2004="","",IFERROR(INDEX(Account_Mapping!$C:$C,MATCH($C2004&amp;"",Account_Mapping!$A:$A,0))&amp;"",""))</f>
        <v/>
      </c>
      <c r="N2004" s="24" t="str">
        <f aca="false">IF($K2004&lt;&gt;"",$K2004,$M2004)</f>
        <v/>
      </c>
      <c r="O2004" s="24" t="str">
        <f aca="false">IF($F2004="","",IFERROR(INDEX(Counterparties!$C:$C,MATCH($F2004&amp;"",Counterparties!$A:$A,0))&amp;"",""))</f>
        <v/>
      </c>
      <c r="P2004" s="24" t="str">
        <f aca="false">IF($O2004="","",IF($O2004="CY","CY",IF(ISNUMBER(MATCH($O2004,Lists!$A:$A,0)),"EU","3RD")))</f>
        <v/>
      </c>
      <c r="Q2004" s="24" t="str">
        <f aca="false">IF($F2004="","N",IFERROR(IF(INDEX(Counterparties!$E:$E,MATCH($F2004&amp;"",Counterparties!$A:$A,0))="Y","Y","N"),"N"))</f>
        <v>N</v>
      </c>
      <c r="R2004" s="25" t="n">
        <f aca="false">IF(OR($H2004="",$H2004="EUR"),1,IFERROR(INDEX(FX_Rates!$D:$D,MATCH($H2004,FX_Rates!$A:$A,0)),""))</f>
        <v>1</v>
      </c>
      <c r="S2004" s="26" t="str">
        <f aca="false">IF(AND($I2004="",$J2004=""),"",IF($J2004&lt;&gt;"",$J2004,IF(OR($R2004="",$R2004=0),"",ROUND($I2004/$R2004,2))))</f>
        <v/>
      </c>
      <c r="T2004" s="24" t="str">
        <f aca="false">IF($N2004="","",IFERROR(INDEX(VAT_Codes!$C:$C,MATCH($N2004,VAT_Codes!$A:$A,0)),"")&amp;"")</f>
        <v/>
      </c>
      <c r="U2004" s="26" t="n">
        <f aca="false">IF(OR($S2004="",$T2004="",$T2004="None"),0,IF($T2004="Output",-$S2004,$S2004))</f>
        <v>0</v>
      </c>
      <c r="V2004" s="27" t="n">
        <f aca="false">IF($N2004="",0,IFERROR(INDEX(VAT_Codes!$D:$D,MATCH($N2004,VAT_Codes!$A:$A,0)),0))</f>
        <v>0</v>
      </c>
      <c r="W2004" s="26" t="n">
        <f aca="false">IF($U2004=0,0,IF(IFERROR(INDEX(VAT_Codes!$F:$F,MATCH($N2004,VAT_Codes!$A:$A,0)),"N")="Y",$U2004,IF($L2004&lt;&gt;"",ROUND(ABS($L2004)/IF(OR($R2004="",$R2004=0),1,$R2004),2)*SIGN($U2004),ROUND($U2004*$V2004,2))))</f>
        <v>0</v>
      </c>
      <c r="X2004" s="24" t="str">
        <f aca="false">IF($N2004="","",IFERROR(INDEX(VAT_Codes!$H:$H,MATCH($N2004,VAT_Codes!$A:$A,0)),"")&amp;"")</f>
        <v/>
      </c>
      <c r="Y2004" s="24" t="str">
        <f aca="false">IF($A2004="","",(YEAR($A2004)-YEAR(Settings!$C$8))*12+MONTH($A2004)-MONTH(Settings!$C$8)+1)</f>
        <v/>
      </c>
      <c r="Z2004" s="24" t="str">
        <f aca="false">IF(AND($C2004="",$I2004="",$J2004=""),"",IF($N2004="","NO VAT CODE",IF($T2004="","UNKNOWN VAT CODE",IF($S2004="","MISSING FX RATE",IF(OR($A2004&lt;Settings!$C$8,$A2004&gt;Settings!$C$9),"OUTSIDE PERIOD",IF(AND(IFERROR(INDEX(VAT_Codes!$E:$E,MATCH($N2004,VAT_Codes!$A:$A,0)),"ANY")&lt;&gt;"ANY",$P2004=""),"MISSING COUNTERPARTY COUNTRY",IF(AND(IFERROR(INDEX(VAT_Codes!$E:$E,MATCH($N2004,VAT_Codes!$A:$A,0)),"ANY")&lt;&gt;"ANY",$P2004&lt;&gt;IFERROR(INDEX(VAT_Codes!$E:$E,MATCH($N2004,VAT_Codes!$A:$A,0)),"ANY")),"REGION MISMATCH","OK")))))))</f>
        <v/>
      </c>
    </row>
  </sheetData>
  <autoFilter ref="A4:Z2004"/>
  <conditionalFormatting sqref="Z5:Z50005">
    <cfRule type="expression" priority="2" aboveAverage="0" equalAverage="0" bottom="0" percent="0" rank="0" text="" dxfId="7">
      <formula>AND($Z5&lt;&gt;"",$Z5&lt;&gt;"OK")</formula>
    </cfRule>
  </conditionalFormatting>
  <dataValidations count="1">
    <dataValidation allowBlank="true" error="Choose a code from VAT_Codes" errorStyle="stop" operator="between" showDropDown="false" showErrorMessage="false" showInputMessage="false" sqref="K5:K3004" type="list">
      <formula1>VAT_Codes!$A$5:$A$80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6"/>
    <col collapsed="false" customWidth="true" hidden="false" outlineLevel="0" max="3" min="3" style="0" width="11"/>
    <col collapsed="false" customWidth="true" hidden="false" outlineLevel="0" max="4" min="4" style="0" width="50"/>
    <col collapsed="false" customWidth="true" hidden="false" outlineLevel="0" max="5" min="5" style="0" width="18"/>
    <col collapsed="false" customWidth="true" hidden="false" outlineLevel="0" max="6" min="6" style="0" width="12"/>
    <col collapsed="false" customWidth="true" hidden="false" outlineLevel="0" max="7" min="7" style="0" width="14"/>
  </cols>
  <sheetData>
    <row r="1" customFormat="false" ht="17.35" hidden="false" customHeight="false" outlineLevel="0" collapsed="false">
      <c r="A1" s="1" t="s">
        <v>236</v>
      </c>
    </row>
    <row r="2" customFormat="false" ht="15" hidden="false" customHeight="false" outlineLevel="0" collapsed="false">
      <c r="A2" s="2" t="s">
        <v>237</v>
      </c>
    </row>
    <row r="4" customFormat="false" ht="30" hidden="false" customHeight="true" outlineLevel="0" collapsed="false">
      <c r="A4" s="19" t="s">
        <v>136</v>
      </c>
      <c r="B4" s="19" t="s">
        <v>137</v>
      </c>
      <c r="C4" s="19" t="s">
        <v>238</v>
      </c>
      <c r="D4" s="19" t="s">
        <v>239</v>
      </c>
      <c r="E4" s="19" t="s">
        <v>240</v>
      </c>
      <c r="F4" s="19" t="s">
        <v>241</v>
      </c>
      <c r="G4" s="19" t="s">
        <v>242</v>
      </c>
    </row>
    <row r="5" customFormat="false" ht="15" hidden="false" customHeight="false" outlineLevel="0" collapsed="false">
      <c r="A5" s="28" t="s">
        <v>234</v>
      </c>
      <c r="B5" s="28" t="s">
        <v>235</v>
      </c>
      <c r="C5" s="28" t="s">
        <v>243</v>
      </c>
      <c r="D5" s="28" t="s">
        <v>244</v>
      </c>
      <c r="E5" s="29" t="n">
        <f aca="false">IF($A5="","",SUMIFS(GL_Input!$S:$S,GL_Input!$C:$C,$A5))</f>
        <v>-20000</v>
      </c>
      <c r="F5" s="30" t="n">
        <f aca="false">IF($A5="","",COUNTIFS(GL_Input!$C:$C,$A5))</f>
        <v>1</v>
      </c>
      <c r="G5" s="30" t="n">
        <f aca="false">IF($A5="","",COUNTIFS(GL_Input!$C:$C,$A5,GL_Input!$Z:$Z,"&lt;&gt;OK"))</f>
        <v>0</v>
      </c>
    </row>
    <row r="6" customFormat="false" ht="15" hidden="false" customHeight="false" outlineLevel="0" collapsed="false">
      <c r="A6" s="28" t="s">
        <v>89</v>
      </c>
      <c r="B6" s="28" t="s">
        <v>195</v>
      </c>
      <c r="C6" s="28" t="s">
        <v>243</v>
      </c>
      <c r="D6" s="28" t="s">
        <v>245</v>
      </c>
      <c r="E6" s="29" t="n">
        <f aca="false">IF($A6="","",SUMIFS(GL_Input!$S:$S,GL_Input!$C:$C,$A6))</f>
        <v>380</v>
      </c>
      <c r="F6" s="30" t="n">
        <f aca="false">IF($A6="","",COUNTIFS(GL_Input!$C:$C,$A6))</f>
        <v>1</v>
      </c>
      <c r="G6" s="30" t="n">
        <f aca="false">IF($A6="","",COUNTIFS(GL_Input!$C:$C,$A6,GL_Input!$Z:$Z,"&lt;&gt;OK"))</f>
        <v>0</v>
      </c>
    </row>
    <row r="7" customFormat="false" ht="15" hidden="false" customHeight="false" outlineLevel="0" collapsed="false">
      <c r="A7" s="28" t="s">
        <v>221</v>
      </c>
      <c r="B7" s="28" t="s">
        <v>222</v>
      </c>
      <c r="C7" s="28" t="s">
        <v>246</v>
      </c>
      <c r="D7" s="28" t="s">
        <v>247</v>
      </c>
      <c r="E7" s="29" t="n">
        <f aca="false">IF($A7="","",SUMIFS(GL_Input!$S:$S,GL_Input!$C:$C,$A7))</f>
        <v>700</v>
      </c>
      <c r="F7" s="30" t="n">
        <f aca="false">IF($A7="","",COUNTIFS(GL_Input!$C:$C,$A7))</f>
        <v>1</v>
      </c>
      <c r="G7" s="30" t="n">
        <f aca="false">IF($A7="","",COUNTIFS(GL_Input!$C:$C,$A7,GL_Input!$Z:$Z,"&lt;&gt;OK"))</f>
        <v>0</v>
      </c>
    </row>
    <row r="8" customFormat="false" ht="15" hidden="false" customHeight="false" outlineLevel="0" collapsed="false">
      <c r="A8" s="28" t="s">
        <v>82</v>
      </c>
      <c r="B8" s="28" t="s">
        <v>165</v>
      </c>
      <c r="C8" s="28" t="s">
        <v>243</v>
      </c>
      <c r="D8" s="28" t="s">
        <v>245</v>
      </c>
      <c r="E8" s="29" t="n">
        <f aca="false">IF($A8="","",SUMIFS(GL_Input!$S:$S,GL_Input!$C:$C,$A8))</f>
        <v>-1900</v>
      </c>
      <c r="F8" s="30" t="n">
        <f aca="false">IF($A8="","",COUNTIFS(GL_Input!$C:$C,$A8))</f>
        <v>1</v>
      </c>
      <c r="G8" s="30" t="n">
        <f aca="false">IF($A8="","",COUNTIFS(GL_Input!$C:$C,$A8,GL_Input!$Z:$Z,"&lt;&gt;OK"))</f>
        <v>0</v>
      </c>
    </row>
    <row r="9" customFormat="false" ht="15" hidden="false" customHeight="false" outlineLevel="0" collapsed="false">
      <c r="A9" s="28" t="s">
        <v>159</v>
      </c>
      <c r="B9" s="28" t="s">
        <v>160</v>
      </c>
      <c r="C9" s="28" t="s">
        <v>248</v>
      </c>
      <c r="D9" s="28" t="s">
        <v>244</v>
      </c>
      <c r="E9" s="29" t="n">
        <f aca="false">IF($A9="","",SUMIFS(GL_Input!$S:$S,GL_Input!$C:$C,$A9))</f>
        <v>-10000</v>
      </c>
      <c r="F9" s="30" t="n">
        <f aca="false">IF($A9="","",COUNTIFS(GL_Input!$C:$C,$A9))</f>
        <v>1</v>
      </c>
      <c r="G9" s="30" t="n">
        <f aca="false">IF($A9="","",COUNTIFS(GL_Input!$C:$C,$A9,GL_Input!$Z:$Z,"&lt;&gt;OK"))</f>
        <v>0</v>
      </c>
    </row>
    <row r="10" customFormat="false" ht="15" hidden="false" customHeight="false" outlineLevel="0" collapsed="false">
      <c r="A10" s="28" t="s">
        <v>168</v>
      </c>
      <c r="B10" s="28" t="s">
        <v>169</v>
      </c>
      <c r="C10" s="28" t="s">
        <v>249</v>
      </c>
      <c r="D10" s="28" t="s">
        <v>250</v>
      </c>
      <c r="E10" s="29" t="n">
        <f aca="false">IF($A10="","",SUMIFS(GL_Input!$S:$S,GL_Input!$C:$C,$A10))</f>
        <v>-50753.28</v>
      </c>
      <c r="F10" s="30" t="n">
        <f aca="false">IF($A10="","",COUNTIFS(GL_Input!$C:$C,$A10))</f>
        <v>2</v>
      </c>
      <c r="G10" s="30" t="n">
        <f aca="false">IF($A10="","",COUNTIFS(GL_Input!$C:$C,$A10,GL_Input!$Z:$Z,"&lt;&gt;OK"))</f>
        <v>0</v>
      </c>
    </row>
    <row r="11" customFormat="false" ht="15" hidden="false" customHeight="false" outlineLevel="0" collapsed="false">
      <c r="A11" s="28" t="s">
        <v>179</v>
      </c>
      <c r="B11" s="28" t="s">
        <v>180</v>
      </c>
      <c r="C11" s="28" t="s">
        <v>251</v>
      </c>
      <c r="D11" s="28" t="s">
        <v>244</v>
      </c>
      <c r="E11" s="29" t="n">
        <f aca="false">IF($A11="","",SUMIFS(GL_Input!$S:$S,GL_Input!$C:$C,$A11))</f>
        <v>-18301.31</v>
      </c>
      <c r="F11" s="30" t="n">
        <f aca="false">IF($A11="","",COUNTIFS(GL_Input!$C:$C,$A11))</f>
        <v>2</v>
      </c>
      <c r="G11" s="30" t="n">
        <f aca="false">IF($A11="","",COUNTIFS(GL_Input!$C:$C,$A11,GL_Input!$Z:$Z,"&lt;&gt;OK"))</f>
        <v>0</v>
      </c>
    </row>
    <row r="12" customFormat="false" ht="15" hidden="false" customHeight="false" outlineLevel="0" collapsed="false">
      <c r="A12" s="28" t="s">
        <v>209</v>
      </c>
      <c r="B12" s="28" t="s">
        <v>210</v>
      </c>
      <c r="C12" s="28" t="s">
        <v>252</v>
      </c>
      <c r="D12" s="28" t="s">
        <v>244</v>
      </c>
      <c r="E12" s="29" t="n">
        <f aca="false">IF($A12="","",SUMIFS(GL_Input!$S:$S,GL_Input!$C:$C,$A12))</f>
        <v>5000</v>
      </c>
      <c r="F12" s="30" t="n">
        <f aca="false">IF($A12="","",COUNTIFS(GL_Input!$C:$C,$A12))</f>
        <v>1</v>
      </c>
      <c r="G12" s="30" t="n">
        <f aca="false">IF($A12="","",COUNTIFS(GL_Input!$C:$C,$A12,GL_Input!$Z:$Z,"&lt;&gt;OK"))</f>
        <v>0</v>
      </c>
    </row>
    <row r="13" customFormat="false" ht="15" hidden="false" customHeight="false" outlineLevel="0" collapsed="false">
      <c r="A13" s="28" t="s">
        <v>215</v>
      </c>
      <c r="B13" s="28" t="s">
        <v>216</v>
      </c>
      <c r="C13" s="28" t="s">
        <v>253</v>
      </c>
      <c r="D13" s="28" t="s">
        <v>244</v>
      </c>
      <c r="E13" s="29" t="n">
        <f aca="false">IF($A13="","",SUMIFS(GL_Input!$S:$S,GL_Input!$C:$C,$A13))</f>
        <v>3433.77</v>
      </c>
      <c r="F13" s="30" t="n">
        <f aca="false">IF($A13="","",COUNTIFS(GL_Input!$C:$C,$A13))</f>
        <v>1</v>
      </c>
      <c r="G13" s="30" t="n">
        <f aca="false">IF($A13="","",COUNTIFS(GL_Input!$C:$C,$A13,GL_Input!$Z:$Z,"&lt;&gt;OK"))</f>
        <v>0</v>
      </c>
    </row>
    <row r="14" customFormat="false" ht="15" hidden="false" customHeight="false" outlineLevel="0" collapsed="false">
      <c r="A14" s="28" t="s">
        <v>190</v>
      </c>
      <c r="B14" s="28" t="s">
        <v>191</v>
      </c>
      <c r="C14" s="28" t="s">
        <v>254</v>
      </c>
      <c r="D14" s="28" t="s">
        <v>244</v>
      </c>
      <c r="E14" s="29" t="n">
        <f aca="false">IF($A14="","",SUMIFS(GL_Input!$S:$S,GL_Input!$C:$C,$A14))</f>
        <v>3030.13</v>
      </c>
      <c r="F14" s="30" t="n">
        <f aca="false">IF($A14="","",COUNTIFS(GL_Input!$C:$C,$A14))</f>
        <v>2</v>
      </c>
      <c r="G14" s="30" t="n">
        <f aca="false">IF($A14="","",COUNTIFS(GL_Input!$C:$C,$A14,GL_Input!$Z:$Z,"&lt;&gt;OK"))</f>
        <v>0</v>
      </c>
    </row>
    <row r="15" customFormat="false" ht="15" hidden="false" customHeight="false" outlineLevel="0" collapsed="false">
      <c r="A15" s="28" t="s">
        <v>198</v>
      </c>
      <c r="B15" s="28" t="s">
        <v>199</v>
      </c>
      <c r="C15" s="28" t="s">
        <v>255</v>
      </c>
      <c r="D15" s="28" t="s">
        <v>244</v>
      </c>
      <c r="E15" s="29" t="n">
        <f aca="false">IF($A15="","",SUMIFS(GL_Input!$S:$S,GL_Input!$C:$C,$A15))</f>
        <v>15000</v>
      </c>
      <c r="F15" s="30" t="n">
        <f aca="false">IF($A15="","",COUNTIFS(GL_Input!$C:$C,$A15))</f>
        <v>1</v>
      </c>
      <c r="G15" s="30" t="n">
        <f aca="false">IF($A15="","",COUNTIFS(GL_Input!$C:$C,$A15,GL_Input!$Z:$Z,"&lt;&gt;OK"))</f>
        <v>0</v>
      </c>
    </row>
    <row r="16" customFormat="false" ht="15" hidden="false" customHeight="false" outlineLevel="0" collapsed="false">
      <c r="A16" s="28" t="s">
        <v>225</v>
      </c>
      <c r="B16" s="28" t="s">
        <v>226</v>
      </c>
      <c r="C16" s="28" t="s">
        <v>256</v>
      </c>
      <c r="D16" s="28" t="s">
        <v>257</v>
      </c>
      <c r="E16" s="29" t="n">
        <f aca="false">IF($A16="","",SUMIFS(GL_Input!$S:$S,GL_Input!$C:$C,$A16))</f>
        <v>300</v>
      </c>
      <c r="F16" s="30" t="n">
        <f aca="false">IF($A16="","",COUNTIFS(GL_Input!$C:$C,$A16))</f>
        <v>1</v>
      </c>
      <c r="G16" s="30" t="n">
        <f aca="false">IF($A16="","",COUNTIFS(GL_Input!$C:$C,$A16,GL_Input!$Z:$Z,"&lt;&gt;OK"))</f>
        <v>0</v>
      </c>
    </row>
    <row r="17" customFormat="false" ht="15" hidden="false" customHeight="false" outlineLevel="0" collapsed="false">
      <c r="A17" s="28" t="s">
        <v>231</v>
      </c>
      <c r="B17" s="28" t="s">
        <v>232</v>
      </c>
      <c r="C17" s="28" t="s">
        <v>243</v>
      </c>
      <c r="D17" s="28" t="s">
        <v>244</v>
      </c>
      <c r="E17" s="29" t="n">
        <f aca="false">IF($A17="","",SUMIFS(GL_Input!$S:$S,GL_Input!$C:$C,$A17))</f>
        <v>20000</v>
      </c>
      <c r="F17" s="30" t="n">
        <f aca="false">IF($A17="","",COUNTIFS(GL_Input!$C:$C,$A17))</f>
        <v>1</v>
      </c>
      <c r="G17" s="30" t="n">
        <f aca="false">IF($A17="","",COUNTIFS(GL_Input!$C:$C,$A17,GL_Input!$Z:$Z,"&lt;&gt;OK"))</f>
        <v>0</v>
      </c>
    </row>
  </sheetData>
  <conditionalFormatting sqref="C5:C5000">
    <cfRule type="expression" priority="2" aboveAverage="0" equalAverage="0" bottom="0" percent="0" rank="0" text="" dxfId="8">
      <formula>AND($A5&lt;&gt;"",$C5="")</formula>
    </cfRule>
  </conditionalFormatting>
  <dataValidations count="1">
    <dataValidation allowBlank="true" errorStyle="stop" operator="between" showDropDown="false" showErrorMessage="false" showInputMessage="false" sqref="C5:C1017" type="list">
      <formula1>VAT_Codes!$A$5:$A$80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J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10"/>
    <col collapsed="false" customWidth="true" hidden="false" outlineLevel="0" max="4" min="4" style="0" width="20"/>
    <col collapsed="false" customWidth="true" hidden="false" outlineLevel="0" max="5" min="5" style="0" width="12"/>
    <col collapsed="false" customWidth="true" hidden="false" outlineLevel="0" max="6" min="6" style="0" width="36"/>
    <col collapsed="false" customWidth="true" hidden="false" outlineLevel="0" max="7" min="7" style="0" width="9"/>
    <col collapsed="false" customWidth="true" hidden="false" outlineLevel="0" max="8" min="8" style="0" width="10"/>
    <col collapsed="false" customWidth="true" hidden="false" outlineLevel="0" max="10" min="9" style="0" width="16"/>
  </cols>
  <sheetData>
    <row r="1" customFormat="false" ht="17.35" hidden="false" customHeight="false" outlineLevel="0" collapsed="false">
      <c r="A1" s="1" t="s">
        <v>258</v>
      </c>
    </row>
    <row r="2" customFormat="false" ht="15" hidden="false" customHeight="false" outlineLevel="0" collapsed="false">
      <c r="A2" s="2" t="s">
        <v>259</v>
      </c>
    </row>
    <row r="4" customFormat="false" ht="30" hidden="false" customHeight="true" outlineLevel="0" collapsed="false">
      <c r="A4" s="19" t="s">
        <v>138</v>
      </c>
      <c r="B4" s="19" t="s">
        <v>260</v>
      </c>
      <c r="C4" s="19" t="s">
        <v>261</v>
      </c>
      <c r="D4" s="19" t="s">
        <v>262</v>
      </c>
      <c r="E4" s="19" t="s">
        <v>148</v>
      </c>
      <c r="F4" s="19" t="s">
        <v>263</v>
      </c>
      <c r="G4" s="19" t="s">
        <v>264</v>
      </c>
      <c r="H4" s="19" t="s">
        <v>265</v>
      </c>
      <c r="I4" s="19" t="s">
        <v>266</v>
      </c>
      <c r="J4" s="19" t="s">
        <v>267</v>
      </c>
    </row>
    <row r="5" customFormat="false" ht="15" hidden="false" customHeight="false" outlineLevel="0" collapsed="false">
      <c r="A5" s="28" t="s">
        <v>162</v>
      </c>
      <c r="B5" s="28" t="s">
        <v>163</v>
      </c>
      <c r="C5" s="28" t="s">
        <v>268</v>
      </c>
      <c r="D5" s="28" t="s">
        <v>269</v>
      </c>
      <c r="E5" s="28" t="s">
        <v>71</v>
      </c>
      <c r="F5" s="28" t="s">
        <v>244</v>
      </c>
      <c r="G5" s="15" t="str">
        <f aca="false">IF($C5="","",IF($C5="CY","CY",IF(ISNUMBER(MATCH($C5,Lists!$A:$A,0)),"EU","3RD")))</f>
        <v>CY</v>
      </c>
      <c r="H5" s="30" t="n">
        <f aca="false">IF($A5="","",COUNTIFS(GL_Input!$F:$F,$A5))</f>
        <v>2</v>
      </c>
      <c r="I5" s="29" t="n">
        <f aca="false">IF($A5="","",SUMIFS(GL_Input!$U:$U,GL_Input!$F:$F,$A5,GL_Input!$T:$T,"Output"))</f>
        <v>10000</v>
      </c>
      <c r="J5" s="29" t="n">
        <f aca="false">IF($A5="","",SUMIFS(GL_Input!$U:$U,GL_Input!$F:$F,$A5,GL_Input!$T:$T,"Input"))</f>
        <v>0</v>
      </c>
    </row>
    <row r="6" customFormat="false" ht="15" hidden="false" customHeight="false" outlineLevel="0" collapsed="false">
      <c r="A6" s="28" t="s">
        <v>171</v>
      </c>
      <c r="B6" s="28" t="s">
        <v>172</v>
      </c>
      <c r="C6" s="28" t="s">
        <v>270</v>
      </c>
      <c r="D6" s="28" t="s">
        <v>271</v>
      </c>
      <c r="E6" s="28" t="s">
        <v>272</v>
      </c>
      <c r="F6" s="28" t="s">
        <v>273</v>
      </c>
      <c r="G6" s="15" t="str">
        <f aca="false">IF($C6="","",IF($C6="CY","CY",IF(ISNUMBER(MATCH($C6,Lists!$A:$A,0)),"EU","3RD")))</f>
        <v>EU</v>
      </c>
      <c r="H6" s="30" t="n">
        <f aca="false">IF($A6="","",COUNTIFS(GL_Input!$F:$F,$A6))</f>
        <v>1</v>
      </c>
      <c r="I6" s="29" t="n">
        <f aca="false">IF($A6="","",SUMIFS(GL_Input!$U:$U,GL_Input!$F:$F,$A6,GL_Input!$T:$T,"Output"))</f>
        <v>25000</v>
      </c>
      <c r="J6" s="29" t="n">
        <f aca="false">IF($A6="","",SUMIFS(GL_Input!$U:$U,GL_Input!$F:$F,$A6,GL_Input!$T:$T,"Input"))</f>
        <v>0</v>
      </c>
    </row>
    <row r="7" customFormat="false" ht="15" hidden="false" customHeight="false" outlineLevel="0" collapsed="false">
      <c r="A7" s="28" t="s">
        <v>174</v>
      </c>
      <c r="B7" s="28" t="s">
        <v>175</v>
      </c>
      <c r="C7" s="28" t="s">
        <v>274</v>
      </c>
      <c r="D7" s="28"/>
      <c r="E7" s="28" t="s">
        <v>272</v>
      </c>
      <c r="F7" s="28" t="s">
        <v>273</v>
      </c>
      <c r="G7" s="15" t="str">
        <f aca="false">IF($C7="","",IF($C7="CY","CY",IF(ISNUMBER(MATCH($C7,Lists!$A:$A,0)),"EU","3RD")))</f>
        <v>3RD</v>
      </c>
      <c r="H7" s="30" t="n">
        <f aca="false">IF($A7="","",COUNTIFS(GL_Input!$F:$F,$A7))</f>
        <v>1</v>
      </c>
      <c r="I7" s="29" t="n">
        <f aca="false">IF($A7="","",SUMIFS(GL_Input!$U:$U,GL_Input!$F:$F,$A7,GL_Input!$T:$T,"Output"))</f>
        <v>25753.28</v>
      </c>
      <c r="J7" s="29" t="n">
        <f aca="false">IF($A7="","",SUMIFS(GL_Input!$U:$U,GL_Input!$F:$F,$A7,GL_Input!$T:$T,"Input"))</f>
        <v>0</v>
      </c>
    </row>
    <row r="8" customFormat="false" ht="15" hidden="false" customHeight="false" outlineLevel="0" collapsed="false">
      <c r="A8" s="28" t="s">
        <v>182</v>
      </c>
      <c r="B8" s="28" t="s">
        <v>183</v>
      </c>
      <c r="C8" s="28" t="s">
        <v>275</v>
      </c>
      <c r="D8" s="28" t="s">
        <v>276</v>
      </c>
      <c r="E8" s="28" t="s">
        <v>71</v>
      </c>
      <c r="F8" s="28" t="s">
        <v>244</v>
      </c>
      <c r="G8" s="15" t="str">
        <f aca="false">IF($C8="","",IF($C8="CY","CY",IF(ISNUMBER(MATCH($C8,Lists!$A:$A,0)),"EU","3RD")))</f>
        <v>EU</v>
      </c>
      <c r="H8" s="30" t="n">
        <f aca="false">IF($A8="","",COUNTIFS(GL_Input!$F:$F,$A8))</f>
        <v>1</v>
      </c>
      <c r="I8" s="29" t="n">
        <f aca="false">IF($A8="","",SUMIFS(GL_Input!$U:$U,GL_Input!$F:$F,$A8,GL_Input!$T:$T,"Output"))</f>
        <v>8000</v>
      </c>
      <c r="J8" s="29" t="n">
        <f aca="false">IF($A8="","",SUMIFS(GL_Input!$U:$U,GL_Input!$F:$F,$A8,GL_Input!$T:$T,"Input"))</f>
        <v>0</v>
      </c>
    </row>
    <row r="9" customFormat="false" ht="15" hidden="false" customHeight="false" outlineLevel="0" collapsed="false">
      <c r="A9" s="28" t="s">
        <v>186</v>
      </c>
      <c r="B9" s="28" t="s">
        <v>187</v>
      </c>
      <c r="C9" s="28" t="s">
        <v>277</v>
      </c>
      <c r="D9" s="28"/>
      <c r="E9" s="28" t="s">
        <v>71</v>
      </c>
      <c r="F9" s="28" t="s">
        <v>244</v>
      </c>
      <c r="G9" s="15" t="str">
        <f aca="false">IF($C9="","",IF($C9="CY","CY",IF(ISNUMBER(MATCH($C9,Lists!$A:$A,0)),"EU","3RD")))</f>
        <v>3RD</v>
      </c>
      <c r="H9" s="30" t="n">
        <f aca="false">IF($A9="","",COUNTIFS(GL_Input!$F:$F,$A9))</f>
        <v>1</v>
      </c>
      <c r="I9" s="29" t="n">
        <f aca="false">IF($A9="","",SUMIFS(GL_Input!$U:$U,GL_Input!$F:$F,$A9,GL_Input!$T:$T,"Output"))</f>
        <v>10301.31</v>
      </c>
      <c r="J9" s="29" t="n">
        <f aca="false">IF($A9="","",SUMIFS(GL_Input!$U:$U,GL_Input!$F:$F,$A9,GL_Input!$T:$T,"Input"))</f>
        <v>0</v>
      </c>
    </row>
    <row r="10" customFormat="false" ht="15" hidden="false" customHeight="false" outlineLevel="0" collapsed="false">
      <c r="A10" s="28" t="s">
        <v>193</v>
      </c>
      <c r="B10" s="28" t="s">
        <v>194</v>
      </c>
      <c r="C10" s="28" t="s">
        <v>268</v>
      </c>
      <c r="D10" s="28" t="s">
        <v>278</v>
      </c>
      <c r="E10" s="28" t="s">
        <v>71</v>
      </c>
      <c r="F10" s="28" t="s">
        <v>244</v>
      </c>
      <c r="G10" s="15" t="str">
        <f aca="false">IF($C10="","",IF($C10="CY","CY",IF(ISNUMBER(MATCH($C10,Lists!$A:$A,0)),"EU","3RD")))</f>
        <v>CY</v>
      </c>
      <c r="H10" s="30" t="n">
        <f aca="false">IF($A10="","",COUNTIFS(GL_Input!$F:$F,$A10))</f>
        <v>2</v>
      </c>
      <c r="I10" s="29" t="n">
        <f aca="false">IF($A10="","",SUMIFS(GL_Input!$U:$U,GL_Input!$F:$F,$A10,GL_Input!$T:$T,"Output"))</f>
        <v>0</v>
      </c>
      <c r="J10" s="29" t="n">
        <f aca="false">IF($A10="","",SUMIFS(GL_Input!$U:$U,GL_Input!$F:$F,$A10,GL_Input!$T:$T,"Input"))</f>
        <v>2000</v>
      </c>
    </row>
    <row r="11" customFormat="false" ht="15" hidden="false" customHeight="false" outlineLevel="0" collapsed="false">
      <c r="A11" s="28" t="s">
        <v>201</v>
      </c>
      <c r="B11" s="28" t="s">
        <v>202</v>
      </c>
      <c r="C11" s="28" t="s">
        <v>279</v>
      </c>
      <c r="D11" s="28" t="s">
        <v>280</v>
      </c>
      <c r="E11" s="28" t="s">
        <v>272</v>
      </c>
      <c r="F11" s="28" t="s">
        <v>281</v>
      </c>
      <c r="G11" s="15" t="str">
        <f aca="false">IF($C11="","",IF($C11="CY","CY",IF(ISNUMBER(MATCH($C11,Lists!$A:$A,0)),"EU","3RD")))</f>
        <v>EU</v>
      </c>
      <c r="H11" s="30" t="n">
        <f aca="false">IF($A11="","",COUNTIFS(GL_Input!$F:$F,$A11))</f>
        <v>1</v>
      </c>
      <c r="I11" s="29" t="n">
        <f aca="false">IF($A11="","",SUMIFS(GL_Input!$U:$U,GL_Input!$F:$F,$A11,GL_Input!$T:$T,"Output"))</f>
        <v>0</v>
      </c>
      <c r="J11" s="29" t="n">
        <f aca="false">IF($A11="","",SUMIFS(GL_Input!$U:$U,GL_Input!$F:$F,$A11,GL_Input!$T:$T,"Input"))</f>
        <v>15000</v>
      </c>
    </row>
    <row r="12" customFormat="false" ht="15" hidden="false" customHeight="false" outlineLevel="0" collapsed="false">
      <c r="A12" s="28" t="s">
        <v>205</v>
      </c>
      <c r="B12" s="28" t="s">
        <v>206</v>
      </c>
      <c r="C12" s="28" t="s">
        <v>277</v>
      </c>
      <c r="D12" s="28"/>
      <c r="E12" s="28" t="s">
        <v>71</v>
      </c>
      <c r="F12" s="28" t="s">
        <v>244</v>
      </c>
      <c r="G12" s="15" t="str">
        <f aca="false">IF($C12="","",IF($C12="CY","CY",IF(ISNUMBER(MATCH($C12,Lists!$A:$A,0)),"EU","3RD")))</f>
        <v>3RD</v>
      </c>
      <c r="H12" s="30" t="n">
        <f aca="false">IF($A12="","",COUNTIFS(GL_Input!$F:$F,$A12))</f>
        <v>1</v>
      </c>
      <c r="I12" s="29" t="n">
        <f aca="false">IF($A12="","",SUMIFS(GL_Input!$U:$U,GL_Input!$F:$F,$A12,GL_Input!$T:$T,"Output"))</f>
        <v>0</v>
      </c>
      <c r="J12" s="29" t="n">
        <f aca="false">IF($A12="","",SUMIFS(GL_Input!$U:$U,GL_Input!$F:$F,$A12,GL_Input!$T:$T,"Input"))</f>
        <v>1030.13</v>
      </c>
    </row>
    <row r="13" customFormat="false" ht="15" hidden="false" customHeight="false" outlineLevel="0" collapsed="false">
      <c r="A13" s="28" t="s">
        <v>212</v>
      </c>
      <c r="B13" s="28" t="s">
        <v>213</v>
      </c>
      <c r="C13" s="28" t="s">
        <v>270</v>
      </c>
      <c r="D13" s="28" t="s">
        <v>282</v>
      </c>
      <c r="E13" s="28" t="s">
        <v>71</v>
      </c>
      <c r="F13" s="28" t="s">
        <v>244</v>
      </c>
      <c r="G13" s="15" t="str">
        <f aca="false">IF($C13="","",IF($C13="CY","CY",IF(ISNUMBER(MATCH($C13,Lists!$A:$A,0)),"EU","3RD")))</f>
        <v>EU</v>
      </c>
      <c r="H13" s="30" t="n">
        <f aca="false">IF($A13="","",COUNTIFS(GL_Input!$F:$F,$A13))</f>
        <v>1</v>
      </c>
      <c r="I13" s="29" t="n">
        <f aca="false">IF($A13="","",SUMIFS(GL_Input!$U:$U,GL_Input!$F:$F,$A13,GL_Input!$T:$T,"Output"))</f>
        <v>0</v>
      </c>
      <c r="J13" s="29" t="n">
        <f aca="false">IF($A13="","",SUMIFS(GL_Input!$U:$U,GL_Input!$F:$F,$A13,GL_Input!$T:$T,"Input"))</f>
        <v>5000</v>
      </c>
    </row>
    <row r="14" customFormat="false" ht="15" hidden="false" customHeight="false" outlineLevel="0" collapsed="false">
      <c r="A14" s="28" t="s">
        <v>218</v>
      </c>
      <c r="B14" s="28" t="s">
        <v>219</v>
      </c>
      <c r="C14" s="28" t="s">
        <v>283</v>
      </c>
      <c r="D14" s="28"/>
      <c r="E14" s="28" t="s">
        <v>71</v>
      </c>
      <c r="F14" s="28" t="s">
        <v>244</v>
      </c>
      <c r="G14" s="15" t="str">
        <f aca="false">IF($C14="","",IF($C14="CY","CY",IF(ISNUMBER(MATCH($C14,Lists!$A:$A,0)),"EU","3RD")))</f>
        <v>3RD</v>
      </c>
      <c r="H14" s="30" t="n">
        <f aca="false">IF($A14="","",COUNTIFS(GL_Input!$F:$F,$A14))</f>
        <v>1</v>
      </c>
      <c r="I14" s="29" t="n">
        <f aca="false">IF($A14="","",SUMIFS(GL_Input!$U:$U,GL_Input!$F:$F,$A14,GL_Input!$T:$T,"Output"))</f>
        <v>0</v>
      </c>
      <c r="J14" s="29" t="n">
        <f aca="false">IF($A14="","",SUMIFS(GL_Input!$U:$U,GL_Input!$F:$F,$A14,GL_Input!$T:$T,"Input"))</f>
        <v>3433.77</v>
      </c>
    </row>
    <row r="15" customFormat="false" ht="15" hidden="false" customHeight="false" outlineLevel="0" collapsed="false">
      <c r="A15" s="28" t="s">
        <v>228</v>
      </c>
      <c r="B15" s="28" t="s">
        <v>229</v>
      </c>
      <c r="C15" s="28" t="s">
        <v>268</v>
      </c>
      <c r="D15" s="28" t="s">
        <v>284</v>
      </c>
      <c r="E15" s="28" t="s">
        <v>71</v>
      </c>
      <c r="F15" s="28" t="s">
        <v>244</v>
      </c>
      <c r="G15" s="15" t="str">
        <f aca="false">IF($C15="","",IF($C15="CY","CY",IF(ISNUMBER(MATCH($C15,Lists!$A:$A,0)),"EU","3RD")))</f>
        <v>CY</v>
      </c>
      <c r="H15" s="30" t="n">
        <f aca="false">IF($A15="","",COUNTIFS(GL_Input!$F:$F,$A15))</f>
        <v>1</v>
      </c>
      <c r="I15" s="29" t="n">
        <f aca="false">IF($A15="","",SUMIFS(GL_Input!$U:$U,GL_Input!$F:$F,$A15,GL_Input!$T:$T,"Output"))</f>
        <v>0</v>
      </c>
      <c r="J15" s="29" t="n">
        <f aca="false">IF($A15="","",SUMIFS(GL_Input!$U:$U,GL_Input!$F:$F,$A15,GL_Input!$T:$T,"Input"))</f>
        <v>300</v>
      </c>
    </row>
  </sheetData>
  <conditionalFormatting sqref="C5:C5000">
    <cfRule type="expression" priority="2" aboveAverage="0" equalAverage="0" bottom="0" percent="0" rank="0" text="" dxfId="8">
      <formula>AND($A5&lt;&gt;"",$C5="")</formula>
    </cfRule>
  </conditionalFormatting>
  <dataValidations count="1">
    <dataValidation allowBlank="true" errorStyle="stop" operator="between" showDropDown="false" showErrorMessage="false" showInputMessage="false" sqref="E5:E1015"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4" min="3" style="0" width="8"/>
    <col collapsed="false" customWidth="true" hidden="false" outlineLevel="0" max="5" min="5" style="0" width="9"/>
    <col collapsed="false" customWidth="true" hidden="false" outlineLevel="0" max="6" min="6" style="0" width="8"/>
    <col collapsed="false" customWidth="true" hidden="false" outlineLevel="0" max="7" min="7" style="0" width="10"/>
    <col collapsed="false" customWidth="true" hidden="false" outlineLevel="0" max="8" min="8" style="0" width="7"/>
    <col collapsed="false" customWidth="true" hidden="false" outlineLevel="0" max="19" min="9" style="0" width="6"/>
    <col collapsed="false" customWidth="true" hidden="false" outlineLevel="0" max="20" min="20" style="0" width="15"/>
    <col collapsed="false" customWidth="true" hidden="false" outlineLevel="0" max="22" min="21" style="0" width="13"/>
    <col collapsed="false" customWidth="true" hidden="false" outlineLevel="0" max="23" min="23" style="0" width="8"/>
    <col collapsed="false" customWidth="true" hidden="false" outlineLevel="0" max="24" min="24" style="0" width="80"/>
  </cols>
  <sheetData>
    <row r="1" customFormat="false" ht="17.35" hidden="false" customHeight="false" outlineLevel="0" collapsed="false">
      <c r="A1" s="1" t="s">
        <v>285</v>
      </c>
    </row>
    <row r="2" customFormat="false" ht="15" hidden="false" customHeight="false" outlineLevel="0" collapsed="false">
      <c r="A2" s="2" t="s">
        <v>286</v>
      </c>
    </row>
    <row r="4" customFormat="false" ht="45" hidden="false" customHeight="true" outlineLevel="0" collapsed="false">
      <c r="A4" s="19" t="s">
        <v>287</v>
      </c>
      <c r="B4" s="19" t="s">
        <v>110</v>
      </c>
      <c r="C4" s="19" t="s">
        <v>151</v>
      </c>
      <c r="D4" s="19" t="s">
        <v>153</v>
      </c>
      <c r="E4" s="19" t="s">
        <v>288</v>
      </c>
      <c r="F4" s="19" t="s">
        <v>289</v>
      </c>
      <c r="G4" s="19" t="s">
        <v>290</v>
      </c>
      <c r="H4" s="19" t="s">
        <v>155</v>
      </c>
      <c r="I4" s="19" t="s">
        <v>291</v>
      </c>
      <c r="J4" s="19" t="s">
        <v>292</v>
      </c>
      <c r="K4" s="19" t="s">
        <v>293</v>
      </c>
      <c r="L4" s="19" t="s">
        <v>294</v>
      </c>
      <c r="M4" s="19" t="s">
        <v>295</v>
      </c>
      <c r="N4" s="19" t="s">
        <v>296</v>
      </c>
      <c r="O4" s="19" t="s">
        <v>297</v>
      </c>
      <c r="P4" s="19" t="s">
        <v>298</v>
      </c>
      <c r="Q4" s="19" t="s">
        <v>299</v>
      </c>
      <c r="R4" s="19" t="s">
        <v>300</v>
      </c>
      <c r="S4" s="19" t="s">
        <v>301</v>
      </c>
      <c r="T4" s="19" t="s">
        <v>302</v>
      </c>
      <c r="U4" s="19" t="s">
        <v>154</v>
      </c>
      <c r="V4" s="19" t="s">
        <v>303</v>
      </c>
      <c r="W4" s="19" t="s">
        <v>304</v>
      </c>
      <c r="X4" s="19" t="s">
        <v>305</v>
      </c>
    </row>
    <row r="5" customFormat="false" ht="15" hidden="false" customHeight="false" outlineLevel="0" collapsed="false">
      <c r="A5" s="7" t="s">
        <v>248</v>
      </c>
      <c r="B5" s="7" t="s">
        <v>306</v>
      </c>
      <c r="C5" s="7" t="s">
        <v>307</v>
      </c>
      <c r="D5" s="10" t="n">
        <v>0.19</v>
      </c>
      <c r="E5" s="7" t="s">
        <v>268</v>
      </c>
      <c r="F5" s="7" t="s">
        <v>71</v>
      </c>
      <c r="G5" s="10" t="n">
        <v>1</v>
      </c>
      <c r="H5" s="7"/>
      <c r="I5" s="31" t="s">
        <v>272</v>
      </c>
      <c r="J5" s="31"/>
      <c r="K5" s="31"/>
      <c r="L5" s="31" t="s">
        <v>272</v>
      </c>
      <c r="M5" s="31"/>
      <c r="N5" s="31"/>
      <c r="O5" s="31"/>
      <c r="P5" s="31"/>
      <c r="Q5" s="31"/>
      <c r="R5" s="31"/>
      <c r="S5" s="31"/>
      <c r="T5" s="32" t="n">
        <f aca="false">IF($A5="",0,SUMIFS(GL_Input!$U:$U,GL_Input!$N:$N,$A5))</f>
        <v>10000</v>
      </c>
      <c r="U5" s="32" t="n">
        <f aca="false">IF($A5="",0,SUMIFS(GL_Input!$W:$W,GL_Input!$N:$N,$A5))</f>
        <v>1900</v>
      </c>
      <c r="V5" s="33" t="n">
        <f aca="false">ROUND(U5*N(G5),2)</f>
        <v>1900</v>
      </c>
      <c r="W5" s="34" t="n">
        <f aca="false">IF($A5="",0,COUNTIFS(GL_Input!$N:$N,$A5))</f>
        <v>1</v>
      </c>
      <c r="X5" s="15" t="s">
        <v>308</v>
      </c>
    </row>
    <row r="6" customFormat="false" ht="15" hidden="false" customHeight="false" outlineLevel="0" collapsed="false">
      <c r="A6" s="7" t="s">
        <v>309</v>
      </c>
      <c r="B6" s="7" t="s">
        <v>310</v>
      </c>
      <c r="C6" s="7" t="s">
        <v>307</v>
      </c>
      <c r="D6" s="10" t="n">
        <v>0.09</v>
      </c>
      <c r="E6" s="7" t="s">
        <v>268</v>
      </c>
      <c r="F6" s="7" t="s">
        <v>71</v>
      </c>
      <c r="G6" s="10" t="n">
        <v>1</v>
      </c>
      <c r="H6" s="7"/>
      <c r="I6" s="31" t="s">
        <v>272</v>
      </c>
      <c r="J6" s="31"/>
      <c r="K6" s="31"/>
      <c r="L6" s="31" t="s">
        <v>272</v>
      </c>
      <c r="M6" s="31"/>
      <c r="N6" s="31"/>
      <c r="O6" s="31"/>
      <c r="P6" s="31"/>
      <c r="Q6" s="31"/>
      <c r="R6" s="31"/>
      <c r="S6" s="31"/>
      <c r="T6" s="32" t="n">
        <f aca="false">IF($A6="",0,SUMIFS(GL_Input!$U:$U,GL_Input!$N:$N,$A6))</f>
        <v>0</v>
      </c>
      <c r="U6" s="32" t="n">
        <f aca="false">IF($A6="",0,SUMIFS(GL_Input!$W:$W,GL_Input!$N:$N,$A6))</f>
        <v>0</v>
      </c>
      <c r="V6" s="33" t="n">
        <f aca="false">ROUND(U6*N(G6),2)</f>
        <v>0</v>
      </c>
      <c r="W6" s="34" t="n">
        <f aca="false">IF($A6="",0,COUNTIFS(GL_Input!$N:$N,$A6))</f>
        <v>0</v>
      </c>
      <c r="X6" s="15" t="s">
        <v>311</v>
      </c>
    </row>
    <row r="7" customFormat="false" ht="15" hidden="false" customHeight="false" outlineLevel="0" collapsed="false">
      <c r="A7" s="7" t="s">
        <v>312</v>
      </c>
      <c r="B7" s="7" t="s">
        <v>313</v>
      </c>
      <c r="C7" s="7" t="s">
        <v>307</v>
      </c>
      <c r="D7" s="10" t="n">
        <v>0.05</v>
      </c>
      <c r="E7" s="7" t="s">
        <v>268</v>
      </c>
      <c r="F7" s="7" t="s">
        <v>71</v>
      </c>
      <c r="G7" s="10" t="n">
        <v>1</v>
      </c>
      <c r="H7" s="7"/>
      <c r="I7" s="31" t="s">
        <v>272</v>
      </c>
      <c r="J7" s="31"/>
      <c r="K7" s="31"/>
      <c r="L7" s="31" t="s">
        <v>272</v>
      </c>
      <c r="M7" s="31"/>
      <c r="N7" s="31"/>
      <c r="O7" s="31"/>
      <c r="P7" s="31"/>
      <c r="Q7" s="31"/>
      <c r="R7" s="31"/>
      <c r="S7" s="31"/>
      <c r="T7" s="32" t="n">
        <f aca="false">IF($A7="",0,SUMIFS(GL_Input!$U:$U,GL_Input!$N:$N,$A7))</f>
        <v>0</v>
      </c>
      <c r="U7" s="32" t="n">
        <f aca="false">IF($A7="",0,SUMIFS(GL_Input!$W:$W,GL_Input!$N:$N,$A7))</f>
        <v>0</v>
      </c>
      <c r="V7" s="33" t="n">
        <f aca="false">ROUND(U7*N(G7),2)</f>
        <v>0</v>
      </c>
      <c r="W7" s="34" t="n">
        <f aca="false">IF($A7="",0,COUNTIFS(GL_Input!$N:$N,$A7))</f>
        <v>0</v>
      </c>
      <c r="X7" s="15" t="s">
        <v>314</v>
      </c>
    </row>
    <row r="8" customFormat="false" ht="15" hidden="false" customHeight="false" outlineLevel="0" collapsed="false">
      <c r="A8" s="7" t="s">
        <v>315</v>
      </c>
      <c r="B8" s="7" t="s">
        <v>316</v>
      </c>
      <c r="C8" s="7" t="s">
        <v>307</v>
      </c>
      <c r="D8" s="10" t="n">
        <v>0.03</v>
      </c>
      <c r="E8" s="7" t="s">
        <v>268</v>
      </c>
      <c r="F8" s="7" t="s">
        <v>71</v>
      </c>
      <c r="G8" s="10" t="n">
        <v>1</v>
      </c>
      <c r="H8" s="7"/>
      <c r="I8" s="31" t="s">
        <v>272</v>
      </c>
      <c r="J8" s="31"/>
      <c r="K8" s="31"/>
      <c r="L8" s="31" t="s">
        <v>272</v>
      </c>
      <c r="M8" s="31"/>
      <c r="N8" s="31"/>
      <c r="O8" s="31"/>
      <c r="P8" s="31"/>
      <c r="Q8" s="31"/>
      <c r="R8" s="31"/>
      <c r="S8" s="31"/>
      <c r="T8" s="32" t="n">
        <f aca="false">IF($A8="",0,SUMIFS(GL_Input!$U:$U,GL_Input!$N:$N,$A8))</f>
        <v>0</v>
      </c>
      <c r="U8" s="32" t="n">
        <f aca="false">IF($A8="",0,SUMIFS(GL_Input!$W:$W,GL_Input!$N:$N,$A8))</f>
        <v>0</v>
      </c>
      <c r="V8" s="33" t="n">
        <f aca="false">ROUND(U8*N(G8),2)</f>
        <v>0</v>
      </c>
      <c r="W8" s="34" t="n">
        <f aca="false">IF($A8="",0,COUNTIFS(GL_Input!$N:$N,$A8))</f>
        <v>0</v>
      </c>
      <c r="X8" s="15" t="s">
        <v>317</v>
      </c>
    </row>
    <row r="9" customFormat="false" ht="15" hidden="false" customHeight="false" outlineLevel="0" collapsed="false">
      <c r="A9" s="7" t="s">
        <v>318</v>
      </c>
      <c r="B9" s="7" t="s">
        <v>319</v>
      </c>
      <c r="C9" s="7" t="s">
        <v>307</v>
      </c>
      <c r="D9" s="10" t="n">
        <v>0</v>
      </c>
      <c r="E9" s="7" t="s">
        <v>320</v>
      </c>
      <c r="F9" s="7" t="s">
        <v>71</v>
      </c>
      <c r="G9" s="10" t="n">
        <v>1</v>
      </c>
      <c r="H9" s="7"/>
      <c r="I9" s="31"/>
      <c r="J9" s="31"/>
      <c r="K9" s="31"/>
      <c r="L9" s="31" t="s">
        <v>272</v>
      </c>
      <c r="M9" s="31"/>
      <c r="N9" s="31"/>
      <c r="O9" s="31"/>
      <c r="P9" s="31" t="s">
        <v>272</v>
      </c>
      <c r="Q9" s="31"/>
      <c r="R9" s="31"/>
      <c r="S9" s="31"/>
      <c r="T9" s="32" t="n">
        <f aca="false">IF($A9="",0,SUMIFS(GL_Input!$U:$U,GL_Input!$N:$N,$A9))</f>
        <v>0</v>
      </c>
      <c r="U9" s="32" t="n">
        <f aca="false">IF($A9="",0,SUMIFS(GL_Input!$W:$W,GL_Input!$N:$N,$A9))</f>
        <v>0</v>
      </c>
      <c r="V9" s="33" t="n">
        <f aca="false">ROUND(U9*N(G9),2)</f>
        <v>0</v>
      </c>
      <c r="W9" s="34" t="n">
        <f aca="false">IF($A9="",0,COUNTIFS(GL_Input!$N:$N,$A9))</f>
        <v>0</v>
      </c>
      <c r="X9" s="15" t="s">
        <v>321</v>
      </c>
    </row>
    <row r="10" customFormat="false" ht="15" hidden="false" customHeight="false" outlineLevel="0" collapsed="false">
      <c r="A10" s="7" t="s">
        <v>188</v>
      </c>
      <c r="B10" s="7" t="s">
        <v>322</v>
      </c>
      <c r="C10" s="7" t="s">
        <v>307</v>
      </c>
      <c r="D10" s="10" t="n">
        <v>0</v>
      </c>
      <c r="E10" s="7" t="s">
        <v>323</v>
      </c>
      <c r="F10" s="7" t="s">
        <v>71</v>
      </c>
      <c r="G10" s="10" t="n">
        <v>1</v>
      </c>
      <c r="H10" s="7"/>
      <c r="I10" s="31"/>
      <c r="J10" s="31"/>
      <c r="K10" s="31"/>
      <c r="L10" s="31" t="s">
        <v>272</v>
      </c>
      <c r="M10" s="31"/>
      <c r="N10" s="31"/>
      <c r="O10" s="31"/>
      <c r="P10" s="31" t="s">
        <v>272</v>
      </c>
      <c r="Q10" s="31"/>
      <c r="R10" s="31"/>
      <c r="S10" s="31"/>
      <c r="T10" s="32" t="n">
        <f aca="false">IF($A10="",0,SUMIFS(GL_Input!$U:$U,GL_Input!$N:$N,$A10))</f>
        <v>10301.31</v>
      </c>
      <c r="U10" s="32" t="n">
        <f aca="false">IF($A10="",0,SUMIFS(GL_Input!$W:$W,GL_Input!$N:$N,$A10))</f>
        <v>0</v>
      </c>
      <c r="V10" s="33" t="n">
        <f aca="false">ROUND(U10*N(G10),2)</f>
        <v>0</v>
      </c>
      <c r="W10" s="34" t="n">
        <f aca="false">IF($A10="",0,COUNTIFS(GL_Input!$N:$N,$A10))</f>
        <v>1</v>
      </c>
      <c r="X10" s="15" t="s">
        <v>324</v>
      </c>
    </row>
    <row r="11" customFormat="false" ht="15" hidden="false" customHeight="false" outlineLevel="0" collapsed="false">
      <c r="A11" s="7" t="s">
        <v>251</v>
      </c>
      <c r="B11" s="7" t="s">
        <v>325</v>
      </c>
      <c r="C11" s="7" t="s">
        <v>307</v>
      </c>
      <c r="D11" s="10" t="n">
        <v>0</v>
      </c>
      <c r="E11" s="7" t="s">
        <v>326</v>
      </c>
      <c r="F11" s="7" t="s">
        <v>71</v>
      </c>
      <c r="G11" s="10" t="n">
        <v>1</v>
      </c>
      <c r="H11" s="7" t="s">
        <v>327</v>
      </c>
      <c r="I11" s="31"/>
      <c r="J11" s="31"/>
      <c r="K11" s="31"/>
      <c r="L11" s="31" t="s">
        <v>272</v>
      </c>
      <c r="M11" s="31"/>
      <c r="N11" s="31" t="s">
        <v>272</v>
      </c>
      <c r="O11" s="31"/>
      <c r="P11" s="31"/>
      <c r="Q11" s="31"/>
      <c r="R11" s="31"/>
      <c r="S11" s="31"/>
      <c r="T11" s="32" t="n">
        <f aca="false">IF($A11="",0,SUMIFS(GL_Input!$U:$U,GL_Input!$N:$N,$A11))</f>
        <v>8000</v>
      </c>
      <c r="U11" s="32" t="n">
        <f aca="false">IF($A11="",0,SUMIFS(GL_Input!$W:$W,GL_Input!$N:$N,$A11))</f>
        <v>0</v>
      </c>
      <c r="V11" s="33" t="n">
        <f aca="false">ROUND(U11*N(G11),2)</f>
        <v>0</v>
      </c>
      <c r="W11" s="34" t="n">
        <f aca="false">IF($A11="",0,COUNTIFS(GL_Input!$N:$N,$A11))</f>
        <v>1</v>
      </c>
      <c r="X11" s="15" t="s">
        <v>328</v>
      </c>
    </row>
    <row r="12" customFormat="false" ht="15" hidden="false" customHeight="false" outlineLevel="0" collapsed="false">
      <c r="A12" s="7" t="s">
        <v>249</v>
      </c>
      <c r="B12" s="7" t="s">
        <v>329</v>
      </c>
      <c r="C12" s="7" t="s">
        <v>307</v>
      </c>
      <c r="D12" s="10" t="n">
        <v>0</v>
      </c>
      <c r="E12" s="7" t="s">
        <v>326</v>
      </c>
      <c r="F12" s="7" t="s">
        <v>71</v>
      </c>
      <c r="G12" s="10" t="n">
        <v>1</v>
      </c>
      <c r="H12" s="7" t="s">
        <v>330</v>
      </c>
      <c r="I12" s="31"/>
      <c r="J12" s="31"/>
      <c r="K12" s="31"/>
      <c r="L12" s="31" t="s">
        <v>272</v>
      </c>
      <c r="M12" s="31"/>
      <c r="N12" s="31"/>
      <c r="O12" s="31" t="s">
        <v>272</v>
      </c>
      <c r="P12" s="31"/>
      <c r="Q12" s="31"/>
      <c r="R12" s="31"/>
      <c r="S12" s="31"/>
      <c r="T12" s="32" t="n">
        <f aca="false">IF($A12="",0,SUMIFS(GL_Input!$U:$U,GL_Input!$N:$N,$A12))</f>
        <v>25000</v>
      </c>
      <c r="U12" s="32" t="n">
        <f aca="false">IF($A12="",0,SUMIFS(GL_Input!$W:$W,GL_Input!$N:$N,$A12))</f>
        <v>0</v>
      </c>
      <c r="V12" s="33" t="n">
        <f aca="false">ROUND(U12*N(G12),2)</f>
        <v>0</v>
      </c>
      <c r="W12" s="34" t="n">
        <f aca="false">IF($A12="",0,COUNTIFS(GL_Input!$N:$N,$A12))</f>
        <v>1</v>
      </c>
      <c r="X12" s="15" t="s">
        <v>331</v>
      </c>
    </row>
    <row r="13" customFormat="false" ht="15" hidden="false" customHeight="false" outlineLevel="0" collapsed="false">
      <c r="A13" s="7" t="s">
        <v>332</v>
      </c>
      <c r="B13" s="7" t="s">
        <v>333</v>
      </c>
      <c r="C13" s="7" t="s">
        <v>307</v>
      </c>
      <c r="D13" s="10" t="n">
        <v>0</v>
      </c>
      <c r="E13" s="7" t="s">
        <v>326</v>
      </c>
      <c r="F13" s="7" t="s">
        <v>71</v>
      </c>
      <c r="G13" s="10" t="n">
        <v>1</v>
      </c>
      <c r="H13" s="7" t="s">
        <v>334</v>
      </c>
      <c r="I13" s="31"/>
      <c r="J13" s="31"/>
      <c r="K13" s="31"/>
      <c r="L13" s="31" t="s">
        <v>272</v>
      </c>
      <c r="M13" s="31"/>
      <c r="N13" s="31"/>
      <c r="O13" s="31"/>
      <c r="P13" s="31"/>
      <c r="Q13" s="31" t="s">
        <v>272</v>
      </c>
      <c r="R13" s="31"/>
      <c r="S13" s="31"/>
      <c r="T13" s="32" t="n">
        <f aca="false">IF($A13="",0,SUMIFS(GL_Input!$U:$U,GL_Input!$N:$N,$A13))</f>
        <v>0</v>
      </c>
      <c r="U13" s="32" t="n">
        <f aca="false">IF($A13="",0,SUMIFS(GL_Input!$W:$W,GL_Input!$N:$N,$A13))</f>
        <v>0</v>
      </c>
      <c r="V13" s="33" t="n">
        <f aca="false">ROUND(U13*N(G13),2)</f>
        <v>0</v>
      </c>
      <c r="W13" s="34" t="n">
        <f aca="false">IF($A13="",0,COUNTIFS(GL_Input!$N:$N,$A13))</f>
        <v>0</v>
      </c>
      <c r="X13" s="15" t="s">
        <v>335</v>
      </c>
    </row>
    <row r="14" customFormat="false" ht="15" hidden="false" customHeight="false" outlineLevel="0" collapsed="false">
      <c r="A14" s="7" t="s">
        <v>177</v>
      </c>
      <c r="B14" s="7" t="s">
        <v>336</v>
      </c>
      <c r="C14" s="7" t="s">
        <v>307</v>
      </c>
      <c r="D14" s="10" t="n">
        <v>0</v>
      </c>
      <c r="E14" s="7" t="s">
        <v>323</v>
      </c>
      <c r="F14" s="7" t="s">
        <v>71</v>
      </c>
      <c r="G14" s="10" t="n">
        <v>1</v>
      </c>
      <c r="H14" s="7"/>
      <c r="I14" s="31"/>
      <c r="J14" s="31"/>
      <c r="K14" s="31"/>
      <c r="L14" s="31" t="s">
        <v>272</v>
      </c>
      <c r="M14" s="31"/>
      <c r="N14" s="31"/>
      <c r="O14" s="31"/>
      <c r="P14" s="31"/>
      <c r="Q14" s="31" t="s">
        <v>272</v>
      </c>
      <c r="R14" s="31"/>
      <c r="S14" s="31"/>
      <c r="T14" s="32" t="n">
        <f aca="false">IF($A14="",0,SUMIFS(GL_Input!$U:$U,GL_Input!$N:$N,$A14))</f>
        <v>25753.28</v>
      </c>
      <c r="U14" s="32" t="n">
        <f aca="false">IF($A14="",0,SUMIFS(GL_Input!$W:$W,GL_Input!$N:$N,$A14))</f>
        <v>0</v>
      </c>
      <c r="V14" s="33" t="n">
        <f aca="false">ROUND(U14*N(G14),2)</f>
        <v>0</v>
      </c>
      <c r="W14" s="34" t="n">
        <f aca="false">IF($A14="",0,COUNTIFS(GL_Input!$N:$N,$A14))</f>
        <v>1</v>
      </c>
      <c r="X14" s="15" t="s">
        <v>337</v>
      </c>
    </row>
    <row r="15" customFormat="false" ht="15" hidden="false" customHeight="false" outlineLevel="0" collapsed="false">
      <c r="A15" s="7" t="s">
        <v>338</v>
      </c>
      <c r="B15" s="7" t="s">
        <v>339</v>
      </c>
      <c r="C15" s="7" t="s">
        <v>307</v>
      </c>
      <c r="D15" s="10" t="n">
        <v>0</v>
      </c>
      <c r="E15" s="7" t="s">
        <v>326</v>
      </c>
      <c r="F15" s="7" t="s">
        <v>71</v>
      </c>
      <c r="G15" s="10" t="n">
        <v>1</v>
      </c>
      <c r="H15" s="7"/>
      <c r="I15" s="31"/>
      <c r="J15" s="31"/>
      <c r="K15" s="31"/>
      <c r="L15" s="31" t="s">
        <v>272</v>
      </c>
      <c r="M15" s="31"/>
      <c r="N15" s="31"/>
      <c r="O15" s="31"/>
      <c r="P15" s="31"/>
      <c r="Q15" s="31" t="s">
        <v>272</v>
      </c>
      <c r="R15" s="31"/>
      <c r="S15" s="31"/>
      <c r="T15" s="32" t="n">
        <f aca="false">IF($A15="",0,SUMIFS(GL_Input!$U:$U,GL_Input!$N:$N,$A15))</f>
        <v>0</v>
      </c>
      <c r="U15" s="32" t="n">
        <f aca="false">IF($A15="",0,SUMIFS(GL_Input!$W:$W,GL_Input!$N:$N,$A15))</f>
        <v>0</v>
      </c>
      <c r="V15" s="33" t="n">
        <f aca="false">ROUND(U15*N(G15),2)</f>
        <v>0</v>
      </c>
      <c r="W15" s="34" t="n">
        <f aca="false">IF($A15="",0,COUNTIFS(GL_Input!$N:$N,$A15))</f>
        <v>0</v>
      </c>
      <c r="X15" s="15" t="s">
        <v>340</v>
      </c>
    </row>
    <row r="16" customFormat="false" ht="15" hidden="false" customHeight="false" outlineLevel="0" collapsed="false">
      <c r="A16" s="7" t="s">
        <v>341</v>
      </c>
      <c r="B16" s="7" t="s">
        <v>342</v>
      </c>
      <c r="C16" s="7" t="s">
        <v>307</v>
      </c>
      <c r="D16" s="10" t="n">
        <v>0</v>
      </c>
      <c r="E16" s="7" t="s">
        <v>323</v>
      </c>
      <c r="F16" s="7" t="s">
        <v>71</v>
      </c>
      <c r="G16" s="10" t="n">
        <v>1</v>
      </c>
      <c r="H16" s="7"/>
      <c r="I16" s="31"/>
      <c r="J16" s="31"/>
      <c r="K16" s="31"/>
      <c r="L16" s="31" t="s">
        <v>272</v>
      </c>
      <c r="M16" s="31"/>
      <c r="N16" s="31"/>
      <c r="O16" s="31"/>
      <c r="P16" s="31"/>
      <c r="Q16" s="31" t="s">
        <v>272</v>
      </c>
      <c r="R16" s="31"/>
      <c r="S16" s="31"/>
      <c r="T16" s="32" t="n">
        <f aca="false">IF($A16="",0,SUMIFS(GL_Input!$U:$U,GL_Input!$N:$N,$A16))</f>
        <v>0</v>
      </c>
      <c r="U16" s="32" t="n">
        <f aca="false">IF($A16="",0,SUMIFS(GL_Input!$W:$W,GL_Input!$N:$N,$A16))</f>
        <v>0</v>
      </c>
      <c r="V16" s="33" t="n">
        <f aca="false">ROUND(U16*N(G16),2)</f>
        <v>0</v>
      </c>
      <c r="W16" s="34" t="n">
        <f aca="false">IF($A16="",0,COUNTIFS(GL_Input!$N:$N,$A16))</f>
        <v>0</v>
      </c>
      <c r="X16" s="15" t="s">
        <v>343</v>
      </c>
    </row>
    <row r="17" customFormat="false" ht="15" hidden="false" customHeight="false" outlineLevel="0" collapsed="false">
      <c r="A17" s="7" t="s">
        <v>344</v>
      </c>
      <c r="B17" s="7" t="s">
        <v>345</v>
      </c>
      <c r="C17" s="7" t="s">
        <v>307</v>
      </c>
      <c r="D17" s="10" t="n">
        <v>0</v>
      </c>
      <c r="E17" s="7" t="s">
        <v>326</v>
      </c>
      <c r="F17" s="7" t="s">
        <v>71</v>
      </c>
      <c r="G17" s="10" t="n">
        <v>1</v>
      </c>
      <c r="H17" s="7"/>
      <c r="I17" s="31"/>
      <c r="J17" s="31"/>
      <c r="K17" s="31"/>
      <c r="L17" s="31" t="s">
        <v>272</v>
      </c>
      <c r="M17" s="31"/>
      <c r="N17" s="31"/>
      <c r="O17" s="31"/>
      <c r="P17" s="31"/>
      <c r="Q17" s="31"/>
      <c r="R17" s="31"/>
      <c r="S17" s="31"/>
      <c r="T17" s="32" t="n">
        <f aca="false">IF($A17="",0,SUMIFS(GL_Input!$U:$U,GL_Input!$N:$N,$A17))</f>
        <v>0</v>
      </c>
      <c r="U17" s="32" t="n">
        <f aca="false">IF($A17="",0,SUMIFS(GL_Input!$W:$W,GL_Input!$N:$N,$A17))</f>
        <v>0</v>
      </c>
      <c r="V17" s="33" t="n">
        <f aca="false">ROUND(U17*N(G17),2)</f>
        <v>0</v>
      </c>
      <c r="W17" s="34" t="n">
        <f aca="false">IF($A17="",0,COUNTIFS(GL_Input!$N:$N,$A17))</f>
        <v>0</v>
      </c>
      <c r="X17" s="15" t="s">
        <v>346</v>
      </c>
    </row>
    <row r="18" customFormat="false" ht="15" hidden="false" customHeight="false" outlineLevel="0" collapsed="false">
      <c r="A18" s="7" t="s">
        <v>347</v>
      </c>
      <c r="B18" s="7" t="s">
        <v>348</v>
      </c>
      <c r="C18" s="7" t="s">
        <v>307</v>
      </c>
      <c r="D18" s="10" t="n">
        <v>0</v>
      </c>
      <c r="E18" s="7" t="s">
        <v>320</v>
      </c>
      <c r="F18" s="7" t="s">
        <v>71</v>
      </c>
      <c r="G18" s="10" t="n">
        <v>1</v>
      </c>
      <c r="H18" s="7"/>
      <c r="I18" s="31"/>
      <c r="J18" s="31"/>
      <c r="K18" s="31"/>
      <c r="L18" s="31" t="s">
        <v>272</v>
      </c>
      <c r="M18" s="31"/>
      <c r="N18" s="31"/>
      <c r="O18" s="31"/>
      <c r="P18" s="31"/>
      <c r="Q18" s="31"/>
      <c r="R18" s="31"/>
      <c r="S18" s="31"/>
      <c r="T18" s="32" t="n">
        <f aca="false">IF($A18="",0,SUMIFS(GL_Input!$U:$U,GL_Input!$N:$N,$A18))</f>
        <v>0</v>
      </c>
      <c r="U18" s="32" t="n">
        <f aca="false">IF($A18="",0,SUMIFS(GL_Input!$W:$W,GL_Input!$N:$N,$A18))</f>
        <v>0</v>
      </c>
      <c r="V18" s="33" t="n">
        <f aca="false">ROUND(U18*N(G18),2)</f>
        <v>0</v>
      </c>
      <c r="W18" s="34" t="n">
        <f aca="false">IF($A18="",0,COUNTIFS(GL_Input!$N:$N,$A18))</f>
        <v>0</v>
      </c>
      <c r="X18" s="15" t="s">
        <v>349</v>
      </c>
    </row>
    <row r="19" customFormat="false" ht="15" hidden="false" customHeight="false" outlineLevel="0" collapsed="false">
      <c r="A19" s="7" t="s">
        <v>350</v>
      </c>
      <c r="B19" s="7" t="s">
        <v>351</v>
      </c>
      <c r="C19" s="7" t="s">
        <v>307</v>
      </c>
      <c r="D19" s="10" t="n">
        <v>0</v>
      </c>
      <c r="E19" s="7" t="s">
        <v>268</v>
      </c>
      <c r="F19" s="7" t="s">
        <v>71</v>
      </c>
      <c r="G19" s="10" t="n">
        <v>1</v>
      </c>
      <c r="H19" s="7"/>
      <c r="I19" s="31"/>
      <c r="J19" s="31"/>
      <c r="K19" s="31"/>
      <c r="L19" s="31" t="s">
        <v>272</v>
      </c>
      <c r="M19" s="31"/>
      <c r="N19" s="31"/>
      <c r="O19" s="31"/>
      <c r="P19" s="31"/>
      <c r="Q19" s="31"/>
      <c r="R19" s="31"/>
      <c r="S19" s="31"/>
      <c r="T19" s="32" t="n">
        <f aca="false">IF($A19="",0,SUMIFS(GL_Input!$U:$U,GL_Input!$N:$N,$A19))</f>
        <v>0</v>
      </c>
      <c r="U19" s="32" t="n">
        <f aca="false">IF($A19="",0,SUMIFS(GL_Input!$W:$W,GL_Input!$N:$N,$A19))</f>
        <v>0</v>
      </c>
      <c r="V19" s="33" t="n">
        <f aca="false">ROUND(U19*N(G19),2)</f>
        <v>0</v>
      </c>
      <c r="W19" s="34" t="n">
        <f aca="false">IF($A19="",0,COUNTIFS(GL_Input!$N:$N,$A19))</f>
        <v>0</v>
      </c>
      <c r="X19" s="15" t="s">
        <v>352</v>
      </c>
    </row>
    <row r="20" customFormat="false" ht="15" hidden="false" customHeight="false" outlineLevel="0" collapsed="false">
      <c r="A20" s="7" t="s">
        <v>254</v>
      </c>
      <c r="B20" s="7" t="s">
        <v>353</v>
      </c>
      <c r="C20" s="7" t="s">
        <v>354</v>
      </c>
      <c r="D20" s="10" t="n">
        <v>0.19</v>
      </c>
      <c r="E20" s="7" t="s">
        <v>268</v>
      </c>
      <c r="F20" s="7" t="s">
        <v>71</v>
      </c>
      <c r="G20" s="10" t="n">
        <v>1</v>
      </c>
      <c r="H20" s="7"/>
      <c r="I20" s="31"/>
      <c r="J20" s="31"/>
      <c r="K20" s="31" t="s">
        <v>272</v>
      </c>
      <c r="L20" s="31"/>
      <c r="M20" s="31" t="s">
        <v>272</v>
      </c>
      <c r="N20" s="31"/>
      <c r="O20" s="31"/>
      <c r="P20" s="31"/>
      <c r="Q20" s="31"/>
      <c r="R20" s="31"/>
      <c r="S20" s="31"/>
      <c r="T20" s="32" t="n">
        <f aca="false">IF($A20="",0,SUMIFS(GL_Input!$U:$U,GL_Input!$N:$N,$A20))</f>
        <v>2000</v>
      </c>
      <c r="U20" s="32" t="n">
        <f aca="false">IF($A20="",0,SUMIFS(GL_Input!$W:$W,GL_Input!$N:$N,$A20))</f>
        <v>380</v>
      </c>
      <c r="V20" s="33" t="n">
        <f aca="false">ROUND(U20*N(G20),2)</f>
        <v>380</v>
      </c>
      <c r="W20" s="34" t="n">
        <f aca="false">IF($A20="",0,COUNTIFS(GL_Input!$N:$N,$A20))</f>
        <v>1</v>
      </c>
      <c r="X20" s="15" t="s">
        <v>355</v>
      </c>
    </row>
    <row r="21" customFormat="false" ht="15" hidden="false" customHeight="false" outlineLevel="0" collapsed="false">
      <c r="A21" s="7" t="s">
        <v>356</v>
      </c>
      <c r="B21" s="7" t="s">
        <v>357</v>
      </c>
      <c r="C21" s="7" t="s">
        <v>354</v>
      </c>
      <c r="D21" s="10" t="n">
        <v>0.09</v>
      </c>
      <c r="E21" s="7" t="s">
        <v>268</v>
      </c>
      <c r="F21" s="7" t="s">
        <v>71</v>
      </c>
      <c r="G21" s="10" t="n">
        <v>1</v>
      </c>
      <c r="H21" s="7"/>
      <c r="I21" s="31"/>
      <c r="J21" s="31"/>
      <c r="K21" s="31" t="s">
        <v>272</v>
      </c>
      <c r="L21" s="31"/>
      <c r="M21" s="31" t="s">
        <v>272</v>
      </c>
      <c r="N21" s="31"/>
      <c r="O21" s="31"/>
      <c r="P21" s="31"/>
      <c r="Q21" s="31"/>
      <c r="R21" s="31"/>
      <c r="S21" s="31"/>
      <c r="T21" s="32" t="n">
        <f aca="false">IF($A21="",0,SUMIFS(GL_Input!$U:$U,GL_Input!$N:$N,$A21))</f>
        <v>0</v>
      </c>
      <c r="U21" s="32" t="n">
        <f aca="false">IF($A21="",0,SUMIFS(GL_Input!$W:$W,GL_Input!$N:$N,$A21))</f>
        <v>0</v>
      </c>
      <c r="V21" s="33" t="n">
        <f aca="false">ROUND(U21*N(G21),2)</f>
        <v>0</v>
      </c>
      <c r="W21" s="34" t="n">
        <f aca="false">IF($A21="",0,COUNTIFS(GL_Input!$N:$N,$A21))</f>
        <v>0</v>
      </c>
      <c r="X21" s="15" t="s">
        <v>358</v>
      </c>
    </row>
    <row r="22" customFormat="false" ht="15" hidden="false" customHeight="false" outlineLevel="0" collapsed="false">
      <c r="A22" s="7" t="s">
        <v>359</v>
      </c>
      <c r="B22" s="7" t="s">
        <v>360</v>
      </c>
      <c r="C22" s="7" t="s">
        <v>354</v>
      </c>
      <c r="D22" s="10" t="n">
        <v>0.05</v>
      </c>
      <c r="E22" s="7" t="s">
        <v>268</v>
      </c>
      <c r="F22" s="7" t="s">
        <v>71</v>
      </c>
      <c r="G22" s="10" t="n">
        <v>1</v>
      </c>
      <c r="H22" s="7"/>
      <c r="I22" s="31"/>
      <c r="J22" s="31"/>
      <c r="K22" s="31" t="s">
        <v>272</v>
      </c>
      <c r="L22" s="31"/>
      <c r="M22" s="31" t="s">
        <v>272</v>
      </c>
      <c r="N22" s="31"/>
      <c r="O22" s="31"/>
      <c r="P22" s="31"/>
      <c r="Q22" s="31"/>
      <c r="R22" s="31"/>
      <c r="S22" s="31"/>
      <c r="T22" s="32" t="n">
        <f aca="false">IF($A22="",0,SUMIFS(GL_Input!$U:$U,GL_Input!$N:$N,$A22))</f>
        <v>0</v>
      </c>
      <c r="U22" s="32" t="n">
        <f aca="false">IF($A22="",0,SUMIFS(GL_Input!$W:$W,GL_Input!$N:$N,$A22))</f>
        <v>0</v>
      </c>
      <c r="V22" s="33" t="n">
        <f aca="false">ROUND(U22*N(G22),2)</f>
        <v>0</v>
      </c>
      <c r="W22" s="34" t="n">
        <f aca="false">IF($A22="",0,COUNTIFS(GL_Input!$N:$N,$A22))</f>
        <v>0</v>
      </c>
      <c r="X22" s="15" t="s">
        <v>361</v>
      </c>
    </row>
    <row r="23" customFormat="false" ht="15" hidden="false" customHeight="false" outlineLevel="0" collapsed="false">
      <c r="A23" s="7" t="s">
        <v>362</v>
      </c>
      <c r="B23" s="7" t="s">
        <v>363</v>
      </c>
      <c r="C23" s="7" t="s">
        <v>354</v>
      </c>
      <c r="D23" s="10" t="n">
        <v>0.03</v>
      </c>
      <c r="E23" s="7" t="s">
        <v>268</v>
      </c>
      <c r="F23" s="7" t="s">
        <v>71</v>
      </c>
      <c r="G23" s="10" t="n">
        <v>1</v>
      </c>
      <c r="H23" s="7"/>
      <c r="I23" s="31"/>
      <c r="J23" s="31"/>
      <c r="K23" s="31" t="s">
        <v>272</v>
      </c>
      <c r="L23" s="31"/>
      <c r="M23" s="31" t="s">
        <v>272</v>
      </c>
      <c r="N23" s="31"/>
      <c r="O23" s="31"/>
      <c r="P23" s="31"/>
      <c r="Q23" s="31"/>
      <c r="R23" s="31"/>
      <c r="S23" s="31"/>
      <c r="T23" s="32" t="n">
        <f aca="false">IF($A23="",0,SUMIFS(GL_Input!$U:$U,GL_Input!$N:$N,$A23))</f>
        <v>0</v>
      </c>
      <c r="U23" s="32" t="n">
        <f aca="false">IF($A23="",0,SUMIFS(GL_Input!$W:$W,GL_Input!$N:$N,$A23))</f>
        <v>0</v>
      </c>
      <c r="V23" s="33" t="n">
        <f aca="false">ROUND(U23*N(G23),2)</f>
        <v>0</v>
      </c>
      <c r="W23" s="34" t="n">
        <f aca="false">IF($A23="",0,COUNTIFS(GL_Input!$N:$N,$A23))</f>
        <v>0</v>
      </c>
      <c r="X23" s="15" t="s">
        <v>364</v>
      </c>
    </row>
    <row r="24" customFormat="false" ht="15" hidden="false" customHeight="false" outlineLevel="0" collapsed="false">
      <c r="A24" s="7" t="s">
        <v>365</v>
      </c>
      <c r="B24" s="7" t="s">
        <v>366</v>
      </c>
      <c r="C24" s="7" t="s">
        <v>354</v>
      </c>
      <c r="D24" s="10" t="n">
        <v>0.19</v>
      </c>
      <c r="E24" s="7" t="s">
        <v>268</v>
      </c>
      <c r="F24" s="7" t="s">
        <v>71</v>
      </c>
      <c r="G24" s="35" t="n">
        <f aca="false">Settings!$C$10</f>
        <v>1</v>
      </c>
      <c r="H24" s="7"/>
      <c r="I24" s="31"/>
      <c r="J24" s="31"/>
      <c r="K24" s="31" t="s">
        <v>272</v>
      </c>
      <c r="L24" s="31"/>
      <c r="M24" s="31" t="s">
        <v>272</v>
      </c>
      <c r="N24" s="31"/>
      <c r="O24" s="31"/>
      <c r="P24" s="31"/>
      <c r="Q24" s="31"/>
      <c r="R24" s="31"/>
      <c r="S24" s="31"/>
      <c r="T24" s="32" t="n">
        <f aca="false">IF($A24="",0,SUMIFS(GL_Input!$U:$U,GL_Input!$N:$N,$A24))</f>
        <v>0</v>
      </c>
      <c r="U24" s="32" t="n">
        <f aca="false">IF($A24="",0,SUMIFS(GL_Input!$W:$W,GL_Input!$N:$N,$A24))</f>
        <v>0</v>
      </c>
      <c r="V24" s="33" t="n">
        <f aca="false">ROUND(U24*N(G24),2)</f>
        <v>0</v>
      </c>
      <c r="W24" s="34" t="n">
        <f aca="false">IF($A24="",0,COUNTIFS(GL_Input!$N:$N,$A24))</f>
        <v>0</v>
      </c>
      <c r="X24" s="15" t="s">
        <v>367</v>
      </c>
    </row>
    <row r="25" customFormat="false" ht="15" hidden="false" customHeight="false" outlineLevel="0" collapsed="false">
      <c r="A25" s="7" t="s">
        <v>256</v>
      </c>
      <c r="B25" s="7" t="s">
        <v>368</v>
      </c>
      <c r="C25" s="7" t="s">
        <v>354</v>
      </c>
      <c r="D25" s="10" t="n">
        <v>0.19</v>
      </c>
      <c r="E25" s="7" t="s">
        <v>320</v>
      </c>
      <c r="F25" s="7" t="s">
        <v>71</v>
      </c>
      <c r="G25" s="10" t="n">
        <v>0</v>
      </c>
      <c r="H25" s="7"/>
      <c r="I25" s="31"/>
      <c r="J25" s="31"/>
      <c r="K25" s="31"/>
      <c r="L25" s="31"/>
      <c r="M25" s="31" t="s">
        <v>272</v>
      </c>
      <c r="N25" s="31"/>
      <c r="O25" s="31"/>
      <c r="P25" s="31"/>
      <c r="Q25" s="31"/>
      <c r="R25" s="31"/>
      <c r="S25" s="31"/>
      <c r="T25" s="32" t="n">
        <f aca="false">IF($A25="",0,SUMIFS(GL_Input!$U:$U,GL_Input!$N:$N,$A25))</f>
        <v>300</v>
      </c>
      <c r="U25" s="32" t="n">
        <f aca="false">IF($A25="",0,SUMIFS(GL_Input!$W:$W,GL_Input!$N:$N,$A25))</f>
        <v>57</v>
      </c>
      <c r="V25" s="33" t="n">
        <f aca="false">ROUND(U25*N(G25),2)</f>
        <v>0</v>
      </c>
      <c r="W25" s="34" t="n">
        <f aca="false">IF($A25="",0,COUNTIFS(GL_Input!$N:$N,$A25))</f>
        <v>1</v>
      </c>
      <c r="X25" s="15" t="s">
        <v>369</v>
      </c>
    </row>
    <row r="26" customFormat="false" ht="15" hidden="false" customHeight="false" outlineLevel="0" collapsed="false">
      <c r="A26" s="7" t="s">
        <v>370</v>
      </c>
      <c r="B26" s="7" t="s">
        <v>371</v>
      </c>
      <c r="C26" s="7" t="s">
        <v>354</v>
      </c>
      <c r="D26" s="10" t="n">
        <v>0</v>
      </c>
      <c r="E26" s="7" t="s">
        <v>320</v>
      </c>
      <c r="F26" s="7" t="s">
        <v>71</v>
      </c>
      <c r="G26" s="10" t="n">
        <v>1</v>
      </c>
      <c r="H26" s="7"/>
      <c r="I26" s="31"/>
      <c r="J26" s="31"/>
      <c r="K26" s="31"/>
      <c r="L26" s="31"/>
      <c r="M26" s="31" t="s">
        <v>272</v>
      </c>
      <c r="N26" s="31"/>
      <c r="O26" s="31"/>
      <c r="P26" s="31"/>
      <c r="Q26" s="31"/>
      <c r="R26" s="31"/>
      <c r="S26" s="31"/>
      <c r="T26" s="32" t="n">
        <f aca="false">IF($A26="",0,SUMIFS(GL_Input!$U:$U,GL_Input!$N:$N,$A26))</f>
        <v>0</v>
      </c>
      <c r="U26" s="32" t="n">
        <f aca="false">IF($A26="",0,SUMIFS(GL_Input!$W:$W,GL_Input!$N:$N,$A26))</f>
        <v>0</v>
      </c>
      <c r="V26" s="33" t="n">
        <f aca="false">ROUND(U26*N(G26),2)</f>
        <v>0</v>
      </c>
      <c r="W26" s="34" t="n">
        <f aca="false">IF($A26="",0,COUNTIFS(GL_Input!$N:$N,$A26))</f>
        <v>0</v>
      </c>
      <c r="X26" s="15" t="s">
        <v>372</v>
      </c>
    </row>
    <row r="27" customFormat="false" ht="15" hidden="false" customHeight="false" outlineLevel="0" collapsed="false">
      <c r="A27" s="7" t="s">
        <v>252</v>
      </c>
      <c r="B27" s="7" t="s">
        <v>373</v>
      </c>
      <c r="C27" s="7" t="s">
        <v>354</v>
      </c>
      <c r="D27" s="10" t="n">
        <v>0.19</v>
      </c>
      <c r="E27" s="7" t="s">
        <v>326</v>
      </c>
      <c r="F27" s="7" t="s">
        <v>71</v>
      </c>
      <c r="G27" s="10" t="n">
        <v>1</v>
      </c>
      <c r="H27" s="7"/>
      <c r="I27" s="31"/>
      <c r="J27" s="31" t="s">
        <v>272</v>
      </c>
      <c r="K27" s="31" t="s">
        <v>272</v>
      </c>
      <c r="L27" s="31"/>
      <c r="M27" s="31" t="s">
        <v>272</v>
      </c>
      <c r="N27" s="31"/>
      <c r="O27" s="31"/>
      <c r="P27" s="31"/>
      <c r="Q27" s="31"/>
      <c r="R27" s="31" t="s">
        <v>272</v>
      </c>
      <c r="S27" s="31"/>
      <c r="T27" s="32" t="n">
        <f aca="false">IF($A27="",0,SUMIFS(GL_Input!$U:$U,GL_Input!$N:$N,$A27))</f>
        <v>5000</v>
      </c>
      <c r="U27" s="32" t="n">
        <f aca="false">IF($A27="",0,SUMIFS(GL_Input!$W:$W,GL_Input!$N:$N,$A27))</f>
        <v>950</v>
      </c>
      <c r="V27" s="33" t="n">
        <f aca="false">ROUND(U27*N(G27),2)</f>
        <v>950</v>
      </c>
      <c r="W27" s="34" t="n">
        <f aca="false">IF($A27="",0,COUNTIFS(GL_Input!$N:$N,$A27))</f>
        <v>1</v>
      </c>
      <c r="X27" s="15" t="s">
        <v>374</v>
      </c>
    </row>
    <row r="28" customFormat="false" ht="15" hidden="false" customHeight="false" outlineLevel="0" collapsed="false">
      <c r="A28" s="7" t="s">
        <v>375</v>
      </c>
      <c r="B28" s="7" t="s">
        <v>376</v>
      </c>
      <c r="C28" s="7" t="s">
        <v>354</v>
      </c>
      <c r="D28" s="10" t="n">
        <v>0.09</v>
      </c>
      <c r="E28" s="7" t="s">
        <v>326</v>
      </c>
      <c r="F28" s="7" t="s">
        <v>71</v>
      </c>
      <c r="G28" s="10" t="n">
        <v>1</v>
      </c>
      <c r="H28" s="7"/>
      <c r="I28" s="31"/>
      <c r="J28" s="31" t="s">
        <v>272</v>
      </c>
      <c r="K28" s="31" t="s">
        <v>272</v>
      </c>
      <c r="L28" s="31"/>
      <c r="M28" s="31" t="s">
        <v>272</v>
      </c>
      <c r="N28" s="31"/>
      <c r="O28" s="31"/>
      <c r="P28" s="31"/>
      <c r="Q28" s="31"/>
      <c r="R28" s="31" t="s">
        <v>272</v>
      </c>
      <c r="S28" s="31"/>
      <c r="T28" s="32" t="n">
        <f aca="false">IF($A28="",0,SUMIFS(GL_Input!$U:$U,GL_Input!$N:$N,$A28))</f>
        <v>0</v>
      </c>
      <c r="U28" s="32" t="n">
        <f aca="false">IF($A28="",0,SUMIFS(GL_Input!$W:$W,GL_Input!$N:$N,$A28))</f>
        <v>0</v>
      </c>
      <c r="V28" s="33" t="n">
        <f aca="false">ROUND(U28*N(G28),2)</f>
        <v>0</v>
      </c>
      <c r="W28" s="34" t="n">
        <f aca="false">IF($A28="",0,COUNTIFS(GL_Input!$N:$N,$A28))</f>
        <v>0</v>
      </c>
      <c r="X28" s="15" t="s">
        <v>377</v>
      </c>
    </row>
    <row r="29" customFormat="false" ht="15" hidden="false" customHeight="false" outlineLevel="0" collapsed="false">
      <c r="A29" s="7" t="s">
        <v>378</v>
      </c>
      <c r="B29" s="7" t="s">
        <v>379</v>
      </c>
      <c r="C29" s="7" t="s">
        <v>354</v>
      </c>
      <c r="D29" s="10" t="n">
        <v>0.05</v>
      </c>
      <c r="E29" s="7" t="s">
        <v>326</v>
      </c>
      <c r="F29" s="7" t="s">
        <v>71</v>
      </c>
      <c r="G29" s="10" t="n">
        <v>1</v>
      </c>
      <c r="H29" s="7"/>
      <c r="I29" s="31"/>
      <c r="J29" s="31" t="s">
        <v>272</v>
      </c>
      <c r="K29" s="31" t="s">
        <v>272</v>
      </c>
      <c r="L29" s="31"/>
      <c r="M29" s="31" t="s">
        <v>272</v>
      </c>
      <c r="N29" s="31"/>
      <c r="O29" s="31"/>
      <c r="P29" s="31"/>
      <c r="Q29" s="31"/>
      <c r="R29" s="31" t="s">
        <v>272</v>
      </c>
      <c r="S29" s="31"/>
      <c r="T29" s="32" t="n">
        <f aca="false">IF($A29="",0,SUMIFS(GL_Input!$U:$U,GL_Input!$N:$N,$A29))</f>
        <v>0</v>
      </c>
      <c r="U29" s="32" t="n">
        <f aca="false">IF($A29="",0,SUMIFS(GL_Input!$W:$W,GL_Input!$N:$N,$A29))</f>
        <v>0</v>
      </c>
      <c r="V29" s="33" t="n">
        <f aca="false">ROUND(U29*N(G29),2)</f>
        <v>0</v>
      </c>
      <c r="W29" s="34" t="n">
        <f aca="false">IF($A29="",0,COUNTIFS(GL_Input!$N:$N,$A29))</f>
        <v>0</v>
      </c>
      <c r="X29" s="15" t="s">
        <v>380</v>
      </c>
    </row>
    <row r="30" customFormat="false" ht="15" hidden="false" customHeight="false" outlineLevel="0" collapsed="false">
      <c r="A30" s="7" t="s">
        <v>381</v>
      </c>
      <c r="B30" s="7" t="s">
        <v>382</v>
      </c>
      <c r="C30" s="7" t="s">
        <v>354</v>
      </c>
      <c r="D30" s="10" t="n">
        <v>0</v>
      </c>
      <c r="E30" s="7" t="s">
        <v>326</v>
      </c>
      <c r="F30" s="7" t="s">
        <v>71</v>
      </c>
      <c r="G30" s="10" t="n">
        <v>1</v>
      </c>
      <c r="H30" s="7"/>
      <c r="I30" s="31"/>
      <c r="J30" s="31"/>
      <c r="K30" s="31"/>
      <c r="L30" s="31"/>
      <c r="M30" s="31" t="s">
        <v>272</v>
      </c>
      <c r="N30" s="31"/>
      <c r="O30" s="31"/>
      <c r="P30" s="31"/>
      <c r="Q30" s="31"/>
      <c r="R30" s="31" t="s">
        <v>272</v>
      </c>
      <c r="S30" s="31"/>
      <c r="T30" s="32" t="n">
        <f aca="false">IF($A30="",0,SUMIFS(GL_Input!$U:$U,GL_Input!$N:$N,$A30))</f>
        <v>0</v>
      </c>
      <c r="U30" s="32" t="n">
        <f aca="false">IF($A30="",0,SUMIFS(GL_Input!$W:$W,GL_Input!$N:$N,$A30))</f>
        <v>0</v>
      </c>
      <c r="V30" s="33" t="n">
        <f aca="false">ROUND(U30*N(G30),2)</f>
        <v>0</v>
      </c>
      <c r="W30" s="34" t="n">
        <f aca="false">IF($A30="",0,COUNTIFS(GL_Input!$N:$N,$A30))</f>
        <v>0</v>
      </c>
      <c r="X30" s="15" t="s">
        <v>383</v>
      </c>
    </row>
    <row r="31" customFormat="false" ht="15" hidden="false" customHeight="false" outlineLevel="0" collapsed="false">
      <c r="A31" s="7" t="s">
        <v>255</v>
      </c>
      <c r="B31" s="7" t="s">
        <v>384</v>
      </c>
      <c r="C31" s="7" t="s">
        <v>354</v>
      </c>
      <c r="D31" s="10" t="n">
        <v>0.19</v>
      </c>
      <c r="E31" s="7" t="s">
        <v>326</v>
      </c>
      <c r="F31" s="7" t="s">
        <v>71</v>
      </c>
      <c r="G31" s="10" t="n">
        <v>1</v>
      </c>
      <c r="H31" s="7"/>
      <c r="I31" s="31" t="s">
        <v>272</v>
      </c>
      <c r="J31" s="31"/>
      <c r="K31" s="31" t="s">
        <v>272</v>
      </c>
      <c r="L31" s="31" t="s">
        <v>272</v>
      </c>
      <c r="M31" s="31" t="s">
        <v>272</v>
      </c>
      <c r="N31" s="31"/>
      <c r="O31" s="31"/>
      <c r="P31" s="31"/>
      <c r="Q31" s="31"/>
      <c r="R31" s="31"/>
      <c r="S31" s="31" t="s">
        <v>272</v>
      </c>
      <c r="T31" s="32" t="n">
        <f aca="false">IF($A31="",0,SUMIFS(GL_Input!$U:$U,GL_Input!$N:$N,$A31))</f>
        <v>15000</v>
      </c>
      <c r="U31" s="32" t="n">
        <f aca="false">IF($A31="",0,SUMIFS(GL_Input!$W:$W,GL_Input!$N:$N,$A31))</f>
        <v>2850</v>
      </c>
      <c r="V31" s="33" t="n">
        <f aca="false">ROUND(U31*N(G31),2)</f>
        <v>2850</v>
      </c>
      <c r="W31" s="34" t="n">
        <f aca="false">IF($A31="",0,COUNTIFS(GL_Input!$N:$N,$A31))</f>
        <v>1</v>
      </c>
      <c r="X31" s="15" t="s">
        <v>385</v>
      </c>
    </row>
    <row r="32" customFormat="false" ht="15" hidden="false" customHeight="false" outlineLevel="0" collapsed="false">
      <c r="A32" s="7" t="s">
        <v>386</v>
      </c>
      <c r="B32" s="7" t="s">
        <v>387</v>
      </c>
      <c r="C32" s="7" t="s">
        <v>354</v>
      </c>
      <c r="D32" s="10" t="n">
        <v>0.19</v>
      </c>
      <c r="E32" s="7" t="s">
        <v>326</v>
      </c>
      <c r="F32" s="7" t="s">
        <v>71</v>
      </c>
      <c r="G32" s="35" t="n">
        <f aca="false">Settings!$C$10</f>
        <v>1</v>
      </c>
      <c r="H32" s="7"/>
      <c r="I32" s="31" t="s">
        <v>272</v>
      </c>
      <c r="J32" s="31"/>
      <c r="K32" s="31" t="s">
        <v>272</v>
      </c>
      <c r="L32" s="31" t="s">
        <v>272</v>
      </c>
      <c r="M32" s="31" t="s">
        <v>272</v>
      </c>
      <c r="N32" s="31"/>
      <c r="O32" s="31"/>
      <c r="P32" s="31"/>
      <c r="Q32" s="31"/>
      <c r="R32" s="31"/>
      <c r="S32" s="31" t="s">
        <v>272</v>
      </c>
      <c r="T32" s="32" t="n">
        <f aca="false">IF($A32="",0,SUMIFS(GL_Input!$U:$U,GL_Input!$N:$N,$A32))</f>
        <v>0</v>
      </c>
      <c r="U32" s="32" t="n">
        <f aca="false">IF($A32="",0,SUMIFS(GL_Input!$W:$W,GL_Input!$N:$N,$A32))</f>
        <v>0</v>
      </c>
      <c r="V32" s="33" t="n">
        <f aca="false">ROUND(U32*N(G32),2)</f>
        <v>0</v>
      </c>
      <c r="W32" s="34" t="n">
        <f aca="false">IF($A32="",0,COUNTIFS(GL_Input!$N:$N,$A32))</f>
        <v>0</v>
      </c>
      <c r="X32" s="15" t="s">
        <v>388</v>
      </c>
    </row>
    <row r="33" customFormat="false" ht="15" hidden="false" customHeight="false" outlineLevel="0" collapsed="false">
      <c r="A33" s="7" t="s">
        <v>207</v>
      </c>
      <c r="B33" s="7" t="s">
        <v>389</v>
      </c>
      <c r="C33" s="7" t="s">
        <v>354</v>
      </c>
      <c r="D33" s="10" t="n">
        <v>0.19</v>
      </c>
      <c r="E33" s="7" t="s">
        <v>323</v>
      </c>
      <c r="F33" s="7" t="s">
        <v>71</v>
      </c>
      <c r="G33" s="10" t="n">
        <v>1</v>
      </c>
      <c r="H33" s="7"/>
      <c r="I33" s="31" t="s">
        <v>272</v>
      </c>
      <c r="J33" s="31"/>
      <c r="K33" s="31" t="s">
        <v>272</v>
      </c>
      <c r="L33" s="31" t="s">
        <v>272</v>
      </c>
      <c r="M33" s="31" t="s">
        <v>272</v>
      </c>
      <c r="N33" s="31"/>
      <c r="O33" s="31"/>
      <c r="P33" s="31"/>
      <c r="Q33" s="31"/>
      <c r="R33" s="31"/>
      <c r="S33" s="31"/>
      <c r="T33" s="32" t="n">
        <f aca="false">IF($A33="",0,SUMIFS(GL_Input!$U:$U,GL_Input!$N:$N,$A33))</f>
        <v>1030.13</v>
      </c>
      <c r="U33" s="32" t="n">
        <f aca="false">IF($A33="",0,SUMIFS(GL_Input!$W:$W,GL_Input!$N:$N,$A33))</f>
        <v>195.72</v>
      </c>
      <c r="V33" s="33" t="n">
        <f aca="false">ROUND(U33*N(G33),2)</f>
        <v>195.72</v>
      </c>
      <c r="W33" s="34" t="n">
        <f aca="false">IF($A33="",0,COUNTIFS(GL_Input!$N:$N,$A33))</f>
        <v>1</v>
      </c>
      <c r="X33" s="15" t="s">
        <v>390</v>
      </c>
    </row>
    <row r="34" customFormat="false" ht="15" hidden="false" customHeight="false" outlineLevel="0" collapsed="false">
      <c r="A34" s="7" t="s">
        <v>391</v>
      </c>
      <c r="B34" s="7" t="s">
        <v>392</v>
      </c>
      <c r="C34" s="7" t="s">
        <v>354</v>
      </c>
      <c r="D34" s="10" t="n">
        <v>0.19</v>
      </c>
      <c r="E34" s="7" t="s">
        <v>323</v>
      </c>
      <c r="F34" s="7" t="s">
        <v>71</v>
      </c>
      <c r="G34" s="35" t="n">
        <f aca="false">Settings!$C$10</f>
        <v>1</v>
      </c>
      <c r="H34" s="7"/>
      <c r="I34" s="31" t="s">
        <v>272</v>
      </c>
      <c r="J34" s="31"/>
      <c r="K34" s="31" t="s">
        <v>272</v>
      </c>
      <c r="L34" s="31" t="s">
        <v>272</v>
      </c>
      <c r="M34" s="31" t="s">
        <v>272</v>
      </c>
      <c r="N34" s="31"/>
      <c r="O34" s="31"/>
      <c r="P34" s="31"/>
      <c r="Q34" s="31"/>
      <c r="R34" s="31"/>
      <c r="S34" s="31"/>
      <c r="T34" s="32" t="n">
        <f aca="false">IF($A34="",0,SUMIFS(GL_Input!$U:$U,GL_Input!$N:$N,$A34))</f>
        <v>0</v>
      </c>
      <c r="U34" s="32" t="n">
        <f aca="false">IF($A34="",0,SUMIFS(GL_Input!$W:$W,GL_Input!$N:$N,$A34))</f>
        <v>0</v>
      </c>
      <c r="V34" s="33" t="n">
        <f aca="false">ROUND(U34*N(G34),2)</f>
        <v>0</v>
      </c>
      <c r="W34" s="34" t="n">
        <f aca="false">IF($A34="",0,COUNTIFS(GL_Input!$N:$N,$A34))</f>
        <v>0</v>
      </c>
      <c r="X34" s="15" t="s">
        <v>393</v>
      </c>
    </row>
    <row r="35" customFormat="false" ht="15" hidden="false" customHeight="false" outlineLevel="0" collapsed="false">
      <c r="A35" s="7" t="s">
        <v>394</v>
      </c>
      <c r="B35" s="7" t="s">
        <v>395</v>
      </c>
      <c r="C35" s="7" t="s">
        <v>354</v>
      </c>
      <c r="D35" s="10" t="n">
        <v>0.19</v>
      </c>
      <c r="E35" s="7" t="s">
        <v>268</v>
      </c>
      <c r="F35" s="7" t="s">
        <v>71</v>
      </c>
      <c r="G35" s="10" t="n">
        <v>1</v>
      </c>
      <c r="H35" s="7"/>
      <c r="I35" s="31" t="s">
        <v>272</v>
      </c>
      <c r="J35" s="31"/>
      <c r="K35" s="31" t="s">
        <v>272</v>
      </c>
      <c r="L35" s="31"/>
      <c r="M35" s="31" t="s">
        <v>272</v>
      </c>
      <c r="N35" s="31"/>
      <c r="O35" s="31"/>
      <c r="P35" s="31"/>
      <c r="Q35" s="31"/>
      <c r="R35" s="31"/>
      <c r="S35" s="31"/>
      <c r="T35" s="32" t="n">
        <f aca="false">IF($A35="",0,SUMIFS(GL_Input!$U:$U,GL_Input!$N:$N,$A35))</f>
        <v>0</v>
      </c>
      <c r="U35" s="32" t="n">
        <f aca="false">IF($A35="",0,SUMIFS(GL_Input!$W:$W,GL_Input!$N:$N,$A35))</f>
        <v>0</v>
      </c>
      <c r="V35" s="33" t="n">
        <f aca="false">ROUND(U35*N(G35),2)</f>
        <v>0</v>
      </c>
      <c r="W35" s="34" t="n">
        <f aca="false">IF($A35="",0,COUNTIFS(GL_Input!$N:$N,$A35))</f>
        <v>0</v>
      </c>
      <c r="X35" s="15" t="s">
        <v>396</v>
      </c>
    </row>
    <row r="36" customFormat="false" ht="15" hidden="false" customHeight="false" outlineLevel="0" collapsed="false">
      <c r="A36" s="7" t="s">
        <v>253</v>
      </c>
      <c r="B36" s="7" t="s">
        <v>397</v>
      </c>
      <c r="C36" s="7" t="s">
        <v>354</v>
      </c>
      <c r="D36" s="10" t="n">
        <v>0</v>
      </c>
      <c r="E36" s="7" t="s">
        <v>323</v>
      </c>
      <c r="F36" s="7" t="s">
        <v>71</v>
      </c>
      <c r="G36" s="10" t="n">
        <v>1</v>
      </c>
      <c r="H36" s="7"/>
      <c r="I36" s="31"/>
      <c r="J36" s="31"/>
      <c r="K36" s="31"/>
      <c r="L36" s="31"/>
      <c r="M36" s="31" t="s">
        <v>272</v>
      </c>
      <c r="N36" s="31"/>
      <c r="O36" s="31"/>
      <c r="P36" s="31"/>
      <c r="Q36" s="31"/>
      <c r="R36" s="31"/>
      <c r="S36" s="31"/>
      <c r="T36" s="32" t="n">
        <f aca="false">IF($A36="",0,SUMIFS(GL_Input!$U:$U,GL_Input!$N:$N,$A36))</f>
        <v>3433.77</v>
      </c>
      <c r="U36" s="32" t="n">
        <f aca="false">IF($A36="",0,SUMIFS(GL_Input!$W:$W,GL_Input!$N:$N,$A36))</f>
        <v>0</v>
      </c>
      <c r="V36" s="33" t="n">
        <f aca="false">ROUND(U36*N(G36),2)</f>
        <v>0</v>
      </c>
      <c r="W36" s="34" t="n">
        <f aca="false">IF($A36="",0,COUNTIFS(GL_Input!$N:$N,$A36))</f>
        <v>1</v>
      </c>
      <c r="X36" s="15" t="s">
        <v>398</v>
      </c>
    </row>
    <row r="37" customFormat="false" ht="15" hidden="false" customHeight="false" outlineLevel="0" collapsed="false">
      <c r="A37" s="7" t="s">
        <v>246</v>
      </c>
      <c r="B37" s="7" t="s">
        <v>399</v>
      </c>
      <c r="C37" s="7" t="s">
        <v>354</v>
      </c>
      <c r="D37" s="10" t="n">
        <v>0</v>
      </c>
      <c r="E37" s="7" t="s">
        <v>320</v>
      </c>
      <c r="F37" s="7" t="s">
        <v>272</v>
      </c>
      <c r="G37" s="10" t="n">
        <v>1</v>
      </c>
      <c r="H37" s="7"/>
      <c r="I37" s="31"/>
      <c r="J37" s="31"/>
      <c r="K37" s="31" t="s">
        <v>272</v>
      </c>
      <c r="L37" s="31"/>
      <c r="M37" s="31"/>
      <c r="N37" s="31"/>
      <c r="O37" s="31"/>
      <c r="P37" s="31"/>
      <c r="Q37" s="31"/>
      <c r="R37" s="31"/>
      <c r="S37" s="31"/>
      <c r="T37" s="32" t="n">
        <f aca="false">IF($A37="",0,SUMIFS(GL_Input!$U:$U,GL_Input!$N:$N,$A37))</f>
        <v>700</v>
      </c>
      <c r="U37" s="32" t="n">
        <f aca="false">IF($A37="",0,SUMIFS(GL_Input!$W:$W,GL_Input!$N:$N,$A37))</f>
        <v>700</v>
      </c>
      <c r="V37" s="33" t="n">
        <f aca="false">ROUND(U37*N(G37),2)</f>
        <v>700</v>
      </c>
      <c r="W37" s="34" t="n">
        <f aca="false">IF($A37="",0,COUNTIFS(GL_Input!$N:$N,$A37))</f>
        <v>1</v>
      </c>
      <c r="X37" s="15" t="s">
        <v>400</v>
      </c>
    </row>
    <row r="38" customFormat="false" ht="15" hidden="false" customHeight="false" outlineLevel="0" collapsed="false">
      <c r="A38" s="7" t="s">
        <v>401</v>
      </c>
      <c r="B38" s="7" t="s">
        <v>402</v>
      </c>
      <c r="C38" s="7" t="s">
        <v>403</v>
      </c>
      <c r="D38" s="10" t="n">
        <v>0</v>
      </c>
      <c r="E38" s="7" t="s">
        <v>320</v>
      </c>
      <c r="F38" s="7" t="s">
        <v>71</v>
      </c>
      <c r="G38" s="10" t="n">
        <v>0</v>
      </c>
      <c r="H38" s="7"/>
      <c r="I38" s="31"/>
      <c r="J38" s="31"/>
      <c r="K38" s="31"/>
      <c r="L38" s="31"/>
      <c r="M38" s="31"/>
      <c r="N38" s="31"/>
      <c r="O38" s="31"/>
      <c r="P38" s="31"/>
      <c r="Q38" s="31"/>
      <c r="R38" s="31"/>
      <c r="S38" s="31"/>
      <c r="T38" s="32" t="n">
        <f aca="false">IF($A38="",0,SUMIFS(GL_Input!$U:$U,GL_Input!$N:$N,$A38))</f>
        <v>0</v>
      </c>
      <c r="U38" s="32" t="n">
        <f aca="false">IF($A38="",0,SUMIFS(GL_Input!$W:$W,GL_Input!$N:$N,$A38))</f>
        <v>0</v>
      </c>
      <c r="V38" s="33" t="n">
        <f aca="false">ROUND(U38*N(G38),2)</f>
        <v>0</v>
      </c>
      <c r="W38" s="34" t="n">
        <f aca="false">IF($A38="",0,COUNTIFS(GL_Input!$N:$N,$A38))</f>
        <v>0</v>
      </c>
      <c r="X38" s="15" t="s">
        <v>404</v>
      </c>
    </row>
    <row r="39" customFormat="false" ht="15" hidden="false" customHeight="false" outlineLevel="0" collapsed="false">
      <c r="A39" s="7" t="s">
        <v>243</v>
      </c>
      <c r="B39" s="7" t="s">
        <v>405</v>
      </c>
      <c r="C39" s="7" t="s">
        <v>403</v>
      </c>
      <c r="D39" s="10" t="n">
        <v>0</v>
      </c>
      <c r="E39" s="7" t="s">
        <v>320</v>
      </c>
      <c r="F39" s="7" t="s">
        <v>71</v>
      </c>
      <c r="G39" s="10" t="n">
        <v>0</v>
      </c>
      <c r="H39" s="7"/>
      <c r="I39" s="31"/>
      <c r="J39" s="31"/>
      <c r="K39" s="31"/>
      <c r="L39" s="31"/>
      <c r="M39" s="31"/>
      <c r="N39" s="31"/>
      <c r="O39" s="31"/>
      <c r="P39" s="31"/>
      <c r="Q39" s="31"/>
      <c r="R39" s="31"/>
      <c r="S39" s="31"/>
      <c r="T39" s="32" t="n">
        <f aca="false">IF($A39="",0,SUMIFS(GL_Input!$U:$U,GL_Input!$N:$N,$A39))</f>
        <v>0</v>
      </c>
      <c r="U39" s="32" t="n">
        <f aca="false">IF($A39="",0,SUMIFS(GL_Input!$W:$W,GL_Input!$N:$N,$A39))</f>
        <v>0</v>
      </c>
      <c r="V39" s="33" t="n">
        <f aca="false">ROUND(U39*N(G39),2)</f>
        <v>0</v>
      </c>
      <c r="W39" s="34" t="n">
        <f aca="false">IF($A39="",0,COUNTIFS(GL_Input!$N:$N,$A39))</f>
        <v>4</v>
      </c>
      <c r="X39" s="15" t="s">
        <v>406</v>
      </c>
    </row>
    <row r="40" customFormat="false" ht="15" hidden="false" customHeight="false" outlineLevel="0" collapsed="false">
      <c r="A40" s="36"/>
      <c r="B40" s="7"/>
      <c r="C40" s="7"/>
      <c r="D40" s="10"/>
      <c r="E40" s="7"/>
      <c r="F40" s="7"/>
      <c r="G40" s="10"/>
      <c r="H40" s="7"/>
      <c r="I40" s="31"/>
      <c r="J40" s="31"/>
      <c r="K40" s="31"/>
      <c r="L40" s="31"/>
      <c r="M40" s="31"/>
      <c r="N40" s="31"/>
      <c r="O40" s="31"/>
      <c r="P40" s="31"/>
      <c r="Q40" s="31"/>
      <c r="R40" s="31"/>
      <c r="S40" s="31"/>
      <c r="T40" s="32" t="n">
        <f aca="false">IF($A40="",0,SUMIFS(GL_Input!$U:$U,GL_Input!$N:$N,$A40))</f>
        <v>0</v>
      </c>
      <c r="U40" s="32" t="n">
        <f aca="false">IF($A40="",0,SUMIFS(GL_Input!$W:$W,GL_Input!$N:$N,$A40))</f>
        <v>0</v>
      </c>
      <c r="V40" s="33" t="n">
        <f aca="false">ROUND(U40*N(G40),2)</f>
        <v>0</v>
      </c>
      <c r="W40" s="34" t="n">
        <f aca="false">IF($A40="",0,COUNTIFS(GL_Input!$N:$N,$A40))</f>
        <v>0</v>
      </c>
      <c r="X40" s="15"/>
    </row>
    <row r="41" customFormat="false" ht="15" hidden="false" customHeight="false" outlineLevel="0" collapsed="false">
      <c r="A41" s="36"/>
      <c r="B41" s="7"/>
      <c r="C41" s="7"/>
      <c r="D41" s="10"/>
      <c r="E41" s="7"/>
      <c r="F41" s="7"/>
      <c r="G41" s="10"/>
      <c r="H41" s="7"/>
      <c r="I41" s="31"/>
      <c r="J41" s="31"/>
      <c r="K41" s="31"/>
      <c r="L41" s="31"/>
      <c r="M41" s="31"/>
      <c r="N41" s="31"/>
      <c r="O41" s="31"/>
      <c r="P41" s="31"/>
      <c r="Q41" s="31"/>
      <c r="R41" s="31"/>
      <c r="S41" s="31"/>
      <c r="T41" s="32" t="n">
        <f aca="false">IF($A41="",0,SUMIFS(GL_Input!$U:$U,GL_Input!$N:$N,$A41))</f>
        <v>0</v>
      </c>
      <c r="U41" s="32" t="n">
        <f aca="false">IF($A41="",0,SUMIFS(GL_Input!$W:$W,GL_Input!$N:$N,$A41))</f>
        <v>0</v>
      </c>
      <c r="V41" s="33" t="n">
        <f aca="false">ROUND(U41*N(G41),2)</f>
        <v>0</v>
      </c>
      <c r="W41" s="34" t="n">
        <f aca="false">IF($A41="",0,COUNTIFS(GL_Input!$N:$N,$A41))</f>
        <v>0</v>
      </c>
      <c r="X41" s="15"/>
    </row>
    <row r="42" customFormat="false" ht="15" hidden="false" customHeight="false" outlineLevel="0" collapsed="false">
      <c r="A42" s="36"/>
      <c r="B42" s="7"/>
      <c r="C42" s="7"/>
      <c r="D42" s="10"/>
      <c r="E42" s="7"/>
      <c r="F42" s="7"/>
      <c r="G42" s="10"/>
      <c r="H42" s="7"/>
      <c r="I42" s="31"/>
      <c r="J42" s="31"/>
      <c r="K42" s="31"/>
      <c r="L42" s="31"/>
      <c r="M42" s="31"/>
      <c r="N42" s="31"/>
      <c r="O42" s="31"/>
      <c r="P42" s="31"/>
      <c r="Q42" s="31"/>
      <c r="R42" s="31"/>
      <c r="S42" s="31"/>
      <c r="T42" s="32" t="n">
        <f aca="false">IF($A42="",0,SUMIFS(GL_Input!$U:$U,GL_Input!$N:$N,$A42))</f>
        <v>0</v>
      </c>
      <c r="U42" s="32" t="n">
        <f aca="false">IF($A42="",0,SUMIFS(GL_Input!$W:$W,GL_Input!$N:$N,$A42))</f>
        <v>0</v>
      </c>
      <c r="V42" s="33" t="n">
        <f aca="false">ROUND(U42*N(G42),2)</f>
        <v>0</v>
      </c>
      <c r="W42" s="34" t="n">
        <f aca="false">IF($A42="",0,COUNTIFS(GL_Input!$N:$N,$A42))</f>
        <v>0</v>
      </c>
      <c r="X42" s="15"/>
    </row>
    <row r="43" customFormat="false" ht="15" hidden="false" customHeight="false" outlineLevel="0" collapsed="false">
      <c r="A43" s="36"/>
      <c r="B43" s="7"/>
      <c r="C43" s="7"/>
      <c r="D43" s="10"/>
      <c r="E43" s="7"/>
      <c r="F43" s="7"/>
      <c r="G43" s="10"/>
      <c r="H43" s="7"/>
      <c r="I43" s="31"/>
      <c r="J43" s="31"/>
      <c r="K43" s="31"/>
      <c r="L43" s="31"/>
      <c r="M43" s="31"/>
      <c r="N43" s="31"/>
      <c r="O43" s="31"/>
      <c r="P43" s="31"/>
      <c r="Q43" s="31"/>
      <c r="R43" s="31"/>
      <c r="S43" s="31"/>
      <c r="T43" s="32" t="n">
        <f aca="false">IF($A43="",0,SUMIFS(GL_Input!$U:$U,GL_Input!$N:$N,$A43))</f>
        <v>0</v>
      </c>
      <c r="U43" s="32" t="n">
        <f aca="false">IF($A43="",0,SUMIFS(GL_Input!$W:$W,GL_Input!$N:$N,$A43))</f>
        <v>0</v>
      </c>
      <c r="V43" s="33" t="n">
        <f aca="false">ROUND(U43*N(G43),2)</f>
        <v>0</v>
      </c>
      <c r="W43" s="34" t="n">
        <f aca="false">IF($A43="",0,COUNTIFS(GL_Input!$N:$N,$A43))</f>
        <v>0</v>
      </c>
      <c r="X43" s="15"/>
    </row>
    <row r="44" customFormat="false" ht="15" hidden="false" customHeight="false" outlineLevel="0" collapsed="false">
      <c r="A44" s="36"/>
      <c r="B44" s="7"/>
      <c r="C44" s="7"/>
      <c r="D44" s="10"/>
      <c r="E44" s="7"/>
      <c r="F44" s="7"/>
      <c r="G44" s="10"/>
      <c r="H44" s="7"/>
      <c r="I44" s="31"/>
      <c r="J44" s="31"/>
      <c r="K44" s="31"/>
      <c r="L44" s="31"/>
      <c r="M44" s="31"/>
      <c r="N44" s="31"/>
      <c r="O44" s="31"/>
      <c r="P44" s="31"/>
      <c r="Q44" s="31"/>
      <c r="R44" s="31"/>
      <c r="S44" s="31"/>
      <c r="T44" s="32" t="n">
        <f aca="false">IF($A44="",0,SUMIFS(GL_Input!$U:$U,GL_Input!$N:$N,$A44))</f>
        <v>0</v>
      </c>
      <c r="U44" s="32" t="n">
        <f aca="false">IF($A44="",0,SUMIFS(GL_Input!$W:$W,GL_Input!$N:$N,$A44))</f>
        <v>0</v>
      </c>
      <c r="V44" s="33" t="n">
        <f aca="false">ROUND(U44*N(G44),2)</f>
        <v>0</v>
      </c>
      <c r="W44" s="34" t="n">
        <f aca="false">IF($A44="",0,COUNTIFS(GL_Input!$N:$N,$A44))</f>
        <v>0</v>
      </c>
      <c r="X44" s="15"/>
    </row>
    <row r="45" customFormat="false" ht="15" hidden="false" customHeight="false" outlineLevel="0" collapsed="false">
      <c r="A45" s="36"/>
      <c r="B45" s="7"/>
      <c r="C45" s="7"/>
      <c r="D45" s="10"/>
      <c r="E45" s="7"/>
      <c r="F45" s="7"/>
      <c r="G45" s="10"/>
      <c r="H45" s="7"/>
      <c r="I45" s="31"/>
      <c r="J45" s="31"/>
      <c r="K45" s="31"/>
      <c r="L45" s="31"/>
      <c r="M45" s="31"/>
      <c r="N45" s="31"/>
      <c r="O45" s="31"/>
      <c r="P45" s="31"/>
      <c r="Q45" s="31"/>
      <c r="R45" s="31"/>
      <c r="S45" s="31"/>
      <c r="T45" s="32" t="n">
        <f aca="false">IF($A45="",0,SUMIFS(GL_Input!$U:$U,GL_Input!$N:$N,$A45))</f>
        <v>0</v>
      </c>
      <c r="U45" s="32" t="n">
        <f aca="false">IF($A45="",0,SUMIFS(GL_Input!$W:$W,GL_Input!$N:$N,$A45))</f>
        <v>0</v>
      </c>
      <c r="V45" s="33" t="n">
        <f aca="false">ROUND(U45*N(G45),2)</f>
        <v>0</v>
      </c>
      <c r="W45" s="34" t="n">
        <f aca="false">IF($A45="",0,COUNTIFS(GL_Input!$N:$N,$A45))</f>
        <v>0</v>
      </c>
      <c r="X45" s="15"/>
    </row>
    <row r="46" customFormat="false" ht="15" hidden="false" customHeight="false" outlineLevel="0" collapsed="false">
      <c r="A46" s="36"/>
      <c r="B46" s="7"/>
      <c r="C46" s="7"/>
      <c r="D46" s="10"/>
      <c r="E46" s="7"/>
      <c r="F46" s="7"/>
      <c r="G46" s="10"/>
      <c r="H46" s="7"/>
      <c r="I46" s="31"/>
      <c r="J46" s="31"/>
      <c r="K46" s="31"/>
      <c r="L46" s="31"/>
      <c r="M46" s="31"/>
      <c r="N46" s="31"/>
      <c r="O46" s="31"/>
      <c r="P46" s="31"/>
      <c r="Q46" s="31"/>
      <c r="R46" s="31"/>
      <c r="S46" s="31"/>
      <c r="T46" s="32" t="n">
        <f aca="false">IF($A46="",0,SUMIFS(GL_Input!$U:$U,GL_Input!$N:$N,$A46))</f>
        <v>0</v>
      </c>
      <c r="U46" s="32" t="n">
        <f aca="false">IF($A46="",0,SUMIFS(GL_Input!$W:$W,GL_Input!$N:$N,$A46))</f>
        <v>0</v>
      </c>
      <c r="V46" s="33" t="n">
        <f aca="false">ROUND(U46*N(G46),2)</f>
        <v>0</v>
      </c>
      <c r="W46" s="34" t="n">
        <f aca="false">IF($A46="",0,COUNTIFS(GL_Input!$N:$N,$A46))</f>
        <v>0</v>
      </c>
      <c r="X46" s="15"/>
    </row>
    <row r="47" customFormat="false" ht="15" hidden="false" customHeight="false" outlineLevel="0" collapsed="false">
      <c r="A47" s="36"/>
      <c r="B47" s="7"/>
      <c r="C47" s="7"/>
      <c r="D47" s="10"/>
      <c r="E47" s="7"/>
      <c r="F47" s="7"/>
      <c r="G47" s="10"/>
      <c r="H47" s="7"/>
      <c r="I47" s="31"/>
      <c r="J47" s="31"/>
      <c r="K47" s="31"/>
      <c r="L47" s="31"/>
      <c r="M47" s="31"/>
      <c r="N47" s="31"/>
      <c r="O47" s="31"/>
      <c r="P47" s="31"/>
      <c r="Q47" s="31"/>
      <c r="R47" s="31"/>
      <c r="S47" s="31"/>
      <c r="T47" s="32" t="n">
        <f aca="false">IF($A47="",0,SUMIFS(GL_Input!$U:$U,GL_Input!$N:$N,$A47))</f>
        <v>0</v>
      </c>
      <c r="U47" s="32" t="n">
        <f aca="false">IF($A47="",0,SUMIFS(GL_Input!$W:$W,GL_Input!$N:$N,$A47))</f>
        <v>0</v>
      </c>
      <c r="V47" s="33" t="n">
        <f aca="false">ROUND(U47*N(G47),2)</f>
        <v>0</v>
      </c>
      <c r="W47" s="34" t="n">
        <f aca="false">IF($A47="",0,COUNTIFS(GL_Input!$N:$N,$A47))</f>
        <v>0</v>
      </c>
      <c r="X47" s="15"/>
    </row>
    <row r="48" customFormat="false" ht="15" hidden="false" customHeight="false" outlineLevel="0" collapsed="false">
      <c r="A48" s="36"/>
      <c r="B48" s="7"/>
      <c r="C48" s="7"/>
      <c r="D48" s="10"/>
      <c r="E48" s="7"/>
      <c r="F48" s="7"/>
      <c r="G48" s="10"/>
      <c r="H48" s="7"/>
      <c r="I48" s="31"/>
      <c r="J48" s="31"/>
      <c r="K48" s="31"/>
      <c r="L48" s="31"/>
      <c r="M48" s="31"/>
      <c r="N48" s="31"/>
      <c r="O48" s="31"/>
      <c r="P48" s="31"/>
      <c r="Q48" s="31"/>
      <c r="R48" s="31"/>
      <c r="S48" s="31"/>
      <c r="T48" s="32" t="n">
        <f aca="false">IF($A48="",0,SUMIFS(GL_Input!$U:$U,GL_Input!$N:$N,$A48))</f>
        <v>0</v>
      </c>
      <c r="U48" s="32" t="n">
        <f aca="false">IF($A48="",0,SUMIFS(GL_Input!$W:$W,GL_Input!$N:$N,$A48))</f>
        <v>0</v>
      </c>
      <c r="V48" s="33" t="n">
        <f aca="false">ROUND(U48*N(G48),2)</f>
        <v>0</v>
      </c>
      <c r="W48" s="34" t="n">
        <f aca="false">IF($A48="",0,COUNTIFS(GL_Input!$N:$N,$A48))</f>
        <v>0</v>
      </c>
      <c r="X48" s="15"/>
    </row>
    <row r="49" customFormat="false" ht="15" hidden="false" customHeight="false" outlineLevel="0" collapsed="false">
      <c r="A49" s="36"/>
      <c r="B49" s="7"/>
      <c r="C49" s="7"/>
      <c r="D49" s="10"/>
      <c r="E49" s="7"/>
      <c r="F49" s="7"/>
      <c r="G49" s="10"/>
      <c r="H49" s="7"/>
      <c r="I49" s="31"/>
      <c r="J49" s="31"/>
      <c r="K49" s="31"/>
      <c r="L49" s="31"/>
      <c r="M49" s="31"/>
      <c r="N49" s="31"/>
      <c r="O49" s="31"/>
      <c r="P49" s="31"/>
      <c r="Q49" s="31"/>
      <c r="R49" s="31"/>
      <c r="S49" s="31"/>
      <c r="T49" s="32" t="n">
        <f aca="false">IF($A49="",0,SUMIFS(GL_Input!$U:$U,GL_Input!$N:$N,$A49))</f>
        <v>0</v>
      </c>
      <c r="U49" s="32" t="n">
        <f aca="false">IF($A49="",0,SUMIFS(GL_Input!$W:$W,GL_Input!$N:$N,$A49))</f>
        <v>0</v>
      </c>
      <c r="V49" s="33" t="n">
        <f aca="false">ROUND(U49*N(G49),2)</f>
        <v>0</v>
      </c>
      <c r="W49" s="34" t="n">
        <f aca="false">IF($A49="",0,COUNTIFS(GL_Input!$N:$N,$A49))</f>
        <v>0</v>
      </c>
      <c r="X49" s="15"/>
    </row>
    <row r="50" customFormat="false" ht="15" hidden="false" customHeight="false" outlineLevel="0" collapsed="false">
      <c r="A50" s="36"/>
      <c r="B50" s="7"/>
      <c r="C50" s="7"/>
      <c r="D50" s="10"/>
      <c r="E50" s="7"/>
      <c r="F50" s="7"/>
      <c r="G50" s="10"/>
      <c r="H50" s="7"/>
      <c r="I50" s="31"/>
      <c r="J50" s="31"/>
      <c r="K50" s="31"/>
      <c r="L50" s="31"/>
      <c r="M50" s="31"/>
      <c r="N50" s="31"/>
      <c r="O50" s="31"/>
      <c r="P50" s="31"/>
      <c r="Q50" s="31"/>
      <c r="R50" s="31"/>
      <c r="S50" s="31"/>
      <c r="T50" s="32" t="n">
        <f aca="false">IF($A50="",0,SUMIFS(GL_Input!$U:$U,GL_Input!$N:$N,$A50))</f>
        <v>0</v>
      </c>
      <c r="U50" s="32" t="n">
        <f aca="false">IF($A50="",0,SUMIFS(GL_Input!$W:$W,GL_Input!$N:$N,$A50))</f>
        <v>0</v>
      </c>
      <c r="V50" s="33" t="n">
        <f aca="false">ROUND(U50*N(G50),2)</f>
        <v>0</v>
      </c>
      <c r="W50" s="34" t="n">
        <f aca="false">IF($A50="",0,COUNTIFS(GL_Input!$N:$N,$A50))</f>
        <v>0</v>
      </c>
      <c r="X50" s="15"/>
    </row>
    <row r="51" customFormat="false" ht="15" hidden="false" customHeight="false" outlineLevel="0" collapsed="false">
      <c r="A51" s="36"/>
      <c r="B51" s="7"/>
      <c r="C51" s="7"/>
      <c r="D51" s="10"/>
      <c r="E51" s="7"/>
      <c r="F51" s="7"/>
      <c r="G51" s="10"/>
      <c r="H51" s="7"/>
      <c r="I51" s="31"/>
      <c r="J51" s="31"/>
      <c r="K51" s="31"/>
      <c r="L51" s="31"/>
      <c r="M51" s="31"/>
      <c r="N51" s="31"/>
      <c r="O51" s="31"/>
      <c r="P51" s="31"/>
      <c r="Q51" s="31"/>
      <c r="R51" s="31"/>
      <c r="S51" s="31"/>
      <c r="T51" s="32" t="n">
        <f aca="false">IF($A51="",0,SUMIFS(GL_Input!$U:$U,GL_Input!$N:$N,$A51))</f>
        <v>0</v>
      </c>
      <c r="U51" s="32" t="n">
        <f aca="false">IF($A51="",0,SUMIFS(GL_Input!$W:$W,GL_Input!$N:$N,$A51))</f>
        <v>0</v>
      </c>
      <c r="V51" s="33" t="n">
        <f aca="false">ROUND(U51*N(G51),2)</f>
        <v>0</v>
      </c>
      <c r="W51" s="34" t="n">
        <f aca="false">IF($A51="",0,COUNTIFS(GL_Input!$N:$N,$A51))</f>
        <v>0</v>
      </c>
      <c r="X51" s="15"/>
    </row>
    <row r="52" customFormat="false" ht="15" hidden="false" customHeight="false" outlineLevel="0" collapsed="false">
      <c r="A52" s="36"/>
      <c r="B52" s="7"/>
      <c r="C52" s="7"/>
      <c r="D52" s="10"/>
      <c r="E52" s="7"/>
      <c r="F52" s="7"/>
      <c r="G52" s="10"/>
      <c r="H52" s="7"/>
      <c r="I52" s="31"/>
      <c r="J52" s="31"/>
      <c r="K52" s="31"/>
      <c r="L52" s="31"/>
      <c r="M52" s="31"/>
      <c r="N52" s="31"/>
      <c r="O52" s="31"/>
      <c r="P52" s="31"/>
      <c r="Q52" s="31"/>
      <c r="R52" s="31"/>
      <c r="S52" s="31"/>
      <c r="T52" s="32" t="n">
        <f aca="false">IF($A52="",0,SUMIFS(GL_Input!$U:$U,GL_Input!$N:$N,$A52))</f>
        <v>0</v>
      </c>
      <c r="U52" s="32" t="n">
        <f aca="false">IF($A52="",0,SUMIFS(GL_Input!$W:$W,GL_Input!$N:$N,$A52))</f>
        <v>0</v>
      </c>
      <c r="V52" s="33" t="n">
        <f aca="false">ROUND(U52*N(G52),2)</f>
        <v>0</v>
      </c>
      <c r="W52" s="34" t="n">
        <f aca="false">IF($A52="",0,COUNTIFS(GL_Input!$N:$N,$A52))</f>
        <v>0</v>
      </c>
      <c r="X52" s="15"/>
    </row>
    <row r="53" customFormat="false" ht="15" hidden="false" customHeight="false" outlineLevel="0" collapsed="false">
      <c r="A53" s="36"/>
      <c r="B53" s="7"/>
      <c r="C53" s="7"/>
      <c r="D53" s="10"/>
      <c r="E53" s="7"/>
      <c r="F53" s="7"/>
      <c r="G53" s="10"/>
      <c r="H53" s="7"/>
      <c r="I53" s="31"/>
      <c r="J53" s="31"/>
      <c r="K53" s="31"/>
      <c r="L53" s="31"/>
      <c r="M53" s="31"/>
      <c r="N53" s="31"/>
      <c r="O53" s="31"/>
      <c r="P53" s="31"/>
      <c r="Q53" s="31"/>
      <c r="R53" s="31"/>
      <c r="S53" s="31"/>
      <c r="T53" s="32" t="n">
        <f aca="false">IF($A53="",0,SUMIFS(GL_Input!$U:$U,GL_Input!$N:$N,$A53))</f>
        <v>0</v>
      </c>
      <c r="U53" s="32" t="n">
        <f aca="false">IF($A53="",0,SUMIFS(GL_Input!$W:$W,GL_Input!$N:$N,$A53))</f>
        <v>0</v>
      </c>
      <c r="V53" s="33" t="n">
        <f aca="false">ROUND(U53*N(G53),2)</f>
        <v>0</v>
      </c>
      <c r="W53" s="34" t="n">
        <f aca="false">IF($A53="",0,COUNTIFS(GL_Input!$N:$N,$A53))</f>
        <v>0</v>
      </c>
      <c r="X53" s="15"/>
    </row>
    <row r="54" customFormat="false" ht="15" hidden="false" customHeight="false" outlineLevel="0" collapsed="false">
      <c r="A54" s="36"/>
      <c r="B54" s="7"/>
      <c r="C54" s="7"/>
      <c r="D54" s="10"/>
      <c r="E54" s="7"/>
      <c r="F54" s="7"/>
      <c r="G54" s="10"/>
      <c r="H54" s="7"/>
      <c r="I54" s="31"/>
      <c r="J54" s="31"/>
      <c r="K54" s="31"/>
      <c r="L54" s="31"/>
      <c r="M54" s="31"/>
      <c r="N54" s="31"/>
      <c r="O54" s="31"/>
      <c r="P54" s="31"/>
      <c r="Q54" s="31"/>
      <c r="R54" s="31"/>
      <c r="S54" s="31"/>
      <c r="T54" s="32" t="n">
        <f aca="false">IF($A54="",0,SUMIFS(GL_Input!$U:$U,GL_Input!$N:$N,$A54))</f>
        <v>0</v>
      </c>
      <c r="U54" s="32" t="n">
        <f aca="false">IF($A54="",0,SUMIFS(GL_Input!$W:$W,GL_Input!$N:$N,$A54))</f>
        <v>0</v>
      </c>
      <c r="V54" s="33" t="n">
        <f aca="false">ROUND(U54*N(G54),2)</f>
        <v>0</v>
      </c>
      <c r="W54" s="34" t="n">
        <f aca="false">IF($A54="",0,COUNTIFS(GL_Input!$N:$N,$A54))</f>
        <v>0</v>
      </c>
      <c r="X54" s="15"/>
    </row>
    <row r="55" customFormat="false" ht="15" hidden="false" customHeight="false" outlineLevel="0" collapsed="false">
      <c r="A55" s="36"/>
      <c r="B55" s="7"/>
      <c r="C55" s="7"/>
      <c r="D55" s="10"/>
      <c r="E55" s="7"/>
      <c r="F55" s="7"/>
      <c r="G55" s="10"/>
      <c r="H55" s="7"/>
      <c r="I55" s="31"/>
      <c r="J55" s="31"/>
      <c r="K55" s="31"/>
      <c r="L55" s="31"/>
      <c r="M55" s="31"/>
      <c r="N55" s="31"/>
      <c r="O55" s="31"/>
      <c r="P55" s="31"/>
      <c r="Q55" s="31"/>
      <c r="R55" s="31"/>
      <c r="S55" s="31"/>
      <c r="T55" s="32" t="n">
        <f aca="false">IF($A55="",0,SUMIFS(GL_Input!$U:$U,GL_Input!$N:$N,$A55))</f>
        <v>0</v>
      </c>
      <c r="U55" s="32" t="n">
        <f aca="false">IF($A55="",0,SUMIFS(GL_Input!$W:$W,GL_Input!$N:$N,$A55))</f>
        <v>0</v>
      </c>
      <c r="V55" s="33" t="n">
        <f aca="false">ROUND(U55*N(G55),2)</f>
        <v>0</v>
      </c>
      <c r="W55" s="34" t="n">
        <f aca="false">IF($A55="",0,COUNTIFS(GL_Input!$N:$N,$A55))</f>
        <v>0</v>
      </c>
      <c r="X55" s="15"/>
    </row>
    <row r="56" customFormat="false" ht="15" hidden="false" customHeight="false" outlineLevel="0" collapsed="false">
      <c r="A56" s="36"/>
      <c r="B56" s="7"/>
      <c r="C56" s="7"/>
      <c r="D56" s="10"/>
      <c r="E56" s="7"/>
      <c r="F56" s="7"/>
      <c r="G56" s="10"/>
      <c r="H56" s="7"/>
      <c r="I56" s="31"/>
      <c r="J56" s="31"/>
      <c r="K56" s="31"/>
      <c r="L56" s="31"/>
      <c r="M56" s="31"/>
      <c r="N56" s="31"/>
      <c r="O56" s="31"/>
      <c r="P56" s="31"/>
      <c r="Q56" s="31"/>
      <c r="R56" s="31"/>
      <c r="S56" s="31"/>
      <c r="T56" s="32" t="n">
        <f aca="false">IF($A56="",0,SUMIFS(GL_Input!$U:$U,GL_Input!$N:$N,$A56))</f>
        <v>0</v>
      </c>
      <c r="U56" s="32" t="n">
        <f aca="false">IF($A56="",0,SUMIFS(GL_Input!$W:$W,GL_Input!$N:$N,$A56))</f>
        <v>0</v>
      </c>
      <c r="V56" s="33" t="n">
        <f aca="false">ROUND(U56*N(G56),2)</f>
        <v>0</v>
      </c>
      <c r="W56" s="34" t="n">
        <f aca="false">IF($A56="",0,COUNTIFS(GL_Input!$N:$N,$A56))</f>
        <v>0</v>
      </c>
      <c r="X56" s="15"/>
    </row>
    <row r="57" customFormat="false" ht="15" hidden="false" customHeight="false" outlineLevel="0" collapsed="false">
      <c r="A57" s="36"/>
      <c r="B57" s="7"/>
      <c r="C57" s="7"/>
      <c r="D57" s="10"/>
      <c r="E57" s="7"/>
      <c r="F57" s="7"/>
      <c r="G57" s="10"/>
      <c r="H57" s="7"/>
      <c r="I57" s="31"/>
      <c r="J57" s="31"/>
      <c r="K57" s="31"/>
      <c r="L57" s="31"/>
      <c r="M57" s="31"/>
      <c r="N57" s="31"/>
      <c r="O57" s="31"/>
      <c r="P57" s="31"/>
      <c r="Q57" s="31"/>
      <c r="R57" s="31"/>
      <c r="S57" s="31"/>
      <c r="T57" s="32" t="n">
        <f aca="false">IF($A57="",0,SUMIFS(GL_Input!$U:$U,GL_Input!$N:$N,$A57))</f>
        <v>0</v>
      </c>
      <c r="U57" s="32" t="n">
        <f aca="false">IF($A57="",0,SUMIFS(GL_Input!$W:$W,GL_Input!$N:$N,$A57))</f>
        <v>0</v>
      </c>
      <c r="V57" s="33" t="n">
        <f aca="false">ROUND(U57*N(G57),2)</f>
        <v>0</v>
      </c>
      <c r="W57" s="34" t="n">
        <f aca="false">IF($A57="",0,COUNTIFS(GL_Input!$N:$N,$A57))</f>
        <v>0</v>
      </c>
      <c r="X57" s="15"/>
    </row>
    <row r="58" customFormat="false" ht="15" hidden="false" customHeight="false" outlineLevel="0" collapsed="false">
      <c r="A58" s="36"/>
      <c r="B58" s="7"/>
      <c r="C58" s="7"/>
      <c r="D58" s="10"/>
      <c r="E58" s="7"/>
      <c r="F58" s="7"/>
      <c r="G58" s="10"/>
      <c r="H58" s="7"/>
      <c r="I58" s="31"/>
      <c r="J58" s="31"/>
      <c r="K58" s="31"/>
      <c r="L58" s="31"/>
      <c r="M58" s="31"/>
      <c r="N58" s="31"/>
      <c r="O58" s="31"/>
      <c r="P58" s="31"/>
      <c r="Q58" s="31"/>
      <c r="R58" s="31"/>
      <c r="S58" s="31"/>
      <c r="T58" s="32" t="n">
        <f aca="false">IF($A58="",0,SUMIFS(GL_Input!$U:$U,GL_Input!$N:$N,$A58))</f>
        <v>0</v>
      </c>
      <c r="U58" s="32" t="n">
        <f aca="false">IF($A58="",0,SUMIFS(GL_Input!$W:$W,GL_Input!$N:$N,$A58))</f>
        <v>0</v>
      </c>
      <c r="V58" s="33" t="n">
        <f aca="false">ROUND(U58*N(G58),2)</f>
        <v>0</v>
      </c>
      <c r="W58" s="34" t="n">
        <f aca="false">IF($A58="",0,COUNTIFS(GL_Input!$N:$N,$A58))</f>
        <v>0</v>
      </c>
      <c r="X58" s="15"/>
    </row>
    <row r="59" customFormat="false" ht="15" hidden="false" customHeight="false" outlineLevel="0" collapsed="false">
      <c r="A59" s="36"/>
      <c r="B59" s="7"/>
      <c r="C59" s="7"/>
      <c r="D59" s="10"/>
      <c r="E59" s="7"/>
      <c r="F59" s="7"/>
      <c r="G59" s="10"/>
      <c r="H59" s="7"/>
      <c r="I59" s="31"/>
      <c r="J59" s="31"/>
      <c r="K59" s="31"/>
      <c r="L59" s="31"/>
      <c r="M59" s="31"/>
      <c r="N59" s="31"/>
      <c r="O59" s="31"/>
      <c r="P59" s="31"/>
      <c r="Q59" s="31"/>
      <c r="R59" s="31"/>
      <c r="S59" s="31"/>
      <c r="T59" s="32" t="n">
        <f aca="false">IF($A59="",0,SUMIFS(GL_Input!$U:$U,GL_Input!$N:$N,$A59))</f>
        <v>0</v>
      </c>
      <c r="U59" s="32" t="n">
        <f aca="false">IF($A59="",0,SUMIFS(GL_Input!$W:$W,GL_Input!$N:$N,$A59))</f>
        <v>0</v>
      </c>
      <c r="V59" s="33" t="n">
        <f aca="false">ROUND(U59*N(G59),2)</f>
        <v>0</v>
      </c>
      <c r="W59" s="34" t="n">
        <f aca="false">IF($A59="",0,COUNTIFS(GL_Input!$N:$N,$A59))</f>
        <v>0</v>
      </c>
      <c r="X59" s="15"/>
    </row>
    <row r="60" customFormat="false" ht="15" hidden="false" customHeight="false" outlineLevel="0" collapsed="false">
      <c r="A60" s="36"/>
      <c r="B60" s="7"/>
      <c r="C60" s="7"/>
      <c r="D60" s="10"/>
      <c r="E60" s="7"/>
      <c r="F60" s="7"/>
      <c r="G60" s="10"/>
      <c r="H60" s="7"/>
      <c r="I60" s="31"/>
      <c r="J60" s="31"/>
      <c r="K60" s="31"/>
      <c r="L60" s="31"/>
      <c r="M60" s="31"/>
      <c r="N60" s="31"/>
      <c r="O60" s="31"/>
      <c r="P60" s="31"/>
      <c r="Q60" s="31"/>
      <c r="R60" s="31"/>
      <c r="S60" s="31"/>
      <c r="T60" s="32" t="n">
        <f aca="false">IF($A60="",0,SUMIFS(GL_Input!$U:$U,GL_Input!$N:$N,$A60))</f>
        <v>0</v>
      </c>
      <c r="U60" s="32" t="n">
        <f aca="false">IF($A60="",0,SUMIFS(GL_Input!$W:$W,GL_Input!$N:$N,$A60))</f>
        <v>0</v>
      </c>
      <c r="V60" s="33" t="n">
        <f aca="false">ROUND(U60*N(G60),2)</f>
        <v>0</v>
      </c>
      <c r="W60" s="34" t="n">
        <f aca="false">IF($A60="",0,COUNTIFS(GL_Input!$N:$N,$A60))</f>
        <v>0</v>
      </c>
      <c r="X60" s="15"/>
    </row>
    <row r="61" customFormat="false" ht="15" hidden="false" customHeight="false" outlineLevel="0" collapsed="false">
      <c r="A61" s="36"/>
      <c r="B61" s="7"/>
      <c r="C61" s="7"/>
      <c r="D61" s="10"/>
      <c r="E61" s="7"/>
      <c r="F61" s="7"/>
      <c r="G61" s="10"/>
      <c r="H61" s="7"/>
      <c r="I61" s="31"/>
      <c r="J61" s="31"/>
      <c r="K61" s="31"/>
      <c r="L61" s="31"/>
      <c r="M61" s="31"/>
      <c r="N61" s="31"/>
      <c r="O61" s="31"/>
      <c r="P61" s="31"/>
      <c r="Q61" s="31"/>
      <c r="R61" s="31"/>
      <c r="S61" s="31"/>
      <c r="T61" s="32" t="n">
        <f aca="false">IF($A61="",0,SUMIFS(GL_Input!$U:$U,GL_Input!$N:$N,$A61))</f>
        <v>0</v>
      </c>
      <c r="U61" s="32" t="n">
        <f aca="false">IF($A61="",0,SUMIFS(GL_Input!$W:$W,GL_Input!$N:$N,$A61))</f>
        <v>0</v>
      </c>
      <c r="V61" s="33" t="n">
        <f aca="false">ROUND(U61*N(G61),2)</f>
        <v>0</v>
      </c>
      <c r="W61" s="34" t="n">
        <f aca="false">IF($A61="",0,COUNTIFS(GL_Input!$N:$N,$A61))</f>
        <v>0</v>
      </c>
      <c r="X61" s="15"/>
    </row>
    <row r="62" customFormat="false" ht="15" hidden="false" customHeight="false" outlineLevel="0" collapsed="false">
      <c r="A62" s="36"/>
      <c r="B62" s="7"/>
      <c r="C62" s="7"/>
      <c r="D62" s="10"/>
      <c r="E62" s="7"/>
      <c r="F62" s="7"/>
      <c r="G62" s="10"/>
      <c r="H62" s="7"/>
      <c r="I62" s="31"/>
      <c r="J62" s="31"/>
      <c r="K62" s="31"/>
      <c r="L62" s="31"/>
      <c r="M62" s="31"/>
      <c r="N62" s="31"/>
      <c r="O62" s="31"/>
      <c r="P62" s="31"/>
      <c r="Q62" s="31"/>
      <c r="R62" s="31"/>
      <c r="S62" s="31"/>
      <c r="T62" s="32" t="n">
        <f aca="false">IF($A62="",0,SUMIFS(GL_Input!$U:$U,GL_Input!$N:$N,$A62))</f>
        <v>0</v>
      </c>
      <c r="U62" s="32" t="n">
        <f aca="false">IF($A62="",0,SUMIFS(GL_Input!$W:$W,GL_Input!$N:$N,$A62))</f>
        <v>0</v>
      </c>
      <c r="V62" s="33" t="n">
        <f aca="false">ROUND(U62*N(G62),2)</f>
        <v>0</v>
      </c>
      <c r="W62" s="34" t="n">
        <f aca="false">IF($A62="",0,COUNTIFS(GL_Input!$N:$N,$A62))</f>
        <v>0</v>
      </c>
      <c r="X62" s="15"/>
    </row>
    <row r="63" customFormat="false" ht="15" hidden="false" customHeight="false" outlineLevel="0" collapsed="false">
      <c r="A63" s="36"/>
      <c r="B63" s="7"/>
      <c r="C63" s="7"/>
      <c r="D63" s="10"/>
      <c r="E63" s="7"/>
      <c r="F63" s="7"/>
      <c r="G63" s="10"/>
      <c r="H63" s="7"/>
      <c r="I63" s="31"/>
      <c r="J63" s="31"/>
      <c r="K63" s="31"/>
      <c r="L63" s="31"/>
      <c r="M63" s="31"/>
      <c r="N63" s="31"/>
      <c r="O63" s="31"/>
      <c r="P63" s="31"/>
      <c r="Q63" s="31"/>
      <c r="R63" s="31"/>
      <c r="S63" s="31"/>
      <c r="T63" s="32" t="n">
        <f aca="false">IF($A63="",0,SUMIFS(GL_Input!$U:$U,GL_Input!$N:$N,$A63))</f>
        <v>0</v>
      </c>
      <c r="U63" s="32" t="n">
        <f aca="false">IF($A63="",0,SUMIFS(GL_Input!$W:$W,GL_Input!$N:$N,$A63))</f>
        <v>0</v>
      </c>
      <c r="V63" s="33" t="n">
        <f aca="false">ROUND(U63*N(G63),2)</f>
        <v>0</v>
      </c>
      <c r="W63" s="34" t="n">
        <f aca="false">IF($A63="",0,COUNTIFS(GL_Input!$N:$N,$A63))</f>
        <v>0</v>
      </c>
      <c r="X63" s="15"/>
    </row>
    <row r="64" customFormat="false" ht="15" hidden="false" customHeight="false" outlineLevel="0" collapsed="false">
      <c r="A64" s="36"/>
      <c r="B64" s="7"/>
      <c r="C64" s="7"/>
      <c r="D64" s="10"/>
      <c r="E64" s="7"/>
      <c r="F64" s="7"/>
      <c r="G64" s="10"/>
      <c r="H64" s="7"/>
      <c r="I64" s="31"/>
      <c r="J64" s="31"/>
      <c r="K64" s="31"/>
      <c r="L64" s="31"/>
      <c r="M64" s="31"/>
      <c r="N64" s="31"/>
      <c r="O64" s="31"/>
      <c r="P64" s="31"/>
      <c r="Q64" s="31"/>
      <c r="R64" s="31"/>
      <c r="S64" s="31"/>
      <c r="T64" s="32" t="n">
        <f aca="false">IF($A64="",0,SUMIFS(GL_Input!$U:$U,GL_Input!$N:$N,$A64))</f>
        <v>0</v>
      </c>
      <c r="U64" s="32" t="n">
        <f aca="false">IF($A64="",0,SUMIFS(GL_Input!$W:$W,GL_Input!$N:$N,$A64))</f>
        <v>0</v>
      </c>
      <c r="V64" s="33" t="n">
        <f aca="false">ROUND(U64*N(G64),2)</f>
        <v>0</v>
      </c>
      <c r="W64" s="34" t="n">
        <f aca="false">IF($A64="",0,COUNTIFS(GL_Input!$N:$N,$A64))</f>
        <v>0</v>
      </c>
      <c r="X64" s="15"/>
    </row>
    <row r="65" customFormat="false" ht="15" hidden="false" customHeight="false" outlineLevel="0" collapsed="false">
      <c r="A65" s="36"/>
      <c r="B65" s="7"/>
      <c r="C65" s="7"/>
      <c r="D65" s="10"/>
      <c r="E65" s="7"/>
      <c r="F65" s="7"/>
      <c r="G65" s="10"/>
      <c r="H65" s="7"/>
      <c r="I65" s="31"/>
      <c r="J65" s="31"/>
      <c r="K65" s="31"/>
      <c r="L65" s="31"/>
      <c r="M65" s="31"/>
      <c r="N65" s="31"/>
      <c r="O65" s="31"/>
      <c r="P65" s="31"/>
      <c r="Q65" s="31"/>
      <c r="R65" s="31"/>
      <c r="S65" s="31"/>
      <c r="T65" s="32" t="n">
        <f aca="false">IF($A65="",0,SUMIFS(GL_Input!$U:$U,GL_Input!$N:$N,$A65))</f>
        <v>0</v>
      </c>
      <c r="U65" s="32" t="n">
        <f aca="false">IF($A65="",0,SUMIFS(GL_Input!$W:$W,GL_Input!$N:$N,$A65))</f>
        <v>0</v>
      </c>
      <c r="V65" s="33" t="n">
        <f aca="false">ROUND(U65*N(G65),2)</f>
        <v>0</v>
      </c>
      <c r="W65" s="34" t="n">
        <f aca="false">IF($A65="",0,COUNTIFS(GL_Input!$N:$N,$A65))</f>
        <v>0</v>
      </c>
      <c r="X65" s="15"/>
    </row>
    <row r="66" customFormat="false" ht="15" hidden="false" customHeight="false" outlineLevel="0" collapsed="false">
      <c r="A66" s="36"/>
      <c r="B66" s="7"/>
      <c r="C66" s="7"/>
      <c r="D66" s="10"/>
      <c r="E66" s="7"/>
      <c r="F66" s="7"/>
      <c r="G66" s="10"/>
      <c r="H66" s="7"/>
      <c r="I66" s="31"/>
      <c r="J66" s="31"/>
      <c r="K66" s="31"/>
      <c r="L66" s="31"/>
      <c r="M66" s="31"/>
      <c r="N66" s="31"/>
      <c r="O66" s="31"/>
      <c r="P66" s="31"/>
      <c r="Q66" s="31"/>
      <c r="R66" s="31"/>
      <c r="S66" s="31"/>
      <c r="T66" s="32" t="n">
        <f aca="false">IF($A66="",0,SUMIFS(GL_Input!$U:$U,GL_Input!$N:$N,$A66))</f>
        <v>0</v>
      </c>
      <c r="U66" s="32" t="n">
        <f aca="false">IF($A66="",0,SUMIFS(GL_Input!$W:$W,GL_Input!$N:$N,$A66))</f>
        <v>0</v>
      </c>
      <c r="V66" s="33" t="n">
        <f aca="false">ROUND(U66*N(G66),2)</f>
        <v>0</v>
      </c>
      <c r="W66" s="34" t="n">
        <f aca="false">IF($A66="",0,COUNTIFS(GL_Input!$N:$N,$A66))</f>
        <v>0</v>
      </c>
      <c r="X66" s="15"/>
    </row>
    <row r="67" customFormat="false" ht="15" hidden="false" customHeight="false" outlineLevel="0" collapsed="false">
      <c r="A67" s="36"/>
      <c r="B67" s="7"/>
      <c r="C67" s="7"/>
      <c r="D67" s="10"/>
      <c r="E67" s="7"/>
      <c r="F67" s="7"/>
      <c r="G67" s="10"/>
      <c r="H67" s="7"/>
      <c r="I67" s="31"/>
      <c r="J67" s="31"/>
      <c r="K67" s="31"/>
      <c r="L67" s="31"/>
      <c r="M67" s="31"/>
      <c r="N67" s="31"/>
      <c r="O67" s="31"/>
      <c r="P67" s="31"/>
      <c r="Q67" s="31"/>
      <c r="R67" s="31"/>
      <c r="S67" s="31"/>
      <c r="T67" s="32" t="n">
        <f aca="false">IF($A67="",0,SUMIFS(GL_Input!$U:$U,GL_Input!$N:$N,$A67))</f>
        <v>0</v>
      </c>
      <c r="U67" s="32" t="n">
        <f aca="false">IF($A67="",0,SUMIFS(GL_Input!$W:$W,GL_Input!$N:$N,$A67))</f>
        <v>0</v>
      </c>
      <c r="V67" s="33" t="n">
        <f aca="false">ROUND(U67*N(G67),2)</f>
        <v>0</v>
      </c>
      <c r="W67" s="34" t="n">
        <f aca="false">IF($A67="",0,COUNTIFS(GL_Input!$N:$N,$A67))</f>
        <v>0</v>
      </c>
      <c r="X67" s="15"/>
    </row>
    <row r="68" customFormat="false" ht="15" hidden="false" customHeight="false" outlineLevel="0" collapsed="false">
      <c r="A68" s="36"/>
      <c r="B68" s="7"/>
      <c r="C68" s="7"/>
      <c r="D68" s="10"/>
      <c r="E68" s="7"/>
      <c r="F68" s="7"/>
      <c r="G68" s="10"/>
      <c r="H68" s="7"/>
      <c r="I68" s="31"/>
      <c r="J68" s="31"/>
      <c r="K68" s="31"/>
      <c r="L68" s="31"/>
      <c r="M68" s="31"/>
      <c r="N68" s="31"/>
      <c r="O68" s="31"/>
      <c r="P68" s="31"/>
      <c r="Q68" s="31"/>
      <c r="R68" s="31"/>
      <c r="S68" s="31"/>
      <c r="T68" s="32" t="n">
        <f aca="false">IF($A68="",0,SUMIFS(GL_Input!$U:$U,GL_Input!$N:$N,$A68))</f>
        <v>0</v>
      </c>
      <c r="U68" s="32" t="n">
        <f aca="false">IF($A68="",0,SUMIFS(GL_Input!$W:$W,GL_Input!$N:$N,$A68))</f>
        <v>0</v>
      </c>
      <c r="V68" s="33" t="n">
        <f aca="false">ROUND(U68*N(G68),2)</f>
        <v>0</v>
      </c>
      <c r="W68" s="34" t="n">
        <f aca="false">IF($A68="",0,COUNTIFS(GL_Input!$N:$N,$A68))</f>
        <v>0</v>
      </c>
      <c r="X68" s="15"/>
    </row>
    <row r="69" customFormat="false" ht="15" hidden="false" customHeight="false" outlineLevel="0" collapsed="false">
      <c r="A69" s="36"/>
      <c r="B69" s="7"/>
      <c r="C69" s="7"/>
      <c r="D69" s="10"/>
      <c r="E69" s="7"/>
      <c r="F69" s="7"/>
      <c r="G69" s="10"/>
      <c r="H69" s="7"/>
      <c r="I69" s="31"/>
      <c r="J69" s="31"/>
      <c r="K69" s="31"/>
      <c r="L69" s="31"/>
      <c r="M69" s="31"/>
      <c r="N69" s="31"/>
      <c r="O69" s="31"/>
      <c r="P69" s="31"/>
      <c r="Q69" s="31"/>
      <c r="R69" s="31"/>
      <c r="S69" s="31"/>
      <c r="T69" s="32" t="n">
        <f aca="false">IF($A69="",0,SUMIFS(GL_Input!$U:$U,GL_Input!$N:$N,$A69))</f>
        <v>0</v>
      </c>
      <c r="U69" s="32" t="n">
        <f aca="false">IF($A69="",0,SUMIFS(GL_Input!$W:$W,GL_Input!$N:$N,$A69))</f>
        <v>0</v>
      </c>
      <c r="V69" s="33" t="n">
        <f aca="false">ROUND(U69*N(G69),2)</f>
        <v>0</v>
      </c>
      <c r="W69" s="34" t="n">
        <f aca="false">IF($A69="",0,COUNTIFS(GL_Input!$N:$N,$A69))</f>
        <v>0</v>
      </c>
      <c r="X69" s="15"/>
    </row>
    <row r="70" customFormat="false" ht="15" hidden="false" customHeight="false" outlineLevel="0" collapsed="false">
      <c r="A70" s="36"/>
      <c r="B70" s="7"/>
      <c r="C70" s="7"/>
      <c r="D70" s="10"/>
      <c r="E70" s="7"/>
      <c r="F70" s="7"/>
      <c r="G70" s="10"/>
      <c r="H70" s="7"/>
      <c r="I70" s="31"/>
      <c r="J70" s="31"/>
      <c r="K70" s="31"/>
      <c r="L70" s="31"/>
      <c r="M70" s="31"/>
      <c r="N70" s="31"/>
      <c r="O70" s="31"/>
      <c r="P70" s="31"/>
      <c r="Q70" s="31"/>
      <c r="R70" s="31"/>
      <c r="S70" s="31"/>
      <c r="T70" s="32" t="n">
        <f aca="false">IF($A70="",0,SUMIFS(GL_Input!$U:$U,GL_Input!$N:$N,$A70))</f>
        <v>0</v>
      </c>
      <c r="U70" s="32" t="n">
        <f aca="false">IF($A70="",0,SUMIFS(GL_Input!$W:$W,GL_Input!$N:$N,$A70))</f>
        <v>0</v>
      </c>
      <c r="V70" s="33" t="n">
        <f aca="false">ROUND(U70*N(G70),2)</f>
        <v>0</v>
      </c>
      <c r="W70" s="34" t="n">
        <f aca="false">IF($A70="",0,COUNTIFS(GL_Input!$N:$N,$A70))</f>
        <v>0</v>
      </c>
      <c r="X70" s="15"/>
    </row>
    <row r="71" customFormat="false" ht="15" hidden="false" customHeight="false" outlineLevel="0" collapsed="false">
      <c r="A71" s="36"/>
      <c r="B71" s="7"/>
      <c r="C71" s="7"/>
      <c r="D71" s="10"/>
      <c r="E71" s="7"/>
      <c r="F71" s="7"/>
      <c r="G71" s="10"/>
      <c r="H71" s="7"/>
      <c r="I71" s="31"/>
      <c r="J71" s="31"/>
      <c r="K71" s="31"/>
      <c r="L71" s="31"/>
      <c r="M71" s="31"/>
      <c r="N71" s="31"/>
      <c r="O71" s="31"/>
      <c r="P71" s="31"/>
      <c r="Q71" s="31"/>
      <c r="R71" s="31"/>
      <c r="S71" s="31"/>
      <c r="T71" s="32" t="n">
        <f aca="false">IF($A71="",0,SUMIFS(GL_Input!$U:$U,GL_Input!$N:$N,$A71))</f>
        <v>0</v>
      </c>
      <c r="U71" s="32" t="n">
        <f aca="false">IF($A71="",0,SUMIFS(GL_Input!$W:$W,GL_Input!$N:$N,$A71))</f>
        <v>0</v>
      </c>
      <c r="V71" s="33" t="n">
        <f aca="false">ROUND(U71*N(G71),2)</f>
        <v>0</v>
      </c>
      <c r="W71" s="34" t="n">
        <f aca="false">IF($A71="",0,COUNTIFS(GL_Input!$N:$N,$A71))</f>
        <v>0</v>
      </c>
      <c r="X71" s="15"/>
    </row>
    <row r="72" customFormat="false" ht="15" hidden="false" customHeight="false" outlineLevel="0" collapsed="false">
      <c r="A72" s="36"/>
      <c r="B72" s="7"/>
      <c r="C72" s="7"/>
      <c r="D72" s="10"/>
      <c r="E72" s="7"/>
      <c r="F72" s="7"/>
      <c r="G72" s="10"/>
      <c r="H72" s="7"/>
      <c r="I72" s="31"/>
      <c r="J72" s="31"/>
      <c r="K72" s="31"/>
      <c r="L72" s="31"/>
      <c r="M72" s="31"/>
      <c r="N72" s="31"/>
      <c r="O72" s="31"/>
      <c r="P72" s="31"/>
      <c r="Q72" s="31"/>
      <c r="R72" s="31"/>
      <c r="S72" s="31"/>
      <c r="T72" s="32" t="n">
        <f aca="false">IF($A72="",0,SUMIFS(GL_Input!$U:$U,GL_Input!$N:$N,$A72))</f>
        <v>0</v>
      </c>
      <c r="U72" s="32" t="n">
        <f aca="false">IF($A72="",0,SUMIFS(GL_Input!$W:$W,GL_Input!$N:$N,$A72))</f>
        <v>0</v>
      </c>
      <c r="V72" s="33" t="n">
        <f aca="false">ROUND(U72*N(G72),2)</f>
        <v>0</v>
      </c>
      <c r="W72" s="34" t="n">
        <f aca="false">IF($A72="",0,COUNTIFS(GL_Input!$N:$N,$A72))</f>
        <v>0</v>
      </c>
      <c r="X72" s="15"/>
    </row>
    <row r="73" customFormat="false" ht="15" hidden="false" customHeight="false" outlineLevel="0" collapsed="false">
      <c r="A73" s="36"/>
      <c r="B73" s="7"/>
      <c r="C73" s="7"/>
      <c r="D73" s="10"/>
      <c r="E73" s="7"/>
      <c r="F73" s="7"/>
      <c r="G73" s="10"/>
      <c r="H73" s="7"/>
      <c r="I73" s="31"/>
      <c r="J73" s="31"/>
      <c r="K73" s="31"/>
      <c r="L73" s="31"/>
      <c r="M73" s="31"/>
      <c r="N73" s="31"/>
      <c r="O73" s="31"/>
      <c r="P73" s="31"/>
      <c r="Q73" s="31"/>
      <c r="R73" s="31"/>
      <c r="S73" s="31"/>
      <c r="T73" s="32" t="n">
        <f aca="false">IF($A73="",0,SUMIFS(GL_Input!$U:$U,GL_Input!$N:$N,$A73))</f>
        <v>0</v>
      </c>
      <c r="U73" s="32" t="n">
        <f aca="false">IF($A73="",0,SUMIFS(GL_Input!$W:$W,GL_Input!$N:$N,$A73))</f>
        <v>0</v>
      </c>
      <c r="V73" s="33" t="n">
        <f aca="false">ROUND(U73*N(G73),2)</f>
        <v>0</v>
      </c>
      <c r="W73" s="34" t="n">
        <f aca="false">IF($A73="",0,COUNTIFS(GL_Input!$N:$N,$A73))</f>
        <v>0</v>
      </c>
      <c r="X73" s="15"/>
    </row>
    <row r="74" customFormat="false" ht="15" hidden="false" customHeight="false" outlineLevel="0" collapsed="false">
      <c r="A74" s="36"/>
      <c r="B74" s="7"/>
      <c r="C74" s="7"/>
      <c r="D74" s="10"/>
      <c r="E74" s="7"/>
      <c r="F74" s="7"/>
      <c r="G74" s="10"/>
      <c r="H74" s="7"/>
      <c r="I74" s="31"/>
      <c r="J74" s="31"/>
      <c r="K74" s="31"/>
      <c r="L74" s="31"/>
      <c r="M74" s="31"/>
      <c r="N74" s="31"/>
      <c r="O74" s="31"/>
      <c r="P74" s="31"/>
      <c r="Q74" s="31"/>
      <c r="R74" s="31"/>
      <c r="S74" s="31"/>
      <c r="T74" s="32" t="n">
        <f aca="false">IF($A74="",0,SUMIFS(GL_Input!$U:$U,GL_Input!$N:$N,$A74))</f>
        <v>0</v>
      </c>
      <c r="U74" s="32" t="n">
        <f aca="false">IF($A74="",0,SUMIFS(GL_Input!$W:$W,GL_Input!$N:$N,$A74))</f>
        <v>0</v>
      </c>
      <c r="V74" s="33" t="n">
        <f aca="false">ROUND(U74*N(G74),2)</f>
        <v>0</v>
      </c>
      <c r="W74" s="34" t="n">
        <f aca="false">IF($A74="",0,COUNTIFS(GL_Input!$N:$N,$A74))</f>
        <v>0</v>
      </c>
      <c r="X74" s="15"/>
    </row>
    <row r="75" customFormat="false" ht="15" hidden="false" customHeight="false" outlineLevel="0" collapsed="false">
      <c r="A75" s="36"/>
      <c r="B75" s="7"/>
      <c r="C75" s="7"/>
      <c r="D75" s="10"/>
      <c r="E75" s="7"/>
      <c r="F75" s="7"/>
      <c r="G75" s="10"/>
      <c r="H75" s="7"/>
      <c r="I75" s="31"/>
      <c r="J75" s="31"/>
      <c r="K75" s="31"/>
      <c r="L75" s="31"/>
      <c r="M75" s="31"/>
      <c r="N75" s="31"/>
      <c r="O75" s="31"/>
      <c r="P75" s="31"/>
      <c r="Q75" s="31"/>
      <c r="R75" s="31"/>
      <c r="S75" s="31"/>
      <c r="T75" s="32" t="n">
        <f aca="false">IF($A75="",0,SUMIFS(GL_Input!$U:$U,GL_Input!$N:$N,$A75))</f>
        <v>0</v>
      </c>
      <c r="U75" s="32" t="n">
        <f aca="false">IF($A75="",0,SUMIFS(GL_Input!$W:$W,GL_Input!$N:$N,$A75))</f>
        <v>0</v>
      </c>
      <c r="V75" s="33" t="n">
        <f aca="false">ROUND(U75*N(G75),2)</f>
        <v>0</v>
      </c>
      <c r="W75" s="34" t="n">
        <f aca="false">IF($A75="",0,COUNTIFS(GL_Input!$N:$N,$A75))</f>
        <v>0</v>
      </c>
      <c r="X75" s="15"/>
    </row>
    <row r="76" customFormat="false" ht="15" hidden="false" customHeight="false" outlineLevel="0" collapsed="false">
      <c r="A76" s="36"/>
      <c r="B76" s="7"/>
      <c r="C76" s="7"/>
      <c r="D76" s="10"/>
      <c r="E76" s="7"/>
      <c r="F76" s="7"/>
      <c r="G76" s="10"/>
      <c r="H76" s="7"/>
      <c r="I76" s="31"/>
      <c r="J76" s="31"/>
      <c r="K76" s="31"/>
      <c r="L76" s="31"/>
      <c r="M76" s="31"/>
      <c r="N76" s="31"/>
      <c r="O76" s="31"/>
      <c r="P76" s="31"/>
      <c r="Q76" s="31"/>
      <c r="R76" s="31"/>
      <c r="S76" s="31"/>
      <c r="T76" s="32" t="n">
        <f aca="false">IF($A76="",0,SUMIFS(GL_Input!$U:$U,GL_Input!$N:$N,$A76))</f>
        <v>0</v>
      </c>
      <c r="U76" s="32" t="n">
        <f aca="false">IF($A76="",0,SUMIFS(GL_Input!$W:$W,GL_Input!$N:$N,$A76))</f>
        <v>0</v>
      </c>
      <c r="V76" s="33" t="n">
        <f aca="false">ROUND(U76*N(G76),2)</f>
        <v>0</v>
      </c>
      <c r="W76" s="34" t="n">
        <f aca="false">IF($A76="",0,COUNTIFS(GL_Input!$N:$N,$A76))</f>
        <v>0</v>
      </c>
      <c r="X76" s="15"/>
    </row>
    <row r="77" customFormat="false" ht="15" hidden="false" customHeight="false" outlineLevel="0" collapsed="false">
      <c r="A77" s="36"/>
      <c r="B77" s="7"/>
      <c r="C77" s="7"/>
      <c r="D77" s="10"/>
      <c r="E77" s="7"/>
      <c r="F77" s="7"/>
      <c r="G77" s="10"/>
      <c r="H77" s="7"/>
      <c r="I77" s="31"/>
      <c r="J77" s="31"/>
      <c r="K77" s="31"/>
      <c r="L77" s="31"/>
      <c r="M77" s="31"/>
      <c r="N77" s="31"/>
      <c r="O77" s="31"/>
      <c r="P77" s="31"/>
      <c r="Q77" s="31"/>
      <c r="R77" s="31"/>
      <c r="S77" s="31"/>
      <c r="T77" s="32" t="n">
        <f aca="false">IF($A77="",0,SUMIFS(GL_Input!$U:$U,GL_Input!$N:$N,$A77))</f>
        <v>0</v>
      </c>
      <c r="U77" s="32" t="n">
        <f aca="false">IF($A77="",0,SUMIFS(GL_Input!$W:$W,GL_Input!$N:$N,$A77))</f>
        <v>0</v>
      </c>
      <c r="V77" s="33" t="n">
        <f aca="false">ROUND(U77*N(G77),2)</f>
        <v>0</v>
      </c>
      <c r="W77" s="34" t="n">
        <f aca="false">IF($A77="",0,COUNTIFS(GL_Input!$N:$N,$A77))</f>
        <v>0</v>
      </c>
      <c r="X77" s="15"/>
    </row>
    <row r="78" customFormat="false" ht="15" hidden="false" customHeight="false" outlineLevel="0" collapsed="false">
      <c r="A78" s="36"/>
      <c r="B78" s="7"/>
      <c r="C78" s="7"/>
      <c r="D78" s="10"/>
      <c r="E78" s="7"/>
      <c r="F78" s="7"/>
      <c r="G78" s="10"/>
      <c r="H78" s="7"/>
      <c r="I78" s="31"/>
      <c r="J78" s="31"/>
      <c r="K78" s="31"/>
      <c r="L78" s="31"/>
      <c r="M78" s="31"/>
      <c r="N78" s="31"/>
      <c r="O78" s="31"/>
      <c r="P78" s="31"/>
      <c r="Q78" s="31"/>
      <c r="R78" s="31"/>
      <c r="S78" s="31"/>
      <c r="T78" s="32" t="n">
        <f aca="false">IF($A78="",0,SUMIFS(GL_Input!$U:$U,GL_Input!$N:$N,$A78))</f>
        <v>0</v>
      </c>
      <c r="U78" s="32" t="n">
        <f aca="false">IF($A78="",0,SUMIFS(GL_Input!$W:$W,GL_Input!$N:$N,$A78))</f>
        <v>0</v>
      </c>
      <c r="V78" s="33" t="n">
        <f aca="false">ROUND(U78*N(G78),2)</f>
        <v>0</v>
      </c>
      <c r="W78" s="34" t="n">
        <f aca="false">IF($A78="",0,COUNTIFS(GL_Input!$N:$N,$A78))</f>
        <v>0</v>
      </c>
      <c r="X78" s="15"/>
    </row>
    <row r="79" customFormat="false" ht="15" hidden="false" customHeight="false" outlineLevel="0" collapsed="false">
      <c r="A79" s="36"/>
      <c r="B79" s="7"/>
      <c r="C79" s="7"/>
      <c r="D79" s="10"/>
      <c r="E79" s="7"/>
      <c r="F79" s="7"/>
      <c r="G79" s="10"/>
      <c r="H79" s="7"/>
      <c r="I79" s="31"/>
      <c r="J79" s="31"/>
      <c r="K79" s="31"/>
      <c r="L79" s="31"/>
      <c r="M79" s="31"/>
      <c r="N79" s="31"/>
      <c r="O79" s="31"/>
      <c r="P79" s="31"/>
      <c r="Q79" s="31"/>
      <c r="R79" s="31"/>
      <c r="S79" s="31"/>
      <c r="T79" s="32" t="n">
        <f aca="false">IF($A79="",0,SUMIFS(GL_Input!$U:$U,GL_Input!$N:$N,$A79))</f>
        <v>0</v>
      </c>
      <c r="U79" s="32" t="n">
        <f aca="false">IF($A79="",0,SUMIFS(GL_Input!$W:$W,GL_Input!$N:$N,$A79))</f>
        <v>0</v>
      </c>
      <c r="V79" s="33" t="n">
        <f aca="false">ROUND(U79*N(G79),2)</f>
        <v>0</v>
      </c>
      <c r="W79" s="34" t="n">
        <f aca="false">IF($A79="",0,COUNTIFS(GL_Input!$N:$N,$A79))</f>
        <v>0</v>
      </c>
      <c r="X79" s="15"/>
    </row>
    <row r="80" customFormat="false" ht="15" hidden="false" customHeight="false" outlineLevel="0" collapsed="false">
      <c r="A80" s="36"/>
      <c r="B80" s="7"/>
      <c r="C80" s="7"/>
      <c r="D80" s="10"/>
      <c r="E80" s="7"/>
      <c r="F80" s="7"/>
      <c r="G80" s="10"/>
      <c r="H80" s="7"/>
      <c r="I80" s="31"/>
      <c r="J80" s="31"/>
      <c r="K80" s="31"/>
      <c r="L80" s="31"/>
      <c r="M80" s="31"/>
      <c r="N80" s="31"/>
      <c r="O80" s="31"/>
      <c r="P80" s="31"/>
      <c r="Q80" s="31"/>
      <c r="R80" s="31"/>
      <c r="S80" s="31"/>
      <c r="T80" s="32" t="n">
        <f aca="false">IF($A80="",0,SUMIFS(GL_Input!$U:$U,GL_Input!$N:$N,$A80))</f>
        <v>0</v>
      </c>
      <c r="U80" s="32" t="n">
        <f aca="false">IF($A80="",0,SUMIFS(GL_Input!$W:$W,GL_Input!$N:$N,$A80))</f>
        <v>0</v>
      </c>
      <c r="V80" s="33" t="n">
        <f aca="false">ROUND(U80*N(G80),2)</f>
        <v>0</v>
      </c>
      <c r="W80" s="34" t="n">
        <f aca="false">IF($A80="",0,COUNTIFS(GL_Input!$N:$N,$A80))</f>
        <v>0</v>
      </c>
      <c r="X80" s="15"/>
    </row>
    <row r="81" customFormat="false" ht="15" hidden="false" customHeight="false" outlineLevel="0" collapsed="false">
      <c r="B81" s="6" t="s">
        <v>407</v>
      </c>
      <c r="T81" s="37" t="n">
        <f aca="false">SUM(T5:T80)</f>
        <v>106518.49</v>
      </c>
      <c r="U81" s="37" t="n">
        <f aca="false">SUM(U5:U80)</f>
        <v>7032.72</v>
      </c>
      <c r="V81" s="37" t="n">
        <f aca="false">SUM(V5:V80)</f>
        <v>6975.72</v>
      </c>
      <c r="W81" s="38" t="n">
        <f aca="false">SUM(W5:W80)</f>
        <v>16</v>
      </c>
    </row>
  </sheetData>
  <dataValidations count="2">
    <dataValidation allowBlank="true" errorStyle="stop" operator="between" showDropDown="false" showErrorMessage="false" showInputMessage="false" sqref="C5:C80" type="list">
      <formula1>"Output,Input,None"</formula1>
      <formula2>0</formula2>
    </dataValidation>
    <dataValidation allowBlank="true" errorStyle="stop" operator="between" showDropDown="false" showErrorMessage="false" showInputMessage="false" sqref="E5:E80" type="list">
      <formula1>"CY,EU,3RD,ANY"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4"/>
    <col collapsed="false" customWidth="true" hidden="false" outlineLevel="0" max="7" min="4" style="0" width="12"/>
    <col collapsed="false" customWidth="true" hidden="false" outlineLevel="0" max="8" min="8" style="0" width="60"/>
  </cols>
  <sheetData>
    <row r="1" customFormat="false" ht="17.35" hidden="false" customHeight="false" outlineLevel="0" collapsed="false">
      <c r="A1" s="1" t="s">
        <v>408</v>
      </c>
    </row>
    <row r="2" customFormat="false" ht="15" hidden="false" customHeight="false" outlineLevel="0" collapsed="false">
      <c r="A2" s="2" t="s">
        <v>409</v>
      </c>
    </row>
    <row r="4" customFormat="false" ht="30" hidden="false" customHeight="true" outlineLevel="0" collapsed="false">
      <c r="A4" s="19" t="s">
        <v>117</v>
      </c>
      <c r="B4" s="19" t="s">
        <v>410</v>
      </c>
      <c r="C4" s="19" t="s">
        <v>411</v>
      </c>
      <c r="D4" s="19" t="s">
        <v>412</v>
      </c>
      <c r="E4" s="19" t="s">
        <v>413</v>
      </c>
      <c r="F4" s="19" t="s">
        <v>414</v>
      </c>
      <c r="G4" s="19" t="s">
        <v>415</v>
      </c>
      <c r="H4" s="19" t="s">
        <v>416</v>
      </c>
    </row>
    <row r="5" customFormat="false" ht="15" hidden="false" customHeight="false" outlineLevel="0" collapsed="false">
      <c r="A5" s="6" t="s">
        <v>176</v>
      </c>
      <c r="B5" s="39" t="n">
        <f aca="false">IFERROR(ROUND(AVERAGE(FX_Daily!$B$5:$B$2000),4),"")</f>
        <v>1.1649</v>
      </c>
      <c r="C5" s="40"/>
      <c r="D5" s="41" t="n">
        <f aca="false">IF(C5&lt;&gt;"",C5,B5)</f>
        <v>1.1649</v>
      </c>
      <c r="E5" s="30" t="n">
        <f aca="false">COUNT(FX_Daily!$B$5:$B$2000)</f>
        <v>3</v>
      </c>
      <c r="F5" s="42" t="n">
        <f aca="false">IF(E5=0,"",MIN(FX_Daily!$A$5:$A$2000))</f>
        <v>46204</v>
      </c>
      <c r="G5" s="42" t="n">
        <f aca="false">IF(E5=0,"",MAX(FX_Daily!$A$5:$A$2000))</f>
        <v>46266</v>
      </c>
      <c r="H5" s="43" t="s">
        <v>417</v>
      </c>
    </row>
    <row r="6" customFormat="false" ht="15" hidden="false" customHeight="false" outlineLevel="0" collapsed="false">
      <c r="A6" s="6" t="s">
        <v>418</v>
      </c>
      <c r="B6" s="39" t="n">
        <f aca="false">IFERROR(ROUND(AVERAGE(FX_Daily!$C$5:$C$2000),4),"")</f>
        <v>0.865</v>
      </c>
      <c r="C6" s="40"/>
      <c r="D6" s="41" t="n">
        <f aca="false">IF(C6&lt;&gt;"",C6,B6)</f>
        <v>0.865</v>
      </c>
      <c r="E6" s="30" t="n">
        <f aca="false">COUNT(FX_Daily!$C$5:$C$2000)</f>
        <v>3</v>
      </c>
      <c r="F6" s="42" t="n">
        <f aca="false">IF(E6=0,"",MIN(FX_Daily!$A$5:$A$2000))</f>
        <v>46204</v>
      </c>
      <c r="G6" s="42" t="n">
        <f aca="false">IF(E6=0,"",MAX(FX_Daily!$A$5:$A$2000))</f>
        <v>46266</v>
      </c>
      <c r="H6" s="43" t="s">
        <v>417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0"/>
  </cols>
  <sheetData>
    <row r="1" customFormat="false" ht="17.35" hidden="false" customHeight="false" outlineLevel="0" collapsed="false">
      <c r="A1" s="1" t="s">
        <v>419</v>
      </c>
    </row>
    <row r="2" customFormat="false" ht="15" hidden="false" customHeight="false" outlineLevel="0" collapsed="false">
      <c r="A2" s="2" t="s">
        <v>420</v>
      </c>
    </row>
    <row r="4" customFormat="false" ht="30" hidden="false" customHeight="true" outlineLevel="0" collapsed="false">
      <c r="A4" s="19" t="s">
        <v>100</v>
      </c>
      <c r="B4" s="19" t="s">
        <v>176</v>
      </c>
      <c r="C4" s="19" t="s">
        <v>418</v>
      </c>
    </row>
    <row r="5" customFormat="false" ht="15" hidden="false" customHeight="false" outlineLevel="0" collapsed="false">
      <c r="A5" s="44" t="n">
        <v>46204</v>
      </c>
      <c r="B5" s="45" t="n">
        <v>1.1702</v>
      </c>
      <c r="C5" s="45" t="n">
        <v>0.8601</v>
      </c>
    </row>
    <row r="6" customFormat="false" ht="15" hidden="false" customHeight="false" outlineLevel="0" collapsed="false">
      <c r="A6" s="44" t="n">
        <v>46237</v>
      </c>
      <c r="B6" s="45" t="n">
        <v>1.1655</v>
      </c>
      <c r="C6" s="45" t="n">
        <v>0.8662</v>
      </c>
    </row>
    <row r="7" customFormat="false" ht="15" hidden="false" customHeight="false" outlineLevel="0" collapsed="false">
      <c r="A7" s="44" t="n">
        <v>46266</v>
      </c>
      <c r="B7" s="45" t="n">
        <v>1.159</v>
      </c>
      <c r="C7" s="45" t="n">
        <v>0.8687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E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8"/>
    <col collapsed="false" customWidth="true" hidden="false" outlineLevel="0" max="3" min="3" style="0" width="16"/>
    <col collapsed="false" customWidth="true" hidden="false" outlineLevel="0" max="4" min="4" style="0" width="90"/>
    <col collapsed="false" customWidth="true" hidden="false" outlineLevel="0" max="5" min="5" style="0" width="40"/>
  </cols>
  <sheetData>
    <row r="1" customFormat="false" ht="17.35" hidden="false" customHeight="false" outlineLevel="0" collapsed="false">
      <c r="A1" s="1" t="s">
        <v>421</v>
      </c>
    </row>
    <row r="2" customFormat="false" ht="15" hidden="false" customHeight="false" outlineLevel="0" collapsed="false">
      <c r="A2" s="2" t="s">
        <v>422</v>
      </c>
    </row>
    <row r="3" customFormat="false" ht="15" hidden="false" customHeight="false" outlineLevel="0" collapsed="false">
      <c r="A3" s="6" t="s">
        <v>423</v>
      </c>
      <c r="B3" s="46" t="str">
        <f aca="false">Settings!$C$4</f>
        <v>Example Holdings Ltd</v>
      </c>
    </row>
    <row r="4" customFormat="false" ht="15" hidden="false" customHeight="false" outlineLevel="0" collapsed="false">
      <c r="A4" s="6" t="s">
        <v>424</v>
      </c>
      <c r="B4" s="46" t="str">
        <f aca="false">Settings!$C$5</f>
        <v>10000000X</v>
      </c>
    </row>
    <row r="5" customFormat="false" ht="15" hidden="false" customHeight="false" outlineLevel="0" collapsed="false">
      <c r="A5" s="6" t="s">
        <v>425</v>
      </c>
      <c r="B5" s="47" t="n">
        <f aca="false">Settings!$C$8</f>
        <v>46204</v>
      </c>
    </row>
    <row r="6" customFormat="false" ht="15" hidden="false" customHeight="false" outlineLevel="0" collapsed="false">
      <c r="A6" s="6" t="s">
        <v>426</v>
      </c>
      <c r="B6" s="47" t="n">
        <f aca="false">Settings!$C$9</f>
        <v>46295</v>
      </c>
    </row>
    <row r="7" customFormat="false" ht="15" hidden="false" customHeight="false" outlineLevel="0" collapsed="false">
      <c r="A7" s="6" t="s">
        <v>427</v>
      </c>
      <c r="B7" s="47" t="n">
        <f aca="false">Settings!$C$13</f>
        <v>46336</v>
      </c>
    </row>
    <row r="9" customFormat="false" ht="24" hidden="false" customHeight="true" outlineLevel="0" collapsed="false">
      <c r="A9" s="19" t="s">
        <v>428</v>
      </c>
      <c r="B9" s="19" t="s">
        <v>429</v>
      </c>
      <c r="C9" s="19" t="s">
        <v>430</v>
      </c>
      <c r="D9" s="19" t="s">
        <v>431</v>
      </c>
      <c r="E9" s="19" t="s">
        <v>432</v>
      </c>
    </row>
    <row r="10" customFormat="false" ht="39" hidden="false" customHeight="true" outlineLevel="0" collapsed="false">
      <c r="A10" s="48" t="s">
        <v>433</v>
      </c>
      <c r="B10" s="49" t="s">
        <v>434</v>
      </c>
      <c r="C10" s="50" t="n">
        <f aca="false">SUMIFS(VAT_Codes!$U$5:$U$80,VAT_Codes!$I$5:$I$80,"Y")</f>
        <v>4945.72</v>
      </c>
      <c r="D10" s="51" t="s">
        <v>435</v>
      </c>
      <c r="E10" s="8" t="s">
        <v>436</v>
      </c>
    </row>
    <row r="11" customFormat="false" ht="30" hidden="false" customHeight="true" outlineLevel="0" collapsed="false">
      <c r="A11" s="48" t="s">
        <v>437</v>
      </c>
      <c r="B11" s="49" t="s">
        <v>438</v>
      </c>
      <c r="C11" s="50" t="n">
        <f aca="false">SUMIFS(VAT_Codes!$U$5:$U$80,VAT_Codes!$J$5:$J$80,"Y")</f>
        <v>950</v>
      </c>
      <c r="D11" s="51" t="s">
        <v>439</v>
      </c>
      <c r="E11" s="8" t="s">
        <v>440</v>
      </c>
    </row>
    <row r="12" customFormat="false" ht="30" hidden="false" customHeight="true" outlineLevel="0" collapsed="false">
      <c r="A12" s="48" t="s">
        <v>441</v>
      </c>
      <c r="B12" s="49" t="s">
        <v>442</v>
      </c>
      <c r="C12" s="50" t="n">
        <f aca="false">C10+C11</f>
        <v>5895.72</v>
      </c>
      <c r="D12" s="51" t="s">
        <v>443</v>
      </c>
      <c r="E12" s="8" t="s">
        <v>444</v>
      </c>
    </row>
    <row r="13" customFormat="false" ht="51.75" hidden="false" customHeight="true" outlineLevel="0" collapsed="false">
      <c r="A13" s="48" t="s">
        <v>445</v>
      </c>
      <c r="B13" s="49" t="s">
        <v>446</v>
      </c>
      <c r="C13" s="50" t="n">
        <f aca="false">SUMIFS(VAT_Codes!$V$5:$V$80,VAT_Codes!$K$5:$K$80,"Y")</f>
        <v>5075.72</v>
      </c>
      <c r="D13" s="51" t="s">
        <v>447</v>
      </c>
      <c r="E13" s="8" t="s">
        <v>448</v>
      </c>
    </row>
    <row r="14" customFormat="false" ht="30" hidden="false" customHeight="true" outlineLevel="0" collapsed="false">
      <c r="A14" s="48" t="s">
        <v>449</v>
      </c>
      <c r="B14" s="49" t="s">
        <v>450</v>
      </c>
      <c r="C14" s="50" t="n">
        <f aca="false">C12-C13</f>
        <v>820</v>
      </c>
      <c r="D14" s="51" t="s">
        <v>451</v>
      </c>
      <c r="E14" s="8" t="s">
        <v>452</v>
      </c>
    </row>
    <row r="15" customFormat="false" ht="51.75" hidden="false" customHeight="true" outlineLevel="0" collapsed="false">
      <c r="A15" s="48" t="s">
        <v>453</v>
      </c>
      <c r="B15" s="49" t="s">
        <v>454</v>
      </c>
      <c r="C15" s="50" t="n">
        <f aca="false">SUMIFS(VAT_Codes!$T$5:$T$80,VAT_Codes!$L$5:$L$80,"Y")</f>
        <v>95084.72</v>
      </c>
      <c r="D15" s="51" t="s">
        <v>455</v>
      </c>
      <c r="E15" s="8" t="s">
        <v>456</v>
      </c>
    </row>
    <row r="16" customFormat="false" ht="39" hidden="false" customHeight="true" outlineLevel="0" collapsed="false">
      <c r="A16" s="48" t="s">
        <v>457</v>
      </c>
      <c r="B16" s="49" t="s">
        <v>458</v>
      </c>
      <c r="C16" s="50" t="n">
        <f aca="false">SUMIFS(VAT_Codes!$T$5:$T$80,VAT_Codes!$M$5:$M$80,"Y")</f>
        <v>26763.9</v>
      </c>
      <c r="D16" s="51" t="s">
        <v>459</v>
      </c>
      <c r="E16" s="8" t="s">
        <v>460</v>
      </c>
    </row>
    <row r="17" customFormat="false" ht="30" hidden="false" customHeight="true" outlineLevel="0" collapsed="false">
      <c r="A17" s="48" t="s">
        <v>461</v>
      </c>
      <c r="B17" s="49" t="s">
        <v>462</v>
      </c>
      <c r="C17" s="50" t="n">
        <f aca="false">SUMIFS(VAT_Codes!$T$5:$T$80,VAT_Codes!$N$5:$N$80,"Y")</f>
        <v>8000</v>
      </c>
      <c r="D17" s="51" t="s">
        <v>463</v>
      </c>
      <c r="E17" s="8" t="s">
        <v>251</v>
      </c>
    </row>
    <row r="18" customFormat="false" ht="30" hidden="false" customHeight="true" outlineLevel="0" collapsed="false">
      <c r="A18" s="48" t="s">
        <v>464</v>
      </c>
      <c r="B18" s="49" t="s">
        <v>465</v>
      </c>
      <c r="C18" s="50" t="n">
        <f aca="false">SUMIFS(VAT_Codes!$T$5:$T$80,VAT_Codes!$O$5:$O$80,"Y")</f>
        <v>25000</v>
      </c>
      <c r="D18" s="51" t="s">
        <v>466</v>
      </c>
      <c r="E18" s="8" t="s">
        <v>249</v>
      </c>
    </row>
    <row r="19" customFormat="false" ht="30" hidden="false" customHeight="true" outlineLevel="0" collapsed="false">
      <c r="A19" s="48" t="s">
        <v>467</v>
      </c>
      <c r="B19" s="49" t="s">
        <v>468</v>
      </c>
      <c r="C19" s="50" t="n">
        <f aca="false">SUMIFS(VAT_Codes!$T$5:$T$80,VAT_Codes!$P$5:$P$80,"Y")</f>
        <v>10301.31</v>
      </c>
      <c r="D19" s="51" t="s">
        <v>469</v>
      </c>
      <c r="E19" s="8" t="s">
        <v>470</v>
      </c>
    </row>
    <row r="20" customFormat="false" ht="30" hidden="false" customHeight="true" outlineLevel="0" collapsed="false">
      <c r="A20" s="48" t="s">
        <v>471</v>
      </c>
      <c r="B20" s="49" t="s">
        <v>472</v>
      </c>
      <c r="C20" s="50" t="n">
        <f aca="false">SUMIFS(VAT_Codes!$T$5:$T$80,VAT_Codes!$Q$5:$Q$80,"Y")</f>
        <v>25753.28</v>
      </c>
      <c r="D20" s="51" t="s">
        <v>473</v>
      </c>
      <c r="E20" s="8" t="s">
        <v>474</v>
      </c>
    </row>
    <row r="21" customFormat="false" ht="30" hidden="false" customHeight="true" outlineLevel="0" collapsed="false">
      <c r="A21" s="48" t="s">
        <v>475</v>
      </c>
      <c r="B21" s="49" t="s">
        <v>476</v>
      </c>
      <c r="C21" s="50" t="n">
        <f aca="false">SUMIFS(VAT_Codes!$T$5:$T$80,VAT_Codes!$R$5:$R$80,"Y")</f>
        <v>5000</v>
      </c>
      <c r="D21" s="51" t="s">
        <v>477</v>
      </c>
      <c r="E21" s="8" t="s">
        <v>478</v>
      </c>
    </row>
    <row r="22" customFormat="false" ht="30" hidden="false" customHeight="true" outlineLevel="0" collapsed="false">
      <c r="A22" s="48" t="s">
        <v>479</v>
      </c>
      <c r="B22" s="49" t="s">
        <v>480</v>
      </c>
      <c r="C22" s="50" t="n">
        <f aca="false">SUMIFS(VAT_Codes!$T$5:$T$80,VAT_Codes!$S$5:$S$80,"Y")</f>
        <v>15000</v>
      </c>
      <c r="D22" s="51" t="s">
        <v>481</v>
      </c>
      <c r="E22" s="8" t="s">
        <v>482</v>
      </c>
    </row>
    <row r="24" customFormat="false" ht="15" hidden="false" customHeight="false" outlineLevel="0" collapsed="false">
      <c r="B24" s="6" t="s">
        <v>483</v>
      </c>
      <c r="C24" s="38" t="str">
        <f aca="false">IF(C14&gt;0,"VAT PAYABLE",IF(C14&lt;0,"VAT CREDIT","NIL"))</f>
        <v>VAT PAYABLE</v>
      </c>
      <c r="D24" s="8" t="s">
        <v>484</v>
      </c>
    </row>
    <row r="25" customFormat="false" ht="15" hidden="false" customHeight="false" outlineLevel="0" collapsed="false">
      <c r="B25" s="6" t="s">
        <v>485</v>
      </c>
      <c r="C25" s="52" t="n">
        <f aca="false">Checks!C23</f>
        <v>1</v>
      </c>
      <c r="D25" s="43" t="s">
        <v>486</v>
      </c>
    </row>
    <row r="27" customFormat="false" ht="15" hidden="false" customHeight="false" outlineLevel="0" collapsed="false">
      <c r="A27" s="14" t="s">
        <v>487</v>
      </c>
    </row>
    <row r="28" customFormat="false" ht="15" hidden="false" customHeight="false" outlineLevel="0" collapsed="false">
      <c r="B28" s="6" t="s">
        <v>488</v>
      </c>
      <c r="C28" s="7"/>
      <c r="D28" s="7"/>
    </row>
    <row r="29" customFormat="false" ht="15" hidden="false" customHeight="false" outlineLevel="0" collapsed="false">
      <c r="B29" s="6" t="s">
        <v>489</v>
      </c>
      <c r="C29" s="7"/>
      <c r="D29" s="7"/>
    </row>
    <row r="30" customFormat="false" ht="15" hidden="false" customHeight="false" outlineLevel="0" collapsed="false">
      <c r="B30" s="6" t="s">
        <v>490</v>
      </c>
      <c r="C30" s="7"/>
      <c r="D30" s="7"/>
    </row>
    <row r="31" customFormat="false" ht="15" hidden="false" customHeight="false" outlineLevel="0" collapsed="false">
      <c r="B31" s="6" t="s">
        <v>491</v>
      </c>
      <c r="C31" s="7"/>
      <c r="D31" s="7"/>
    </row>
  </sheetData>
  <mergeCells count="4">
    <mergeCell ref="C28:D28"/>
    <mergeCell ref="C29:D29"/>
    <mergeCell ref="C30:D30"/>
    <mergeCell ref="C31:D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3" min="3" style="0" width="8"/>
    <col collapsed="false" customWidth="true" hidden="false" outlineLevel="0" max="9" min="4" style="0" width="14"/>
    <col collapsed="false" customWidth="true" hidden="false" outlineLevel="0" max="10" min="10" style="0" width="12"/>
    <col collapsed="false" customWidth="true" hidden="false" outlineLevel="0" max="11" min="11" style="0" width="15"/>
    <col collapsed="false" customWidth="true" hidden="false" outlineLevel="0" max="12" min="12" style="0" width="12"/>
  </cols>
  <sheetData>
    <row r="1" customFormat="false" ht="17.35" hidden="false" customHeight="false" outlineLevel="0" collapsed="false">
      <c r="A1" s="1" t="s">
        <v>492</v>
      </c>
    </row>
    <row r="2" customFormat="false" ht="15" hidden="false" customHeight="false" outlineLevel="0" collapsed="false">
      <c r="A2" s="2" t="s">
        <v>493</v>
      </c>
    </row>
    <row r="4" customFormat="false" ht="39.75" hidden="false" customHeight="true" outlineLevel="0" collapsed="false">
      <c r="A4" s="19" t="s">
        <v>287</v>
      </c>
      <c r="B4" s="19" t="s">
        <v>110</v>
      </c>
      <c r="C4" s="19" t="s">
        <v>151</v>
      </c>
      <c r="D4" s="19" t="s">
        <v>494</v>
      </c>
      <c r="E4" s="19" t="s">
        <v>495</v>
      </c>
      <c r="F4" s="19" t="s">
        <v>496</v>
      </c>
      <c r="G4" s="19" t="s">
        <v>497</v>
      </c>
      <c r="H4" s="19" t="s">
        <v>498</v>
      </c>
      <c r="I4" s="19" t="s">
        <v>499</v>
      </c>
      <c r="J4" s="19" t="s">
        <v>500</v>
      </c>
      <c r="K4" s="19" t="s">
        <v>501</v>
      </c>
      <c r="L4" s="19" t="s">
        <v>502</v>
      </c>
    </row>
    <row r="5" customFormat="false" ht="15" hidden="false" customHeight="false" outlineLevel="0" collapsed="false">
      <c r="A5" s="30" t="str">
        <f aca="false">IF(VAT_Codes!A5="","",VAT_Codes!A5)</f>
        <v>S19</v>
      </c>
      <c r="B5" s="30" t="str">
        <f aca="false">IF(VAT_Codes!B5="","",VAT_Codes!B5)</f>
        <v>Domestic sales - standard rate 19%</v>
      </c>
      <c r="C5" s="30" t="str">
        <f aca="false">IF(VAT_Codes!C5="","",VAT_Codes!C5)</f>
        <v>Output</v>
      </c>
      <c r="D5" s="53" t="n">
        <f aca="false">IF($A5="",0,SUMIFS(GL_Input!$U:$U,GL_Input!$N:$N,$A5,GL_Input!$Q:$Q,"Y",GL_Input!$P:$P,"CY"))</f>
        <v>0</v>
      </c>
      <c r="E5" s="53" t="n">
        <f aca="false">IF($A5="",0,SUMIFS(GL_Input!$U:$U,GL_Input!$N:$N,$A5,GL_Input!$Q:$Q,"Y",GL_Input!$P:$P,"EU"))</f>
        <v>0</v>
      </c>
      <c r="F5" s="53" t="n">
        <f aca="false">IF($A5="",0,SUMIFS(GL_Input!$U:$U,GL_Input!$N:$N,$A5,GL_Input!$Q:$Q,"Y",GL_Input!$P:$P,"3RD"))</f>
        <v>0</v>
      </c>
      <c r="G5" s="53" t="n">
        <f aca="false">IF($A5="",0,SUMIFS(GL_Input!$U:$U,GL_Input!$N:$N,$A5,GL_Input!$Q:$Q,"N",GL_Input!$P:$P,"CY"))</f>
        <v>10000</v>
      </c>
      <c r="H5" s="53" t="n">
        <f aca="false">IF($A5="",0,SUMIFS(GL_Input!$U:$U,GL_Input!$N:$N,$A5,GL_Input!$Q:$Q,"N",GL_Input!$P:$P,"EU"))</f>
        <v>0</v>
      </c>
      <c r="I5" s="53" t="n">
        <f aca="false">IF($A5="",0,SUMIFS(GL_Input!$U:$U,GL_Input!$N:$N,$A5,GL_Input!$Q:$Q,"N",GL_Input!$P:$P,"3RD"))</f>
        <v>0</v>
      </c>
      <c r="J5" s="53" t="n">
        <f aca="false">IF($A5="",0,SUMIFS(GL_Input!$U:$U,GL_Input!$N:$N,$A5,GL_Input!$P:$P,""))</f>
        <v>0</v>
      </c>
      <c r="K5" s="54" t="n">
        <f aca="false">SUM(D5:J5)</f>
        <v>10000</v>
      </c>
      <c r="L5" s="15" t="str">
        <f aca="false">IF(ROUND(K5-VAT_Codes!T5,2)=0,"OK","CHECK")</f>
        <v>OK</v>
      </c>
    </row>
    <row r="6" customFormat="false" ht="15" hidden="false" customHeight="false" outlineLevel="0" collapsed="false">
      <c r="A6" s="30" t="str">
        <f aca="false">IF(VAT_Codes!A6="","",VAT_Codes!A6)</f>
        <v>S9</v>
      </c>
      <c r="B6" s="30" t="str">
        <f aca="false">IF(VAT_Codes!B6="","",VAT_Codes!B6)</f>
        <v>Domestic sales - reduced rate 9%</v>
      </c>
      <c r="C6" s="30" t="str">
        <f aca="false">IF(VAT_Codes!C6="","",VAT_Codes!C6)</f>
        <v>Output</v>
      </c>
      <c r="D6" s="53" t="n">
        <f aca="false">IF($A6="",0,SUMIFS(GL_Input!$U:$U,GL_Input!$N:$N,$A6,GL_Input!$Q:$Q,"Y",GL_Input!$P:$P,"CY"))</f>
        <v>0</v>
      </c>
      <c r="E6" s="53" t="n">
        <f aca="false">IF($A6="",0,SUMIFS(GL_Input!$U:$U,GL_Input!$N:$N,$A6,GL_Input!$Q:$Q,"Y",GL_Input!$P:$P,"EU"))</f>
        <v>0</v>
      </c>
      <c r="F6" s="53" t="n">
        <f aca="false">IF($A6="",0,SUMIFS(GL_Input!$U:$U,GL_Input!$N:$N,$A6,GL_Input!$Q:$Q,"Y",GL_Input!$P:$P,"3RD"))</f>
        <v>0</v>
      </c>
      <c r="G6" s="53" t="n">
        <f aca="false">IF($A6="",0,SUMIFS(GL_Input!$U:$U,GL_Input!$N:$N,$A6,GL_Input!$Q:$Q,"N",GL_Input!$P:$P,"CY"))</f>
        <v>0</v>
      </c>
      <c r="H6" s="53" t="n">
        <f aca="false">IF($A6="",0,SUMIFS(GL_Input!$U:$U,GL_Input!$N:$N,$A6,GL_Input!$Q:$Q,"N",GL_Input!$P:$P,"EU"))</f>
        <v>0</v>
      </c>
      <c r="I6" s="53" t="n">
        <f aca="false">IF($A6="",0,SUMIFS(GL_Input!$U:$U,GL_Input!$N:$N,$A6,GL_Input!$Q:$Q,"N",GL_Input!$P:$P,"3RD"))</f>
        <v>0</v>
      </c>
      <c r="J6" s="53" t="n">
        <f aca="false">IF($A6="",0,SUMIFS(GL_Input!$U:$U,GL_Input!$N:$N,$A6,GL_Input!$P:$P,""))</f>
        <v>0</v>
      </c>
      <c r="K6" s="54" t="n">
        <f aca="false">SUM(D6:J6)</f>
        <v>0</v>
      </c>
      <c r="L6" s="15" t="str">
        <f aca="false">IF(ROUND(K6-VAT_Codes!T6,2)=0,"OK","CHECK")</f>
        <v>OK</v>
      </c>
    </row>
    <row r="7" customFormat="false" ht="15" hidden="false" customHeight="false" outlineLevel="0" collapsed="false">
      <c r="A7" s="30" t="str">
        <f aca="false">IF(VAT_Codes!A7="","",VAT_Codes!A7)</f>
        <v>S5</v>
      </c>
      <c r="B7" s="30" t="str">
        <f aca="false">IF(VAT_Codes!B7="","",VAT_Codes!B7)</f>
        <v>Domestic sales - reduced rate 5%</v>
      </c>
      <c r="C7" s="30" t="str">
        <f aca="false">IF(VAT_Codes!C7="","",VAT_Codes!C7)</f>
        <v>Output</v>
      </c>
      <c r="D7" s="53" t="n">
        <f aca="false">IF($A7="",0,SUMIFS(GL_Input!$U:$U,GL_Input!$N:$N,$A7,GL_Input!$Q:$Q,"Y",GL_Input!$P:$P,"CY"))</f>
        <v>0</v>
      </c>
      <c r="E7" s="53" t="n">
        <f aca="false">IF($A7="",0,SUMIFS(GL_Input!$U:$U,GL_Input!$N:$N,$A7,GL_Input!$Q:$Q,"Y",GL_Input!$P:$P,"EU"))</f>
        <v>0</v>
      </c>
      <c r="F7" s="53" t="n">
        <f aca="false">IF($A7="",0,SUMIFS(GL_Input!$U:$U,GL_Input!$N:$N,$A7,GL_Input!$Q:$Q,"Y",GL_Input!$P:$P,"3RD"))</f>
        <v>0</v>
      </c>
      <c r="G7" s="53" t="n">
        <f aca="false">IF($A7="",0,SUMIFS(GL_Input!$U:$U,GL_Input!$N:$N,$A7,GL_Input!$Q:$Q,"N",GL_Input!$P:$P,"CY"))</f>
        <v>0</v>
      </c>
      <c r="H7" s="53" t="n">
        <f aca="false">IF($A7="",0,SUMIFS(GL_Input!$U:$U,GL_Input!$N:$N,$A7,GL_Input!$Q:$Q,"N",GL_Input!$P:$P,"EU"))</f>
        <v>0</v>
      </c>
      <c r="I7" s="53" t="n">
        <f aca="false">IF($A7="",0,SUMIFS(GL_Input!$U:$U,GL_Input!$N:$N,$A7,GL_Input!$Q:$Q,"N",GL_Input!$P:$P,"3RD"))</f>
        <v>0</v>
      </c>
      <c r="J7" s="53" t="n">
        <f aca="false">IF($A7="",0,SUMIFS(GL_Input!$U:$U,GL_Input!$N:$N,$A7,GL_Input!$P:$P,""))</f>
        <v>0</v>
      </c>
      <c r="K7" s="54" t="n">
        <f aca="false">SUM(D7:J7)</f>
        <v>0</v>
      </c>
      <c r="L7" s="15" t="str">
        <f aca="false">IF(ROUND(K7-VAT_Codes!T7,2)=0,"OK","CHECK")</f>
        <v>OK</v>
      </c>
    </row>
    <row r="8" customFormat="false" ht="15" hidden="false" customHeight="false" outlineLevel="0" collapsed="false">
      <c r="A8" s="30" t="str">
        <f aca="false">IF(VAT_Codes!A8="","",VAT_Codes!A8)</f>
        <v>S3</v>
      </c>
      <c r="B8" s="30" t="str">
        <f aca="false">IF(VAT_Codes!B8="","",VAT_Codes!B8)</f>
        <v>Domestic sales - super-reduced rate 3%</v>
      </c>
      <c r="C8" s="30" t="str">
        <f aca="false">IF(VAT_Codes!C8="","",VAT_Codes!C8)</f>
        <v>Output</v>
      </c>
      <c r="D8" s="53" t="n">
        <f aca="false">IF($A8="",0,SUMIFS(GL_Input!$U:$U,GL_Input!$N:$N,$A8,GL_Input!$Q:$Q,"Y",GL_Input!$P:$P,"CY"))</f>
        <v>0</v>
      </c>
      <c r="E8" s="53" t="n">
        <f aca="false">IF($A8="",0,SUMIFS(GL_Input!$U:$U,GL_Input!$N:$N,$A8,GL_Input!$Q:$Q,"Y",GL_Input!$P:$P,"EU"))</f>
        <v>0</v>
      </c>
      <c r="F8" s="53" t="n">
        <f aca="false">IF($A8="",0,SUMIFS(GL_Input!$U:$U,GL_Input!$N:$N,$A8,GL_Input!$Q:$Q,"Y",GL_Input!$P:$P,"3RD"))</f>
        <v>0</v>
      </c>
      <c r="G8" s="53" t="n">
        <f aca="false">IF($A8="",0,SUMIFS(GL_Input!$U:$U,GL_Input!$N:$N,$A8,GL_Input!$Q:$Q,"N",GL_Input!$P:$P,"CY"))</f>
        <v>0</v>
      </c>
      <c r="H8" s="53" t="n">
        <f aca="false">IF($A8="",0,SUMIFS(GL_Input!$U:$U,GL_Input!$N:$N,$A8,GL_Input!$Q:$Q,"N",GL_Input!$P:$P,"EU"))</f>
        <v>0</v>
      </c>
      <c r="I8" s="53" t="n">
        <f aca="false">IF($A8="",0,SUMIFS(GL_Input!$U:$U,GL_Input!$N:$N,$A8,GL_Input!$Q:$Q,"N",GL_Input!$P:$P,"3RD"))</f>
        <v>0</v>
      </c>
      <c r="J8" s="53" t="n">
        <f aca="false">IF($A8="",0,SUMIFS(GL_Input!$U:$U,GL_Input!$N:$N,$A8,GL_Input!$P:$P,""))</f>
        <v>0</v>
      </c>
      <c r="K8" s="54" t="n">
        <f aca="false">SUM(D8:J8)</f>
        <v>0</v>
      </c>
      <c r="L8" s="15" t="str">
        <f aca="false">IF(ROUND(K8-VAT_Codes!T8,2)=0,"OK","CHECK")</f>
        <v>OK</v>
      </c>
    </row>
    <row r="9" customFormat="false" ht="15" hidden="false" customHeight="false" outlineLevel="0" collapsed="false">
      <c r="A9" s="30" t="str">
        <f aca="false">IF(VAT_Codes!A9="","",VAT_Codes!A9)</f>
        <v>Z0</v>
      </c>
      <c r="B9" s="30" t="str">
        <f aca="false">IF(VAT_Codes!B9="","",VAT_Codes!B9)</f>
        <v>Domestic zero-rated supplies (not exports)</v>
      </c>
      <c r="C9" s="30" t="str">
        <f aca="false">IF(VAT_Codes!C9="","",VAT_Codes!C9)</f>
        <v>Output</v>
      </c>
      <c r="D9" s="53" t="n">
        <f aca="false">IF($A9="",0,SUMIFS(GL_Input!$U:$U,GL_Input!$N:$N,$A9,GL_Input!$Q:$Q,"Y",GL_Input!$P:$P,"CY"))</f>
        <v>0</v>
      </c>
      <c r="E9" s="53" t="n">
        <f aca="false">IF($A9="",0,SUMIFS(GL_Input!$U:$U,GL_Input!$N:$N,$A9,GL_Input!$Q:$Q,"Y",GL_Input!$P:$P,"EU"))</f>
        <v>0</v>
      </c>
      <c r="F9" s="53" t="n">
        <f aca="false">IF($A9="",0,SUMIFS(GL_Input!$U:$U,GL_Input!$N:$N,$A9,GL_Input!$Q:$Q,"Y",GL_Input!$P:$P,"3RD"))</f>
        <v>0</v>
      </c>
      <c r="G9" s="53" t="n">
        <f aca="false">IF($A9="",0,SUMIFS(GL_Input!$U:$U,GL_Input!$N:$N,$A9,GL_Input!$Q:$Q,"N",GL_Input!$P:$P,"CY"))</f>
        <v>0</v>
      </c>
      <c r="H9" s="53" t="n">
        <f aca="false">IF($A9="",0,SUMIFS(GL_Input!$U:$U,GL_Input!$N:$N,$A9,GL_Input!$Q:$Q,"N",GL_Input!$P:$P,"EU"))</f>
        <v>0</v>
      </c>
      <c r="I9" s="53" t="n">
        <f aca="false">IF($A9="",0,SUMIFS(GL_Input!$U:$U,GL_Input!$N:$N,$A9,GL_Input!$Q:$Q,"N",GL_Input!$P:$P,"3RD"))</f>
        <v>0</v>
      </c>
      <c r="J9" s="53" t="n">
        <f aca="false">IF($A9="",0,SUMIFS(GL_Input!$U:$U,GL_Input!$N:$N,$A9,GL_Input!$P:$P,""))</f>
        <v>0</v>
      </c>
      <c r="K9" s="54" t="n">
        <f aca="false">SUM(D9:J9)</f>
        <v>0</v>
      </c>
      <c r="L9" s="15" t="str">
        <f aca="false">IF(ROUND(K9-VAT_Codes!T9,2)=0,"OK","CHECK")</f>
        <v>OK</v>
      </c>
    </row>
    <row r="10" customFormat="false" ht="15" hidden="false" customHeight="false" outlineLevel="0" collapsed="false">
      <c r="A10" s="30" t="str">
        <f aca="false">IF(VAT_Codes!A10="","",VAT_Codes!A10)</f>
        <v>EXPG</v>
      </c>
      <c r="B10" s="30" t="str">
        <f aca="false">IF(VAT_Codes!B10="","",VAT_Codes!B10)</f>
        <v>Exports of goods to third countries</v>
      </c>
      <c r="C10" s="30" t="str">
        <f aca="false">IF(VAT_Codes!C10="","",VAT_Codes!C10)</f>
        <v>Output</v>
      </c>
      <c r="D10" s="53" t="n">
        <f aca="false">IF($A10="",0,SUMIFS(GL_Input!$U:$U,GL_Input!$N:$N,$A10,GL_Input!$Q:$Q,"Y",GL_Input!$P:$P,"CY"))</f>
        <v>0</v>
      </c>
      <c r="E10" s="53" t="n">
        <f aca="false">IF($A10="",0,SUMIFS(GL_Input!$U:$U,GL_Input!$N:$N,$A10,GL_Input!$Q:$Q,"Y",GL_Input!$P:$P,"EU"))</f>
        <v>0</v>
      </c>
      <c r="F10" s="53" t="n">
        <f aca="false">IF($A10="",0,SUMIFS(GL_Input!$U:$U,GL_Input!$N:$N,$A10,GL_Input!$Q:$Q,"Y",GL_Input!$P:$P,"3RD"))</f>
        <v>0</v>
      </c>
      <c r="G10" s="53" t="n">
        <f aca="false">IF($A10="",0,SUMIFS(GL_Input!$U:$U,GL_Input!$N:$N,$A10,GL_Input!$Q:$Q,"N",GL_Input!$P:$P,"CY"))</f>
        <v>0</v>
      </c>
      <c r="H10" s="53" t="n">
        <f aca="false">IF($A10="",0,SUMIFS(GL_Input!$U:$U,GL_Input!$N:$N,$A10,GL_Input!$Q:$Q,"N",GL_Input!$P:$P,"EU"))</f>
        <v>0</v>
      </c>
      <c r="I10" s="53" t="n">
        <f aca="false">IF($A10="",0,SUMIFS(GL_Input!$U:$U,GL_Input!$N:$N,$A10,GL_Input!$Q:$Q,"N",GL_Input!$P:$P,"3RD"))</f>
        <v>10301.31</v>
      </c>
      <c r="J10" s="53" t="n">
        <f aca="false">IF($A10="",0,SUMIFS(GL_Input!$U:$U,GL_Input!$N:$N,$A10,GL_Input!$P:$P,""))</f>
        <v>0</v>
      </c>
      <c r="K10" s="54" t="n">
        <f aca="false">SUM(D10:J10)</f>
        <v>10301.31</v>
      </c>
      <c r="L10" s="15" t="str">
        <f aca="false">IF(ROUND(K10-VAT_Codes!T10,2)=0,"OK","CHECK")</f>
        <v>OK</v>
      </c>
    </row>
    <row r="11" customFormat="false" ht="15" hidden="false" customHeight="false" outlineLevel="0" collapsed="false">
      <c r="A11" s="30" t="str">
        <f aca="false">IF(VAT_Codes!A11="","",VAT_Codes!A11)</f>
        <v>EUG</v>
      </c>
      <c r="B11" s="30" t="str">
        <f aca="false">IF(VAT_Codes!B11="","",VAT_Codes!B11)</f>
        <v>Intra-EU supplies of goods (B2B)</v>
      </c>
      <c r="C11" s="30" t="str">
        <f aca="false">IF(VAT_Codes!C11="","",VAT_Codes!C11)</f>
        <v>Output</v>
      </c>
      <c r="D11" s="53" t="n">
        <f aca="false">IF($A11="",0,SUMIFS(GL_Input!$U:$U,GL_Input!$N:$N,$A11,GL_Input!$Q:$Q,"Y",GL_Input!$P:$P,"CY"))</f>
        <v>0</v>
      </c>
      <c r="E11" s="53" t="n">
        <f aca="false">IF($A11="",0,SUMIFS(GL_Input!$U:$U,GL_Input!$N:$N,$A11,GL_Input!$Q:$Q,"Y",GL_Input!$P:$P,"EU"))</f>
        <v>0</v>
      </c>
      <c r="F11" s="53" t="n">
        <f aca="false">IF($A11="",0,SUMIFS(GL_Input!$U:$U,GL_Input!$N:$N,$A11,GL_Input!$Q:$Q,"Y",GL_Input!$P:$P,"3RD"))</f>
        <v>0</v>
      </c>
      <c r="G11" s="53" t="n">
        <f aca="false">IF($A11="",0,SUMIFS(GL_Input!$U:$U,GL_Input!$N:$N,$A11,GL_Input!$Q:$Q,"N",GL_Input!$P:$P,"CY"))</f>
        <v>0</v>
      </c>
      <c r="H11" s="53" t="n">
        <f aca="false">IF($A11="",0,SUMIFS(GL_Input!$U:$U,GL_Input!$N:$N,$A11,GL_Input!$Q:$Q,"N",GL_Input!$P:$P,"EU"))</f>
        <v>8000</v>
      </c>
      <c r="I11" s="53" t="n">
        <f aca="false">IF($A11="",0,SUMIFS(GL_Input!$U:$U,GL_Input!$N:$N,$A11,GL_Input!$Q:$Q,"N",GL_Input!$P:$P,"3RD"))</f>
        <v>0</v>
      </c>
      <c r="J11" s="53" t="n">
        <f aca="false">IF($A11="",0,SUMIFS(GL_Input!$U:$U,GL_Input!$N:$N,$A11,GL_Input!$P:$P,""))</f>
        <v>0</v>
      </c>
      <c r="K11" s="54" t="n">
        <f aca="false">SUM(D11:J11)</f>
        <v>8000</v>
      </c>
      <c r="L11" s="15" t="str">
        <f aca="false">IF(ROUND(K11-VAT_Codes!T11,2)=0,"OK","CHECK")</f>
        <v>OK</v>
      </c>
    </row>
    <row r="12" customFormat="false" ht="15" hidden="false" customHeight="false" outlineLevel="0" collapsed="false">
      <c r="A12" s="30" t="str">
        <f aca="false">IF(VAT_Codes!A12="","",VAT_Codes!A12)</f>
        <v>EUS</v>
      </c>
      <c r="B12" s="30" t="str">
        <f aca="false">IF(VAT_Codes!B12="","",VAT_Codes!B12)</f>
        <v>Services to EU taxable persons (general rule - reverse charge by customer)</v>
      </c>
      <c r="C12" s="30" t="str">
        <f aca="false">IF(VAT_Codes!C12="","",VAT_Codes!C12)</f>
        <v>Output</v>
      </c>
      <c r="D12" s="53" t="n">
        <f aca="false">IF($A12="",0,SUMIFS(GL_Input!$U:$U,GL_Input!$N:$N,$A12,GL_Input!$Q:$Q,"Y",GL_Input!$P:$P,"CY"))</f>
        <v>0</v>
      </c>
      <c r="E12" s="53" t="n">
        <f aca="false">IF($A12="",0,SUMIFS(GL_Input!$U:$U,GL_Input!$N:$N,$A12,GL_Input!$Q:$Q,"Y",GL_Input!$P:$P,"EU"))</f>
        <v>25000</v>
      </c>
      <c r="F12" s="53" t="n">
        <f aca="false">IF($A12="",0,SUMIFS(GL_Input!$U:$U,GL_Input!$N:$N,$A12,GL_Input!$Q:$Q,"Y",GL_Input!$P:$P,"3RD"))</f>
        <v>0</v>
      </c>
      <c r="G12" s="53" t="n">
        <f aca="false">IF($A12="",0,SUMIFS(GL_Input!$U:$U,GL_Input!$N:$N,$A12,GL_Input!$Q:$Q,"N",GL_Input!$P:$P,"CY"))</f>
        <v>0</v>
      </c>
      <c r="H12" s="53" t="n">
        <f aca="false">IF($A12="",0,SUMIFS(GL_Input!$U:$U,GL_Input!$N:$N,$A12,GL_Input!$Q:$Q,"N",GL_Input!$P:$P,"EU"))</f>
        <v>0</v>
      </c>
      <c r="I12" s="53" t="n">
        <f aca="false">IF($A12="",0,SUMIFS(GL_Input!$U:$U,GL_Input!$N:$N,$A12,GL_Input!$Q:$Q,"N",GL_Input!$P:$P,"3RD"))</f>
        <v>0</v>
      </c>
      <c r="J12" s="53" t="n">
        <f aca="false">IF($A12="",0,SUMIFS(GL_Input!$U:$U,GL_Input!$N:$N,$A12,GL_Input!$P:$P,""))</f>
        <v>0</v>
      </c>
      <c r="K12" s="54" t="n">
        <f aca="false">SUM(D12:J12)</f>
        <v>25000</v>
      </c>
      <c r="L12" s="15" t="str">
        <f aca="false">IF(ROUND(K12-VAT_Codes!T12,2)=0,"OK","CHECK")</f>
        <v>OK</v>
      </c>
    </row>
    <row r="13" customFormat="false" ht="15" hidden="false" customHeight="false" outlineLevel="0" collapsed="false">
      <c r="A13" s="30" t="str">
        <f aca="false">IF(VAT_Codes!A13="","",VAT_Codes!A13)</f>
        <v>TRI</v>
      </c>
      <c r="B13" s="30" t="str">
        <f aca="false">IF(VAT_Codes!B13="","",VAT_Codes!B13)</f>
        <v>Triangular transactions (Cyprus as intermediary)</v>
      </c>
      <c r="C13" s="30" t="str">
        <f aca="false">IF(VAT_Codes!C13="","",VAT_Codes!C13)</f>
        <v>Output</v>
      </c>
      <c r="D13" s="53" t="n">
        <f aca="false">IF($A13="",0,SUMIFS(GL_Input!$U:$U,GL_Input!$N:$N,$A13,GL_Input!$Q:$Q,"Y",GL_Input!$P:$P,"CY"))</f>
        <v>0</v>
      </c>
      <c r="E13" s="53" t="n">
        <f aca="false">IF($A13="",0,SUMIFS(GL_Input!$U:$U,GL_Input!$N:$N,$A13,GL_Input!$Q:$Q,"Y",GL_Input!$P:$P,"EU"))</f>
        <v>0</v>
      </c>
      <c r="F13" s="53" t="n">
        <f aca="false">IF($A13="",0,SUMIFS(GL_Input!$U:$U,GL_Input!$N:$N,$A13,GL_Input!$Q:$Q,"Y",GL_Input!$P:$P,"3RD"))</f>
        <v>0</v>
      </c>
      <c r="G13" s="53" t="n">
        <f aca="false">IF($A13="",0,SUMIFS(GL_Input!$U:$U,GL_Input!$N:$N,$A13,GL_Input!$Q:$Q,"N",GL_Input!$P:$P,"CY"))</f>
        <v>0</v>
      </c>
      <c r="H13" s="53" t="n">
        <f aca="false">IF($A13="",0,SUMIFS(GL_Input!$U:$U,GL_Input!$N:$N,$A13,GL_Input!$Q:$Q,"N",GL_Input!$P:$P,"EU"))</f>
        <v>0</v>
      </c>
      <c r="I13" s="53" t="n">
        <f aca="false">IF($A13="",0,SUMIFS(GL_Input!$U:$U,GL_Input!$N:$N,$A13,GL_Input!$Q:$Q,"N",GL_Input!$P:$P,"3RD"))</f>
        <v>0</v>
      </c>
      <c r="J13" s="53" t="n">
        <f aca="false">IF($A13="",0,SUMIFS(GL_Input!$U:$U,GL_Input!$N:$N,$A13,GL_Input!$P:$P,""))</f>
        <v>0</v>
      </c>
      <c r="K13" s="54" t="n">
        <f aca="false">SUM(D13:J13)</f>
        <v>0</v>
      </c>
      <c r="L13" s="15" t="str">
        <f aca="false">IF(ROUND(K13-VAT_Codes!T13,2)=0,"OK","CHECK")</f>
        <v>OK</v>
      </c>
    </row>
    <row r="14" customFormat="false" ht="15" hidden="false" customHeight="false" outlineLevel="0" collapsed="false">
      <c r="A14" s="30" t="str">
        <f aca="false">IF(VAT_Codes!A14="","",VAT_Codes!A14)</f>
        <v>OS3</v>
      </c>
      <c r="B14" s="30" t="str">
        <f aca="false">IF(VAT_Codes!B14="","",VAT_Codes!B14)</f>
        <v>Services to customers outside the EU (outside scope, with right to deduct)</v>
      </c>
      <c r="C14" s="30" t="str">
        <f aca="false">IF(VAT_Codes!C14="","",VAT_Codes!C14)</f>
        <v>Output</v>
      </c>
      <c r="D14" s="53" t="n">
        <f aca="false">IF($A14="",0,SUMIFS(GL_Input!$U:$U,GL_Input!$N:$N,$A14,GL_Input!$Q:$Q,"Y",GL_Input!$P:$P,"CY"))</f>
        <v>0</v>
      </c>
      <c r="E14" s="53" t="n">
        <f aca="false">IF($A14="",0,SUMIFS(GL_Input!$U:$U,GL_Input!$N:$N,$A14,GL_Input!$Q:$Q,"Y",GL_Input!$P:$P,"EU"))</f>
        <v>0</v>
      </c>
      <c r="F14" s="53" t="n">
        <f aca="false">IF($A14="",0,SUMIFS(GL_Input!$U:$U,GL_Input!$N:$N,$A14,GL_Input!$Q:$Q,"Y",GL_Input!$P:$P,"3RD"))</f>
        <v>25753.28</v>
      </c>
      <c r="G14" s="53" t="n">
        <f aca="false">IF($A14="",0,SUMIFS(GL_Input!$U:$U,GL_Input!$N:$N,$A14,GL_Input!$Q:$Q,"N",GL_Input!$P:$P,"CY"))</f>
        <v>0</v>
      </c>
      <c r="H14" s="53" t="n">
        <f aca="false">IF($A14="",0,SUMIFS(GL_Input!$U:$U,GL_Input!$N:$N,$A14,GL_Input!$Q:$Q,"N",GL_Input!$P:$P,"EU"))</f>
        <v>0</v>
      </c>
      <c r="I14" s="53" t="n">
        <f aca="false">IF($A14="",0,SUMIFS(GL_Input!$U:$U,GL_Input!$N:$N,$A14,GL_Input!$Q:$Q,"N",GL_Input!$P:$P,"3RD"))</f>
        <v>0</v>
      </c>
      <c r="J14" s="53" t="n">
        <f aca="false">IF($A14="",0,SUMIFS(GL_Input!$U:$U,GL_Input!$N:$N,$A14,GL_Input!$P:$P,""))</f>
        <v>0</v>
      </c>
      <c r="K14" s="54" t="n">
        <f aca="false">SUM(D14:J14)</f>
        <v>25753.28</v>
      </c>
      <c r="L14" s="15" t="str">
        <f aca="false">IF(ROUND(K14-VAT_Codes!T14,2)=0,"OK","CHECK")</f>
        <v>OK</v>
      </c>
    </row>
    <row r="15" customFormat="false" ht="15" hidden="false" customHeight="false" outlineLevel="0" collapsed="false">
      <c r="A15" s="30" t="str">
        <f aca="false">IF(VAT_Codes!A15="","",VAT_Codes!A15)</f>
        <v>OSS</v>
      </c>
      <c r="B15" s="30" t="str">
        <f aca="false">IF(VAT_Codes!B15="","",VAT_Codes!B15)</f>
        <v>Distance sales / B2C services declared through OSS</v>
      </c>
      <c r="C15" s="30" t="str">
        <f aca="false">IF(VAT_Codes!C15="","",VAT_Codes!C15)</f>
        <v>Output</v>
      </c>
      <c r="D15" s="53" t="n">
        <f aca="false">IF($A15="",0,SUMIFS(GL_Input!$U:$U,GL_Input!$N:$N,$A15,GL_Input!$Q:$Q,"Y",GL_Input!$P:$P,"CY"))</f>
        <v>0</v>
      </c>
      <c r="E15" s="53" t="n">
        <f aca="false">IF($A15="",0,SUMIFS(GL_Input!$U:$U,GL_Input!$N:$N,$A15,GL_Input!$Q:$Q,"Y",GL_Input!$P:$P,"EU"))</f>
        <v>0</v>
      </c>
      <c r="F15" s="53" t="n">
        <f aca="false">IF($A15="",0,SUMIFS(GL_Input!$U:$U,GL_Input!$N:$N,$A15,GL_Input!$Q:$Q,"Y",GL_Input!$P:$P,"3RD"))</f>
        <v>0</v>
      </c>
      <c r="G15" s="53" t="n">
        <f aca="false">IF($A15="",0,SUMIFS(GL_Input!$U:$U,GL_Input!$N:$N,$A15,GL_Input!$Q:$Q,"N",GL_Input!$P:$P,"CY"))</f>
        <v>0</v>
      </c>
      <c r="H15" s="53" t="n">
        <f aca="false">IF($A15="",0,SUMIFS(GL_Input!$U:$U,GL_Input!$N:$N,$A15,GL_Input!$Q:$Q,"N",GL_Input!$P:$P,"EU"))</f>
        <v>0</v>
      </c>
      <c r="I15" s="53" t="n">
        <f aca="false">IF($A15="",0,SUMIFS(GL_Input!$U:$U,GL_Input!$N:$N,$A15,GL_Input!$Q:$Q,"N",GL_Input!$P:$P,"3RD"))</f>
        <v>0</v>
      </c>
      <c r="J15" s="53" t="n">
        <f aca="false">IF($A15="",0,SUMIFS(GL_Input!$U:$U,GL_Input!$N:$N,$A15,GL_Input!$P:$P,""))</f>
        <v>0</v>
      </c>
      <c r="K15" s="54" t="n">
        <f aca="false">SUM(D15:J15)</f>
        <v>0</v>
      </c>
      <c r="L15" s="15" t="str">
        <f aca="false">IF(ROUND(K15-VAT_Codes!T15,2)=0,"OK","CHECK")</f>
        <v>OK</v>
      </c>
    </row>
    <row r="16" customFormat="false" ht="15" hidden="false" customHeight="false" outlineLevel="0" collapsed="false">
      <c r="A16" s="30" t="str">
        <f aca="false">IF(VAT_Codes!A16="","",VAT_Codes!A16)</f>
        <v>FIN3</v>
      </c>
      <c r="B16" s="30" t="str">
        <f aca="false">IF(VAT_Codes!B16="","",VAT_Codes!B16)</f>
        <v>Financial / insurance services to recipients outside the EU</v>
      </c>
      <c r="C16" s="30" t="str">
        <f aca="false">IF(VAT_Codes!C16="","",VAT_Codes!C16)</f>
        <v>Output</v>
      </c>
      <c r="D16" s="53" t="n">
        <f aca="false">IF($A16="",0,SUMIFS(GL_Input!$U:$U,GL_Input!$N:$N,$A16,GL_Input!$Q:$Q,"Y",GL_Input!$P:$P,"CY"))</f>
        <v>0</v>
      </c>
      <c r="E16" s="53" t="n">
        <f aca="false">IF($A16="",0,SUMIFS(GL_Input!$U:$U,GL_Input!$N:$N,$A16,GL_Input!$Q:$Q,"Y",GL_Input!$P:$P,"EU"))</f>
        <v>0</v>
      </c>
      <c r="F16" s="53" t="n">
        <f aca="false">IF($A16="",0,SUMIFS(GL_Input!$U:$U,GL_Input!$N:$N,$A16,GL_Input!$Q:$Q,"Y",GL_Input!$P:$P,"3RD"))</f>
        <v>0</v>
      </c>
      <c r="G16" s="53" t="n">
        <f aca="false">IF($A16="",0,SUMIFS(GL_Input!$U:$U,GL_Input!$N:$N,$A16,GL_Input!$Q:$Q,"N",GL_Input!$P:$P,"CY"))</f>
        <v>0</v>
      </c>
      <c r="H16" s="53" t="n">
        <f aca="false">IF($A16="",0,SUMIFS(GL_Input!$U:$U,GL_Input!$N:$N,$A16,GL_Input!$Q:$Q,"N",GL_Input!$P:$P,"EU"))</f>
        <v>0</v>
      </c>
      <c r="I16" s="53" t="n">
        <f aca="false">IF($A16="",0,SUMIFS(GL_Input!$U:$U,GL_Input!$N:$N,$A16,GL_Input!$Q:$Q,"N",GL_Input!$P:$P,"3RD"))</f>
        <v>0</v>
      </c>
      <c r="J16" s="53" t="n">
        <f aca="false">IF($A16="",0,SUMIFS(GL_Input!$U:$U,GL_Input!$N:$N,$A16,GL_Input!$P:$P,""))</f>
        <v>0</v>
      </c>
      <c r="K16" s="54" t="n">
        <f aca="false">SUM(D16:J16)</f>
        <v>0</v>
      </c>
      <c r="L16" s="15" t="str">
        <f aca="false">IF(ROUND(K16-VAT_Codes!T16,2)=0,"OK","CHECK")</f>
        <v>OK</v>
      </c>
    </row>
    <row r="17" customFormat="false" ht="15" hidden="false" customHeight="false" outlineLevel="0" collapsed="false">
      <c r="A17" s="30" t="str">
        <f aca="false">IF(VAT_Codes!A17="","",VAT_Codes!A17)</f>
        <v>FINEU</v>
      </c>
      <c r="B17" s="30" t="str">
        <f aca="false">IF(VAT_Codes!B17="","",VAT_Codes!B17)</f>
        <v>Financial / insurance services to EU recipients (exempt, no right to deduct)</v>
      </c>
      <c r="C17" s="30" t="str">
        <f aca="false">IF(VAT_Codes!C17="","",VAT_Codes!C17)</f>
        <v>Output</v>
      </c>
      <c r="D17" s="53" t="n">
        <f aca="false">IF($A17="",0,SUMIFS(GL_Input!$U:$U,GL_Input!$N:$N,$A17,GL_Input!$Q:$Q,"Y",GL_Input!$P:$P,"CY"))</f>
        <v>0</v>
      </c>
      <c r="E17" s="53" t="n">
        <f aca="false">IF($A17="",0,SUMIFS(GL_Input!$U:$U,GL_Input!$N:$N,$A17,GL_Input!$Q:$Q,"Y",GL_Input!$P:$P,"EU"))</f>
        <v>0</v>
      </c>
      <c r="F17" s="53" t="n">
        <f aca="false">IF($A17="",0,SUMIFS(GL_Input!$U:$U,GL_Input!$N:$N,$A17,GL_Input!$Q:$Q,"Y",GL_Input!$P:$P,"3RD"))</f>
        <v>0</v>
      </c>
      <c r="G17" s="53" t="n">
        <f aca="false">IF($A17="",0,SUMIFS(GL_Input!$U:$U,GL_Input!$N:$N,$A17,GL_Input!$Q:$Q,"N",GL_Input!$P:$P,"CY"))</f>
        <v>0</v>
      </c>
      <c r="H17" s="53" t="n">
        <f aca="false">IF($A17="",0,SUMIFS(GL_Input!$U:$U,GL_Input!$N:$N,$A17,GL_Input!$Q:$Q,"N",GL_Input!$P:$P,"EU"))</f>
        <v>0</v>
      </c>
      <c r="I17" s="53" t="n">
        <f aca="false">IF($A17="",0,SUMIFS(GL_Input!$U:$U,GL_Input!$N:$N,$A17,GL_Input!$Q:$Q,"N",GL_Input!$P:$P,"3RD"))</f>
        <v>0</v>
      </c>
      <c r="J17" s="53" t="n">
        <f aca="false">IF($A17="",0,SUMIFS(GL_Input!$U:$U,GL_Input!$N:$N,$A17,GL_Input!$P:$P,""))</f>
        <v>0</v>
      </c>
      <c r="K17" s="54" t="n">
        <f aca="false">SUM(D17:J17)</f>
        <v>0</v>
      </c>
      <c r="L17" s="15" t="str">
        <f aca="false">IF(ROUND(K17-VAT_Codes!T17,2)=0,"OK","CHECK")</f>
        <v>OK</v>
      </c>
    </row>
    <row r="18" customFormat="false" ht="15" hidden="false" customHeight="false" outlineLevel="0" collapsed="false">
      <c r="A18" s="30" t="str">
        <f aca="false">IF(VAT_Codes!A18="","",VAT_Codes!A18)</f>
        <v>EXS</v>
      </c>
      <c r="B18" s="30" t="str">
        <f aca="false">IF(VAT_Codes!B18="","",VAT_Codes!B18)</f>
        <v>Exempt supplies (domestic)</v>
      </c>
      <c r="C18" s="30" t="str">
        <f aca="false">IF(VAT_Codes!C18="","",VAT_Codes!C18)</f>
        <v>Output</v>
      </c>
      <c r="D18" s="53" t="n">
        <f aca="false">IF($A18="",0,SUMIFS(GL_Input!$U:$U,GL_Input!$N:$N,$A18,GL_Input!$Q:$Q,"Y",GL_Input!$P:$P,"CY"))</f>
        <v>0</v>
      </c>
      <c r="E18" s="53" t="n">
        <f aca="false">IF($A18="",0,SUMIFS(GL_Input!$U:$U,GL_Input!$N:$N,$A18,GL_Input!$Q:$Q,"Y",GL_Input!$P:$P,"EU"))</f>
        <v>0</v>
      </c>
      <c r="F18" s="53" t="n">
        <f aca="false">IF($A18="",0,SUMIFS(GL_Input!$U:$U,GL_Input!$N:$N,$A18,GL_Input!$Q:$Q,"Y",GL_Input!$P:$P,"3RD"))</f>
        <v>0</v>
      </c>
      <c r="G18" s="53" t="n">
        <f aca="false">IF($A18="",0,SUMIFS(GL_Input!$U:$U,GL_Input!$N:$N,$A18,GL_Input!$Q:$Q,"N",GL_Input!$P:$P,"CY"))</f>
        <v>0</v>
      </c>
      <c r="H18" s="53" t="n">
        <f aca="false">IF($A18="",0,SUMIFS(GL_Input!$U:$U,GL_Input!$N:$N,$A18,GL_Input!$Q:$Q,"N",GL_Input!$P:$P,"EU"))</f>
        <v>0</v>
      </c>
      <c r="I18" s="53" t="n">
        <f aca="false">IF($A18="",0,SUMIFS(GL_Input!$U:$U,GL_Input!$N:$N,$A18,GL_Input!$Q:$Q,"N",GL_Input!$P:$P,"3RD"))</f>
        <v>0</v>
      </c>
      <c r="J18" s="53" t="n">
        <f aca="false">IF($A18="",0,SUMIFS(GL_Input!$U:$U,GL_Input!$N:$N,$A18,GL_Input!$P:$P,""))</f>
        <v>0</v>
      </c>
      <c r="K18" s="54" t="n">
        <f aca="false">SUM(D18:J18)</f>
        <v>0</v>
      </c>
      <c r="L18" s="15" t="str">
        <f aca="false">IF(ROUND(K18-VAT_Codes!T18,2)=0,"OK","CHECK")</f>
        <v>OK</v>
      </c>
    </row>
    <row r="19" customFormat="false" ht="15" hidden="false" customHeight="false" outlineLevel="0" collapsed="false">
      <c r="A19" s="30" t="str">
        <f aca="false">IF(VAT_Codes!A19="","",VAT_Codes!A19)</f>
        <v>DRCS</v>
      </c>
      <c r="B19" s="30" t="str">
        <f aca="false">IF(VAT_Codes!B19="","",VAT_Codes!B19)</f>
        <v>Domestic reverse-charge sales (customer accounts for VAT)</v>
      </c>
      <c r="C19" s="30" t="str">
        <f aca="false">IF(VAT_Codes!C19="","",VAT_Codes!C19)</f>
        <v>Output</v>
      </c>
      <c r="D19" s="53" t="n">
        <f aca="false">IF($A19="",0,SUMIFS(GL_Input!$U:$U,GL_Input!$N:$N,$A19,GL_Input!$Q:$Q,"Y",GL_Input!$P:$P,"CY"))</f>
        <v>0</v>
      </c>
      <c r="E19" s="53" t="n">
        <f aca="false">IF($A19="",0,SUMIFS(GL_Input!$U:$U,GL_Input!$N:$N,$A19,GL_Input!$Q:$Q,"Y",GL_Input!$P:$P,"EU"))</f>
        <v>0</v>
      </c>
      <c r="F19" s="53" t="n">
        <f aca="false">IF($A19="",0,SUMIFS(GL_Input!$U:$U,GL_Input!$N:$N,$A19,GL_Input!$Q:$Q,"Y",GL_Input!$P:$P,"3RD"))</f>
        <v>0</v>
      </c>
      <c r="G19" s="53" t="n">
        <f aca="false">IF($A19="",0,SUMIFS(GL_Input!$U:$U,GL_Input!$N:$N,$A19,GL_Input!$Q:$Q,"N",GL_Input!$P:$P,"CY"))</f>
        <v>0</v>
      </c>
      <c r="H19" s="53" t="n">
        <f aca="false">IF($A19="",0,SUMIFS(GL_Input!$U:$U,GL_Input!$N:$N,$A19,GL_Input!$Q:$Q,"N",GL_Input!$P:$P,"EU"))</f>
        <v>0</v>
      </c>
      <c r="I19" s="53" t="n">
        <f aca="false">IF($A19="",0,SUMIFS(GL_Input!$U:$U,GL_Input!$N:$N,$A19,GL_Input!$Q:$Q,"N",GL_Input!$P:$P,"3RD"))</f>
        <v>0</v>
      </c>
      <c r="J19" s="53" t="n">
        <f aca="false">IF($A19="",0,SUMIFS(GL_Input!$U:$U,GL_Input!$N:$N,$A19,GL_Input!$P:$P,""))</f>
        <v>0</v>
      </c>
      <c r="K19" s="54" t="n">
        <f aca="false">SUM(D19:J19)</f>
        <v>0</v>
      </c>
      <c r="L19" s="15" t="str">
        <f aca="false">IF(ROUND(K19-VAT_Codes!T19,2)=0,"OK","CHECK")</f>
        <v>OK</v>
      </c>
    </row>
    <row r="20" customFormat="false" ht="15" hidden="false" customHeight="false" outlineLevel="0" collapsed="false">
      <c r="A20" s="30" t="str">
        <f aca="false">IF(VAT_Codes!A20="","",VAT_Codes!A20)</f>
        <v>P19</v>
      </c>
      <c r="B20" s="30" t="str">
        <f aca="false">IF(VAT_Codes!B20="","",VAT_Codes!B20)</f>
        <v>Domestic purchases 19% - fully recoverable</v>
      </c>
      <c r="C20" s="30" t="str">
        <f aca="false">IF(VAT_Codes!C20="","",VAT_Codes!C20)</f>
        <v>Input</v>
      </c>
      <c r="D20" s="53" t="n">
        <f aca="false">IF($A20="",0,SUMIFS(GL_Input!$U:$U,GL_Input!$N:$N,$A20,GL_Input!$Q:$Q,"Y",GL_Input!$P:$P,"CY"))</f>
        <v>0</v>
      </c>
      <c r="E20" s="53" t="n">
        <f aca="false">IF($A20="",0,SUMIFS(GL_Input!$U:$U,GL_Input!$N:$N,$A20,GL_Input!$Q:$Q,"Y",GL_Input!$P:$P,"EU"))</f>
        <v>0</v>
      </c>
      <c r="F20" s="53" t="n">
        <f aca="false">IF($A20="",0,SUMIFS(GL_Input!$U:$U,GL_Input!$N:$N,$A20,GL_Input!$Q:$Q,"Y",GL_Input!$P:$P,"3RD"))</f>
        <v>0</v>
      </c>
      <c r="G20" s="53" t="n">
        <f aca="false">IF($A20="",0,SUMIFS(GL_Input!$U:$U,GL_Input!$N:$N,$A20,GL_Input!$Q:$Q,"N",GL_Input!$P:$P,"CY"))</f>
        <v>2000</v>
      </c>
      <c r="H20" s="53" t="n">
        <f aca="false">IF($A20="",0,SUMIFS(GL_Input!$U:$U,GL_Input!$N:$N,$A20,GL_Input!$Q:$Q,"N",GL_Input!$P:$P,"EU"))</f>
        <v>0</v>
      </c>
      <c r="I20" s="53" t="n">
        <f aca="false">IF($A20="",0,SUMIFS(GL_Input!$U:$U,GL_Input!$N:$N,$A20,GL_Input!$Q:$Q,"N",GL_Input!$P:$P,"3RD"))</f>
        <v>0</v>
      </c>
      <c r="J20" s="53" t="n">
        <f aca="false">IF($A20="",0,SUMIFS(GL_Input!$U:$U,GL_Input!$N:$N,$A20,GL_Input!$P:$P,""))</f>
        <v>0</v>
      </c>
      <c r="K20" s="54" t="n">
        <f aca="false">SUM(D20:J20)</f>
        <v>2000</v>
      </c>
      <c r="L20" s="15" t="str">
        <f aca="false">IF(ROUND(K20-VAT_Codes!T20,2)=0,"OK","CHECK")</f>
        <v>OK</v>
      </c>
    </row>
    <row r="21" customFormat="false" ht="15" hidden="false" customHeight="false" outlineLevel="0" collapsed="false">
      <c r="A21" s="30" t="str">
        <f aca="false">IF(VAT_Codes!A21="","",VAT_Codes!A21)</f>
        <v>P9</v>
      </c>
      <c r="B21" s="30" t="str">
        <f aca="false">IF(VAT_Codes!B21="","",VAT_Codes!B21)</f>
        <v>Domestic purchases 9% - fully recoverable</v>
      </c>
      <c r="C21" s="30" t="str">
        <f aca="false">IF(VAT_Codes!C21="","",VAT_Codes!C21)</f>
        <v>Input</v>
      </c>
      <c r="D21" s="53" t="n">
        <f aca="false">IF($A21="",0,SUMIFS(GL_Input!$U:$U,GL_Input!$N:$N,$A21,GL_Input!$Q:$Q,"Y",GL_Input!$P:$P,"CY"))</f>
        <v>0</v>
      </c>
      <c r="E21" s="53" t="n">
        <f aca="false">IF($A21="",0,SUMIFS(GL_Input!$U:$U,GL_Input!$N:$N,$A21,GL_Input!$Q:$Q,"Y",GL_Input!$P:$P,"EU"))</f>
        <v>0</v>
      </c>
      <c r="F21" s="53" t="n">
        <f aca="false">IF($A21="",0,SUMIFS(GL_Input!$U:$U,GL_Input!$N:$N,$A21,GL_Input!$Q:$Q,"Y",GL_Input!$P:$P,"3RD"))</f>
        <v>0</v>
      </c>
      <c r="G21" s="53" t="n">
        <f aca="false">IF($A21="",0,SUMIFS(GL_Input!$U:$U,GL_Input!$N:$N,$A21,GL_Input!$Q:$Q,"N",GL_Input!$P:$P,"CY"))</f>
        <v>0</v>
      </c>
      <c r="H21" s="53" t="n">
        <f aca="false">IF($A21="",0,SUMIFS(GL_Input!$U:$U,GL_Input!$N:$N,$A21,GL_Input!$Q:$Q,"N",GL_Input!$P:$P,"EU"))</f>
        <v>0</v>
      </c>
      <c r="I21" s="53" t="n">
        <f aca="false">IF($A21="",0,SUMIFS(GL_Input!$U:$U,GL_Input!$N:$N,$A21,GL_Input!$Q:$Q,"N",GL_Input!$P:$P,"3RD"))</f>
        <v>0</v>
      </c>
      <c r="J21" s="53" t="n">
        <f aca="false">IF($A21="",0,SUMIFS(GL_Input!$U:$U,GL_Input!$N:$N,$A21,GL_Input!$P:$P,""))</f>
        <v>0</v>
      </c>
      <c r="K21" s="54" t="n">
        <f aca="false">SUM(D21:J21)</f>
        <v>0</v>
      </c>
      <c r="L21" s="15" t="str">
        <f aca="false">IF(ROUND(K21-VAT_Codes!T21,2)=0,"OK","CHECK")</f>
        <v>OK</v>
      </c>
    </row>
    <row r="22" customFormat="false" ht="15" hidden="false" customHeight="false" outlineLevel="0" collapsed="false">
      <c r="A22" s="30" t="str">
        <f aca="false">IF(VAT_Codes!A22="","",VAT_Codes!A22)</f>
        <v>P5</v>
      </c>
      <c r="B22" s="30" t="str">
        <f aca="false">IF(VAT_Codes!B22="","",VAT_Codes!B22)</f>
        <v>Domestic purchases 5% - fully recoverable</v>
      </c>
      <c r="C22" s="30" t="str">
        <f aca="false">IF(VAT_Codes!C22="","",VAT_Codes!C22)</f>
        <v>Input</v>
      </c>
      <c r="D22" s="53" t="n">
        <f aca="false">IF($A22="",0,SUMIFS(GL_Input!$U:$U,GL_Input!$N:$N,$A22,GL_Input!$Q:$Q,"Y",GL_Input!$P:$P,"CY"))</f>
        <v>0</v>
      </c>
      <c r="E22" s="53" t="n">
        <f aca="false">IF($A22="",0,SUMIFS(GL_Input!$U:$U,GL_Input!$N:$N,$A22,GL_Input!$Q:$Q,"Y",GL_Input!$P:$P,"EU"))</f>
        <v>0</v>
      </c>
      <c r="F22" s="53" t="n">
        <f aca="false">IF($A22="",0,SUMIFS(GL_Input!$U:$U,GL_Input!$N:$N,$A22,GL_Input!$Q:$Q,"Y",GL_Input!$P:$P,"3RD"))</f>
        <v>0</v>
      </c>
      <c r="G22" s="53" t="n">
        <f aca="false">IF($A22="",0,SUMIFS(GL_Input!$U:$U,GL_Input!$N:$N,$A22,GL_Input!$Q:$Q,"N",GL_Input!$P:$P,"CY"))</f>
        <v>0</v>
      </c>
      <c r="H22" s="53" t="n">
        <f aca="false">IF($A22="",0,SUMIFS(GL_Input!$U:$U,GL_Input!$N:$N,$A22,GL_Input!$Q:$Q,"N",GL_Input!$P:$P,"EU"))</f>
        <v>0</v>
      </c>
      <c r="I22" s="53" t="n">
        <f aca="false">IF($A22="",0,SUMIFS(GL_Input!$U:$U,GL_Input!$N:$N,$A22,GL_Input!$Q:$Q,"N",GL_Input!$P:$P,"3RD"))</f>
        <v>0</v>
      </c>
      <c r="J22" s="53" t="n">
        <f aca="false">IF($A22="",0,SUMIFS(GL_Input!$U:$U,GL_Input!$N:$N,$A22,GL_Input!$P:$P,""))</f>
        <v>0</v>
      </c>
      <c r="K22" s="54" t="n">
        <f aca="false">SUM(D22:J22)</f>
        <v>0</v>
      </c>
      <c r="L22" s="15" t="str">
        <f aca="false">IF(ROUND(K22-VAT_Codes!T22,2)=0,"OK","CHECK")</f>
        <v>OK</v>
      </c>
    </row>
    <row r="23" customFormat="false" ht="15" hidden="false" customHeight="false" outlineLevel="0" collapsed="false">
      <c r="A23" s="30" t="str">
        <f aca="false">IF(VAT_Codes!A23="","",VAT_Codes!A23)</f>
        <v>P3</v>
      </c>
      <c r="B23" s="30" t="str">
        <f aca="false">IF(VAT_Codes!B23="","",VAT_Codes!B23)</f>
        <v>Domestic purchases 3% - fully recoverable</v>
      </c>
      <c r="C23" s="30" t="str">
        <f aca="false">IF(VAT_Codes!C23="","",VAT_Codes!C23)</f>
        <v>Input</v>
      </c>
      <c r="D23" s="53" t="n">
        <f aca="false">IF($A23="",0,SUMIFS(GL_Input!$U:$U,GL_Input!$N:$N,$A23,GL_Input!$Q:$Q,"Y",GL_Input!$P:$P,"CY"))</f>
        <v>0</v>
      </c>
      <c r="E23" s="53" t="n">
        <f aca="false">IF($A23="",0,SUMIFS(GL_Input!$U:$U,GL_Input!$N:$N,$A23,GL_Input!$Q:$Q,"Y",GL_Input!$P:$P,"EU"))</f>
        <v>0</v>
      </c>
      <c r="F23" s="53" t="n">
        <f aca="false">IF($A23="",0,SUMIFS(GL_Input!$U:$U,GL_Input!$N:$N,$A23,GL_Input!$Q:$Q,"Y",GL_Input!$P:$P,"3RD"))</f>
        <v>0</v>
      </c>
      <c r="G23" s="53" t="n">
        <f aca="false">IF($A23="",0,SUMIFS(GL_Input!$U:$U,GL_Input!$N:$N,$A23,GL_Input!$Q:$Q,"N",GL_Input!$P:$P,"CY"))</f>
        <v>0</v>
      </c>
      <c r="H23" s="53" t="n">
        <f aca="false">IF($A23="",0,SUMIFS(GL_Input!$U:$U,GL_Input!$N:$N,$A23,GL_Input!$Q:$Q,"N",GL_Input!$P:$P,"EU"))</f>
        <v>0</v>
      </c>
      <c r="I23" s="53" t="n">
        <f aca="false">IF($A23="",0,SUMIFS(GL_Input!$U:$U,GL_Input!$N:$N,$A23,GL_Input!$Q:$Q,"N",GL_Input!$P:$P,"3RD"))</f>
        <v>0</v>
      </c>
      <c r="J23" s="53" t="n">
        <f aca="false">IF($A23="",0,SUMIFS(GL_Input!$U:$U,GL_Input!$N:$N,$A23,GL_Input!$P:$P,""))</f>
        <v>0</v>
      </c>
      <c r="K23" s="54" t="n">
        <f aca="false">SUM(D23:J23)</f>
        <v>0</v>
      </c>
      <c r="L23" s="15" t="str">
        <f aca="false">IF(ROUND(K23-VAT_Codes!T23,2)=0,"OK","CHECK")</f>
        <v>OK</v>
      </c>
    </row>
    <row r="24" customFormat="false" ht="15" hidden="false" customHeight="false" outlineLevel="0" collapsed="false">
      <c r="A24" s="30" t="str">
        <f aca="false">IF(VAT_Codes!A24="","",VAT_Codes!A24)</f>
        <v>PM19</v>
      </c>
      <c r="B24" s="30" t="str">
        <f aca="false">IF(VAT_Codes!B24="","",VAT_Codes!B24)</f>
        <v>Domestic purchases 19% - mixed use (pro-rata applies)</v>
      </c>
      <c r="C24" s="30" t="str">
        <f aca="false">IF(VAT_Codes!C24="","",VAT_Codes!C24)</f>
        <v>Input</v>
      </c>
      <c r="D24" s="53" t="n">
        <f aca="false">IF($A24="",0,SUMIFS(GL_Input!$U:$U,GL_Input!$N:$N,$A24,GL_Input!$Q:$Q,"Y",GL_Input!$P:$P,"CY"))</f>
        <v>0</v>
      </c>
      <c r="E24" s="53" t="n">
        <f aca="false">IF($A24="",0,SUMIFS(GL_Input!$U:$U,GL_Input!$N:$N,$A24,GL_Input!$Q:$Q,"Y",GL_Input!$P:$P,"EU"))</f>
        <v>0</v>
      </c>
      <c r="F24" s="53" t="n">
        <f aca="false">IF($A24="",0,SUMIFS(GL_Input!$U:$U,GL_Input!$N:$N,$A24,GL_Input!$Q:$Q,"Y",GL_Input!$P:$P,"3RD"))</f>
        <v>0</v>
      </c>
      <c r="G24" s="53" t="n">
        <f aca="false">IF($A24="",0,SUMIFS(GL_Input!$U:$U,GL_Input!$N:$N,$A24,GL_Input!$Q:$Q,"N",GL_Input!$P:$P,"CY"))</f>
        <v>0</v>
      </c>
      <c r="H24" s="53" t="n">
        <f aca="false">IF($A24="",0,SUMIFS(GL_Input!$U:$U,GL_Input!$N:$N,$A24,GL_Input!$Q:$Q,"N",GL_Input!$P:$P,"EU"))</f>
        <v>0</v>
      </c>
      <c r="I24" s="53" t="n">
        <f aca="false">IF($A24="",0,SUMIFS(GL_Input!$U:$U,GL_Input!$N:$N,$A24,GL_Input!$Q:$Q,"N",GL_Input!$P:$P,"3RD"))</f>
        <v>0</v>
      </c>
      <c r="J24" s="53" t="n">
        <f aca="false">IF($A24="",0,SUMIFS(GL_Input!$U:$U,GL_Input!$N:$N,$A24,GL_Input!$P:$P,""))</f>
        <v>0</v>
      </c>
      <c r="K24" s="54" t="n">
        <f aca="false">SUM(D24:J24)</f>
        <v>0</v>
      </c>
      <c r="L24" s="15" t="str">
        <f aca="false">IF(ROUND(K24-VAT_Codes!T24,2)=0,"OK","CHECK")</f>
        <v>OK</v>
      </c>
    </row>
    <row r="25" customFormat="false" ht="15" hidden="false" customHeight="false" outlineLevel="0" collapsed="false">
      <c r="A25" s="30" t="str">
        <f aca="false">IF(VAT_Codes!A25="","",VAT_Codes!A25)</f>
        <v>PB19</v>
      </c>
      <c r="B25" s="30" t="str">
        <f aca="false">IF(VAT_Codes!B25="","",VAT_Codes!B25)</f>
        <v>Domestic purchases 19% - VAT not recoverable (blocked)</v>
      </c>
      <c r="C25" s="30" t="str">
        <f aca="false">IF(VAT_Codes!C25="","",VAT_Codes!C25)</f>
        <v>Input</v>
      </c>
      <c r="D25" s="53" t="n">
        <f aca="false">IF($A25="",0,SUMIFS(GL_Input!$U:$U,GL_Input!$N:$N,$A25,GL_Input!$Q:$Q,"Y",GL_Input!$P:$P,"CY"))</f>
        <v>0</v>
      </c>
      <c r="E25" s="53" t="n">
        <f aca="false">IF($A25="",0,SUMIFS(GL_Input!$U:$U,GL_Input!$N:$N,$A25,GL_Input!$Q:$Q,"Y",GL_Input!$P:$P,"EU"))</f>
        <v>0</v>
      </c>
      <c r="F25" s="53" t="n">
        <f aca="false">IF($A25="",0,SUMIFS(GL_Input!$U:$U,GL_Input!$N:$N,$A25,GL_Input!$Q:$Q,"Y",GL_Input!$P:$P,"3RD"))</f>
        <v>0</v>
      </c>
      <c r="G25" s="53" t="n">
        <f aca="false">IF($A25="",0,SUMIFS(GL_Input!$U:$U,GL_Input!$N:$N,$A25,GL_Input!$Q:$Q,"N",GL_Input!$P:$P,"CY"))</f>
        <v>300</v>
      </c>
      <c r="H25" s="53" t="n">
        <f aca="false">IF($A25="",0,SUMIFS(GL_Input!$U:$U,GL_Input!$N:$N,$A25,GL_Input!$Q:$Q,"N",GL_Input!$P:$P,"EU"))</f>
        <v>0</v>
      </c>
      <c r="I25" s="53" t="n">
        <f aca="false">IF($A25="",0,SUMIFS(GL_Input!$U:$U,GL_Input!$N:$N,$A25,GL_Input!$Q:$Q,"N",GL_Input!$P:$P,"3RD"))</f>
        <v>0</v>
      </c>
      <c r="J25" s="53" t="n">
        <f aca="false">IF($A25="",0,SUMIFS(GL_Input!$U:$U,GL_Input!$N:$N,$A25,GL_Input!$P:$P,""))</f>
        <v>0</v>
      </c>
      <c r="K25" s="54" t="n">
        <f aca="false">SUM(D25:J25)</f>
        <v>300</v>
      </c>
      <c r="L25" s="15" t="str">
        <f aca="false">IF(ROUND(K25-VAT_Codes!T25,2)=0,"OK","CHECK")</f>
        <v>OK</v>
      </c>
    </row>
    <row r="26" customFormat="false" ht="15" hidden="false" customHeight="false" outlineLevel="0" collapsed="false">
      <c r="A26" s="30" t="str">
        <f aca="false">IF(VAT_Codes!A26="","",VAT_Codes!A26)</f>
        <v>PZ</v>
      </c>
      <c r="B26" s="30" t="str">
        <f aca="false">IF(VAT_Codes!B26="","",VAT_Codes!B26)</f>
        <v>Purchases with no VAT (zero-rated, exempt, non-registered supplier)</v>
      </c>
      <c r="C26" s="30" t="str">
        <f aca="false">IF(VAT_Codes!C26="","",VAT_Codes!C26)</f>
        <v>Input</v>
      </c>
      <c r="D26" s="53" t="n">
        <f aca="false">IF($A26="",0,SUMIFS(GL_Input!$U:$U,GL_Input!$N:$N,$A26,GL_Input!$Q:$Q,"Y",GL_Input!$P:$P,"CY"))</f>
        <v>0</v>
      </c>
      <c r="E26" s="53" t="n">
        <f aca="false">IF($A26="",0,SUMIFS(GL_Input!$U:$U,GL_Input!$N:$N,$A26,GL_Input!$Q:$Q,"Y",GL_Input!$P:$P,"EU"))</f>
        <v>0</v>
      </c>
      <c r="F26" s="53" t="n">
        <f aca="false">IF($A26="",0,SUMIFS(GL_Input!$U:$U,GL_Input!$N:$N,$A26,GL_Input!$Q:$Q,"Y",GL_Input!$P:$P,"3RD"))</f>
        <v>0</v>
      </c>
      <c r="G26" s="53" t="n">
        <f aca="false">IF($A26="",0,SUMIFS(GL_Input!$U:$U,GL_Input!$N:$N,$A26,GL_Input!$Q:$Q,"N",GL_Input!$P:$P,"CY"))</f>
        <v>0</v>
      </c>
      <c r="H26" s="53" t="n">
        <f aca="false">IF($A26="",0,SUMIFS(GL_Input!$U:$U,GL_Input!$N:$N,$A26,GL_Input!$Q:$Q,"N",GL_Input!$P:$P,"EU"))</f>
        <v>0</v>
      </c>
      <c r="I26" s="53" t="n">
        <f aca="false">IF($A26="",0,SUMIFS(GL_Input!$U:$U,GL_Input!$N:$N,$A26,GL_Input!$Q:$Q,"N",GL_Input!$P:$P,"3RD"))</f>
        <v>0</v>
      </c>
      <c r="J26" s="53" t="n">
        <f aca="false">IF($A26="",0,SUMIFS(GL_Input!$U:$U,GL_Input!$N:$N,$A26,GL_Input!$P:$P,""))</f>
        <v>0</v>
      </c>
      <c r="K26" s="54" t="n">
        <f aca="false">SUM(D26:J26)</f>
        <v>0</v>
      </c>
      <c r="L26" s="15" t="str">
        <f aca="false">IF(ROUND(K26-VAT_Codes!T26,2)=0,"OK","CHECK")</f>
        <v>OK</v>
      </c>
    </row>
    <row r="27" customFormat="false" ht="15" hidden="false" customHeight="false" outlineLevel="0" collapsed="false">
      <c r="A27" s="30" t="str">
        <f aca="false">IF(VAT_Codes!A27="","",VAT_Codes!A27)</f>
        <v>AEG19</v>
      </c>
      <c r="B27" s="30" t="str">
        <f aca="false">IF(VAT_Codes!B27="","",VAT_Codes!B27)</f>
        <v>Acquisitions of goods from EU suppliers - 19%</v>
      </c>
      <c r="C27" s="30" t="str">
        <f aca="false">IF(VAT_Codes!C27="","",VAT_Codes!C27)</f>
        <v>Input</v>
      </c>
      <c r="D27" s="53" t="n">
        <f aca="false">IF($A27="",0,SUMIFS(GL_Input!$U:$U,GL_Input!$N:$N,$A27,GL_Input!$Q:$Q,"Y",GL_Input!$P:$P,"CY"))</f>
        <v>0</v>
      </c>
      <c r="E27" s="53" t="n">
        <f aca="false">IF($A27="",0,SUMIFS(GL_Input!$U:$U,GL_Input!$N:$N,$A27,GL_Input!$Q:$Q,"Y",GL_Input!$P:$P,"EU"))</f>
        <v>0</v>
      </c>
      <c r="F27" s="53" t="n">
        <f aca="false">IF($A27="",0,SUMIFS(GL_Input!$U:$U,GL_Input!$N:$N,$A27,GL_Input!$Q:$Q,"Y",GL_Input!$P:$P,"3RD"))</f>
        <v>0</v>
      </c>
      <c r="G27" s="53" t="n">
        <f aca="false">IF($A27="",0,SUMIFS(GL_Input!$U:$U,GL_Input!$N:$N,$A27,GL_Input!$Q:$Q,"N",GL_Input!$P:$P,"CY"))</f>
        <v>0</v>
      </c>
      <c r="H27" s="53" t="n">
        <f aca="false">IF($A27="",0,SUMIFS(GL_Input!$U:$U,GL_Input!$N:$N,$A27,GL_Input!$Q:$Q,"N",GL_Input!$P:$P,"EU"))</f>
        <v>5000</v>
      </c>
      <c r="I27" s="53" t="n">
        <f aca="false">IF($A27="",0,SUMIFS(GL_Input!$U:$U,GL_Input!$N:$N,$A27,GL_Input!$Q:$Q,"N",GL_Input!$P:$P,"3RD"))</f>
        <v>0</v>
      </c>
      <c r="J27" s="53" t="n">
        <f aca="false">IF($A27="",0,SUMIFS(GL_Input!$U:$U,GL_Input!$N:$N,$A27,GL_Input!$P:$P,""))</f>
        <v>0</v>
      </c>
      <c r="K27" s="54" t="n">
        <f aca="false">SUM(D27:J27)</f>
        <v>5000</v>
      </c>
      <c r="L27" s="15" t="str">
        <f aca="false">IF(ROUND(K27-VAT_Codes!T27,2)=0,"OK","CHECK")</f>
        <v>OK</v>
      </c>
    </row>
    <row r="28" customFormat="false" ht="15" hidden="false" customHeight="false" outlineLevel="0" collapsed="false">
      <c r="A28" s="30" t="str">
        <f aca="false">IF(VAT_Codes!A28="","",VAT_Codes!A28)</f>
        <v>AEG9</v>
      </c>
      <c r="B28" s="30" t="str">
        <f aca="false">IF(VAT_Codes!B28="","",VAT_Codes!B28)</f>
        <v>Acquisitions of goods from EU suppliers - 9%</v>
      </c>
      <c r="C28" s="30" t="str">
        <f aca="false">IF(VAT_Codes!C28="","",VAT_Codes!C28)</f>
        <v>Input</v>
      </c>
      <c r="D28" s="53" t="n">
        <f aca="false">IF($A28="",0,SUMIFS(GL_Input!$U:$U,GL_Input!$N:$N,$A28,GL_Input!$Q:$Q,"Y",GL_Input!$P:$P,"CY"))</f>
        <v>0</v>
      </c>
      <c r="E28" s="53" t="n">
        <f aca="false">IF($A28="",0,SUMIFS(GL_Input!$U:$U,GL_Input!$N:$N,$A28,GL_Input!$Q:$Q,"Y",GL_Input!$P:$P,"EU"))</f>
        <v>0</v>
      </c>
      <c r="F28" s="53" t="n">
        <f aca="false">IF($A28="",0,SUMIFS(GL_Input!$U:$U,GL_Input!$N:$N,$A28,GL_Input!$Q:$Q,"Y",GL_Input!$P:$P,"3RD"))</f>
        <v>0</v>
      </c>
      <c r="G28" s="53" t="n">
        <f aca="false">IF($A28="",0,SUMIFS(GL_Input!$U:$U,GL_Input!$N:$N,$A28,GL_Input!$Q:$Q,"N",GL_Input!$P:$P,"CY"))</f>
        <v>0</v>
      </c>
      <c r="H28" s="53" t="n">
        <f aca="false">IF($A28="",0,SUMIFS(GL_Input!$U:$U,GL_Input!$N:$N,$A28,GL_Input!$Q:$Q,"N",GL_Input!$P:$P,"EU"))</f>
        <v>0</v>
      </c>
      <c r="I28" s="53" t="n">
        <f aca="false">IF($A28="",0,SUMIFS(GL_Input!$U:$U,GL_Input!$N:$N,$A28,GL_Input!$Q:$Q,"N",GL_Input!$P:$P,"3RD"))</f>
        <v>0</v>
      </c>
      <c r="J28" s="53" t="n">
        <f aca="false">IF($A28="",0,SUMIFS(GL_Input!$U:$U,GL_Input!$N:$N,$A28,GL_Input!$P:$P,""))</f>
        <v>0</v>
      </c>
      <c r="K28" s="54" t="n">
        <f aca="false">SUM(D28:J28)</f>
        <v>0</v>
      </c>
      <c r="L28" s="15" t="str">
        <f aca="false">IF(ROUND(K28-VAT_Codes!T28,2)=0,"OK","CHECK")</f>
        <v>OK</v>
      </c>
    </row>
    <row r="29" customFormat="false" ht="15" hidden="false" customHeight="false" outlineLevel="0" collapsed="false">
      <c r="A29" s="30" t="str">
        <f aca="false">IF(VAT_Codes!A29="","",VAT_Codes!A29)</f>
        <v>AEG5</v>
      </c>
      <c r="B29" s="30" t="str">
        <f aca="false">IF(VAT_Codes!B29="","",VAT_Codes!B29)</f>
        <v>Acquisitions of goods from EU suppliers - 5%</v>
      </c>
      <c r="C29" s="30" t="str">
        <f aca="false">IF(VAT_Codes!C29="","",VAT_Codes!C29)</f>
        <v>Input</v>
      </c>
      <c r="D29" s="53" t="n">
        <f aca="false">IF($A29="",0,SUMIFS(GL_Input!$U:$U,GL_Input!$N:$N,$A29,GL_Input!$Q:$Q,"Y",GL_Input!$P:$P,"CY"))</f>
        <v>0</v>
      </c>
      <c r="E29" s="53" t="n">
        <f aca="false">IF($A29="",0,SUMIFS(GL_Input!$U:$U,GL_Input!$N:$N,$A29,GL_Input!$Q:$Q,"Y",GL_Input!$P:$P,"EU"))</f>
        <v>0</v>
      </c>
      <c r="F29" s="53" t="n">
        <f aca="false">IF($A29="",0,SUMIFS(GL_Input!$U:$U,GL_Input!$N:$N,$A29,GL_Input!$Q:$Q,"Y",GL_Input!$P:$P,"3RD"))</f>
        <v>0</v>
      </c>
      <c r="G29" s="53" t="n">
        <f aca="false">IF($A29="",0,SUMIFS(GL_Input!$U:$U,GL_Input!$N:$N,$A29,GL_Input!$Q:$Q,"N",GL_Input!$P:$P,"CY"))</f>
        <v>0</v>
      </c>
      <c r="H29" s="53" t="n">
        <f aca="false">IF($A29="",0,SUMIFS(GL_Input!$U:$U,GL_Input!$N:$N,$A29,GL_Input!$Q:$Q,"N",GL_Input!$P:$P,"EU"))</f>
        <v>0</v>
      </c>
      <c r="I29" s="53" t="n">
        <f aca="false">IF($A29="",0,SUMIFS(GL_Input!$U:$U,GL_Input!$N:$N,$A29,GL_Input!$Q:$Q,"N",GL_Input!$P:$P,"3RD"))</f>
        <v>0</v>
      </c>
      <c r="J29" s="53" t="n">
        <f aca="false">IF($A29="",0,SUMIFS(GL_Input!$U:$U,GL_Input!$N:$N,$A29,GL_Input!$P:$P,""))</f>
        <v>0</v>
      </c>
      <c r="K29" s="54" t="n">
        <f aca="false">SUM(D29:J29)</f>
        <v>0</v>
      </c>
      <c r="L29" s="15" t="str">
        <f aca="false">IF(ROUND(K29-VAT_Codes!T29,2)=0,"OK","CHECK")</f>
        <v>OK</v>
      </c>
    </row>
    <row r="30" customFormat="false" ht="15" hidden="false" customHeight="false" outlineLevel="0" collapsed="false">
      <c r="A30" s="30" t="str">
        <f aca="false">IF(VAT_Codes!A30="","",VAT_Codes!A30)</f>
        <v>AEG0</v>
      </c>
      <c r="B30" s="30" t="str">
        <f aca="false">IF(VAT_Codes!B30="","",VAT_Codes!B30)</f>
        <v>Acquisitions of goods from EU suppliers - zero-rated goods</v>
      </c>
      <c r="C30" s="30" t="str">
        <f aca="false">IF(VAT_Codes!C30="","",VAT_Codes!C30)</f>
        <v>Input</v>
      </c>
      <c r="D30" s="53" t="n">
        <f aca="false">IF($A30="",0,SUMIFS(GL_Input!$U:$U,GL_Input!$N:$N,$A30,GL_Input!$Q:$Q,"Y",GL_Input!$P:$P,"CY"))</f>
        <v>0</v>
      </c>
      <c r="E30" s="53" t="n">
        <f aca="false">IF($A30="",0,SUMIFS(GL_Input!$U:$U,GL_Input!$N:$N,$A30,GL_Input!$Q:$Q,"Y",GL_Input!$P:$P,"EU"))</f>
        <v>0</v>
      </c>
      <c r="F30" s="53" t="n">
        <f aca="false">IF($A30="",0,SUMIFS(GL_Input!$U:$U,GL_Input!$N:$N,$A30,GL_Input!$Q:$Q,"Y",GL_Input!$P:$P,"3RD"))</f>
        <v>0</v>
      </c>
      <c r="G30" s="53" t="n">
        <f aca="false">IF($A30="",0,SUMIFS(GL_Input!$U:$U,GL_Input!$N:$N,$A30,GL_Input!$Q:$Q,"N",GL_Input!$P:$P,"CY"))</f>
        <v>0</v>
      </c>
      <c r="H30" s="53" t="n">
        <f aca="false">IF($A30="",0,SUMIFS(GL_Input!$U:$U,GL_Input!$N:$N,$A30,GL_Input!$Q:$Q,"N",GL_Input!$P:$P,"EU"))</f>
        <v>0</v>
      </c>
      <c r="I30" s="53" t="n">
        <f aca="false">IF($A30="",0,SUMIFS(GL_Input!$U:$U,GL_Input!$N:$N,$A30,GL_Input!$Q:$Q,"N",GL_Input!$P:$P,"3RD"))</f>
        <v>0</v>
      </c>
      <c r="J30" s="53" t="n">
        <f aca="false">IF($A30="",0,SUMIFS(GL_Input!$U:$U,GL_Input!$N:$N,$A30,GL_Input!$P:$P,""))</f>
        <v>0</v>
      </c>
      <c r="K30" s="54" t="n">
        <f aca="false">SUM(D30:J30)</f>
        <v>0</v>
      </c>
      <c r="L30" s="15" t="str">
        <f aca="false">IF(ROUND(K30-VAT_Codes!T30,2)=0,"OK","CHECK")</f>
        <v>OK</v>
      </c>
    </row>
    <row r="31" customFormat="false" ht="15" hidden="false" customHeight="false" outlineLevel="0" collapsed="false">
      <c r="A31" s="30" t="str">
        <f aca="false">IF(VAT_Codes!A31="","",VAT_Codes!A31)</f>
        <v>AES19</v>
      </c>
      <c r="B31" s="30" t="str">
        <f aca="false">IF(VAT_Codes!B31="","",VAT_Codes!B31)</f>
        <v>Services received from EU suppliers - reverse charge 19%</v>
      </c>
      <c r="C31" s="30" t="str">
        <f aca="false">IF(VAT_Codes!C31="","",VAT_Codes!C31)</f>
        <v>Input</v>
      </c>
      <c r="D31" s="53" t="n">
        <f aca="false">IF($A31="",0,SUMIFS(GL_Input!$U:$U,GL_Input!$N:$N,$A31,GL_Input!$Q:$Q,"Y",GL_Input!$P:$P,"CY"))</f>
        <v>0</v>
      </c>
      <c r="E31" s="53" t="n">
        <f aca="false">IF($A31="",0,SUMIFS(GL_Input!$U:$U,GL_Input!$N:$N,$A31,GL_Input!$Q:$Q,"Y",GL_Input!$P:$P,"EU"))</f>
        <v>15000</v>
      </c>
      <c r="F31" s="53" t="n">
        <f aca="false">IF($A31="",0,SUMIFS(GL_Input!$U:$U,GL_Input!$N:$N,$A31,GL_Input!$Q:$Q,"Y",GL_Input!$P:$P,"3RD"))</f>
        <v>0</v>
      </c>
      <c r="G31" s="53" t="n">
        <f aca="false">IF($A31="",0,SUMIFS(GL_Input!$U:$U,GL_Input!$N:$N,$A31,GL_Input!$Q:$Q,"N",GL_Input!$P:$P,"CY"))</f>
        <v>0</v>
      </c>
      <c r="H31" s="53" t="n">
        <f aca="false">IF($A31="",0,SUMIFS(GL_Input!$U:$U,GL_Input!$N:$N,$A31,GL_Input!$Q:$Q,"N",GL_Input!$P:$P,"EU"))</f>
        <v>0</v>
      </c>
      <c r="I31" s="53" t="n">
        <f aca="false">IF($A31="",0,SUMIFS(GL_Input!$U:$U,GL_Input!$N:$N,$A31,GL_Input!$Q:$Q,"N",GL_Input!$P:$P,"3RD"))</f>
        <v>0</v>
      </c>
      <c r="J31" s="53" t="n">
        <f aca="false">IF($A31="",0,SUMIFS(GL_Input!$U:$U,GL_Input!$N:$N,$A31,GL_Input!$P:$P,""))</f>
        <v>0</v>
      </c>
      <c r="K31" s="54" t="n">
        <f aca="false">SUM(D31:J31)</f>
        <v>15000</v>
      </c>
      <c r="L31" s="15" t="str">
        <f aca="false">IF(ROUND(K31-VAT_Codes!T31,2)=0,"OK","CHECK")</f>
        <v>OK</v>
      </c>
    </row>
    <row r="32" customFormat="false" ht="15" hidden="false" customHeight="false" outlineLevel="0" collapsed="false">
      <c r="A32" s="30" t="str">
        <f aca="false">IF(VAT_Codes!A32="","",VAT_Codes!A32)</f>
        <v>AESM</v>
      </c>
      <c r="B32" s="30" t="str">
        <f aca="false">IF(VAT_Codes!B32="","",VAT_Codes!B32)</f>
        <v>Services received from EU suppliers - reverse charge, mixed use</v>
      </c>
      <c r="C32" s="30" t="str">
        <f aca="false">IF(VAT_Codes!C32="","",VAT_Codes!C32)</f>
        <v>Input</v>
      </c>
      <c r="D32" s="53" t="n">
        <f aca="false">IF($A32="",0,SUMIFS(GL_Input!$U:$U,GL_Input!$N:$N,$A32,GL_Input!$Q:$Q,"Y",GL_Input!$P:$P,"CY"))</f>
        <v>0</v>
      </c>
      <c r="E32" s="53" t="n">
        <f aca="false">IF($A32="",0,SUMIFS(GL_Input!$U:$U,GL_Input!$N:$N,$A32,GL_Input!$Q:$Q,"Y",GL_Input!$P:$P,"EU"))</f>
        <v>0</v>
      </c>
      <c r="F32" s="53" t="n">
        <f aca="false">IF($A32="",0,SUMIFS(GL_Input!$U:$U,GL_Input!$N:$N,$A32,GL_Input!$Q:$Q,"Y",GL_Input!$P:$P,"3RD"))</f>
        <v>0</v>
      </c>
      <c r="G32" s="53" t="n">
        <f aca="false">IF($A32="",0,SUMIFS(GL_Input!$U:$U,GL_Input!$N:$N,$A32,GL_Input!$Q:$Q,"N",GL_Input!$P:$P,"CY"))</f>
        <v>0</v>
      </c>
      <c r="H32" s="53" t="n">
        <f aca="false">IF($A32="",0,SUMIFS(GL_Input!$U:$U,GL_Input!$N:$N,$A32,GL_Input!$Q:$Q,"N",GL_Input!$P:$P,"EU"))</f>
        <v>0</v>
      </c>
      <c r="I32" s="53" t="n">
        <f aca="false">IF($A32="",0,SUMIFS(GL_Input!$U:$U,GL_Input!$N:$N,$A32,GL_Input!$Q:$Q,"N",GL_Input!$P:$P,"3RD"))</f>
        <v>0</v>
      </c>
      <c r="J32" s="53" t="n">
        <f aca="false">IF($A32="",0,SUMIFS(GL_Input!$U:$U,GL_Input!$N:$N,$A32,GL_Input!$P:$P,""))</f>
        <v>0</v>
      </c>
      <c r="K32" s="54" t="n">
        <f aca="false">SUM(D32:J32)</f>
        <v>0</v>
      </c>
      <c r="L32" s="15" t="str">
        <f aca="false">IF(ROUND(K32-VAT_Codes!T32,2)=0,"OK","CHECK")</f>
        <v>OK</v>
      </c>
    </row>
    <row r="33" customFormat="false" ht="15" hidden="false" customHeight="false" outlineLevel="0" collapsed="false">
      <c r="A33" s="30" t="str">
        <f aca="false">IF(VAT_Codes!A33="","",VAT_Codes!A33)</f>
        <v>A3S19</v>
      </c>
      <c r="B33" s="30" t="str">
        <f aca="false">IF(VAT_Codes!B33="","",VAT_Codes!B33)</f>
        <v>Services received from non-EU suppliers - reverse charge 19%</v>
      </c>
      <c r="C33" s="30" t="str">
        <f aca="false">IF(VAT_Codes!C33="","",VAT_Codes!C33)</f>
        <v>Input</v>
      </c>
      <c r="D33" s="53" t="n">
        <f aca="false">IF($A33="",0,SUMIFS(GL_Input!$U:$U,GL_Input!$N:$N,$A33,GL_Input!$Q:$Q,"Y",GL_Input!$P:$P,"CY"))</f>
        <v>0</v>
      </c>
      <c r="E33" s="53" t="n">
        <f aca="false">IF($A33="",0,SUMIFS(GL_Input!$U:$U,GL_Input!$N:$N,$A33,GL_Input!$Q:$Q,"Y",GL_Input!$P:$P,"EU"))</f>
        <v>0</v>
      </c>
      <c r="F33" s="53" t="n">
        <f aca="false">IF($A33="",0,SUMIFS(GL_Input!$U:$U,GL_Input!$N:$N,$A33,GL_Input!$Q:$Q,"Y",GL_Input!$P:$P,"3RD"))</f>
        <v>0</v>
      </c>
      <c r="G33" s="53" t="n">
        <f aca="false">IF($A33="",0,SUMIFS(GL_Input!$U:$U,GL_Input!$N:$N,$A33,GL_Input!$Q:$Q,"N",GL_Input!$P:$P,"CY"))</f>
        <v>0</v>
      </c>
      <c r="H33" s="53" t="n">
        <f aca="false">IF($A33="",0,SUMIFS(GL_Input!$U:$U,GL_Input!$N:$N,$A33,GL_Input!$Q:$Q,"N",GL_Input!$P:$P,"EU"))</f>
        <v>0</v>
      </c>
      <c r="I33" s="53" t="n">
        <f aca="false">IF($A33="",0,SUMIFS(GL_Input!$U:$U,GL_Input!$N:$N,$A33,GL_Input!$Q:$Q,"N",GL_Input!$P:$P,"3RD"))</f>
        <v>1030.13</v>
      </c>
      <c r="J33" s="53" t="n">
        <f aca="false">IF($A33="",0,SUMIFS(GL_Input!$U:$U,GL_Input!$N:$N,$A33,GL_Input!$P:$P,""))</f>
        <v>0</v>
      </c>
      <c r="K33" s="54" t="n">
        <f aca="false">SUM(D33:J33)</f>
        <v>1030.13</v>
      </c>
      <c r="L33" s="15" t="str">
        <f aca="false">IF(ROUND(K33-VAT_Codes!T33,2)=0,"OK","CHECK")</f>
        <v>OK</v>
      </c>
    </row>
    <row r="34" customFormat="false" ht="15" hidden="false" customHeight="false" outlineLevel="0" collapsed="false">
      <c r="A34" s="30" t="str">
        <f aca="false">IF(VAT_Codes!A34="","",VAT_Codes!A34)</f>
        <v>A3SM</v>
      </c>
      <c r="B34" s="30" t="str">
        <f aca="false">IF(VAT_Codes!B34="","",VAT_Codes!B34)</f>
        <v>Services received from non-EU suppliers - reverse charge, mixed use</v>
      </c>
      <c r="C34" s="30" t="str">
        <f aca="false">IF(VAT_Codes!C34="","",VAT_Codes!C34)</f>
        <v>Input</v>
      </c>
      <c r="D34" s="53" t="n">
        <f aca="false">IF($A34="",0,SUMIFS(GL_Input!$U:$U,GL_Input!$N:$N,$A34,GL_Input!$Q:$Q,"Y",GL_Input!$P:$P,"CY"))</f>
        <v>0</v>
      </c>
      <c r="E34" s="53" t="n">
        <f aca="false">IF($A34="",0,SUMIFS(GL_Input!$U:$U,GL_Input!$N:$N,$A34,GL_Input!$Q:$Q,"Y",GL_Input!$P:$P,"EU"))</f>
        <v>0</v>
      </c>
      <c r="F34" s="53" t="n">
        <f aca="false">IF($A34="",0,SUMIFS(GL_Input!$U:$U,GL_Input!$N:$N,$A34,GL_Input!$Q:$Q,"Y",GL_Input!$P:$P,"3RD"))</f>
        <v>0</v>
      </c>
      <c r="G34" s="53" t="n">
        <f aca="false">IF($A34="",0,SUMIFS(GL_Input!$U:$U,GL_Input!$N:$N,$A34,GL_Input!$Q:$Q,"N",GL_Input!$P:$P,"CY"))</f>
        <v>0</v>
      </c>
      <c r="H34" s="53" t="n">
        <f aca="false">IF($A34="",0,SUMIFS(GL_Input!$U:$U,GL_Input!$N:$N,$A34,GL_Input!$Q:$Q,"N",GL_Input!$P:$P,"EU"))</f>
        <v>0</v>
      </c>
      <c r="I34" s="53" t="n">
        <f aca="false">IF($A34="",0,SUMIFS(GL_Input!$U:$U,GL_Input!$N:$N,$A34,GL_Input!$Q:$Q,"N",GL_Input!$P:$P,"3RD"))</f>
        <v>0</v>
      </c>
      <c r="J34" s="53" t="n">
        <f aca="false">IF($A34="",0,SUMIFS(GL_Input!$U:$U,GL_Input!$N:$N,$A34,GL_Input!$P:$P,""))</f>
        <v>0</v>
      </c>
      <c r="K34" s="54" t="n">
        <f aca="false">SUM(D34:J34)</f>
        <v>0</v>
      </c>
      <c r="L34" s="15" t="str">
        <f aca="false">IF(ROUND(K34-VAT_Codes!T34,2)=0,"OK","CHECK")</f>
        <v>OK</v>
      </c>
    </row>
    <row r="35" customFormat="false" ht="15" hidden="false" customHeight="false" outlineLevel="0" collapsed="false">
      <c r="A35" s="30" t="str">
        <f aca="false">IF(VAT_Codes!A35="","",VAT_Codes!A35)</f>
        <v>DRCP</v>
      </c>
      <c r="B35" s="30" t="str">
        <f aca="false">IF(VAT_Codes!B35="","",VAT_Codes!B35)</f>
        <v>Domestic reverse-charge purchases 19% (we account for the VAT)</v>
      </c>
      <c r="C35" s="30" t="str">
        <f aca="false">IF(VAT_Codes!C35="","",VAT_Codes!C35)</f>
        <v>Input</v>
      </c>
      <c r="D35" s="53" t="n">
        <f aca="false">IF($A35="",0,SUMIFS(GL_Input!$U:$U,GL_Input!$N:$N,$A35,GL_Input!$Q:$Q,"Y",GL_Input!$P:$P,"CY"))</f>
        <v>0</v>
      </c>
      <c r="E35" s="53" t="n">
        <f aca="false">IF($A35="",0,SUMIFS(GL_Input!$U:$U,GL_Input!$N:$N,$A35,GL_Input!$Q:$Q,"Y",GL_Input!$P:$P,"EU"))</f>
        <v>0</v>
      </c>
      <c r="F35" s="53" t="n">
        <f aca="false">IF($A35="",0,SUMIFS(GL_Input!$U:$U,GL_Input!$N:$N,$A35,GL_Input!$Q:$Q,"Y",GL_Input!$P:$P,"3RD"))</f>
        <v>0</v>
      </c>
      <c r="G35" s="53" t="n">
        <f aca="false">IF($A35="",0,SUMIFS(GL_Input!$U:$U,GL_Input!$N:$N,$A35,GL_Input!$Q:$Q,"N",GL_Input!$P:$P,"CY"))</f>
        <v>0</v>
      </c>
      <c r="H35" s="53" t="n">
        <f aca="false">IF($A35="",0,SUMIFS(GL_Input!$U:$U,GL_Input!$N:$N,$A35,GL_Input!$Q:$Q,"N",GL_Input!$P:$P,"EU"))</f>
        <v>0</v>
      </c>
      <c r="I35" s="53" t="n">
        <f aca="false">IF($A35="",0,SUMIFS(GL_Input!$U:$U,GL_Input!$N:$N,$A35,GL_Input!$Q:$Q,"N",GL_Input!$P:$P,"3RD"))</f>
        <v>0</v>
      </c>
      <c r="J35" s="53" t="n">
        <f aca="false">IF($A35="",0,SUMIFS(GL_Input!$U:$U,GL_Input!$N:$N,$A35,GL_Input!$P:$P,""))</f>
        <v>0</v>
      </c>
      <c r="K35" s="54" t="n">
        <f aca="false">SUM(D35:J35)</f>
        <v>0</v>
      </c>
      <c r="L35" s="15" t="str">
        <f aca="false">IF(ROUND(K35-VAT_Codes!T35,2)=0,"OK","CHECK")</f>
        <v>OK</v>
      </c>
    </row>
    <row r="36" customFormat="false" ht="15" hidden="false" customHeight="false" outlineLevel="0" collapsed="false">
      <c r="A36" s="30" t="str">
        <f aca="false">IF(VAT_Codes!A36="","",VAT_Codes!A36)</f>
        <v>IMP</v>
      </c>
      <c r="B36" s="30" t="str">
        <f aca="false">IF(VAT_Codes!B36="","",VAT_Codes!B36)</f>
        <v>Imports of goods from third countries (value)</v>
      </c>
      <c r="C36" s="30" t="str">
        <f aca="false">IF(VAT_Codes!C36="","",VAT_Codes!C36)</f>
        <v>Input</v>
      </c>
      <c r="D36" s="53" t="n">
        <f aca="false">IF($A36="",0,SUMIFS(GL_Input!$U:$U,GL_Input!$N:$N,$A36,GL_Input!$Q:$Q,"Y",GL_Input!$P:$P,"CY"))</f>
        <v>0</v>
      </c>
      <c r="E36" s="53" t="n">
        <f aca="false">IF($A36="",0,SUMIFS(GL_Input!$U:$U,GL_Input!$N:$N,$A36,GL_Input!$Q:$Q,"Y",GL_Input!$P:$P,"EU"))</f>
        <v>0</v>
      </c>
      <c r="F36" s="53" t="n">
        <f aca="false">IF($A36="",0,SUMIFS(GL_Input!$U:$U,GL_Input!$N:$N,$A36,GL_Input!$Q:$Q,"Y",GL_Input!$P:$P,"3RD"))</f>
        <v>0</v>
      </c>
      <c r="G36" s="53" t="n">
        <f aca="false">IF($A36="",0,SUMIFS(GL_Input!$U:$U,GL_Input!$N:$N,$A36,GL_Input!$Q:$Q,"N",GL_Input!$P:$P,"CY"))</f>
        <v>0</v>
      </c>
      <c r="H36" s="53" t="n">
        <f aca="false">IF($A36="",0,SUMIFS(GL_Input!$U:$U,GL_Input!$N:$N,$A36,GL_Input!$Q:$Q,"N",GL_Input!$P:$P,"EU"))</f>
        <v>0</v>
      </c>
      <c r="I36" s="53" t="n">
        <f aca="false">IF($A36="",0,SUMIFS(GL_Input!$U:$U,GL_Input!$N:$N,$A36,GL_Input!$Q:$Q,"N",GL_Input!$P:$P,"3RD"))</f>
        <v>3433.77</v>
      </c>
      <c r="J36" s="53" t="n">
        <f aca="false">IF($A36="",0,SUMIFS(GL_Input!$U:$U,GL_Input!$N:$N,$A36,GL_Input!$P:$P,""))</f>
        <v>0</v>
      </c>
      <c r="K36" s="54" t="n">
        <f aca="false">SUM(D36:J36)</f>
        <v>3433.77</v>
      </c>
      <c r="L36" s="15" t="str">
        <f aca="false">IF(ROUND(K36-VAT_Codes!T36,2)=0,"OK","CHECK")</f>
        <v>OK</v>
      </c>
    </row>
    <row r="37" customFormat="false" ht="15" hidden="false" customHeight="false" outlineLevel="0" collapsed="false">
      <c r="A37" s="30" t="str">
        <f aca="false">IF(VAT_Codes!A37="","",VAT_Codes!A37)</f>
        <v>IVAT</v>
      </c>
      <c r="B37" s="30" t="str">
        <f aca="false">IF(VAT_Codes!B37="","",VAT_Codes!B37)</f>
        <v>Import VAT paid to / deferred with Customs (line is the VAT)</v>
      </c>
      <c r="C37" s="30" t="str">
        <f aca="false">IF(VAT_Codes!C37="","",VAT_Codes!C37)</f>
        <v>Input</v>
      </c>
      <c r="D37" s="53" t="n">
        <f aca="false">IF($A37="",0,SUMIFS(GL_Input!$U:$U,GL_Input!$N:$N,$A37,GL_Input!$Q:$Q,"Y",GL_Input!$P:$P,"CY"))</f>
        <v>0</v>
      </c>
      <c r="E37" s="53" t="n">
        <f aca="false">IF($A37="",0,SUMIFS(GL_Input!$U:$U,GL_Input!$N:$N,$A37,GL_Input!$Q:$Q,"Y",GL_Input!$P:$P,"EU"))</f>
        <v>0</v>
      </c>
      <c r="F37" s="53" t="n">
        <f aca="false">IF($A37="",0,SUMIFS(GL_Input!$U:$U,GL_Input!$N:$N,$A37,GL_Input!$Q:$Q,"Y",GL_Input!$P:$P,"3RD"))</f>
        <v>0</v>
      </c>
      <c r="G37" s="53" t="n">
        <f aca="false">IF($A37="",0,SUMIFS(GL_Input!$U:$U,GL_Input!$N:$N,$A37,GL_Input!$Q:$Q,"N",GL_Input!$P:$P,"CY"))</f>
        <v>0</v>
      </c>
      <c r="H37" s="53" t="n">
        <f aca="false">IF($A37="",0,SUMIFS(GL_Input!$U:$U,GL_Input!$N:$N,$A37,GL_Input!$Q:$Q,"N",GL_Input!$P:$P,"EU"))</f>
        <v>0</v>
      </c>
      <c r="I37" s="53" t="n">
        <f aca="false">IF($A37="",0,SUMIFS(GL_Input!$U:$U,GL_Input!$N:$N,$A37,GL_Input!$Q:$Q,"N",GL_Input!$P:$P,"3RD"))</f>
        <v>0</v>
      </c>
      <c r="J37" s="53" t="n">
        <f aca="false">IF($A37="",0,SUMIFS(GL_Input!$U:$U,GL_Input!$N:$N,$A37,GL_Input!$P:$P,""))</f>
        <v>700</v>
      </c>
      <c r="K37" s="54" t="n">
        <f aca="false">SUM(D37:J37)</f>
        <v>700</v>
      </c>
      <c r="L37" s="15" t="str">
        <f aca="false">IF(ROUND(K37-VAT_Codes!T37,2)=0,"OK","CHECK")</f>
        <v>OK</v>
      </c>
    </row>
    <row r="38" customFormat="false" ht="15" hidden="false" customHeight="false" outlineLevel="0" collapsed="false">
      <c r="A38" s="30" t="str">
        <f aca="false">IF(VAT_Codes!A38="","",VAT_Codes!A38)</f>
        <v>FOR</v>
      </c>
      <c r="B38" s="30" t="str">
        <f aca="false">IF(VAT_Codes!B38="","",VAT_Codes!B38)</f>
        <v>Foreign VAT incurred abroad (not on the Cyprus return)</v>
      </c>
      <c r="C38" s="30" t="str">
        <f aca="false">IF(VAT_Codes!C38="","",VAT_Codes!C38)</f>
        <v>None</v>
      </c>
      <c r="D38" s="53" t="n">
        <f aca="false">IF($A38="",0,SUMIFS(GL_Input!$U:$U,GL_Input!$N:$N,$A38,GL_Input!$Q:$Q,"Y",GL_Input!$P:$P,"CY"))</f>
        <v>0</v>
      </c>
      <c r="E38" s="53" t="n">
        <f aca="false">IF($A38="",0,SUMIFS(GL_Input!$U:$U,GL_Input!$N:$N,$A38,GL_Input!$Q:$Q,"Y",GL_Input!$P:$P,"EU"))</f>
        <v>0</v>
      </c>
      <c r="F38" s="53" t="n">
        <f aca="false">IF($A38="",0,SUMIFS(GL_Input!$U:$U,GL_Input!$N:$N,$A38,GL_Input!$Q:$Q,"Y",GL_Input!$P:$P,"3RD"))</f>
        <v>0</v>
      </c>
      <c r="G38" s="53" t="n">
        <f aca="false">IF($A38="",0,SUMIFS(GL_Input!$U:$U,GL_Input!$N:$N,$A38,GL_Input!$Q:$Q,"N",GL_Input!$P:$P,"CY"))</f>
        <v>0</v>
      </c>
      <c r="H38" s="53" t="n">
        <f aca="false">IF($A38="",0,SUMIFS(GL_Input!$U:$U,GL_Input!$N:$N,$A38,GL_Input!$Q:$Q,"N",GL_Input!$P:$P,"EU"))</f>
        <v>0</v>
      </c>
      <c r="I38" s="53" t="n">
        <f aca="false">IF($A38="",0,SUMIFS(GL_Input!$U:$U,GL_Input!$N:$N,$A38,GL_Input!$Q:$Q,"N",GL_Input!$P:$P,"3RD"))</f>
        <v>0</v>
      </c>
      <c r="J38" s="53" t="n">
        <f aca="false">IF($A38="",0,SUMIFS(GL_Input!$U:$U,GL_Input!$N:$N,$A38,GL_Input!$P:$P,""))</f>
        <v>0</v>
      </c>
      <c r="K38" s="54" t="n">
        <f aca="false">SUM(D38:J38)</f>
        <v>0</v>
      </c>
      <c r="L38" s="15" t="str">
        <f aca="false">IF(ROUND(K38-VAT_Codes!T38,2)=0,"OK","CHECK")</f>
        <v>OK</v>
      </c>
    </row>
    <row r="39" customFormat="false" ht="15" hidden="false" customHeight="false" outlineLevel="0" collapsed="false">
      <c r="A39" s="30" t="str">
        <f aca="false">IF(VAT_Codes!A39="","",VAT_Codes!A39)</f>
        <v>NR</v>
      </c>
      <c r="B39" s="30" t="str">
        <f aca="false">IF(VAT_Codes!B39="","",VAT_Codes!B39)</f>
        <v>Not reportable on the VAT return</v>
      </c>
      <c r="C39" s="30" t="str">
        <f aca="false">IF(VAT_Codes!C39="","",VAT_Codes!C39)</f>
        <v>None</v>
      </c>
      <c r="D39" s="53" t="n">
        <f aca="false">IF($A39="",0,SUMIFS(GL_Input!$U:$U,GL_Input!$N:$N,$A39,GL_Input!$Q:$Q,"Y",GL_Input!$P:$P,"CY"))</f>
        <v>0</v>
      </c>
      <c r="E39" s="53" t="n">
        <f aca="false">IF($A39="",0,SUMIFS(GL_Input!$U:$U,GL_Input!$N:$N,$A39,GL_Input!$Q:$Q,"Y",GL_Input!$P:$P,"EU"))</f>
        <v>0</v>
      </c>
      <c r="F39" s="53" t="n">
        <f aca="false">IF($A39="",0,SUMIFS(GL_Input!$U:$U,GL_Input!$N:$N,$A39,GL_Input!$Q:$Q,"Y",GL_Input!$P:$P,"3RD"))</f>
        <v>0</v>
      </c>
      <c r="G39" s="53" t="n">
        <f aca="false">IF($A39="",0,SUMIFS(GL_Input!$U:$U,GL_Input!$N:$N,$A39,GL_Input!$Q:$Q,"N",GL_Input!$P:$P,"CY"))</f>
        <v>0</v>
      </c>
      <c r="H39" s="53" t="n">
        <f aca="false">IF($A39="",0,SUMIFS(GL_Input!$U:$U,GL_Input!$N:$N,$A39,GL_Input!$Q:$Q,"N",GL_Input!$P:$P,"EU"))</f>
        <v>0</v>
      </c>
      <c r="I39" s="53" t="n">
        <f aca="false">IF($A39="",0,SUMIFS(GL_Input!$U:$U,GL_Input!$N:$N,$A39,GL_Input!$Q:$Q,"N",GL_Input!$P:$P,"3RD"))</f>
        <v>0</v>
      </c>
      <c r="J39" s="53" t="n">
        <f aca="false">IF($A39="",0,SUMIFS(GL_Input!$U:$U,GL_Input!$N:$N,$A39,GL_Input!$P:$P,""))</f>
        <v>0</v>
      </c>
      <c r="K39" s="54" t="n">
        <f aca="false">SUM(D39:J39)</f>
        <v>0</v>
      </c>
      <c r="L39" s="15" t="str">
        <f aca="false">IF(ROUND(K39-VAT_Codes!T39,2)=0,"OK","CHECK")</f>
        <v>OK</v>
      </c>
    </row>
    <row r="40" customFormat="false" ht="15" hidden="false" customHeight="false" outlineLevel="0" collapsed="false">
      <c r="A40" s="30" t="str">
        <f aca="false">IF(VAT_Codes!A40="","",VAT_Codes!A40)</f>
        <v/>
      </c>
      <c r="B40" s="30" t="str">
        <f aca="false">IF(VAT_Codes!B40="","",VAT_Codes!B40)</f>
        <v/>
      </c>
      <c r="C40" s="30" t="str">
        <f aca="false">IF(VAT_Codes!C40="","",VAT_Codes!C40)</f>
        <v/>
      </c>
      <c r="D40" s="53" t="n">
        <f aca="false">IF($A40="",0,SUMIFS(GL_Input!$U:$U,GL_Input!$N:$N,$A40,GL_Input!$Q:$Q,"Y",GL_Input!$P:$P,"CY"))</f>
        <v>0</v>
      </c>
      <c r="E40" s="53" t="n">
        <f aca="false">IF($A40="",0,SUMIFS(GL_Input!$U:$U,GL_Input!$N:$N,$A40,GL_Input!$Q:$Q,"Y",GL_Input!$P:$P,"EU"))</f>
        <v>0</v>
      </c>
      <c r="F40" s="53" t="n">
        <f aca="false">IF($A40="",0,SUMIFS(GL_Input!$U:$U,GL_Input!$N:$N,$A40,GL_Input!$Q:$Q,"Y",GL_Input!$P:$P,"3RD"))</f>
        <v>0</v>
      </c>
      <c r="G40" s="53" t="n">
        <f aca="false">IF($A40="",0,SUMIFS(GL_Input!$U:$U,GL_Input!$N:$N,$A40,GL_Input!$Q:$Q,"N",GL_Input!$P:$P,"CY"))</f>
        <v>0</v>
      </c>
      <c r="H40" s="53" t="n">
        <f aca="false">IF($A40="",0,SUMIFS(GL_Input!$U:$U,GL_Input!$N:$N,$A40,GL_Input!$Q:$Q,"N",GL_Input!$P:$P,"EU"))</f>
        <v>0</v>
      </c>
      <c r="I40" s="53" t="n">
        <f aca="false">IF($A40="",0,SUMIFS(GL_Input!$U:$U,GL_Input!$N:$N,$A40,GL_Input!$Q:$Q,"N",GL_Input!$P:$P,"3RD"))</f>
        <v>0</v>
      </c>
      <c r="J40" s="53" t="n">
        <f aca="false">IF($A40="",0,SUMIFS(GL_Input!$U:$U,GL_Input!$N:$N,$A40,GL_Input!$P:$P,""))</f>
        <v>0</v>
      </c>
      <c r="K40" s="54" t="n">
        <f aca="false">SUM(D40:J40)</f>
        <v>0</v>
      </c>
      <c r="L40" s="15" t="str">
        <f aca="false">IF(ROUND(K40-VAT_Codes!T40,2)=0,"OK","CHECK")</f>
        <v>OK</v>
      </c>
    </row>
    <row r="41" customFormat="false" ht="15" hidden="false" customHeight="false" outlineLevel="0" collapsed="false">
      <c r="A41" s="30" t="str">
        <f aca="false">IF(VAT_Codes!A41="","",VAT_Codes!A41)</f>
        <v/>
      </c>
      <c r="B41" s="30" t="str">
        <f aca="false">IF(VAT_Codes!B41="","",VAT_Codes!B41)</f>
        <v/>
      </c>
      <c r="C41" s="30" t="str">
        <f aca="false">IF(VAT_Codes!C41="","",VAT_Codes!C41)</f>
        <v/>
      </c>
      <c r="D41" s="53" t="n">
        <f aca="false">IF($A41="",0,SUMIFS(GL_Input!$U:$U,GL_Input!$N:$N,$A41,GL_Input!$Q:$Q,"Y",GL_Input!$P:$P,"CY"))</f>
        <v>0</v>
      </c>
      <c r="E41" s="53" t="n">
        <f aca="false">IF($A41="",0,SUMIFS(GL_Input!$U:$U,GL_Input!$N:$N,$A41,GL_Input!$Q:$Q,"Y",GL_Input!$P:$P,"EU"))</f>
        <v>0</v>
      </c>
      <c r="F41" s="53" t="n">
        <f aca="false">IF($A41="",0,SUMIFS(GL_Input!$U:$U,GL_Input!$N:$N,$A41,GL_Input!$Q:$Q,"Y",GL_Input!$P:$P,"3RD"))</f>
        <v>0</v>
      </c>
      <c r="G41" s="53" t="n">
        <f aca="false">IF($A41="",0,SUMIFS(GL_Input!$U:$U,GL_Input!$N:$N,$A41,GL_Input!$Q:$Q,"N",GL_Input!$P:$P,"CY"))</f>
        <v>0</v>
      </c>
      <c r="H41" s="53" t="n">
        <f aca="false">IF($A41="",0,SUMIFS(GL_Input!$U:$U,GL_Input!$N:$N,$A41,GL_Input!$Q:$Q,"N",GL_Input!$P:$P,"EU"))</f>
        <v>0</v>
      </c>
      <c r="I41" s="53" t="n">
        <f aca="false">IF($A41="",0,SUMIFS(GL_Input!$U:$U,GL_Input!$N:$N,$A41,GL_Input!$Q:$Q,"N",GL_Input!$P:$P,"3RD"))</f>
        <v>0</v>
      </c>
      <c r="J41" s="53" t="n">
        <f aca="false">IF($A41="",0,SUMIFS(GL_Input!$U:$U,GL_Input!$N:$N,$A41,GL_Input!$P:$P,""))</f>
        <v>0</v>
      </c>
      <c r="K41" s="54" t="n">
        <f aca="false">SUM(D41:J41)</f>
        <v>0</v>
      </c>
      <c r="L41" s="15" t="str">
        <f aca="false">IF(ROUND(K41-VAT_Codes!T41,2)=0,"OK","CHECK")</f>
        <v>OK</v>
      </c>
    </row>
    <row r="42" customFormat="false" ht="15" hidden="false" customHeight="false" outlineLevel="0" collapsed="false">
      <c r="A42" s="30" t="str">
        <f aca="false">IF(VAT_Codes!A42="","",VAT_Codes!A42)</f>
        <v/>
      </c>
      <c r="B42" s="30" t="str">
        <f aca="false">IF(VAT_Codes!B42="","",VAT_Codes!B42)</f>
        <v/>
      </c>
      <c r="C42" s="30" t="str">
        <f aca="false">IF(VAT_Codes!C42="","",VAT_Codes!C42)</f>
        <v/>
      </c>
      <c r="D42" s="53" t="n">
        <f aca="false">IF($A42="",0,SUMIFS(GL_Input!$U:$U,GL_Input!$N:$N,$A42,GL_Input!$Q:$Q,"Y",GL_Input!$P:$P,"CY"))</f>
        <v>0</v>
      </c>
      <c r="E42" s="53" t="n">
        <f aca="false">IF($A42="",0,SUMIFS(GL_Input!$U:$U,GL_Input!$N:$N,$A42,GL_Input!$Q:$Q,"Y",GL_Input!$P:$P,"EU"))</f>
        <v>0</v>
      </c>
      <c r="F42" s="53" t="n">
        <f aca="false">IF($A42="",0,SUMIFS(GL_Input!$U:$U,GL_Input!$N:$N,$A42,GL_Input!$Q:$Q,"Y",GL_Input!$P:$P,"3RD"))</f>
        <v>0</v>
      </c>
      <c r="G42" s="53" t="n">
        <f aca="false">IF($A42="",0,SUMIFS(GL_Input!$U:$U,GL_Input!$N:$N,$A42,GL_Input!$Q:$Q,"N",GL_Input!$P:$P,"CY"))</f>
        <v>0</v>
      </c>
      <c r="H42" s="53" t="n">
        <f aca="false">IF($A42="",0,SUMIFS(GL_Input!$U:$U,GL_Input!$N:$N,$A42,GL_Input!$Q:$Q,"N",GL_Input!$P:$P,"EU"))</f>
        <v>0</v>
      </c>
      <c r="I42" s="53" t="n">
        <f aca="false">IF($A42="",0,SUMIFS(GL_Input!$U:$U,GL_Input!$N:$N,$A42,GL_Input!$Q:$Q,"N",GL_Input!$P:$P,"3RD"))</f>
        <v>0</v>
      </c>
      <c r="J42" s="53" t="n">
        <f aca="false">IF($A42="",0,SUMIFS(GL_Input!$U:$U,GL_Input!$N:$N,$A42,GL_Input!$P:$P,""))</f>
        <v>0</v>
      </c>
      <c r="K42" s="54" t="n">
        <f aca="false">SUM(D42:J42)</f>
        <v>0</v>
      </c>
      <c r="L42" s="15" t="str">
        <f aca="false">IF(ROUND(K42-VAT_Codes!T42,2)=0,"OK","CHECK")</f>
        <v>OK</v>
      </c>
    </row>
    <row r="43" customFormat="false" ht="15" hidden="false" customHeight="false" outlineLevel="0" collapsed="false">
      <c r="A43" s="30" t="str">
        <f aca="false">IF(VAT_Codes!A43="","",VAT_Codes!A43)</f>
        <v/>
      </c>
      <c r="B43" s="30" t="str">
        <f aca="false">IF(VAT_Codes!B43="","",VAT_Codes!B43)</f>
        <v/>
      </c>
      <c r="C43" s="30" t="str">
        <f aca="false">IF(VAT_Codes!C43="","",VAT_Codes!C43)</f>
        <v/>
      </c>
      <c r="D43" s="53" t="n">
        <f aca="false">IF($A43="",0,SUMIFS(GL_Input!$U:$U,GL_Input!$N:$N,$A43,GL_Input!$Q:$Q,"Y",GL_Input!$P:$P,"CY"))</f>
        <v>0</v>
      </c>
      <c r="E43" s="53" t="n">
        <f aca="false">IF($A43="",0,SUMIFS(GL_Input!$U:$U,GL_Input!$N:$N,$A43,GL_Input!$Q:$Q,"Y",GL_Input!$P:$P,"EU"))</f>
        <v>0</v>
      </c>
      <c r="F43" s="53" t="n">
        <f aca="false">IF($A43="",0,SUMIFS(GL_Input!$U:$U,GL_Input!$N:$N,$A43,GL_Input!$Q:$Q,"Y",GL_Input!$P:$P,"3RD"))</f>
        <v>0</v>
      </c>
      <c r="G43" s="53" t="n">
        <f aca="false">IF($A43="",0,SUMIFS(GL_Input!$U:$U,GL_Input!$N:$N,$A43,GL_Input!$Q:$Q,"N",GL_Input!$P:$P,"CY"))</f>
        <v>0</v>
      </c>
      <c r="H43" s="53" t="n">
        <f aca="false">IF($A43="",0,SUMIFS(GL_Input!$U:$U,GL_Input!$N:$N,$A43,GL_Input!$Q:$Q,"N",GL_Input!$P:$P,"EU"))</f>
        <v>0</v>
      </c>
      <c r="I43" s="53" t="n">
        <f aca="false">IF($A43="",0,SUMIFS(GL_Input!$U:$U,GL_Input!$N:$N,$A43,GL_Input!$Q:$Q,"N",GL_Input!$P:$P,"3RD"))</f>
        <v>0</v>
      </c>
      <c r="J43" s="53" t="n">
        <f aca="false">IF($A43="",0,SUMIFS(GL_Input!$U:$U,GL_Input!$N:$N,$A43,GL_Input!$P:$P,""))</f>
        <v>0</v>
      </c>
      <c r="K43" s="54" t="n">
        <f aca="false">SUM(D43:J43)</f>
        <v>0</v>
      </c>
      <c r="L43" s="15" t="str">
        <f aca="false">IF(ROUND(K43-VAT_Codes!T43,2)=0,"OK","CHECK")</f>
        <v>OK</v>
      </c>
    </row>
    <row r="44" customFormat="false" ht="15" hidden="false" customHeight="false" outlineLevel="0" collapsed="false">
      <c r="A44" s="30" t="str">
        <f aca="false">IF(VAT_Codes!A44="","",VAT_Codes!A44)</f>
        <v/>
      </c>
      <c r="B44" s="30" t="str">
        <f aca="false">IF(VAT_Codes!B44="","",VAT_Codes!B44)</f>
        <v/>
      </c>
      <c r="C44" s="30" t="str">
        <f aca="false">IF(VAT_Codes!C44="","",VAT_Codes!C44)</f>
        <v/>
      </c>
      <c r="D44" s="53" t="n">
        <f aca="false">IF($A44="",0,SUMIFS(GL_Input!$U:$U,GL_Input!$N:$N,$A44,GL_Input!$Q:$Q,"Y",GL_Input!$P:$P,"CY"))</f>
        <v>0</v>
      </c>
      <c r="E44" s="53" t="n">
        <f aca="false">IF($A44="",0,SUMIFS(GL_Input!$U:$U,GL_Input!$N:$N,$A44,GL_Input!$Q:$Q,"Y",GL_Input!$P:$P,"EU"))</f>
        <v>0</v>
      </c>
      <c r="F44" s="53" t="n">
        <f aca="false">IF($A44="",0,SUMIFS(GL_Input!$U:$U,GL_Input!$N:$N,$A44,GL_Input!$Q:$Q,"Y",GL_Input!$P:$P,"3RD"))</f>
        <v>0</v>
      </c>
      <c r="G44" s="53" t="n">
        <f aca="false">IF($A44="",0,SUMIFS(GL_Input!$U:$U,GL_Input!$N:$N,$A44,GL_Input!$Q:$Q,"N",GL_Input!$P:$P,"CY"))</f>
        <v>0</v>
      </c>
      <c r="H44" s="53" t="n">
        <f aca="false">IF($A44="",0,SUMIFS(GL_Input!$U:$U,GL_Input!$N:$N,$A44,GL_Input!$Q:$Q,"N",GL_Input!$P:$P,"EU"))</f>
        <v>0</v>
      </c>
      <c r="I44" s="53" t="n">
        <f aca="false">IF($A44="",0,SUMIFS(GL_Input!$U:$U,GL_Input!$N:$N,$A44,GL_Input!$Q:$Q,"N",GL_Input!$P:$P,"3RD"))</f>
        <v>0</v>
      </c>
      <c r="J44" s="53" t="n">
        <f aca="false">IF($A44="",0,SUMIFS(GL_Input!$U:$U,GL_Input!$N:$N,$A44,GL_Input!$P:$P,""))</f>
        <v>0</v>
      </c>
      <c r="K44" s="54" t="n">
        <f aca="false">SUM(D44:J44)</f>
        <v>0</v>
      </c>
      <c r="L44" s="15" t="str">
        <f aca="false">IF(ROUND(K44-VAT_Codes!T44,2)=0,"OK","CHECK")</f>
        <v>OK</v>
      </c>
    </row>
    <row r="45" customFormat="false" ht="15" hidden="false" customHeight="false" outlineLevel="0" collapsed="false">
      <c r="A45" s="30" t="str">
        <f aca="false">IF(VAT_Codes!A45="","",VAT_Codes!A45)</f>
        <v/>
      </c>
      <c r="B45" s="30" t="str">
        <f aca="false">IF(VAT_Codes!B45="","",VAT_Codes!B45)</f>
        <v/>
      </c>
      <c r="C45" s="30" t="str">
        <f aca="false">IF(VAT_Codes!C45="","",VAT_Codes!C45)</f>
        <v/>
      </c>
      <c r="D45" s="53" t="n">
        <f aca="false">IF($A45="",0,SUMIFS(GL_Input!$U:$U,GL_Input!$N:$N,$A45,GL_Input!$Q:$Q,"Y",GL_Input!$P:$P,"CY"))</f>
        <v>0</v>
      </c>
      <c r="E45" s="53" t="n">
        <f aca="false">IF($A45="",0,SUMIFS(GL_Input!$U:$U,GL_Input!$N:$N,$A45,GL_Input!$Q:$Q,"Y",GL_Input!$P:$P,"EU"))</f>
        <v>0</v>
      </c>
      <c r="F45" s="53" t="n">
        <f aca="false">IF($A45="",0,SUMIFS(GL_Input!$U:$U,GL_Input!$N:$N,$A45,GL_Input!$Q:$Q,"Y",GL_Input!$P:$P,"3RD"))</f>
        <v>0</v>
      </c>
      <c r="G45" s="53" t="n">
        <f aca="false">IF($A45="",0,SUMIFS(GL_Input!$U:$U,GL_Input!$N:$N,$A45,GL_Input!$Q:$Q,"N",GL_Input!$P:$P,"CY"))</f>
        <v>0</v>
      </c>
      <c r="H45" s="53" t="n">
        <f aca="false">IF($A45="",0,SUMIFS(GL_Input!$U:$U,GL_Input!$N:$N,$A45,GL_Input!$Q:$Q,"N",GL_Input!$P:$P,"EU"))</f>
        <v>0</v>
      </c>
      <c r="I45" s="53" t="n">
        <f aca="false">IF($A45="",0,SUMIFS(GL_Input!$U:$U,GL_Input!$N:$N,$A45,GL_Input!$Q:$Q,"N",GL_Input!$P:$P,"3RD"))</f>
        <v>0</v>
      </c>
      <c r="J45" s="53" t="n">
        <f aca="false">IF($A45="",0,SUMIFS(GL_Input!$U:$U,GL_Input!$N:$N,$A45,GL_Input!$P:$P,""))</f>
        <v>0</v>
      </c>
      <c r="K45" s="54" t="n">
        <f aca="false">SUM(D45:J45)</f>
        <v>0</v>
      </c>
      <c r="L45" s="15" t="str">
        <f aca="false">IF(ROUND(K45-VAT_Codes!T45,2)=0,"OK","CHECK")</f>
        <v>OK</v>
      </c>
    </row>
    <row r="46" customFormat="false" ht="15" hidden="false" customHeight="false" outlineLevel="0" collapsed="false">
      <c r="A46" s="30" t="str">
        <f aca="false">IF(VAT_Codes!A46="","",VAT_Codes!A46)</f>
        <v/>
      </c>
      <c r="B46" s="30" t="str">
        <f aca="false">IF(VAT_Codes!B46="","",VAT_Codes!B46)</f>
        <v/>
      </c>
      <c r="C46" s="30" t="str">
        <f aca="false">IF(VAT_Codes!C46="","",VAT_Codes!C46)</f>
        <v/>
      </c>
      <c r="D46" s="53" t="n">
        <f aca="false">IF($A46="",0,SUMIFS(GL_Input!$U:$U,GL_Input!$N:$N,$A46,GL_Input!$Q:$Q,"Y",GL_Input!$P:$P,"CY"))</f>
        <v>0</v>
      </c>
      <c r="E46" s="53" t="n">
        <f aca="false">IF($A46="",0,SUMIFS(GL_Input!$U:$U,GL_Input!$N:$N,$A46,GL_Input!$Q:$Q,"Y",GL_Input!$P:$P,"EU"))</f>
        <v>0</v>
      </c>
      <c r="F46" s="53" t="n">
        <f aca="false">IF($A46="",0,SUMIFS(GL_Input!$U:$U,GL_Input!$N:$N,$A46,GL_Input!$Q:$Q,"Y",GL_Input!$P:$P,"3RD"))</f>
        <v>0</v>
      </c>
      <c r="G46" s="53" t="n">
        <f aca="false">IF($A46="",0,SUMIFS(GL_Input!$U:$U,GL_Input!$N:$N,$A46,GL_Input!$Q:$Q,"N",GL_Input!$P:$P,"CY"))</f>
        <v>0</v>
      </c>
      <c r="H46" s="53" t="n">
        <f aca="false">IF($A46="",0,SUMIFS(GL_Input!$U:$U,GL_Input!$N:$N,$A46,GL_Input!$Q:$Q,"N",GL_Input!$P:$P,"EU"))</f>
        <v>0</v>
      </c>
      <c r="I46" s="53" t="n">
        <f aca="false">IF($A46="",0,SUMIFS(GL_Input!$U:$U,GL_Input!$N:$N,$A46,GL_Input!$Q:$Q,"N",GL_Input!$P:$P,"3RD"))</f>
        <v>0</v>
      </c>
      <c r="J46" s="53" t="n">
        <f aca="false">IF($A46="",0,SUMIFS(GL_Input!$U:$U,GL_Input!$N:$N,$A46,GL_Input!$P:$P,""))</f>
        <v>0</v>
      </c>
      <c r="K46" s="54" t="n">
        <f aca="false">SUM(D46:J46)</f>
        <v>0</v>
      </c>
      <c r="L46" s="15" t="str">
        <f aca="false">IF(ROUND(K46-VAT_Codes!T46,2)=0,"OK","CHECK")</f>
        <v>OK</v>
      </c>
    </row>
    <row r="47" customFormat="false" ht="15" hidden="false" customHeight="false" outlineLevel="0" collapsed="false">
      <c r="A47" s="30" t="str">
        <f aca="false">IF(VAT_Codes!A47="","",VAT_Codes!A47)</f>
        <v/>
      </c>
      <c r="B47" s="30" t="str">
        <f aca="false">IF(VAT_Codes!B47="","",VAT_Codes!B47)</f>
        <v/>
      </c>
      <c r="C47" s="30" t="str">
        <f aca="false">IF(VAT_Codes!C47="","",VAT_Codes!C47)</f>
        <v/>
      </c>
      <c r="D47" s="53" t="n">
        <f aca="false">IF($A47="",0,SUMIFS(GL_Input!$U:$U,GL_Input!$N:$N,$A47,GL_Input!$Q:$Q,"Y",GL_Input!$P:$P,"CY"))</f>
        <v>0</v>
      </c>
      <c r="E47" s="53" t="n">
        <f aca="false">IF($A47="",0,SUMIFS(GL_Input!$U:$U,GL_Input!$N:$N,$A47,GL_Input!$Q:$Q,"Y",GL_Input!$P:$P,"EU"))</f>
        <v>0</v>
      </c>
      <c r="F47" s="53" t="n">
        <f aca="false">IF($A47="",0,SUMIFS(GL_Input!$U:$U,GL_Input!$N:$N,$A47,GL_Input!$Q:$Q,"Y",GL_Input!$P:$P,"3RD"))</f>
        <v>0</v>
      </c>
      <c r="G47" s="53" t="n">
        <f aca="false">IF($A47="",0,SUMIFS(GL_Input!$U:$U,GL_Input!$N:$N,$A47,GL_Input!$Q:$Q,"N",GL_Input!$P:$P,"CY"))</f>
        <v>0</v>
      </c>
      <c r="H47" s="53" t="n">
        <f aca="false">IF($A47="",0,SUMIFS(GL_Input!$U:$U,GL_Input!$N:$N,$A47,GL_Input!$Q:$Q,"N",GL_Input!$P:$P,"EU"))</f>
        <v>0</v>
      </c>
      <c r="I47" s="53" t="n">
        <f aca="false">IF($A47="",0,SUMIFS(GL_Input!$U:$U,GL_Input!$N:$N,$A47,GL_Input!$Q:$Q,"N",GL_Input!$P:$P,"3RD"))</f>
        <v>0</v>
      </c>
      <c r="J47" s="53" t="n">
        <f aca="false">IF($A47="",0,SUMIFS(GL_Input!$U:$U,GL_Input!$N:$N,$A47,GL_Input!$P:$P,""))</f>
        <v>0</v>
      </c>
      <c r="K47" s="54" t="n">
        <f aca="false">SUM(D47:J47)</f>
        <v>0</v>
      </c>
      <c r="L47" s="15" t="str">
        <f aca="false">IF(ROUND(K47-VAT_Codes!T47,2)=0,"OK","CHECK")</f>
        <v>OK</v>
      </c>
    </row>
    <row r="48" customFormat="false" ht="15" hidden="false" customHeight="false" outlineLevel="0" collapsed="false">
      <c r="A48" s="30" t="str">
        <f aca="false">IF(VAT_Codes!A48="","",VAT_Codes!A48)</f>
        <v/>
      </c>
      <c r="B48" s="30" t="str">
        <f aca="false">IF(VAT_Codes!B48="","",VAT_Codes!B48)</f>
        <v/>
      </c>
      <c r="C48" s="30" t="str">
        <f aca="false">IF(VAT_Codes!C48="","",VAT_Codes!C48)</f>
        <v/>
      </c>
      <c r="D48" s="53" t="n">
        <f aca="false">IF($A48="",0,SUMIFS(GL_Input!$U:$U,GL_Input!$N:$N,$A48,GL_Input!$Q:$Q,"Y",GL_Input!$P:$P,"CY"))</f>
        <v>0</v>
      </c>
      <c r="E48" s="53" t="n">
        <f aca="false">IF($A48="",0,SUMIFS(GL_Input!$U:$U,GL_Input!$N:$N,$A48,GL_Input!$Q:$Q,"Y",GL_Input!$P:$P,"EU"))</f>
        <v>0</v>
      </c>
      <c r="F48" s="53" t="n">
        <f aca="false">IF($A48="",0,SUMIFS(GL_Input!$U:$U,GL_Input!$N:$N,$A48,GL_Input!$Q:$Q,"Y",GL_Input!$P:$P,"3RD"))</f>
        <v>0</v>
      </c>
      <c r="G48" s="53" t="n">
        <f aca="false">IF($A48="",0,SUMIFS(GL_Input!$U:$U,GL_Input!$N:$N,$A48,GL_Input!$Q:$Q,"N",GL_Input!$P:$P,"CY"))</f>
        <v>0</v>
      </c>
      <c r="H48" s="53" t="n">
        <f aca="false">IF($A48="",0,SUMIFS(GL_Input!$U:$U,GL_Input!$N:$N,$A48,GL_Input!$Q:$Q,"N",GL_Input!$P:$P,"EU"))</f>
        <v>0</v>
      </c>
      <c r="I48" s="53" t="n">
        <f aca="false">IF($A48="",0,SUMIFS(GL_Input!$U:$U,GL_Input!$N:$N,$A48,GL_Input!$Q:$Q,"N",GL_Input!$P:$P,"3RD"))</f>
        <v>0</v>
      </c>
      <c r="J48" s="53" t="n">
        <f aca="false">IF($A48="",0,SUMIFS(GL_Input!$U:$U,GL_Input!$N:$N,$A48,GL_Input!$P:$P,""))</f>
        <v>0</v>
      </c>
      <c r="K48" s="54" t="n">
        <f aca="false">SUM(D48:J48)</f>
        <v>0</v>
      </c>
      <c r="L48" s="15" t="str">
        <f aca="false">IF(ROUND(K48-VAT_Codes!T48,2)=0,"OK","CHECK")</f>
        <v>OK</v>
      </c>
    </row>
    <row r="49" customFormat="false" ht="15" hidden="false" customHeight="false" outlineLevel="0" collapsed="false">
      <c r="A49" s="30" t="str">
        <f aca="false">IF(VAT_Codes!A49="","",VAT_Codes!A49)</f>
        <v/>
      </c>
      <c r="B49" s="30" t="str">
        <f aca="false">IF(VAT_Codes!B49="","",VAT_Codes!B49)</f>
        <v/>
      </c>
      <c r="C49" s="30" t="str">
        <f aca="false">IF(VAT_Codes!C49="","",VAT_Codes!C49)</f>
        <v/>
      </c>
      <c r="D49" s="53" t="n">
        <f aca="false">IF($A49="",0,SUMIFS(GL_Input!$U:$U,GL_Input!$N:$N,$A49,GL_Input!$Q:$Q,"Y",GL_Input!$P:$P,"CY"))</f>
        <v>0</v>
      </c>
      <c r="E49" s="53" t="n">
        <f aca="false">IF($A49="",0,SUMIFS(GL_Input!$U:$U,GL_Input!$N:$N,$A49,GL_Input!$Q:$Q,"Y",GL_Input!$P:$P,"EU"))</f>
        <v>0</v>
      </c>
      <c r="F49" s="53" t="n">
        <f aca="false">IF($A49="",0,SUMIFS(GL_Input!$U:$U,GL_Input!$N:$N,$A49,GL_Input!$Q:$Q,"Y",GL_Input!$P:$P,"3RD"))</f>
        <v>0</v>
      </c>
      <c r="G49" s="53" t="n">
        <f aca="false">IF($A49="",0,SUMIFS(GL_Input!$U:$U,GL_Input!$N:$N,$A49,GL_Input!$Q:$Q,"N",GL_Input!$P:$P,"CY"))</f>
        <v>0</v>
      </c>
      <c r="H49" s="53" t="n">
        <f aca="false">IF($A49="",0,SUMIFS(GL_Input!$U:$U,GL_Input!$N:$N,$A49,GL_Input!$Q:$Q,"N",GL_Input!$P:$P,"EU"))</f>
        <v>0</v>
      </c>
      <c r="I49" s="53" t="n">
        <f aca="false">IF($A49="",0,SUMIFS(GL_Input!$U:$U,GL_Input!$N:$N,$A49,GL_Input!$Q:$Q,"N",GL_Input!$P:$P,"3RD"))</f>
        <v>0</v>
      </c>
      <c r="J49" s="53" t="n">
        <f aca="false">IF($A49="",0,SUMIFS(GL_Input!$U:$U,GL_Input!$N:$N,$A49,GL_Input!$P:$P,""))</f>
        <v>0</v>
      </c>
      <c r="K49" s="54" t="n">
        <f aca="false">SUM(D49:J49)</f>
        <v>0</v>
      </c>
      <c r="L49" s="15" t="str">
        <f aca="false">IF(ROUND(K49-VAT_Codes!T49,2)=0,"OK","CHECK")</f>
        <v>OK</v>
      </c>
    </row>
    <row r="50" customFormat="false" ht="15" hidden="false" customHeight="false" outlineLevel="0" collapsed="false">
      <c r="A50" s="30" t="str">
        <f aca="false">IF(VAT_Codes!A50="","",VAT_Codes!A50)</f>
        <v/>
      </c>
      <c r="B50" s="30" t="str">
        <f aca="false">IF(VAT_Codes!B50="","",VAT_Codes!B50)</f>
        <v/>
      </c>
      <c r="C50" s="30" t="str">
        <f aca="false">IF(VAT_Codes!C50="","",VAT_Codes!C50)</f>
        <v/>
      </c>
      <c r="D50" s="53" t="n">
        <f aca="false">IF($A50="",0,SUMIFS(GL_Input!$U:$U,GL_Input!$N:$N,$A50,GL_Input!$Q:$Q,"Y",GL_Input!$P:$P,"CY"))</f>
        <v>0</v>
      </c>
      <c r="E50" s="53" t="n">
        <f aca="false">IF($A50="",0,SUMIFS(GL_Input!$U:$U,GL_Input!$N:$N,$A50,GL_Input!$Q:$Q,"Y",GL_Input!$P:$P,"EU"))</f>
        <v>0</v>
      </c>
      <c r="F50" s="53" t="n">
        <f aca="false">IF($A50="",0,SUMIFS(GL_Input!$U:$U,GL_Input!$N:$N,$A50,GL_Input!$Q:$Q,"Y",GL_Input!$P:$P,"3RD"))</f>
        <v>0</v>
      </c>
      <c r="G50" s="53" t="n">
        <f aca="false">IF($A50="",0,SUMIFS(GL_Input!$U:$U,GL_Input!$N:$N,$A50,GL_Input!$Q:$Q,"N",GL_Input!$P:$P,"CY"))</f>
        <v>0</v>
      </c>
      <c r="H50" s="53" t="n">
        <f aca="false">IF($A50="",0,SUMIFS(GL_Input!$U:$U,GL_Input!$N:$N,$A50,GL_Input!$Q:$Q,"N",GL_Input!$P:$P,"EU"))</f>
        <v>0</v>
      </c>
      <c r="I50" s="53" t="n">
        <f aca="false">IF($A50="",0,SUMIFS(GL_Input!$U:$U,GL_Input!$N:$N,$A50,GL_Input!$Q:$Q,"N",GL_Input!$P:$P,"3RD"))</f>
        <v>0</v>
      </c>
      <c r="J50" s="53" t="n">
        <f aca="false">IF($A50="",0,SUMIFS(GL_Input!$U:$U,GL_Input!$N:$N,$A50,GL_Input!$P:$P,""))</f>
        <v>0</v>
      </c>
      <c r="K50" s="54" t="n">
        <f aca="false">SUM(D50:J50)</f>
        <v>0</v>
      </c>
      <c r="L50" s="15" t="str">
        <f aca="false">IF(ROUND(K50-VAT_Codes!T50,2)=0,"OK","CHECK")</f>
        <v>OK</v>
      </c>
    </row>
    <row r="51" customFormat="false" ht="15" hidden="false" customHeight="false" outlineLevel="0" collapsed="false">
      <c r="A51" s="30" t="str">
        <f aca="false">IF(VAT_Codes!A51="","",VAT_Codes!A51)</f>
        <v/>
      </c>
      <c r="B51" s="30" t="str">
        <f aca="false">IF(VAT_Codes!B51="","",VAT_Codes!B51)</f>
        <v/>
      </c>
      <c r="C51" s="30" t="str">
        <f aca="false">IF(VAT_Codes!C51="","",VAT_Codes!C51)</f>
        <v/>
      </c>
      <c r="D51" s="53" t="n">
        <f aca="false">IF($A51="",0,SUMIFS(GL_Input!$U:$U,GL_Input!$N:$N,$A51,GL_Input!$Q:$Q,"Y",GL_Input!$P:$P,"CY"))</f>
        <v>0</v>
      </c>
      <c r="E51" s="53" t="n">
        <f aca="false">IF($A51="",0,SUMIFS(GL_Input!$U:$U,GL_Input!$N:$N,$A51,GL_Input!$Q:$Q,"Y",GL_Input!$P:$P,"EU"))</f>
        <v>0</v>
      </c>
      <c r="F51" s="53" t="n">
        <f aca="false">IF($A51="",0,SUMIFS(GL_Input!$U:$U,GL_Input!$N:$N,$A51,GL_Input!$Q:$Q,"Y",GL_Input!$P:$P,"3RD"))</f>
        <v>0</v>
      </c>
      <c r="G51" s="53" t="n">
        <f aca="false">IF($A51="",0,SUMIFS(GL_Input!$U:$U,GL_Input!$N:$N,$A51,GL_Input!$Q:$Q,"N",GL_Input!$P:$P,"CY"))</f>
        <v>0</v>
      </c>
      <c r="H51" s="53" t="n">
        <f aca="false">IF($A51="",0,SUMIFS(GL_Input!$U:$U,GL_Input!$N:$N,$A51,GL_Input!$Q:$Q,"N",GL_Input!$P:$P,"EU"))</f>
        <v>0</v>
      </c>
      <c r="I51" s="53" t="n">
        <f aca="false">IF($A51="",0,SUMIFS(GL_Input!$U:$U,GL_Input!$N:$N,$A51,GL_Input!$Q:$Q,"N",GL_Input!$P:$P,"3RD"))</f>
        <v>0</v>
      </c>
      <c r="J51" s="53" t="n">
        <f aca="false">IF($A51="",0,SUMIFS(GL_Input!$U:$U,GL_Input!$N:$N,$A51,GL_Input!$P:$P,""))</f>
        <v>0</v>
      </c>
      <c r="K51" s="54" t="n">
        <f aca="false">SUM(D51:J51)</f>
        <v>0</v>
      </c>
      <c r="L51" s="15" t="str">
        <f aca="false">IF(ROUND(K51-VAT_Codes!T51,2)=0,"OK","CHECK")</f>
        <v>OK</v>
      </c>
    </row>
    <row r="52" customFormat="false" ht="15" hidden="false" customHeight="false" outlineLevel="0" collapsed="false">
      <c r="A52" s="30" t="str">
        <f aca="false">IF(VAT_Codes!A52="","",VAT_Codes!A52)</f>
        <v/>
      </c>
      <c r="B52" s="30" t="str">
        <f aca="false">IF(VAT_Codes!B52="","",VAT_Codes!B52)</f>
        <v/>
      </c>
      <c r="C52" s="30" t="str">
        <f aca="false">IF(VAT_Codes!C52="","",VAT_Codes!C52)</f>
        <v/>
      </c>
      <c r="D52" s="53" t="n">
        <f aca="false">IF($A52="",0,SUMIFS(GL_Input!$U:$U,GL_Input!$N:$N,$A52,GL_Input!$Q:$Q,"Y",GL_Input!$P:$P,"CY"))</f>
        <v>0</v>
      </c>
      <c r="E52" s="53" t="n">
        <f aca="false">IF($A52="",0,SUMIFS(GL_Input!$U:$U,GL_Input!$N:$N,$A52,GL_Input!$Q:$Q,"Y",GL_Input!$P:$P,"EU"))</f>
        <v>0</v>
      </c>
      <c r="F52" s="53" t="n">
        <f aca="false">IF($A52="",0,SUMIFS(GL_Input!$U:$U,GL_Input!$N:$N,$A52,GL_Input!$Q:$Q,"Y",GL_Input!$P:$P,"3RD"))</f>
        <v>0</v>
      </c>
      <c r="G52" s="53" t="n">
        <f aca="false">IF($A52="",0,SUMIFS(GL_Input!$U:$U,GL_Input!$N:$N,$A52,GL_Input!$Q:$Q,"N",GL_Input!$P:$P,"CY"))</f>
        <v>0</v>
      </c>
      <c r="H52" s="53" t="n">
        <f aca="false">IF($A52="",0,SUMIFS(GL_Input!$U:$U,GL_Input!$N:$N,$A52,GL_Input!$Q:$Q,"N",GL_Input!$P:$P,"EU"))</f>
        <v>0</v>
      </c>
      <c r="I52" s="53" t="n">
        <f aca="false">IF($A52="",0,SUMIFS(GL_Input!$U:$U,GL_Input!$N:$N,$A52,GL_Input!$Q:$Q,"N",GL_Input!$P:$P,"3RD"))</f>
        <v>0</v>
      </c>
      <c r="J52" s="53" t="n">
        <f aca="false">IF($A52="",0,SUMIFS(GL_Input!$U:$U,GL_Input!$N:$N,$A52,GL_Input!$P:$P,""))</f>
        <v>0</v>
      </c>
      <c r="K52" s="54" t="n">
        <f aca="false">SUM(D52:J52)</f>
        <v>0</v>
      </c>
      <c r="L52" s="15" t="str">
        <f aca="false">IF(ROUND(K52-VAT_Codes!T52,2)=0,"OK","CHECK")</f>
        <v>OK</v>
      </c>
    </row>
    <row r="53" customFormat="false" ht="15" hidden="false" customHeight="false" outlineLevel="0" collapsed="false">
      <c r="A53" s="30" t="str">
        <f aca="false">IF(VAT_Codes!A53="","",VAT_Codes!A53)</f>
        <v/>
      </c>
      <c r="B53" s="30" t="str">
        <f aca="false">IF(VAT_Codes!B53="","",VAT_Codes!B53)</f>
        <v/>
      </c>
      <c r="C53" s="30" t="str">
        <f aca="false">IF(VAT_Codes!C53="","",VAT_Codes!C53)</f>
        <v/>
      </c>
      <c r="D53" s="53" t="n">
        <f aca="false">IF($A53="",0,SUMIFS(GL_Input!$U:$U,GL_Input!$N:$N,$A53,GL_Input!$Q:$Q,"Y",GL_Input!$P:$P,"CY"))</f>
        <v>0</v>
      </c>
      <c r="E53" s="53" t="n">
        <f aca="false">IF($A53="",0,SUMIFS(GL_Input!$U:$U,GL_Input!$N:$N,$A53,GL_Input!$Q:$Q,"Y",GL_Input!$P:$P,"EU"))</f>
        <v>0</v>
      </c>
      <c r="F53" s="53" t="n">
        <f aca="false">IF($A53="",0,SUMIFS(GL_Input!$U:$U,GL_Input!$N:$N,$A53,GL_Input!$Q:$Q,"Y",GL_Input!$P:$P,"3RD"))</f>
        <v>0</v>
      </c>
      <c r="G53" s="53" t="n">
        <f aca="false">IF($A53="",0,SUMIFS(GL_Input!$U:$U,GL_Input!$N:$N,$A53,GL_Input!$Q:$Q,"N",GL_Input!$P:$P,"CY"))</f>
        <v>0</v>
      </c>
      <c r="H53" s="53" t="n">
        <f aca="false">IF($A53="",0,SUMIFS(GL_Input!$U:$U,GL_Input!$N:$N,$A53,GL_Input!$Q:$Q,"N",GL_Input!$P:$P,"EU"))</f>
        <v>0</v>
      </c>
      <c r="I53" s="53" t="n">
        <f aca="false">IF($A53="",0,SUMIFS(GL_Input!$U:$U,GL_Input!$N:$N,$A53,GL_Input!$Q:$Q,"N",GL_Input!$P:$P,"3RD"))</f>
        <v>0</v>
      </c>
      <c r="J53" s="53" t="n">
        <f aca="false">IF($A53="",0,SUMIFS(GL_Input!$U:$U,GL_Input!$N:$N,$A53,GL_Input!$P:$P,""))</f>
        <v>0</v>
      </c>
      <c r="K53" s="54" t="n">
        <f aca="false">SUM(D53:J53)</f>
        <v>0</v>
      </c>
      <c r="L53" s="15" t="str">
        <f aca="false">IF(ROUND(K53-VAT_Codes!T53,2)=0,"OK","CHECK")</f>
        <v>OK</v>
      </c>
    </row>
    <row r="54" customFormat="false" ht="15" hidden="false" customHeight="false" outlineLevel="0" collapsed="false">
      <c r="A54" s="30" t="str">
        <f aca="false">IF(VAT_Codes!A54="","",VAT_Codes!A54)</f>
        <v/>
      </c>
      <c r="B54" s="30" t="str">
        <f aca="false">IF(VAT_Codes!B54="","",VAT_Codes!B54)</f>
        <v/>
      </c>
      <c r="C54" s="30" t="str">
        <f aca="false">IF(VAT_Codes!C54="","",VAT_Codes!C54)</f>
        <v/>
      </c>
      <c r="D54" s="53" t="n">
        <f aca="false">IF($A54="",0,SUMIFS(GL_Input!$U:$U,GL_Input!$N:$N,$A54,GL_Input!$Q:$Q,"Y",GL_Input!$P:$P,"CY"))</f>
        <v>0</v>
      </c>
      <c r="E54" s="53" t="n">
        <f aca="false">IF($A54="",0,SUMIFS(GL_Input!$U:$U,GL_Input!$N:$N,$A54,GL_Input!$Q:$Q,"Y",GL_Input!$P:$P,"EU"))</f>
        <v>0</v>
      </c>
      <c r="F54" s="53" t="n">
        <f aca="false">IF($A54="",0,SUMIFS(GL_Input!$U:$U,GL_Input!$N:$N,$A54,GL_Input!$Q:$Q,"Y",GL_Input!$P:$P,"3RD"))</f>
        <v>0</v>
      </c>
      <c r="G54" s="53" t="n">
        <f aca="false">IF($A54="",0,SUMIFS(GL_Input!$U:$U,GL_Input!$N:$N,$A54,GL_Input!$Q:$Q,"N",GL_Input!$P:$P,"CY"))</f>
        <v>0</v>
      </c>
      <c r="H54" s="53" t="n">
        <f aca="false">IF($A54="",0,SUMIFS(GL_Input!$U:$U,GL_Input!$N:$N,$A54,GL_Input!$Q:$Q,"N",GL_Input!$P:$P,"EU"))</f>
        <v>0</v>
      </c>
      <c r="I54" s="53" t="n">
        <f aca="false">IF($A54="",0,SUMIFS(GL_Input!$U:$U,GL_Input!$N:$N,$A54,GL_Input!$Q:$Q,"N",GL_Input!$P:$P,"3RD"))</f>
        <v>0</v>
      </c>
      <c r="J54" s="53" t="n">
        <f aca="false">IF($A54="",0,SUMIFS(GL_Input!$U:$U,GL_Input!$N:$N,$A54,GL_Input!$P:$P,""))</f>
        <v>0</v>
      </c>
      <c r="K54" s="54" t="n">
        <f aca="false">SUM(D54:J54)</f>
        <v>0</v>
      </c>
      <c r="L54" s="15" t="str">
        <f aca="false">IF(ROUND(K54-VAT_Codes!T54,2)=0,"OK","CHECK")</f>
        <v>OK</v>
      </c>
    </row>
    <row r="55" customFormat="false" ht="15" hidden="false" customHeight="false" outlineLevel="0" collapsed="false">
      <c r="A55" s="30" t="str">
        <f aca="false">IF(VAT_Codes!A55="","",VAT_Codes!A55)</f>
        <v/>
      </c>
      <c r="B55" s="30" t="str">
        <f aca="false">IF(VAT_Codes!B55="","",VAT_Codes!B55)</f>
        <v/>
      </c>
      <c r="C55" s="30" t="str">
        <f aca="false">IF(VAT_Codes!C55="","",VAT_Codes!C55)</f>
        <v/>
      </c>
      <c r="D55" s="53" t="n">
        <f aca="false">IF($A55="",0,SUMIFS(GL_Input!$U:$U,GL_Input!$N:$N,$A55,GL_Input!$Q:$Q,"Y",GL_Input!$P:$P,"CY"))</f>
        <v>0</v>
      </c>
      <c r="E55" s="53" t="n">
        <f aca="false">IF($A55="",0,SUMIFS(GL_Input!$U:$U,GL_Input!$N:$N,$A55,GL_Input!$Q:$Q,"Y",GL_Input!$P:$P,"EU"))</f>
        <v>0</v>
      </c>
      <c r="F55" s="53" t="n">
        <f aca="false">IF($A55="",0,SUMIFS(GL_Input!$U:$U,GL_Input!$N:$N,$A55,GL_Input!$Q:$Q,"Y",GL_Input!$P:$P,"3RD"))</f>
        <v>0</v>
      </c>
      <c r="G55" s="53" t="n">
        <f aca="false">IF($A55="",0,SUMIFS(GL_Input!$U:$U,GL_Input!$N:$N,$A55,GL_Input!$Q:$Q,"N",GL_Input!$P:$P,"CY"))</f>
        <v>0</v>
      </c>
      <c r="H55" s="53" t="n">
        <f aca="false">IF($A55="",0,SUMIFS(GL_Input!$U:$U,GL_Input!$N:$N,$A55,GL_Input!$Q:$Q,"N",GL_Input!$P:$P,"EU"))</f>
        <v>0</v>
      </c>
      <c r="I55" s="53" t="n">
        <f aca="false">IF($A55="",0,SUMIFS(GL_Input!$U:$U,GL_Input!$N:$N,$A55,GL_Input!$Q:$Q,"N",GL_Input!$P:$P,"3RD"))</f>
        <v>0</v>
      </c>
      <c r="J55" s="53" t="n">
        <f aca="false">IF($A55="",0,SUMIFS(GL_Input!$U:$U,GL_Input!$N:$N,$A55,GL_Input!$P:$P,""))</f>
        <v>0</v>
      </c>
      <c r="K55" s="54" t="n">
        <f aca="false">SUM(D55:J55)</f>
        <v>0</v>
      </c>
      <c r="L55" s="15" t="str">
        <f aca="false">IF(ROUND(K55-VAT_Codes!T55,2)=0,"OK","CHECK")</f>
        <v>OK</v>
      </c>
    </row>
    <row r="56" customFormat="false" ht="15" hidden="false" customHeight="false" outlineLevel="0" collapsed="false">
      <c r="A56" s="30" t="str">
        <f aca="false">IF(VAT_Codes!A56="","",VAT_Codes!A56)</f>
        <v/>
      </c>
      <c r="B56" s="30" t="str">
        <f aca="false">IF(VAT_Codes!B56="","",VAT_Codes!B56)</f>
        <v/>
      </c>
      <c r="C56" s="30" t="str">
        <f aca="false">IF(VAT_Codes!C56="","",VAT_Codes!C56)</f>
        <v/>
      </c>
      <c r="D56" s="53" t="n">
        <f aca="false">IF($A56="",0,SUMIFS(GL_Input!$U:$U,GL_Input!$N:$N,$A56,GL_Input!$Q:$Q,"Y",GL_Input!$P:$P,"CY"))</f>
        <v>0</v>
      </c>
      <c r="E56" s="53" t="n">
        <f aca="false">IF($A56="",0,SUMIFS(GL_Input!$U:$U,GL_Input!$N:$N,$A56,GL_Input!$Q:$Q,"Y",GL_Input!$P:$P,"EU"))</f>
        <v>0</v>
      </c>
      <c r="F56" s="53" t="n">
        <f aca="false">IF($A56="",0,SUMIFS(GL_Input!$U:$U,GL_Input!$N:$N,$A56,GL_Input!$Q:$Q,"Y",GL_Input!$P:$P,"3RD"))</f>
        <v>0</v>
      </c>
      <c r="G56" s="53" t="n">
        <f aca="false">IF($A56="",0,SUMIFS(GL_Input!$U:$U,GL_Input!$N:$N,$A56,GL_Input!$Q:$Q,"N",GL_Input!$P:$P,"CY"))</f>
        <v>0</v>
      </c>
      <c r="H56" s="53" t="n">
        <f aca="false">IF($A56="",0,SUMIFS(GL_Input!$U:$U,GL_Input!$N:$N,$A56,GL_Input!$Q:$Q,"N",GL_Input!$P:$P,"EU"))</f>
        <v>0</v>
      </c>
      <c r="I56" s="53" t="n">
        <f aca="false">IF($A56="",0,SUMIFS(GL_Input!$U:$U,GL_Input!$N:$N,$A56,GL_Input!$Q:$Q,"N",GL_Input!$P:$P,"3RD"))</f>
        <v>0</v>
      </c>
      <c r="J56" s="53" t="n">
        <f aca="false">IF($A56="",0,SUMIFS(GL_Input!$U:$U,GL_Input!$N:$N,$A56,GL_Input!$P:$P,""))</f>
        <v>0</v>
      </c>
      <c r="K56" s="54" t="n">
        <f aca="false">SUM(D56:J56)</f>
        <v>0</v>
      </c>
      <c r="L56" s="15" t="str">
        <f aca="false">IF(ROUND(K56-VAT_Codes!T56,2)=0,"OK","CHECK")</f>
        <v>OK</v>
      </c>
    </row>
    <row r="57" customFormat="false" ht="15" hidden="false" customHeight="false" outlineLevel="0" collapsed="false">
      <c r="A57" s="30" t="str">
        <f aca="false">IF(VAT_Codes!A57="","",VAT_Codes!A57)</f>
        <v/>
      </c>
      <c r="B57" s="30" t="str">
        <f aca="false">IF(VAT_Codes!B57="","",VAT_Codes!B57)</f>
        <v/>
      </c>
      <c r="C57" s="30" t="str">
        <f aca="false">IF(VAT_Codes!C57="","",VAT_Codes!C57)</f>
        <v/>
      </c>
      <c r="D57" s="53" t="n">
        <f aca="false">IF($A57="",0,SUMIFS(GL_Input!$U:$U,GL_Input!$N:$N,$A57,GL_Input!$Q:$Q,"Y",GL_Input!$P:$P,"CY"))</f>
        <v>0</v>
      </c>
      <c r="E57" s="53" t="n">
        <f aca="false">IF($A57="",0,SUMIFS(GL_Input!$U:$U,GL_Input!$N:$N,$A57,GL_Input!$Q:$Q,"Y",GL_Input!$P:$P,"EU"))</f>
        <v>0</v>
      </c>
      <c r="F57" s="53" t="n">
        <f aca="false">IF($A57="",0,SUMIFS(GL_Input!$U:$U,GL_Input!$N:$N,$A57,GL_Input!$Q:$Q,"Y",GL_Input!$P:$P,"3RD"))</f>
        <v>0</v>
      </c>
      <c r="G57" s="53" t="n">
        <f aca="false">IF($A57="",0,SUMIFS(GL_Input!$U:$U,GL_Input!$N:$N,$A57,GL_Input!$Q:$Q,"N",GL_Input!$P:$P,"CY"))</f>
        <v>0</v>
      </c>
      <c r="H57" s="53" t="n">
        <f aca="false">IF($A57="",0,SUMIFS(GL_Input!$U:$U,GL_Input!$N:$N,$A57,GL_Input!$Q:$Q,"N",GL_Input!$P:$P,"EU"))</f>
        <v>0</v>
      </c>
      <c r="I57" s="53" t="n">
        <f aca="false">IF($A57="",0,SUMIFS(GL_Input!$U:$U,GL_Input!$N:$N,$A57,GL_Input!$Q:$Q,"N",GL_Input!$P:$P,"3RD"))</f>
        <v>0</v>
      </c>
      <c r="J57" s="53" t="n">
        <f aca="false">IF($A57="",0,SUMIFS(GL_Input!$U:$U,GL_Input!$N:$N,$A57,GL_Input!$P:$P,""))</f>
        <v>0</v>
      </c>
      <c r="K57" s="54" t="n">
        <f aca="false">SUM(D57:J57)</f>
        <v>0</v>
      </c>
      <c r="L57" s="15" t="str">
        <f aca="false">IF(ROUND(K57-VAT_Codes!T57,2)=0,"OK","CHECK")</f>
        <v>OK</v>
      </c>
    </row>
    <row r="58" customFormat="false" ht="15" hidden="false" customHeight="false" outlineLevel="0" collapsed="false">
      <c r="A58" s="30" t="str">
        <f aca="false">IF(VAT_Codes!A58="","",VAT_Codes!A58)</f>
        <v/>
      </c>
      <c r="B58" s="30" t="str">
        <f aca="false">IF(VAT_Codes!B58="","",VAT_Codes!B58)</f>
        <v/>
      </c>
      <c r="C58" s="30" t="str">
        <f aca="false">IF(VAT_Codes!C58="","",VAT_Codes!C58)</f>
        <v/>
      </c>
      <c r="D58" s="53" t="n">
        <f aca="false">IF($A58="",0,SUMIFS(GL_Input!$U:$U,GL_Input!$N:$N,$A58,GL_Input!$Q:$Q,"Y",GL_Input!$P:$P,"CY"))</f>
        <v>0</v>
      </c>
      <c r="E58" s="53" t="n">
        <f aca="false">IF($A58="",0,SUMIFS(GL_Input!$U:$U,GL_Input!$N:$N,$A58,GL_Input!$Q:$Q,"Y",GL_Input!$P:$P,"EU"))</f>
        <v>0</v>
      </c>
      <c r="F58" s="53" t="n">
        <f aca="false">IF($A58="",0,SUMIFS(GL_Input!$U:$U,GL_Input!$N:$N,$A58,GL_Input!$Q:$Q,"Y",GL_Input!$P:$P,"3RD"))</f>
        <v>0</v>
      </c>
      <c r="G58" s="53" t="n">
        <f aca="false">IF($A58="",0,SUMIFS(GL_Input!$U:$U,GL_Input!$N:$N,$A58,GL_Input!$Q:$Q,"N",GL_Input!$P:$P,"CY"))</f>
        <v>0</v>
      </c>
      <c r="H58" s="53" t="n">
        <f aca="false">IF($A58="",0,SUMIFS(GL_Input!$U:$U,GL_Input!$N:$N,$A58,GL_Input!$Q:$Q,"N",GL_Input!$P:$P,"EU"))</f>
        <v>0</v>
      </c>
      <c r="I58" s="53" t="n">
        <f aca="false">IF($A58="",0,SUMIFS(GL_Input!$U:$U,GL_Input!$N:$N,$A58,GL_Input!$Q:$Q,"N",GL_Input!$P:$P,"3RD"))</f>
        <v>0</v>
      </c>
      <c r="J58" s="53" t="n">
        <f aca="false">IF($A58="",0,SUMIFS(GL_Input!$U:$U,GL_Input!$N:$N,$A58,GL_Input!$P:$P,""))</f>
        <v>0</v>
      </c>
      <c r="K58" s="54" t="n">
        <f aca="false">SUM(D58:J58)</f>
        <v>0</v>
      </c>
      <c r="L58" s="15" t="str">
        <f aca="false">IF(ROUND(K58-VAT_Codes!T58,2)=0,"OK","CHECK")</f>
        <v>OK</v>
      </c>
    </row>
    <row r="59" customFormat="false" ht="15" hidden="false" customHeight="false" outlineLevel="0" collapsed="false">
      <c r="A59" s="30" t="str">
        <f aca="false">IF(VAT_Codes!A59="","",VAT_Codes!A59)</f>
        <v/>
      </c>
      <c r="B59" s="30" t="str">
        <f aca="false">IF(VAT_Codes!B59="","",VAT_Codes!B59)</f>
        <v/>
      </c>
      <c r="C59" s="30" t="str">
        <f aca="false">IF(VAT_Codes!C59="","",VAT_Codes!C59)</f>
        <v/>
      </c>
      <c r="D59" s="53" t="n">
        <f aca="false">IF($A59="",0,SUMIFS(GL_Input!$U:$U,GL_Input!$N:$N,$A59,GL_Input!$Q:$Q,"Y",GL_Input!$P:$P,"CY"))</f>
        <v>0</v>
      </c>
      <c r="E59" s="53" t="n">
        <f aca="false">IF($A59="",0,SUMIFS(GL_Input!$U:$U,GL_Input!$N:$N,$A59,GL_Input!$Q:$Q,"Y",GL_Input!$P:$P,"EU"))</f>
        <v>0</v>
      </c>
      <c r="F59" s="53" t="n">
        <f aca="false">IF($A59="",0,SUMIFS(GL_Input!$U:$U,GL_Input!$N:$N,$A59,GL_Input!$Q:$Q,"Y",GL_Input!$P:$P,"3RD"))</f>
        <v>0</v>
      </c>
      <c r="G59" s="53" t="n">
        <f aca="false">IF($A59="",0,SUMIFS(GL_Input!$U:$U,GL_Input!$N:$N,$A59,GL_Input!$Q:$Q,"N",GL_Input!$P:$P,"CY"))</f>
        <v>0</v>
      </c>
      <c r="H59" s="53" t="n">
        <f aca="false">IF($A59="",0,SUMIFS(GL_Input!$U:$U,GL_Input!$N:$N,$A59,GL_Input!$Q:$Q,"N",GL_Input!$P:$P,"EU"))</f>
        <v>0</v>
      </c>
      <c r="I59" s="53" t="n">
        <f aca="false">IF($A59="",0,SUMIFS(GL_Input!$U:$U,GL_Input!$N:$N,$A59,GL_Input!$Q:$Q,"N",GL_Input!$P:$P,"3RD"))</f>
        <v>0</v>
      </c>
      <c r="J59" s="53" t="n">
        <f aca="false">IF($A59="",0,SUMIFS(GL_Input!$U:$U,GL_Input!$N:$N,$A59,GL_Input!$P:$P,""))</f>
        <v>0</v>
      </c>
      <c r="K59" s="54" t="n">
        <f aca="false">SUM(D59:J59)</f>
        <v>0</v>
      </c>
      <c r="L59" s="15" t="str">
        <f aca="false">IF(ROUND(K59-VAT_Codes!T59,2)=0,"OK","CHECK")</f>
        <v>OK</v>
      </c>
    </row>
    <row r="60" customFormat="false" ht="15" hidden="false" customHeight="false" outlineLevel="0" collapsed="false">
      <c r="A60" s="30" t="str">
        <f aca="false">IF(VAT_Codes!A60="","",VAT_Codes!A60)</f>
        <v/>
      </c>
      <c r="B60" s="30" t="str">
        <f aca="false">IF(VAT_Codes!B60="","",VAT_Codes!B60)</f>
        <v/>
      </c>
      <c r="C60" s="30" t="str">
        <f aca="false">IF(VAT_Codes!C60="","",VAT_Codes!C60)</f>
        <v/>
      </c>
      <c r="D60" s="53" t="n">
        <f aca="false">IF($A60="",0,SUMIFS(GL_Input!$U:$U,GL_Input!$N:$N,$A60,GL_Input!$Q:$Q,"Y",GL_Input!$P:$P,"CY"))</f>
        <v>0</v>
      </c>
      <c r="E60" s="53" t="n">
        <f aca="false">IF($A60="",0,SUMIFS(GL_Input!$U:$U,GL_Input!$N:$N,$A60,GL_Input!$Q:$Q,"Y",GL_Input!$P:$P,"EU"))</f>
        <v>0</v>
      </c>
      <c r="F60" s="53" t="n">
        <f aca="false">IF($A60="",0,SUMIFS(GL_Input!$U:$U,GL_Input!$N:$N,$A60,GL_Input!$Q:$Q,"Y",GL_Input!$P:$P,"3RD"))</f>
        <v>0</v>
      </c>
      <c r="G60" s="53" t="n">
        <f aca="false">IF($A60="",0,SUMIFS(GL_Input!$U:$U,GL_Input!$N:$N,$A60,GL_Input!$Q:$Q,"N",GL_Input!$P:$P,"CY"))</f>
        <v>0</v>
      </c>
      <c r="H60" s="53" t="n">
        <f aca="false">IF($A60="",0,SUMIFS(GL_Input!$U:$U,GL_Input!$N:$N,$A60,GL_Input!$Q:$Q,"N",GL_Input!$P:$P,"EU"))</f>
        <v>0</v>
      </c>
      <c r="I60" s="53" t="n">
        <f aca="false">IF($A60="",0,SUMIFS(GL_Input!$U:$U,GL_Input!$N:$N,$A60,GL_Input!$Q:$Q,"N",GL_Input!$P:$P,"3RD"))</f>
        <v>0</v>
      </c>
      <c r="J60" s="53" t="n">
        <f aca="false">IF($A60="",0,SUMIFS(GL_Input!$U:$U,GL_Input!$N:$N,$A60,GL_Input!$P:$P,""))</f>
        <v>0</v>
      </c>
      <c r="K60" s="54" t="n">
        <f aca="false">SUM(D60:J60)</f>
        <v>0</v>
      </c>
      <c r="L60" s="15" t="str">
        <f aca="false">IF(ROUND(K60-VAT_Codes!T60,2)=0,"OK","CHECK")</f>
        <v>OK</v>
      </c>
    </row>
    <row r="61" customFormat="false" ht="15" hidden="false" customHeight="false" outlineLevel="0" collapsed="false">
      <c r="A61" s="30" t="str">
        <f aca="false">IF(VAT_Codes!A61="","",VAT_Codes!A61)</f>
        <v/>
      </c>
      <c r="B61" s="30" t="str">
        <f aca="false">IF(VAT_Codes!B61="","",VAT_Codes!B61)</f>
        <v/>
      </c>
      <c r="C61" s="30" t="str">
        <f aca="false">IF(VAT_Codes!C61="","",VAT_Codes!C61)</f>
        <v/>
      </c>
      <c r="D61" s="53" t="n">
        <f aca="false">IF($A61="",0,SUMIFS(GL_Input!$U:$U,GL_Input!$N:$N,$A61,GL_Input!$Q:$Q,"Y",GL_Input!$P:$P,"CY"))</f>
        <v>0</v>
      </c>
      <c r="E61" s="53" t="n">
        <f aca="false">IF($A61="",0,SUMIFS(GL_Input!$U:$U,GL_Input!$N:$N,$A61,GL_Input!$Q:$Q,"Y",GL_Input!$P:$P,"EU"))</f>
        <v>0</v>
      </c>
      <c r="F61" s="53" t="n">
        <f aca="false">IF($A61="",0,SUMIFS(GL_Input!$U:$U,GL_Input!$N:$N,$A61,GL_Input!$Q:$Q,"Y",GL_Input!$P:$P,"3RD"))</f>
        <v>0</v>
      </c>
      <c r="G61" s="53" t="n">
        <f aca="false">IF($A61="",0,SUMIFS(GL_Input!$U:$U,GL_Input!$N:$N,$A61,GL_Input!$Q:$Q,"N",GL_Input!$P:$P,"CY"))</f>
        <v>0</v>
      </c>
      <c r="H61" s="53" t="n">
        <f aca="false">IF($A61="",0,SUMIFS(GL_Input!$U:$U,GL_Input!$N:$N,$A61,GL_Input!$Q:$Q,"N",GL_Input!$P:$P,"EU"))</f>
        <v>0</v>
      </c>
      <c r="I61" s="53" t="n">
        <f aca="false">IF($A61="",0,SUMIFS(GL_Input!$U:$U,GL_Input!$N:$N,$A61,GL_Input!$Q:$Q,"N",GL_Input!$P:$P,"3RD"))</f>
        <v>0</v>
      </c>
      <c r="J61" s="53" t="n">
        <f aca="false">IF($A61="",0,SUMIFS(GL_Input!$U:$U,GL_Input!$N:$N,$A61,GL_Input!$P:$P,""))</f>
        <v>0</v>
      </c>
      <c r="K61" s="54" t="n">
        <f aca="false">SUM(D61:J61)</f>
        <v>0</v>
      </c>
      <c r="L61" s="15" t="str">
        <f aca="false">IF(ROUND(K61-VAT_Codes!T61,2)=0,"OK","CHECK")</f>
        <v>OK</v>
      </c>
    </row>
    <row r="62" customFormat="false" ht="15" hidden="false" customHeight="false" outlineLevel="0" collapsed="false">
      <c r="A62" s="30" t="str">
        <f aca="false">IF(VAT_Codes!A62="","",VAT_Codes!A62)</f>
        <v/>
      </c>
      <c r="B62" s="30" t="str">
        <f aca="false">IF(VAT_Codes!B62="","",VAT_Codes!B62)</f>
        <v/>
      </c>
      <c r="C62" s="30" t="str">
        <f aca="false">IF(VAT_Codes!C62="","",VAT_Codes!C62)</f>
        <v/>
      </c>
      <c r="D62" s="53" t="n">
        <f aca="false">IF($A62="",0,SUMIFS(GL_Input!$U:$U,GL_Input!$N:$N,$A62,GL_Input!$Q:$Q,"Y",GL_Input!$P:$P,"CY"))</f>
        <v>0</v>
      </c>
      <c r="E62" s="53" t="n">
        <f aca="false">IF($A62="",0,SUMIFS(GL_Input!$U:$U,GL_Input!$N:$N,$A62,GL_Input!$Q:$Q,"Y",GL_Input!$P:$P,"EU"))</f>
        <v>0</v>
      </c>
      <c r="F62" s="53" t="n">
        <f aca="false">IF($A62="",0,SUMIFS(GL_Input!$U:$U,GL_Input!$N:$N,$A62,GL_Input!$Q:$Q,"Y",GL_Input!$P:$P,"3RD"))</f>
        <v>0</v>
      </c>
      <c r="G62" s="53" t="n">
        <f aca="false">IF($A62="",0,SUMIFS(GL_Input!$U:$U,GL_Input!$N:$N,$A62,GL_Input!$Q:$Q,"N",GL_Input!$P:$P,"CY"))</f>
        <v>0</v>
      </c>
      <c r="H62" s="53" t="n">
        <f aca="false">IF($A62="",0,SUMIFS(GL_Input!$U:$U,GL_Input!$N:$N,$A62,GL_Input!$Q:$Q,"N",GL_Input!$P:$P,"EU"))</f>
        <v>0</v>
      </c>
      <c r="I62" s="53" t="n">
        <f aca="false">IF($A62="",0,SUMIFS(GL_Input!$U:$U,GL_Input!$N:$N,$A62,GL_Input!$Q:$Q,"N",GL_Input!$P:$P,"3RD"))</f>
        <v>0</v>
      </c>
      <c r="J62" s="53" t="n">
        <f aca="false">IF($A62="",0,SUMIFS(GL_Input!$U:$U,GL_Input!$N:$N,$A62,GL_Input!$P:$P,""))</f>
        <v>0</v>
      </c>
      <c r="K62" s="54" t="n">
        <f aca="false">SUM(D62:J62)</f>
        <v>0</v>
      </c>
      <c r="L62" s="15" t="str">
        <f aca="false">IF(ROUND(K62-VAT_Codes!T62,2)=0,"OK","CHECK")</f>
        <v>OK</v>
      </c>
    </row>
    <row r="63" customFormat="false" ht="15" hidden="false" customHeight="false" outlineLevel="0" collapsed="false">
      <c r="A63" s="30" t="str">
        <f aca="false">IF(VAT_Codes!A63="","",VAT_Codes!A63)</f>
        <v/>
      </c>
      <c r="B63" s="30" t="str">
        <f aca="false">IF(VAT_Codes!B63="","",VAT_Codes!B63)</f>
        <v/>
      </c>
      <c r="C63" s="30" t="str">
        <f aca="false">IF(VAT_Codes!C63="","",VAT_Codes!C63)</f>
        <v/>
      </c>
      <c r="D63" s="53" t="n">
        <f aca="false">IF($A63="",0,SUMIFS(GL_Input!$U:$U,GL_Input!$N:$N,$A63,GL_Input!$Q:$Q,"Y",GL_Input!$P:$P,"CY"))</f>
        <v>0</v>
      </c>
      <c r="E63" s="53" t="n">
        <f aca="false">IF($A63="",0,SUMIFS(GL_Input!$U:$U,GL_Input!$N:$N,$A63,GL_Input!$Q:$Q,"Y",GL_Input!$P:$P,"EU"))</f>
        <v>0</v>
      </c>
      <c r="F63" s="53" t="n">
        <f aca="false">IF($A63="",0,SUMIFS(GL_Input!$U:$U,GL_Input!$N:$N,$A63,GL_Input!$Q:$Q,"Y",GL_Input!$P:$P,"3RD"))</f>
        <v>0</v>
      </c>
      <c r="G63" s="53" t="n">
        <f aca="false">IF($A63="",0,SUMIFS(GL_Input!$U:$U,GL_Input!$N:$N,$A63,GL_Input!$Q:$Q,"N",GL_Input!$P:$P,"CY"))</f>
        <v>0</v>
      </c>
      <c r="H63" s="53" t="n">
        <f aca="false">IF($A63="",0,SUMIFS(GL_Input!$U:$U,GL_Input!$N:$N,$A63,GL_Input!$Q:$Q,"N",GL_Input!$P:$P,"EU"))</f>
        <v>0</v>
      </c>
      <c r="I63" s="53" t="n">
        <f aca="false">IF($A63="",0,SUMIFS(GL_Input!$U:$U,GL_Input!$N:$N,$A63,GL_Input!$Q:$Q,"N",GL_Input!$P:$P,"3RD"))</f>
        <v>0</v>
      </c>
      <c r="J63" s="53" t="n">
        <f aca="false">IF($A63="",0,SUMIFS(GL_Input!$U:$U,GL_Input!$N:$N,$A63,GL_Input!$P:$P,""))</f>
        <v>0</v>
      </c>
      <c r="K63" s="54" t="n">
        <f aca="false">SUM(D63:J63)</f>
        <v>0</v>
      </c>
      <c r="L63" s="15" t="str">
        <f aca="false">IF(ROUND(K63-VAT_Codes!T63,2)=0,"OK","CHECK")</f>
        <v>OK</v>
      </c>
    </row>
    <row r="64" customFormat="false" ht="15" hidden="false" customHeight="false" outlineLevel="0" collapsed="false">
      <c r="A64" s="30" t="str">
        <f aca="false">IF(VAT_Codes!A64="","",VAT_Codes!A64)</f>
        <v/>
      </c>
      <c r="B64" s="30" t="str">
        <f aca="false">IF(VAT_Codes!B64="","",VAT_Codes!B64)</f>
        <v/>
      </c>
      <c r="C64" s="30" t="str">
        <f aca="false">IF(VAT_Codes!C64="","",VAT_Codes!C64)</f>
        <v/>
      </c>
      <c r="D64" s="53" t="n">
        <f aca="false">IF($A64="",0,SUMIFS(GL_Input!$U:$U,GL_Input!$N:$N,$A64,GL_Input!$Q:$Q,"Y",GL_Input!$P:$P,"CY"))</f>
        <v>0</v>
      </c>
      <c r="E64" s="53" t="n">
        <f aca="false">IF($A64="",0,SUMIFS(GL_Input!$U:$U,GL_Input!$N:$N,$A64,GL_Input!$Q:$Q,"Y",GL_Input!$P:$P,"EU"))</f>
        <v>0</v>
      </c>
      <c r="F64" s="53" t="n">
        <f aca="false">IF($A64="",0,SUMIFS(GL_Input!$U:$U,GL_Input!$N:$N,$A64,GL_Input!$Q:$Q,"Y",GL_Input!$P:$P,"3RD"))</f>
        <v>0</v>
      </c>
      <c r="G64" s="53" t="n">
        <f aca="false">IF($A64="",0,SUMIFS(GL_Input!$U:$U,GL_Input!$N:$N,$A64,GL_Input!$Q:$Q,"N",GL_Input!$P:$P,"CY"))</f>
        <v>0</v>
      </c>
      <c r="H64" s="53" t="n">
        <f aca="false">IF($A64="",0,SUMIFS(GL_Input!$U:$U,GL_Input!$N:$N,$A64,GL_Input!$Q:$Q,"N",GL_Input!$P:$P,"EU"))</f>
        <v>0</v>
      </c>
      <c r="I64" s="53" t="n">
        <f aca="false">IF($A64="",0,SUMIFS(GL_Input!$U:$U,GL_Input!$N:$N,$A64,GL_Input!$Q:$Q,"N",GL_Input!$P:$P,"3RD"))</f>
        <v>0</v>
      </c>
      <c r="J64" s="53" t="n">
        <f aca="false">IF($A64="",0,SUMIFS(GL_Input!$U:$U,GL_Input!$N:$N,$A64,GL_Input!$P:$P,""))</f>
        <v>0</v>
      </c>
      <c r="K64" s="54" t="n">
        <f aca="false">SUM(D64:J64)</f>
        <v>0</v>
      </c>
      <c r="L64" s="15" t="str">
        <f aca="false">IF(ROUND(K64-VAT_Codes!T64,2)=0,"OK","CHECK")</f>
        <v>OK</v>
      </c>
    </row>
    <row r="65" customFormat="false" ht="15" hidden="false" customHeight="false" outlineLevel="0" collapsed="false">
      <c r="A65" s="30" t="str">
        <f aca="false">IF(VAT_Codes!A65="","",VAT_Codes!A65)</f>
        <v/>
      </c>
      <c r="B65" s="30" t="str">
        <f aca="false">IF(VAT_Codes!B65="","",VAT_Codes!B65)</f>
        <v/>
      </c>
      <c r="C65" s="30" t="str">
        <f aca="false">IF(VAT_Codes!C65="","",VAT_Codes!C65)</f>
        <v/>
      </c>
      <c r="D65" s="53" t="n">
        <f aca="false">IF($A65="",0,SUMIFS(GL_Input!$U:$U,GL_Input!$N:$N,$A65,GL_Input!$Q:$Q,"Y",GL_Input!$P:$P,"CY"))</f>
        <v>0</v>
      </c>
      <c r="E65" s="53" t="n">
        <f aca="false">IF($A65="",0,SUMIFS(GL_Input!$U:$U,GL_Input!$N:$N,$A65,GL_Input!$Q:$Q,"Y",GL_Input!$P:$P,"EU"))</f>
        <v>0</v>
      </c>
      <c r="F65" s="53" t="n">
        <f aca="false">IF($A65="",0,SUMIFS(GL_Input!$U:$U,GL_Input!$N:$N,$A65,GL_Input!$Q:$Q,"Y",GL_Input!$P:$P,"3RD"))</f>
        <v>0</v>
      </c>
      <c r="G65" s="53" t="n">
        <f aca="false">IF($A65="",0,SUMIFS(GL_Input!$U:$U,GL_Input!$N:$N,$A65,GL_Input!$Q:$Q,"N",GL_Input!$P:$P,"CY"))</f>
        <v>0</v>
      </c>
      <c r="H65" s="53" t="n">
        <f aca="false">IF($A65="",0,SUMIFS(GL_Input!$U:$U,GL_Input!$N:$N,$A65,GL_Input!$Q:$Q,"N",GL_Input!$P:$P,"EU"))</f>
        <v>0</v>
      </c>
      <c r="I65" s="53" t="n">
        <f aca="false">IF($A65="",0,SUMIFS(GL_Input!$U:$U,GL_Input!$N:$N,$A65,GL_Input!$Q:$Q,"N",GL_Input!$P:$P,"3RD"))</f>
        <v>0</v>
      </c>
      <c r="J65" s="53" t="n">
        <f aca="false">IF($A65="",0,SUMIFS(GL_Input!$U:$U,GL_Input!$N:$N,$A65,GL_Input!$P:$P,""))</f>
        <v>0</v>
      </c>
      <c r="K65" s="54" t="n">
        <f aca="false">SUM(D65:J65)</f>
        <v>0</v>
      </c>
      <c r="L65" s="15" t="str">
        <f aca="false">IF(ROUND(K65-VAT_Codes!T65,2)=0,"OK","CHECK")</f>
        <v>OK</v>
      </c>
    </row>
    <row r="66" customFormat="false" ht="15" hidden="false" customHeight="false" outlineLevel="0" collapsed="false">
      <c r="A66" s="30" t="str">
        <f aca="false">IF(VAT_Codes!A66="","",VAT_Codes!A66)</f>
        <v/>
      </c>
      <c r="B66" s="30" t="str">
        <f aca="false">IF(VAT_Codes!B66="","",VAT_Codes!B66)</f>
        <v/>
      </c>
      <c r="C66" s="30" t="str">
        <f aca="false">IF(VAT_Codes!C66="","",VAT_Codes!C66)</f>
        <v/>
      </c>
      <c r="D66" s="53" t="n">
        <f aca="false">IF($A66="",0,SUMIFS(GL_Input!$U:$U,GL_Input!$N:$N,$A66,GL_Input!$Q:$Q,"Y",GL_Input!$P:$P,"CY"))</f>
        <v>0</v>
      </c>
      <c r="E66" s="53" t="n">
        <f aca="false">IF($A66="",0,SUMIFS(GL_Input!$U:$U,GL_Input!$N:$N,$A66,GL_Input!$Q:$Q,"Y",GL_Input!$P:$P,"EU"))</f>
        <v>0</v>
      </c>
      <c r="F66" s="53" t="n">
        <f aca="false">IF($A66="",0,SUMIFS(GL_Input!$U:$U,GL_Input!$N:$N,$A66,GL_Input!$Q:$Q,"Y",GL_Input!$P:$P,"3RD"))</f>
        <v>0</v>
      </c>
      <c r="G66" s="53" t="n">
        <f aca="false">IF($A66="",0,SUMIFS(GL_Input!$U:$U,GL_Input!$N:$N,$A66,GL_Input!$Q:$Q,"N",GL_Input!$P:$P,"CY"))</f>
        <v>0</v>
      </c>
      <c r="H66" s="53" t="n">
        <f aca="false">IF($A66="",0,SUMIFS(GL_Input!$U:$U,GL_Input!$N:$N,$A66,GL_Input!$Q:$Q,"N",GL_Input!$P:$P,"EU"))</f>
        <v>0</v>
      </c>
      <c r="I66" s="53" t="n">
        <f aca="false">IF($A66="",0,SUMIFS(GL_Input!$U:$U,GL_Input!$N:$N,$A66,GL_Input!$Q:$Q,"N",GL_Input!$P:$P,"3RD"))</f>
        <v>0</v>
      </c>
      <c r="J66" s="53" t="n">
        <f aca="false">IF($A66="",0,SUMIFS(GL_Input!$U:$U,GL_Input!$N:$N,$A66,GL_Input!$P:$P,""))</f>
        <v>0</v>
      </c>
      <c r="K66" s="54" t="n">
        <f aca="false">SUM(D66:J66)</f>
        <v>0</v>
      </c>
      <c r="L66" s="15" t="str">
        <f aca="false">IF(ROUND(K66-VAT_Codes!T66,2)=0,"OK","CHECK")</f>
        <v>OK</v>
      </c>
    </row>
    <row r="67" customFormat="false" ht="15" hidden="false" customHeight="false" outlineLevel="0" collapsed="false">
      <c r="A67" s="30" t="str">
        <f aca="false">IF(VAT_Codes!A67="","",VAT_Codes!A67)</f>
        <v/>
      </c>
      <c r="B67" s="30" t="str">
        <f aca="false">IF(VAT_Codes!B67="","",VAT_Codes!B67)</f>
        <v/>
      </c>
      <c r="C67" s="30" t="str">
        <f aca="false">IF(VAT_Codes!C67="","",VAT_Codes!C67)</f>
        <v/>
      </c>
      <c r="D67" s="53" t="n">
        <f aca="false">IF($A67="",0,SUMIFS(GL_Input!$U:$U,GL_Input!$N:$N,$A67,GL_Input!$Q:$Q,"Y",GL_Input!$P:$P,"CY"))</f>
        <v>0</v>
      </c>
      <c r="E67" s="53" t="n">
        <f aca="false">IF($A67="",0,SUMIFS(GL_Input!$U:$U,GL_Input!$N:$N,$A67,GL_Input!$Q:$Q,"Y",GL_Input!$P:$P,"EU"))</f>
        <v>0</v>
      </c>
      <c r="F67" s="53" t="n">
        <f aca="false">IF($A67="",0,SUMIFS(GL_Input!$U:$U,GL_Input!$N:$N,$A67,GL_Input!$Q:$Q,"Y",GL_Input!$P:$P,"3RD"))</f>
        <v>0</v>
      </c>
      <c r="G67" s="53" t="n">
        <f aca="false">IF($A67="",0,SUMIFS(GL_Input!$U:$U,GL_Input!$N:$N,$A67,GL_Input!$Q:$Q,"N",GL_Input!$P:$P,"CY"))</f>
        <v>0</v>
      </c>
      <c r="H67" s="53" t="n">
        <f aca="false">IF($A67="",0,SUMIFS(GL_Input!$U:$U,GL_Input!$N:$N,$A67,GL_Input!$Q:$Q,"N",GL_Input!$P:$P,"EU"))</f>
        <v>0</v>
      </c>
      <c r="I67" s="53" t="n">
        <f aca="false">IF($A67="",0,SUMIFS(GL_Input!$U:$U,GL_Input!$N:$N,$A67,GL_Input!$Q:$Q,"N",GL_Input!$P:$P,"3RD"))</f>
        <v>0</v>
      </c>
      <c r="J67" s="53" t="n">
        <f aca="false">IF($A67="",0,SUMIFS(GL_Input!$U:$U,GL_Input!$N:$N,$A67,GL_Input!$P:$P,""))</f>
        <v>0</v>
      </c>
      <c r="K67" s="54" t="n">
        <f aca="false">SUM(D67:J67)</f>
        <v>0</v>
      </c>
      <c r="L67" s="15" t="str">
        <f aca="false">IF(ROUND(K67-VAT_Codes!T67,2)=0,"OK","CHECK")</f>
        <v>OK</v>
      </c>
    </row>
    <row r="68" customFormat="false" ht="15" hidden="false" customHeight="false" outlineLevel="0" collapsed="false">
      <c r="A68" s="30" t="str">
        <f aca="false">IF(VAT_Codes!A68="","",VAT_Codes!A68)</f>
        <v/>
      </c>
      <c r="B68" s="30" t="str">
        <f aca="false">IF(VAT_Codes!B68="","",VAT_Codes!B68)</f>
        <v/>
      </c>
      <c r="C68" s="30" t="str">
        <f aca="false">IF(VAT_Codes!C68="","",VAT_Codes!C68)</f>
        <v/>
      </c>
      <c r="D68" s="53" t="n">
        <f aca="false">IF($A68="",0,SUMIFS(GL_Input!$U:$U,GL_Input!$N:$N,$A68,GL_Input!$Q:$Q,"Y",GL_Input!$P:$P,"CY"))</f>
        <v>0</v>
      </c>
      <c r="E68" s="53" t="n">
        <f aca="false">IF($A68="",0,SUMIFS(GL_Input!$U:$U,GL_Input!$N:$N,$A68,GL_Input!$Q:$Q,"Y",GL_Input!$P:$P,"EU"))</f>
        <v>0</v>
      </c>
      <c r="F68" s="53" t="n">
        <f aca="false">IF($A68="",0,SUMIFS(GL_Input!$U:$U,GL_Input!$N:$N,$A68,GL_Input!$Q:$Q,"Y",GL_Input!$P:$P,"3RD"))</f>
        <v>0</v>
      </c>
      <c r="G68" s="53" t="n">
        <f aca="false">IF($A68="",0,SUMIFS(GL_Input!$U:$U,GL_Input!$N:$N,$A68,GL_Input!$Q:$Q,"N",GL_Input!$P:$P,"CY"))</f>
        <v>0</v>
      </c>
      <c r="H68" s="53" t="n">
        <f aca="false">IF($A68="",0,SUMIFS(GL_Input!$U:$U,GL_Input!$N:$N,$A68,GL_Input!$Q:$Q,"N",GL_Input!$P:$P,"EU"))</f>
        <v>0</v>
      </c>
      <c r="I68" s="53" t="n">
        <f aca="false">IF($A68="",0,SUMIFS(GL_Input!$U:$U,GL_Input!$N:$N,$A68,GL_Input!$Q:$Q,"N",GL_Input!$P:$P,"3RD"))</f>
        <v>0</v>
      </c>
      <c r="J68" s="53" t="n">
        <f aca="false">IF($A68="",0,SUMIFS(GL_Input!$U:$U,GL_Input!$N:$N,$A68,GL_Input!$P:$P,""))</f>
        <v>0</v>
      </c>
      <c r="K68" s="54" t="n">
        <f aca="false">SUM(D68:J68)</f>
        <v>0</v>
      </c>
      <c r="L68" s="15" t="str">
        <f aca="false">IF(ROUND(K68-VAT_Codes!T68,2)=0,"OK","CHECK")</f>
        <v>OK</v>
      </c>
    </row>
    <row r="69" customFormat="false" ht="15" hidden="false" customHeight="false" outlineLevel="0" collapsed="false">
      <c r="A69" s="30" t="str">
        <f aca="false">IF(VAT_Codes!A69="","",VAT_Codes!A69)</f>
        <v/>
      </c>
      <c r="B69" s="30" t="str">
        <f aca="false">IF(VAT_Codes!B69="","",VAT_Codes!B69)</f>
        <v/>
      </c>
      <c r="C69" s="30" t="str">
        <f aca="false">IF(VAT_Codes!C69="","",VAT_Codes!C69)</f>
        <v/>
      </c>
      <c r="D69" s="53" t="n">
        <f aca="false">IF($A69="",0,SUMIFS(GL_Input!$U:$U,GL_Input!$N:$N,$A69,GL_Input!$Q:$Q,"Y",GL_Input!$P:$P,"CY"))</f>
        <v>0</v>
      </c>
      <c r="E69" s="53" t="n">
        <f aca="false">IF($A69="",0,SUMIFS(GL_Input!$U:$U,GL_Input!$N:$N,$A69,GL_Input!$Q:$Q,"Y",GL_Input!$P:$P,"EU"))</f>
        <v>0</v>
      </c>
      <c r="F69" s="53" t="n">
        <f aca="false">IF($A69="",0,SUMIFS(GL_Input!$U:$U,GL_Input!$N:$N,$A69,GL_Input!$Q:$Q,"Y",GL_Input!$P:$P,"3RD"))</f>
        <v>0</v>
      </c>
      <c r="G69" s="53" t="n">
        <f aca="false">IF($A69="",0,SUMIFS(GL_Input!$U:$U,GL_Input!$N:$N,$A69,GL_Input!$Q:$Q,"N",GL_Input!$P:$P,"CY"))</f>
        <v>0</v>
      </c>
      <c r="H69" s="53" t="n">
        <f aca="false">IF($A69="",0,SUMIFS(GL_Input!$U:$U,GL_Input!$N:$N,$A69,GL_Input!$Q:$Q,"N",GL_Input!$P:$P,"EU"))</f>
        <v>0</v>
      </c>
      <c r="I69" s="53" t="n">
        <f aca="false">IF($A69="",0,SUMIFS(GL_Input!$U:$U,GL_Input!$N:$N,$A69,GL_Input!$Q:$Q,"N",GL_Input!$P:$P,"3RD"))</f>
        <v>0</v>
      </c>
      <c r="J69" s="53" t="n">
        <f aca="false">IF($A69="",0,SUMIFS(GL_Input!$U:$U,GL_Input!$N:$N,$A69,GL_Input!$P:$P,""))</f>
        <v>0</v>
      </c>
      <c r="K69" s="54" t="n">
        <f aca="false">SUM(D69:J69)</f>
        <v>0</v>
      </c>
      <c r="L69" s="15" t="str">
        <f aca="false">IF(ROUND(K69-VAT_Codes!T69,2)=0,"OK","CHECK")</f>
        <v>OK</v>
      </c>
    </row>
    <row r="70" customFormat="false" ht="15" hidden="false" customHeight="false" outlineLevel="0" collapsed="false">
      <c r="A70" s="30" t="str">
        <f aca="false">IF(VAT_Codes!A70="","",VAT_Codes!A70)</f>
        <v/>
      </c>
      <c r="B70" s="30" t="str">
        <f aca="false">IF(VAT_Codes!B70="","",VAT_Codes!B70)</f>
        <v/>
      </c>
      <c r="C70" s="30" t="str">
        <f aca="false">IF(VAT_Codes!C70="","",VAT_Codes!C70)</f>
        <v/>
      </c>
      <c r="D70" s="53" t="n">
        <f aca="false">IF($A70="",0,SUMIFS(GL_Input!$U:$U,GL_Input!$N:$N,$A70,GL_Input!$Q:$Q,"Y",GL_Input!$P:$P,"CY"))</f>
        <v>0</v>
      </c>
      <c r="E70" s="53" t="n">
        <f aca="false">IF($A70="",0,SUMIFS(GL_Input!$U:$U,GL_Input!$N:$N,$A70,GL_Input!$Q:$Q,"Y",GL_Input!$P:$P,"EU"))</f>
        <v>0</v>
      </c>
      <c r="F70" s="53" t="n">
        <f aca="false">IF($A70="",0,SUMIFS(GL_Input!$U:$U,GL_Input!$N:$N,$A70,GL_Input!$Q:$Q,"Y",GL_Input!$P:$P,"3RD"))</f>
        <v>0</v>
      </c>
      <c r="G70" s="53" t="n">
        <f aca="false">IF($A70="",0,SUMIFS(GL_Input!$U:$U,GL_Input!$N:$N,$A70,GL_Input!$Q:$Q,"N",GL_Input!$P:$P,"CY"))</f>
        <v>0</v>
      </c>
      <c r="H70" s="53" t="n">
        <f aca="false">IF($A70="",0,SUMIFS(GL_Input!$U:$U,GL_Input!$N:$N,$A70,GL_Input!$Q:$Q,"N",GL_Input!$P:$P,"EU"))</f>
        <v>0</v>
      </c>
      <c r="I70" s="53" t="n">
        <f aca="false">IF($A70="",0,SUMIFS(GL_Input!$U:$U,GL_Input!$N:$N,$A70,GL_Input!$Q:$Q,"N",GL_Input!$P:$P,"3RD"))</f>
        <v>0</v>
      </c>
      <c r="J70" s="53" t="n">
        <f aca="false">IF($A70="",0,SUMIFS(GL_Input!$U:$U,GL_Input!$N:$N,$A70,GL_Input!$P:$P,""))</f>
        <v>0</v>
      </c>
      <c r="K70" s="54" t="n">
        <f aca="false">SUM(D70:J70)</f>
        <v>0</v>
      </c>
      <c r="L70" s="15" t="str">
        <f aca="false">IF(ROUND(K70-VAT_Codes!T70,2)=0,"OK","CHECK")</f>
        <v>OK</v>
      </c>
    </row>
    <row r="71" customFormat="false" ht="15" hidden="false" customHeight="false" outlineLevel="0" collapsed="false">
      <c r="A71" s="30" t="str">
        <f aca="false">IF(VAT_Codes!A71="","",VAT_Codes!A71)</f>
        <v/>
      </c>
      <c r="B71" s="30" t="str">
        <f aca="false">IF(VAT_Codes!B71="","",VAT_Codes!B71)</f>
        <v/>
      </c>
      <c r="C71" s="30" t="str">
        <f aca="false">IF(VAT_Codes!C71="","",VAT_Codes!C71)</f>
        <v/>
      </c>
      <c r="D71" s="53" t="n">
        <f aca="false">IF($A71="",0,SUMIFS(GL_Input!$U:$U,GL_Input!$N:$N,$A71,GL_Input!$Q:$Q,"Y",GL_Input!$P:$P,"CY"))</f>
        <v>0</v>
      </c>
      <c r="E71" s="53" t="n">
        <f aca="false">IF($A71="",0,SUMIFS(GL_Input!$U:$U,GL_Input!$N:$N,$A71,GL_Input!$Q:$Q,"Y",GL_Input!$P:$P,"EU"))</f>
        <v>0</v>
      </c>
      <c r="F71" s="53" t="n">
        <f aca="false">IF($A71="",0,SUMIFS(GL_Input!$U:$U,GL_Input!$N:$N,$A71,GL_Input!$Q:$Q,"Y",GL_Input!$P:$P,"3RD"))</f>
        <v>0</v>
      </c>
      <c r="G71" s="53" t="n">
        <f aca="false">IF($A71="",0,SUMIFS(GL_Input!$U:$U,GL_Input!$N:$N,$A71,GL_Input!$Q:$Q,"N",GL_Input!$P:$P,"CY"))</f>
        <v>0</v>
      </c>
      <c r="H71" s="53" t="n">
        <f aca="false">IF($A71="",0,SUMIFS(GL_Input!$U:$U,GL_Input!$N:$N,$A71,GL_Input!$Q:$Q,"N",GL_Input!$P:$P,"EU"))</f>
        <v>0</v>
      </c>
      <c r="I71" s="53" t="n">
        <f aca="false">IF($A71="",0,SUMIFS(GL_Input!$U:$U,GL_Input!$N:$N,$A71,GL_Input!$Q:$Q,"N",GL_Input!$P:$P,"3RD"))</f>
        <v>0</v>
      </c>
      <c r="J71" s="53" t="n">
        <f aca="false">IF($A71="",0,SUMIFS(GL_Input!$U:$U,GL_Input!$N:$N,$A71,GL_Input!$P:$P,""))</f>
        <v>0</v>
      </c>
      <c r="K71" s="54" t="n">
        <f aca="false">SUM(D71:J71)</f>
        <v>0</v>
      </c>
      <c r="L71" s="15" t="str">
        <f aca="false">IF(ROUND(K71-VAT_Codes!T71,2)=0,"OK","CHECK")</f>
        <v>OK</v>
      </c>
    </row>
    <row r="72" customFormat="false" ht="15" hidden="false" customHeight="false" outlineLevel="0" collapsed="false">
      <c r="A72" s="30" t="str">
        <f aca="false">IF(VAT_Codes!A72="","",VAT_Codes!A72)</f>
        <v/>
      </c>
      <c r="B72" s="30" t="str">
        <f aca="false">IF(VAT_Codes!B72="","",VAT_Codes!B72)</f>
        <v/>
      </c>
      <c r="C72" s="30" t="str">
        <f aca="false">IF(VAT_Codes!C72="","",VAT_Codes!C72)</f>
        <v/>
      </c>
      <c r="D72" s="53" t="n">
        <f aca="false">IF($A72="",0,SUMIFS(GL_Input!$U:$U,GL_Input!$N:$N,$A72,GL_Input!$Q:$Q,"Y",GL_Input!$P:$P,"CY"))</f>
        <v>0</v>
      </c>
      <c r="E72" s="53" t="n">
        <f aca="false">IF($A72="",0,SUMIFS(GL_Input!$U:$U,GL_Input!$N:$N,$A72,GL_Input!$Q:$Q,"Y",GL_Input!$P:$P,"EU"))</f>
        <v>0</v>
      </c>
      <c r="F72" s="53" t="n">
        <f aca="false">IF($A72="",0,SUMIFS(GL_Input!$U:$U,GL_Input!$N:$N,$A72,GL_Input!$Q:$Q,"Y",GL_Input!$P:$P,"3RD"))</f>
        <v>0</v>
      </c>
      <c r="G72" s="53" t="n">
        <f aca="false">IF($A72="",0,SUMIFS(GL_Input!$U:$U,GL_Input!$N:$N,$A72,GL_Input!$Q:$Q,"N",GL_Input!$P:$P,"CY"))</f>
        <v>0</v>
      </c>
      <c r="H72" s="53" t="n">
        <f aca="false">IF($A72="",0,SUMIFS(GL_Input!$U:$U,GL_Input!$N:$N,$A72,GL_Input!$Q:$Q,"N",GL_Input!$P:$P,"EU"))</f>
        <v>0</v>
      </c>
      <c r="I72" s="53" t="n">
        <f aca="false">IF($A72="",0,SUMIFS(GL_Input!$U:$U,GL_Input!$N:$N,$A72,GL_Input!$Q:$Q,"N",GL_Input!$P:$P,"3RD"))</f>
        <v>0</v>
      </c>
      <c r="J72" s="53" t="n">
        <f aca="false">IF($A72="",0,SUMIFS(GL_Input!$U:$U,GL_Input!$N:$N,$A72,GL_Input!$P:$P,""))</f>
        <v>0</v>
      </c>
      <c r="K72" s="54" t="n">
        <f aca="false">SUM(D72:J72)</f>
        <v>0</v>
      </c>
      <c r="L72" s="15" t="str">
        <f aca="false">IF(ROUND(K72-VAT_Codes!T72,2)=0,"OK","CHECK")</f>
        <v>OK</v>
      </c>
    </row>
    <row r="73" customFormat="false" ht="15" hidden="false" customHeight="false" outlineLevel="0" collapsed="false">
      <c r="A73" s="30" t="str">
        <f aca="false">IF(VAT_Codes!A73="","",VAT_Codes!A73)</f>
        <v/>
      </c>
      <c r="B73" s="30" t="str">
        <f aca="false">IF(VAT_Codes!B73="","",VAT_Codes!B73)</f>
        <v/>
      </c>
      <c r="C73" s="30" t="str">
        <f aca="false">IF(VAT_Codes!C73="","",VAT_Codes!C73)</f>
        <v/>
      </c>
      <c r="D73" s="53" t="n">
        <f aca="false">IF($A73="",0,SUMIFS(GL_Input!$U:$U,GL_Input!$N:$N,$A73,GL_Input!$Q:$Q,"Y",GL_Input!$P:$P,"CY"))</f>
        <v>0</v>
      </c>
      <c r="E73" s="53" t="n">
        <f aca="false">IF($A73="",0,SUMIFS(GL_Input!$U:$U,GL_Input!$N:$N,$A73,GL_Input!$Q:$Q,"Y",GL_Input!$P:$P,"EU"))</f>
        <v>0</v>
      </c>
      <c r="F73" s="53" t="n">
        <f aca="false">IF($A73="",0,SUMIFS(GL_Input!$U:$U,GL_Input!$N:$N,$A73,GL_Input!$Q:$Q,"Y",GL_Input!$P:$P,"3RD"))</f>
        <v>0</v>
      </c>
      <c r="G73" s="53" t="n">
        <f aca="false">IF($A73="",0,SUMIFS(GL_Input!$U:$U,GL_Input!$N:$N,$A73,GL_Input!$Q:$Q,"N",GL_Input!$P:$P,"CY"))</f>
        <v>0</v>
      </c>
      <c r="H73" s="53" t="n">
        <f aca="false">IF($A73="",0,SUMIFS(GL_Input!$U:$U,GL_Input!$N:$N,$A73,GL_Input!$Q:$Q,"N",GL_Input!$P:$P,"EU"))</f>
        <v>0</v>
      </c>
      <c r="I73" s="53" t="n">
        <f aca="false">IF($A73="",0,SUMIFS(GL_Input!$U:$U,GL_Input!$N:$N,$A73,GL_Input!$Q:$Q,"N",GL_Input!$P:$P,"3RD"))</f>
        <v>0</v>
      </c>
      <c r="J73" s="53" t="n">
        <f aca="false">IF($A73="",0,SUMIFS(GL_Input!$U:$U,GL_Input!$N:$N,$A73,GL_Input!$P:$P,""))</f>
        <v>0</v>
      </c>
      <c r="K73" s="54" t="n">
        <f aca="false">SUM(D73:J73)</f>
        <v>0</v>
      </c>
      <c r="L73" s="15" t="str">
        <f aca="false">IF(ROUND(K73-VAT_Codes!T73,2)=0,"OK","CHECK")</f>
        <v>OK</v>
      </c>
    </row>
    <row r="74" customFormat="false" ht="15" hidden="false" customHeight="false" outlineLevel="0" collapsed="false">
      <c r="A74" s="30" t="str">
        <f aca="false">IF(VAT_Codes!A74="","",VAT_Codes!A74)</f>
        <v/>
      </c>
      <c r="B74" s="30" t="str">
        <f aca="false">IF(VAT_Codes!B74="","",VAT_Codes!B74)</f>
        <v/>
      </c>
      <c r="C74" s="30" t="str">
        <f aca="false">IF(VAT_Codes!C74="","",VAT_Codes!C74)</f>
        <v/>
      </c>
      <c r="D74" s="53" t="n">
        <f aca="false">IF($A74="",0,SUMIFS(GL_Input!$U:$U,GL_Input!$N:$N,$A74,GL_Input!$Q:$Q,"Y",GL_Input!$P:$P,"CY"))</f>
        <v>0</v>
      </c>
      <c r="E74" s="53" t="n">
        <f aca="false">IF($A74="",0,SUMIFS(GL_Input!$U:$U,GL_Input!$N:$N,$A74,GL_Input!$Q:$Q,"Y",GL_Input!$P:$P,"EU"))</f>
        <v>0</v>
      </c>
      <c r="F74" s="53" t="n">
        <f aca="false">IF($A74="",0,SUMIFS(GL_Input!$U:$U,GL_Input!$N:$N,$A74,GL_Input!$Q:$Q,"Y",GL_Input!$P:$P,"3RD"))</f>
        <v>0</v>
      </c>
      <c r="G74" s="53" t="n">
        <f aca="false">IF($A74="",0,SUMIFS(GL_Input!$U:$U,GL_Input!$N:$N,$A74,GL_Input!$Q:$Q,"N",GL_Input!$P:$P,"CY"))</f>
        <v>0</v>
      </c>
      <c r="H74" s="53" t="n">
        <f aca="false">IF($A74="",0,SUMIFS(GL_Input!$U:$U,GL_Input!$N:$N,$A74,GL_Input!$Q:$Q,"N",GL_Input!$P:$P,"EU"))</f>
        <v>0</v>
      </c>
      <c r="I74" s="53" t="n">
        <f aca="false">IF($A74="",0,SUMIFS(GL_Input!$U:$U,GL_Input!$N:$N,$A74,GL_Input!$Q:$Q,"N",GL_Input!$P:$P,"3RD"))</f>
        <v>0</v>
      </c>
      <c r="J74" s="53" t="n">
        <f aca="false">IF($A74="",0,SUMIFS(GL_Input!$U:$U,GL_Input!$N:$N,$A74,GL_Input!$P:$P,""))</f>
        <v>0</v>
      </c>
      <c r="K74" s="54" t="n">
        <f aca="false">SUM(D74:J74)</f>
        <v>0</v>
      </c>
      <c r="L74" s="15" t="str">
        <f aca="false">IF(ROUND(K74-VAT_Codes!T74,2)=0,"OK","CHECK")</f>
        <v>OK</v>
      </c>
    </row>
    <row r="75" customFormat="false" ht="15" hidden="false" customHeight="false" outlineLevel="0" collapsed="false">
      <c r="A75" s="30" t="str">
        <f aca="false">IF(VAT_Codes!A75="","",VAT_Codes!A75)</f>
        <v/>
      </c>
      <c r="B75" s="30" t="str">
        <f aca="false">IF(VAT_Codes!B75="","",VAT_Codes!B75)</f>
        <v/>
      </c>
      <c r="C75" s="30" t="str">
        <f aca="false">IF(VAT_Codes!C75="","",VAT_Codes!C75)</f>
        <v/>
      </c>
      <c r="D75" s="53" t="n">
        <f aca="false">IF($A75="",0,SUMIFS(GL_Input!$U:$U,GL_Input!$N:$N,$A75,GL_Input!$Q:$Q,"Y",GL_Input!$P:$P,"CY"))</f>
        <v>0</v>
      </c>
      <c r="E75" s="53" t="n">
        <f aca="false">IF($A75="",0,SUMIFS(GL_Input!$U:$U,GL_Input!$N:$N,$A75,GL_Input!$Q:$Q,"Y",GL_Input!$P:$P,"EU"))</f>
        <v>0</v>
      </c>
      <c r="F75" s="53" t="n">
        <f aca="false">IF($A75="",0,SUMIFS(GL_Input!$U:$U,GL_Input!$N:$N,$A75,GL_Input!$Q:$Q,"Y",GL_Input!$P:$P,"3RD"))</f>
        <v>0</v>
      </c>
      <c r="G75" s="53" t="n">
        <f aca="false">IF($A75="",0,SUMIFS(GL_Input!$U:$U,GL_Input!$N:$N,$A75,GL_Input!$Q:$Q,"N",GL_Input!$P:$P,"CY"))</f>
        <v>0</v>
      </c>
      <c r="H75" s="53" t="n">
        <f aca="false">IF($A75="",0,SUMIFS(GL_Input!$U:$U,GL_Input!$N:$N,$A75,GL_Input!$Q:$Q,"N",GL_Input!$P:$P,"EU"))</f>
        <v>0</v>
      </c>
      <c r="I75" s="53" t="n">
        <f aca="false">IF($A75="",0,SUMIFS(GL_Input!$U:$U,GL_Input!$N:$N,$A75,GL_Input!$Q:$Q,"N",GL_Input!$P:$P,"3RD"))</f>
        <v>0</v>
      </c>
      <c r="J75" s="53" t="n">
        <f aca="false">IF($A75="",0,SUMIFS(GL_Input!$U:$U,GL_Input!$N:$N,$A75,GL_Input!$P:$P,""))</f>
        <v>0</v>
      </c>
      <c r="K75" s="54" t="n">
        <f aca="false">SUM(D75:J75)</f>
        <v>0</v>
      </c>
      <c r="L75" s="15" t="str">
        <f aca="false">IF(ROUND(K75-VAT_Codes!T75,2)=0,"OK","CHECK")</f>
        <v>OK</v>
      </c>
    </row>
    <row r="76" customFormat="false" ht="15" hidden="false" customHeight="false" outlineLevel="0" collapsed="false">
      <c r="A76" s="30" t="str">
        <f aca="false">IF(VAT_Codes!A76="","",VAT_Codes!A76)</f>
        <v/>
      </c>
      <c r="B76" s="30" t="str">
        <f aca="false">IF(VAT_Codes!B76="","",VAT_Codes!B76)</f>
        <v/>
      </c>
      <c r="C76" s="30" t="str">
        <f aca="false">IF(VAT_Codes!C76="","",VAT_Codes!C76)</f>
        <v/>
      </c>
      <c r="D76" s="53" t="n">
        <f aca="false">IF($A76="",0,SUMIFS(GL_Input!$U:$U,GL_Input!$N:$N,$A76,GL_Input!$Q:$Q,"Y",GL_Input!$P:$P,"CY"))</f>
        <v>0</v>
      </c>
      <c r="E76" s="53" t="n">
        <f aca="false">IF($A76="",0,SUMIFS(GL_Input!$U:$U,GL_Input!$N:$N,$A76,GL_Input!$Q:$Q,"Y",GL_Input!$P:$P,"EU"))</f>
        <v>0</v>
      </c>
      <c r="F76" s="53" t="n">
        <f aca="false">IF($A76="",0,SUMIFS(GL_Input!$U:$U,GL_Input!$N:$N,$A76,GL_Input!$Q:$Q,"Y",GL_Input!$P:$P,"3RD"))</f>
        <v>0</v>
      </c>
      <c r="G76" s="53" t="n">
        <f aca="false">IF($A76="",0,SUMIFS(GL_Input!$U:$U,GL_Input!$N:$N,$A76,GL_Input!$Q:$Q,"N",GL_Input!$P:$P,"CY"))</f>
        <v>0</v>
      </c>
      <c r="H76" s="53" t="n">
        <f aca="false">IF($A76="",0,SUMIFS(GL_Input!$U:$U,GL_Input!$N:$N,$A76,GL_Input!$Q:$Q,"N",GL_Input!$P:$P,"EU"))</f>
        <v>0</v>
      </c>
      <c r="I76" s="53" t="n">
        <f aca="false">IF($A76="",0,SUMIFS(GL_Input!$U:$U,GL_Input!$N:$N,$A76,GL_Input!$Q:$Q,"N",GL_Input!$P:$P,"3RD"))</f>
        <v>0</v>
      </c>
      <c r="J76" s="53" t="n">
        <f aca="false">IF($A76="",0,SUMIFS(GL_Input!$U:$U,GL_Input!$N:$N,$A76,GL_Input!$P:$P,""))</f>
        <v>0</v>
      </c>
      <c r="K76" s="54" t="n">
        <f aca="false">SUM(D76:J76)</f>
        <v>0</v>
      </c>
      <c r="L76" s="15" t="str">
        <f aca="false">IF(ROUND(K76-VAT_Codes!T76,2)=0,"OK","CHECK")</f>
        <v>OK</v>
      </c>
    </row>
    <row r="77" customFormat="false" ht="15" hidden="false" customHeight="false" outlineLevel="0" collapsed="false">
      <c r="A77" s="30" t="str">
        <f aca="false">IF(VAT_Codes!A77="","",VAT_Codes!A77)</f>
        <v/>
      </c>
      <c r="B77" s="30" t="str">
        <f aca="false">IF(VAT_Codes!B77="","",VAT_Codes!B77)</f>
        <v/>
      </c>
      <c r="C77" s="30" t="str">
        <f aca="false">IF(VAT_Codes!C77="","",VAT_Codes!C77)</f>
        <v/>
      </c>
      <c r="D77" s="53" t="n">
        <f aca="false">IF($A77="",0,SUMIFS(GL_Input!$U:$U,GL_Input!$N:$N,$A77,GL_Input!$Q:$Q,"Y",GL_Input!$P:$P,"CY"))</f>
        <v>0</v>
      </c>
      <c r="E77" s="53" t="n">
        <f aca="false">IF($A77="",0,SUMIFS(GL_Input!$U:$U,GL_Input!$N:$N,$A77,GL_Input!$Q:$Q,"Y",GL_Input!$P:$P,"EU"))</f>
        <v>0</v>
      </c>
      <c r="F77" s="53" t="n">
        <f aca="false">IF($A77="",0,SUMIFS(GL_Input!$U:$U,GL_Input!$N:$N,$A77,GL_Input!$Q:$Q,"Y",GL_Input!$P:$P,"3RD"))</f>
        <v>0</v>
      </c>
      <c r="G77" s="53" t="n">
        <f aca="false">IF($A77="",0,SUMIFS(GL_Input!$U:$U,GL_Input!$N:$N,$A77,GL_Input!$Q:$Q,"N",GL_Input!$P:$P,"CY"))</f>
        <v>0</v>
      </c>
      <c r="H77" s="53" t="n">
        <f aca="false">IF($A77="",0,SUMIFS(GL_Input!$U:$U,GL_Input!$N:$N,$A77,GL_Input!$Q:$Q,"N",GL_Input!$P:$P,"EU"))</f>
        <v>0</v>
      </c>
      <c r="I77" s="53" t="n">
        <f aca="false">IF($A77="",0,SUMIFS(GL_Input!$U:$U,GL_Input!$N:$N,$A77,GL_Input!$Q:$Q,"N",GL_Input!$P:$P,"3RD"))</f>
        <v>0</v>
      </c>
      <c r="J77" s="53" t="n">
        <f aca="false">IF($A77="",0,SUMIFS(GL_Input!$U:$U,GL_Input!$N:$N,$A77,GL_Input!$P:$P,""))</f>
        <v>0</v>
      </c>
      <c r="K77" s="54" t="n">
        <f aca="false">SUM(D77:J77)</f>
        <v>0</v>
      </c>
      <c r="L77" s="15" t="str">
        <f aca="false">IF(ROUND(K77-VAT_Codes!T77,2)=0,"OK","CHECK")</f>
        <v>OK</v>
      </c>
    </row>
    <row r="78" customFormat="false" ht="15" hidden="false" customHeight="false" outlineLevel="0" collapsed="false">
      <c r="A78" s="30" t="str">
        <f aca="false">IF(VAT_Codes!A78="","",VAT_Codes!A78)</f>
        <v/>
      </c>
      <c r="B78" s="30" t="str">
        <f aca="false">IF(VAT_Codes!B78="","",VAT_Codes!B78)</f>
        <v/>
      </c>
      <c r="C78" s="30" t="str">
        <f aca="false">IF(VAT_Codes!C78="","",VAT_Codes!C78)</f>
        <v/>
      </c>
      <c r="D78" s="53" t="n">
        <f aca="false">IF($A78="",0,SUMIFS(GL_Input!$U:$U,GL_Input!$N:$N,$A78,GL_Input!$Q:$Q,"Y",GL_Input!$P:$P,"CY"))</f>
        <v>0</v>
      </c>
      <c r="E78" s="53" t="n">
        <f aca="false">IF($A78="",0,SUMIFS(GL_Input!$U:$U,GL_Input!$N:$N,$A78,GL_Input!$Q:$Q,"Y",GL_Input!$P:$P,"EU"))</f>
        <v>0</v>
      </c>
      <c r="F78" s="53" t="n">
        <f aca="false">IF($A78="",0,SUMIFS(GL_Input!$U:$U,GL_Input!$N:$N,$A78,GL_Input!$Q:$Q,"Y",GL_Input!$P:$P,"3RD"))</f>
        <v>0</v>
      </c>
      <c r="G78" s="53" t="n">
        <f aca="false">IF($A78="",0,SUMIFS(GL_Input!$U:$U,GL_Input!$N:$N,$A78,GL_Input!$Q:$Q,"N",GL_Input!$P:$P,"CY"))</f>
        <v>0</v>
      </c>
      <c r="H78" s="53" t="n">
        <f aca="false">IF($A78="",0,SUMIFS(GL_Input!$U:$U,GL_Input!$N:$N,$A78,GL_Input!$Q:$Q,"N",GL_Input!$P:$P,"EU"))</f>
        <v>0</v>
      </c>
      <c r="I78" s="53" t="n">
        <f aca="false">IF($A78="",0,SUMIFS(GL_Input!$U:$U,GL_Input!$N:$N,$A78,GL_Input!$Q:$Q,"N",GL_Input!$P:$P,"3RD"))</f>
        <v>0</v>
      </c>
      <c r="J78" s="53" t="n">
        <f aca="false">IF($A78="",0,SUMIFS(GL_Input!$U:$U,GL_Input!$N:$N,$A78,GL_Input!$P:$P,""))</f>
        <v>0</v>
      </c>
      <c r="K78" s="54" t="n">
        <f aca="false">SUM(D78:J78)</f>
        <v>0</v>
      </c>
      <c r="L78" s="15" t="str">
        <f aca="false">IF(ROUND(K78-VAT_Codes!T78,2)=0,"OK","CHECK")</f>
        <v>OK</v>
      </c>
    </row>
    <row r="79" customFormat="false" ht="15" hidden="false" customHeight="false" outlineLevel="0" collapsed="false">
      <c r="A79" s="30" t="str">
        <f aca="false">IF(VAT_Codes!A79="","",VAT_Codes!A79)</f>
        <v/>
      </c>
      <c r="B79" s="30" t="str">
        <f aca="false">IF(VAT_Codes!B79="","",VAT_Codes!B79)</f>
        <v/>
      </c>
      <c r="C79" s="30" t="str">
        <f aca="false">IF(VAT_Codes!C79="","",VAT_Codes!C79)</f>
        <v/>
      </c>
      <c r="D79" s="53" t="n">
        <f aca="false">IF($A79="",0,SUMIFS(GL_Input!$U:$U,GL_Input!$N:$N,$A79,GL_Input!$Q:$Q,"Y",GL_Input!$P:$P,"CY"))</f>
        <v>0</v>
      </c>
      <c r="E79" s="53" t="n">
        <f aca="false">IF($A79="",0,SUMIFS(GL_Input!$U:$U,GL_Input!$N:$N,$A79,GL_Input!$Q:$Q,"Y",GL_Input!$P:$P,"EU"))</f>
        <v>0</v>
      </c>
      <c r="F79" s="53" t="n">
        <f aca="false">IF($A79="",0,SUMIFS(GL_Input!$U:$U,GL_Input!$N:$N,$A79,GL_Input!$Q:$Q,"Y",GL_Input!$P:$P,"3RD"))</f>
        <v>0</v>
      </c>
      <c r="G79" s="53" t="n">
        <f aca="false">IF($A79="",0,SUMIFS(GL_Input!$U:$U,GL_Input!$N:$N,$A79,GL_Input!$Q:$Q,"N",GL_Input!$P:$P,"CY"))</f>
        <v>0</v>
      </c>
      <c r="H79" s="53" t="n">
        <f aca="false">IF($A79="",0,SUMIFS(GL_Input!$U:$U,GL_Input!$N:$N,$A79,GL_Input!$Q:$Q,"N",GL_Input!$P:$P,"EU"))</f>
        <v>0</v>
      </c>
      <c r="I79" s="53" t="n">
        <f aca="false">IF($A79="",0,SUMIFS(GL_Input!$U:$U,GL_Input!$N:$N,$A79,GL_Input!$Q:$Q,"N",GL_Input!$P:$P,"3RD"))</f>
        <v>0</v>
      </c>
      <c r="J79" s="53" t="n">
        <f aca="false">IF($A79="",0,SUMIFS(GL_Input!$U:$U,GL_Input!$N:$N,$A79,GL_Input!$P:$P,""))</f>
        <v>0</v>
      </c>
      <c r="K79" s="54" t="n">
        <f aca="false">SUM(D79:J79)</f>
        <v>0</v>
      </c>
      <c r="L79" s="15" t="str">
        <f aca="false">IF(ROUND(K79-VAT_Codes!T79,2)=0,"OK","CHECK")</f>
        <v>OK</v>
      </c>
    </row>
    <row r="80" customFormat="false" ht="15" hidden="false" customHeight="false" outlineLevel="0" collapsed="false">
      <c r="A80" s="30" t="str">
        <f aca="false">IF(VAT_Codes!A80="","",VAT_Codes!A80)</f>
        <v/>
      </c>
      <c r="B80" s="30" t="str">
        <f aca="false">IF(VAT_Codes!B80="","",VAT_Codes!B80)</f>
        <v/>
      </c>
      <c r="C80" s="30" t="str">
        <f aca="false">IF(VAT_Codes!C80="","",VAT_Codes!C80)</f>
        <v/>
      </c>
      <c r="D80" s="53" t="n">
        <f aca="false">IF($A80="",0,SUMIFS(GL_Input!$U:$U,GL_Input!$N:$N,$A80,GL_Input!$Q:$Q,"Y",GL_Input!$P:$P,"CY"))</f>
        <v>0</v>
      </c>
      <c r="E80" s="53" t="n">
        <f aca="false">IF($A80="",0,SUMIFS(GL_Input!$U:$U,GL_Input!$N:$N,$A80,GL_Input!$Q:$Q,"Y",GL_Input!$P:$P,"EU"))</f>
        <v>0</v>
      </c>
      <c r="F80" s="53" t="n">
        <f aca="false">IF($A80="",0,SUMIFS(GL_Input!$U:$U,GL_Input!$N:$N,$A80,GL_Input!$Q:$Q,"Y",GL_Input!$P:$P,"3RD"))</f>
        <v>0</v>
      </c>
      <c r="G80" s="53" t="n">
        <f aca="false">IF($A80="",0,SUMIFS(GL_Input!$U:$U,GL_Input!$N:$N,$A80,GL_Input!$Q:$Q,"N",GL_Input!$P:$P,"CY"))</f>
        <v>0</v>
      </c>
      <c r="H80" s="53" t="n">
        <f aca="false">IF($A80="",0,SUMIFS(GL_Input!$U:$U,GL_Input!$N:$N,$A80,GL_Input!$Q:$Q,"N",GL_Input!$P:$P,"EU"))</f>
        <v>0</v>
      </c>
      <c r="I80" s="53" t="n">
        <f aca="false">IF($A80="",0,SUMIFS(GL_Input!$U:$U,GL_Input!$N:$N,$A80,GL_Input!$Q:$Q,"N",GL_Input!$P:$P,"3RD"))</f>
        <v>0</v>
      </c>
      <c r="J80" s="53" t="n">
        <f aca="false">IF($A80="",0,SUMIFS(GL_Input!$U:$U,GL_Input!$N:$N,$A80,GL_Input!$P:$P,""))</f>
        <v>0</v>
      </c>
      <c r="K80" s="54" t="n">
        <f aca="false">SUM(D80:J80)</f>
        <v>0</v>
      </c>
      <c r="L80" s="15" t="str">
        <f aca="false">IF(ROUND(K80-VAT_Codes!T80,2)=0,"OK","CHECK")</f>
        <v>OK</v>
      </c>
    </row>
    <row r="81" customFormat="false" ht="15" hidden="false" customHeight="false" outlineLevel="0" collapsed="false">
      <c r="B81" s="6" t="s">
        <v>407</v>
      </c>
      <c r="D81" s="37" t="n">
        <f aca="false">SUM(D5:D80)</f>
        <v>0</v>
      </c>
      <c r="E81" s="37" t="n">
        <f aca="false">SUM(E5:E80)</f>
        <v>40000</v>
      </c>
      <c r="F81" s="37" t="n">
        <f aca="false">SUM(F5:F80)</f>
        <v>25753.28</v>
      </c>
      <c r="G81" s="37" t="n">
        <f aca="false">SUM(G5:G80)</f>
        <v>12300</v>
      </c>
      <c r="H81" s="37" t="n">
        <f aca="false">SUM(H5:H80)</f>
        <v>13000</v>
      </c>
      <c r="I81" s="37" t="n">
        <f aca="false">SUM(I5:I80)</f>
        <v>14765.21</v>
      </c>
      <c r="J81" s="37" t="n">
        <f aca="false">SUM(J5:J80)</f>
        <v>700</v>
      </c>
      <c r="K81" s="37" t="n">
        <f aca="false">SUM(K5:K80)</f>
        <v>106518.49</v>
      </c>
    </row>
    <row r="83" customFormat="false" ht="15" hidden="false" customHeight="false" outlineLevel="0" collapsed="false">
      <c r="B83" s="14" t="s">
        <v>503</v>
      </c>
    </row>
    <row r="84" customFormat="false" ht="15" hidden="false" customHeight="false" outlineLevel="0" collapsed="false">
      <c r="B84" s="6" t="s">
        <v>504</v>
      </c>
      <c r="C84" s="15" t="s">
        <v>307</v>
      </c>
      <c r="D84" s="54" t="n">
        <f aca="false">SUMIFS(D$5:D$80,$C$5:$C$80,$C84)</f>
        <v>0</v>
      </c>
      <c r="E84" s="54" t="n">
        <f aca="false">SUMIFS(E$5:E$80,$C$5:$C$80,$C84)</f>
        <v>25000</v>
      </c>
      <c r="F84" s="54" t="n">
        <f aca="false">SUMIFS(F$5:F$80,$C$5:$C$80,$C84)</f>
        <v>25753.28</v>
      </c>
      <c r="G84" s="54" t="n">
        <f aca="false">SUMIFS(G$5:G$80,$C$5:$C$80,$C84)</f>
        <v>10000</v>
      </c>
      <c r="H84" s="54" t="n">
        <f aca="false">SUMIFS(H$5:H$80,$C$5:$C$80,$C84)</f>
        <v>8000</v>
      </c>
      <c r="I84" s="54" t="n">
        <f aca="false">SUMIFS(I$5:I$80,$C$5:$C$80,$C84)</f>
        <v>10301.31</v>
      </c>
      <c r="J84" s="54" t="n">
        <f aca="false">SUMIFS(J$5:J$80,$C$5:$C$80,$C84)</f>
        <v>0</v>
      </c>
      <c r="K84" s="54" t="n">
        <f aca="false">SUMIFS(K$5:K$80,$C$5:$C$80,$C84)</f>
        <v>79054.59</v>
      </c>
    </row>
    <row r="85" customFormat="false" ht="15" hidden="false" customHeight="false" outlineLevel="0" collapsed="false">
      <c r="B85" s="6" t="s">
        <v>505</v>
      </c>
      <c r="C85" s="15" t="s">
        <v>354</v>
      </c>
      <c r="D85" s="54" t="n">
        <f aca="false">SUMIFS(D$5:D$80,$C$5:$C$80,$C85)</f>
        <v>0</v>
      </c>
      <c r="E85" s="54" t="n">
        <f aca="false">SUMIFS(E$5:E$80,$C$5:$C$80,$C85)</f>
        <v>15000</v>
      </c>
      <c r="F85" s="54" t="n">
        <f aca="false">SUMIFS(F$5:F$80,$C$5:$C$80,$C85)</f>
        <v>0</v>
      </c>
      <c r="G85" s="54" t="n">
        <f aca="false">SUMIFS(G$5:G$80,$C$5:$C$80,$C85)</f>
        <v>2300</v>
      </c>
      <c r="H85" s="54" t="n">
        <f aca="false">SUMIFS(H$5:H$80,$C$5:$C$80,$C85)</f>
        <v>5000</v>
      </c>
      <c r="I85" s="54" t="n">
        <f aca="false">SUMIFS(I$5:I$80,$C$5:$C$80,$C85)</f>
        <v>4463.9</v>
      </c>
      <c r="J85" s="54" t="n">
        <f aca="false">SUMIFS(J$5:J$80,$C$5:$C$80,$C85)</f>
        <v>700</v>
      </c>
      <c r="K85" s="54" t="n">
        <f aca="false">SUMIFS(K$5:K$80,$C$5:$C$80,$C85)</f>
        <v>27463.9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8"/>
    <col collapsed="false" customWidth="true" hidden="false" outlineLevel="0" max="4" min="4" style="0" width="18"/>
    <col collapsed="false" customWidth="true" hidden="false" outlineLevel="0" max="5" min="5" style="0" width="5"/>
    <col collapsed="false" customWidth="true" hidden="false" outlineLevel="0" max="15" min="6" style="0" width="12"/>
    <col collapsed="false" customWidth="true" hidden="false" outlineLevel="0" max="16" min="16" style="0" width="22"/>
  </cols>
  <sheetData>
    <row r="1" customFormat="false" ht="17.35" hidden="false" customHeight="false" outlineLevel="0" collapsed="false">
      <c r="A1" s="1" t="s">
        <v>506</v>
      </c>
    </row>
    <row r="2" customFormat="false" ht="15" hidden="false" customHeight="false" outlineLevel="0" collapsed="false">
      <c r="A2" s="2" t="s">
        <v>507</v>
      </c>
    </row>
    <row r="4" customFormat="false" ht="30" hidden="false" customHeight="true" outlineLevel="0" collapsed="false">
      <c r="A4" s="19" t="s">
        <v>112</v>
      </c>
      <c r="B4" s="19" t="s">
        <v>260</v>
      </c>
      <c r="C4" s="19" t="s">
        <v>146</v>
      </c>
      <c r="D4" s="19" t="s">
        <v>424</v>
      </c>
      <c r="E4" s="19" t="s">
        <v>508</v>
      </c>
      <c r="F4" s="19" t="s">
        <v>509</v>
      </c>
      <c r="G4" s="19" t="s">
        <v>510</v>
      </c>
      <c r="H4" s="19" t="s">
        <v>511</v>
      </c>
      <c r="I4" s="19" t="s">
        <v>512</v>
      </c>
      <c r="J4" s="19" t="s">
        <v>513</v>
      </c>
      <c r="K4" s="19" t="s">
        <v>514</v>
      </c>
      <c r="L4" s="19" t="s">
        <v>515</v>
      </c>
      <c r="M4" s="19" t="s">
        <v>516</v>
      </c>
      <c r="N4" s="19" t="s">
        <v>517</v>
      </c>
      <c r="O4" s="19" t="s">
        <v>501</v>
      </c>
      <c r="P4" s="19" t="s">
        <v>518</v>
      </c>
    </row>
    <row r="5" customFormat="false" ht="15" hidden="false" customHeight="false" outlineLevel="0" collapsed="false">
      <c r="A5" s="30" t="str">
        <f aca="false">IF(Counterparties!A5="","",Counterparties!A5)</f>
        <v>C-CY01</v>
      </c>
      <c r="B5" s="30" t="str">
        <f aca="false">IF(Counterparties!B5="","",Counterparties!B5)</f>
        <v>Limassol Trading Ltd</v>
      </c>
      <c r="C5" s="30" t="str">
        <f aca="false">IF(Counterparties!C5="","",Counterparties!C5)</f>
        <v>CY</v>
      </c>
      <c r="D5" s="30" t="str">
        <f aca="false">IF(Counterparties!D5="","",Counterparties!D5)</f>
        <v>CY10111111A</v>
      </c>
      <c r="E5" s="30" t="str">
        <f aca="false">IF(Counterparties!E5="","",Counterparties!E5)</f>
        <v>N</v>
      </c>
      <c r="F5" s="53" t="n">
        <f aca="false">IF($A5="",0,SUMIFS(GL_Input!$U:$U,GL_Input!$F:$F,$A5,GL_Input!$X:$X,"G",GL_Input!$Y:$Y,1))</f>
        <v>0</v>
      </c>
      <c r="G5" s="53" t="n">
        <f aca="false">IF($A5="",0,SUMIFS(GL_Input!$U:$U,GL_Input!$F:$F,$A5,GL_Input!$X:$X,"G",GL_Input!$Y:$Y,2))</f>
        <v>0</v>
      </c>
      <c r="H5" s="53" t="n">
        <f aca="false">IF($A5="",0,SUMIFS(GL_Input!$U:$U,GL_Input!$F:$F,$A5,GL_Input!$X:$X,"G",GL_Input!$Y:$Y,3))</f>
        <v>0</v>
      </c>
      <c r="I5" s="53" t="n">
        <f aca="false">IF($A5="",0,SUMIFS(GL_Input!$U:$U,GL_Input!$F:$F,$A5,GL_Input!$X:$X,"T",GL_Input!$Y:$Y,1))</f>
        <v>0</v>
      </c>
      <c r="J5" s="53" t="n">
        <f aca="false">IF($A5="",0,SUMIFS(GL_Input!$U:$U,GL_Input!$F:$F,$A5,GL_Input!$X:$X,"T",GL_Input!$Y:$Y,2))</f>
        <v>0</v>
      </c>
      <c r="K5" s="53" t="n">
        <f aca="false">IF($A5="",0,SUMIFS(GL_Input!$U:$U,GL_Input!$F:$F,$A5,GL_Input!$X:$X,"T",GL_Input!$Y:$Y,3))</f>
        <v>0</v>
      </c>
      <c r="L5" s="53" t="n">
        <f aca="false">IF($A5="",0,SUMIFS(GL_Input!$U:$U,GL_Input!$F:$F,$A5,GL_Input!$X:$X,"S",GL_Input!$Y:$Y,1))</f>
        <v>0</v>
      </c>
      <c r="M5" s="53" t="n">
        <f aca="false">IF($A5="",0,SUMIFS(GL_Input!$U:$U,GL_Input!$F:$F,$A5,GL_Input!$X:$X,"S",GL_Input!$Y:$Y,2))</f>
        <v>0</v>
      </c>
      <c r="N5" s="53" t="n">
        <f aca="false">IF($A5="",0,SUMIFS(GL_Input!$U:$U,GL_Input!$F:$F,$A5,GL_Input!$X:$X,"S",GL_Input!$Y:$Y,3))</f>
        <v>0</v>
      </c>
      <c r="O5" s="54" t="n">
        <f aca="false">SUM(F5:N5)</f>
        <v>0</v>
      </c>
      <c r="P5" s="15" t="str">
        <f aca="false">IF(O5=0,"",IF($D5="","MISSING VAT NO.",IF(OR($C5="",$C5="CY",Counterparties!G5&lt;&gt;"EU"),"NOT AN EU CUSTOMER","OK")))</f>
        <v/>
      </c>
    </row>
    <row r="6" customFormat="false" ht="15" hidden="false" customHeight="false" outlineLevel="0" collapsed="false">
      <c r="A6" s="30" t="str">
        <f aca="false">IF(Counterparties!A6="","",Counterparties!A6)</f>
        <v>IC-DE01</v>
      </c>
      <c r="B6" s="30" t="str">
        <f aca="false">IF(Counterparties!B6="","",Counterparties!B6)</f>
        <v>Example GmbH (group)</v>
      </c>
      <c r="C6" s="30" t="str">
        <f aca="false">IF(Counterparties!C6="","",Counterparties!C6)</f>
        <v>DE</v>
      </c>
      <c r="D6" s="30" t="str">
        <f aca="false">IF(Counterparties!D6="","",Counterparties!D6)</f>
        <v>DE123456789</v>
      </c>
      <c r="E6" s="30" t="str">
        <f aca="false">IF(Counterparties!E6="","",Counterparties!E6)</f>
        <v>Y</v>
      </c>
      <c r="F6" s="53" t="n">
        <f aca="false">IF($A6="",0,SUMIFS(GL_Input!$U:$U,GL_Input!$F:$F,$A6,GL_Input!$X:$X,"G",GL_Input!$Y:$Y,1))</f>
        <v>0</v>
      </c>
      <c r="G6" s="53" t="n">
        <f aca="false">IF($A6="",0,SUMIFS(GL_Input!$U:$U,GL_Input!$F:$F,$A6,GL_Input!$X:$X,"G",GL_Input!$Y:$Y,2))</f>
        <v>0</v>
      </c>
      <c r="H6" s="53" t="n">
        <f aca="false">IF($A6="",0,SUMIFS(GL_Input!$U:$U,GL_Input!$F:$F,$A6,GL_Input!$X:$X,"G",GL_Input!$Y:$Y,3))</f>
        <v>0</v>
      </c>
      <c r="I6" s="53" t="n">
        <f aca="false">IF($A6="",0,SUMIFS(GL_Input!$U:$U,GL_Input!$F:$F,$A6,GL_Input!$X:$X,"T",GL_Input!$Y:$Y,1))</f>
        <v>0</v>
      </c>
      <c r="J6" s="53" t="n">
        <f aca="false">IF($A6="",0,SUMIFS(GL_Input!$U:$U,GL_Input!$F:$F,$A6,GL_Input!$X:$X,"T",GL_Input!$Y:$Y,2))</f>
        <v>0</v>
      </c>
      <c r="K6" s="53" t="n">
        <f aca="false">IF($A6="",0,SUMIFS(GL_Input!$U:$U,GL_Input!$F:$F,$A6,GL_Input!$X:$X,"T",GL_Input!$Y:$Y,3))</f>
        <v>0</v>
      </c>
      <c r="L6" s="53" t="n">
        <f aca="false">IF($A6="",0,SUMIFS(GL_Input!$U:$U,GL_Input!$F:$F,$A6,GL_Input!$X:$X,"S",GL_Input!$Y:$Y,1))</f>
        <v>25000</v>
      </c>
      <c r="M6" s="53" t="n">
        <f aca="false">IF($A6="",0,SUMIFS(GL_Input!$U:$U,GL_Input!$F:$F,$A6,GL_Input!$X:$X,"S",GL_Input!$Y:$Y,2))</f>
        <v>0</v>
      </c>
      <c r="N6" s="53" t="n">
        <f aca="false">IF($A6="",0,SUMIFS(GL_Input!$U:$U,GL_Input!$F:$F,$A6,GL_Input!$X:$X,"S",GL_Input!$Y:$Y,3))</f>
        <v>0</v>
      </c>
      <c r="O6" s="54" t="n">
        <f aca="false">SUM(F6:N6)</f>
        <v>25000</v>
      </c>
      <c r="P6" s="15" t="str">
        <f aca="false">IF(O6=0,"",IF($D6="","MISSING VAT NO.",IF(OR($C6="",$C6="CY",Counterparties!G6&lt;&gt;"EU"),"NOT AN EU CUSTOMER","OK")))</f>
        <v>OK</v>
      </c>
    </row>
    <row r="7" customFormat="false" ht="15" hidden="false" customHeight="false" outlineLevel="0" collapsed="false">
      <c r="A7" s="30" t="str">
        <f aca="false">IF(Counterparties!A7="","",Counterparties!A7)</f>
        <v>IC-AE01</v>
      </c>
      <c r="B7" s="30" t="str">
        <f aca="false">IF(Counterparties!B7="","",Counterparties!B7)</f>
        <v>Example FZE Dubai (group)</v>
      </c>
      <c r="C7" s="30" t="str">
        <f aca="false">IF(Counterparties!C7="","",Counterparties!C7)</f>
        <v>AE</v>
      </c>
      <c r="D7" s="30" t="str">
        <f aca="false">IF(Counterparties!D7="","",Counterparties!D7)</f>
        <v/>
      </c>
      <c r="E7" s="30" t="str">
        <f aca="false">IF(Counterparties!E7="","",Counterparties!E7)</f>
        <v>Y</v>
      </c>
      <c r="F7" s="53" t="n">
        <f aca="false">IF($A7="",0,SUMIFS(GL_Input!$U:$U,GL_Input!$F:$F,$A7,GL_Input!$X:$X,"G",GL_Input!$Y:$Y,1))</f>
        <v>0</v>
      </c>
      <c r="G7" s="53" t="n">
        <f aca="false">IF($A7="",0,SUMIFS(GL_Input!$U:$U,GL_Input!$F:$F,$A7,GL_Input!$X:$X,"G",GL_Input!$Y:$Y,2))</f>
        <v>0</v>
      </c>
      <c r="H7" s="53" t="n">
        <f aca="false">IF($A7="",0,SUMIFS(GL_Input!$U:$U,GL_Input!$F:$F,$A7,GL_Input!$X:$X,"G",GL_Input!$Y:$Y,3))</f>
        <v>0</v>
      </c>
      <c r="I7" s="53" t="n">
        <f aca="false">IF($A7="",0,SUMIFS(GL_Input!$U:$U,GL_Input!$F:$F,$A7,GL_Input!$X:$X,"T",GL_Input!$Y:$Y,1))</f>
        <v>0</v>
      </c>
      <c r="J7" s="53" t="n">
        <f aca="false">IF($A7="",0,SUMIFS(GL_Input!$U:$U,GL_Input!$F:$F,$A7,GL_Input!$X:$X,"T",GL_Input!$Y:$Y,2))</f>
        <v>0</v>
      </c>
      <c r="K7" s="53" t="n">
        <f aca="false">IF($A7="",0,SUMIFS(GL_Input!$U:$U,GL_Input!$F:$F,$A7,GL_Input!$X:$X,"T",GL_Input!$Y:$Y,3))</f>
        <v>0</v>
      </c>
      <c r="L7" s="53" t="n">
        <f aca="false">IF($A7="",0,SUMIFS(GL_Input!$U:$U,GL_Input!$F:$F,$A7,GL_Input!$X:$X,"S",GL_Input!$Y:$Y,1))</f>
        <v>0</v>
      </c>
      <c r="M7" s="53" t="n">
        <f aca="false">IF($A7="",0,SUMIFS(GL_Input!$U:$U,GL_Input!$F:$F,$A7,GL_Input!$X:$X,"S",GL_Input!$Y:$Y,2))</f>
        <v>0</v>
      </c>
      <c r="N7" s="53" t="n">
        <f aca="false">IF($A7="",0,SUMIFS(GL_Input!$U:$U,GL_Input!$F:$F,$A7,GL_Input!$X:$X,"S",GL_Input!$Y:$Y,3))</f>
        <v>0</v>
      </c>
      <c r="O7" s="54" t="n">
        <f aca="false">SUM(F7:N7)</f>
        <v>0</v>
      </c>
      <c r="P7" s="15" t="str">
        <f aca="false">IF(O7=0,"",IF($D7="","MISSING VAT NO.",IF(OR($C7="",$C7="CY",Counterparties!G7&lt;&gt;"EU"),"NOT AN EU CUSTOMER","OK")))</f>
        <v/>
      </c>
    </row>
    <row r="8" customFormat="false" ht="15" hidden="false" customHeight="false" outlineLevel="0" collapsed="false">
      <c r="A8" s="30" t="str">
        <f aca="false">IF(Counterparties!A8="","",Counterparties!A8)</f>
        <v>C-IT01</v>
      </c>
      <c r="B8" s="30" t="str">
        <f aca="false">IF(Counterparties!B8="","",Counterparties!B8)</f>
        <v>Milano Srl</v>
      </c>
      <c r="C8" s="30" t="str">
        <f aca="false">IF(Counterparties!C8="","",Counterparties!C8)</f>
        <v>IT</v>
      </c>
      <c r="D8" s="30" t="str">
        <f aca="false">IF(Counterparties!D8="","",Counterparties!D8)</f>
        <v>IT01234567890</v>
      </c>
      <c r="E8" s="30" t="str">
        <f aca="false">IF(Counterparties!E8="","",Counterparties!E8)</f>
        <v>N</v>
      </c>
      <c r="F8" s="53" t="n">
        <f aca="false">IF($A8="",0,SUMIFS(GL_Input!$U:$U,GL_Input!$F:$F,$A8,GL_Input!$X:$X,"G",GL_Input!$Y:$Y,1))</f>
        <v>0</v>
      </c>
      <c r="G8" s="53" t="n">
        <f aca="false">IF($A8="",0,SUMIFS(GL_Input!$U:$U,GL_Input!$F:$F,$A8,GL_Input!$X:$X,"G",GL_Input!$Y:$Y,2))</f>
        <v>8000</v>
      </c>
      <c r="H8" s="53" t="n">
        <f aca="false">IF($A8="",0,SUMIFS(GL_Input!$U:$U,GL_Input!$F:$F,$A8,GL_Input!$X:$X,"G",GL_Input!$Y:$Y,3))</f>
        <v>0</v>
      </c>
      <c r="I8" s="53" t="n">
        <f aca="false">IF($A8="",0,SUMIFS(GL_Input!$U:$U,GL_Input!$F:$F,$A8,GL_Input!$X:$X,"T",GL_Input!$Y:$Y,1))</f>
        <v>0</v>
      </c>
      <c r="J8" s="53" t="n">
        <f aca="false">IF($A8="",0,SUMIFS(GL_Input!$U:$U,GL_Input!$F:$F,$A8,GL_Input!$X:$X,"T",GL_Input!$Y:$Y,2))</f>
        <v>0</v>
      </c>
      <c r="K8" s="53" t="n">
        <f aca="false">IF($A8="",0,SUMIFS(GL_Input!$U:$U,GL_Input!$F:$F,$A8,GL_Input!$X:$X,"T",GL_Input!$Y:$Y,3))</f>
        <v>0</v>
      </c>
      <c r="L8" s="53" t="n">
        <f aca="false">IF($A8="",0,SUMIFS(GL_Input!$U:$U,GL_Input!$F:$F,$A8,GL_Input!$X:$X,"S",GL_Input!$Y:$Y,1))</f>
        <v>0</v>
      </c>
      <c r="M8" s="53" t="n">
        <f aca="false">IF($A8="",0,SUMIFS(GL_Input!$U:$U,GL_Input!$F:$F,$A8,GL_Input!$X:$X,"S",GL_Input!$Y:$Y,2))</f>
        <v>0</v>
      </c>
      <c r="N8" s="53" t="n">
        <f aca="false">IF($A8="",0,SUMIFS(GL_Input!$U:$U,GL_Input!$F:$F,$A8,GL_Input!$X:$X,"S",GL_Input!$Y:$Y,3))</f>
        <v>0</v>
      </c>
      <c r="O8" s="54" t="n">
        <f aca="false">SUM(F8:N8)</f>
        <v>8000</v>
      </c>
      <c r="P8" s="15" t="str">
        <f aca="false">IF(O8=0,"",IF($D8="","MISSING VAT NO.",IF(OR($C8="",$C8="CY",Counterparties!G8&lt;&gt;"EU"),"NOT AN EU CUSTOMER","OK")))</f>
        <v>OK</v>
      </c>
    </row>
    <row r="9" customFormat="false" ht="15" hidden="false" customHeight="false" outlineLevel="0" collapsed="false">
      <c r="A9" s="30" t="str">
        <f aca="false">IF(Counterparties!A9="","",Counterparties!A9)</f>
        <v>C-US01</v>
      </c>
      <c r="B9" s="30" t="str">
        <f aca="false">IF(Counterparties!B9="","",Counterparties!B9)</f>
        <v>Boston Inc</v>
      </c>
      <c r="C9" s="30" t="str">
        <f aca="false">IF(Counterparties!C9="","",Counterparties!C9)</f>
        <v>US</v>
      </c>
      <c r="D9" s="30" t="str">
        <f aca="false">IF(Counterparties!D9="","",Counterparties!D9)</f>
        <v/>
      </c>
      <c r="E9" s="30" t="str">
        <f aca="false">IF(Counterparties!E9="","",Counterparties!E9)</f>
        <v>N</v>
      </c>
      <c r="F9" s="53" t="n">
        <f aca="false">IF($A9="",0,SUMIFS(GL_Input!$U:$U,GL_Input!$F:$F,$A9,GL_Input!$X:$X,"G",GL_Input!$Y:$Y,1))</f>
        <v>0</v>
      </c>
      <c r="G9" s="53" t="n">
        <f aca="false">IF($A9="",0,SUMIFS(GL_Input!$U:$U,GL_Input!$F:$F,$A9,GL_Input!$X:$X,"G",GL_Input!$Y:$Y,2))</f>
        <v>0</v>
      </c>
      <c r="H9" s="53" t="n">
        <f aca="false">IF($A9="",0,SUMIFS(GL_Input!$U:$U,GL_Input!$F:$F,$A9,GL_Input!$X:$X,"G",GL_Input!$Y:$Y,3))</f>
        <v>0</v>
      </c>
      <c r="I9" s="53" t="n">
        <f aca="false">IF($A9="",0,SUMIFS(GL_Input!$U:$U,GL_Input!$F:$F,$A9,GL_Input!$X:$X,"T",GL_Input!$Y:$Y,1))</f>
        <v>0</v>
      </c>
      <c r="J9" s="53" t="n">
        <f aca="false">IF($A9="",0,SUMIFS(GL_Input!$U:$U,GL_Input!$F:$F,$A9,GL_Input!$X:$X,"T",GL_Input!$Y:$Y,2))</f>
        <v>0</v>
      </c>
      <c r="K9" s="53" t="n">
        <f aca="false">IF($A9="",0,SUMIFS(GL_Input!$U:$U,GL_Input!$F:$F,$A9,GL_Input!$X:$X,"T",GL_Input!$Y:$Y,3))</f>
        <v>0</v>
      </c>
      <c r="L9" s="53" t="n">
        <f aca="false">IF($A9="",0,SUMIFS(GL_Input!$U:$U,GL_Input!$F:$F,$A9,GL_Input!$X:$X,"S",GL_Input!$Y:$Y,1))</f>
        <v>0</v>
      </c>
      <c r="M9" s="53" t="n">
        <f aca="false">IF($A9="",0,SUMIFS(GL_Input!$U:$U,GL_Input!$F:$F,$A9,GL_Input!$X:$X,"S",GL_Input!$Y:$Y,2))</f>
        <v>0</v>
      </c>
      <c r="N9" s="53" t="n">
        <f aca="false">IF($A9="",0,SUMIFS(GL_Input!$U:$U,GL_Input!$F:$F,$A9,GL_Input!$X:$X,"S",GL_Input!$Y:$Y,3))</f>
        <v>0</v>
      </c>
      <c r="O9" s="54" t="n">
        <f aca="false">SUM(F9:N9)</f>
        <v>0</v>
      </c>
      <c r="P9" s="15" t="str">
        <f aca="false">IF(O9=0,"",IF($D9="","MISSING VAT NO.",IF(OR($C9="",$C9="CY",Counterparties!G9&lt;&gt;"EU"),"NOT AN EU CUSTOMER","OK")))</f>
        <v/>
      </c>
    </row>
    <row r="10" customFormat="false" ht="15" hidden="false" customHeight="false" outlineLevel="0" collapsed="false">
      <c r="A10" s="30" t="str">
        <f aca="false">IF(Counterparties!A10="","",Counterparties!A10)</f>
        <v>S-CY01</v>
      </c>
      <c r="B10" s="30" t="str">
        <f aca="false">IF(Counterparties!B10="","",Counterparties!B10)</f>
        <v>Nicosia Audit Ltd</v>
      </c>
      <c r="C10" s="30" t="str">
        <f aca="false">IF(Counterparties!C10="","",Counterparties!C10)</f>
        <v>CY</v>
      </c>
      <c r="D10" s="30" t="str">
        <f aca="false">IF(Counterparties!D10="","",Counterparties!D10)</f>
        <v>CY10222222B</v>
      </c>
      <c r="E10" s="30" t="str">
        <f aca="false">IF(Counterparties!E10="","",Counterparties!E10)</f>
        <v>N</v>
      </c>
      <c r="F10" s="53" t="n">
        <f aca="false">IF($A10="",0,SUMIFS(GL_Input!$U:$U,GL_Input!$F:$F,$A10,GL_Input!$X:$X,"G",GL_Input!$Y:$Y,1))</f>
        <v>0</v>
      </c>
      <c r="G10" s="53" t="n">
        <f aca="false">IF($A10="",0,SUMIFS(GL_Input!$U:$U,GL_Input!$F:$F,$A10,GL_Input!$X:$X,"G",GL_Input!$Y:$Y,2))</f>
        <v>0</v>
      </c>
      <c r="H10" s="53" t="n">
        <f aca="false">IF($A10="",0,SUMIFS(GL_Input!$U:$U,GL_Input!$F:$F,$A10,GL_Input!$X:$X,"G",GL_Input!$Y:$Y,3))</f>
        <v>0</v>
      </c>
      <c r="I10" s="53" t="n">
        <f aca="false">IF($A10="",0,SUMIFS(GL_Input!$U:$U,GL_Input!$F:$F,$A10,GL_Input!$X:$X,"T",GL_Input!$Y:$Y,1))</f>
        <v>0</v>
      </c>
      <c r="J10" s="53" t="n">
        <f aca="false">IF($A10="",0,SUMIFS(GL_Input!$U:$U,GL_Input!$F:$F,$A10,GL_Input!$X:$X,"T",GL_Input!$Y:$Y,2))</f>
        <v>0</v>
      </c>
      <c r="K10" s="53" t="n">
        <f aca="false">IF($A10="",0,SUMIFS(GL_Input!$U:$U,GL_Input!$F:$F,$A10,GL_Input!$X:$X,"T",GL_Input!$Y:$Y,3))</f>
        <v>0</v>
      </c>
      <c r="L10" s="53" t="n">
        <f aca="false">IF($A10="",0,SUMIFS(GL_Input!$U:$U,GL_Input!$F:$F,$A10,GL_Input!$X:$X,"S",GL_Input!$Y:$Y,1))</f>
        <v>0</v>
      </c>
      <c r="M10" s="53" t="n">
        <f aca="false">IF($A10="",0,SUMIFS(GL_Input!$U:$U,GL_Input!$F:$F,$A10,GL_Input!$X:$X,"S",GL_Input!$Y:$Y,2))</f>
        <v>0</v>
      </c>
      <c r="N10" s="53" t="n">
        <f aca="false">IF($A10="",0,SUMIFS(GL_Input!$U:$U,GL_Input!$F:$F,$A10,GL_Input!$X:$X,"S",GL_Input!$Y:$Y,3))</f>
        <v>0</v>
      </c>
      <c r="O10" s="54" t="n">
        <f aca="false">SUM(F10:N10)</f>
        <v>0</v>
      </c>
      <c r="P10" s="15" t="str">
        <f aca="false">IF(O10=0,"",IF($D10="","MISSING VAT NO.",IF(OR($C10="",$C10="CY",Counterparties!G10&lt;&gt;"EU"),"NOT AN EU CUSTOMER","OK")))</f>
        <v/>
      </c>
    </row>
    <row r="11" customFormat="false" ht="15" hidden="false" customHeight="false" outlineLevel="0" collapsed="false">
      <c r="A11" s="30" t="str">
        <f aca="false">IF(Counterparties!A11="","",Counterparties!A11)</f>
        <v>IC-NL01</v>
      </c>
      <c r="B11" s="30" t="str">
        <f aca="false">IF(Counterparties!B11="","",Counterparties!B11)</f>
        <v>Example BV (parent)</v>
      </c>
      <c r="C11" s="30" t="str">
        <f aca="false">IF(Counterparties!C11="","",Counterparties!C11)</f>
        <v>NL</v>
      </c>
      <c r="D11" s="30" t="str">
        <f aca="false">IF(Counterparties!D11="","",Counterparties!D11)</f>
        <v>NL123456789B01</v>
      </c>
      <c r="E11" s="30" t="str">
        <f aca="false">IF(Counterparties!E11="","",Counterparties!E11)</f>
        <v>Y</v>
      </c>
      <c r="F11" s="53" t="n">
        <f aca="false">IF($A11="",0,SUMIFS(GL_Input!$U:$U,GL_Input!$F:$F,$A11,GL_Input!$X:$X,"G",GL_Input!$Y:$Y,1))</f>
        <v>0</v>
      </c>
      <c r="G11" s="53" t="n">
        <f aca="false">IF($A11="",0,SUMIFS(GL_Input!$U:$U,GL_Input!$F:$F,$A11,GL_Input!$X:$X,"G",GL_Input!$Y:$Y,2))</f>
        <v>0</v>
      </c>
      <c r="H11" s="53" t="n">
        <f aca="false">IF($A11="",0,SUMIFS(GL_Input!$U:$U,GL_Input!$F:$F,$A11,GL_Input!$X:$X,"G",GL_Input!$Y:$Y,3))</f>
        <v>0</v>
      </c>
      <c r="I11" s="53" t="n">
        <f aca="false">IF($A11="",0,SUMIFS(GL_Input!$U:$U,GL_Input!$F:$F,$A11,GL_Input!$X:$X,"T",GL_Input!$Y:$Y,1))</f>
        <v>0</v>
      </c>
      <c r="J11" s="53" t="n">
        <f aca="false">IF($A11="",0,SUMIFS(GL_Input!$U:$U,GL_Input!$F:$F,$A11,GL_Input!$X:$X,"T",GL_Input!$Y:$Y,2))</f>
        <v>0</v>
      </c>
      <c r="K11" s="53" t="n">
        <f aca="false">IF($A11="",0,SUMIFS(GL_Input!$U:$U,GL_Input!$F:$F,$A11,GL_Input!$X:$X,"T",GL_Input!$Y:$Y,3))</f>
        <v>0</v>
      </c>
      <c r="L11" s="53" t="n">
        <f aca="false">IF($A11="",0,SUMIFS(GL_Input!$U:$U,GL_Input!$F:$F,$A11,GL_Input!$X:$X,"S",GL_Input!$Y:$Y,1))</f>
        <v>0</v>
      </c>
      <c r="M11" s="53" t="n">
        <f aca="false">IF($A11="",0,SUMIFS(GL_Input!$U:$U,GL_Input!$F:$F,$A11,GL_Input!$X:$X,"S",GL_Input!$Y:$Y,2))</f>
        <v>0</v>
      </c>
      <c r="N11" s="53" t="n">
        <f aca="false">IF($A11="",0,SUMIFS(GL_Input!$U:$U,GL_Input!$F:$F,$A11,GL_Input!$X:$X,"S",GL_Input!$Y:$Y,3))</f>
        <v>0</v>
      </c>
      <c r="O11" s="54" t="n">
        <f aca="false">SUM(F11:N11)</f>
        <v>0</v>
      </c>
      <c r="P11" s="15" t="str">
        <f aca="false">IF(O11=0,"",IF($D11="","MISSING VAT NO.",IF(OR($C11="",$C11="CY",Counterparties!G11&lt;&gt;"EU"),"NOT AN EU CUSTOMER","OK")))</f>
        <v/>
      </c>
    </row>
    <row r="12" customFormat="false" ht="15" hidden="false" customHeight="false" outlineLevel="0" collapsed="false">
      <c r="A12" s="30" t="str">
        <f aca="false">IF(Counterparties!A12="","",Counterparties!A12)</f>
        <v>S-US01</v>
      </c>
      <c r="B12" s="30" t="str">
        <f aca="false">IF(Counterparties!B12="","",Counterparties!B12)</f>
        <v>Cloudsoft Inc</v>
      </c>
      <c r="C12" s="30" t="str">
        <f aca="false">IF(Counterparties!C12="","",Counterparties!C12)</f>
        <v>US</v>
      </c>
      <c r="D12" s="30" t="str">
        <f aca="false">IF(Counterparties!D12="","",Counterparties!D12)</f>
        <v/>
      </c>
      <c r="E12" s="30" t="str">
        <f aca="false">IF(Counterparties!E12="","",Counterparties!E12)</f>
        <v>N</v>
      </c>
      <c r="F12" s="53" t="n">
        <f aca="false">IF($A12="",0,SUMIFS(GL_Input!$U:$U,GL_Input!$F:$F,$A12,GL_Input!$X:$X,"G",GL_Input!$Y:$Y,1))</f>
        <v>0</v>
      </c>
      <c r="G12" s="53" t="n">
        <f aca="false">IF($A12="",0,SUMIFS(GL_Input!$U:$U,GL_Input!$F:$F,$A12,GL_Input!$X:$X,"G",GL_Input!$Y:$Y,2))</f>
        <v>0</v>
      </c>
      <c r="H12" s="53" t="n">
        <f aca="false">IF($A12="",0,SUMIFS(GL_Input!$U:$U,GL_Input!$F:$F,$A12,GL_Input!$X:$X,"G",GL_Input!$Y:$Y,3))</f>
        <v>0</v>
      </c>
      <c r="I12" s="53" t="n">
        <f aca="false">IF($A12="",0,SUMIFS(GL_Input!$U:$U,GL_Input!$F:$F,$A12,GL_Input!$X:$X,"T",GL_Input!$Y:$Y,1))</f>
        <v>0</v>
      </c>
      <c r="J12" s="53" t="n">
        <f aca="false">IF($A12="",0,SUMIFS(GL_Input!$U:$U,GL_Input!$F:$F,$A12,GL_Input!$X:$X,"T",GL_Input!$Y:$Y,2))</f>
        <v>0</v>
      </c>
      <c r="K12" s="53" t="n">
        <f aca="false">IF($A12="",0,SUMIFS(GL_Input!$U:$U,GL_Input!$F:$F,$A12,GL_Input!$X:$X,"T",GL_Input!$Y:$Y,3))</f>
        <v>0</v>
      </c>
      <c r="L12" s="53" t="n">
        <f aca="false">IF($A12="",0,SUMIFS(GL_Input!$U:$U,GL_Input!$F:$F,$A12,GL_Input!$X:$X,"S",GL_Input!$Y:$Y,1))</f>
        <v>0</v>
      </c>
      <c r="M12" s="53" t="n">
        <f aca="false">IF($A12="",0,SUMIFS(GL_Input!$U:$U,GL_Input!$F:$F,$A12,GL_Input!$X:$X,"S",GL_Input!$Y:$Y,2))</f>
        <v>0</v>
      </c>
      <c r="N12" s="53" t="n">
        <f aca="false">IF($A12="",0,SUMIFS(GL_Input!$U:$U,GL_Input!$F:$F,$A12,GL_Input!$X:$X,"S",GL_Input!$Y:$Y,3))</f>
        <v>0</v>
      </c>
      <c r="O12" s="54" t="n">
        <f aca="false">SUM(F12:N12)</f>
        <v>0</v>
      </c>
      <c r="P12" s="15" t="str">
        <f aca="false">IF(O12=0,"",IF($D12="","MISSING VAT NO.",IF(OR($C12="",$C12="CY",Counterparties!G12&lt;&gt;"EU"),"NOT AN EU CUSTOMER","OK")))</f>
        <v/>
      </c>
    </row>
    <row r="13" customFormat="false" ht="15" hidden="false" customHeight="false" outlineLevel="0" collapsed="false">
      <c r="A13" s="30" t="str">
        <f aca="false">IF(Counterparties!A13="","",Counterparties!A13)</f>
        <v>S-DE01</v>
      </c>
      <c r="B13" s="30" t="str">
        <f aca="false">IF(Counterparties!B13="","",Counterparties!B13)</f>
        <v>Hamburg Supplies GmbH</v>
      </c>
      <c r="C13" s="30" t="str">
        <f aca="false">IF(Counterparties!C13="","",Counterparties!C13)</f>
        <v>DE</v>
      </c>
      <c r="D13" s="30" t="str">
        <f aca="false">IF(Counterparties!D13="","",Counterparties!D13)</f>
        <v>DE987654321</v>
      </c>
      <c r="E13" s="30" t="str">
        <f aca="false">IF(Counterparties!E13="","",Counterparties!E13)</f>
        <v>N</v>
      </c>
      <c r="F13" s="53" t="n">
        <f aca="false">IF($A13="",0,SUMIFS(GL_Input!$U:$U,GL_Input!$F:$F,$A13,GL_Input!$X:$X,"G",GL_Input!$Y:$Y,1))</f>
        <v>0</v>
      </c>
      <c r="G13" s="53" t="n">
        <f aca="false">IF($A13="",0,SUMIFS(GL_Input!$U:$U,GL_Input!$F:$F,$A13,GL_Input!$X:$X,"G",GL_Input!$Y:$Y,2))</f>
        <v>0</v>
      </c>
      <c r="H13" s="53" t="n">
        <f aca="false">IF($A13="",0,SUMIFS(GL_Input!$U:$U,GL_Input!$F:$F,$A13,GL_Input!$X:$X,"G",GL_Input!$Y:$Y,3))</f>
        <v>0</v>
      </c>
      <c r="I13" s="53" t="n">
        <f aca="false">IF($A13="",0,SUMIFS(GL_Input!$U:$U,GL_Input!$F:$F,$A13,GL_Input!$X:$X,"T",GL_Input!$Y:$Y,1))</f>
        <v>0</v>
      </c>
      <c r="J13" s="53" t="n">
        <f aca="false">IF($A13="",0,SUMIFS(GL_Input!$U:$U,GL_Input!$F:$F,$A13,GL_Input!$X:$X,"T",GL_Input!$Y:$Y,2))</f>
        <v>0</v>
      </c>
      <c r="K13" s="53" t="n">
        <f aca="false">IF($A13="",0,SUMIFS(GL_Input!$U:$U,GL_Input!$F:$F,$A13,GL_Input!$X:$X,"T",GL_Input!$Y:$Y,3))</f>
        <v>0</v>
      </c>
      <c r="L13" s="53" t="n">
        <f aca="false">IF($A13="",0,SUMIFS(GL_Input!$U:$U,GL_Input!$F:$F,$A13,GL_Input!$X:$X,"S",GL_Input!$Y:$Y,1))</f>
        <v>0</v>
      </c>
      <c r="M13" s="53" t="n">
        <f aca="false">IF($A13="",0,SUMIFS(GL_Input!$U:$U,GL_Input!$F:$F,$A13,GL_Input!$X:$X,"S",GL_Input!$Y:$Y,2))</f>
        <v>0</v>
      </c>
      <c r="N13" s="53" t="n">
        <f aca="false">IF($A13="",0,SUMIFS(GL_Input!$U:$U,GL_Input!$F:$F,$A13,GL_Input!$X:$X,"S",GL_Input!$Y:$Y,3))</f>
        <v>0</v>
      </c>
      <c r="O13" s="54" t="n">
        <f aca="false">SUM(F13:N13)</f>
        <v>0</v>
      </c>
      <c r="P13" s="15" t="str">
        <f aca="false">IF(O13=0,"",IF($D13="","MISSING VAT NO.",IF(OR($C13="",$C13="CY",Counterparties!G13&lt;&gt;"EU"),"NOT AN EU CUSTOMER","OK")))</f>
        <v/>
      </c>
    </row>
    <row r="14" customFormat="false" ht="15" hidden="false" customHeight="false" outlineLevel="0" collapsed="false">
      <c r="A14" s="30" t="str">
        <f aca="false">IF(Counterparties!A14="","",Counterparties!A14)</f>
        <v>S-CN01</v>
      </c>
      <c r="B14" s="30" t="str">
        <f aca="false">IF(Counterparties!B14="","",Counterparties!B14)</f>
        <v>Shenzhen Mfg Co</v>
      </c>
      <c r="C14" s="30" t="str">
        <f aca="false">IF(Counterparties!C14="","",Counterparties!C14)</f>
        <v>CN</v>
      </c>
      <c r="D14" s="30" t="str">
        <f aca="false">IF(Counterparties!D14="","",Counterparties!D14)</f>
        <v/>
      </c>
      <c r="E14" s="30" t="str">
        <f aca="false">IF(Counterparties!E14="","",Counterparties!E14)</f>
        <v>N</v>
      </c>
      <c r="F14" s="53" t="n">
        <f aca="false">IF($A14="",0,SUMIFS(GL_Input!$U:$U,GL_Input!$F:$F,$A14,GL_Input!$X:$X,"G",GL_Input!$Y:$Y,1))</f>
        <v>0</v>
      </c>
      <c r="G14" s="53" t="n">
        <f aca="false">IF($A14="",0,SUMIFS(GL_Input!$U:$U,GL_Input!$F:$F,$A14,GL_Input!$X:$X,"G",GL_Input!$Y:$Y,2))</f>
        <v>0</v>
      </c>
      <c r="H14" s="53" t="n">
        <f aca="false">IF($A14="",0,SUMIFS(GL_Input!$U:$U,GL_Input!$F:$F,$A14,GL_Input!$X:$X,"G",GL_Input!$Y:$Y,3))</f>
        <v>0</v>
      </c>
      <c r="I14" s="53" t="n">
        <f aca="false">IF($A14="",0,SUMIFS(GL_Input!$U:$U,GL_Input!$F:$F,$A14,GL_Input!$X:$X,"T",GL_Input!$Y:$Y,1))</f>
        <v>0</v>
      </c>
      <c r="J14" s="53" t="n">
        <f aca="false">IF($A14="",0,SUMIFS(GL_Input!$U:$U,GL_Input!$F:$F,$A14,GL_Input!$X:$X,"T",GL_Input!$Y:$Y,2))</f>
        <v>0</v>
      </c>
      <c r="K14" s="53" t="n">
        <f aca="false">IF($A14="",0,SUMIFS(GL_Input!$U:$U,GL_Input!$F:$F,$A14,GL_Input!$X:$X,"T",GL_Input!$Y:$Y,3))</f>
        <v>0</v>
      </c>
      <c r="L14" s="53" t="n">
        <f aca="false">IF($A14="",0,SUMIFS(GL_Input!$U:$U,GL_Input!$F:$F,$A14,GL_Input!$X:$X,"S",GL_Input!$Y:$Y,1))</f>
        <v>0</v>
      </c>
      <c r="M14" s="53" t="n">
        <f aca="false">IF($A14="",0,SUMIFS(GL_Input!$U:$U,GL_Input!$F:$F,$A14,GL_Input!$X:$X,"S",GL_Input!$Y:$Y,2))</f>
        <v>0</v>
      </c>
      <c r="N14" s="53" t="n">
        <f aca="false">IF($A14="",0,SUMIFS(GL_Input!$U:$U,GL_Input!$F:$F,$A14,GL_Input!$X:$X,"S",GL_Input!$Y:$Y,3))</f>
        <v>0</v>
      </c>
      <c r="O14" s="54" t="n">
        <f aca="false">SUM(F14:N14)</f>
        <v>0</v>
      </c>
      <c r="P14" s="15" t="str">
        <f aca="false">IF(O14=0,"",IF($D14="","MISSING VAT NO.",IF(OR($C14="",$C14="CY",Counterparties!G14&lt;&gt;"EU"),"NOT AN EU CUSTOMER","OK")))</f>
        <v/>
      </c>
    </row>
    <row r="15" customFormat="false" ht="15" hidden="false" customHeight="false" outlineLevel="0" collapsed="false">
      <c r="A15" s="30" t="str">
        <f aca="false">IF(Counterparties!A15="","",Counterparties!A15)</f>
        <v>S-CY02</v>
      </c>
      <c r="B15" s="30" t="str">
        <f aca="false">IF(Counterparties!B15="","",Counterparties!B15)</f>
        <v>Paphos Restaurant Ltd</v>
      </c>
      <c r="C15" s="30" t="str">
        <f aca="false">IF(Counterparties!C15="","",Counterparties!C15)</f>
        <v>CY</v>
      </c>
      <c r="D15" s="30" t="str">
        <f aca="false">IF(Counterparties!D15="","",Counterparties!D15)</f>
        <v>CY10333333C</v>
      </c>
      <c r="E15" s="30" t="str">
        <f aca="false">IF(Counterparties!E15="","",Counterparties!E15)</f>
        <v>N</v>
      </c>
      <c r="F15" s="53" t="n">
        <f aca="false">IF($A15="",0,SUMIFS(GL_Input!$U:$U,GL_Input!$F:$F,$A15,GL_Input!$X:$X,"G",GL_Input!$Y:$Y,1))</f>
        <v>0</v>
      </c>
      <c r="G15" s="53" t="n">
        <f aca="false">IF($A15="",0,SUMIFS(GL_Input!$U:$U,GL_Input!$F:$F,$A15,GL_Input!$X:$X,"G",GL_Input!$Y:$Y,2))</f>
        <v>0</v>
      </c>
      <c r="H15" s="53" t="n">
        <f aca="false">IF($A15="",0,SUMIFS(GL_Input!$U:$U,GL_Input!$F:$F,$A15,GL_Input!$X:$X,"G",GL_Input!$Y:$Y,3))</f>
        <v>0</v>
      </c>
      <c r="I15" s="53" t="n">
        <f aca="false">IF($A15="",0,SUMIFS(GL_Input!$U:$U,GL_Input!$F:$F,$A15,GL_Input!$X:$X,"T",GL_Input!$Y:$Y,1))</f>
        <v>0</v>
      </c>
      <c r="J15" s="53" t="n">
        <f aca="false">IF($A15="",0,SUMIFS(GL_Input!$U:$U,GL_Input!$F:$F,$A15,GL_Input!$X:$X,"T",GL_Input!$Y:$Y,2))</f>
        <v>0</v>
      </c>
      <c r="K15" s="53" t="n">
        <f aca="false">IF($A15="",0,SUMIFS(GL_Input!$U:$U,GL_Input!$F:$F,$A15,GL_Input!$X:$X,"T",GL_Input!$Y:$Y,3))</f>
        <v>0</v>
      </c>
      <c r="L15" s="53" t="n">
        <f aca="false">IF($A15="",0,SUMIFS(GL_Input!$U:$U,GL_Input!$F:$F,$A15,GL_Input!$X:$X,"S",GL_Input!$Y:$Y,1))</f>
        <v>0</v>
      </c>
      <c r="M15" s="53" t="n">
        <f aca="false">IF($A15="",0,SUMIFS(GL_Input!$U:$U,GL_Input!$F:$F,$A15,GL_Input!$X:$X,"S",GL_Input!$Y:$Y,2))</f>
        <v>0</v>
      </c>
      <c r="N15" s="53" t="n">
        <f aca="false">IF($A15="",0,SUMIFS(GL_Input!$U:$U,GL_Input!$F:$F,$A15,GL_Input!$X:$X,"S",GL_Input!$Y:$Y,3))</f>
        <v>0</v>
      </c>
      <c r="O15" s="54" t="n">
        <f aca="false">SUM(F15:N15)</f>
        <v>0</v>
      </c>
      <c r="P15" s="15" t="str">
        <f aca="false">IF(O15=0,"",IF($D15="","MISSING VAT NO.",IF(OR($C15="",$C15="CY",Counterparties!G15&lt;&gt;"EU"),"NOT AN EU CUSTOMER","OK")))</f>
        <v/>
      </c>
    </row>
    <row r="16" customFormat="false" ht="15" hidden="false" customHeight="false" outlineLevel="0" collapsed="false">
      <c r="A16" s="30" t="str">
        <f aca="false">IF(Counterparties!A16="","",Counterparties!A16)</f>
        <v/>
      </c>
      <c r="B16" s="30" t="str">
        <f aca="false">IF(Counterparties!B16="","",Counterparties!B16)</f>
        <v/>
      </c>
      <c r="C16" s="30" t="str">
        <f aca="false">IF(Counterparties!C16="","",Counterparties!C16)</f>
        <v/>
      </c>
      <c r="D16" s="30" t="str">
        <f aca="false">IF(Counterparties!D16="","",Counterparties!D16)</f>
        <v/>
      </c>
      <c r="E16" s="30" t="str">
        <f aca="false">IF(Counterparties!E16="","",Counterparties!E16)</f>
        <v/>
      </c>
      <c r="F16" s="53" t="n">
        <f aca="false">IF($A16="",0,SUMIFS(GL_Input!$U:$U,GL_Input!$F:$F,$A16,GL_Input!$X:$X,"G",GL_Input!$Y:$Y,1))</f>
        <v>0</v>
      </c>
      <c r="G16" s="53" t="n">
        <f aca="false">IF($A16="",0,SUMIFS(GL_Input!$U:$U,GL_Input!$F:$F,$A16,GL_Input!$X:$X,"G",GL_Input!$Y:$Y,2))</f>
        <v>0</v>
      </c>
      <c r="H16" s="53" t="n">
        <f aca="false">IF($A16="",0,SUMIFS(GL_Input!$U:$U,GL_Input!$F:$F,$A16,GL_Input!$X:$X,"G",GL_Input!$Y:$Y,3))</f>
        <v>0</v>
      </c>
      <c r="I16" s="53" t="n">
        <f aca="false">IF($A16="",0,SUMIFS(GL_Input!$U:$U,GL_Input!$F:$F,$A16,GL_Input!$X:$X,"T",GL_Input!$Y:$Y,1))</f>
        <v>0</v>
      </c>
      <c r="J16" s="53" t="n">
        <f aca="false">IF($A16="",0,SUMIFS(GL_Input!$U:$U,GL_Input!$F:$F,$A16,GL_Input!$X:$X,"T",GL_Input!$Y:$Y,2))</f>
        <v>0</v>
      </c>
      <c r="K16" s="53" t="n">
        <f aca="false">IF($A16="",0,SUMIFS(GL_Input!$U:$U,GL_Input!$F:$F,$A16,GL_Input!$X:$X,"T",GL_Input!$Y:$Y,3))</f>
        <v>0</v>
      </c>
      <c r="L16" s="53" t="n">
        <f aca="false">IF($A16="",0,SUMIFS(GL_Input!$U:$U,GL_Input!$F:$F,$A16,GL_Input!$X:$X,"S",GL_Input!$Y:$Y,1))</f>
        <v>0</v>
      </c>
      <c r="M16" s="53" t="n">
        <f aca="false">IF($A16="",0,SUMIFS(GL_Input!$U:$U,GL_Input!$F:$F,$A16,GL_Input!$X:$X,"S",GL_Input!$Y:$Y,2))</f>
        <v>0</v>
      </c>
      <c r="N16" s="53" t="n">
        <f aca="false">IF($A16="",0,SUMIFS(GL_Input!$U:$U,GL_Input!$F:$F,$A16,GL_Input!$X:$X,"S",GL_Input!$Y:$Y,3))</f>
        <v>0</v>
      </c>
      <c r="O16" s="54" t="n">
        <f aca="false">SUM(F16:N16)</f>
        <v>0</v>
      </c>
      <c r="P16" s="15" t="str">
        <f aca="false">IF(O16=0,"",IF($D16="","MISSING VAT NO.",IF(OR($C16="",$C16="CY",Counterparties!G16&lt;&gt;"EU"),"NOT AN EU CUSTOMER","OK")))</f>
        <v/>
      </c>
    </row>
    <row r="17" customFormat="false" ht="15" hidden="false" customHeight="false" outlineLevel="0" collapsed="false">
      <c r="A17" s="30" t="str">
        <f aca="false">IF(Counterparties!A17="","",Counterparties!A17)</f>
        <v/>
      </c>
      <c r="B17" s="30" t="str">
        <f aca="false">IF(Counterparties!B17="","",Counterparties!B17)</f>
        <v/>
      </c>
      <c r="C17" s="30" t="str">
        <f aca="false">IF(Counterparties!C17="","",Counterparties!C17)</f>
        <v/>
      </c>
      <c r="D17" s="30" t="str">
        <f aca="false">IF(Counterparties!D17="","",Counterparties!D17)</f>
        <v/>
      </c>
      <c r="E17" s="30" t="str">
        <f aca="false">IF(Counterparties!E17="","",Counterparties!E17)</f>
        <v/>
      </c>
      <c r="F17" s="53" t="n">
        <f aca="false">IF($A17="",0,SUMIFS(GL_Input!$U:$U,GL_Input!$F:$F,$A17,GL_Input!$X:$X,"G",GL_Input!$Y:$Y,1))</f>
        <v>0</v>
      </c>
      <c r="G17" s="53" t="n">
        <f aca="false">IF($A17="",0,SUMIFS(GL_Input!$U:$U,GL_Input!$F:$F,$A17,GL_Input!$X:$X,"G",GL_Input!$Y:$Y,2))</f>
        <v>0</v>
      </c>
      <c r="H17" s="53" t="n">
        <f aca="false">IF($A17="",0,SUMIFS(GL_Input!$U:$U,GL_Input!$F:$F,$A17,GL_Input!$X:$X,"G",GL_Input!$Y:$Y,3))</f>
        <v>0</v>
      </c>
      <c r="I17" s="53" t="n">
        <f aca="false">IF($A17="",0,SUMIFS(GL_Input!$U:$U,GL_Input!$F:$F,$A17,GL_Input!$X:$X,"T",GL_Input!$Y:$Y,1))</f>
        <v>0</v>
      </c>
      <c r="J17" s="53" t="n">
        <f aca="false">IF($A17="",0,SUMIFS(GL_Input!$U:$U,GL_Input!$F:$F,$A17,GL_Input!$X:$X,"T",GL_Input!$Y:$Y,2))</f>
        <v>0</v>
      </c>
      <c r="K17" s="53" t="n">
        <f aca="false">IF($A17="",0,SUMIFS(GL_Input!$U:$U,GL_Input!$F:$F,$A17,GL_Input!$X:$X,"T",GL_Input!$Y:$Y,3))</f>
        <v>0</v>
      </c>
      <c r="L17" s="53" t="n">
        <f aca="false">IF($A17="",0,SUMIFS(GL_Input!$U:$U,GL_Input!$F:$F,$A17,GL_Input!$X:$X,"S",GL_Input!$Y:$Y,1))</f>
        <v>0</v>
      </c>
      <c r="M17" s="53" t="n">
        <f aca="false">IF($A17="",0,SUMIFS(GL_Input!$U:$U,GL_Input!$F:$F,$A17,GL_Input!$X:$X,"S",GL_Input!$Y:$Y,2))</f>
        <v>0</v>
      </c>
      <c r="N17" s="53" t="n">
        <f aca="false">IF($A17="",0,SUMIFS(GL_Input!$U:$U,GL_Input!$F:$F,$A17,GL_Input!$X:$X,"S",GL_Input!$Y:$Y,3))</f>
        <v>0</v>
      </c>
      <c r="O17" s="54" t="n">
        <f aca="false">SUM(F17:N17)</f>
        <v>0</v>
      </c>
      <c r="P17" s="15" t="str">
        <f aca="false">IF(O17=0,"",IF($D17="","MISSING VAT NO.",IF(OR($C17="",$C17="CY",Counterparties!G17&lt;&gt;"EU"),"NOT AN EU CUSTOMER","OK")))</f>
        <v/>
      </c>
    </row>
    <row r="18" customFormat="false" ht="15" hidden="false" customHeight="false" outlineLevel="0" collapsed="false">
      <c r="A18" s="30" t="str">
        <f aca="false">IF(Counterparties!A18="","",Counterparties!A18)</f>
        <v/>
      </c>
      <c r="B18" s="30" t="str">
        <f aca="false">IF(Counterparties!B18="","",Counterparties!B18)</f>
        <v/>
      </c>
      <c r="C18" s="30" t="str">
        <f aca="false">IF(Counterparties!C18="","",Counterparties!C18)</f>
        <v/>
      </c>
      <c r="D18" s="30" t="str">
        <f aca="false">IF(Counterparties!D18="","",Counterparties!D18)</f>
        <v/>
      </c>
      <c r="E18" s="30" t="str">
        <f aca="false">IF(Counterparties!E18="","",Counterparties!E18)</f>
        <v/>
      </c>
      <c r="F18" s="53" t="n">
        <f aca="false">IF($A18="",0,SUMIFS(GL_Input!$U:$U,GL_Input!$F:$F,$A18,GL_Input!$X:$X,"G",GL_Input!$Y:$Y,1))</f>
        <v>0</v>
      </c>
      <c r="G18" s="53" t="n">
        <f aca="false">IF($A18="",0,SUMIFS(GL_Input!$U:$U,GL_Input!$F:$F,$A18,GL_Input!$X:$X,"G",GL_Input!$Y:$Y,2))</f>
        <v>0</v>
      </c>
      <c r="H18" s="53" t="n">
        <f aca="false">IF($A18="",0,SUMIFS(GL_Input!$U:$U,GL_Input!$F:$F,$A18,GL_Input!$X:$X,"G",GL_Input!$Y:$Y,3))</f>
        <v>0</v>
      </c>
      <c r="I18" s="53" t="n">
        <f aca="false">IF($A18="",0,SUMIFS(GL_Input!$U:$U,GL_Input!$F:$F,$A18,GL_Input!$X:$X,"T",GL_Input!$Y:$Y,1))</f>
        <v>0</v>
      </c>
      <c r="J18" s="53" t="n">
        <f aca="false">IF($A18="",0,SUMIFS(GL_Input!$U:$U,GL_Input!$F:$F,$A18,GL_Input!$X:$X,"T",GL_Input!$Y:$Y,2))</f>
        <v>0</v>
      </c>
      <c r="K18" s="53" t="n">
        <f aca="false">IF($A18="",0,SUMIFS(GL_Input!$U:$U,GL_Input!$F:$F,$A18,GL_Input!$X:$X,"T",GL_Input!$Y:$Y,3))</f>
        <v>0</v>
      </c>
      <c r="L18" s="53" t="n">
        <f aca="false">IF($A18="",0,SUMIFS(GL_Input!$U:$U,GL_Input!$F:$F,$A18,GL_Input!$X:$X,"S",GL_Input!$Y:$Y,1))</f>
        <v>0</v>
      </c>
      <c r="M18" s="53" t="n">
        <f aca="false">IF($A18="",0,SUMIFS(GL_Input!$U:$U,GL_Input!$F:$F,$A18,GL_Input!$X:$X,"S",GL_Input!$Y:$Y,2))</f>
        <v>0</v>
      </c>
      <c r="N18" s="53" t="n">
        <f aca="false">IF($A18="",0,SUMIFS(GL_Input!$U:$U,GL_Input!$F:$F,$A18,GL_Input!$X:$X,"S",GL_Input!$Y:$Y,3))</f>
        <v>0</v>
      </c>
      <c r="O18" s="54" t="n">
        <f aca="false">SUM(F18:N18)</f>
        <v>0</v>
      </c>
      <c r="P18" s="15" t="str">
        <f aca="false">IF(O18=0,"",IF($D18="","MISSING VAT NO.",IF(OR($C18="",$C18="CY",Counterparties!G18&lt;&gt;"EU"),"NOT AN EU CUSTOMER","OK")))</f>
        <v/>
      </c>
    </row>
    <row r="19" customFormat="false" ht="15" hidden="false" customHeight="false" outlineLevel="0" collapsed="false">
      <c r="A19" s="30" t="str">
        <f aca="false">IF(Counterparties!A19="","",Counterparties!A19)</f>
        <v/>
      </c>
      <c r="B19" s="30" t="str">
        <f aca="false">IF(Counterparties!B19="","",Counterparties!B19)</f>
        <v/>
      </c>
      <c r="C19" s="30" t="str">
        <f aca="false">IF(Counterparties!C19="","",Counterparties!C19)</f>
        <v/>
      </c>
      <c r="D19" s="30" t="str">
        <f aca="false">IF(Counterparties!D19="","",Counterparties!D19)</f>
        <v/>
      </c>
      <c r="E19" s="30" t="str">
        <f aca="false">IF(Counterparties!E19="","",Counterparties!E19)</f>
        <v/>
      </c>
      <c r="F19" s="53" t="n">
        <f aca="false">IF($A19="",0,SUMIFS(GL_Input!$U:$U,GL_Input!$F:$F,$A19,GL_Input!$X:$X,"G",GL_Input!$Y:$Y,1))</f>
        <v>0</v>
      </c>
      <c r="G19" s="53" t="n">
        <f aca="false">IF($A19="",0,SUMIFS(GL_Input!$U:$U,GL_Input!$F:$F,$A19,GL_Input!$X:$X,"G",GL_Input!$Y:$Y,2))</f>
        <v>0</v>
      </c>
      <c r="H19" s="53" t="n">
        <f aca="false">IF($A19="",0,SUMIFS(GL_Input!$U:$U,GL_Input!$F:$F,$A19,GL_Input!$X:$X,"G",GL_Input!$Y:$Y,3))</f>
        <v>0</v>
      </c>
      <c r="I19" s="53" t="n">
        <f aca="false">IF($A19="",0,SUMIFS(GL_Input!$U:$U,GL_Input!$F:$F,$A19,GL_Input!$X:$X,"T",GL_Input!$Y:$Y,1))</f>
        <v>0</v>
      </c>
      <c r="J19" s="53" t="n">
        <f aca="false">IF($A19="",0,SUMIFS(GL_Input!$U:$U,GL_Input!$F:$F,$A19,GL_Input!$X:$X,"T",GL_Input!$Y:$Y,2))</f>
        <v>0</v>
      </c>
      <c r="K19" s="53" t="n">
        <f aca="false">IF($A19="",0,SUMIFS(GL_Input!$U:$U,GL_Input!$F:$F,$A19,GL_Input!$X:$X,"T",GL_Input!$Y:$Y,3))</f>
        <v>0</v>
      </c>
      <c r="L19" s="53" t="n">
        <f aca="false">IF($A19="",0,SUMIFS(GL_Input!$U:$U,GL_Input!$F:$F,$A19,GL_Input!$X:$X,"S",GL_Input!$Y:$Y,1))</f>
        <v>0</v>
      </c>
      <c r="M19" s="53" t="n">
        <f aca="false">IF($A19="",0,SUMIFS(GL_Input!$U:$U,GL_Input!$F:$F,$A19,GL_Input!$X:$X,"S",GL_Input!$Y:$Y,2))</f>
        <v>0</v>
      </c>
      <c r="N19" s="53" t="n">
        <f aca="false">IF($A19="",0,SUMIFS(GL_Input!$U:$U,GL_Input!$F:$F,$A19,GL_Input!$X:$X,"S",GL_Input!$Y:$Y,3))</f>
        <v>0</v>
      </c>
      <c r="O19" s="54" t="n">
        <f aca="false">SUM(F19:N19)</f>
        <v>0</v>
      </c>
      <c r="P19" s="15" t="str">
        <f aca="false">IF(O19=0,"",IF($D19="","MISSING VAT NO.",IF(OR($C19="",$C19="CY",Counterparties!G19&lt;&gt;"EU"),"NOT AN EU CUSTOMER","OK")))</f>
        <v/>
      </c>
    </row>
    <row r="20" customFormat="false" ht="15" hidden="false" customHeight="false" outlineLevel="0" collapsed="false">
      <c r="A20" s="30" t="str">
        <f aca="false">IF(Counterparties!A20="","",Counterparties!A20)</f>
        <v/>
      </c>
      <c r="B20" s="30" t="str">
        <f aca="false">IF(Counterparties!B20="","",Counterparties!B20)</f>
        <v/>
      </c>
      <c r="C20" s="30" t="str">
        <f aca="false">IF(Counterparties!C20="","",Counterparties!C20)</f>
        <v/>
      </c>
      <c r="D20" s="30" t="str">
        <f aca="false">IF(Counterparties!D20="","",Counterparties!D20)</f>
        <v/>
      </c>
      <c r="E20" s="30" t="str">
        <f aca="false">IF(Counterparties!E20="","",Counterparties!E20)</f>
        <v/>
      </c>
      <c r="F20" s="53" t="n">
        <f aca="false">IF($A20="",0,SUMIFS(GL_Input!$U:$U,GL_Input!$F:$F,$A20,GL_Input!$X:$X,"G",GL_Input!$Y:$Y,1))</f>
        <v>0</v>
      </c>
      <c r="G20" s="53" t="n">
        <f aca="false">IF($A20="",0,SUMIFS(GL_Input!$U:$U,GL_Input!$F:$F,$A20,GL_Input!$X:$X,"G",GL_Input!$Y:$Y,2))</f>
        <v>0</v>
      </c>
      <c r="H20" s="53" t="n">
        <f aca="false">IF($A20="",0,SUMIFS(GL_Input!$U:$U,GL_Input!$F:$F,$A20,GL_Input!$X:$X,"G",GL_Input!$Y:$Y,3))</f>
        <v>0</v>
      </c>
      <c r="I20" s="53" t="n">
        <f aca="false">IF($A20="",0,SUMIFS(GL_Input!$U:$U,GL_Input!$F:$F,$A20,GL_Input!$X:$X,"T",GL_Input!$Y:$Y,1))</f>
        <v>0</v>
      </c>
      <c r="J20" s="53" t="n">
        <f aca="false">IF($A20="",0,SUMIFS(GL_Input!$U:$U,GL_Input!$F:$F,$A20,GL_Input!$X:$X,"T",GL_Input!$Y:$Y,2))</f>
        <v>0</v>
      </c>
      <c r="K20" s="53" t="n">
        <f aca="false">IF($A20="",0,SUMIFS(GL_Input!$U:$U,GL_Input!$F:$F,$A20,GL_Input!$X:$X,"T",GL_Input!$Y:$Y,3))</f>
        <v>0</v>
      </c>
      <c r="L20" s="53" t="n">
        <f aca="false">IF($A20="",0,SUMIFS(GL_Input!$U:$U,GL_Input!$F:$F,$A20,GL_Input!$X:$X,"S",GL_Input!$Y:$Y,1))</f>
        <v>0</v>
      </c>
      <c r="M20" s="53" t="n">
        <f aca="false">IF($A20="",0,SUMIFS(GL_Input!$U:$U,GL_Input!$F:$F,$A20,GL_Input!$X:$X,"S",GL_Input!$Y:$Y,2))</f>
        <v>0</v>
      </c>
      <c r="N20" s="53" t="n">
        <f aca="false">IF($A20="",0,SUMIFS(GL_Input!$U:$U,GL_Input!$F:$F,$A20,GL_Input!$X:$X,"S",GL_Input!$Y:$Y,3))</f>
        <v>0</v>
      </c>
      <c r="O20" s="54" t="n">
        <f aca="false">SUM(F20:N20)</f>
        <v>0</v>
      </c>
      <c r="P20" s="15" t="str">
        <f aca="false">IF(O20=0,"",IF($D20="","MISSING VAT NO.",IF(OR($C20="",$C20="CY",Counterparties!G20&lt;&gt;"EU"),"NOT AN EU CUSTOMER","OK")))</f>
        <v/>
      </c>
    </row>
    <row r="21" customFormat="false" ht="15" hidden="false" customHeight="false" outlineLevel="0" collapsed="false">
      <c r="A21" s="30" t="str">
        <f aca="false">IF(Counterparties!A21="","",Counterparties!A21)</f>
        <v/>
      </c>
      <c r="B21" s="30" t="str">
        <f aca="false">IF(Counterparties!B21="","",Counterparties!B21)</f>
        <v/>
      </c>
      <c r="C21" s="30" t="str">
        <f aca="false">IF(Counterparties!C21="","",Counterparties!C21)</f>
        <v/>
      </c>
      <c r="D21" s="30" t="str">
        <f aca="false">IF(Counterparties!D21="","",Counterparties!D21)</f>
        <v/>
      </c>
      <c r="E21" s="30" t="str">
        <f aca="false">IF(Counterparties!E21="","",Counterparties!E21)</f>
        <v/>
      </c>
      <c r="F21" s="53" t="n">
        <f aca="false">IF($A21="",0,SUMIFS(GL_Input!$U:$U,GL_Input!$F:$F,$A21,GL_Input!$X:$X,"G",GL_Input!$Y:$Y,1))</f>
        <v>0</v>
      </c>
      <c r="G21" s="53" t="n">
        <f aca="false">IF($A21="",0,SUMIFS(GL_Input!$U:$U,GL_Input!$F:$F,$A21,GL_Input!$X:$X,"G",GL_Input!$Y:$Y,2))</f>
        <v>0</v>
      </c>
      <c r="H21" s="53" t="n">
        <f aca="false">IF($A21="",0,SUMIFS(GL_Input!$U:$U,GL_Input!$F:$F,$A21,GL_Input!$X:$X,"G",GL_Input!$Y:$Y,3))</f>
        <v>0</v>
      </c>
      <c r="I21" s="53" t="n">
        <f aca="false">IF($A21="",0,SUMIFS(GL_Input!$U:$U,GL_Input!$F:$F,$A21,GL_Input!$X:$X,"T",GL_Input!$Y:$Y,1))</f>
        <v>0</v>
      </c>
      <c r="J21" s="53" t="n">
        <f aca="false">IF($A21="",0,SUMIFS(GL_Input!$U:$U,GL_Input!$F:$F,$A21,GL_Input!$X:$X,"T",GL_Input!$Y:$Y,2))</f>
        <v>0</v>
      </c>
      <c r="K21" s="53" t="n">
        <f aca="false">IF($A21="",0,SUMIFS(GL_Input!$U:$U,GL_Input!$F:$F,$A21,GL_Input!$X:$X,"T",GL_Input!$Y:$Y,3))</f>
        <v>0</v>
      </c>
      <c r="L21" s="53" t="n">
        <f aca="false">IF($A21="",0,SUMIFS(GL_Input!$U:$U,GL_Input!$F:$F,$A21,GL_Input!$X:$X,"S",GL_Input!$Y:$Y,1))</f>
        <v>0</v>
      </c>
      <c r="M21" s="53" t="n">
        <f aca="false">IF($A21="",0,SUMIFS(GL_Input!$U:$U,GL_Input!$F:$F,$A21,GL_Input!$X:$X,"S",GL_Input!$Y:$Y,2))</f>
        <v>0</v>
      </c>
      <c r="N21" s="53" t="n">
        <f aca="false">IF($A21="",0,SUMIFS(GL_Input!$U:$U,GL_Input!$F:$F,$A21,GL_Input!$X:$X,"S",GL_Input!$Y:$Y,3))</f>
        <v>0</v>
      </c>
      <c r="O21" s="54" t="n">
        <f aca="false">SUM(F21:N21)</f>
        <v>0</v>
      </c>
      <c r="P21" s="15" t="str">
        <f aca="false">IF(O21=0,"",IF($D21="","MISSING VAT NO.",IF(OR($C21="",$C21="CY",Counterparties!G21&lt;&gt;"EU"),"NOT AN EU CUSTOMER","OK")))</f>
        <v/>
      </c>
    </row>
    <row r="22" customFormat="false" ht="15" hidden="false" customHeight="false" outlineLevel="0" collapsed="false">
      <c r="A22" s="30" t="str">
        <f aca="false">IF(Counterparties!A22="","",Counterparties!A22)</f>
        <v/>
      </c>
      <c r="B22" s="30" t="str">
        <f aca="false">IF(Counterparties!B22="","",Counterparties!B22)</f>
        <v/>
      </c>
      <c r="C22" s="30" t="str">
        <f aca="false">IF(Counterparties!C22="","",Counterparties!C22)</f>
        <v/>
      </c>
      <c r="D22" s="30" t="str">
        <f aca="false">IF(Counterparties!D22="","",Counterparties!D22)</f>
        <v/>
      </c>
      <c r="E22" s="30" t="str">
        <f aca="false">IF(Counterparties!E22="","",Counterparties!E22)</f>
        <v/>
      </c>
      <c r="F22" s="53" t="n">
        <f aca="false">IF($A22="",0,SUMIFS(GL_Input!$U:$U,GL_Input!$F:$F,$A22,GL_Input!$X:$X,"G",GL_Input!$Y:$Y,1))</f>
        <v>0</v>
      </c>
      <c r="G22" s="53" t="n">
        <f aca="false">IF($A22="",0,SUMIFS(GL_Input!$U:$U,GL_Input!$F:$F,$A22,GL_Input!$X:$X,"G",GL_Input!$Y:$Y,2))</f>
        <v>0</v>
      </c>
      <c r="H22" s="53" t="n">
        <f aca="false">IF($A22="",0,SUMIFS(GL_Input!$U:$U,GL_Input!$F:$F,$A22,GL_Input!$X:$X,"G",GL_Input!$Y:$Y,3))</f>
        <v>0</v>
      </c>
      <c r="I22" s="53" t="n">
        <f aca="false">IF($A22="",0,SUMIFS(GL_Input!$U:$U,GL_Input!$F:$F,$A22,GL_Input!$X:$X,"T",GL_Input!$Y:$Y,1))</f>
        <v>0</v>
      </c>
      <c r="J22" s="53" t="n">
        <f aca="false">IF($A22="",0,SUMIFS(GL_Input!$U:$U,GL_Input!$F:$F,$A22,GL_Input!$X:$X,"T",GL_Input!$Y:$Y,2))</f>
        <v>0</v>
      </c>
      <c r="K22" s="53" t="n">
        <f aca="false">IF($A22="",0,SUMIFS(GL_Input!$U:$U,GL_Input!$F:$F,$A22,GL_Input!$X:$X,"T",GL_Input!$Y:$Y,3))</f>
        <v>0</v>
      </c>
      <c r="L22" s="53" t="n">
        <f aca="false">IF($A22="",0,SUMIFS(GL_Input!$U:$U,GL_Input!$F:$F,$A22,GL_Input!$X:$X,"S",GL_Input!$Y:$Y,1))</f>
        <v>0</v>
      </c>
      <c r="M22" s="53" t="n">
        <f aca="false">IF($A22="",0,SUMIFS(GL_Input!$U:$U,GL_Input!$F:$F,$A22,GL_Input!$X:$X,"S",GL_Input!$Y:$Y,2))</f>
        <v>0</v>
      </c>
      <c r="N22" s="53" t="n">
        <f aca="false">IF($A22="",0,SUMIFS(GL_Input!$U:$U,GL_Input!$F:$F,$A22,GL_Input!$X:$X,"S",GL_Input!$Y:$Y,3))</f>
        <v>0</v>
      </c>
      <c r="O22" s="54" t="n">
        <f aca="false">SUM(F22:N22)</f>
        <v>0</v>
      </c>
      <c r="P22" s="15" t="str">
        <f aca="false">IF(O22=0,"",IF($D22="","MISSING VAT NO.",IF(OR($C22="",$C22="CY",Counterparties!G22&lt;&gt;"EU"),"NOT AN EU CUSTOMER","OK")))</f>
        <v/>
      </c>
    </row>
    <row r="23" customFormat="false" ht="15" hidden="false" customHeight="false" outlineLevel="0" collapsed="false">
      <c r="A23" s="30" t="str">
        <f aca="false">IF(Counterparties!A23="","",Counterparties!A23)</f>
        <v/>
      </c>
      <c r="B23" s="30" t="str">
        <f aca="false">IF(Counterparties!B23="","",Counterparties!B23)</f>
        <v/>
      </c>
      <c r="C23" s="30" t="str">
        <f aca="false">IF(Counterparties!C23="","",Counterparties!C23)</f>
        <v/>
      </c>
      <c r="D23" s="30" t="str">
        <f aca="false">IF(Counterparties!D23="","",Counterparties!D23)</f>
        <v/>
      </c>
      <c r="E23" s="30" t="str">
        <f aca="false">IF(Counterparties!E23="","",Counterparties!E23)</f>
        <v/>
      </c>
      <c r="F23" s="53" t="n">
        <f aca="false">IF($A23="",0,SUMIFS(GL_Input!$U:$U,GL_Input!$F:$F,$A23,GL_Input!$X:$X,"G",GL_Input!$Y:$Y,1))</f>
        <v>0</v>
      </c>
      <c r="G23" s="53" t="n">
        <f aca="false">IF($A23="",0,SUMIFS(GL_Input!$U:$U,GL_Input!$F:$F,$A23,GL_Input!$X:$X,"G",GL_Input!$Y:$Y,2))</f>
        <v>0</v>
      </c>
      <c r="H23" s="53" t="n">
        <f aca="false">IF($A23="",0,SUMIFS(GL_Input!$U:$U,GL_Input!$F:$F,$A23,GL_Input!$X:$X,"G",GL_Input!$Y:$Y,3))</f>
        <v>0</v>
      </c>
      <c r="I23" s="53" t="n">
        <f aca="false">IF($A23="",0,SUMIFS(GL_Input!$U:$U,GL_Input!$F:$F,$A23,GL_Input!$X:$X,"T",GL_Input!$Y:$Y,1))</f>
        <v>0</v>
      </c>
      <c r="J23" s="53" t="n">
        <f aca="false">IF($A23="",0,SUMIFS(GL_Input!$U:$U,GL_Input!$F:$F,$A23,GL_Input!$X:$X,"T",GL_Input!$Y:$Y,2))</f>
        <v>0</v>
      </c>
      <c r="K23" s="53" t="n">
        <f aca="false">IF($A23="",0,SUMIFS(GL_Input!$U:$U,GL_Input!$F:$F,$A23,GL_Input!$X:$X,"T",GL_Input!$Y:$Y,3))</f>
        <v>0</v>
      </c>
      <c r="L23" s="53" t="n">
        <f aca="false">IF($A23="",0,SUMIFS(GL_Input!$U:$U,GL_Input!$F:$F,$A23,GL_Input!$X:$X,"S",GL_Input!$Y:$Y,1))</f>
        <v>0</v>
      </c>
      <c r="M23" s="53" t="n">
        <f aca="false">IF($A23="",0,SUMIFS(GL_Input!$U:$U,GL_Input!$F:$F,$A23,GL_Input!$X:$X,"S",GL_Input!$Y:$Y,2))</f>
        <v>0</v>
      </c>
      <c r="N23" s="53" t="n">
        <f aca="false">IF($A23="",0,SUMIFS(GL_Input!$U:$U,GL_Input!$F:$F,$A23,GL_Input!$X:$X,"S",GL_Input!$Y:$Y,3))</f>
        <v>0</v>
      </c>
      <c r="O23" s="54" t="n">
        <f aca="false">SUM(F23:N23)</f>
        <v>0</v>
      </c>
      <c r="P23" s="15" t="str">
        <f aca="false">IF(O23=0,"",IF($D23="","MISSING VAT NO.",IF(OR($C23="",$C23="CY",Counterparties!G23&lt;&gt;"EU"),"NOT AN EU CUSTOMER","OK")))</f>
        <v/>
      </c>
    </row>
    <row r="24" customFormat="false" ht="15" hidden="false" customHeight="false" outlineLevel="0" collapsed="false">
      <c r="A24" s="30" t="str">
        <f aca="false">IF(Counterparties!A24="","",Counterparties!A24)</f>
        <v/>
      </c>
      <c r="B24" s="30" t="str">
        <f aca="false">IF(Counterparties!B24="","",Counterparties!B24)</f>
        <v/>
      </c>
      <c r="C24" s="30" t="str">
        <f aca="false">IF(Counterparties!C24="","",Counterparties!C24)</f>
        <v/>
      </c>
      <c r="D24" s="30" t="str">
        <f aca="false">IF(Counterparties!D24="","",Counterparties!D24)</f>
        <v/>
      </c>
      <c r="E24" s="30" t="str">
        <f aca="false">IF(Counterparties!E24="","",Counterparties!E24)</f>
        <v/>
      </c>
      <c r="F24" s="53" t="n">
        <f aca="false">IF($A24="",0,SUMIFS(GL_Input!$U:$U,GL_Input!$F:$F,$A24,GL_Input!$X:$X,"G",GL_Input!$Y:$Y,1))</f>
        <v>0</v>
      </c>
      <c r="G24" s="53" t="n">
        <f aca="false">IF($A24="",0,SUMIFS(GL_Input!$U:$U,GL_Input!$F:$F,$A24,GL_Input!$X:$X,"G",GL_Input!$Y:$Y,2))</f>
        <v>0</v>
      </c>
      <c r="H24" s="53" t="n">
        <f aca="false">IF($A24="",0,SUMIFS(GL_Input!$U:$U,GL_Input!$F:$F,$A24,GL_Input!$X:$X,"G",GL_Input!$Y:$Y,3))</f>
        <v>0</v>
      </c>
      <c r="I24" s="53" t="n">
        <f aca="false">IF($A24="",0,SUMIFS(GL_Input!$U:$U,GL_Input!$F:$F,$A24,GL_Input!$X:$X,"T",GL_Input!$Y:$Y,1))</f>
        <v>0</v>
      </c>
      <c r="J24" s="53" t="n">
        <f aca="false">IF($A24="",0,SUMIFS(GL_Input!$U:$U,GL_Input!$F:$F,$A24,GL_Input!$X:$X,"T",GL_Input!$Y:$Y,2))</f>
        <v>0</v>
      </c>
      <c r="K24" s="53" t="n">
        <f aca="false">IF($A24="",0,SUMIFS(GL_Input!$U:$U,GL_Input!$F:$F,$A24,GL_Input!$X:$X,"T",GL_Input!$Y:$Y,3))</f>
        <v>0</v>
      </c>
      <c r="L24" s="53" t="n">
        <f aca="false">IF($A24="",0,SUMIFS(GL_Input!$U:$U,GL_Input!$F:$F,$A24,GL_Input!$X:$X,"S",GL_Input!$Y:$Y,1))</f>
        <v>0</v>
      </c>
      <c r="M24" s="53" t="n">
        <f aca="false">IF($A24="",0,SUMIFS(GL_Input!$U:$U,GL_Input!$F:$F,$A24,GL_Input!$X:$X,"S",GL_Input!$Y:$Y,2))</f>
        <v>0</v>
      </c>
      <c r="N24" s="53" t="n">
        <f aca="false">IF($A24="",0,SUMIFS(GL_Input!$U:$U,GL_Input!$F:$F,$A24,GL_Input!$X:$X,"S",GL_Input!$Y:$Y,3))</f>
        <v>0</v>
      </c>
      <c r="O24" s="54" t="n">
        <f aca="false">SUM(F24:N24)</f>
        <v>0</v>
      </c>
      <c r="P24" s="15" t="str">
        <f aca="false">IF(O24=0,"",IF($D24="","MISSING VAT NO.",IF(OR($C24="",$C24="CY",Counterparties!G24&lt;&gt;"EU"),"NOT AN EU CUSTOMER","OK")))</f>
        <v/>
      </c>
    </row>
    <row r="25" customFormat="false" ht="15" hidden="false" customHeight="false" outlineLevel="0" collapsed="false">
      <c r="A25" s="30" t="str">
        <f aca="false">IF(Counterparties!A25="","",Counterparties!A25)</f>
        <v/>
      </c>
      <c r="B25" s="30" t="str">
        <f aca="false">IF(Counterparties!B25="","",Counterparties!B25)</f>
        <v/>
      </c>
      <c r="C25" s="30" t="str">
        <f aca="false">IF(Counterparties!C25="","",Counterparties!C25)</f>
        <v/>
      </c>
      <c r="D25" s="30" t="str">
        <f aca="false">IF(Counterparties!D25="","",Counterparties!D25)</f>
        <v/>
      </c>
      <c r="E25" s="30" t="str">
        <f aca="false">IF(Counterparties!E25="","",Counterparties!E25)</f>
        <v/>
      </c>
      <c r="F25" s="53" t="n">
        <f aca="false">IF($A25="",0,SUMIFS(GL_Input!$U:$U,GL_Input!$F:$F,$A25,GL_Input!$X:$X,"G",GL_Input!$Y:$Y,1))</f>
        <v>0</v>
      </c>
      <c r="G25" s="53" t="n">
        <f aca="false">IF($A25="",0,SUMIFS(GL_Input!$U:$U,GL_Input!$F:$F,$A25,GL_Input!$X:$X,"G",GL_Input!$Y:$Y,2))</f>
        <v>0</v>
      </c>
      <c r="H25" s="53" t="n">
        <f aca="false">IF($A25="",0,SUMIFS(GL_Input!$U:$U,GL_Input!$F:$F,$A25,GL_Input!$X:$X,"G",GL_Input!$Y:$Y,3))</f>
        <v>0</v>
      </c>
      <c r="I25" s="53" t="n">
        <f aca="false">IF($A25="",0,SUMIFS(GL_Input!$U:$U,GL_Input!$F:$F,$A25,GL_Input!$X:$X,"T",GL_Input!$Y:$Y,1))</f>
        <v>0</v>
      </c>
      <c r="J25" s="53" t="n">
        <f aca="false">IF($A25="",0,SUMIFS(GL_Input!$U:$U,GL_Input!$F:$F,$A25,GL_Input!$X:$X,"T",GL_Input!$Y:$Y,2))</f>
        <v>0</v>
      </c>
      <c r="K25" s="53" t="n">
        <f aca="false">IF($A25="",0,SUMIFS(GL_Input!$U:$U,GL_Input!$F:$F,$A25,GL_Input!$X:$X,"T",GL_Input!$Y:$Y,3))</f>
        <v>0</v>
      </c>
      <c r="L25" s="53" t="n">
        <f aca="false">IF($A25="",0,SUMIFS(GL_Input!$U:$U,GL_Input!$F:$F,$A25,GL_Input!$X:$X,"S",GL_Input!$Y:$Y,1))</f>
        <v>0</v>
      </c>
      <c r="M25" s="53" t="n">
        <f aca="false">IF($A25="",0,SUMIFS(GL_Input!$U:$U,GL_Input!$F:$F,$A25,GL_Input!$X:$X,"S",GL_Input!$Y:$Y,2))</f>
        <v>0</v>
      </c>
      <c r="N25" s="53" t="n">
        <f aca="false">IF($A25="",0,SUMIFS(GL_Input!$U:$U,GL_Input!$F:$F,$A25,GL_Input!$X:$X,"S",GL_Input!$Y:$Y,3))</f>
        <v>0</v>
      </c>
      <c r="O25" s="54" t="n">
        <f aca="false">SUM(F25:N25)</f>
        <v>0</v>
      </c>
      <c r="P25" s="15" t="str">
        <f aca="false">IF(O25=0,"",IF($D25="","MISSING VAT NO.",IF(OR($C25="",$C25="CY",Counterparties!G25&lt;&gt;"EU"),"NOT AN EU CUSTOMER","OK")))</f>
        <v/>
      </c>
    </row>
    <row r="26" customFormat="false" ht="15" hidden="false" customHeight="false" outlineLevel="0" collapsed="false">
      <c r="A26" s="30" t="str">
        <f aca="false">IF(Counterparties!A26="","",Counterparties!A26)</f>
        <v/>
      </c>
      <c r="B26" s="30" t="str">
        <f aca="false">IF(Counterparties!B26="","",Counterparties!B26)</f>
        <v/>
      </c>
      <c r="C26" s="30" t="str">
        <f aca="false">IF(Counterparties!C26="","",Counterparties!C26)</f>
        <v/>
      </c>
      <c r="D26" s="30" t="str">
        <f aca="false">IF(Counterparties!D26="","",Counterparties!D26)</f>
        <v/>
      </c>
      <c r="E26" s="30" t="str">
        <f aca="false">IF(Counterparties!E26="","",Counterparties!E26)</f>
        <v/>
      </c>
      <c r="F26" s="53" t="n">
        <f aca="false">IF($A26="",0,SUMIFS(GL_Input!$U:$U,GL_Input!$F:$F,$A26,GL_Input!$X:$X,"G",GL_Input!$Y:$Y,1))</f>
        <v>0</v>
      </c>
      <c r="G26" s="53" t="n">
        <f aca="false">IF($A26="",0,SUMIFS(GL_Input!$U:$U,GL_Input!$F:$F,$A26,GL_Input!$X:$X,"G",GL_Input!$Y:$Y,2))</f>
        <v>0</v>
      </c>
      <c r="H26" s="53" t="n">
        <f aca="false">IF($A26="",0,SUMIFS(GL_Input!$U:$U,GL_Input!$F:$F,$A26,GL_Input!$X:$X,"G",GL_Input!$Y:$Y,3))</f>
        <v>0</v>
      </c>
      <c r="I26" s="53" t="n">
        <f aca="false">IF($A26="",0,SUMIFS(GL_Input!$U:$U,GL_Input!$F:$F,$A26,GL_Input!$X:$X,"T",GL_Input!$Y:$Y,1))</f>
        <v>0</v>
      </c>
      <c r="J26" s="53" t="n">
        <f aca="false">IF($A26="",0,SUMIFS(GL_Input!$U:$U,GL_Input!$F:$F,$A26,GL_Input!$X:$X,"T",GL_Input!$Y:$Y,2))</f>
        <v>0</v>
      </c>
      <c r="K26" s="53" t="n">
        <f aca="false">IF($A26="",0,SUMIFS(GL_Input!$U:$U,GL_Input!$F:$F,$A26,GL_Input!$X:$X,"T",GL_Input!$Y:$Y,3))</f>
        <v>0</v>
      </c>
      <c r="L26" s="53" t="n">
        <f aca="false">IF($A26="",0,SUMIFS(GL_Input!$U:$U,GL_Input!$F:$F,$A26,GL_Input!$X:$X,"S",GL_Input!$Y:$Y,1))</f>
        <v>0</v>
      </c>
      <c r="M26" s="53" t="n">
        <f aca="false">IF($A26="",0,SUMIFS(GL_Input!$U:$U,GL_Input!$F:$F,$A26,GL_Input!$X:$X,"S",GL_Input!$Y:$Y,2))</f>
        <v>0</v>
      </c>
      <c r="N26" s="53" t="n">
        <f aca="false">IF($A26="",0,SUMIFS(GL_Input!$U:$U,GL_Input!$F:$F,$A26,GL_Input!$X:$X,"S",GL_Input!$Y:$Y,3))</f>
        <v>0</v>
      </c>
      <c r="O26" s="54" t="n">
        <f aca="false">SUM(F26:N26)</f>
        <v>0</v>
      </c>
      <c r="P26" s="15" t="str">
        <f aca="false">IF(O26=0,"",IF($D26="","MISSING VAT NO.",IF(OR($C26="",$C26="CY",Counterparties!G26&lt;&gt;"EU"),"NOT AN EU CUSTOMER","OK")))</f>
        <v/>
      </c>
    </row>
    <row r="27" customFormat="false" ht="15" hidden="false" customHeight="false" outlineLevel="0" collapsed="false">
      <c r="A27" s="30" t="str">
        <f aca="false">IF(Counterparties!A27="","",Counterparties!A27)</f>
        <v/>
      </c>
      <c r="B27" s="30" t="str">
        <f aca="false">IF(Counterparties!B27="","",Counterparties!B27)</f>
        <v/>
      </c>
      <c r="C27" s="30" t="str">
        <f aca="false">IF(Counterparties!C27="","",Counterparties!C27)</f>
        <v/>
      </c>
      <c r="D27" s="30" t="str">
        <f aca="false">IF(Counterparties!D27="","",Counterparties!D27)</f>
        <v/>
      </c>
      <c r="E27" s="30" t="str">
        <f aca="false">IF(Counterparties!E27="","",Counterparties!E27)</f>
        <v/>
      </c>
      <c r="F27" s="53" t="n">
        <f aca="false">IF($A27="",0,SUMIFS(GL_Input!$U:$U,GL_Input!$F:$F,$A27,GL_Input!$X:$X,"G",GL_Input!$Y:$Y,1))</f>
        <v>0</v>
      </c>
      <c r="G27" s="53" t="n">
        <f aca="false">IF($A27="",0,SUMIFS(GL_Input!$U:$U,GL_Input!$F:$F,$A27,GL_Input!$X:$X,"G",GL_Input!$Y:$Y,2))</f>
        <v>0</v>
      </c>
      <c r="H27" s="53" t="n">
        <f aca="false">IF($A27="",0,SUMIFS(GL_Input!$U:$U,GL_Input!$F:$F,$A27,GL_Input!$X:$X,"G",GL_Input!$Y:$Y,3))</f>
        <v>0</v>
      </c>
      <c r="I27" s="53" t="n">
        <f aca="false">IF($A27="",0,SUMIFS(GL_Input!$U:$U,GL_Input!$F:$F,$A27,GL_Input!$X:$X,"T",GL_Input!$Y:$Y,1))</f>
        <v>0</v>
      </c>
      <c r="J27" s="53" t="n">
        <f aca="false">IF($A27="",0,SUMIFS(GL_Input!$U:$U,GL_Input!$F:$F,$A27,GL_Input!$X:$X,"T",GL_Input!$Y:$Y,2))</f>
        <v>0</v>
      </c>
      <c r="K27" s="53" t="n">
        <f aca="false">IF($A27="",0,SUMIFS(GL_Input!$U:$U,GL_Input!$F:$F,$A27,GL_Input!$X:$X,"T",GL_Input!$Y:$Y,3))</f>
        <v>0</v>
      </c>
      <c r="L27" s="53" t="n">
        <f aca="false">IF($A27="",0,SUMIFS(GL_Input!$U:$U,GL_Input!$F:$F,$A27,GL_Input!$X:$X,"S",GL_Input!$Y:$Y,1))</f>
        <v>0</v>
      </c>
      <c r="M27" s="53" t="n">
        <f aca="false">IF($A27="",0,SUMIFS(GL_Input!$U:$U,GL_Input!$F:$F,$A27,GL_Input!$X:$X,"S",GL_Input!$Y:$Y,2))</f>
        <v>0</v>
      </c>
      <c r="N27" s="53" t="n">
        <f aca="false">IF($A27="",0,SUMIFS(GL_Input!$U:$U,GL_Input!$F:$F,$A27,GL_Input!$X:$X,"S",GL_Input!$Y:$Y,3))</f>
        <v>0</v>
      </c>
      <c r="O27" s="54" t="n">
        <f aca="false">SUM(F27:N27)</f>
        <v>0</v>
      </c>
      <c r="P27" s="15" t="str">
        <f aca="false">IF(O27=0,"",IF($D27="","MISSING VAT NO.",IF(OR($C27="",$C27="CY",Counterparties!G27&lt;&gt;"EU"),"NOT AN EU CUSTOMER","OK")))</f>
        <v/>
      </c>
    </row>
    <row r="28" customFormat="false" ht="15" hidden="false" customHeight="false" outlineLevel="0" collapsed="false">
      <c r="A28" s="30" t="str">
        <f aca="false">IF(Counterparties!A28="","",Counterparties!A28)</f>
        <v/>
      </c>
      <c r="B28" s="30" t="str">
        <f aca="false">IF(Counterparties!B28="","",Counterparties!B28)</f>
        <v/>
      </c>
      <c r="C28" s="30" t="str">
        <f aca="false">IF(Counterparties!C28="","",Counterparties!C28)</f>
        <v/>
      </c>
      <c r="D28" s="30" t="str">
        <f aca="false">IF(Counterparties!D28="","",Counterparties!D28)</f>
        <v/>
      </c>
      <c r="E28" s="30" t="str">
        <f aca="false">IF(Counterparties!E28="","",Counterparties!E28)</f>
        <v/>
      </c>
      <c r="F28" s="53" t="n">
        <f aca="false">IF($A28="",0,SUMIFS(GL_Input!$U:$U,GL_Input!$F:$F,$A28,GL_Input!$X:$X,"G",GL_Input!$Y:$Y,1))</f>
        <v>0</v>
      </c>
      <c r="G28" s="53" t="n">
        <f aca="false">IF($A28="",0,SUMIFS(GL_Input!$U:$U,GL_Input!$F:$F,$A28,GL_Input!$X:$X,"G",GL_Input!$Y:$Y,2))</f>
        <v>0</v>
      </c>
      <c r="H28" s="53" t="n">
        <f aca="false">IF($A28="",0,SUMIFS(GL_Input!$U:$U,GL_Input!$F:$F,$A28,GL_Input!$X:$X,"G",GL_Input!$Y:$Y,3))</f>
        <v>0</v>
      </c>
      <c r="I28" s="53" t="n">
        <f aca="false">IF($A28="",0,SUMIFS(GL_Input!$U:$U,GL_Input!$F:$F,$A28,GL_Input!$X:$X,"T",GL_Input!$Y:$Y,1))</f>
        <v>0</v>
      </c>
      <c r="J28" s="53" t="n">
        <f aca="false">IF($A28="",0,SUMIFS(GL_Input!$U:$U,GL_Input!$F:$F,$A28,GL_Input!$X:$X,"T",GL_Input!$Y:$Y,2))</f>
        <v>0</v>
      </c>
      <c r="K28" s="53" t="n">
        <f aca="false">IF($A28="",0,SUMIFS(GL_Input!$U:$U,GL_Input!$F:$F,$A28,GL_Input!$X:$X,"T",GL_Input!$Y:$Y,3))</f>
        <v>0</v>
      </c>
      <c r="L28" s="53" t="n">
        <f aca="false">IF($A28="",0,SUMIFS(GL_Input!$U:$U,GL_Input!$F:$F,$A28,GL_Input!$X:$X,"S",GL_Input!$Y:$Y,1))</f>
        <v>0</v>
      </c>
      <c r="M28" s="53" t="n">
        <f aca="false">IF($A28="",0,SUMIFS(GL_Input!$U:$U,GL_Input!$F:$F,$A28,GL_Input!$X:$X,"S",GL_Input!$Y:$Y,2))</f>
        <v>0</v>
      </c>
      <c r="N28" s="53" t="n">
        <f aca="false">IF($A28="",0,SUMIFS(GL_Input!$U:$U,GL_Input!$F:$F,$A28,GL_Input!$X:$X,"S",GL_Input!$Y:$Y,3))</f>
        <v>0</v>
      </c>
      <c r="O28" s="54" t="n">
        <f aca="false">SUM(F28:N28)</f>
        <v>0</v>
      </c>
      <c r="P28" s="15" t="str">
        <f aca="false">IF(O28=0,"",IF($D28="","MISSING VAT NO.",IF(OR($C28="",$C28="CY",Counterparties!G28&lt;&gt;"EU"),"NOT AN EU CUSTOMER","OK")))</f>
        <v/>
      </c>
    </row>
    <row r="29" customFormat="false" ht="15" hidden="false" customHeight="false" outlineLevel="0" collapsed="false">
      <c r="A29" s="30" t="str">
        <f aca="false">IF(Counterparties!A29="","",Counterparties!A29)</f>
        <v/>
      </c>
      <c r="B29" s="30" t="str">
        <f aca="false">IF(Counterparties!B29="","",Counterparties!B29)</f>
        <v/>
      </c>
      <c r="C29" s="30" t="str">
        <f aca="false">IF(Counterparties!C29="","",Counterparties!C29)</f>
        <v/>
      </c>
      <c r="D29" s="30" t="str">
        <f aca="false">IF(Counterparties!D29="","",Counterparties!D29)</f>
        <v/>
      </c>
      <c r="E29" s="30" t="str">
        <f aca="false">IF(Counterparties!E29="","",Counterparties!E29)</f>
        <v/>
      </c>
      <c r="F29" s="53" t="n">
        <f aca="false">IF($A29="",0,SUMIFS(GL_Input!$U:$U,GL_Input!$F:$F,$A29,GL_Input!$X:$X,"G",GL_Input!$Y:$Y,1))</f>
        <v>0</v>
      </c>
      <c r="G29" s="53" t="n">
        <f aca="false">IF($A29="",0,SUMIFS(GL_Input!$U:$U,GL_Input!$F:$F,$A29,GL_Input!$X:$X,"G",GL_Input!$Y:$Y,2))</f>
        <v>0</v>
      </c>
      <c r="H29" s="53" t="n">
        <f aca="false">IF($A29="",0,SUMIFS(GL_Input!$U:$U,GL_Input!$F:$F,$A29,GL_Input!$X:$X,"G",GL_Input!$Y:$Y,3))</f>
        <v>0</v>
      </c>
      <c r="I29" s="53" t="n">
        <f aca="false">IF($A29="",0,SUMIFS(GL_Input!$U:$U,GL_Input!$F:$F,$A29,GL_Input!$X:$X,"T",GL_Input!$Y:$Y,1))</f>
        <v>0</v>
      </c>
      <c r="J29" s="53" t="n">
        <f aca="false">IF($A29="",0,SUMIFS(GL_Input!$U:$U,GL_Input!$F:$F,$A29,GL_Input!$X:$X,"T",GL_Input!$Y:$Y,2))</f>
        <v>0</v>
      </c>
      <c r="K29" s="53" t="n">
        <f aca="false">IF($A29="",0,SUMIFS(GL_Input!$U:$U,GL_Input!$F:$F,$A29,GL_Input!$X:$X,"T",GL_Input!$Y:$Y,3))</f>
        <v>0</v>
      </c>
      <c r="L29" s="53" t="n">
        <f aca="false">IF($A29="",0,SUMIFS(GL_Input!$U:$U,GL_Input!$F:$F,$A29,GL_Input!$X:$X,"S",GL_Input!$Y:$Y,1))</f>
        <v>0</v>
      </c>
      <c r="M29" s="53" t="n">
        <f aca="false">IF($A29="",0,SUMIFS(GL_Input!$U:$U,GL_Input!$F:$F,$A29,GL_Input!$X:$X,"S",GL_Input!$Y:$Y,2))</f>
        <v>0</v>
      </c>
      <c r="N29" s="53" t="n">
        <f aca="false">IF($A29="",0,SUMIFS(GL_Input!$U:$U,GL_Input!$F:$F,$A29,GL_Input!$X:$X,"S",GL_Input!$Y:$Y,3))</f>
        <v>0</v>
      </c>
      <c r="O29" s="54" t="n">
        <f aca="false">SUM(F29:N29)</f>
        <v>0</v>
      </c>
      <c r="P29" s="15" t="str">
        <f aca="false">IF(O29=0,"",IF($D29="","MISSING VAT NO.",IF(OR($C29="",$C29="CY",Counterparties!G29&lt;&gt;"EU"),"NOT AN EU CUSTOMER","OK")))</f>
        <v/>
      </c>
    </row>
    <row r="30" customFormat="false" ht="15" hidden="false" customHeight="false" outlineLevel="0" collapsed="false">
      <c r="A30" s="30" t="str">
        <f aca="false">IF(Counterparties!A30="","",Counterparties!A30)</f>
        <v/>
      </c>
      <c r="B30" s="30" t="str">
        <f aca="false">IF(Counterparties!B30="","",Counterparties!B30)</f>
        <v/>
      </c>
      <c r="C30" s="30" t="str">
        <f aca="false">IF(Counterparties!C30="","",Counterparties!C30)</f>
        <v/>
      </c>
      <c r="D30" s="30" t="str">
        <f aca="false">IF(Counterparties!D30="","",Counterparties!D30)</f>
        <v/>
      </c>
      <c r="E30" s="30" t="str">
        <f aca="false">IF(Counterparties!E30="","",Counterparties!E30)</f>
        <v/>
      </c>
      <c r="F30" s="53" t="n">
        <f aca="false">IF($A30="",0,SUMIFS(GL_Input!$U:$U,GL_Input!$F:$F,$A30,GL_Input!$X:$X,"G",GL_Input!$Y:$Y,1))</f>
        <v>0</v>
      </c>
      <c r="G30" s="53" t="n">
        <f aca="false">IF($A30="",0,SUMIFS(GL_Input!$U:$U,GL_Input!$F:$F,$A30,GL_Input!$X:$X,"G",GL_Input!$Y:$Y,2))</f>
        <v>0</v>
      </c>
      <c r="H30" s="53" t="n">
        <f aca="false">IF($A30="",0,SUMIFS(GL_Input!$U:$U,GL_Input!$F:$F,$A30,GL_Input!$X:$X,"G",GL_Input!$Y:$Y,3))</f>
        <v>0</v>
      </c>
      <c r="I30" s="53" t="n">
        <f aca="false">IF($A30="",0,SUMIFS(GL_Input!$U:$U,GL_Input!$F:$F,$A30,GL_Input!$X:$X,"T",GL_Input!$Y:$Y,1))</f>
        <v>0</v>
      </c>
      <c r="J30" s="53" t="n">
        <f aca="false">IF($A30="",0,SUMIFS(GL_Input!$U:$U,GL_Input!$F:$F,$A30,GL_Input!$X:$X,"T",GL_Input!$Y:$Y,2))</f>
        <v>0</v>
      </c>
      <c r="K30" s="53" t="n">
        <f aca="false">IF($A30="",0,SUMIFS(GL_Input!$U:$U,GL_Input!$F:$F,$A30,GL_Input!$X:$X,"T",GL_Input!$Y:$Y,3))</f>
        <v>0</v>
      </c>
      <c r="L30" s="53" t="n">
        <f aca="false">IF($A30="",0,SUMIFS(GL_Input!$U:$U,GL_Input!$F:$F,$A30,GL_Input!$X:$X,"S",GL_Input!$Y:$Y,1))</f>
        <v>0</v>
      </c>
      <c r="M30" s="53" t="n">
        <f aca="false">IF($A30="",0,SUMIFS(GL_Input!$U:$U,GL_Input!$F:$F,$A30,GL_Input!$X:$X,"S",GL_Input!$Y:$Y,2))</f>
        <v>0</v>
      </c>
      <c r="N30" s="53" t="n">
        <f aca="false">IF($A30="",0,SUMIFS(GL_Input!$U:$U,GL_Input!$F:$F,$A30,GL_Input!$X:$X,"S",GL_Input!$Y:$Y,3))</f>
        <v>0</v>
      </c>
      <c r="O30" s="54" t="n">
        <f aca="false">SUM(F30:N30)</f>
        <v>0</v>
      </c>
      <c r="P30" s="15" t="str">
        <f aca="false">IF(O30=0,"",IF($D30="","MISSING VAT NO.",IF(OR($C30="",$C30="CY",Counterparties!G30&lt;&gt;"EU"),"NOT AN EU CUSTOMER","OK")))</f>
        <v/>
      </c>
    </row>
    <row r="31" customFormat="false" ht="15" hidden="false" customHeight="false" outlineLevel="0" collapsed="false">
      <c r="A31" s="30" t="str">
        <f aca="false">IF(Counterparties!A31="","",Counterparties!A31)</f>
        <v/>
      </c>
      <c r="B31" s="30" t="str">
        <f aca="false">IF(Counterparties!B31="","",Counterparties!B31)</f>
        <v/>
      </c>
      <c r="C31" s="30" t="str">
        <f aca="false">IF(Counterparties!C31="","",Counterparties!C31)</f>
        <v/>
      </c>
      <c r="D31" s="30" t="str">
        <f aca="false">IF(Counterparties!D31="","",Counterparties!D31)</f>
        <v/>
      </c>
      <c r="E31" s="30" t="str">
        <f aca="false">IF(Counterparties!E31="","",Counterparties!E31)</f>
        <v/>
      </c>
      <c r="F31" s="53" t="n">
        <f aca="false">IF($A31="",0,SUMIFS(GL_Input!$U:$U,GL_Input!$F:$F,$A31,GL_Input!$X:$X,"G",GL_Input!$Y:$Y,1))</f>
        <v>0</v>
      </c>
      <c r="G31" s="53" t="n">
        <f aca="false">IF($A31="",0,SUMIFS(GL_Input!$U:$U,GL_Input!$F:$F,$A31,GL_Input!$X:$X,"G",GL_Input!$Y:$Y,2))</f>
        <v>0</v>
      </c>
      <c r="H31" s="53" t="n">
        <f aca="false">IF($A31="",0,SUMIFS(GL_Input!$U:$U,GL_Input!$F:$F,$A31,GL_Input!$X:$X,"G",GL_Input!$Y:$Y,3))</f>
        <v>0</v>
      </c>
      <c r="I31" s="53" t="n">
        <f aca="false">IF($A31="",0,SUMIFS(GL_Input!$U:$U,GL_Input!$F:$F,$A31,GL_Input!$X:$X,"T",GL_Input!$Y:$Y,1))</f>
        <v>0</v>
      </c>
      <c r="J31" s="53" t="n">
        <f aca="false">IF($A31="",0,SUMIFS(GL_Input!$U:$U,GL_Input!$F:$F,$A31,GL_Input!$X:$X,"T",GL_Input!$Y:$Y,2))</f>
        <v>0</v>
      </c>
      <c r="K31" s="53" t="n">
        <f aca="false">IF($A31="",0,SUMIFS(GL_Input!$U:$U,GL_Input!$F:$F,$A31,GL_Input!$X:$X,"T",GL_Input!$Y:$Y,3))</f>
        <v>0</v>
      </c>
      <c r="L31" s="53" t="n">
        <f aca="false">IF($A31="",0,SUMIFS(GL_Input!$U:$U,GL_Input!$F:$F,$A31,GL_Input!$X:$X,"S",GL_Input!$Y:$Y,1))</f>
        <v>0</v>
      </c>
      <c r="M31" s="53" t="n">
        <f aca="false">IF($A31="",0,SUMIFS(GL_Input!$U:$U,GL_Input!$F:$F,$A31,GL_Input!$X:$X,"S",GL_Input!$Y:$Y,2))</f>
        <v>0</v>
      </c>
      <c r="N31" s="53" t="n">
        <f aca="false">IF($A31="",0,SUMIFS(GL_Input!$U:$U,GL_Input!$F:$F,$A31,GL_Input!$X:$X,"S",GL_Input!$Y:$Y,3))</f>
        <v>0</v>
      </c>
      <c r="O31" s="54" t="n">
        <f aca="false">SUM(F31:N31)</f>
        <v>0</v>
      </c>
      <c r="P31" s="15" t="str">
        <f aca="false">IF(O31=0,"",IF($D31="","MISSING VAT NO.",IF(OR($C31="",$C31="CY",Counterparties!G31&lt;&gt;"EU"),"NOT AN EU CUSTOMER","OK")))</f>
        <v/>
      </c>
    </row>
    <row r="32" customFormat="false" ht="15" hidden="false" customHeight="false" outlineLevel="0" collapsed="false">
      <c r="A32" s="30" t="str">
        <f aca="false">IF(Counterparties!A32="","",Counterparties!A32)</f>
        <v/>
      </c>
      <c r="B32" s="30" t="str">
        <f aca="false">IF(Counterparties!B32="","",Counterparties!B32)</f>
        <v/>
      </c>
      <c r="C32" s="30" t="str">
        <f aca="false">IF(Counterparties!C32="","",Counterparties!C32)</f>
        <v/>
      </c>
      <c r="D32" s="30" t="str">
        <f aca="false">IF(Counterparties!D32="","",Counterparties!D32)</f>
        <v/>
      </c>
      <c r="E32" s="30" t="str">
        <f aca="false">IF(Counterparties!E32="","",Counterparties!E32)</f>
        <v/>
      </c>
      <c r="F32" s="53" t="n">
        <f aca="false">IF($A32="",0,SUMIFS(GL_Input!$U:$U,GL_Input!$F:$F,$A32,GL_Input!$X:$X,"G",GL_Input!$Y:$Y,1))</f>
        <v>0</v>
      </c>
      <c r="G32" s="53" t="n">
        <f aca="false">IF($A32="",0,SUMIFS(GL_Input!$U:$U,GL_Input!$F:$F,$A32,GL_Input!$X:$X,"G",GL_Input!$Y:$Y,2))</f>
        <v>0</v>
      </c>
      <c r="H32" s="53" t="n">
        <f aca="false">IF($A32="",0,SUMIFS(GL_Input!$U:$U,GL_Input!$F:$F,$A32,GL_Input!$X:$X,"G",GL_Input!$Y:$Y,3))</f>
        <v>0</v>
      </c>
      <c r="I32" s="53" t="n">
        <f aca="false">IF($A32="",0,SUMIFS(GL_Input!$U:$U,GL_Input!$F:$F,$A32,GL_Input!$X:$X,"T",GL_Input!$Y:$Y,1))</f>
        <v>0</v>
      </c>
      <c r="J32" s="53" t="n">
        <f aca="false">IF($A32="",0,SUMIFS(GL_Input!$U:$U,GL_Input!$F:$F,$A32,GL_Input!$X:$X,"T",GL_Input!$Y:$Y,2))</f>
        <v>0</v>
      </c>
      <c r="K32" s="53" t="n">
        <f aca="false">IF($A32="",0,SUMIFS(GL_Input!$U:$U,GL_Input!$F:$F,$A32,GL_Input!$X:$X,"T",GL_Input!$Y:$Y,3))</f>
        <v>0</v>
      </c>
      <c r="L32" s="53" t="n">
        <f aca="false">IF($A32="",0,SUMIFS(GL_Input!$U:$U,GL_Input!$F:$F,$A32,GL_Input!$X:$X,"S",GL_Input!$Y:$Y,1))</f>
        <v>0</v>
      </c>
      <c r="M32" s="53" t="n">
        <f aca="false">IF($A32="",0,SUMIFS(GL_Input!$U:$U,GL_Input!$F:$F,$A32,GL_Input!$X:$X,"S",GL_Input!$Y:$Y,2))</f>
        <v>0</v>
      </c>
      <c r="N32" s="53" t="n">
        <f aca="false">IF($A32="",0,SUMIFS(GL_Input!$U:$U,GL_Input!$F:$F,$A32,GL_Input!$X:$X,"S",GL_Input!$Y:$Y,3))</f>
        <v>0</v>
      </c>
      <c r="O32" s="54" t="n">
        <f aca="false">SUM(F32:N32)</f>
        <v>0</v>
      </c>
      <c r="P32" s="15" t="str">
        <f aca="false">IF(O32=0,"",IF($D32="","MISSING VAT NO.",IF(OR($C32="",$C32="CY",Counterparties!G32&lt;&gt;"EU"),"NOT AN EU CUSTOMER","OK")))</f>
        <v/>
      </c>
    </row>
    <row r="33" customFormat="false" ht="15" hidden="false" customHeight="false" outlineLevel="0" collapsed="false">
      <c r="A33" s="30" t="str">
        <f aca="false">IF(Counterparties!A33="","",Counterparties!A33)</f>
        <v/>
      </c>
      <c r="B33" s="30" t="str">
        <f aca="false">IF(Counterparties!B33="","",Counterparties!B33)</f>
        <v/>
      </c>
      <c r="C33" s="30" t="str">
        <f aca="false">IF(Counterparties!C33="","",Counterparties!C33)</f>
        <v/>
      </c>
      <c r="D33" s="30" t="str">
        <f aca="false">IF(Counterparties!D33="","",Counterparties!D33)</f>
        <v/>
      </c>
      <c r="E33" s="30" t="str">
        <f aca="false">IF(Counterparties!E33="","",Counterparties!E33)</f>
        <v/>
      </c>
      <c r="F33" s="53" t="n">
        <f aca="false">IF($A33="",0,SUMIFS(GL_Input!$U:$U,GL_Input!$F:$F,$A33,GL_Input!$X:$X,"G",GL_Input!$Y:$Y,1))</f>
        <v>0</v>
      </c>
      <c r="G33" s="53" t="n">
        <f aca="false">IF($A33="",0,SUMIFS(GL_Input!$U:$U,GL_Input!$F:$F,$A33,GL_Input!$X:$X,"G",GL_Input!$Y:$Y,2))</f>
        <v>0</v>
      </c>
      <c r="H33" s="53" t="n">
        <f aca="false">IF($A33="",0,SUMIFS(GL_Input!$U:$U,GL_Input!$F:$F,$A33,GL_Input!$X:$X,"G",GL_Input!$Y:$Y,3))</f>
        <v>0</v>
      </c>
      <c r="I33" s="53" t="n">
        <f aca="false">IF($A33="",0,SUMIFS(GL_Input!$U:$U,GL_Input!$F:$F,$A33,GL_Input!$X:$X,"T",GL_Input!$Y:$Y,1))</f>
        <v>0</v>
      </c>
      <c r="J33" s="53" t="n">
        <f aca="false">IF($A33="",0,SUMIFS(GL_Input!$U:$U,GL_Input!$F:$F,$A33,GL_Input!$X:$X,"T",GL_Input!$Y:$Y,2))</f>
        <v>0</v>
      </c>
      <c r="K33" s="53" t="n">
        <f aca="false">IF($A33="",0,SUMIFS(GL_Input!$U:$U,GL_Input!$F:$F,$A33,GL_Input!$X:$X,"T",GL_Input!$Y:$Y,3))</f>
        <v>0</v>
      </c>
      <c r="L33" s="53" t="n">
        <f aca="false">IF($A33="",0,SUMIFS(GL_Input!$U:$U,GL_Input!$F:$F,$A33,GL_Input!$X:$X,"S",GL_Input!$Y:$Y,1))</f>
        <v>0</v>
      </c>
      <c r="M33" s="53" t="n">
        <f aca="false">IF($A33="",0,SUMIFS(GL_Input!$U:$U,GL_Input!$F:$F,$A33,GL_Input!$X:$X,"S",GL_Input!$Y:$Y,2))</f>
        <v>0</v>
      </c>
      <c r="N33" s="53" t="n">
        <f aca="false">IF($A33="",0,SUMIFS(GL_Input!$U:$U,GL_Input!$F:$F,$A33,GL_Input!$X:$X,"S",GL_Input!$Y:$Y,3))</f>
        <v>0</v>
      </c>
      <c r="O33" s="54" t="n">
        <f aca="false">SUM(F33:N33)</f>
        <v>0</v>
      </c>
      <c r="P33" s="15" t="str">
        <f aca="false">IF(O33=0,"",IF($D33="","MISSING VAT NO.",IF(OR($C33="",$C33="CY",Counterparties!G33&lt;&gt;"EU"),"NOT AN EU CUSTOMER","OK")))</f>
        <v/>
      </c>
    </row>
    <row r="34" customFormat="false" ht="15" hidden="false" customHeight="false" outlineLevel="0" collapsed="false">
      <c r="A34" s="30" t="str">
        <f aca="false">IF(Counterparties!A34="","",Counterparties!A34)</f>
        <v/>
      </c>
      <c r="B34" s="30" t="str">
        <f aca="false">IF(Counterparties!B34="","",Counterparties!B34)</f>
        <v/>
      </c>
      <c r="C34" s="30" t="str">
        <f aca="false">IF(Counterparties!C34="","",Counterparties!C34)</f>
        <v/>
      </c>
      <c r="D34" s="30" t="str">
        <f aca="false">IF(Counterparties!D34="","",Counterparties!D34)</f>
        <v/>
      </c>
      <c r="E34" s="30" t="str">
        <f aca="false">IF(Counterparties!E34="","",Counterparties!E34)</f>
        <v/>
      </c>
      <c r="F34" s="53" t="n">
        <f aca="false">IF($A34="",0,SUMIFS(GL_Input!$U:$U,GL_Input!$F:$F,$A34,GL_Input!$X:$X,"G",GL_Input!$Y:$Y,1))</f>
        <v>0</v>
      </c>
      <c r="G34" s="53" t="n">
        <f aca="false">IF($A34="",0,SUMIFS(GL_Input!$U:$U,GL_Input!$F:$F,$A34,GL_Input!$X:$X,"G",GL_Input!$Y:$Y,2))</f>
        <v>0</v>
      </c>
      <c r="H34" s="53" t="n">
        <f aca="false">IF($A34="",0,SUMIFS(GL_Input!$U:$U,GL_Input!$F:$F,$A34,GL_Input!$X:$X,"G",GL_Input!$Y:$Y,3))</f>
        <v>0</v>
      </c>
      <c r="I34" s="53" t="n">
        <f aca="false">IF($A34="",0,SUMIFS(GL_Input!$U:$U,GL_Input!$F:$F,$A34,GL_Input!$X:$X,"T",GL_Input!$Y:$Y,1))</f>
        <v>0</v>
      </c>
      <c r="J34" s="53" t="n">
        <f aca="false">IF($A34="",0,SUMIFS(GL_Input!$U:$U,GL_Input!$F:$F,$A34,GL_Input!$X:$X,"T",GL_Input!$Y:$Y,2))</f>
        <v>0</v>
      </c>
      <c r="K34" s="53" t="n">
        <f aca="false">IF($A34="",0,SUMIFS(GL_Input!$U:$U,GL_Input!$F:$F,$A34,GL_Input!$X:$X,"T",GL_Input!$Y:$Y,3))</f>
        <v>0</v>
      </c>
      <c r="L34" s="53" t="n">
        <f aca="false">IF($A34="",0,SUMIFS(GL_Input!$U:$U,GL_Input!$F:$F,$A34,GL_Input!$X:$X,"S",GL_Input!$Y:$Y,1))</f>
        <v>0</v>
      </c>
      <c r="M34" s="53" t="n">
        <f aca="false">IF($A34="",0,SUMIFS(GL_Input!$U:$U,GL_Input!$F:$F,$A34,GL_Input!$X:$X,"S",GL_Input!$Y:$Y,2))</f>
        <v>0</v>
      </c>
      <c r="N34" s="53" t="n">
        <f aca="false">IF($A34="",0,SUMIFS(GL_Input!$U:$U,GL_Input!$F:$F,$A34,GL_Input!$X:$X,"S",GL_Input!$Y:$Y,3))</f>
        <v>0</v>
      </c>
      <c r="O34" s="54" t="n">
        <f aca="false">SUM(F34:N34)</f>
        <v>0</v>
      </c>
      <c r="P34" s="15" t="str">
        <f aca="false">IF(O34=0,"",IF($D34="","MISSING VAT NO.",IF(OR($C34="",$C34="CY",Counterparties!G34&lt;&gt;"EU"),"NOT AN EU CUSTOMER","OK")))</f>
        <v/>
      </c>
    </row>
    <row r="35" customFormat="false" ht="15" hidden="false" customHeight="false" outlineLevel="0" collapsed="false">
      <c r="A35" s="30" t="str">
        <f aca="false">IF(Counterparties!A35="","",Counterparties!A35)</f>
        <v/>
      </c>
      <c r="B35" s="30" t="str">
        <f aca="false">IF(Counterparties!B35="","",Counterparties!B35)</f>
        <v/>
      </c>
      <c r="C35" s="30" t="str">
        <f aca="false">IF(Counterparties!C35="","",Counterparties!C35)</f>
        <v/>
      </c>
      <c r="D35" s="30" t="str">
        <f aca="false">IF(Counterparties!D35="","",Counterparties!D35)</f>
        <v/>
      </c>
      <c r="E35" s="30" t="str">
        <f aca="false">IF(Counterparties!E35="","",Counterparties!E35)</f>
        <v/>
      </c>
      <c r="F35" s="53" t="n">
        <f aca="false">IF($A35="",0,SUMIFS(GL_Input!$U:$U,GL_Input!$F:$F,$A35,GL_Input!$X:$X,"G",GL_Input!$Y:$Y,1))</f>
        <v>0</v>
      </c>
      <c r="G35" s="53" t="n">
        <f aca="false">IF($A35="",0,SUMIFS(GL_Input!$U:$U,GL_Input!$F:$F,$A35,GL_Input!$X:$X,"G",GL_Input!$Y:$Y,2))</f>
        <v>0</v>
      </c>
      <c r="H35" s="53" t="n">
        <f aca="false">IF($A35="",0,SUMIFS(GL_Input!$U:$U,GL_Input!$F:$F,$A35,GL_Input!$X:$X,"G",GL_Input!$Y:$Y,3))</f>
        <v>0</v>
      </c>
      <c r="I35" s="53" t="n">
        <f aca="false">IF($A35="",0,SUMIFS(GL_Input!$U:$U,GL_Input!$F:$F,$A35,GL_Input!$X:$X,"T",GL_Input!$Y:$Y,1))</f>
        <v>0</v>
      </c>
      <c r="J35" s="53" t="n">
        <f aca="false">IF($A35="",0,SUMIFS(GL_Input!$U:$U,GL_Input!$F:$F,$A35,GL_Input!$X:$X,"T",GL_Input!$Y:$Y,2))</f>
        <v>0</v>
      </c>
      <c r="K35" s="53" t="n">
        <f aca="false">IF($A35="",0,SUMIFS(GL_Input!$U:$U,GL_Input!$F:$F,$A35,GL_Input!$X:$X,"T",GL_Input!$Y:$Y,3))</f>
        <v>0</v>
      </c>
      <c r="L35" s="53" t="n">
        <f aca="false">IF($A35="",0,SUMIFS(GL_Input!$U:$U,GL_Input!$F:$F,$A35,GL_Input!$X:$X,"S",GL_Input!$Y:$Y,1))</f>
        <v>0</v>
      </c>
      <c r="M35" s="53" t="n">
        <f aca="false">IF($A35="",0,SUMIFS(GL_Input!$U:$U,GL_Input!$F:$F,$A35,GL_Input!$X:$X,"S",GL_Input!$Y:$Y,2))</f>
        <v>0</v>
      </c>
      <c r="N35" s="53" t="n">
        <f aca="false">IF($A35="",0,SUMIFS(GL_Input!$U:$U,GL_Input!$F:$F,$A35,GL_Input!$X:$X,"S",GL_Input!$Y:$Y,3))</f>
        <v>0</v>
      </c>
      <c r="O35" s="54" t="n">
        <f aca="false">SUM(F35:N35)</f>
        <v>0</v>
      </c>
      <c r="P35" s="15" t="str">
        <f aca="false">IF(O35=0,"",IF($D35="","MISSING VAT NO.",IF(OR($C35="",$C35="CY",Counterparties!G35&lt;&gt;"EU"),"NOT AN EU CUSTOMER","OK")))</f>
        <v/>
      </c>
    </row>
    <row r="36" customFormat="false" ht="15" hidden="false" customHeight="false" outlineLevel="0" collapsed="false">
      <c r="A36" s="30" t="str">
        <f aca="false">IF(Counterparties!A36="","",Counterparties!A36)</f>
        <v/>
      </c>
      <c r="B36" s="30" t="str">
        <f aca="false">IF(Counterparties!B36="","",Counterparties!B36)</f>
        <v/>
      </c>
      <c r="C36" s="30" t="str">
        <f aca="false">IF(Counterparties!C36="","",Counterparties!C36)</f>
        <v/>
      </c>
      <c r="D36" s="30" t="str">
        <f aca="false">IF(Counterparties!D36="","",Counterparties!D36)</f>
        <v/>
      </c>
      <c r="E36" s="30" t="str">
        <f aca="false">IF(Counterparties!E36="","",Counterparties!E36)</f>
        <v/>
      </c>
      <c r="F36" s="53" t="n">
        <f aca="false">IF($A36="",0,SUMIFS(GL_Input!$U:$U,GL_Input!$F:$F,$A36,GL_Input!$X:$X,"G",GL_Input!$Y:$Y,1))</f>
        <v>0</v>
      </c>
      <c r="G36" s="53" t="n">
        <f aca="false">IF($A36="",0,SUMIFS(GL_Input!$U:$U,GL_Input!$F:$F,$A36,GL_Input!$X:$X,"G",GL_Input!$Y:$Y,2))</f>
        <v>0</v>
      </c>
      <c r="H36" s="53" t="n">
        <f aca="false">IF($A36="",0,SUMIFS(GL_Input!$U:$U,GL_Input!$F:$F,$A36,GL_Input!$X:$X,"G",GL_Input!$Y:$Y,3))</f>
        <v>0</v>
      </c>
      <c r="I36" s="53" t="n">
        <f aca="false">IF($A36="",0,SUMIFS(GL_Input!$U:$U,GL_Input!$F:$F,$A36,GL_Input!$X:$X,"T",GL_Input!$Y:$Y,1))</f>
        <v>0</v>
      </c>
      <c r="J36" s="53" t="n">
        <f aca="false">IF($A36="",0,SUMIFS(GL_Input!$U:$U,GL_Input!$F:$F,$A36,GL_Input!$X:$X,"T",GL_Input!$Y:$Y,2))</f>
        <v>0</v>
      </c>
      <c r="K36" s="53" t="n">
        <f aca="false">IF($A36="",0,SUMIFS(GL_Input!$U:$U,GL_Input!$F:$F,$A36,GL_Input!$X:$X,"T",GL_Input!$Y:$Y,3))</f>
        <v>0</v>
      </c>
      <c r="L36" s="53" t="n">
        <f aca="false">IF($A36="",0,SUMIFS(GL_Input!$U:$U,GL_Input!$F:$F,$A36,GL_Input!$X:$X,"S",GL_Input!$Y:$Y,1))</f>
        <v>0</v>
      </c>
      <c r="M36" s="53" t="n">
        <f aca="false">IF($A36="",0,SUMIFS(GL_Input!$U:$U,GL_Input!$F:$F,$A36,GL_Input!$X:$X,"S",GL_Input!$Y:$Y,2))</f>
        <v>0</v>
      </c>
      <c r="N36" s="53" t="n">
        <f aca="false">IF($A36="",0,SUMIFS(GL_Input!$U:$U,GL_Input!$F:$F,$A36,GL_Input!$X:$X,"S",GL_Input!$Y:$Y,3))</f>
        <v>0</v>
      </c>
      <c r="O36" s="54" t="n">
        <f aca="false">SUM(F36:N36)</f>
        <v>0</v>
      </c>
      <c r="P36" s="15" t="str">
        <f aca="false">IF(O36=0,"",IF($D36="","MISSING VAT NO.",IF(OR($C36="",$C36="CY",Counterparties!G36&lt;&gt;"EU"),"NOT AN EU CUSTOMER","OK")))</f>
        <v/>
      </c>
    </row>
    <row r="37" customFormat="false" ht="15" hidden="false" customHeight="false" outlineLevel="0" collapsed="false">
      <c r="A37" s="30" t="str">
        <f aca="false">IF(Counterparties!A37="","",Counterparties!A37)</f>
        <v/>
      </c>
      <c r="B37" s="30" t="str">
        <f aca="false">IF(Counterparties!B37="","",Counterparties!B37)</f>
        <v/>
      </c>
      <c r="C37" s="30" t="str">
        <f aca="false">IF(Counterparties!C37="","",Counterparties!C37)</f>
        <v/>
      </c>
      <c r="D37" s="30" t="str">
        <f aca="false">IF(Counterparties!D37="","",Counterparties!D37)</f>
        <v/>
      </c>
      <c r="E37" s="30" t="str">
        <f aca="false">IF(Counterparties!E37="","",Counterparties!E37)</f>
        <v/>
      </c>
      <c r="F37" s="53" t="n">
        <f aca="false">IF($A37="",0,SUMIFS(GL_Input!$U:$U,GL_Input!$F:$F,$A37,GL_Input!$X:$X,"G",GL_Input!$Y:$Y,1))</f>
        <v>0</v>
      </c>
      <c r="G37" s="53" t="n">
        <f aca="false">IF($A37="",0,SUMIFS(GL_Input!$U:$U,GL_Input!$F:$F,$A37,GL_Input!$X:$X,"G",GL_Input!$Y:$Y,2))</f>
        <v>0</v>
      </c>
      <c r="H37" s="53" t="n">
        <f aca="false">IF($A37="",0,SUMIFS(GL_Input!$U:$U,GL_Input!$F:$F,$A37,GL_Input!$X:$X,"G",GL_Input!$Y:$Y,3))</f>
        <v>0</v>
      </c>
      <c r="I37" s="53" t="n">
        <f aca="false">IF($A37="",0,SUMIFS(GL_Input!$U:$U,GL_Input!$F:$F,$A37,GL_Input!$X:$X,"T",GL_Input!$Y:$Y,1))</f>
        <v>0</v>
      </c>
      <c r="J37" s="53" t="n">
        <f aca="false">IF($A37="",0,SUMIFS(GL_Input!$U:$U,GL_Input!$F:$F,$A37,GL_Input!$X:$X,"T",GL_Input!$Y:$Y,2))</f>
        <v>0</v>
      </c>
      <c r="K37" s="53" t="n">
        <f aca="false">IF($A37="",0,SUMIFS(GL_Input!$U:$U,GL_Input!$F:$F,$A37,GL_Input!$X:$X,"T",GL_Input!$Y:$Y,3))</f>
        <v>0</v>
      </c>
      <c r="L37" s="53" t="n">
        <f aca="false">IF($A37="",0,SUMIFS(GL_Input!$U:$U,GL_Input!$F:$F,$A37,GL_Input!$X:$X,"S",GL_Input!$Y:$Y,1))</f>
        <v>0</v>
      </c>
      <c r="M37" s="53" t="n">
        <f aca="false">IF($A37="",0,SUMIFS(GL_Input!$U:$U,GL_Input!$F:$F,$A37,GL_Input!$X:$X,"S",GL_Input!$Y:$Y,2))</f>
        <v>0</v>
      </c>
      <c r="N37" s="53" t="n">
        <f aca="false">IF($A37="",0,SUMIFS(GL_Input!$U:$U,GL_Input!$F:$F,$A37,GL_Input!$X:$X,"S",GL_Input!$Y:$Y,3))</f>
        <v>0</v>
      </c>
      <c r="O37" s="54" t="n">
        <f aca="false">SUM(F37:N37)</f>
        <v>0</v>
      </c>
      <c r="P37" s="15" t="str">
        <f aca="false">IF(O37=0,"",IF($D37="","MISSING VAT NO.",IF(OR($C37="",$C37="CY",Counterparties!G37&lt;&gt;"EU"),"NOT AN EU CUSTOMER","OK")))</f>
        <v/>
      </c>
    </row>
    <row r="38" customFormat="false" ht="15" hidden="false" customHeight="false" outlineLevel="0" collapsed="false">
      <c r="A38" s="30" t="str">
        <f aca="false">IF(Counterparties!A38="","",Counterparties!A38)</f>
        <v/>
      </c>
      <c r="B38" s="30" t="str">
        <f aca="false">IF(Counterparties!B38="","",Counterparties!B38)</f>
        <v/>
      </c>
      <c r="C38" s="30" t="str">
        <f aca="false">IF(Counterparties!C38="","",Counterparties!C38)</f>
        <v/>
      </c>
      <c r="D38" s="30" t="str">
        <f aca="false">IF(Counterparties!D38="","",Counterparties!D38)</f>
        <v/>
      </c>
      <c r="E38" s="30" t="str">
        <f aca="false">IF(Counterparties!E38="","",Counterparties!E38)</f>
        <v/>
      </c>
      <c r="F38" s="53" t="n">
        <f aca="false">IF($A38="",0,SUMIFS(GL_Input!$U:$U,GL_Input!$F:$F,$A38,GL_Input!$X:$X,"G",GL_Input!$Y:$Y,1))</f>
        <v>0</v>
      </c>
      <c r="G38" s="53" t="n">
        <f aca="false">IF($A38="",0,SUMIFS(GL_Input!$U:$U,GL_Input!$F:$F,$A38,GL_Input!$X:$X,"G",GL_Input!$Y:$Y,2))</f>
        <v>0</v>
      </c>
      <c r="H38" s="53" t="n">
        <f aca="false">IF($A38="",0,SUMIFS(GL_Input!$U:$U,GL_Input!$F:$F,$A38,GL_Input!$X:$X,"G",GL_Input!$Y:$Y,3))</f>
        <v>0</v>
      </c>
      <c r="I38" s="53" t="n">
        <f aca="false">IF($A38="",0,SUMIFS(GL_Input!$U:$U,GL_Input!$F:$F,$A38,GL_Input!$X:$X,"T",GL_Input!$Y:$Y,1))</f>
        <v>0</v>
      </c>
      <c r="J38" s="53" t="n">
        <f aca="false">IF($A38="",0,SUMIFS(GL_Input!$U:$U,GL_Input!$F:$F,$A38,GL_Input!$X:$X,"T",GL_Input!$Y:$Y,2))</f>
        <v>0</v>
      </c>
      <c r="K38" s="53" t="n">
        <f aca="false">IF($A38="",0,SUMIFS(GL_Input!$U:$U,GL_Input!$F:$F,$A38,GL_Input!$X:$X,"T",GL_Input!$Y:$Y,3))</f>
        <v>0</v>
      </c>
      <c r="L38" s="53" t="n">
        <f aca="false">IF($A38="",0,SUMIFS(GL_Input!$U:$U,GL_Input!$F:$F,$A38,GL_Input!$X:$X,"S",GL_Input!$Y:$Y,1))</f>
        <v>0</v>
      </c>
      <c r="M38" s="53" t="n">
        <f aca="false">IF($A38="",0,SUMIFS(GL_Input!$U:$U,GL_Input!$F:$F,$A38,GL_Input!$X:$X,"S",GL_Input!$Y:$Y,2))</f>
        <v>0</v>
      </c>
      <c r="N38" s="53" t="n">
        <f aca="false">IF($A38="",0,SUMIFS(GL_Input!$U:$U,GL_Input!$F:$F,$A38,GL_Input!$X:$X,"S",GL_Input!$Y:$Y,3))</f>
        <v>0</v>
      </c>
      <c r="O38" s="54" t="n">
        <f aca="false">SUM(F38:N38)</f>
        <v>0</v>
      </c>
      <c r="P38" s="15" t="str">
        <f aca="false">IF(O38=0,"",IF($D38="","MISSING VAT NO.",IF(OR($C38="",$C38="CY",Counterparties!G38&lt;&gt;"EU"),"NOT AN EU CUSTOMER","OK")))</f>
        <v/>
      </c>
    </row>
    <row r="39" customFormat="false" ht="15" hidden="false" customHeight="false" outlineLevel="0" collapsed="false">
      <c r="A39" s="30" t="str">
        <f aca="false">IF(Counterparties!A39="","",Counterparties!A39)</f>
        <v/>
      </c>
      <c r="B39" s="30" t="str">
        <f aca="false">IF(Counterparties!B39="","",Counterparties!B39)</f>
        <v/>
      </c>
      <c r="C39" s="30" t="str">
        <f aca="false">IF(Counterparties!C39="","",Counterparties!C39)</f>
        <v/>
      </c>
      <c r="D39" s="30" t="str">
        <f aca="false">IF(Counterparties!D39="","",Counterparties!D39)</f>
        <v/>
      </c>
      <c r="E39" s="30" t="str">
        <f aca="false">IF(Counterparties!E39="","",Counterparties!E39)</f>
        <v/>
      </c>
      <c r="F39" s="53" t="n">
        <f aca="false">IF($A39="",0,SUMIFS(GL_Input!$U:$U,GL_Input!$F:$F,$A39,GL_Input!$X:$X,"G",GL_Input!$Y:$Y,1))</f>
        <v>0</v>
      </c>
      <c r="G39" s="53" t="n">
        <f aca="false">IF($A39="",0,SUMIFS(GL_Input!$U:$U,GL_Input!$F:$F,$A39,GL_Input!$X:$X,"G",GL_Input!$Y:$Y,2))</f>
        <v>0</v>
      </c>
      <c r="H39" s="53" t="n">
        <f aca="false">IF($A39="",0,SUMIFS(GL_Input!$U:$U,GL_Input!$F:$F,$A39,GL_Input!$X:$X,"G",GL_Input!$Y:$Y,3))</f>
        <v>0</v>
      </c>
      <c r="I39" s="53" t="n">
        <f aca="false">IF($A39="",0,SUMIFS(GL_Input!$U:$U,GL_Input!$F:$F,$A39,GL_Input!$X:$X,"T",GL_Input!$Y:$Y,1))</f>
        <v>0</v>
      </c>
      <c r="J39" s="53" t="n">
        <f aca="false">IF($A39="",0,SUMIFS(GL_Input!$U:$U,GL_Input!$F:$F,$A39,GL_Input!$X:$X,"T",GL_Input!$Y:$Y,2))</f>
        <v>0</v>
      </c>
      <c r="K39" s="53" t="n">
        <f aca="false">IF($A39="",0,SUMIFS(GL_Input!$U:$U,GL_Input!$F:$F,$A39,GL_Input!$X:$X,"T",GL_Input!$Y:$Y,3))</f>
        <v>0</v>
      </c>
      <c r="L39" s="53" t="n">
        <f aca="false">IF($A39="",0,SUMIFS(GL_Input!$U:$U,GL_Input!$F:$F,$A39,GL_Input!$X:$X,"S",GL_Input!$Y:$Y,1))</f>
        <v>0</v>
      </c>
      <c r="M39" s="53" t="n">
        <f aca="false">IF($A39="",0,SUMIFS(GL_Input!$U:$U,GL_Input!$F:$F,$A39,GL_Input!$X:$X,"S",GL_Input!$Y:$Y,2))</f>
        <v>0</v>
      </c>
      <c r="N39" s="53" t="n">
        <f aca="false">IF($A39="",0,SUMIFS(GL_Input!$U:$U,GL_Input!$F:$F,$A39,GL_Input!$X:$X,"S",GL_Input!$Y:$Y,3))</f>
        <v>0</v>
      </c>
      <c r="O39" s="54" t="n">
        <f aca="false">SUM(F39:N39)</f>
        <v>0</v>
      </c>
      <c r="P39" s="15" t="str">
        <f aca="false">IF(O39=0,"",IF($D39="","MISSING VAT NO.",IF(OR($C39="",$C39="CY",Counterparties!G39&lt;&gt;"EU"),"NOT AN EU CUSTOMER","OK")))</f>
        <v/>
      </c>
    </row>
    <row r="40" customFormat="false" ht="15" hidden="false" customHeight="false" outlineLevel="0" collapsed="false">
      <c r="A40" s="30" t="str">
        <f aca="false">IF(Counterparties!A40="","",Counterparties!A40)</f>
        <v/>
      </c>
      <c r="B40" s="30" t="str">
        <f aca="false">IF(Counterparties!B40="","",Counterparties!B40)</f>
        <v/>
      </c>
      <c r="C40" s="30" t="str">
        <f aca="false">IF(Counterparties!C40="","",Counterparties!C40)</f>
        <v/>
      </c>
      <c r="D40" s="30" t="str">
        <f aca="false">IF(Counterparties!D40="","",Counterparties!D40)</f>
        <v/>
      </c>
      <c r="E40" s="30" t="str">
        <f aca="false">IF(Counterparties!E40="","",Counterparties!E40)</f>
        <v/>
      </c>
      <c r="F40" s="53" t="n">
        <f aca="false">IF($A40="",0,SUMIFS(GL_Input!$U:$U,GL_Input!$F:$F,$A40,GL_Input!$X:$X,"G",GL_Input!$Y:$Y,1))</f>
        <v>0</v>
      </c>
      <c r="G40" s="53" t="n">
        <f aca="false">IF($A40="",0,SUMIFS(GL_Input!$U:$U,GL_Input!$F:$F,$A40,GL_Input!$X:$X,"G",GL_Input!$Y:$Y,2))</f>
        <v>0</v>
      </c>
      <c r="H40" s="53" t="n">
        <f aca="false">IF($A40="",0,SUMIFS(GL_Input!$U:$U,GL_Input!$F:$F,$A40,GL_Input!$X:$X,"G",GL_Input!$Y:$Y,3))</f>
        <v>0</v>
      </c>
      <c r="I40" s="53" t="n">
        <f aca="false">IF($A40="",0,SUMIFS(GL_Input!$U:$U,GL_Input!$F:$F,$A40,GL_Input!$X:$X,"T",GL_Input!$Y:$Y,1))</f>
        <v>0</v>
      </c>
      <c r="J40" s="53" t="n">
        <f aca="false">IF($A40="",0,SUMIFS(GL_Input!$U:$U,GL_Input!$F:$F,$A40,GL_Input!$X:$X,"T",GL_Input!$Y:$Y,2))</f>
        <v>0</v>
      </c>
      <c r="K40" s="53" t="n">
        <f aca="false">IF($A40="",0,SUMIFS(GL_Input!$U:$U,GL_Input!$F:$F,$A40,GL_Input!$X:$X,"T",GL_Input!$Y:$Y,3))</f>
        <v>0</v>
      </c>
      <c r="L40" s="53" t="n">
        <f aca="false">IF($A40="",0,SUMIFS(GL_Input!$U:$U,GL_Input!$F:$F,$A40,GL_Input!$X:$X,"S",GL_Input!$Y:$Y,1))</f>
        <v>0</v>
      </c>
      <c r="M40" s="53" t="n">
        <f aca="false">IF($A40="",0,SUMIFS(GL_Input!$U:$U,GL_Input!$F:$F,$A40,GL_Input!$X:$X,"S",GL_Input!$Y:$Y,2))</f>
        <v>0</v>
      </c>
      <c r="N40" s="53" t="n">
        <f aca="false">IF($A40="",0,SUMIFS(GL_Input!$U:$U,GL_Input!$F:$F,$A40,GL_Input!$X:$X,"S",GL_Input!$Y:$Y,3))</f>
        <v>0</v>
      </c>
      <c r="O40" s="54" t="n">
        <f aca="false">SUM(F40:N40)</f>
        <v>0</v>
      </c>
      <c r="P40" s="15" t="str">
        <f aca="false">IF(O40=0,"",IF($D40="","MISSING VAT NO.",IF(OR($C40="",$C40="CY",Counterparties!G40&lt;&gt;"EU"),"NOT AN EU CUSTOMER","OK")))</f>
        <v/>
      </c>
    </row>
    <row r="41" customFormat="false" ht="15" hidden="false" customHeight="false" outlineLevel="0" collapsed="false">
      <c r="A41" s="30" t="str">
        <f aca="false">IF(Counterparties!A41="","",Counterparties!A41)</f>
        <v/>
      </c>
      <c r="B41" s="30" t="str">
        <f aca="false">IF(Counterparties!B41="","",Counterparties!B41)</f>
        <v/>
      </c>
      <c r="C41" s="30" t="str">
        <f aca="false">IF(Counterparties!C41="","",Counterparties!C41)</f>
        <v/>
      </c>
      <c r="D41" s="30" t="str">
        <f aca="false">IF(Counterparties!D41="","",Counterparties!D41)</f>
        <v/>
      </c>
      <c r="E41" s="30" t="str">
        <f aca="false">IF(Counterparties!E41="","",Counterparties!E41)</f>
        <v/>
      </c>
      <c r="F41" s="53" t="n">
        <f aca="false">IF($A41="",0,SUMIFS(GL_Input!$U:$U,GL_Input!$F:$F,$A41,GL_Input!$X:$X,"G",GL_Input!$Y:$Y,1))</f>
        <v>0</v>
      </c>
      <c r="G41" s="53" t="n">
        <f aca="false">IF($A41="",0,SUMIFS(GL_Input!$U:$U,GL_Input!$F:$F,$A41,GL_Input!$X:$X,"G",GL_Input!$Y:$Y,2))</f>
        <v>0</v>
      </c>
      <c r="H41" s="53" t="n">
        <f aca="false">IF($A41="",0,SUMIFS(GL_Input!$U:$U,GL_Input!$F:$F,$A41,GL_Input!$X:$X,"G",GL_Input!$Y:$Y,3))</f>
        <v>0</v>
      </c>
      <c r="I41" s="53" t="n">
        <f aca="false">IF($A41="",0,SUMIFS(GL_Input!$U:$U,GL_Input!$F:$F,$A41,GL_Input!$X:$X,"T",GL_Input!$Y:$Y,1))</f>
        <v>0</v>
      </c>
      <c r="J41" s="53" t="n">
        <f aca="false">IF($A41="",0,SUMIFS(GL_Input!$U:$U,GL_Input!$F:$F,$A41,GL_Input!$X:$X,"T",GL_Input!$Y:$Y,2))</f>
        <v>0</v>
      </c>
      <c r="K41" s="53" t="n">
        <f aca="false">IF($A41="",0,SUMIFS(GL_Input!$U:$U,GL_Input!$F:$F,$A41,GL_Input!$X:$X,"T",GL_Input!$Y:$Y,3))</f>
        <v>0</v>
      </c>
      <c r="L41" s="53" t="n">
        <f aca="false">IF($A41="",0,SUMIFS(GL_Input!$U:$U,GL_Input!$F:$F,$A41,GL_Input!$X:$X,"S",GL_Input!$Y:$Y,1))</f>
        <v>0</v>
      </c>
      <c r="M41" s="53" t="n">
        <f aca="false">IF($A41="",0,SUMIFS(GL_Input!$U:$U,GL_Input!$F:$F,$A41,GL_Input!$X:$X,"S",GL_Input!$Y:$Y,2))</f>
        <v>0</v>
      </c>
      <c r="N41" s="53" t="n">
        <f aca="false">IF($A41="",0,SUMIFS(GL_Input!$U:$U,GL_Input!$F:$F,$A41,GL_Input!$X:$X,"S",GL_Input!$Y:$Y,3))</f>
        <v>0</v>
      </c>
      <c r="O41" s="54" t="n">
        <f aca="false">SUM(F41:N41)</f>
        <v>0</v>
      </c>
      <c r="P41" s="15" t="str">
        <f aca="false">IF(O41=0,"",IF($D41="","MISSING VAT NO.",IF(OR($C41="",$C41="CY",Counterparties!G41&lt;&gt;"EU"),"NOT AN EU CUSTOMER","OK")))</f>
        <v/>
      </c>
    </row>
    <row r="42" customFormat="false" ht="15" hidden="false" customHeight="false" outlineLevel="0" collapsed="false">
      <c r="A42" s="30" t="str">
        <f aca="false">IF(Counterparties!A42="","",Counterparties!A42)</f>
        <v/>
      </c>
      <c r="B42" s="30" t="str">
        <f aca="false">IF(Counterparties!B42="","",Counterparties!B42)</f>
        <v/>
      </c>
      <c r="C42" s="30" t="str">
        <f aca="false">IF(Counterparties!C42="","",Counterparties!C42)</f>
        <v/>
      </c>
      <c r="D42" s="30" t="str">
        <f aca="false">IF(Counterparties!D42="","",Counterparties!D42)</f>
        <v/>
      </c>
      <c r="E42" s="30" t="str">
        <f aca="false">IF(Counterparties!E42="","",Counterparties!E42)</f>
        <v/>
      </c>
      <c r="F42" s="53" t="n">
        <f aca="false">IF($A42="",0,SUMIFS(GL_Input!$U:$U,GL_Input!$F:$F,$A42,GL_Input!$X:$X,"G",GL_Input!$Y:$Y,1))</f>
        <v>0</v>
      </c>
      <c r="G42" s="53" t="n">
        <f aca="false">IF($A42="",0,SUMIFS(GL_Input!$U:$U,GL_Input!$F:$F,$A42,GL_Input!$X:$X,"G",GL_Input!$Y:$Y,2))</f>
        <v>0</v>
      </c>
      <c r="H42" s="53" t="n">
        <f aca="false">IF($A42="",0,SUMIFS(GL_Input!$U:$U,GL_Input!$F:$F,$A42,GL_Input!$X:$X,"G",GL_Input!$Y:$Y,3))</f>
        <v>0</v>
      </c>
      <c r="I42" s="53" t="n">
        <f aca="false">IF($A42="",0,SUMIFS(GL_Input!$U:$U,GL_Input!$F:$F,$A42,GL_Input!$X:$X,"T",GL_Input!$Y:$Y,1))</f>
        <v>0</v>
      </c>
      <c r="J42" s="53" t="n">
        <f aca="false">IF($A42="",0,SUMIFS(GL_Input!$U:$U,GL_Input!$F:$F,$A42,GL_Input!$X:$X,"T",GL_Input!$Y:$Y,2))</f>
        <v>0</v>
      </c>
      <c r="K42" s="53" t="n">
        <f aca="false">IF($A42="",0,SUMIFS(GL_Input!$U:$U,GL_Input!$F:$F,$A42,GL_Input!$X:$X,"T",GL_Input!$Y:$Y,3))</f>
        <v>0</v>
      </c>
      <c r="L42" s="53" t="n">
        <f aca="false">IF($A42="",0,SUMIFS(GL_Input!$U:$U,GL_Input!$F:$F,$A42,GL_Input!$X:$X,"S",GL_Input!$Y:$Y,1))</f>
        <v>0</v>
      </c>
      <c r="M42" s="53" t="n">
        <f aca="false">IF($A42="",0,SUMIFS(GL_Input!$U:$U,GL_Input!$F:$F,$A42,GL_Input!$X:$X,"S",GL_Input!$Y:$Y,2))</f>
        <v>0</v>
      </c>
      <c r="N42" s="53" t="n">
        <f aca="false">IF($A42="",0,SUMIFS(GL_Input!$U:$U,GL_Input!$F:$F,$A42,GL_Input!$X:$X,"S",GL_Input!$Y:$Y,3))</f>
        <v>0</v>
      </c>
      <c r="O42" s="54" t="n">
        <f aca="false">SUM(F42:N42)</f>
        <v>0</v>
      </c>
      <c r="P42" s="15" t="str">
        <f aca="false">IF(O42=0,"",IF($D42="","MISSING VAT NO.",IF(OR($C42="",$C42="CY",Counterparties!G42&lt;&gt;"EU"),"NOT AN EU CUSTOMER","OK")))</f>
        <v/>
      </c>
    </row>
    <row r="43" customFormat="false" ht="15" hidden="false" customHeight="false" outlineLevel="0" collapsed="false">
      <c r="A43" s="30" t="str">
        <f aca="false">IF(Counterparties!A43="","",Counterparties!A43)</f>
        <v/>
      </c>
      <c r="B43" s="30" t="str">
        <f aca="false">IF(Counterparties!B43="","",Counterparties!B43)</f>
        <v/>
      </c>
      <c r="C43" s="30" t="str">
        <f aca="false">IF(Counterparties!C43="","",Counterparties!C43)</f>
        <v/>
      </c>
      <c r="D43" s="30" t="str">
        <f aca="false">IF(Counterparties!D43="","",Counterparties!D43)</f>
        <v/>
      </c>
      <c r="E43" s="30" t="str">
        <f aca="false">IF(Counterparties!E43="","",Counterparties!E43)</f>
        <v/>
      </c>
      <c r="F43" s="53" t="n">
        <f aca="false">IF($A43="",0,SUMIFS(GL_Input!$U:$U,GL_Input!$F:$F,$A43,GL_Input!$X:$X,"G",GL_Input!$Y:$Y,1))</f>
        <v>0</v>
      </c>
      <c r="G43" s="53" t="n">
        <f aca="false">IF($A43="",0,SUMIFS(GL_Input!$U:$U,GL_Input!$F:$F,$A43,GL_Input!$X:$X,"G",GL_Input!$Y:$Y,2))</f>
        <v>0</v>
      </c>
      <c r="H43" s="53" t="n">
        <f aca="false">IF($A43="",0,SUMIFS(GL_Input!$U:$U,GL_Input!$F:$F,$A43,GL_Input!$X:$X,"G",GL_Input!$Y:$Y,3))</f>
        <v>0</v>
      </c>
      <c r="I43" s="53" t="n">
        <f aca="false">IF($A43="",0,SUMIFS(GL_Input!$U:$U,GL_Input!$F:$F,$A43,GL_Input!$X:$X,"T",GL_Input!$Y:$Y,1))</f>
        <v>0</v>
      </c>
      <c r="J43" s="53" t="n">
        <f aca="false">IF($A43="",0,SUMIFS(GL_Input!$U:$U,GL_Input!$F:$F,$A43,GL_Input!$X:$X,"T",GL_Input!$Y:$Y,2))</f>
        <v>0</v>
      </c>
      <c r="K43" s="53" t="n">
        <f aca="false">IF($A43="",0,SUMIFS(GL_Input!$U:$U,GL_Input!$F:$F,$A43,GL_Input!$X:$X,"T",GL_Input!$Y:$Y,3))</f>
        <v>0</v>
      </c>
      <c r="L43" s="53" t="n">
        <f aca="false">IF($A43="",0,SUMIFS(GL_Input!$U:$U,GL_Input!$F:$F,$A43,GL_Input!$X:$X,"S",GL_Input!$Y:$Y,1))</f>
        <v>0</v>
      </c>
      <c r="M43" s="53" t="n">
        <f aca="false">IF($A43="",0,SUMIFS(GL_Input!$U:$U,GL_Input!$F:$F,$A43,GL_Input!$X:$X,"S",GL_Input!$Y:$Y,2))</f>
        <v>0</v>
      </c>
      <c r="N43" s="53" t="n">
        <f aca="false">IF($A43="",0,SUMIFS(GL_Input!$U:$U,GL_Input!$F:$F,$A43,GL_Input!$X:$X,"S",GL_Input!$Y:$Y,3))</f>
        <v>0</v>
      </c>
      <c r="O43" s="54" t="n">
        <f aca="false">SUM(F43:N43)</f>
        <v>0</v>
      </c>
      <c r="P43" s="15" t="str">
        <f aca="false">IF(O43=0,"",IF($D43="","MISSING VAT NO.",IF(OR($C43="",$C43="CY",Counterparties!G43&lt;&gt;"EU"),"NOT AN EU CUSTOMER","OK")))</f>
        <v/>
      </c>
    </row>
    <row r="44" customFormat="false" ht="15" hidden="false" customHeight="false" outlineLevel="0" collapsed="false">
      <c r="A44" s="30" t="str">
        <f aca="false">IF(Counterparties!A44="","",Counterparties!A44)</f>
        <v/>
      </c>
      <c r="B44" s="30" t="str">
        <f aca="false">IF(Counterparties!B44="","",Counterparties!B44)</f>
        <v/>
      </c>
      <c r="C44" s="30" t="str">
        <f aca="false">IF(Counterparties!C44="","",Counterparties!C44)</f>
        <v/>
      </c>
      <c r="D44" s="30" t="str">
        <f aca="false">IF(Counterparties!D44="","",Counterparties!D44)</f>
        <v/>
      </c>
      <c r="E44" s="30" t="str">
        <f aca="false">IF(Counterparties!E44="","",Counterparties!E44)</f>
        <v/>
      </c>
      <c r="F44" s="53" t="n">
        <f aca="false">IF($A44="",0,SUMIFS(GL_Input!$U:$U,GL_Input!$F:$F,$A44,GL_Input!$X:$X,"G",GL_Input!$Y:$Y,1))</f>
        <v>0</v>
      </c>
      <c r="G44" s="53" t="n">
        <f aca="false">IF($A44="",0,SUMIFS(GL_Input!$U:$U,GL_Input!$F:$F,$A44,GL_Input!$X:$X,"G",GL_Input!$Y:$Y,2))</f>
        <v>0</v>
      </c>
      <c r="H44" s="53" t="n">
        <f aca="false">IF($A44="",0,SUMIFS(GL_Input!$U:$U,GL_Input!$F:$F,$A44,GL_Input!$X:$X,"G",GL_Input!$Y:$Y,3))</f>
        <v>0</v>
      </c>
      <c r="I44" s="53" t="n">
        <f aca="false">IF($A44="",0,SUMIFS(GL_Input!$U:$U,GL_Input!$F:$F,$A44,GL_Input!$X:$X,"T",GL_Input!$Y:$Y,1))</f>
        <v>0</v>
      </c>
      <c r="J44" s="53" t="n">
        <f aca="false">IF($A44="",0,SUMIFS(GL_Input!$U:$U,GL_Input!$F:$F,$A44,GL_Input!$X:$X,"T",GL_Input!$Y:$Y,2))</f>
        <v>0</v>
      </c>
      <c r="K44" s="53" t="n">
        <f aca="false">IF($A44="",0,SUMIFS(GL_Input!$U:$U,GL_Input!$F:$F,$A44,GL_Input!$X:$X,"T",GL_Input!$Y:$Y,3))</f>
        <v>0</v>
      </c>
      <c r="L44" s="53" t="n">
        <f aca="false">IF($A44="",0,SUMIFS(GL_Input!$U:$U,GL_Input!$F:$F,$A44,GL_Input!$X:$X,"S",GL_Input!$Y:$Y,1))</f>
        <v>0</v>
      </c>
      <c r="M44" s="53" t="n">
        <f aca="false">IF($A44="",0,SUMIFS(GL_Input!$U:$U,GL_Input!$F:$F,$A44,GL_Input!$X:$X,"S",GL_Input!$Y:$Y,2))</f>
        <v>0</v>
      </c>
      <c r="N44" s="53" t="n">
        <f aca="false">IF($A44="",0,SUMIFS(GL_Input!$U:$U,GL_Input!$F:$F,$A44,GL_Input!$X:$X,"S",GL_Input!$Y:$Y,3))</f>
        <v>0</v>
      </c>
      <c r="O44" s="54" t="n">
        <f aca="false">SUM(F44:N44)</f>
        <v>0</v>
      </c>
      <c r="P44" s="15" t="str">
        <f aca="false">IF(O44=0,"",IF($D44="","MISSING VAT NO.",IF(OR($C44="",$C44="CY",Counterparties!G44&lt;&gt;"EU"),"NOT AN EU CUSTOMER","OK")))</f>
        <v/>
      </c>
    </row>
    <row r="45" customFormat="false" ht="15" hidden="false" customHeight="false" outlineLevel="0" collapsed="false">
      <c r="A45" s="30" t="str">
        <f aca="false">IF(Counterparties!A45="","",Counterparties!A45)</f>
        <v/>
      </c>
      <c r="B45" s="30" t="str">
        <f aca="false">IF(Counterparties!B45="","",Counterparties!B45)</f>
        <v/>
      </c>
      <c r="C45" s="30" t="str">
        <f aca="false">IF(Counterparties!C45="","",Counterparties!C45)</f>
        <v/>
      </c>
      <c r="D45" s="30" t="str">
        <f aca="false">IF(Counterparties!D45="","",Counterparties!D45)</f>
        <v/>
      </c>
      <c r="E45" s="30" t="str">
        <f aca="false">IF(Counterparties!E45="","",Counterparties!E45)</f>
        <v/>
      </c>
      <c r="F45" s="53" t="n">
        <f aca="false">IF($A45="",0,SUMIFS(GL_Input!$U:$U,GL_Input!$F:$F,$A45,GL_Input!$X:$X,"G",GL_Input!$Y:$Y,1))</f>
        <v>0</v>
      </c>
      <c r="G45" s="53" t="n">
        <f aca="false">IF($A45="",0,SUMIFS(GL_Input!$U:$U,GL_Input!$F:$F,$A45,GL_Input!$X:$X,"G",GL_Input!$Y:$Y,2))</f>
        <v>0</v>
      </c>
      <c r="H45" s="53" t="n">
        <f aca="false">IF($A45="",0,SUMIFS(GL_Input!$U:$U,GL_Input!$F:$F,$A45,GL_Input!$X:$X,"G",GL_Input!$Y:$Y,3))</f>
        <v>0</v>
      </c>
      <c r="I45" s="53" t="n">
        <f aca="false">IF($A45="",0,SUMIFS(GL_Input!$U:$U,GL_Input!$F:$F,$A45,GL_Input!$X:$X,"T",GL_Input!$Y:$Y,1))</f>
        <v>0</v>
      </c>
      <c r="J45" s="53" t="n">
        <f aca="false">IF($A45="",0,SUMIFS(GL_Input!$U:$U,GL_Input!$F:$F,$A45,GL_Input!$X:$X,"T",GL_Input!$Y:$Y,2))</f>
        <v>0</v>
      </c>
      <c r="K45" s="53" t="n">
        <f aca="false">IF($A45="",0,SUMIFS(GL_Input!$U:$U,GL_Input!$F:$F,$A45,GL_Input!$X:$X,"T",GL_Input!$Y:$Y,3))</f>
        <v>0</v>
      </c>
      <c r="L45" s="53" t="n">
        <f aca="false">IF($A45="",0,SUMIFS(GL_Input!$U:$U,GL_Input!$F:$F,$A45,GL_Input!$X:$X,"S",GL_Input!$Y:$Y,1))</f>
        <v>0</v>
      </c>
      <c r="M45" s="53" t="n">
        <f aca="false">IF($A45="",0,SUMIFS(GL_Input!$U:$U,GL_Input!$F:$F,$A45,GL_Input!$X:$X,"S",GL_Input!$Y:$Y,2))</f>
        <v>0</v>
      </c>
      <c r="N45" s="53" t="n">
        <f aca="false">IF($A45="",0,SUMIFS(GL_Input!$U:$U,GL_Input!$F:$F,$A45,GL_Input!$X:$X,"S",GL_Input!$Y:$Y,3))</f>
        <v>0</v>
      </c>
      <c r="O45" s="54" t="n">
        <f aca="false">SUM(F45:N45)</f>
        <v>0</v>
      </c>
      <c r="P45" s="15" t="str">
        <f aca="false">IF(O45=0,"",IF($D45="","MISSING VAT NO.",IF(OR($C45="",$C45="CY",Counterparties!G45&lt;&gt;"EU"),"NOT AN EU CUSTOMER","OK")))</f>
        <v/>
      </c>
    </row>
    <row r="46" customFormat="false" ht="15" hidden="false" customHeight="false" outlineLevel="0" collapsed="false">
      <c r="A46" s="30" t="str">
        <f aca="false">IF(Counterparties!A46="","",Counterparties!A46)</f>
        <v/>
      </c>
      <c r="B46" s="30" t="str">
        <f aca="false">IF(Counterparties!B46="","",Counterparties!B46)</f>
        <v/>
      </c>
      <c r="C46" s="30" t="str">
        <f aca="false">IF(Counterparties!C46="","",Counterparties!C46)</f>
        <v/>
      </c>
      <c r="D46" s="30" t="str">
        <f aca="false">IF(Counterparties!D46="","",Counterparties!D46)</f>
        <v/>
      </c>
      <c r="E46" s="30" t="str">
        <f aca="false">IF(Counterparties!E46="","",Counterparties!E46)</f>
        <v/>
      </c>
      <c r="F46" s="53" t="n">
        <f aca="false">IF($A46="",0,SUMIFS(GL_Input!$U:$U,GL_Input!$F:$F,$A46,GL_Input!$X:$X,"G",GL_Input!$Y:$Y,1))</f>
        <v>0</v>
      </c>
      <c r="G46" s="53" t="n">
        <f aca="false">IF($A46="",0,SUMIFS(GL_Input!$U:$U,GL_Input!$F:$F,$A46,GL_Input!$X:$X,"G",GL_Input!$Y:$Y,2))</f>
        <v>0</v>
      </c>
      <c r="H46" s="53" t="n">
        <f aca="false">IF($A46="",0,SUMIFS(GL_Input!$U:$U,GL_Input!$F:$F,$A46,GL_Input!$X:$X,"G",GL_Input!$Y:$Y,3))</f>
        <v>0</v>
      </c>
      <c r="I46" s="53" t="n">
        <f aca="false">IF($A46="",0,SUMIFS(GL_Input!$U:$U,GL_Input!$F:$F,$A46,GL_Input!$X:$X,"T",GL_Input!$Y:$Y,1))</f>
        <v>0</v>
      </c>
      <c r="J46" s="53" t="n">
        <f aca="false">IF($A46="",0,SUMIFS(GL_Input!$U:$U,GL_Input!$F:$F,$A46,GL_Input!$X:$X,"T",GL_Input!$Y:$Y,2))</f>
        <v>0</v>
      </c>
      <c r="K46" s="53" t="n">
        <f aca="false">IF($A46="",0,SUMIFS(GL_Input!$U:$U,GL_Input!$F:$F,$A46,GL_Input!$X:$X,"T",GL_Input!$Y:$Y,3))</f>
        <v>0</v>
      </c>
      <c r="L46" s="53" t="n">
        <f aca="false">IF($A46="",0,SUMIFS(GL_Input!$U:$U,GL_Input!$F:$F,$A46,GL_Input!$X:$X,"S",GL_Input!$Y:$Y,1))</f>
        <v>0</v>
      </c>
      <c r="M46" s="53" t="n">
        <f aca="false">IF($A46="",0,SUMIFS(GL_Input!$U:$U,GL_Input!$F:$F,$A46,GL_Input!$X:$X,"S",GL_Input!$Y:$Y,2))</f>
        <v>0</v>
      </c>
      <c r="N46" s="53" t="n">
        <f aca="false">IF($A46="",0,SUMIFS(GL_Input!$U:$U,GL_Input!$F:$F,$A46,GL_Input!$X:$X,"S",GL_Input!$Y:$Y,3))</f>
        <v>0</v>
      </c>
      <c r="O46" s="54" t="n">
        <f aca="false">SUM(F46:N46)</f>
        <v>0</v>
      </c>
      <c r="P46" s="15" t="str">
        <f aca="false">IF(O46=0,"",IF($D46="","MISSING VAT NO.",IF(OR($C46="",$C46="CY",Counterparties!G46&lt;&gt;"EU"),"NOT AN EU CUSTOMER","OK")))</f>
        <v/>
      </c>
    </row>
    <row r="47" customFormat="false" ht="15" hidden="false" customHeight="false" outlineLevel="0" collapsed="false">
      <c r="A47" s="30" t="str">
        <f aca="false">IF(Counterparties!A47="","",Counterparties!A47)</f>
        <v/>
      </c>
      <c r="B47" s="30" t="str">
        <f aca="false">IF(Counterparties!B47="","",Counterparties!B47)</f>
        <v/>
      </c>
      <c r="C47" s="30" t="str">
        <f aca="false">IF(Counterparties!C47="","",Counterparties!C47)</f>
        <v/>
      </c>
      <c r="D47" s="30" t="str">
        <f aca="false">IF(Counterparties!D47="","",Counterparties!D47)</f>
        <v/>
      </c>
      <c r="E47" s="30" t="str">
        <f aca="false">IF(Counterparties!E47="","",Counterparties!E47)</f>
        <v/>
      </c>
      <c r="F47" s="53" t="n">
        <f aca="false">IF($A47="",0,SUMIFS(GL_Input!$U:$U,GL_Input!$F:$F,$A47,GL_Input!$X:$X,"G",GL_Input!$Y:$Y,1))</f>
        <v>0</v>
      </c>
      <c r="G47" s="53" t="n">
        <f aca="false">IF($A47="",0,SUMIFS(GL_Input!$U:$U,GL_Input!$F:$F,$A47,GL_Input!$X:$X,"G",GL_Input!$Y:$Y,2))</f>
        <v>0</v>
      </c>
      <c r="H47" s="53" t="n">
        <f aca="false">IF($A47="",0,SUMIFS(GL_Input!$U:$U,GL_Input!$F:$F,$A47,GL_Input!$X:$X,"G",GL_Input!$Y:$Y,3))</f>
        <v>0</v>
      </c>
      <c r="I47" s="53" t="n">
        <f aca="false">IF($A47="",0,SUMIFS(GL_Input!$U:$U,GL_Input!$F:$F,$A47,GL_Input!$X:$X,"T",GL_Input!$Y:$Y,1))</f>
        <v>0</v>
      </c>
      <c r="J47" s="53" t="n">
        <f aca="false">IF($A47="",0,SUMIFS(GL_Input!$U:$U,GL_Input!$F:$F,$A47,GL_Input!$X:$X,"T",GL_Input!$Y:$Y,2))</f>
        <v>0</v>
      </c>
      <c r="K47" s="53" t="n">
        <f aca="false">IF($A47="",0,SUMIFS(GL_Input!$U:$U,GL_Input!$F:$F,$A47,GL_Input!$X:$X,"T",GL_Input!$Y:$Y,3))</f>
        <v>0</v>
      </c>
      <c r="L47" s="53" t="n">
        <f aca="false">IF($A47="",0,SUMIFS(GL_Input!$U:$U,GL_Input!$F:$F,$A47,GL_Input!$X:$X,"S",GL_Input!$Y:$Y,1))</f>
        <v>0</v>
      </c>
      <c r="M47" s="53" t="n">
        <f aca="false">IF($A47="",0,SUMIFS(GL_Input!$U:$U,GL_Input!$F:$F,$A47,GL_Input!$X:$X,"S",GL_Input!$Y:$Y,2))</f>
        <v>0</v>
      </c>
      <c r="N47" s="53" t="n">
        <f aca="false">IF($A47="",0,SUMIFS(GL_Input!$U:$U,GL_Input!$F:$F,$A47,GL_Input!$X:$X,"S",GL_Input!$Y:$Y,3))</f>
        <v>0</v>
      </c>
      <c r="O47" s="54" t="n">
        <f aca="false">SUM(F47:N47)</f>
        <v>0</v>
      </c>
      <c r="P47" s="15" t="str">
        <f aca="false">IF(O47=0,"",IF($D47="","MISSING VAT NO.",IF(OR($C47="",$C47="CY",Counterparties!G47&lt;&gt;"EU"),"NOT AN EU CUSTOMER","OK")))</f>
        <v/>
      </c>
    </row>
    <row r="48" customFormat="false" ht="15" hidden="false" customHeight="false" outlineLevel="0" collapsed="false">
      <c r="A48" s="30" t="str">
        <f aca="false">IF(Counterparties!A48="","",Counterparties!A48)</f>
        <v/>
      </c>
      <c r="B48" s="30" t="str">
        <f aca="false">IF(Counterparties!B48="","",Counterparties!B48)</f>
        <v/>
      </c>
      <c r="C48" s="30" t="str">
        <f aca="false">IF(Counterparties!C48="","",Counterparties!C48)</f>
        <v/>
      </c>
      <c r="D48" s="30" t="str">
        <f aca="false">IF(Counterparties!D48="","",Counterparties!D48)</f>
        <v/>
      </c>
      <c r="E48" s="30" t="str">
        <f aca="false">IF(Counterparties!E48="","",Counterparties!E48)</f>
        <v/>
      </c>
      <c r="F48" s="53" t="n">
        <f aca="false">IF($A48="",0,SUMIFS(GL_Input!$U:$U,GL_Input!$F:$F,$A48,GL_Input!$X:$X,"G",GL_Input!$Y:$Y,1))</f>
        <v>0</v>
      </c>
      <c r="G48" s="53" t="n">
        <f aca="false">IF($A48="",0,SUMIFS(GL_Input!$U:$U,GL_Input!$F:$F,$A48,GL_Input!$X:$X,"G",GL_Input!$Y:$Y,2))</f>
        <v>0</v>
      </c>
      <c r="H48" s="53" t="n">
        <f aca="false">IF($A48="",0,SUMIFS(GL_Input!$U:$U,GL_Input!$F:$F,$A48,GL_Input!$X:$X,"G",GL_Input!$Y:$Y,3))</f>
        <v>0</v>
      </c>
      <c r="I48" s="53" t="n">
        <f aca="false">IF($A48="",0,SUMIFS(GL_Input!$U:$U,GL_Input!$F:$F,$A48,GL_Input!$X:$X,"T",GL_Input!$Y:$Y,1))</f>
        <v>0</v>
      </c>
      <c r="J48" s="53" t="n">
        <f aca="false">IF($A48="",0,SUMIFS(GL_Input!$U:$U,GL_Input!$F:$F,$A48,GL_Input!$X:$X,"T",GL_Input!$Y:$Y,2))</f>
        <v>0</v>
      </c>
      <c r="K48" s="53" t="n">
        <f aca="false">IF($A48="",0,SUMIFS(GL_Input!$U:$U,GL_Input!$F:$F,$A48,GL_Input!$X:$X,"T",GL_Input!$Y:$Y,3))</f>
        <v>0</v>
      </c>
      <c r="L48" s="53" t="n">
        <f aca="false">IF($A48="",0,SUMIFS(GL_Input!$U:$U,GL_Input!$F:$F,$A48,GL_Input!$X:$X,"S",GL_Input!$Y:$Y,1))</f>
        <v>0</v>
      </c>
      <c r="M48" s="53" t="n">
        <f aca="false">IF($A48="",0,SUMIFS(GL_Input!$U:$U,GL_Input!$F:$F,$A48,GL_Input!$X:$X,"S",GL_Input!$Y:$Y,2))</f>
        <v>0</v>
      </c>
      <c r="N48" s="53" t="n">
        <f aca="false">IF($A48="",0,SUMIFS(GL_Input!$U:$U,GL_Input!$F:$F,$A48,GL_Input!$X:$X,"S",GL_Input!$Y:$Y,3))</f>
        <v>0</v>
      </c>
      <c r="O48" s="54" t="n">
        <f aca="false">SUM(F48:N48)</f>
        <v>0</v>
      </c>
      <c r="P48" s="15" t="str">
        <f aca="false">IF(O48=0,"",IF($D48="","MISSING VAT NO.",IF(OR($C48="",$C48="CY",Counterparties!G48&lt;&gt;"EU"),"NOT AN EU CUSTOMER","OK")))</f>
        <v/>
      </c>
    </row>
    <row r="49" customFormat="false" ht="15" hidden="false" customHeight="false" outlineLevel="0" collapsed="false">
      <c r="A49" s="30" t="str">
        <f aca="false">IF(Counterparties!A49="","",Counterparties!A49)</f>
        <v/>
      </c>
      <c r="B49" s="30" t="str">
        <f aca="false">IF(Counterparties!B49="","",Counterparties!B49)</f>
        <v/>
      </c>
      <c r="C49" s="30" t="str">
        <f aca="false">IF(Counterparties!C49="","",Counterparties!C49)</f>
        <v/>
      </c>
      <c r="D49" s="30" t="str">
        <f aca="false">IF(Counterparties!D49="","",Counterparties!D49)</f>
        <v/>
      </c>
      <c r="E49" s="30" t="str">
        <f aca="false">IF(Counterparties!E49="","",Counterparties!E49)</f>
        <v/>
      </c>
      <c r="F49" s="53" t="n">
        <f aca="false">IF($A49="",0,SUMIFS(GL_Input!$U:$U,GL_Input!$F:$F,$A49,GL_Input!$X:$X,"G",GL_Input!$Y:$Y,1))</f>
        <v>0</v>
      </c>
      <c r="G49" s="53" t="n">
        <f aca="false">IF($A49="",0,SUMIFS(GL_Input!$U:$U,GL_Input!$F:$F,$A49,GL_Input!$X:$X,"G",GL_Input!$Y:$Y,2))</f>
        <v>0</v>
      </c>
      <c r="H49" s="53" t="n">
        <f aca="false">IF($A49="",0,SUMIFS(GL_Input!$U:$U,GL_Input!$F:$F,$A49,GL_Input!$X:$X,"G",GL_Input!$Y:$Y,3))</f>
        <v>0</v>
      </c>
      <c r="I49" s="53" t="n">
        <f aca="false">IF($A49="",0,SUMIFS(GL_Input!$U:$U,GL_Input!$F:$F,$A49,GL_Input!$X:$X,"T",GL_Input!$Y:$Y,1))</f>
        <v>0</v>
      </c>
      <c r="J49" s="53" t="n">
        <f aca="false">IF($A49="",0,SUMIFS(GL_Input!$U:$U,GL_Input!$F:$F,$A49,GL_Input!$X:$X,"T",GL_Input!$Y:$Y,2))</f>
        <v>0</v>
      </c>
      <c r="K49" s="53" t="n">
        <f aca="false">IF($A49="",0,SUMIFS(GL_Input!$U:$U,GL_Input!$F:$F,$A49,GL_Input!$X:$X,"T",GL_Input!$Y:$Y,3))</f>
        <v>0</v>
      </c>
      <c r="L49" s="53" t="n">
        <f aca="false">IF($A49="",0,SUMIFS(GL_Input!$U:$U,GL_Input!$F:$F,$A49,GL_Input!$X:$X,"S",GL_Input!$Y:$Y,1))</f>
        <v>0</v>
      </c>
      <c r="M49" s="53" t="n">
        <f aca="false">IF($A49="",0,SUMIFS(GL_Input!$U:$U,GL_Input!$F:$F,$A49,GL_Input!$X:$X,"S",GL_Input!$Y:$Y,2))</f>
        <v>0</v>
      </c>
      <c r="N49" s="53" t="n">
        <f aca="false">IF($A49="",0,SUMIFS(GL_Input!$U:$U,GL_Input!$F:$F,$A49,GL_Input!$X:$X,"S",GL_Input!$Y:$Y,3))</f>
        <v>0</v>
      </c>
      <c r="O49" s="54" t="n">
        <f aca="false">SUM(F49:N49)</f>
        <v>0</v>
      </c>
      <c r="P49" s="15" t="str">
        <f aca="false">IF(O49=0,"",IF($D49="","MISSING VAT NO.",IF(OR($C49="",$C49="CY",Counterparties!G49&lt;&gt;"EU"),"NOT AN EU CUSTOMER","OK")))</f>
        <v/>
      </c>
    </row>
    <row r="50" customFormat="false" ht="15" hidden="false" customHeight="false" outlineLevel="0" collapsed="false">
      <c r="A50" s="30" t="str">
        <f aca="false">IF(Counterparties!A50="","",Counterparties!A50)</f>
        <v/>
      </c>
      <c r="B50" s="30" t="str">
        <f aca="false">IF(Counterparties!B50="","",Counterparties!B50)</f>
        <v/>
      </c>
      <c r="C50" s="30" t="str">
        <f aca="false">IF(Counterparties!C50="","",Counterparties!C50)</f>
        <v/>
      </c>
      <c r="D50" s="30" t="str">
        <f aca="false">IF(Counterparties!D50="","",Counterparties!D50)</f>
        <v/>
      </c>
      <c r="E50" s="30" t="str">
        <f aca="false">IF(Counterparties!E50="","",Counterparties!E50)</f>
        <v/>
      </c>
      <c r="F50" s="53" t="n">
        <f aca="false">IF($A50="",0,SUMIFS(GL_Input!$U:$U,GL_Input!$F:$F,$A50,GL_Input!$X:$X,"G",GL_Input!$Y:$Y,1))</f>
        <v>0</v>
      </c>
      <c r="G50" s="53" t="n">
        <f aca="false">IF($A50="",0,SUMIFS(GL_Input!$U:$U,GL_Input!$F:$F,$A50,GL_Input!$X:$X,"G",GL_Input!$Y:$Y,2))</f>
        <v>0</v>
      </c>
      <c r="H50" s="53" t="n">
        <f aca="false">IF($A50="",0,SUMIFS(GL_Input!$U:$U,GL_Input!$F:$F,$A50,GL_Input!$X:$X,"G",GL_Input!$Y:$Y,3))</f>
        <v>0</v>
      </c>
      <c r="I50" s="53" t="n">
        <f aca="false">IF($A50="",0,SUMIFS(GL_Input!$U:$U,GL_Input!$F:$F,$A50,GL_Input!$X:$X,"T",GL_Input!$Y:$Y,1))</f>
        <v>0</v>
      </c>
      <c r="J50" s="53" t="n">
        <f aca="false">IF($A50="",0,SUMIFS(GL_Input!$U:$U,GL_Input!$F:$F,$A50,GL_Input!$X:$X,"T",GL_Input!$Y:$Y,2))</f>
        <v>0</v>
      </c>
      <c r="K50" s="53" t="n">
        <f aca="false">IF($A50="",0,SUMIFS(GL_Input!$U:$U,GL_Input!$F:$F,$A50,GL_Input!$X:$X,"T",GL_Input!$Y:$Y,3))</f>
        <v>0</v>
      </c>
      <c r="L50" s="53" t="n">
        <f aca="false">IF($A50="",0,SUMIFS(GL_Input!$U:$U,GL_Input!$F:$F,$A50,GL_Input!$X:$X,"S",GL_Input!$Y:$Y,1))</f>
        <v>0</v>
      </c>
      <c r="M50" s="53" t="n">
        <f aca="false">IF($A50="",0,SUMIFS(GL_Input!$U:$U,GL_Input!$F:$F,$A50,GL_Input!$X:$X,"S",GL_Input!$Y:$Y,2))</f>
        <v>0</v>
      </c>
      <c r="N50" s="53" t="n">
        <f aca="false">IF($A50="",0,SUMIFS(GL_Input!$U:$U,GL_Input!$F:$F,$A50,GL_Input!$X:$X,"S",GL_Input!$Y:$Y,3))</f>
        <v>0</v>
      </c>
      <c r="O50" s="54" t="n">
        <f aca="false">SUM(F50:N50)</f>
        <v>0</v>
      </c>
      <c r="P50" s="15" t="str">
        <f aca="false">IF(O50=0,"",IF($D50="","MISSING VAT NO.",IF(OR($C50="",$C50="CY",Counterparties!G50&lt;&gt;"EU"),"NOT AN EU CUSTOMER","OK")))</f>
        <v/>
      </c>
    </row>
    <row r="51" customFormat="false" ht="15" hidden="false" customHeight="false" outlineLevel="0" collapsed="false">
      <c r="A51" s="30" t="str">
        <f aca="false">IF(Counterparties!A51="","",Counterparties!A51)</f>
        <v/>
      </c>
      <c r="B51" s="30" t="str">
        <f aca="false">IF(Counterparties!B51="","",Counterparties!B51)</f>
        <v/>
      </c>
      <c r="C51" s="30" t="str">
        <f aca="false">IF(Counterparties!C51="","",Counterparties!C51)</f>
        <v/>
      </c>
      <c r="D51" s="30" t="str">
        <f aca="false">IF(Counterparties!D51="","",Counterparties!D51)</f>
        <v/>
      </c>
      <c r="E51" s="30" t="str">
        <f aca="false">IF(Counterparties!E51="","",Counterparties!E51)</f>
        <v/>
      </c>
      <c r="F51" s="53" t="n">
        <f aca="false">IF($A51="",0,SUMIFS(GL_Input!$U:$U,GL_Input!$F:$F,$A51,GL_Input!$X:$X,"G",GL_Input!$Y:$Y,1))</f>
        <v>0</v>
      </c>
      <c r="G51" s="53" t="n">
        <f aca="false">IF($A51="",0,SUMIFS(GL_Input!$U:$U,GL_Input!$F:$F,$A51,GL_Input!$X:$X,"G",GL_Input!$Y:$Y,2))</f>
        <v>0</v>
      </c>
      <c r="H51" s="53" t="n">
        <f aca="false">IF($A51="",0,SUMIFS(GL_Input!$U:$U,GL_Input!$F:$F,$A51,GL_Input!$X:$X,"G",GL_Input!$Y:$Y,3))</f>
        <v>0</v>
      </c>
      <c r="I51" s="53" t="n">
        <f aca="false">IF($A51="",0,SUMIFS(GL_Input!$U:$U,GL_Input!$F:$F,$A51,GL_Input!$X:$X,"T",GL_Input!$Y:$Y,1))</f>
        <v>0</v>
      </c>
      <c r="J51" s="53" t="n">
        <f aca="false">IF($A51="",0,SUMIFS(GL_Input!$U:$U,GL_Input!$F:$F,$A51,GL_Input!$X:$X,"T",GL_Input!$Y:$Y,2))</f>
        <v>0</v>
      </c>
      <c r="K51" s="53" t="n">
        <f aca="false">IF($A51="",0,SUMIFS(GL_Input!$U:$U,GL_Input!$F:$F,$A51,GL_Input!$X:$X,"T",GL_Input!$Y:$Y,3))</f>
        <v>0</v>
      </c>
      <c r="L51" s="53" t="n">
        <f aca="false">IF($A51="",0,SUMIFS(GL_Input!$U:$U,GL_Input!$F:$F,$A51,GL_Input!$X:$X,"S",GL_Input!$Y:$Y,1))</f>
        <v>0</v>
      </c>
      <c r="M51" s="53" t="n">
        <f aca="false">IF($A51="",0,SUMIFS(GL_Input!$U:$U,GL_Input!$F:$F,$A51,GL_Input!$X:$X,"S",GL_Input!$Y:$Y,2))</f>
        <v>0</v>
      </c>
      <c r="N51" s="53" t="n">
        <f aca="false">IF($A51="",0,SUMIFS(GL_Input!$U:$U,GL_Input!$F:$F,$A51,GL_Input!$X:$X,"S",GL_Input!$Y:$Y,3))</f>
        <v>0</v>
      </c>
      <c r="O51" s="54" t="n">
        <f aca="false">SUM(F51:N51)</f>
        <v>0</v>
      </c>
      <c r="P51" s="15" t="str">
        <f aca="false">IF(O51=0,"",IF($D51="","MISSING VAT NO.",IF(OR($C51="",$C51="CY",Counterparties!G51&lt;&gt;"EU"),"NOT AN EU CUSTOMER","OK")))</f>
        <v/>
      </c>
    </row>
    <row r="52" customFormat="false" ht="15" hidden="false" customHeight="false" outlineLevel="0" collapsed="false">
      <c r="A52" s="30" t="str">
        <f aca="false">IF(Counterparties!A52="","",Counterparties!A52)</f>
        <v/>
      </c>
      <c r="B52" s="30" t="str">
        <f aca="false">IF(Counterparties!B52="","",Counterparties!B52)</f>
        <v/>
      </c>
      <c r="C52" s="30" t="str">
        <f aca="false">IF(Counterparties!C52="","",Counterparties!C52)</f>
        <v/>
      </c>
      <c r="D52" s="30" t="str">
        <f aca="false">IF(Counterparties!D52="","",Counterparties!D52)</f>
        <v/>
      </c>
      <c r="E52" s="30" t="str">
        <f aca="false">IF(Counterparties!E52="","",Counterparties!E52)</f>
        <v/>
      </c>
      <c r="F52" s="53" t="n">
        <f aca="false">IF($A52="",0,SUMIFS(GL_Input!$U:$U,GL_Input!$F:$F,$A52,GL_Input!$X:$X,"G",GL_Input!$Y:$Y,1))</f>
        <v>0</v>
      </c>
      <c r="G52" s="53" t="n">
        <f aca="false">IF($A52="",0,SUMIFS(GL_Input!$U:$U,GL_Input!$F:$F,$A52,GL_Input!$X:$X,"G",GL_Input!$Y:$Y,2))</f>
        <v>0</v>
      </c>
      <c r="H52" s="53" t="n">
        <f aca="false">IF($A52="",0,SUMIFS(GL_Input!$U:$U,GL_Input!$F:$F,$A52,GL_Input!$X:$X,"G",GL_Input!$Y:$Y,3))</f>
        <v>0</v>
      </c>
      <c r="I52" s="53" t="n">
        <f aca="false">IF($A52="",0,SUMIFS(GL_Input!$U:$U,GL_Input!$F:$F,$A52,GL_Input!$X:$X,"T",GL_Input!$Y:$Y,1))</f>
        <v>0</v>
      </c>
      <c r="J52" s="53" t="n">
        <f aca="false">IF($A52="",0,SUMIFS(GL_Input!$U:$U,GL_Input!$F:$F,$A52,GL_Input!$X:$X,"T",GL_Input!$Y:$Y,2))</f>
        <v>0</v>
      </c>
      <c r="K52" s="53" t="n">
        <f aca="false">IF($A52="",0,SUMIFS(GL_Input!$U:$U,GL_Input!$F:$F,$A52,GL_Input!$X:$X,"T",GL_Input!$Y:$Y,3))</f>
        <v>0</v>
      </c>
      <c r="L52" s="53" t="n">
        <f aca="false">IF($A52="",0,SUMIFS(GL_Input!$U:$U,GL_Input!$F:$F,$A52,GL_Input!$X:$X,"S",GL_Input!$Y:$Y,1))</f>
        <v>0</v>
      </c>
      <c r="M52" s="53" t="n">
        <f aca="false">IF($A52="",0,SUMIFS(GL_Input!$U:$U,GL_Input!$F:$F,$A52,GL_Input!$X:$X,"S",GL_Input!$Y:$Y,2))</f>
        <v>0</v>
      </c>
      <c r="N52" s="53" t="n">
        <f aca="false">IF($A52="",0,SUMIFS(GL_Input!$U:$U,GL_Input!$F:$F,$A52,GL_Input!$X:$X,"S",GL_Input!$Y:$Y,3))</f>
        <v>0</v>
      </c>
      <c r="O52" s="54" t="n">
        <f aca="false">SUM(F52:N52)</f>
        <v>0</v>
      </c>
      <c r="P52" s="15" t="str">
        <f aca="false">IF(O52=0,"",IF($D52="","MISSING VAT NO.",IF(OR($C52="",$C52="CY",Counterparties!G52&lt;&gt;"EU"),"NOT AN EU CUSTOMER","OK")))</f>
        <v/>
      </c>
    </row>
    <row r="53" customFormat="false" ht="15" hidden="false" customHeight="false" outlineLevel="0" collapsed="false">
      <c r="A53" s="30" t="str">
        <f aca="false">IF(Counterparties!A53="","",Counterparties!A53)</f>
        <v/>
      </c>
      <c r="B53" s="30" t="str">
        <f aca="false">IF(Counterparties!B53="","",Counterparties!B53)</f>
        <v/>
      </c>
      <c r="C53" s="30" t="str">
        <f aca="false">IF(Counterparties!C53="","",Counterparties!C53)</f>
        <v/>
      </c>
      <c r="D53" s="30" t="str">
        <f aca="false">IF(Counterparties!D53="","",Counterparties!D53)</f>
        <v/>
      </c>
      <c r="E53" s="30" t="str">
        <f aca="false">IF(Counterparties!E53="","",Counterparties!E53)</f>
        <v/>
      </c>
      <c r="F53" s="53" t="n">
        <f aca="false">IF($A53="",0,SUMIFS(GL_Input!$U:$U,GL_Input!$F:$F,$A53,GL_Input!$X:$X,"G",GL_Input!$Y:$Y,1))</f>
        <v>0</v>
      </c>
      <c r="G53" s="53" t="n">
        <f aca="false">IF($A53="",0,SUMIFS(GL_Input!$U:$U,GL_Input!$F:$F,$A53,GL_Input!$X:$X,"G",GL_Input!$Y:$Y,2))</f>
        <v>0</v>
      </c>
      <c r="H53" s="53" t="n">
        <f aca="false">IF($A53="",0,SUMIFS(GL_Input!$U:$U,GL_Input!$F:$F,$A53,GL_Input!$X:$X,"G",GL_Input!$Y:$Y,3))</f>
        <v>0</v>
      </c>
      <c r="I53" s="53" t="n">
        <f aca="false">IF($A53="",0,SUMIFS(GL_Input!$U:$U,GL_Input!$F:$F,$A53,GL_Input!$X:$X,"T",GL_Input!$Y:$Y,1))</f>
        <v>0</v>
      </c>
      <c r="J53" s="53" t="n">
        <f aca="false">IF($A53="",0,SUMIFS(GL_Input!$U:$U,GL_Input!$F:$F,$A53,GL_Input!$X:$X,"T",GL_Input!$Y:$Y,2))</f>
        <v>0</v>
      </c>
      <c r="K53" s="53" t="n">
        <f aca="false">IF($A53="",0,SUMIFS(GL_Input!$U:$U,GL_Input!$F:$F,$A53,GL_Input!$X:$X,"T",GL_Input!$Y:$Y,3))</f>
        <v>0</v>
      </c>
      <c r="L53" s="53" t="n">
        <f aca="false">IF($A53="",0,SUMIFS(GL_Input!$U:$U,GL_Input!$F:$F,$A53,GL_Input!$X:$X,"S",GL_Input!$Y:$Y,1))</f>
        <v>0</v>
      </c>
      <c r="M53" s="53" t="n">
        <f aca="false">IF($A53="",0,SUMIFS(GL_Input!$U:$U,GL_Input!$F:$F,$A53,GL_Input!$X:$X,"S",GL_Input!$Y:$Y,2))</f>
        <v>0</v>
      </c>
      <c r="N53" s="53" t="n">
        <f aca="false">IF($A53="",0,SUMIFS(GL_Input!$U:$U,GL_Input!$F:$F,$A53,GL_Input!$X:$X,"S",GL_Input!$Y:$Y,3))</f>
        <v>0</v>
      </c>
      <c r="O53" s="54" t="n">
        <f aca="false">SUM(F53:N53)</f>
        <v>0</v>
      </c>
      <c r="P53" s="15" t="str">
        <f aca="false">IF(O53=0,"",IF($D53="","MISSING VAT NO.",IF(OR($C53="",$C53="CY",Counterparties!G53&lt;&gt;"EU"),"NOT AN EU CUSTOMER","OK")))</f>
        <v/>
      </c>
    </row>
    <row r="54" customFormat="false" ht="15" hidden="false" customHeight="false" outlineLevel="0" collapsed="false">
      <c r="A54" s="30" t="str">
        <f aca="false">IF(Counterparties!A54="","",Counterparties!A54)</f>
        <v/>
      </c>
      <c r="B54" s="30" t="str">
        <f aca="false">IF(Counterparties!B54="","",Counterparties!B54)</f>
        <v/>
      </c>
      <c r="C54" s="30" t="str">
        <f aca="false">IF(Counterparties!C54="","",Counterparties!C54)</f>
        <v/>
      </c>
      <c r="D54" s="30" t="str">
        <f aca="false">IF(Counterparties!D54="","",Counterparties!D54)</f>
        <v/>
      </c>
      <c r="E54" s="30" t="str">
        <f aca="false">IF(Counterparties!E54="","",Counterparties!E54)</f>
        <v/>
      </c>
      <c r="F54" s="53" t="n">
        <f aca="false">IF($A54="",0,SUMIFS(GL_Input!$U:$U,GL_Input!$F:$F,$A54,GL_Input!$X:$X,"G",GL_Input!$Y:$Y,1))</f>
        <v>0</v>
      </c>
      <c r="G54" s="53" t="n">
        <f aca="false">IF($A54="",0,SUMIFS(GL_Input!$U:$U,GL_Input!$F:$F,$A54,GL_Input!$X:$X,"G",GL_Input!$Y:$Y,2))</f>
        <v>0</v>
      </c>
      <c r="H54" s="53" t="n">
        <f aca="false">IF($A54="",0,SUMIFS(GL_Input!$U:$U,GL_Input!$F:$F,$A54,GL_Input!$X:$X,"G",GL_Input!$Y:$Y,3))</f>
        <v>0</v>
      </c>
      <c r="I54" s="53" t="n">
        <f aca="false">IF($A54="",0,SUMIFS(GL_Input!$U:$U,GL_Input!$F:$F,$A54,GL_Input!$X:$X,"T",GL_Input!$Y:$Y,1))</f>
        <v>0</v>
      </c>
      <c r="J54" s="53" t="n">
        <f aca="false">IF($A54="",0,SUMIFS(GL_Input!$U:$U,GL_Input!$F:$F,$A54,GL_Input!$X:$X,"T",GL_Input!$Y:$Y,2))</f>
        <v>0</v>
      </c>
      <c r="K54" s="53" t="n">
        <f aca="false">IF($A54="",0,SUMIFS(GL_Input!$U:$U,GL_Input!$F:$F,$A54,GL_Input!$X:$X,"T",GL_Input!$Y:$Y,3))</f>
        <v>0</v>
      </c>
      <c r="L54" s="53" t="n">
        <f aca="false">IF($A54="",0,SUMIFS(GL_Input!$U:$U,GL_Input!$F:$F,$A54,GL_Input!$X:$X,"S",GL_Input!$Y:$Y,1))</f>
        <v>0</v>
      </c>
      <c r="M54" s="53" t="n">
        <f aca="false">IF($A54="",0,SUMIFS(GL_Input!$U:$U,GL_Input!$F:$F,$A54,GL_Input!$X:$X,"S",GL_Input!$Y:$Y,2))</f>
        <v>0</v>
      </c>
      <c r="N54" s="53" t="n">
        <f aca="false">IF($A54="",0,SUMIFS(GL_Input!$U:$U,GL_Input!$F:$F,$A54,GL_Input!$X:$X,"S",GL_Input!$Y:$Y,3))</f>
        <v>0</v>
      </c>
      <c r="O54" s="54" t="n">
        <f aca="false">SUM(F54:N54)</f>
        <v>0</v>
      </c>
      <c r="P54" s="15" t="str">
        <f aca="false">IF(O54=0,"",IF($D54="","MISSING VAT NO.",IF(OR($C54="",$C54="CY",Counterparties!G54&lt;&gt;"EU"),"NOT AN EU CUSTOMER","OK")))</f>
        <v/>
      </c>
    </row>
    <row r="55" customFormat="false" ht="15" hidden="false" customHeight="false" outlineLevel="0" collapsed="false">
      <c r="A55" s="30" t="str">
        <f aca="false">IF(Counterparties!A55="","",Counterparties!A55)</f>
        <v/>
      </c>
      <c r="B55" s="30" t="str">
        <f aca="false">IF(Counterparties!B55="","",Counterparties!B55)</f>
        <v/>
      </c>
      <c r="C55" s="30" t="str">
        <f aca="false">IF(Counterparties!C55="","",Counterparties!C55)</f>
        <v/>
      </c>
      <c r="D55" s="30" t="str">
        <f aca="false">IF(Counterparties!D55="","",Counterparties!D55)</f>
        <v/>
      </c>
      <c r="E55" s="30" t="str">
        <f aca="false">IF(Counterparties!E55="","",Counterparties!E55)</f>
        <v/>
      </c>
      <c r="F55" s="53" t="n">
        <f aca="false">IF($A55="",0,SUMIFS(GL_Input!$U:$U,GL_Input!$F:$F,$A55,GL_Input!$X:$X,"G",GL_Input!$Y:$Y,1))</f>
        <v>0</v>
      </c>
      <c r="G55" s="53" t="n">
        <f aca="false">IF($A55="",0,SUMIFS(GL_Input!$U:$U,GL_Input!$F:$F,$A55,GL_Input!$X:$X,"G",GL_Input!$Y:$Y,2))</f>
        <v>0</v>
      </c>
      <c r="H55" s="53" t="n">
        <f aca="false">IF($A55="",0,SUMIFS(GL_Input!$U:$U,GL_Input!$F:$F,$A55,GL_Input!$X:$X,"G",GL_Input!$Y:$Y,3))</f>
        <v>0</v>
      </c>
      <c r="I55" s="53" t="n">
        <f aca="false">IF($A55="",0,SUMIFS(GL_Input!$U:$U,GL_Input!$F:$F,$A55,GL_Input!$X:$X,"T",GL_Input!$Y:$Y,1))</f>
        <v>0</v>
      </c>
      <c r="J55" s="53" t="n">
        <f aca="false">IF($A55="",0,SUMIFS(GL_Input!$U:$U,GL_Input!$F:$F,$A55,GL_Input!$X:$X,"T",GL_Input!$Y:$Y,2))</f>
        <v>0</v>
      </c>
      <c r="K55" s="53" t="n">
        <f aca="false">IF($A55="",0,SUMIFS(GL_Input!$U:$U,GL_Input!$F:$F,$A55,GL_Input!$X:$X,"T",GL_Input!$Y:$Y,3))</f>
        <v>0</v>
      </c>
      <c r="L55" s="53" t="n">
        <f aca="false">IF($A55="",0,SUMIFS(GL_Input!$U:$U,GL_Input!$F:$F,$A55,GL_Input!$X:$X,"S",GL_Input!$Y:$Y,1))</f>
        <v>0</v>
      </c>
      <c r="M55" s="53" t="n">
        <f aca="false">IF($A55="",0,SUMIFS(GL_Input!$U:$U,GL_Input!$F:$F,$A55,GL_Input!$X:$X,"S",GL_Input!$Y:$Y,2))</f>
        <v>0</v>
      </c>
      <c r="N55" s="53" t="n">
        <f aca="false">IF($A55="",0,SUMIFS(GL_Input!$U:$U,GL_Input!$F:$F,$A55,GL_Input!$X:$X,"S",GL_Input!$Y:$Y,3))</f>
        <v>0</v>
      </c>
      <c r="O55" s="54" t="n">
        <f aca="false">SUM(F55:N55)</f>
        <v>0</v>
      </c>
      <c r="P55" s="15" t="str">
        <f aca="false">IF(O55=0,"",IF($D55="","MISSING VAT NO.",IF(OR($C55="",$C55="CY",Counterparties!G55&lt;&gt;"EU"),"NOT AN EU CUSTOMER","OK")))</f>
        <v/>
      </c>
    </row>
    <row r="56" customFormat="false" ht="15" hidden="false" customHeight="false" outlineLevel="0" collapsed="false">
      <c r="A56" s="30" t="str">
        <f aca="false">IF(Counterparties!A56="","",Counterparties!A56)</f>
        <v/>
      </c>
      <c r="B56" s="30" t="str">
        <f aca="false">IF(Counterparties!B56="","",Counterparties!B56)</f>
        <v/>
      </c>
      <c r="C56" s="30" t="str">
        <f aca="false">IF(Counterparties!C56="","",Counterparties!C56)</f>
        <v/>
      </c>
      <c r="D56" s="30" t="str">
        <f aca="false">IF(Counterparties!D56="","",Counterparties!D56)</f>
        <v/>
      </c>
      <c r="E56" s="30" t="str">
        <f aca="false">IF(Counterparties!E56="","",Counterparties!E56)</f>
        <v/>
      </c>
      <c r="F56" s="53" t="n">
        <f aca="false">IF($A56="",0,SUMIFS(GL_Input!$U:$U,GL_Input!$F:$F,$A56,GL_Input!$X:$X,"G",GL_Input!$Y:$Y,1))</f>
        <v>0</v>
      </c>
      <c r="G56" s="53" t="n">
        <f aca="false">IF($A56="",0,SUMIFS(GL_Input!$U:$U,GL_Input!$F:$F,$A56,GL_Input!$X:$X,"G",GL_Input!$Y:$Y,2))</f>
        <v>0</v>
      </c>
      <c r="H56" s="53" t="n">
        <f aca="false">IF($A56="",0,SUMIFS(GL_Input!$U:$U,GL_Input!$F:$F,$A56,GL_Input!$X:$X,"G",GL_Input!$Y:$Y,3))</f>
        <v>0</v>
      </c>
      <c r="I56" s="53" t="n">
        <f aca="false">IF($A56="",0,SUMIFS(GL_Input!$U:$U,GL_Input!$F:$F,$A56,GL_Input!$X:$X,"T",GL_Input!$Y:$Y,1))</f>
        <v>0</v>
      </c>
      <c r="J56" s="53" t="n">
        <f aca="false">IF($A56="",0,SUMIFS(GL_Input!$U:$U,GL_Input!$F:$F,$A56,GL_Input!$X:$X,"T",GL_Input!$Y:$Y,2))</f>
        <v>0</v>
      </c>
      <c r="K56" s="53" t="n">
        <f aca="false">IF($A56="",0,SUMIFS(GL_Input!$U:$U,GL_Input!$F:$F,$A56,GL_Input!$X:$X,"T",GL_Input!$Y:$Y,3))</f>
        <v>0</v>
      </c>
      <c r="L56" s="53" t="n">
        <f aca="false">IF($A56="",0,SUMIFS(GL_Input!$U:$U,GL_Input!$F:$F,$A56,GL_Input!$X:$X,"S",GL_Input!$Y:$Y,1))</f>
        <v>0</v>
      </c>
      <c r="M56" s="53" t="n">
        <f aca="false">IF($A56="",0,SUMIFS(GL_Input!$U:$U,GL_Input!$F:$F,$A56,GL_Input!$X:$X,"S",GL_Input!$Y:$Y,2))</f>
        <v>0</v>
      </c>
      <c r="N56" s="53" t="n">
        <f aca="false">IF($A56="",0,SUMIFS(GL_Input!$U:$U,GL_Input!$F:$F,$A56,GL_Input!$X:$X,"S",GL_Input!$Y:$Y,3))</f>
        <v>0</v>
      </c>
      <c r="O56" s="54" t="n">
        <f aca="false">SUM(F56:N56)</f>
        <v>0</v>
      </c>
      <c r="P56" s="15" t="str">
        <f aca="false">IF(O56=0,"",IF($D56="","MISSING VAT NO.",IF(OR($C56="",$C56="CY",Counterparties!G56&lt;&gt;"EU"),"NOT AN EU CUSTOMER","OK")))</f>
        <v/>
      </c>
    </row>
    <row r="57" customFormat="false" ht="15" hidden="false" customHeight="false" outlineLevel="0" collapsed="false">
      <c r="A57" s="30" t="str">
        <f aca="false">IF(Counterparties!A57="","",Counterparties!A57)</f>
        <v/>
      </c>
      <c r="B57" s="30" t="str">
        <f aca="false">IF(Counterparties!B57="","",Counterparties!B57)</f>
        <v/>
      </c>
      <c r="C57" s="30" t="str">
        <f aca="false">IF(Counterparties!C57="","",Counterparties!C57)</f>
        <v/>
      </c>
      <c r="D57" s="30" t="str">
        <f aca="false">IF(Counterparties!D57="","",Counterparties!D57)</f>
        <v/>
      </c>
      <c r="E57" s="30" t="str">
        <f aca="false">IF(Counterparties!E57="","",Counterparties!E57)</f>
        <v/>
      </c>
      <c r="F57" s="53" t="n">
        <f aca="false">IF($A57="",0,SUMIFS(GL_Input!$U:$U,GL_Input!$F:$F,$A57,GL_Input!$X:$X,"G",GL_Input!$Y:$Y,1))</f>
        <v>0</v>
      </c>
      <c r="G57" s="53" t="n">
        <f aca="false">IF($A57="",0,SUMIFS(GL_Input!$U:$U,GL_Input!$F:$F,$A57,GL_Input!$X:$X,"G",GL_Input!$Y:$Y,2))</f>
        <v>0</v>
      </c>
      <c r="H57" s="53" t="n">
        <f aca="false">IF($A57="",0,SUMIFS(GL_Input!$U:$U,GL_Input!$F:$F,$A57,GL_Input!$X:$X,"G",GL_Input!$Y:$Y,3))</f>
        <v>0</v>
      </c>
      <c r="I57" s="53" t="n">
        <f aca="false">IF($A57="",0,SUMIFS(GL_Input!$U:$U,GL_Input!$F:$F,$A57,GL_Input!$X:$X,"T",GL_Input!$Y:$Y,1))</f>
        <v>0</v>
      </c>
      <c r="J57" s="53" t="n">
        <f aca="false">IF($A57="",0,SUMIFS(GL_Input!$U:$U,GL_Input!$F:$F,$A57,GL_Input!$X:$X,"T",GL_Input!$Y:$Y,2))</f>
        <v>0</v>
      </c>
      <c r="K57" s="53" t="n">
        <f aca="false">IF($A57="",0,SUMIFS(GL_Input!$U:$U,GL_Input!$F:$F,$A57,GL_Input!$X:$X,"T",GL_Input!$Y:$Y,3))</f>
        <v>0</v>
      </c>
      <c r="L57" s="53" t="n">
        <f aca="false">IF($A57="",0,SUMIFS(GL_Input!$U:$U,GL_Input!$F:$F,$A57,GL_Input!$X:$X,"S",GL_Input!$Y:$Y,1))</f>
        <v>0</v>
      </c>
      <c r="M57" s="53" t="n">
        <f aca="false">IF($A57="",0,SUMIFS(GL_Input!$U:$U,GL_Input!$F:$F,$A57,GL_Input!$X:$X,"S",GL_Input!$Y:$Y,2))</f>
        <v>0</v>
      </c>
      <c r="N57" s="53" t="n">
        <f aca="false">IF($A57="",0,SUMIFS(GL_Input!$U:$U,GL_Input!$F:$F,$A57,GL_Input!$X:$X,"S",GL_Input!$Y:$Y,3))</f>
        <v>0</v>
      </c>
      <c r="O57" s="54" t="n">
        <f aca="false">SUM(F57:N57)</f>
        <v>0</v>
      </c>
      <c r="P57" s="15" t="str">
        <f aca="false">IF(O57=0,"",IF($D57="","MISSING VAT NO.",IF(OR($C57="",$C57="CY",Counterparties!G57&lt;&gt;"EU"),"NOT AN EU CUSTOMER","OK")))</f>
        <v/>
      </c>
    </row>
    <row r="58" customFormat="false" ht="15" hidden="false" customHeight="false" outlineLevel="0" collapsed="false">
      <c r="A58" s="30" t="str">
        <f aca="false">IF(Counterparties!A58="","",Counterparties!A58)</f>
        <v/>
      </c>
      <c r="B58" s="30" t="str">
        <f aca="false">IF(Counterparties!B58="","",Counterparties!B58)</f>
        <v/>
      </c>
      <c r="C58" s="30" t="str">
        <f aca="false">IF(Counterparties!C58="","",Counterparties!C58)</f>
        <v/>
      </c>
      <c r="D58" s="30" t="str">
        <f aca="false">IF(Counterparties!D58="","",Counterparties!D58)</f>
        <v/>
      </c>
      <c r="E58" s="30" t="str">
        <f aca="false">IF(Counterparties!E58="","",Counterparties!E58)</f>
        <v/>
      </c>
      <c r="F58" s="53" t="n">
        <f aca="false">IF($A58="",0,SUMIFS(GL_Input!$U:$U,GL_Input!$F:$F,$A58,GL_Input!$X:$X,"G",GL_Input!$Y:$Y,1))</f>
        <v>0</v>
      </c>
      <c r="G58" s="53" t="n">
        <f aca="false">IF($A58="",0,SUMIFS(GL_Input!$U:$U,GL_Input!$F:$F,$A58,GL_Input!$X:$X,"G",GL_Input!$Y:$Y,2))</f>
        <v>0</v>
      </c>
      <c r="H58" s="53" t="n">
        <f aca="false">IF($A58="",0,SUMIFS(GL_Input!$U:$U,GL_Input!$F:$F,$A58,GL_Input!$X:$X,"G",GL_Input!$Y:$Y,3))</f>
        <v>0</v>
      </c>
      <c r="I58" s="53" t="n">
        <f aca="false">IF($A58="",0,SUMIFS(GL_Input!$U:$U,GL_Input!$F:$F,$A58,GL_Input!$X:$X,"T",GL_Input!$Y:$Y,1))</f>
        <v>0</v>
      </c>
      <c r="J58" s="53" t="n">
        <f aca="false">IF($A58="",0,SUMIFS(GL_Input!$U:$U,GL_Input!$F:$F,$A58,GL_Input!$X:$X,"T",GL_Input!$Y:$Y,2))</f>
        <v>0</v>
      </c>
      <c r="K58" s="53" t="n">
        <f aca="false">IF($A58="",0,SUMIFS(GL_Input!$U:$U,GL_Input!$F:$F,$A58,GL_Input!$X:$X,"T",GL_Input!$Y:$Y,3))</f>
        <v>0</v>
      </c>
      <c r="L58" s="53" t="n">
        <f aca="false">IF($A58="",0,SUMIFS(GL_Input!$U:$U,GL_Input!$F:$F,$A58,GL_Input!$X:$X,"S",GL_Input!$Y:$Y,1))</f>
        <v>0</v>
      </c>
      <c r="M58" s="53" t="n">
        <f aca="false">IF($A58="",0,SUMIFS(GL_Input!$U:$U,GL_Input!$F:$F,$A58,GL_Input!$X:$X,"S",GL_Input!$Y:$Y,2))</f>
        <v>0</v>
      </c>
      <c r="N58" s="53" t="n">
        <f aca="false">IF($A58="",0,SUMIFS(GL_Input!$U:$U,GL_Input!$F:$F,$A58,GL_Input!$X:$X,"S",GL_Input!$Y:$Y,3))</f>
        <v>0</v>
      </c>
      <c r="O58" s="54" t="n">
        <f aca="false">SUM(F58:N58)</f>
        <v>0</v>
      </c>
      <c r="P58" s="15" t="str">
        <f aca="false">IF(O58=0,"",IF($D58="","MISSING VAT NO.",IF(OR($C58="",$C58="CY",Counterparties!G58&lt;&gt;"EU"),"NOT AN EU CUSTOMER","OK")))</f>
        <v/>
      </c>
    </row>
    <row r="59" customFormat="false" ht="15" hidden="false" customHeight="false" outlineLevel="0" collapsed="false">
      <c r="A59" s="30" t="str">
        <f aca="false">IF(Counterparties!A59="","",Counterparties!A59)</f>
        <v/>
      </c>
      <c r="B59" s="30" t="str">
        <f aca="false">IF(Counterparties!B59="","",Counterparties!B59)</f>
        <v/>
      </c>
      <c r="C59" s="30" t="str">
        <f aca="false">IF(Counterparties!C59="","",Counterparties!C59)</f>
        <v/>
      </c>
      <c r="D59" s="30" t="str">
        <f aca="false">IF(Counterparties!D59="","",Counterparties!D59)</f>
        <v/>
      </c>
      <c r="E59" s="30" t="str">
        <f aca="false">IF(Counterparties!E59="","",Counterparties!E59)</f>
        <v/>
      </c>
      <c r="F59" s="53" t="n">
        <f aca="false">IF($A59="",0,SUMIFS(GL_Input!$U:$U,GL_Input!$F:$F,$A59,GL_Input!$X:$X,"G",GL_Input!$Y:$Y,1))</f>
        <v>0</v>
      </c>
      <c r="G59" s="53" t="n">
        <f aca="false">IF($A59="",0,SUMIFS(GL_Input!$U:$U,GL_Input!$F:$F,$A59,GL_Input!$X:$X,"G",GL_Input!$Y:$Y,2))</f>
        <v>0</v>
      </c>
      <c r="H59" s="53" t="n">
        <f aca="false">IF($A59="",0,SUMIFS(GL_Input!$U:$U,GL_Input!$F:$F,$A59,GL_Input!$X:$X,"G",GL_Input!$Y:$Y,3))</f>
        <v>0</v>
      </c>
      <c r="I59" s="53" t="n">
        <f aca="false">IF($A59="",0,SUMIFS(GL_Input!$U:$U,GL_Input!$F:$F,$A59,GL_Input!$X:$X,"T",GL_Input!$Y:$Y,1))</f>
        <v>0</v>
      </c>
      <c r="J59" s="53" t="n">
        <f aca="false">IF($A59="",0,SUMIFS(GL_Input!$U:$U,GL_Input!$F:$F,$A59,GL_Input!$X:$X,"T",GL_Input!$Y:$Y,2))</f>
        <v>0</v>
      </c>
      <c r="K59" s="53" t="n">
        <f aca="false">IF($A59="",0,SUMIFS(GL_Input!$U:$U,GL_Input!$F:$F,$A59,GL_Input!$X:$X,"T",GL_Input!$Y:$Y,3))</f>
        <v>0</v>
      </c>
      <c r="L59" s="53" t="n">
        <f aca="false">IF($A59="",0,SUMIFS(GL_Input!$U:$U,GL_Input!$F:$F,$A59,GL_Input!$X:$X,"S",GL_Input!$Y:$Y,1))</f>
        <v>0</v>
      </c>
      <c r="M59" s="53" t="n">
        <f aca="false">IF($A59="",0,SUMIFS(GL_Input!$U:$U,GL_Input!$F:$F,$A59,GL_Input!$X:$X,"S",GL_Input!$Y:$Y,2))</f>
        <v>0</v>
      </c>
      <c r="N59" s="53" t="n">
        <f aca="false">IF($A59="",0,SUMIFS(GL_Input!$U:$U,GL_Input!$F:$F,$A59,GL_Input!$X:$X,"S",GL_Input!$Y:$Y,3))</f>
        <v>0</v>
      </c>
      <c r="O59" s="54" t="n">
        <f aca="false">SUM(F59:N59)</f>
        <v>0</v>
      </c>
      <c r="P59" s="15" t="str">
        <f aca="false">IF(O59=0,"",IF($D59="","MISSING VAT NO.",IF(OR($C59="",$C59="CY",Counterparties!G59&lt;&gt;"EU"),"NOT AN EU CUSTOMER","OK")))</f>
        <v/>
      </c>
    </row>
    <row r="60" customFormat="false" ht="15" hidden="false" customHeight="false" outlineLevel="0" collapsed="false">
      <c r="A60" s="30" t="str">
        <f aca="false">IF(Counterparties!A60="","",Counterparties!A60)</f>
        <v/>
      </c>
      <c r="B60" s="30" t="str">
        <f aca="false">IF(Counterparties!B60="","",Counterparties!B60)</f>
        <v/>
      </c>
      <c r="C60" s="30" t="str">
        <f aca="false">IF(Counterparties!C60="","",Counterparties!C60)</f>
        <v/>
      </c>
      <c r="D60" s="30" t="str">
        <f aca="false">IF(Counterparties!D60="","",Counterparties!D60)</f>
        <v/>
      </c>
      <c r="E60" s="30" t="str">
        <f aca="false">IF(Counterparties!E60="","",Counterparties!E60)</f>
        <v/>
      </c>
      <c r="F60" s="53" t="n">
        <f aca="false">IF($A60="",0,SUMIFS(GL_Input!$U:$U,GL_Input!$F:$F,$A60,GL_Input!$X:$X,"G",GL_Input!$Y:$Y,1))</f>
        <v>0</v>
      </c>
      <c r="G60" s="53" t="n">
        <f aca="false">IF($A60="",0,SUMIFS(GL_Input!$U:$U,GL_Input!$F:$F,$A60,GL_Input!$X:$X,"G",GL_Input!$Y:$Y,2))</f>
        <v>0</v>
      </c>
      <c r="H60" s="53" t="n">
        <f aca="false">IF($A60="",0,SUMIFS(GL_Input!$U:$U,GL_Input!$F:$F,$A60,GL_Input!$X:$X,"G",GL_Input!$Y:$Y,3))</f>
        <v>0</v>
      </c>
      <c r="I60" s="53" t="n">
        <f aca="false">IF($A60="",0,SUMIFS(GL_Input!$U:$U,GL_Input!$F:$F,$A60,GL_Input!$X:$X,"T",GL_Input!$Y:$Y,1))</f>
        <v>0</v>
      </c>
      <c r="J60" s="53" t="n">
        <f aca="false">IF($A60="",0,SUMIFS(GL_Input!$U:$U,GL_Input!$F:$F,$A60,GL_Input!$X:$X,"T",GL_Input!$Y:$Y,2))</f>
        <v>0</v>
      </c>
      <c r="K60" s="53" t="n">
        <f aca="false">IF($A60="",0,SUMIFS(GL_Input!$U:$U,GL_Input!$F:$F,$A60,GL_Input!$X:$X,"T",GL_Input!$Y:$Y,3))</f>
        <v>0</v>
      </c>
      <c r="L60" s="53" t="n">
        <f aca="false">IF($A60="",0,SUMIFS(GL_Input!$U:$U,GL_Input!$F:$F,$A60,GL_Input!$X:$X,"S",GL_Input!$Y:$Y,1))</f>
        <v>0</v>
      </c>
      <c r="M60" s="53" t="n">
        <f aca="false">IF($A60="",0,SUMIFS(GL_Input!$U:$U,GL_Input!$F:$F,$A60,GL_Input!$X:$X,"S",GL_Input!$Y:$Y,2))</f>
        <v>0</v>
      </c>
      <c r="N60" s="53" t="n">
        <f aca="false">IF($A60="",0,SUMIFS(GL_Input!$U:$U,GL_Input!$F:$F,$A60,GL_Input!$X:$X,"S",GL_Input!$Y:$Y,3))</f>
        <v>0</v>
      </c>
      <c r="O60" s="54" t="n">
        <f aca="false">SUM(F60:N60)</f>
        <v>0</v>
      </c>
      <c r="P60" s="15" t="str">
        <f aca="false">IF(O60=0,"",IF($D60="","MISSING VAT NO.",IF(OR($C60="",$C60="CY",Counterparties!G60&lt;&gt;"EU"),"NOT AN EU CUSTOMER","OK")))</f>
        <v/>
      </c>
    </row>
    <row r="61" customFormat="false" ht="15" hidden="false" customHeight="false" outlineLevel="0" collapsed="false">
      <c r="A61" s="30" t="str">
        <f aca="false">IF(Counterparties!A61="","",Counterparties!A61)</f>
        <v/>
      </c>
      <c r="B61" s="30" t="str">
        <f aca="false">IF(Counterparties!B61="","",Counterparties!B61)</f>
        <v/>
      </c>
      <c r="C61" s="30" t="str">
        <f aca="false">IF(Counterparties!C61="","",Counterparties!C61)</f>
        <v/>
      </c>
      <c r="D61" s="30" t="str">
        <f aca="false">IF(Counterparties!D61="","",Counterparties!D61)</f>
        <v/>
      </c>
      <c r="E61" s="30" t="str">
        <f aca="false">IF(Counterparties!E61="","",Counterparties!E61)</f>
        <v/>
      </c>
      <c r="F61" s="53" t="n">
        <f aca="false">IF($A61="",0,SUMIFS(GL_Input!$U:$U,GL_Input!$F:$F,$A61,GL_Input!$X:$X,"G",GL_Input!$Y:$Y,1))</f>
        <v>0</v>
      </c>
      <c r="G61" s="53" t="n">
        <f aca="false">IF($A61="",0,SUMIFS(GL_Input!$U:$U,GL_Input!$F:$F,$A61,GL_Input!$X:$X,"G",GL_Input!$Y:$Y,2))</f>
        <v>0</v>
      </c>
      <c r="H61" s="53" t="n">
        <f aca="false">IF($A61="",0,SUMIFS(GL_Input!$U:$U,GL_Input!$F:$F,$A61,GL_Input!$X:$X,"G",GL_Input!$Y:$Y,3))</f>
        <v>0</v>
      </c>
      <c r="I61" s="53" t="n">
        <f aca="false">IF($A61="",0,SUMIFS(GL_Input!$U:$U,GL_Input!$F:$F,$A61,GL_Input!$X:$X,"T",GL_Input!$Y:$Y,1))</f>
        <v>0</v>
      </c>
      <c r="J61" s="53" t="n">
        <f aca="false">IF($A61="",0,SUMIFS(GL_Input!$U:$U,GL_Input!$F:$F,$A61,GL_Input!$X:$X,"T",GL_Input!$Y:$Y,2))</f>
        <v>0</v>
      </c>
      <c r="K61" s="53" t="n">
        <f aca="false">IF($A61="",0,SUMIFS(GL_Input!$U:$U,GL_Input!$F:$F,$A61,GL_Input!$X:$X,"T",GL_Input!$Y:$Y,3))</f>
        <v>0</v>
      </c>
      <c r="L61" s="53" t="n">
        <f aca="false">IF($A61="",0,SUMIFS(GL_Input!$U:$U,GL_Input!$F:$F,$A61,GL_Input!$X:$X,"S",GL_Input!$Y:$Y,1))</f>
        <v>0</v>
      </c>
      <c r="M61" s="53" t="n">
        <f aca="false">IF($A61="",0,SUMIFS(GL_Input!$U:$U,GL_Input!$F:$F,$A61,GL_Input!$X:$X,"S",GL_Input!$Y:$Y,2))</f>
        <v>0</v>
      </c>
      <c r="N61" s="53" t="n">
        <f aca="false">IF($A61="",0,SUMIFS(GL_Input!$U:$U,GL_Input!$F:$F,$A61,GL_Input!$X:$X,"S",GL_Input!$Y:$Y,3))</f>
        <v>0</v>
      </c>
      <c r="O61" s="54" t="n">
        <f aca="false">SUM(F61:N61)</f>
        <v>0</v>
      </c>
      <c r="P61" s="15" t="str">
        <f aca="false">IF(O61=0,"",IF($D61="","MISSING VAT NO.",IF(OR($C61="",$C61="CY",Counterparties!G61&lt;&gt;"EU"),"NOT AN EU CUSTOMER","OK")))</f>
        <v/>
      </c>
    </row>
    <row r="62" customFormat="false" ht="15" hidden="false" customHeight="false" outlineLevel="0" collapsed="false">
      <c r="A62" s="30" t="str">
        <f aca="false">IF(Counterparties!A62="","",Counterparties!A62)</f>
        <v/>
      </c>
      <c r="B62" s="30" t="str">
        <f aca="false">IF(Counterparties!B62="","",Counterparties!B62)</f>
        <v/>
      </c>
      <c r="C62" s="30" t="str">
        <f aca="false">IF(Counterparties!C62="","",Counterparties!C62)</f>
        <v/>
      </c>
      <c r="D62" s="30" t="str">
        <f aca="false">IF(Counterparties!D62="","",Counterparties!D62)</f>
        <v/>
      </c>
      <c r="E62" s="30" t="str">
        <f aca="false">IF(Counterparties!E62="","",Counterparties!E62)</f>
        <v/>
      </c>
      <c r="F62" s="53" t="n">
        <f aca="false">IF($A62="",0,SUMIFS(GL_Input!$U:$U,GL_Input!$F:$F,$A62,GL_Input!$X:$X,"G",GL_Input!$Y:$Y,1))</f>
        <v>0</v>
      </c>
      <c r="G62" s="53" t="n">
        <f aca="false">IF($A62="",0,SUMIFS(GL_Input!$U:$U,GL_Input!$F:$F,$A62,GL_Input!$X:$X,"G",GL_Input!$Y:$Y,2))</f>
        <v>0</v>
      </c>
      <c r="H62" s="53" t="n">
        <f aca="false">IF($A62="",0,SUMIFS(GL_Input!$U:$U,GL_Input!$F:$F,$A62,GL_Input!$X:$X,"G",GL_Input!$Y:$Y,3))</f>
        <v>0</v>
      </c>
      <c r="I62" s="53" t="n">
        <f aca="false">IF($A62="",0,SUMIFS(GL_Input!$U:$U,GL_Input!$F:$F,$A62,GL_Input!$X:$X,"T",GL_Input!$Y:$Y,1))</f>
        <v>0</v>
      </c>
      <c r="J62" s="53" t="n">
        <f aca="false">IF($A62="",0,SUMIFS(GL_Input!$U:$U,GL_Input!$F:$F,$A62,GL_Input!$X:$X,"T",GL_Input!$Y:$Y,2))</f>
        <v>0</v>
      </c>
      <c r="K62" s="53" t="n">
        <f aca="false">IF($A62="",0,SUMIFS(GL_Input!$U:$U,GL_Input!$F:$F,$A62,GL_Input!$X:$X,"T",GL_Input!$Y:$Y,3))</f>
        <v>0</v>
      </c>
      <c r="L62" s="53" t="n">
        <f aca="false">IF($A62="",0,SUMIFS(GL_Input!$U:$U,GL_Input!$F:$F,$A62,GL_Input!$X:$X,"S",GL_Input!$Y:$Y,1))</f>
        <v>0</v>
      </c>
      <c r="M62" s="53" t="n">
        <f aca="false">IF($A62="",0,SUMIFS(GL_Input!$U:$U,GL_Input!$F:$F,$A62,GL_Input!$X:$X,"S",GL_Input!$Y:$Y,2))</f>
        <v>0</v>
      </c>
      <c r="N62" s="53" t="n">
        <f aca="false">IF($A62="",0,SUMIFS(GL_Input!$U:$U,GL_Input!$F:$F,$A62,GL_Input!$X:$X,"S",GL_Input!$Y:$Y,3))</f>
        <v>0</v>
      </c>
      <c r="O62" s="54" t="n">
        <f aca="false">SUM(F62:N62)</f>
        <v>0</v>
      </c>
      <c r="P62" s="15" t="str">
        <f aca="false">IF(O62=0,"",IF($D62="","MISSING VAT NO.",IF(OR($C62="",$C62="CY",Counterparties!G62&lt;&gt;"EU"),"NOT AN EU CUSTOMER","OK")))</f>
        <v/>
      </c>
    </row>
    <row r="63" customFormat="false" ht="15" hidden="false" customHeight="false" outlineLevel="0" collapsed="false">
      <c r="A63" s="30" t="str">
        <f aca="false">IF(Counterparties!A63="","",Counterparties!A63)</f>
        <v/>
      </c>
      <c r="B63" s="30" t="str">
        <f aca="false">IF(Counterparties!B63="","",Counterparties!B63)</f>
        <v/>
      </c>
      <c r="C63" s="30" t="str">
        <f aca="false">IF(Counterparties!C63="","",Counterparties!C63)</f>
        <v/>
      </c>
      <c r="D63" s="30" t="str">
        <f aca="false">IF(Counterparties!D63="","",Counterparties!D63)</f>
        <v/>
      </c>
      <c r="E63" s="30" t="str">
        <f aca="false">IF(Counterparties!E63="","",Counterparties!E63)</f>
        <v/>
      </c>
      <c r="F63" s="53" t="n">
        <f aca="false">IF($A63="",0,SUMIFS(GL_Input!$U:$U,GL_Input!$F:$F,$A63,GL_Input!$X:$X,"G",GL_Input!$Y:$Y,1))</f>
        <v>0</v>
      </c>
      <c r="G63" s="53" t="n">
        <f aca="false">IF($A63="",0,SUMIFS(GL_Input!$U:$U,GL_Input!$F:$F,$A63,GL_Input!$X:$X,"G",GL_Input!$Y:$Y,2))</f>
        <v>0</v>
      </c>
      <c r="H63" s="53" t="n">
        <f aca="false">IF($A63="",0,SUMIFS(GL_Input!$U:$U,GL_Input!$F:$F,$A63,GL_Input!$X:$X,"G",GL_Input!$Y:$Y,3))</f>
        <v>0</v>
      </c>
      <c r="I63" s="53" t="n">
        <f aca="false">IF($A63="",0,SUMIFS(GL_Input!$U:$U,GL_Input!$F:$F,$A63,GL_Input!$X:$X,"T",GL_Input!$Y:$Y,1))</f>
        <v>0</v>
      </c>
      <c r="J63" s="53" t="n">
        <f aca="false">IF($A63="",0,SUMIFS(GL_Input!$U:$U,GL_Input!$F:$F,$A63,GL_Input!$X:$X,"T",GL_Input!$Y:$Y,2))</f>
        <v>0</v>
      </c>
      <c r="K63" s="53" t="n">
        <f aca="false">IF($A63="",0,SUMIFS(GL_Input!$U:$U,GL_Input!$F:$F,$A63,GL_Input!$X:$X,"T",GL_Input!$Y:$Y,3))</f>
        <v>0</v>
      </c>
      <c r="L63" s="53" t="n">
        <f aca="false">IF($A63="",0,SUMIFS(GL_Input!$U:$U,GL_Input!$F:$F,$A63,GL_Input!$X:$X,"S",GL_Input!$Y:$Y,1))</f>
        <v>0</v>
      </c>
      <c r="M63" s="53" t="n">
        <f aca="false">IF($A63="",0,SUMIFS(GL_Input!$U:$U,GL_Input!$F:$F,$A63,GL_Input!$X:$X,"S",GL_Input!$Y:$Y,2))</f>
        <v>0</v>
      </c>
      <c r="N63" s="53" t="n">
        <f aca="false">IF($A63="",0,SUMIFS(GL_Input!$U:$U,GL_Input!$F:$F,$A63,GL_Input!$X:$X,"S",GL_Input!$Y:$Y,3))</f>
        <v>0</v>
      </c>
      <c r="O63" s="54" t="n">
        <f aca="false">SUM(F63:N63)</f>
        <v>0</v>
      </c>
      <c r="P63" s="15" t="str">
        <f aca="false">IF(O63=0,"",IF($D63="","MISSING VAT NO.",IF(OR($C63="",$C63="CY",Counterparties!G63&lt;&gt;"EU"),"NOT AN EU CUSTOMER","OK")))</f>
        <v/>
      </c>
    </row>
    <row r="64" customFormat="false" ht="15" hidden="false" customHeight="false" outlineLevel="0" collapsed="false">
      <c r="A64" s="30" t="str">
        <f aca="false">IF(Counterparties!A64="","",Counterparties!A64)</f>
        <v/>
      </c>
      <c r="B64" s="30" t="str">
        <f aca="false">IF(Counterparties!B64="","",Counterparties!B64)</f>
        <v/>
      </c>
      <c r="C64" s="30" t="str">
        <f aca="false">IF(Counterparties!C64="","",Counterparties!C64)</f>
        <v/>
      </c>
      <c r="D64" s="30" t="str">
        <f aca="false">IF(Counterparties!D64="","",Counterparties!D64)</f>
        <v/>
      </c>
      <c r="E64" s="30" t="str">
        <f aca="false">IF(Counterparties!E64="","",Counterparties!E64)</f>
        <v/>
      </c>
      <c r="F64" s="53" t="n">
        <f aca="false">IF($A64="",0,SUMIFS(GL_Input!$U:$U,GL_Input!$F:$F,$A64,GL_Input!$X:$X,"G",GL_Input!$Y:$Y,1))</f>
        <v>0</v>
      </c>
      <c r="G64" s="53" t="n">
        <f aca="false">IF($A64="",0,SUMIFS(GL_Input!$U:$U,GL_Input!$F:$F,$A64,GL_Input!$X:$X,"G",GL_Input!$Y:$Y,2))</f>
        <v>0</v>
      </c>
      <c r="H64" s="53" t="n">
        <f aca="false">IF($A64="",0,SUMIFS(GL_Input!$U:$U,GL_Input!$F:$F,$A64,GL_Input!$X:$X,"G",GL_Input!$Y:$Y,3))</f>
        <v>0</v>
      </c>
      <c r="I64" s="53" t="n">
        <f aca="false">IF($A64="",0,SUMIFS(GL_Input!$U:$U,GL_Input!$F:$F,$A64,GL_Input!$X:$X,"T",GL_Input!$Y:$Y,1))</f>
        <v>0</v>
      </c>
      <c r="J64" s="53" t="n">
        <f aca="false">IF($A64="",0,SUMIFS(GL_Input!$U:$U,GL_Input!$F:$F,$A64,GL_Input!$X:$X,"T",GL_Input!$Y:$Y,2))</f>
        <v>0</v>
      </c>
      <c r="K64" s="53" t="n">
        <f aca="false">IF($A64="",0,SUMIFS(GL_Input!$U:$U,GL_Input!$F:$F,$A64,GL_Input!$X:$X,"T",GL_Input!$Y:$Y,3))</f>
        <v>0</v>
      </c>
      <c r="L64" s="53" t="n">
        <f aca="false">IF($A64="",0,SUMIFS(GL_Input!$U:$U,GL_Input!$F:$F,$A64,GL_Input!$X:$X,"S",GL_Input!$Y:$Y,1))</f>
        <v>0</v>
      </c>
      <c r="M64" s="53" t="n">
        <f aca="false">IF($A64="",0,SUMIFS(GL_Input!$U:$U,GL_Input!$F:$F,$A64,GL_Input!$X:$X,"S",GL_Input!$Y:$Y,2))</f>
        <v>0</v>
      </c>
      <c r="N64" s="53" t="n">
        <f aca="false">IF($A64="",0,SUMIFS(GL_Input!$U:$U,GL_Input!$F:$F,$A64,GL_Input!$X:$X,"S",GL_Input!$Y:$Y,3))</f>
        <v>0</v>
      </c>
      <c r="O64" s="54" t="n">
        <f aca="false">SUM(F64:N64)</f>
        <v>0</v>
      </c>
      <c r="P64" s="15" t="str">
        <f aca="false">IF(O64=0,"",IF($D64="","MISSING VAT NO.",IF(OR($C64="",$C64="CY",Counterparties!G64&lt;&gt;"EU"),"NOT AN EU CUSTOMER","OK")))</f>
        <v/>
      </c>
    </row>
    <row r="65" customFormat="false" ht="15" hidden="false" customHeight="false" outlineLevel="0" collapsed="false">
      <c r="A65" s="30" t="str">
        <f aca="false">IF(Counterparties!A65="","",Counterparties!A65)</f>
        <v/>
      </c>
      <c r="B65" s="30" t="str">
        <f aca="false">IF(Counterparties!B65="","",Counterparties!B65)</f>
        <v/>
      </c>
      <c r="C65" s="30" t="str">
        <f aca="false">IF(Counterparties!C65="","",Counterparties!C65)</f>
        <v/>
      </c>
      <c r="D65" s="30" t="str">
        <f aca="false">IF(Counterparties!D65="","",Counterparties!D65)</f>
        <v/>
      </c>
      <c r="E65" s="30" t="str">
        <f aca="false">IF(Counterparties!E65="","",Counterparties!E65)</f>
        <v/>
      </c>
      <c r="F65" s="53" t="n">
        <f aca="false">IF($A65="",0,SUMIFS(GL_Input!$U:$U,GL_Input!$F:$F,$A65,GL_Input!$X:$X,"G",GL_Input!$Y:$Y,1))</f>
        <v>0</v>
      </c>
      <c r="G65" s="53" t="n">
        <f aca="false">IF($A65="",0,SUMIFS(GL_Input!$U:$U,GL_Input!$F:$F,$A65,GL_Input!$X:$X,"G",GL_Input!$Y:$Y,2))</f>
        <v>0</v>
      </c>
      <c r="H65" s="53" t="n">
        <f aca="false">IF($A65="",0,SUMIFS(GL_Input!$U:$U,GL_Input!$F:$F,$A65,GL_Input!$X:$X,"G",GL_Input!$Y:$Y,3))</f>
        <v>0</v>
      </c>
      <c r="I65" s="53" t="n">
        <f aca="false">IF($A65="",0,SUMIFS(GL_Input!$U:$U,GL_Input!$F:$F,$A65,GL_Input!$X:$X,"T",GL_Input!$Y:$Y,1))</f>
        <v>0</v>
      </c>
      <c r="J65" s="53" t="n">
        <f aca="false">IF($A65="",0,SUMIFS(GL_Input!$U:$U,GL_Input!$F:$F,$A65,GL_Input!$X:$X,"T",GL_Input!$Y:$Y,2))</f>
        <v>0</v>
      </c>
      <c r="K65" s="53" t="n">
        <f aca="false">IF($A65="",0,SUMIFS(GL_Input!$U:$U,GL_Input!$F:$F,$A65,GL_Input!$X:$X,"T",GL_Input!$Y:$Y,3))</f>
        <v>0</v>
      </c>
      <c r="L65" s="53" t="n">
        <f aca="false">IF($A65="",0,SUMIFS(GL_Input!$U:$U,GL_Input!$F:$F,$A65,GL_Input!$X:$X,"S",GL_Input!$Y:$Y,1))</f>
        <v>0</v>
      </c>
      <c r="M65" s="53" t="n">
        <f aca="false">IF($A65="",0,SUMIFS(GL_Input!$U:$U,GL_Input!$F:$F,$A65,GL_Input!$X:$X,"S",GL_Input!$Y:$Y,2))</f>
        <v>0</v>
      </c>
      <c r="N65" s="53" t="n">
        <f aca="false">IF($A65="",0,SUMIFS(GL_Input!$U:$U,GL_Input!$F:$F,$A65,GL_Input!$X:$X,"S",GL_Input!$Y:$Y,3))</f>
        <v>0</v>
      </c>
      <c r="O65" s="54" t="n">
        <f aca="false">SUM(F65:N65)</f>
        <v>0</v>
      </c>
      <c r="P65" s="15" t="str">
        <f aca="false">IF(O65=0,"",IF($D65="","MISSING VAT NO.",IF(OR($C65="",$C65="CY",Counterparties!G65&lt;&gt;"EU"),"NOT AN EU CUSTOMER","OK")))</f>
        <v/>
      </c>
    </row>
    <row r="66" customFormat="false" ht="15" hidden="false" customHeight="false" outlineLevel="0" collapsed="false">
      <c r="A66" s="30" t="str">
        <f aca="false">IF(Counterparties!A66="","",Counterparties!A66)</f>
        <v/>
      </c>
      <c r="B66" s="30" t="str">
        <f aca="false">IF(Counterparties!B66="","",Counterparties!B66)</f>
        <v/>
      </c>
      <c r="C66" s="30" t="str">
        <f aca="false">IF(Counterparties!C66="","",Counterparties!C66)</f>
        <v/>
      </c>
      <c r="D66" s="30" t="str">
        <f aca="false">IF(Counterparties!D66="","",Counterparties!D66)</f>
        <v/>
      </c>
      <c r="E66" s="30" t="str">
        <f aca="false">IF(Counterparties!E66="","",Counterparties!E66)</f>
        <v/>
      </c>
      <c r="F66" s="53" t="n">
        <f aca="false">IF($A66="",0,SUMIFS(GL_Input!$U:$U,GL_Input!$F:$F,$A66,GL_Input!$X:$X,"G",GL_Input!$Y:$Y,1))</f>
        <v>0</v>
      </c>
      <c r="G66" s="53" t="n">
        <f aca="false">IF($A66="",0,SUMIFS(GL_Input!$U:$U,GL_Input!$F:$F,$A66,GL_Input!$X:$X,"G",GL_Input!$Y:$Y,2))</f>
        <v>0</v>
      </c>
      <c r="H66" s="53" t="n">
        <f aca="false">IF($A66="",0,SUMIFS(GL_Input!$U:$U,GL_Input!$F:$F,$A66,GL_Input!$X:$X,"G",GL_Input!$Y:$Y,3))</f>
        <v>0</v>
      </c>
      <c r="I66" s="53" t="n">
        <f aca="false">IF($A66="",0,SUMIFS(GL_Input!$U:$U,GL_Input!$F:$F,$A66,GL_Input!$X:$X,"T",GL_Input!$Y:$Y,1))</f>
        <v>0</v>
      </c>
      <c r="J66" s="53" t="n">
        <f aca="false">IF($A66="",0,SUMIFS(GL_Input!$U:$U,GL_Input!$F:$F,$A66,GL_Input!$X:$X,"T",GL_Input!$Y:$Y,2))</f>
        <v>0</v>
      </c>
      <c r="K66" s="53" t="n">
        <f aca="false">IF($A66="",0,SUMIFS(GL_Input!$U:$U,GL_Input!$F:$F,$A66,GL_Input!$X:$X,"T",GL_Input!$Y:$Y,3))</f>
        <v>0</v>
      </c>
      <c r="L66" s="53" t="n">
        <f aca="false">IF($A66="",0,SUMIFS(GL_Input!$U:$U,GL_Input!$F:$F,$A66,GL_Input!$X:$X,"S",GL_Input!$Y:$Y,1))</f>
        <v>0</v>
      </c>
      <c r="M66" s="53" t="n">
        <f aca="false">IF($A66="",0,SUMIFS(GL_Input!$U:$U,GL_Input!$F:$F,$A66,GL_Input!$X:$X,"S",GL_Input!$Y:$Y,2))</f>
        <v>0</v>
      </c>
      <c r="N66" s="53" t="n">
        <f aca="false">IF($A66="",0,SUMIFS(GL_Input!$U:$U,GL_Input!$F:$F,$A66,GL_Input!$X:$X,"S",GL_Input!$Y:$Y,3))</f>
        <v>0</v>
      </c>
      <c r="O66" s="54" t="n">
        <f aca="false">SUM(F66:N66)</f>
        <v>0</v>
      </c>
      <c r="P66" s="15" t="str">
        <f aca="false">IF(O66=0,"",IF($D66="","MISSING VAT NO.",IF(OR($C66="",$C66="CY",Counterparties!G66&lt;&gt;"EU"),"NOT AN EU CUSTOMER","OK")))</f>
        <v/>
      </c>
    </row>
    <row r="67" customFormat="false" ht="15" hidden="false" customHeight="false" outlineLevel="0" collapsed="false">
      <c r="A67" s="30" t="str">
        <f aca="false">IF(Counterparties!A67="","",Counterparties!A67)</f>
        <v/>
      </c>
      <c r="B67" s="30" t="str">
        <f aca="false">IF(Counterparties!B67="","",Counterparties!B67)</f>
        <v/>
      </c>
      <c r="C67" s="30" t="str">
        <f aca="false">IF(Counterparties!C67="","",Counterparties!C67)</f>
        <v/>
      </c>
      <c r="D67" s="30" t="str">
        <f aca="false">IF(Counterparties!D67="","",Counterparties!D67)</f>
        <v/>
      </c>
      <c r="E67" s="30" t="str">
        <f aca="false">IF(Counterparties!E67="","",Counterparties!E67)</f>
        <v/>
      </c>
      <c r="F67" s="53" t="n">
        <f aca="false">IF($A67="",0,SUMIFS(GL_Input!$U:$U,GL_Input!$F:$F,$A67,GL_Input!$X:$X,"G",GL_Input!$Y:$Y,1))</f>
        <v>0</v>
      </c>
      <c r="G67" s="53" t="n">
        <f aca="false">IF($A67="",0,SUMIFS(GL_Input!$U:$U,GL_Input!$F:$F,$A67,GL_Input!$X:$X,"G",GL_Input!$Y:$Y,2))</f>
        <v>0</v>
      </c>
      <c r="H67" s="53" t="n">
        <f aca="false">IF($A67="",0,SUMIFS(GL_Input!$U:$U,GL_Input!$F:$F,$A67,GL_Input!$X:$X,"G",GL_Input!$Y:$Y,3))</f>
        <v>0</v>
      </c>
      <c r="I67" s="53" t="n">
        <f aca="false">IF($A67="",0,SUMIFS(GL_Input!$U:$U,GL_Input!$F:$F,$A67,GL_Input!$X:$X,"T",GL_Input!$Y:$Y,1))</f>
        <v>0</v>
      </c>
      <c r="J67" s="53" t="n">
        <f aca="false">IF($A67="",0,SUMIFS(GL_Input!$U:$U,GL_Input!$F:$F,$A67,GL_Input!$X:$X,"T",GL_Input!$Y:$Y,2))</f>
        <v>0</v>
      </c>
      <c r="K67" s="53" t="n">
        <f aca="false">IF($A67="",0,SUMIFS(GL_Input!$U:$U,GL_Input!$F:$F,$A67,GL_Input!$X:$X,"T",GL_Input!$Y:$Y,3))</f>
        <v>0</v>
      </c>
      <c r="L67" s="53" t="n">
        <f aca="false">IF($A67="",0,SUMIFS(GL_Input!$U:$U,GL_Input!$F:$F,$A67,GL_Input!$X:$X,"S",GL_Input!$Y:$Y,1))</f>
        <v>0</v>
      </c>
      <c r="M67" s="53" t="n">
        <f aca="false">IF($A67="",0,SUMIFS(GL_Input!$U:$U,GL_Input!$F:$F,$A67,GL_Input!$X:$X,"S",GL_Input!$Y:$Y,2))</f>
        <v>0</v>
      </c>
      <c r="N67" s="53" t="n">
        <f aca="false">IF($A67="",0,SUMIFS(GL_Input!$U:$U,GL_Input!$F:$F,$A67,GL_Input!$X:$X,"S",GL_Input!$Y:$Y,3))</f>
        <v>0</v>
      </c>
      <c r="O67" s="54" t="n">
        <f aca="false">SUM(F67:N67)</f>
        <v>0</v>
      </c>
      <c r="P67" s="15" t="str">
        <f aca="false">IF(O67=0,"",IF($D67="","MISSING VAT NO.",IF(OR($C67="",$C67="CY",Counterparties!G67&lt;&gt;"EU"),"NOT AN EU CUSTOMER","OK")))</f>
        <v/>
      </c>
    </row>
    <row r="68" customFormat="false" ht="15" hidden="false" customHeight="false" outlineLevel="0" collapsed="false">
      <c r="A68" s="30" t="str">
        <f aca="false">IF(Counterparties!A68="","",Counterparties!A68)</f>
        <v/>
      </c>
      <c r="B68" s="30" t="str">
        <f aca="false">IF(Counterparties!B68="","",Counterparties!B68)</f>
        <v/>
      </c>
      <c r="C68" s="30" t="str">
        <f aca="false">IF(Counterparties!C68="","",Counterparties!C68)</f>
        <v/>
      </c>
      <c r="D68" s="30" t="str">
        <f aca="false">IF(Counterparties!D68="","",Counterparties!D68)</f>
        <v/>
      </c>
      <c r="E68" s="30" t="str">
        <f aca="false">IF(Counterparties!E68="","",Counterparties!E68)</f>
        <v/>
      </c>
      <c r="F68" s="53" t="n">
        <f aca="false">IF($A68="",0,SUMIFS(GL_Input!$U:$U,GL_Input!$F:$F,$A68,GL_Input!$X:$X,"G",GL_Input!$Y:$Y,1))</f>
        <v>0</v>
      </c>
      <c r="G68" s="53" t="n">
        <f aca="false">IF($A68="",0,SUMIFS(GL_Input!$U:$U,GL_Input!$F:$F,$A68,GL_Input!$X:$X,"G",GL_Input!$Y:$Y,2))</f>
        <v>0</v>
      </c>
      <c r="H68" s="53" t="n">
        <f aca="false">IF($A68="",0,SUMIFS(GL_Input!$U:$U,GL_Input!$F:$F,$A68,GL_Input!$X:$X,"G",GL_Input!$Y:$Y,3))</f>
        <v>0</v>
      </c>
      <c r="I68" s="53" t="n">
        <f aca="false">IF($A68="",0,SUMIFS(GL_Input!$U:$U,GL_Input!$F:$F,$A68,GL_Input!$X:$X,"T",GL_Input!$Y:$Y,1))</f>
        <v>0</v>
      </c>
      <c r="J68" s="53" t="n">
        <f aca="false">IF($A68="",0,SUMIFS(GL_Input!$U:$U,GL_Input!$F:$F,$A68,GL_Input!$X:$X,"T",GL_Input!$Y:$Y,2))</f>
        <v>0</v>
      </c>
      <c r="K68" s="53" t="n">
        <f aca="false">IF($A68="",0,SUMIFS(GL_Input!$U:$U,GL_Input!$F:$F,$A68,GL_Input!$X:$X,"T",GL_Input!$Y:$Y,3))</f>
        <v>0</v>
      </c>
      <c r="L68" s="53" t="n">
        <f aca="false">IF($A68="",0,SUMIFS(GL_Input!$U:$U,GL_Input!$F:$F,$A68,GL_Input!$X:$X,"S",GL_Input!$Y:$Y,1))</f>
        <v>0</v>
      </c>
      <c r="M68" s="53" t="n">
        <f aca="false">IF($A68="",0,SUMIFS(GL_Input!$U:$U,GL_Input!$F:$F,$A68,GL_Input!$X:$X,"S",GL_Input!$Y:$Y,2))</f>
        <v>0</v>
      </c>
      <c r="N68" s="53" t="n">
        <f aca="false">IF($A68="",0,SUMIFS(GL_Input!$U:$U,GL_Input!$F:$F,$A68,GL_Input!$X:$X,"S",GL_Input!$Y:$Y,3))</f>
        <v>0</v>
      </c>
      <c r="O68" s="54" t="n">
        <f aca="false">SUM(F68:N68)</f>
        <v>0</v>
      </c>
      <c r="P68" s="15" t="str">
        <f aca="false">IF(O68=0,"",IF($D68="","MISSING VAT NO.",IF(OR($C68="",$C68="CY",Counterparties!G68&lt;&gt;"EU"),"NOT AN EU CUSTOMER","OK")))</f>
        <v/>
      </c>
    </row>
    <row r="69" customFormat="false" ht="15" hidden="false" customHeight="false" outlineLevel="0" collapsed="false">
      <c r="A69" s="30" t="str">
        <f aca="false">IF(Counterparties!A69="","",Counterparties!A69)</f>
        <v/>
      </c>
      <c r="B69" s="30" t="str">
        <f aca="false">IF(Counterparties!B69="","",Counterparties!B69)</f>
        <v/>
      </c>
      <c r="C69" s="30" t="str">
        <f aca="false">IF(Counterparties!C69="","",Counterparties!C69)</f>
        <v/>
      </c>
      <c r="D69" s="30" t="str">
        <f aca="false">IF(Counterparties!D69="","",Counterparties!D69)</f>
        <v/>
      </c>
      <c r="E69" s="30" t="str">
        <f aca="false">IF(Counterparties!E69="","",Counterparties!E69)</f>
        <v/>
      </c>
      <c r="F69" s="53" t="n">
        <f aca="false">IF($A69="",0,SUMIFS(GL_Input!$U:$U,GL_Input!$F:$F,$A69,GL_Input!$X:$X,"G",GL_Input!$Y:$Y,1))</f>
        <v>0</v>
      </c>
      <c r="G69" s="53" t="n">
        <f aca="false">IF($A69="",0,SUMIFS(GL_Input!$U:$U,GL_Input!$F:$F,$A69,GL_Input!$X:$X,"G",GL_Input!$Y:$Y,2))</f>
        <v>0</v>
      </c>
      <c r="H69" s="53" t="n">
        <f aca="false">IF($A69="",0,SUMIFS(GL_Input!$U:$U,GL_Input!$F:$F,$A69,GL_Input!$X:$X,"G",GL_Input!$Y:$Y,3))</f>
        <v>0</v>
      </c>
      <c r="I69" s="53" t="n">
        <f aca="false">IF($A69="",0,SUMIFS(GL_Input!$U:$U,GL_Input!$F:$F,$A69,GL_Input!$X:$X,"T",GL_Input!$Y:$Y,1))</f>
        <v>0</v>
      </c>
      <c r="J69" s="53" t="n">
        <f aca="false">IF($A69="",0,SUMIFS(GL_Input!$U:$U,GL_Input!$F:$F,$A69,GL_Input!$X:$X,"T",GL_Input!$Y:$Y,2))</f>
        <v>0</v>
      </c>
      <c r="K69" s="53" t="n">
        <f aca="false">IF($A69="",0,SUMIFS(GL_Input!$U:$U,GL_Input!$F:$F,$A69,GL_Input!$X:$X,"T",GL_Input!$Y:$Y,3))</f>
        <v>0</v>
      </c>
      <c r="L69" s="53" t="n">
        <f aca="false">IF($A69="",0,SUMIFS(GL_Input!$U:$U,GL_Input!$F:$F,$A69,GL_Input!$X:$X,"S",GL_Input!$Y:$Y,1))</f>
        <v>0</v>
      </c>
      <c r="M69" s="53" t="n">
        <f aca="false">IF($A69="",0,SUMIFS(GL_Input!$U:$U,GL_Input!$F:$F,$A69,GL_Input!$X:$X,"S",GL_Input!$Y:$Y,2))</f>
        <v>0</v>
      </c>
      <c r="N69" s="53" t="n">
        <f aca="false">IF($A69="",0,SUMIFS(GL_Input!$U:$U,GL_Input!$F:$F,$A69,GL_Input!$X:$X,"S",GL_Input!$Y:$Y,3))</f>
        <v>0</v>
      </c>
      <c r="O69" s="54" t="n">
        <f aca="false">SUM(F69:N69)</f>
        <v>0</v>
      </c>
      <c r="P69" s="15" t="str">
        <f aca="false">IF(O69=0,"",IF($D69="","MISSING VAT NO.",IF(OR($C69="",$C69="CY",Counterparties!G69&lt;&gt;"EU"),"NOT AN EU CUSTOMER","OK")))</f>
        <v/>
      </c>
    </row>
    <row r="70" customFormat="false" ht="15" hidden="false" customHeight="false" outlineLevel="0" collapsed="false">
      <c r="A70" s="30" t="str">
        <f aca="false">IF(Counterparties!A70="","",Counterparties!A70)</f>
        <v/>
      </c>
      <c r="B70" s="30" t="str">
        <f aca="false">IF(Counterparties!B70="","",Counterparties!B70)</f>
        <v/>
      </c>
      <c r="C70" s="30" t="str">
        <f aca="false">IF(Counterparties!C70="","",Counterparties!C70)</f>
        <v/>
      </c>
      <c r="D70" s="30" t="str">
        <f aca="false">IF(Counterparties!D70="","",Counterparties!D70)</f>
        <v/>
      </c>
      <c r="E70" s="30" t="str">
        <f aca="false">IF(Counterparties!E70="","",Counterparties!E70)</f>
        <v/>
      </c>
      <c r="F70" s="53" t="n">
        <f aca="false">IF($A70="",0,SUMIFS(GL_Input!$U:$U,GL_Input!$F:$F,$A70,GL_Input!$X:$X,"G",GL_Input!$Y:$Y,1))</f>
        <v>0</v>
      </c>
      <c r="G70" s="53" t="n">
        <f aca="false">IF($A70="",0,SUMIFS(GL_Input!$U:$U,GL_Input!$F:$F,$A70,GL_Input!$X:$X,"G",GL_Input!$Y:$Y,2))</f>
        <v>0</v>
      </c>
      <c r="H70" s="53" t="n">
        <f aca="false">IF($A70="",0,SUMIFS(GL_Input!$U:$U,GL_Input!$F:$F,$A70,GL_Input!$X:$X,"G",GL_Input!$Y:$Y,3))</f>
        <v>0</v>
      </c>
      <c r="I70" s="53" t="n">
        <f aca="false">IF($A70="",0,SUMIFS(GL_Input!$U:$U,GL_Input!$F:$F,$A70,GL_Input!$X:$X,"T",GL_Input!$Y:$Y,1))</f>
        <v>0</v>
      </c>
      <c r="J70" s="53" t="n">
        <f aca="false">IF($A70="",0,SUMIFS(GL_Input!$U:$U,GL_Input!$F:$F,$A70,GL_Input!$X:$X,"T",GL_Input!$Y:$Y,2))</f>
        <v>0</v>
      </c>
      <c r="K70" s="53" t="n">
        <f aca="false">IF($A70="",0,SUMIFS(GL_Input!$U:$U,GL_Input!$F:$F,$A70,GL_Input!$X:$X,"T",GL_Input!$Y:$Y,3))</f>
        <v>0</v>
      </c>
      <c r="L70" s="53" t="n">
        <f aca="false">IF($A70="",0,SUMIFS(GL_Input!$U:$U,GL_Input!$F:$F,$A70,GL_Input!$X:$X,"S",GL_Input!$Y:$Y,1))</f>
        <v>0</v>
      </c>
      <c r="M70" s="53" t="n">
        <f aca="false">IF($A70="",0,SUMIFS(GL_Input!$U:$U,GL_Input!$F:$F,$A70,GL_Input!$X:$X,"S",GL_Input!$Y:$Y,2))</f>
        <v>0</v>
      </c>
      <c r="N70" s="53" t="n">
        <f aca="false">IF($A70="",0,SUMIFS(GL_Input!$U:$U,GL_Input!$F:$F,$A70,GL_Input!$X:$X,"S",GL_Input!$Y:$Y,3))</f>
        <v>0</v>
      </c>
      <c r="O70" s="54" t="n">
        <f aca="false">SUM(F70:N70)</f>
        <v>0</v>
      </c>
      <c r="P70" s="15" t="str">
        <f aca="false">IF(O70=0,"",IF($D70="","MISSING VAT NO.",IF(OR($C70="",$C70="CY",Counterparties!G70&lt;&gt;"EU"),"NOT AN EU CUSTOMER","OK")))</f>
        <v/>
      </c>
    </row>
    <row r="71" customFormat="false" ht="15" hidden="false" customHeight="false" outlineLevel="0" collapsed="false">
      <c r="A71" s="30" t="str">
        <f aca="false">IF(Counterparties!A71="","",Counterparties!A71)</f>
        <v/>
      </c>
      <c r="B71" s="30" t="str">
        <f aca="false">IF(Counterparties!B71="","",Counterparties!B71)</f>
        <v/>
      </c>
      <c r="C71" s="30" t="str">
        <f aca="false">IF(Counterparties!C71="","",Counterparties!C71)</f>
        <v/>
      </c>
      <c r="D71" s="30" t="str">
        <f aca="false">IF(Counterparties!D71="","",Counterparties!D71)</f>
        <v/>
      </c>
      <c r="E71" s="30" t="str">
        <f aca="false">IF(Counterparties!E71="","",Counterparties!E71)</f>
        <v/>
      </c>
      <c r="F71" s="53" t="n">
        <f aca="false">IF($A71="",0,SUMIFS(GL_Input!$U:$U,GL_Input!$F:$F,$A71,GL_Input!$X:$X,"G",GL_Input!$Y:$Y,1))</f>
        <v>0</v>
      </c>
      <c r="G71" s="53" t="n">
        <f aca="false">IF($A71="",0,SUMIFS(GL_Input!$U:$U,GL_Input!$F:$F,$A71,GL_Input!$X:$X,"G",GL_Input!$Y:$Y,2))</f>
        <v>0</v>
      </c>
      <c r="H71" s="53" t="n">
        <f aca="false">IF($A71="",0,SUMIFS(GL_Input!$U:$U,GL_Input!$F:$F,$A71,GL_Input!$X:$X,"G",GL_Input!$Y:$Y,3))</f>
        <v>0</v>
      </c>
      <c r="I71" s="53" t="n">
        <f aca="false">IF($A71="",0,SUMIFS(GL_Input!$U:$U,GL_Input!$F:$F,$A71,GL_Input!$X:$X,"T",GL_Input!$Y:$Y,1))</f>
        <v>0</v>
      </c>
      <c r="J71" s="53" t="n">
        <f aca="false">IF($A71="",0,SUMIFS(GL_Input!$U:$U,GL_Input!$F:$F,$A71,GL_Input!$X:$X,"T",GL_Input!$Y:$Y,2))</f>
        <v>0</v>
      </c>
      <c r="K71" s="53" t="n">
        <f aca="false">IF($A71="",0,SUMIFS(GL_Input!$U:$U,GL_Input!$F:$F,$A71,GL_Input!$X:$X,"T",GL_Input!$Y:$Y,3))</f>
        <v>0</v>
      </c>
      <c r="L71" s="53" t="n">
        <f aca="false">IF($A71="",0,SUMIFS(GL_Input!$U:$U,GL_Input!$F:$F,$A71,GL_Input!$X:$X,"S",GL_Input!$Y:$Y,1))</f>
        <v>0</v>
      </c>
      <c r="M71" s="53" t="n">
        <f aca="false">IF($A71="",0,SUMIFS(GL_Input!$U:$U,GL_Input!$F:$F,$A71,GL_Input!$X:$X,"S",GL_Input!$Y:$Y,2))</f>
        <v>0</v>
      </c>
      <c r="N71" s="53" t="n">
        <f aca="false">IF($A71="",0,SUMIFS(GL_Input!$U:$U,GL_Input!$F:$F,$A71,GL_Input!$X:$X,"S",GL_Input!$Y:$Y,3))</f>
        <v>0</v>
      </c>
      <c r="O71" s="54" t="n">
        <f aca="false">SUM(F71:N71)</f>
        <v>0</v>
      </c>
      <c r="P71" s="15" t="str">
        <f aca="false">IF(O71=0,"",IF($D71="","MISSING VAT NO.",IF(OR($C71="",$C71="CY",Counterparties!G71&lt;&gt;"EU"),"NOT AN EU CUSTOMER","OK")))</f>
        <v/>
      </c>
    </row>
    <row r="72" customFormat="false" ht="15" hidden="false" customHeight="false" outlineLevel="0" collapsed="false">
      <c r="A72" s="30" t="str">
        <f aca="false">IF(Counterparties!A72="","",Counterparties!A72)</f>
        <v/>
      </c>
      <c r="B72" s="30" t="str">
        <f aca="false">IF(Counterparties!B72="","",Counterparties!B72)</f>
        <v/>
      </c>
      <c r="C72" s="30" t="str">
        <f aca="false">IF(Counterparties!C72="","",Counterparties!C72)</f>
        <v/>
      </c>
      <c r="D72" s="30" t="str">
        <f aca="false">IF(Counterparties!D72="","",Counterparties!D72)</f>
        <v/>
      </c>
      <c r="E72" s="30" t="str">
        <f aca="false">IF(Counterparties!E72="","",Counterparties!E72)</f>
        <v/>
      </c>
      <c r="F72" s="53" t="n">
        <f aca="false">IF($A72="",0,SUMIFS(GL_Input!$U:$U,GL_Input!$F:$F,$A72,GL_Input!$X:$X,"G",GL_Input!$Y:$Y,1))</f>
        <v>0</v>
      </c>
      <c r="G72" s="53" t="n">
        <f aca="false">IF($A72="",0,SUMIFS(GL_Input!$U:$U,GL_Input!$F:$F,$A72,GL_Input!$X:$X,"G",GL_Input!$Y:$Y,2))</f>
        <v>0</v>
      </c>
      <c r="H72" s="53" t="n">
        <f aca="false">IF($A72="",0,SUMIFS(GL_Input!$U:$U,GL_Input!$F:$F,$A72,GL_Input!$X:$X,"G",GL_Input!$Y:$Y,3))</f>
        <v>0</v>
      </c>
      <c r="I72" s="53" t="n">
        <f aca="false">IF($A72="",0,SUMIFS(GL_Input!$U:$U,GL_Input!$F:$F,$A72,GL_Input!$X:$X,"T",GL_Input!$Y:$Y,1))</f>
        <v>0</v>
      </c>
      <c r="J72" s="53" t="n">
        <f aca="false">IF($A72="",0,SUMIFS(GL_Input!$U:$U,GL_Input!$F:$F,$A72,GL_Input!$X:$X,"T",GL_Input!$Y:$Y,2))</f>
        <v>0</v>
      </c>
      <c r="K72" s="53" t="n">
        <f aca="false">IF($A72="",0,SUMIFS(GL_Input!$U:$U,GL_Input!$F:$F,$A72,GL_Input!$X:$X,"T",GL_Input!$Y:$Y,3))</f>
        <v>0</v>
      </c>
      <c r="L72" s="53" t="n">
        <f aca="false">IF($A72="",0,SUMIFS(GL_Input!$U:$U,GL_Input!$F:$F,$A72,GL_Input!$X:$X,"S",GL_Input!$Y:$Y,1))</f>
        <v>0</v>
      </c>
      <c r="M72" s="53" t="n">
        <f aca="false">IF($A72="",0,SUMIFS(GL_Input!$U:$U,GL_Input!$F:$F,$A72,GL_Input!$X:$X,"S",GL_Input!$Y:$Y,2))</f>
        <v>0</v>
      </c>
      <c r="N72" s="53" t="n">
        <f aca="false">IF($A72="",0,SUMIFS(GL_Input!$U:$U,GL_Input!$F:$F,$A72,GL_Input!$X:$X,"S",GL_Input!$Y:$Y,3))</f>
        <v>0</v>
      </c>
      <c r="O72" s="54" t="n">
        <f aca="false">SUM(F72:N72)</f>
        <v>0</v>
      </c>
      <c r="P72" s="15" t="str">
        <f aca="false">IF(O72=0,"",IF($D72="","MISSING VAT NO.",IF(OR($C72="",$C72="CY",Counterparties!G72&lt;&gt;"EU"),"NOT AN EU CUSTOMER","OK")))</f>
        <v/>
      </c>
    </row>
    <row r="73" customFormat="false" ht="15" hidden="false" customHeight="false" outlineLevel="0" collapsed="false">
      <c r="A73" s="30" t="str">
        <f aca="false">IF(Counterparties!A73="","",Counterparties!A73)</f>
        <v/>
      </c>
      <c r="B73" s="30" t="str">
        <f aca="false">IF(Counterparties!B73="","",Counterparties!B73)</f>
        <v/>
      </c>
      <c r="C73" s="30" t="str">
        <f aca="false">IF(Counterparties!C73="","",Counterparties!C73)</f>
        <v/>
      </c>
      <c r="D73" s="30" t="str">
        <f aca="false">IF(Counterparties!D73="","",Counterparties!D73)</f>
        <v/>
      </c>
      <c r="E73" s="30" t="str">
        <f aca="false">IF(Counterparties!E73="","",Counterparties!E73)</f>
        <v/>
      </c>
      <c r="F73" s="53" t="n">
        <f aca="false">IF($A73="",0,SUMIFS(GL_Input!$U:$U,GL_Input!$F:$F,$A73,GL_Input!$X:$X,"G",GL_Input!$Y:$Y,1))</f>
        <v>0</v>
      </c>
      <c r="G73" s="53" t="n">
        <f aca="false">IF($A73="",0,SUMIFS(GL_Input!$U:$U,GL_Input!$F:$F,$A73,GL_Input!$X:$X,"G",GL_Input!$Y:$Y,2))</f>
        <v>0</v>
      </c>
      <c r="H73" s="53" t="n">
        <f aca="false">IF($A73="",0,SUMIFS(GL_Input!$U:$U,GL_Input!$F:$F,$A73,GL_Input!$X:$X,"G",GL_Input!$Y:$Y,3))</f>
        <v>0</v>
      </c>
      <c r="I73" s="53" t="n">
        <f aca="false">IF($A73="",0,SUMIFS(GL_Input!$U:$U,GL_Input!$F:$F,$A73,GL_Input!$X:$X,"T",GL_Input!$Y:$Y,1))</f>
        <v>0</v>
      </c>
      <c r="J73" s="53" t="n">
        <f aca="false">IF($A73="",0,SUMIFS(GL_Input!$U:$U,GL_Input!$F:$F,$A73,GL_Input!$X:$X,"T",GL_Input!$Y:$Y,2))</f>
        <v>0</v>
      </c>
      <c r="K73" s="53" t="n">
        <f aca="false">IF($A73="",0,SUMIFS(GL_Input!$U:$U,GL_Input!$F:$F,$A73,GL_Input!$X:$X,"T",GL_Input!$Y:$Y,3))</f>
        <v>0</v>
      </c>
      <c r="L73" s="53" t="n">
        <f aca="false">IF($A73="",0,SUMIFS(GL_Input!$U:$U,GL_Input!$F:$F,$A73,GL_Input!$X:$X,"S",GL_Input!$Y:$Y,1))</f>
        <v>0</v>
      </c>
      <c r="M73" s="53" t="n">
        <f aca="false">IF($A73="",0,SUMIFS(GL_Input!$U:$U,GL_Input!$F:$F,$A73,GL_Input!$X:$X,"S",GL_Input!$Y:$Y,2))</f>
        <v>0</v>
      </c>
      <c r="N73" s="53" t="n">
        <f aca="false">IF($A73="",0,SUMIFS(GL_Input!$U:$U,GL_Input!$F:$F,$A73,GL_Input!$X:$X,"S",GL_Input!$Y:$Y,3))</f>
        <v>0</v>
      </c>
      <c r="O73" s="54" t="n">
        <f aca="false">SUM(F73:N73)</f>
        <v>0</v>
      </c>
      <c r="P73" s="15" t="str">
        <f aca="false">IF(O73=0,"",IF($D73="","MISSING VAT NO.",IF(OR($C73="",$C73="CY",Counterparties!G73&lt;&gt;"EU"),"NOT AN EU CUSTOMER","OK")))</f>
        <v/>
      </c>
    </row>
    <row r="74" customFormat="false" ht="15" hidden="false" customHeight="false" outlineLevel="0" collapsed="false">
      <c r="A74" s="30" t="str">
        <f aca="false">IF(Counterparties!A74="","",Counterparties!A74)</f>
        <v/>
      </c>
      <c r="B74" s="30" t="str">
        <f aca="false">IF(Counterparties!B74="","",Counterparties!B74)</f>
        <v/>
      </c>
      <c r="C74" s="30" t="str">
        <f aca="false">IF(Counterparties!C74="","",Counterparties!C74)</f>
        <v/>
      </c>
      <c r="D74" s="30" t="str">
        <f aca="false">IF(Counterparties!D74="","",Counterparties!D74)</f>
        <v/>
      </c>
      <c r="E74" s="30" t="str">
        <f aca="false">IF(Counterparties!E74="","",Counterparties!E74)</f>
        <v/>
      </c>
      <c r="F74" s="53" t="n">
        <f aca="false">IF($A74="",0,SUMIFS(GL_Input!$U:$U,GL_Input!$F:$F,$A74,GL_Input!$X:$X,"G",GL_Input!$Y:$Y,1))</f>
        <v>0</v>
      </c>
      <c r="G74" s="53" t="n">
        <f aca="false">IF($A74="",0,SUMIFS(GL_Input!$U:$U,GL_Input!$F:$F,$A74,GL_Input!$X:$X,"G",GL_Input!$Y:$Y,2))</f>
        <v>0</v>
      </c>
      <c r="H74" s="53" t="n">
        <f aca="false">IF($A74="",0,SUMIFS(GL_Input!$U:$U,GL_Input!$F:$F,$A74,GL_Input!$X:$X,"G",GL_Input!$Y:$Y,3))</f>
        <v>0</v>
      </c>
      <c r="I74" s="53" t="n">
        <f aca="false">IF($A74="",0,SUMIFS(GL_Input!$U:$U,GL_Input!$F:$F,$A74,GL_Input!$X:$X,"T",GL_Input!$Y:$Y,1))</f>
        <v>0</v>
      </c>
      <c r="J74" s="53" t="n">
        <f aca="false">IF($A74="",0,SUMIFS(GL_Input!$U:$U,GL_Input!$F:$F,$A74,GL_Input!$X:$X,"T",GL_Input!$Y:$Y,2))</f>
        <v>0</v>
      </c>
      <c r="K74" s="53" t="n">
        <f aca="false">IF($A74="",0,SUMIFS(GL_Input!$U:$U,GL_Input!$F:$F,$A74,GL_Input!$X:$X,"T",GL_Input!$Y:$Y,3))</f>
        <v>0</v>
      </c>
      <c r="L74" s="53" t="n">
        <f aca="false">IF($A74="",0,SUMIFS(GL_Input!$U:$U,GL_Input!$F:$F,$A74,GL_Input!$X:$X,"S",GL_Input!$Y:$Y,1))</f>
        <v>0</v>
      </c>
      <c r="M74" s="53" t="n">
        <f aca="false">IF($A74="",0,SUMIFS(GL_Input!$U:$U,GL_Input!$F:$F,$A74,GL_Input!$X:$X,"S",GL_Input!$Y:$Y,2))</f>
        <v>0</v>
      </c>
      <c r="N74" s="53" t="n">
        <f aca="false">IF($A74="",0,SUMIFS(GL_Input!$U:$U,GL_Input!$F:$F,$A74,GL_Input!$X:$X,"S",GL_Input!$Y:$Y,3))</f>
        <v>0</v>
      </c>
      <c r="O74" s="54" t="n">
        <f aca="false">SUM(F74:N74)</f>
        <v>0</v>
      </c>
      <c r="P74" s="15" t="str">
        <f aca="false">IF(O74=0,"",IF($D74="","MISSING VAT NO.",IF(OR($C74="",$C74="CY",Counterparties!G74&lt;&gt;"EU"),"NOT AN EU CUSTOMER","OK")))</f>
        <v/>
      </c>
    </row>
    <row r="75" customFormat="false" ht="15" hidden="false" customHeight="false" outlineLevel="0" collapsed="false">
      <c r="A75" s="30" t="str">
        <f aca="false">IF(Counterparties!A75="","",Counterparties!A75)</f>
        <v/>
      </c>
      <c r="B75" s="30" t="str">
        <f aca="false">IF(Counterparties!B75="","",Counterparties!B75)</f>
        <v/>
      </c>
      <c r="C75" s="30" t="str">
        <f aca="false">IF(Counterparties!C75="","",Counterparties!C75)</f>
        <v/>
      </c>
      <c r="D75" s="30" t="str">
        <f aca="false">IF(Counterparties!D75="","",Counterparties!D75)</f>
        <v/>
      </c>
      <c r="E75" s="30" t="str">
        <f aca="false">IF(Counterparties!E75="","",Counterparties!E75)</f>
        <v/>
      </c>
      <c r="F75" s="53" t="n">
        <f aca="false">IF($A75="",0,SUMIFS(GL_Input!$U:$U,GL_Input!$F:$F,$A75,GL_Input!$X:$X,"G",GL_Input!$Y:$Y,1))</f>
        <v>0</v>
      </c>
      <c r="G75" s="53" t="n">
        <f aca="false">IF($A75="",0,SUMIFS(GL_Input!$U:$U,GL_Input!$F:$F,$A75,GL_Input!$X:$X,"G",GL_Input!$Y:$Y,2))</f>
        <v>0</v>
      </c>
      <c r="H75" s="53" t="n">
        <f aca="false">IF($A75="",0,SUMIFS(GL_Input!$U:$U,GL_Input!$F:$F,$A75,GL_Input!$X:$X,"G",GL_Input!$Y:$Y,3))</f>
        <v>0</v>
      </c>
      <c r="I75" s="53" t="n">
        <f aca="false">IF($A75="",0,SUMIFS(GL_Input!$U:$U,GL_Input!$F:$F,$A75,GL_Input!$X:$X,"T",GL_Input!$Y:$Y,1))</f>
        <v>0</v>
      </c>
      <c r="J75" s="53" t="n">
        <f aca="false">IF($A75="",0,SUMIFS(GL_Input!$U:$U,GL_Input!$F:$F,$A75,GL_Input!$X:$X,"T",GL_Input!$Y:$Y,2))</f>
        <v>0</v>
      </c>
      <c r="K75" s="53" t="n">
        <f aca="false">IF($A75="",0,SUMIFS(GL_Input!$U:$U,GL_Input!$F:$F,$A75,GL_Input!$X:$X,"T",GL_Input!$Y:$Y,3))</f>
        <v>0</v>
      </c>
      <c r="L75" s="53" t="n">
        <f aca="false">IF($A75="",0,SUMIFS(GL_Input!$U:$U,GL_Input!$F:$F,$A75,GL_Input!$X:$X,"S",GL_Input!$Y:$Y,1))</f>
        <v>0</v>
      </c>
      <c r="M75" s="53" t="n">
        <f aca="false">IF($A75="",0,SUMIFS(GL_Input!$U:$U,GL_Input!$F:$F,$A75,GL_Input!$X:$X,"S",GL_Input!$Y:$Y,2))</f>
        <v>0</v>
      </c>
      <c r="N75" s="53" t="n">
        <f aca="false">IF($A75="",0,SUMIFS(GL_Input!$U:$U,GL_Input!$F:$F,$A75,GL_Input!$X:$X,"S",GL_Input!$Y:$Y,3))</f>
        <v>0</v>
      </c>
      <c r="O75" s="54" t="n">
        <f aca="false">SUM(F75:N75)</f>
        <v>0</v>
      </c>
      <c r="P75" s="15" t="str">
        <f aca="false">IF(O75=0,"",IF($D75="","MISSING VAT NO.",IF(OR($C75="",$C75="CY",Counterparties!G75&lt;&gt;"EU"),"NOT AN EU CUSTOMER","OK")))</f>
        <v/>
      </c>
    </row>
    <row r="76" customFormat="false" ht="15" hidden="false" customHeight="false" outlineLevel="0" collapsed="false">
      <c r="A76" s="30" t="str">
        <f aca="false">IF(Counterparties!A76="","",Counterparties!A76)</f>
        <v/>
      </c>
      <c r="B76" s="30" t="str">
        <f aca="false">IF(Counterparties!B76="","",Counterparties!B76)</f>
        <v/>
      </c>
      <c r="C76" s="30" t="str">
        <f aca="false">IF(Counterparties!C76="","",Counterparties!C76)</f>
        <v/>
      </c>
      <c r="D76" s="30" t="str">
        <f aca="false">IF(Counterparties!D76="","",Counterparties!D76)</f>
        <v/>
      </c>
      <c r="E76" s="30" t="str">
        <f aca="false">IF(Counterparties!E76="","",Counterparties!E76)</f>
        <v/>
      </c>
      <c r="F76" s="53" t="n">
        <f aca="false">IF($A76="",0,SUMIFS(GL_Input!$U:$U,GL_Input!$F:$F,$A76,GL_Input!$X:$X,"G",GL_Input!$Y:$Y,1))</f>
        <v>0</v>
      </c>
      <c r="G76" s="53" t="n">
        <f aca="false">IF($A76="",0,SUMIFS(GL_Input!$U:$U,GL_Input!$F:$F,$A76,GL_Input!$X:$X,"G",GL_Input!$Y:$Y,2))</f>
        <v>0</v>
      </c>
      <c r="H76" s="53" t="n">
        <f aca="false">IF($A76="",0,SUMIFS(GL_Input!$U:$U,GL_Input!$F:$F,$A76,GL_Input!$X:$X,"G",GL_Input!$Y:$Y,3))</f>
        <v>0</v>
      </c>
      <c r="I76" s="53" t="n">
        <f aca="false">IF($A76="",0,SUMIFS(GL_Input!$U:$U,GL_Input!$F:$F,$A76,GL_Input!$X:$X,"T",GL_Input!$Y:$Y,1))</f>
        <v>0</v>
      </c>
      <c r="J76" s="53" t="n">
        <f aca="false">IF($A76="",0,SUMIFS(GL_Input!$U:$U,GL_Input!$F:$F,$A76,GL_Input!$X:$X,"T",GL_Input!$Y:$Y,2))</f>
        <v>0</v>
      </c>
      <c r="K76" s="53" t="n">
        <f aca="false">IF($A76="",0,SUMIFS(GL_Input!$U:$U,GL_Input!$F:$F,$A76,GL_Input!$X:$X,"T",GL_Input!$Y:$Y,3))</f>
        <v>0</v>
      </c>
      <c r="L76" s="53" t="n">
        <f aca="false">IF($A76="",0,SUMIFS(GL_Input!$U:$U,GL_Input!$F:$F,$A76,GL_Input!$X:$X,"S",GL_Input!$Y:$Y,1))</f>
        <v>0</v>
      </c>
      <c r="M76" s="53" t="n">
        <f aca="false">IF($A76="",0,SUMIFS(GL_Input!$U:$U,GL_Input!$F:$F,$A76,GL_Input!$X:$X,"S",GL_Input!$Y:$Y,2))</f>
        <v>0</v>
      </c>
      <c r="N76" s="53" t="n">
        <f aca="false">IF($A76="",0,SUMIFS(GL_Input!$U:$U,GL_Input!$F:$F,$A76,GL_Input!$X:$X,"S",GL_Input!$Y:$Y,3))</f>
        <v>0</v>
      </c>
      <c r="O76" s="54" t="n">
        <f aca="false">SUM(F76:N76)</f>
        <v>0</v>
      </c>
      <c r="P76" s="15" t="str">
        <f aca="false">IF(O76=0,"",IF($D76="","MISSING VAT NO.",IF(OR($C76="",$C76="CY",Counterparties!G76&lt;&gt;"EU"),"NOT AN EU CUSTOMER","OK")))</f>
        <v/>
      </c>
    </row>
    <row r="77" customFormat="false" ht="15" hidden="false" customHeight="false" outlineLevel="0" collapsed="false">
      <c r="A77" s="30" t="str">
        <f aca="false">IF(Counterparties!A77="","",Counterparties!A77)</f>
        <v/>
      </c>
      <c r="B77" s="30" t="str">
        <f aca="false">IF(Counterparties!B77="","",Counterparties!B77)</f>
        <v/>
      </c>
      <c r="C77" s="30" t="str">
        <f aca="false">IF(Counterparties!C77="","",Counterparties!C77)</f>
        <v/>
      </c>
      <c r="D77" s="30" t="str">
        <f aca="false">IF(Counterparties!D77="","",Counterparties!D77)</f>
        <v/>
      </c>
      <c r="E77" s="30" t="str">
        <f aca="false">IF(Counterparties!E77="","",Counterparties!E77)</f>
        <v/>
      </c>
      <c r="F77" s="53" t="n">
        <f aca="false">IF($A77="",0,SUMIFS(GL_Input!$U:$U,GL_Input!$F:$F,$A77,GL_Input!$X:$X,"G",GL_Input!$Y:$Y,1))</f>
        <v>0</v>
      </c>
      <c r="G77" s="53" t="n">
        <f aca="false">IF($A77="",0,SUMIFS(GL_Input!$U:$U,GL_Input!$F:$F,$A77,GL_Input!$X:$X,"G",GL_Input!$Y:$Y,2))</f>
        <v>0</v>
      </c>
      <c r="H77" s="53" t="n">
        <f aca="false">IF($A77="",0,SUMIFS(GL_Input!$U:$U,GL_Input!$F:$F,$A77,GL_Input!$X:$X,"G",GL_Input!$Y:$Y,3))</f>
        <v>0</v>
      </c>
      <c r="I77" s="53" t="n">
        <f aca="false">IF($A77="",0,SUMIFS(GL_Input!$U:$U,GL_Input!$F:$F,$A77,GL_Input!$X:$X,"T",GL_Input!$Y:$Y,1))</f>
        <v>0</v>
      </c>
      <c r="J77" s="53" t="n">
        <f aca="false">IF($A77="",0,SUMIFS(GL_Input!$U:$U,GL_Input!$F:$F,$A77,GL_Input!$X:$X,"T",GL_Input!$Y:$Y,2))</f>
        <v>0</v>
      </c>
      <c r="K77" s="53" t="n">
        <f aca="false">IF($A77="",0,SUMIFS(GL_Input!$U:$U,GL_Input!$F:$F,$A77,GL_Input!$X:$X,"T",GL_Input!$Y:$Y,3))</f>
        <v>0</v>
      </c>
      <c r="L77" s="53" t="n">
        <f aca="false">IF($A77="",0,SUMIFS(GL_Input!$U:$U,GL_Input!$F:$F,$A77,GL_Input!$X:$X,"S",GL_Input!$Y:$Y,1))</f>
        <v>0</v>
      </c>
      <c r="M77" s="53" t="n">
        <f aca="false">IF($A77="",0,SUMIFS(GL_Input!$U:$U,GL_Input!$F:$F,$A77,GL_Input!$X:$X,"S",GL_Input!$Y:$Y,2))</f>
        <v>0</v>
      </c>
      <c r="N77" s="53" t="n">
        <f aca="false">IF($A77="",0,SUMIFS(GL_Input!$U:$U,GL_Input!$F:$F,$A77,GL_Input!$X:$X,"S",GL_Input!$Y:$Y,3))</f>
        <v>0</v>
      </c>
      <c r="O77" s="54" t="n">
        <f aca="false">SUM(F77:N77)</f>
        <v>0</v>
      </c>
      <c r="P77" s="15" t="str">
        <f aca="false">IF(O77=0,"",IF($D77="","MISSING VAT NO.",IF(OR($C77="",$C77="CY",Counterparties!G77&lt;&gt;"EU"),"NOT AN EU CUSTOMER","OK")))</f>
        <v/>
      </c>
    </row>
    <row r="78" customFormat="false" ht="15" hidden="false" customHeight="false" outlineLevel="0" collapsed="false">
      <c r="A78" s="30" t="str">
        <f aca="false">IF(Counterparties!A78="","",Counterparties!A78)</f>
        <v/>
      </c>
      <c r="B78" s="30" t="str">
        <f aca="false">IF(Counterparties!B78="","",Counterparties!B78)</f>
        <v/>
      </c>
      <c r="C78" s="30" t="str">
        <f aca="false">IF(Counterparties!C78="","",Counterparties!C78)</f>
        <v/>
      </c>
      <c r="D78" s="30" t="str">
        <f aca="false">IF(Counterparties!D78="","",Counterparties!D78)</f>
        <v/>
      </c>
      <c r="E78" s="30" t="str">
        <f aca="false">IF(Counterparties!E78="","",Counterparties!E78)</f>
        <v/>
      </c>
      <c r="F78" s="53" t="n">
        <f aca="false">IF($A78="",0,SUMIFS(GL_Input!$U:$U,GL_Input!$F:$F,$A78,GL_Input!$X:$X,"G",GL_Input!$Y:$Y,1))</f>
        <v>0</v>
      </c>
      <c r="G78" s="53" t="n">
        <f aca="false">IF($A78="",0,SUMIFS(GL_Input!$U:$U,GL_Input!$F:$F,$A78,GL_Input!$X:$X,"G",GL_Input!$Y:$Y,2))</f>
        <v>0</v>
      </c>
      <c r="H78" s="53" t="n">
        <f aca="false">IF($A78="",0,SUMIFS(GL_Input!$U:$U,GL_Input!$F:$F,$A78,GL_Input!$X:$X,"G",GL_Input!$Y:$Y,3))</f>
        <v>0</v>
      </c>
      <c r="I78" s="53" t="n">
        <f aca="false">IF($A78="",0,SUMIFS(GL_Input!$U:$U,GL_Input!$F:$F,$A78,GL_Input!$X:$X,"T",GL_Input!$Y:$Y,1))</f>
        <v>0</v>
      </c>
      <c r="J78" s="53" t="n">
        <f aca="false">IF($A78="",0,SUMIFS(GL_Input!$U:$U,GL_Input!$F:$F,$A78,GL_Input!$X:$X,"T",GL_Input!$Y:$Y,2))</f>
        <v>0</v>
      </c>
      <c r="K78" s="53" t="n">
        <f aca="false">IF($A78="",0,SUMIFS(GL_Input!$U:$U,GL_Input!$F:$F,$A78,GL_Input!$X:$X,"T",GL_Input!$Y:$Y,3))</f>
        <v>0</v>
      </c>
      <c r="L78" s="53" t="n">
        <f aca="false">IF($A78="",0,SUMIFS(GL_Input!$U:$U,GL_Input!$F:$F,$A78,GL_Input!$X:$X,"S",GL_Input!$Y:$Y,1))</f>
        <v>0</v>
      </c>
      <c r="M78" s="53" t="n">
        <f aca="false">IF($A78="",0,SUMIFS(GL_Input!$U:$U,GL_Input!$F:$F,$A78,GL_Input!$X:$X,"S",GL_Input!$Y:$Y,2))</f>
        <v>0</v>
      </c>
      <c r="N78" s="53" t="n">
        <f aca="false">IF($A78="",0,SUMIFS(GL_Input!$U:$U,GL_Input!$F:$F,$A78,GL_Input!$X:$X,"S",GL_Input!$Y:$Y,3))</f>
        <v>0</v>
      </c>
      <c r="O78" s="54" t="n">
        <f aca="false">SUM(F78:N78)</f>
        <v>0</v>
      </c>
      <c r="P78" s="15" t="str">
        <f aca="false">IF(O78=0,"",IF($D78="","MISSING VAT NO.",IF(OR($C78="",$C78="CY",Counterparties!G78&lt;&gt;"EU"),"NOT AN EU CUSTOMER","OK")))</f>
        <v/>
      </c>
    </row>
    <row r="79" customFormat="false" ht="15" hidden="false" customHeight="false" outlineLevel="0" collapsed="false">
      <c r="A79" s="30" t="str">
        <f aca="false">IF(Counterparties!A79="","",Counterparties!A79)</f>
        <v/>
      </c>
      <c r="B79" s="30" t="str">
        <f aca="false">IF(Counterparties!B79="","",Counterparties!B79)</f>
        <v/>
      </c>
      <c r="C79" s="30" t="str">
        <f aca="false">IF(Counterparties!C79="","",Counterparties!C79)</f>
        <v/>
      </c>
      <c r="D79" s="30" t="str">
        <f aca="false">IF(Counterparties!D79="","",Counterparties!D79)</f>
        <v/>
      </c>
      <c r="E79" s="30" t="str">
        <f aca="false">IF(Counterparties!E79="","",Counterparties!E79)</f>
        <v/>
      </c>
      <c r="F79" s="53" t="n">
        <f aca="false">IF($A79="",0,SUMIFS(GL_Input!$U:$U,GL_Input!$F:$F,$A79,GL_Input!$X:$X,"G",GL_Input!$Y:$Y,1))</f>
        <v>0</v>
      </c>
      <c r="G79" s="53" t="n">
        <f aca="false">IF($A79="",0,SUMIFS(GL_Input!$U:$U,GL_Input!$F:$F,$A79,GL_Input!$X:$X,"G",GL_Input!$Y:$Y,2))</f>
        <v>0</v>
      </c>
      <c r="H79" s="53" t="n">
        <f aca="false">IF($A79="",0,SUMIFS(GL_Input!$U:$U,GL_Input!$F:$F,$A79,GL_Input!$X:$X,"G",GL_Input!$Y:$Y,3))</f>
        <v>0</v>
      </c>
      <c r="I79" s="53" t="n">
        <f aca="false">IF($A79="",0,SUMIFS(GL_Input!$U:$U,GL_Input!$F:$F,$A79,GL_Input!$X:$X,"T",GL_Input!$Y:$Y,1))</f>
        <v>0</v>
      </c>
      <c r="J79" s="53" t="n">
        <f aca="false">IF($A79="",0,SUMIFS(GL_Input!$U:$U,GL_Input!$F:$F,$A79,GL_Input!$X:$X,"T",GL_Input!$Y:$Y,2))</f>
        <v>0</v>
      </c>
      <c r="K79" s="53" t="n">
        <f aca="false">IF($A79="",0,SUMIFS(GL_Input!$U:$U,GL_Input!$F:$F,$A79,GL_Input!$X:$X,"T",GL_Input!$Y:$Y,3))</f>
        <v>0</v>
      </c>
      <c r="L79" s="53" t="n">
        <f aca="false">IF($A79="",0,SUMIFS(GL_Input!$U:$U,GL_Input!$F:$F,$A79,GL_Input!$X:$X,"S",GL_Input!$Y:$Y,1))</f>
        <v>0</v>
      </c>
      <c r="M79" s="53" t="n">
        <f aca="false">IF($A79="",0,SUMIFS(GL_Input!$U:$U,GL_Input!$F:$F,$A79,GL_Input!$X:$X,"S",GL_Input!$Y:$Y,2))</f>
        <v>0</v>
      </c>
      <c r="N79" s="53" t="n">
        <f aca="false">IF($A79="",0,SUMIFS(GL_Input!$U:$U,GL_Input!$F:$F,$A79,GL_Input!$X:$X,"S",GL_Input!$Y:$Y,3))</f>
        <v>0</v>
      </c>
      <c r="O79" s="54" t="n">
        <f aca="false">SUM(F79:N79)</f>
        <v>0</v>
      </c>
      <c r="P79" s="15" t="str">
        <f aca="false">IF(O79=0,"",IF($D79="","MISSING VAT NO.",IF(OR($C79="",$C79="CY",Counterparties!G79&lt;&gt;"EU"),"NOT AN EU CUSTOMER","OK")))</f>
        <v/>
      </c>
    </row>
    <row r="80" customFormat="false" ht="15" hidden="false" customHeight="false" outlineLevel="0" collapsed="false">
      <c r="A80" s="30" t="str">
        <f aca="false">IF(Counterparties!A80="","",Counterparties!A80)</f>
        <v/>
      </c>
      <c r="B80" s="30" t="str">
        <f aca="false">IF(Counterparties!B80="","",Counterparties!B80)</f>
        <v/>
      </c>
      <c r="C80" s="30" t="str">
        <f aca="false">IF(Counterparties!C80="","",Counterparties!C80)</f>
        <v/>
      </c>
      <c r="D80" s="30" t="str">
        <f aca="false">IF(Counterparties!D80="","",Counterparties!D80)</f>
        <v/>
      </c>
      <c r="E80" s="30" t="str">
        <f aca="false">IF(Counterparties!E80="","",Counterparties!E80)</f>
        <v/>
      </c>
      <c r="F80" s="53" t="n">
        <f aca="false">IF($A80="",0,SUMIFS(GL_Input!$U:$U,GL_Input!$F:$F,$A80,GL_Input!$X:$X,"G",GL_Input!$Y:$Y,1))</f>
        <v>0</v>
      </c>
      <c r="G80" s="53" t="n">
        <f aca="false">IF($A80="",0,SUMIFS(GL_Input!$U:$U,GL_Input!$F:$F,$A80,GL_Input!$X:$X,"G",GL_Input!$Y:$Y,2))</f>
        <v>0</v>
      </c>
      <c r="H80" s="53" t="n">
        <f aca="false">IF($A80="",0,SUMIFS(GL_Input!$U:$U,GL_Input!$F:$F,$A80,GL_Input!$X:$X,"G",GL_Input!$Y:$Y,3))</f>
        <v>0</v>
      </c>
      <c r="I80" s="53" t="n">
        <f aca="false">IF($A80="",0,SUMIFS(GL_Input!$U:$U,GL_Input!$F:$F,$A80,GL_Input!$X:$X,"T",GL_Input!$Y:$Y,1))</f>
        <v>0</v>
      </c>
      <c r="J80" s="53" t="n">
        <f aca="false">IF($A80="",0,SUMIFS(GL_Input!$U:$U,GL_Input!$F:$F,$A80,GL_Input!$X:$X,"T",GL_Input!$Y:$Y,2))</f>
        <v>0</v>
      </c>
      <c r="K80" s="53" t="n">
        <f aca="false">IF($A80="",0,SUMIFS(GL_Input!$U:$U,GL_Input!$F:$F,$A80,GL_Input!$X:$X,"T",GL_Input!$Y:$Y,3))</f>
        <v>0</v>
      </c>
      <c r="L80" s="53" t="n">
        <f aca="false">IF($A80="",0,SUMIFS(GL_Input!$U:$U,GL_Input!$F:$F,$A80,GL_Input!$X:$X,"S",GL_Input!$Y:$Y,1))</f>
        <v>0</v>
      </c>
      <c r="M80" s="53" t="n">
        <f aca="false">IF($A80="",0,SUMIFS(GL_Input!$U:$U,GL_Input!$F:$F,$A80,GL_Input!$X:$X,"S",GL_Input!$Y:$Y,2))</f>
        <v>0</v>
      </c>
      <c r="N80" s="53" t="n">
        <f aca="false">IF($A80="",0,SUMIFS(GL_Input!$U:$U,GL_Input!$F:$F,$A80,GL_Input!$X:$X,"S",GL_Input!$Y:$Y,3))</f>
        <v>0</v>
      </c>
      <c r="O80" s="54" t="n">
        <f aca="false">SUM(F80:N80)</f>
        <v>0</v>
      </c>
      <c r="P80" s="15" t="str">
        <f aca="false">IF(O80=0,"",IF($D80="","MISSING VAT NO.",IF(OR($C80="",$C80="CY",Counterparties!G80&lt;&gt;"EU"),"NOT AN EU CUSTOMER","OK")))</f>
        <v/>
      </c>
    </row>
    <row r="81" customFormat="false" ht="15" hidden="false" customHeight="false" outlineLevel="0" collapsed="false">
      <c r="A81" s="30" t="str">
        <f aca="false">IF(Counterparties!A81="","",Counterparties!A81)</f>
        <v/>
      </c>
      <c r="B81" s="30" t="str">
        <f aca="false">IF(Counterparties!B81="","",Counterparties!B81)</f>
        <v/>
      </c>
      <c r="C81" s="30" t="str">
        <f aca="false">IF(Counterparties!C81="","",Counterparties!C81)</f>
        <v/>
      </c>
      <c r="D81" s="30" t="str">
        <f aca="false">IF(Counterparties!D81="","",Counterparties!D81)</f>
        <v/>
      </c>
      <c r="E81" s="30" t="str">
        <f aca="false">IF(Counterparties!E81="","",Counterparties!E81)</f>
        <v/>
      </c>
      <c r="F81" s="53" t="n">
        <f aca="false">IF($A81="",0,SUMIFS(GL_Input!$U:$U,GL_Input!$F:$F,$A81,GL_Input!$X:$X,"G",GL_Input!$Y:$Y,1))</f>
        <v>0</v>
      </c>
      <c r="G81" s="53" t="n">
        <f aca="false">IF($A81="",0,SUMIFS(GL_Input!$U:$U,GL_Input!$F:$F,$A81,GL_Input!$X:$X,"G",GL_Input!$Y:$Y,2))</f>
        <v>0</v>
      </c>
      <c r="H81" s="53" t="n">
        <f aca="false">IF($A81="",0,SUMIFS(GL_Input!$U:$U,GL_Input!$F:$F,$A81,GL_Input!$X:$X,"G",GL_Input!$Y:$Y,3))</f>
        <v>0</v>
      </c>
      <c r="I81" s="53" t="n">
        <f aca="false">IF($A81="",0,SUMIFS(GL_Input!$U:$U,GL_Input!$F:$F,$A81,GL_Input!$X:$X,"T",GL_Input!$Y:$Y,1))</f>
        <v>0</v>
      </c>
      <c r="J81" s="53" t="n">
        <f aca="false">IF($A81="",0,SUMIFS(GL_Input!$U:$U,GL_Input!$F:$F,$A81,GL_Input!$X:$X,"T",GL_Input!$Y:$Y,2))</f>
        <v>0</v>
      </c>
      <c r="K81" s="53" t="n">
        <f aca="false">IF($A81="",0,SUMIFS(GL_Input!$U:$U,GL_Input!$F:$F,$A81,GL_Input!$X:$X,"T",GL_Input!$Y:$Y,3))</f>
        <v>0</v>
      </c>
      <c r="L81" s="53" t="n">
        <f aca="false">IF($A81="",0,SUMIFS(GL_Input!$U:$U,GL_Input!$F:$F,$A81,GL_Input!$X:$X,"S",GL_Input!$Y:$Y,1))</f>
        <v>0</v>
      </c>
      <c r="M81" s="53" t="n">
        <f aca="false">IF($A81="",0,SUMIFS(GL_Input!$U:$U,GL_Input!$F:$F,$A81,GL_Input!$X:$X,"S",GL_Input!$Y:$Y,2))</f>
        <v>0</v>
      </c>
      <c r="N81" s="53" t="n">
        <f aca="false">IF($A81="",0,SUMIFS(GL_Input!$U:$U,GL_Input!$F:$F,$A81,GL_Input!$X:$X,"S",GL_Input!$Y:$Y,3))</f>
        <v>0</v>
      </c>
      <c r="O81" s="54" t="n">
        <f aca="false">SUM(F81:N81)</f>
        <v>0</v>
      </c>
      <c r="P81" s="15" t="str">
        <f aca="false">IF(O81=0,"",IF($D81="","MISSING VAT NO.",IF(OR($C81="",$C81="CY",Counterparties!G81&lt;&gt;"EU"),"NOT AN EU CUSTOMER","OK")))</f>
        <v/>
      </c>
    </row>
    <row r="82" customFormat="false" ht="15" hidden="false" customHeight="false" outlineLevel="0" collapsed="false">
      <c r="A82" s="30" t="str">
        <f aca="false">IF(Counterparties!A82="","",Counterparties!A82)</f>
        <v/>
      </c>
      <c r="B82" s="30" t="str">
        <f aca="false">IF(Counterparties!B82="","",Counterparties!B82)</f>
        <v/>
      </c>
      <c r="C82" s="30" t="str">
        <f aca="false">IF(Counterparties!C82="","",Counterparties!C82)</f>
        <v/>
      </c>
      <c r="D82" s="30" t="str">
        <f aca="false">IF(Counterparties!D82="","",Counterparties!D82)</f>
        <v/>
      </c>
      <c r="E82" s="30" t="str">
        <f aca="false">IF(Counterparties!E82="","",Counterparties!E82)</f>
        <v/>
      </c>
      <c r="F82" s="53" t="n">
        <f aca="false">IF($A82="",0,SUMIFS(GL_Input!$U:$U,GL_Input!$F:$F,$A82,GL_Input!$X:$X,"G",GL_Input!$Y:$Y,1))</f>
        <v>0</v>
      </c>
      <c r="G82" s="53" t="n">
        <f aca="false">IF($A82="",0,SUMIFS(GL_Input!$U:$U,GL_Input!$F:$F,$A82,GL_Input!$X:$X,"G",GL_Input!$Y:$Y,2))</f>
        <v>0</v>
      </c>
      <c r="H82" s="53" t="n">
        <f aca="false">IF($A82="",0,SUMIFS(GL_Input!$U:$U,GL_Input!$F:$F,$A82,GL_Input!$X:$X,"G",GL_Input!$Y:$Y,3))</f>
        <v>0</v>
      </c>
      <c r="I82" s="53" t="n">
        <f aca="false">IF($A82="",0,SUMIFS(GL_Input!$U:$U,GL_Input!$F:$F,$A82,GL_Input!$X:$X,"T",GL_Input!$Y:$Y,1))</f>
        <v>0</v>
      </c>
      <c r="J82" s="53" t="n">
        <f aca="false">IF($A82="",0,SUMIFS(GL_Input!$U:$U,GL_Input!$F:$F,$A82,GL_Input!$X:$X,"T",GL_Input!$Y:$Y,2))</f>
        <v>0</v>
      </c>
      <c r="K82" s="53" t="n">
        <f aca="false">IF($A82="",0,SUMIFS(GL_Input!$U:$U,GL_Input!$F:$F,$A82,GL_Input!$X:$X,"T",GL_Input!$Y:$Y,3))</f>
        <v>0</v>
      </c>
      <c r="L82" s="53" t="n">
        <f aca="false">IF($A82="",0,SUMIFS(GL_Input!$U:$U,GL_Input!$F:$F,$A82,GL_Input!$X:$X,"S",GL_Input!$Y:$Y,1))</f>
        <v>0</v>
      </c>
      <c r="M82" s="53" t="n">
        <f aca="false">IF($A82="",0,SUMIFS(GL_Input!$U:$U,GL_Input!$F:$F,$A82,GL_Input!$X:$X,"S",GL_Input!$Y:$Y,2))</f>
        <v>0</v>
      </c>
      <c r="N82" s="53" t="n">
        <f aca="false">IF($A82="",0,SUMIFS(GL_Input!$U:$U,GL_Input!$F:$F,$A82,GL_Input!$X:$X,"S",GL_Input!$Y:$Y,3))</f>
        <v>0</v>
      </c>
      <c r="O82" s="54" t="n">
        <f aca="false">SUM(F82:N82)</f>
        <v>0</v>
      </c>
      <c r="P82" s="15" t="str">
        <f aca="false">IF(O82=0,"",IF($D82="","MISSING VAT NO.",IF(OR($C82="",$C82="CY",Counterparties!G82&lt;&gt;"EU"),"NOT AN EU CUSTOMER","OK")))</f>
        <v/>
      </c>
    </row>
    <row r="83" customFormat="false" ht="15" hidden="false" customHeight="false" outlineLevel="0" collapsed="false">
      <c r="A83" s="30" t="str">
        <f aca="false">IF(Counterparties!A83="","",Counterparties!A83)</f>
        <v/>
      </c>
      <c r="B83" s="30" t="str">
        <f aca="false">IF(Counterparties!B83="","",Counterparties!B83)</f>
        <v/>
      </c>
      <c r="C83" s="30" t="str">
        <f aca="false">IF(Counterparties!C83="","",Counterparties!C83)</f>
        <v/>
      </c>
      <c r="D83" s="30" t="str">
        <f aca="false">IF(Counterparties!D83="","",Counterparties!D83)</f>
        <v/>
      </c>
      <c r="E83" s="30" t="str">
        <f aca="false">IF(Counterparties!E83="","",Counterparties!E83)</f>
        <v/>
      </c>
      <c r="F83" s="53" t="n">
        <f aca="false">IF($A83="",0,SUMIFS(GL_Input!$U:$U,GL_Input!$F:$F,$A83,GL_Input!$X:$X,"G",GL_Input!$Y:$Y,1))</f>
        <v>0</v>
      </c>
      <c r="G83" s="53" t="n">
        <f aca="false">IF($A83="",0,SUMIFS(GL_Input!$U:$U,GL_Input!$F:$F,$A83,GL_Input!$X:$X,"G",GL_Input!$Y:$Y,2))</f>
        <v>0</v>
      </c>
      <c r="H83" s="53" t="n">
        <f aca="false">IF($A83="",0,SUMIFS(GL_Input!$U:$U,GL_Input!$F:$F,$A83,GL_Input!$X:$X,"G",GL_Input!$Y:$Y,3))</f>
        <v>0</v>
      </c>
      <c r="I83" s="53" t="n">
        <f aca="false">IF($A83="",0,SUMIFS(GL_Input!$U:$U,GL_Input!$F:$F,$A83,GL_Input!$X:$X,"T",GL_Input!$Y:$Y,1))</f>
        <v>0</v>
      </c>
      <c r="J83" s="53" t="n">
        <f aca="false">IF($A83="",0,SUMIFS(GL_Input!$U:$U,GL_Input!$F:$F,$A83,GL_Input!$X:$X,"T",GL_Input!$Y:$Y,2))</f>
        <v>0</v>
      </c>
      <c r="K83" s="53" t="n">
        <f aca="false">IF($A83="",0,SUMIFS(GL_Input!$U:$U,GL_Input!$F:$F,$A83,GL_Input!$X:$X,"T",GL_Input!$Y:$Y,3))</f>
        <v>0</v>
      </c>
      <c r="L83" s="53" t="n">
        <f aca="false">IF($A83="",0,SUMIFS(GL_Input!$U:$U,GL_Input!$F:$F,$A83,GL_Input!$X:$X,"S",GL_Input!$Y:$Y,1))</f>
        <v>0</v>
      </c>
      <c r="M83" s="53" t="n">
        <f aca="false">IF($A83="",0,SUMIFS(GL_Input!$U:$U,GL_Input!$F:$F,$A83,GL_Input!$X:$X,"S",GL_Input!$Y:$Y,2))</f>
        <v>0</v>
      </c>
      <c r="N83" s="53" t="n">
        <f aca="false">IF($A83="",0,SUMIFS(GL_Input!$U:$U,GL_Input!$F:$F,$A83,GL_Input!$X:$X,"S",GL_Input!$Y:$Y,3))</f>
        <v>0</v>
      </c>
      <c r="O83" s="54" t="n">
        <f aca="false">SUM(F83:N83)</f>
        <v>0</v>
      </c>
      <c r="P83" s="15" t="str">
        <f aca="false">IF(O83=0,"",IF($D83="","MISSING VAT NO.",IF(OR($C83="",$C83="CY",Counterparties!G83&lt;&gt;"EU"),"NOT AN EU CUSTOMER","OK")))</f>
        <v/>
      </c>
    </row>
    <row r="84" customFormat="false" ht="15" hidden="false" customHeight="false" outlineLevel="0" collapsed="false">
      <c r="A84" s="30" t="str">
        <f aca="false">IF(Counterparties!A84="","",Counterparties!A84)</f>
        <v/>
      </c>
      <c r="B84" s="30" t="str">
        <f aca="false">IF(Counterparties!B84="","",Counterparties!B84)</f>
        <v/>
      </c>
      <c r="C84" s="30" t="str">
        <f aca="false">IF(Counterparties!C84="","",Counterparties!C84)</f>
        <v/>
      </c>
      <c r="D84" s="30" t="str">
        <f aca="false">IF(Counterparties!D84="","",Counterparties!D84)</f>
        <v/>
      </c>
      <c r="E84" s="30" t="str">
        <f aca="false">IF(Counterparties!E84="","",Counterparties!E84)</f>
        <v/>
      </c>
      <c r="F84" s="53" t="n">
        <f aca="false">IF($A84="",0,SUMIFS(GL_Input!$U:$U,GL_Input!$F:$F,$A84,GL_Input!$X:$X,"G",GL_Input!$Y:$Y,1))</f>
        <v>0</v>
      </c>
      <c r="G84" s="53" t="n">
        <f aca="false">IF($A84="",0,SUMIFS(GL_Input!$U:$U,GL_Input!$F:$F,$A84,GL_Input!$X:$X,"G",GL_Input!$Y:$Y,2))</f>
        <v>0</v>
      </c>
      <c r="H84" s="53" t="n">
        <f aca="false">IF($A84="",0,SUMIFS(GL_Input!$U:$U,GL_Input!$F:$F,$A84,GL_Input!$X:$X,"G",GL_Input!$Y:$Y,3))</f>
        <v>0</v>
      </c>
      <c r="I84" s="53" t="n">
        <f aca="false">IF($A84="",0,SUMIFS(GL_Input!$U:$U,GL_Input!$F:$F,$A84,GL_Input!$X:$X,"T",GL_Input!$Y:$Y,1))</f>
        <v>0</v>
      </c>
      <c r="J84" s="53" t="n">
        <f aca="false">IF($A84="",0,SUMIFS(GL_Input!$U:$U,GL_Input!$F:$F,$A84,GL_Input!$X:$X,"T",GL_Input!$Y:$Y,2))</f>
        <v>0</v>
      </c>
      <c r="K84" s="53" t="n">
        <f aca="false">IF($A84="",0,SUMIFS(GL_Input!$U:$U,GL_Input!$F:$F,$A84,GL_Input!$X:$X,"T",GL_Input!$Y:$Y,3))</f>
        <v>0</v>
      </c>
      <c r="L84" s="53" t="n">
        <f aca="false">IF($A84="",0,SUMIFS(GL_Input!$U:$U,GL_Input!$F:$F,$A84,GL_Input!$X:$X,"S",GL_Input!$Y:$Y,1))</f>
        <v>0</v>
      </c>
      <c r="M84" s="53" t="n">
        <f aca="false">IF($A84="",0,SUMIFS(GL_Input!$U:$U,GL_Input!$F:$F,$A84,GL_Input!$X:$X,"S",GL_Input!$Y:$Y,2))</f>
        <v>0</v>
      </c>
      <c r="N84" s="53" t="n">
        <f aca="false">IF($A84="",0,SUMIFS(GL_Input!$U:$U,GL_Input!$F:$F,$A84,GL_Input!$X:$X,"S",GL_Input!$Y:$Y,3))</f>
        <v>0</v>
      </c>
      <c r="O84" s="54" t="n">
        <f aca="false">SUM(F84:N84)</f>
        <v>0</v>
      </c>
      <c r="P84" s="15" t="str">
        <f aca="false">IF(O84=0,"",IF($D84="","MISSING VAT NO.",IF(OR($C84="",$C84="CY",Counterparties!G84&lt;&gt;"EU"),"NOT AN EU CUSTOMER","OK")))</f>
        <v/>
      </c>
    </row>
    <row r="85" customFormat="false" ht="15" hidden="false" customHeight="false" outlineLevel="0" collapsed="false">
      <c r="A85" s="30" t="str">
        <f aca="false">IF(Counterparties!A85="","",Counterparties!A85)</f>
        <v/>
      </c>
      <c r="B85" s="30" t="str">
        <f aca="false">IF(Counterparties!B85="","",Counterparties!B85)</f>
        <v/>
      </c>
      <c r="C85" s="30" t="str">
        <f aca="false">IF(Counterparties!C85="","",Counterparties!C85)</f>
        <v/>
      </c>
      <c r="D85" s="30" t="str">
        <f aca="false">IF(Counterparties!D85="","",Counterparties!D85)</f>
        <v/>
      </c>
      <c r="E85" s="30" t="str">
        <f aca="false">IF(Counterparties!E85="","",Counterparties!E85)</f>
        <v/>
      </c>
      <c r="F85" s="53" t="n">
        <f aca="false">IF($A85="",0,SUMIFS(GL_Input!$U:$U,GL_Input!$F:$F,$A85,GL_Input!$X:$X,"G",GL_Input!$Y:$Y,1))</f>
        <v>0</v>
      </c>
      <c r="G85" s="53" t="n">
        <f aca="false">IF($A85="",0,SUMIFS(GL_Input!$U:$U,GL_Input!$F:$F,$A85,GL_Input!$X:$X,"G",GL_Input!$Y:$Y,2))</f>
        <v>0</v>
      </c>
      <c r="H85" s="53" t="n">
        <f aca="false">IF($A85="",0,SUMIFS(GL_Input!$U:$U,GL_Input!$F:$F,$A85,GL_Input!$X:$X,"G",GL_Input!$Y:$Y,3))</f>
        <v>0</v>
      </c>
      <c r="I85" s="53" t="n">
        <f aca="false">IF($A85="",0,SUMIFS(GL_Input!$U:$U,GL_Input!$F:$F,$A85,GL_Input!$X:$X,"T",GL_Input!$Y:$Y,1))</f>
        <v>0</v>
      </c>
      <c r="J85" s="53" t="n">
        <f aca="false">IF($A85="",0,SUMIFS(GL_Input!$U:$U,GL_Input!$F:$F,$A85,GL_Input!$X:$X,"T",GL_Input!$Y:$Y,2))</f>
        <v>0</v>
      </c>
      <c r="K85" s="53" t="n">
        <f aca="false">IF($A85="",0,SUMIFS(GL_Input!$U:$U,GL_Input!$F:$F,$A85,GL_Input!$X:$X,"T",GL_Input!$Y:$Y,3))</f>
        <v>0</v>
      </c>
      <c r="L85" s="53" t="n">
        <f aca="false">IF($A85="",0,SUMIFS(GL_Input!$U:$U,GL_Input!$F:$F,$A85,GL_Input!$X:$X,"S",GL_Input!$Y:$Y,1))</f>
        <v>0</v>
      </c>
      <c r="M85" s="53" t="n">
        <f aca="false">IF($A85="",0,SUMIFS(GL_Input!$U:$U,GL_Input!$F:$F,$A85,GL_Input!$X:$X,"S",GL_Input!$Y:$Y,2))</f>
        <v>0</v>
      </c>
      <c r="N85" s="53" t="n">
        <f aca="false">IF($A85="",0,SUMIFS(GL_Input!$U:$U,GL_Input!$F:$F,$A85,GL_Input!$X:$X,"S",GL_Input!$Y:$Y,3))</f>
        <v>0</v>
      </c>
      <c r="O85" s="54" t="n">
        <f aca="false">SUM(F85:N85)</f>
        <v>0</v>
      </c>
      <c r="P85" s="15" t="str">
        <f aca="false">IF(O85=0,"",IF($D85="","MISSING VAT NO.",IF(OR($C85="",$C85="CY",Counterparties!G85&lt;&gt;"EU"),"NOT AN EU CUSTOMER","OK")))</f>
        <v/>
      </c>
    </row>
    <row r="86" customFormat="false" ht="15" hidden="false" customHeight="false" outlineLevel="0" collapsed="false">
      <c r="A86" s="30" t="str">
        <f aca="false">IF(Counterparties!A86="","",Counterparties!A86)</f>
        <v/>
      </c>
      <c r="B86" s="30" t="str">
        <f aca="false">IF(Counterparties!B86="","",Counterparties!B86)</f>
        <v/>
      </c>
      <c r="C86" s="30" t="str">
        <f aca="false">IF(Counterparties!C86="","",Counterparties!C86)</f>
        <v/>
      </c>
      <c r="D86" s="30" t="str">
        <f aca="false">IF(Counterparties!D86="","",Counterparties!D86)</f>
        <v/>
      </c>
      <c r="E86" s="30" t="str">
        <f aca="false">IF(Counterparties!E86="","",Counterparties!E86)</f>
        <v/>
      </c>
      <c r="F86" s="53" t="n">
        <f aca="false">IF($A86="",0,SUMIFS(GL_Input!$U:$U,GL_Input!$F:$F,$A86,GL_Input!$X:$X,"G",GL_Input!$Y:$Y,1))</f>
        <v>0</v>
      </c>
      <c r="G86" s="53" t="n">
        <f aca="false">IF($A86="",0,SUMIFS(GL_Input!$U:$U,GL_Input!$F:$F,$A86,GL_Input!$X:$X,"G",GL_Input!$Y:$Y,2))</f>
        <v>0</v>
      </c>
      <c r="H86" s="53" t="n">
        <f aca="false">IF($A86="",0,SUMIFS(GL_Input!$U:$U,GL_Input!$F:$F,$A86,GL_Input!$X:$X,"G",GL_Input!$Y:$Y,3))</f>
        <v>0</v>
      </c>
      <c r="I86" s="53" t="n">
        <f aca="false">IF($A86="",0,SUMIFS(GL_Input!$U:$U,GL_Input!$F:$F,$A86,GL_Input!$X:$X,"T",GL_Input!$Y:$Y,1))</f>
        <v>0</v>
      </c>
      <c r="J86" s="53" t="n">
        <f aca="false">IF($A86="",0,SUMIFS(GL_Input!$U:$U,GL_Input!$F:$F,$A86,GL_Input!$X:$X,"T",GL_Input!$Y:$Y,2))</f>
        <v>0</v>
      </c>
      <c r="K86" s="53" t="n">
        <f aca="false">IF($A86="",0,SUMIFS(GL_Input!$U:$U,GL_Input!$F:$F,$A86,GL_Input!$X:$X,"T",GL_Input!$Y:$Y,3))</f>
        <v>0</v>
      </c>
      <c r="L86" s="53" t="n">
        <f aca="false">IF($A86="",0,SUMIFS(GL_Input!$U:$U,GL_Input!$F:$F,$A86,GL_Input!$X:$X,"S",GL_Input!$Y:$Y,1))</f>
        <v>0</v>
      </c>
      <c r="M86" s="53" t="n">
        <f aca="false">IF($A86="",0,SUMIFS(GL_Input!$U:$U,GL_Input!$F:$F,$A86,GL_Input!$X:$X,"S",GL_Input!$Y:$Y,2))</f>
        <v>0</v>
      </c>
      <c r="N86" s="53" t="n">
        <f aca="false">IF($A86="",0,SUMIFS(GL_Input!$U:$U,GL_Input!$F:$F,$A86,GL_Input!$X:$X,"S",GL_Input!$Y:$Y,3))</f>
        <v>0</v>
      </c>
      <c r="O86" s="54" t="n">
        <f aca="false">SUM(F86:N86)</f>
        <v>0</v>
      </c>
      <c r="P86" s="15" t="str">
        <f aca="false">IF(O86=0,"",IF($D86="","MISSING VAT NO.",IF(OR($C86="",$C86="CY",Counterparties!G86&lt;&gt;"EU"),"NOT AN EU CUSTOMER","OK")))</f>
        <v/>
      </c>
    </row>
    <row r="87" customFormat="false" ht="15" hidden="false" customHeight="false" outlineLevel="0" collapsed="false">
      <c r="A87" s="30" t="str">
        <f aca="false">IF(Counterparties!A87="","",Counterparties!A87)</f>
        <v/>
      </c>
      <c r="B87" s="30" t="str">
        <f aca="false">IF(Counterparties!B87="","",Counterparties!B87)</f>
        <v/>
      </c>
      <c r="C87" s="30" t="str">
        <f aca="false">IF(Counterparties!C87="","",Counterparties!C87)</f>
        <v/>
      </c>
      <c r="D87" s="30" t="str">
        <f aca="false">IF(Counterparties!D87="","",Counterparties!D87)</f>
        <v/>
      </c>
      <c r="E87" s="30" t="str">
        <f aca="false">IF(Counterparties!E87="","",Counterparties!E87)</f>
        <v/>
      </c>
      <c r="F87" s="53" t="n">
        <f aca="false">IF($A87="",0,SUMIFS(GL_Input!$U:$U,GL_Input!$F:$F,$A87,GL_Input!$X:$X,"G",GL_Input!$Y:$Y,1))</f>
        <v>0</v>
      </c>
      <c r="G87" s="53" t="n">
        <f aca="false">IF($A87="",0,SUMIFS(GL_Input!$U:$U,GL_Input!$F:$F,$A87,GL_Input!$X:$X,"G",GL_Input!$Y:$Y,2))</f>
        <v>0</v>
      </c>
      <c r="H87" s="53" t="n">
        <f aca="false">IF($A87="",0,SUMIFS(GL_Input!$U:$U,GL_Input!$F:$F,$A87,GL_Input!$X:$X,"G",GL_Input!$Y:$Y,3))</f>
        <v>0</v>
      </c>
      <c r="I87" s="53" t="n">
        <f aca="false">IF($A87="",0,SUMIFS(GL_Input!$U:$U,GL_Input!$F:$F,$A87,GL_Input!$X:$X,"T",GL_Input!$Y:$Y,1))</f>
        <v>0</v>
      </c>
      <c r="J87" s="53" t="n">
        <f aca="false">IF($A87="",0,SUMIFS(GL_Input!$U:$U,GL_Input!$F:$F,$A87,GL_Input!$X:$X,"T",GL_Input!$Y:$Y,2))</f>
        <v>0</v>
      </c>
      <c r="K87" s="53" t="n">
        <f aca="false">IF($A87="",0,SUMIFS(GL_Input!$U:$U,GL_Input!$F:$F,$A87,GL_Input!$X:$X,"T",GL_Input!$Y:$Y,3))</f>
        <v>0</v>
      </c>
      <c r="L87" s="53" t="n">
        <f aca="false">IF($A87="",0,SUMIFS(GL_Input!$U:$U,GL_Input!$F:$F,$A87,GL_Input!$X:$X,"S",GL_Input!$Y:$Y,1))</f>
        <v>0</v>
      </c>
      <c r="M87" s="53" t="n">
        <f aca="false">IF($A87="",0,SUMIFS(GL_Input!$U:$U,GL_Input!$F:$F,$A87,GL_Input!$X:$X,"S",GL_Input!$Y:$Y,2))</f>
        <v>0</v>
      </c>
      <c r="N87" s="53" t="n">
        <f aca="false">IF($A87="",0,SUMIFS(GL_Input!$U:$U,GL_Input!$F:$F,$A87,GL_Input!$X:$X,"S",GL_Input!$Y:$Y,3))</f>
        <v>0</v>
      </c>
      <c r="O87" s="54" t="n">
        <f aca="false">SUM(F87:N87)</f>
        <v>0</v>
      </c>
      <c r="P87" s="15" t="str">
        <f aca="false">IF(O87=0,"",IF($D87="","MISSING VAT NO.",IF(OR($C87="",$C87="CY",Counterparties!G87&lt;&gt;"EU"),"NOT AN EU CUSTOMER","OK")))</f>
        <v/>
      </c>
    </row>
    <row r="88" customFormat="false" ht="15" hidden="false" customHeight="false" outlineLevel="0" collapsed="false">
      <c r="A88" s="30" t="str">
        <f aca="false">IF(Counterparties!A88="","",Counterparties!A88)</f>
        <v/>
      </c>
      <c r="B88" s="30" t="str">
        <f aca="false">IF(Counterparties!B88="","",Counterparties!B88)</f>
        <v/>
      </c>
      <c r="C88" s="30" t="str">
        <f aca="false">IF(Counterparties!C88="","",Counterparties!C88)</f>
        <v/>
      </c>
      <c r="D88" s="30" t="str">
        <f aca="false">IF(Counterparties!D88="","",Counterparties!D88)</f>
        <v/>
      </c>
      <c r="E88" s="30" t="str">
        <f aca="false">IF(Counterparties!E88="","",Counterparties!E88)</f>
        <v/>
      </c>
      <c r="F88" s="53" t="n">
        <f aca="false">IF($A88="",0,SUMIFS(GL_Input!$U:$U,GL_Input!$F:$F,$A88,GL_Input!$X:$X,"G",GL_Input!$Y:$Y,1))</f>
        <v>0</v>
      </c>
      <c r="G88" s="53" t="n">
        <f aca="false">IF($A88="",0,SUMIFS(GL_Input!$U:$U,GL_Input!$F:$F,$A88,GL_Input!$X:$X,"G",GL_Input!$Y:$Y,2))</f>
        <v>0</v>
      </c>
      <c r="H88" s="53" t="n">
        <f aca="false">IF($A88="",0,SUMIFS(GL_Input!$U:$U,GL_Input!$F:$F,$A88,GL_Input!$X:$X,"G",GL_Input!$Y:$Y,3))</f>
        <v>0</v>
      </c>
      <c r="I88" s="53" t="n">
        <f aca="false">IF($A88="",0,SUMIFS(GL_Input!$U:$U,GL_Input!$F:$F,$A88,GL_Input!$X:$X,"T",GL_Input!$Y:$Y,1))</f>
        <v>0</v>
      </c>
      <c r="J88" s="53" t="n">
        <f aca="false">IF($A88="",0,SUMIFS(GL_Input!$U:$U,GL_Input!$F:$F,$A88,GL_Input!$X:$X,"T",GL_Input!$Y:$Y,2))</f>
        <v>0</v>
      </c>
      <c r="K88" s="53" t="n">
        <f aca="false">IF($A88="",0,SUMIFS(GL_Input!$U:$U,GL_Input!$F:$F,$A88,GL_Input!$X:$X,"T",GL_Input!$Y:$Y,3))</f>
        <v>0</v>
      </c>
      <c r="L88" s="53" t="n">
        <f aca="false">IF($A88="",0,SUMIFS(GL_Input!$U:$U,GL_Input!$F:$F,$A88,GL_Input!$X:$X,"S",GL_Input!$Y:$Y,1))</f>
        <v>0</v>
      </c>
      <c r="M88" s="53" t="n">
        <f aca="false">IF($A88="",0,SUMIFS(GL_Input!$U:$U,GL_Input!$F:$F,$A88,GL_Input!$X:$X,"S",GL_Input!$Y:$Y,2))</f>
        <v>0</v>
      </c>
      <c r="N88" s="53" t="n">
        <f aca="false">IF($A88="",0,SUMIFS(GL_Input!$U:$U,GL_Input!$F:$F,$A88,GL_Input!$X:$X,"S",GL_Input!$Y:$Y,3))</f>
        <v>0</v>
      </c>
      <c r="O88" s="54" t="n">
        <f aca="false">SUM(F88:N88)</f>
        <v>0</v>
      </c>
      <c r="P88" s="15" t="str">
        <f aca="false">IF(O88=0,"",IF($D88="","MISSING VAT NO.",IF(OR($C88="",$C88="CY",Counterparties!G88&lt;&gt;"EU"),"NOT AN EU CUSTOMER","OK")))</f>
        <v/>
      </c>
    </row>
    <row r="89" customFormat="false" ht="15" hidden="false" customHeight="false" outlineLevel="0" collapsed="false">
      <c r="A89" s="30" t="str">
        <f aca="false">IF(Counterparties!A89="","",Counterparties!A89)</f>
        <v/>
      </c>
      <c r="B89" s="30" t="str">
        <f aca="false">IF(Counterparties!B89="","",Counterparties!B89)</f>
        <v/>
      </c>
      <c r="C89" s="30" t="str">
        <f aca="false">IF(Counterparties!C89="","",Counterparties!C89)</f>
        <v/>
      </c>
      <c r="D89" s="30" t="str">
        <f aca="false">IF(Counterparties!D89="","",Counterparties!D89)</f>
        <v/>
      </c>
      <c r="E89" s="30" t="str">
        <f aca="false">IF(Counterparties!E89="","",Counterparties!E89)</f>
        <v/>
      </c>
      <c r="F89" s="53" t="n">
        <f aca="false">IF($A89="",0,SUMIFS(GL_Input!$U:$U,GL_Input!$F:$F,$A89,GL_Input!$X:$X,"G",GL_Input!$Y:$Y,1))</f>
        <v>0</v>
      </c>
      <c r="G89" s="53" t="n">
        <f aca="false">IF($A89="",0,SUMIFS(GL_Input!$U:$U,GL_Input!$F:$F,$A89,GL_Input!$X:$X,"G",GL_Input!$Y:$Y,2))</f>
        <v>0</v>
      </c>
      <c r="H89" s="53" t="n">
        <f aca="false">IF($A89="",0,SUMIFS(GL_Input!$U:$U,GL_Input!$F:$F,$A89,GL_Input!$X:$X,"G",GL_Input!$Y:$Y,3))</f>
        <v>0</v>
      </c>
      <c r="I89" s="53" t="n">
        <f aca="false">IF($A89="",0,SUMIFS(GL_Input!$U:$U,GL_Input!$F:$F,$A89,GL_Input!$X:$X,"T",GL_Input!$Y:$Y,1))</f>
        <v>0</v>
      </c>
      <c r="J89" s="53" t="n">
        <f aca="false">IF($A89="",0,SUMIFS(GL_Input!$U:$U,GL_Input!$F:$F,$A89,GL_Input!$X:$X,"T",GL_Input!$Y:$Y,2))</f>
        <v>0</v>
      </c>
      <c r="K89" s="53" t="n">
        <f aca="false">IF($A89="",0,SUMIFS(GL_Input!$U:$U,GL_Input!$F:$F,$A89,GL_Input!$X:$X,"T",GL_Input!$Y:$Y,3))</f>
        <v>0</v>
      </c>
      <c r="L89" s="53" t="n">
        <f aca="false">IF($A89="",0,SUMIFS(GL_Input!$U:$U,GL_Input!$F:$F,$A89,GL_Input!$X:$X,"S",GL_Input!$Y:$Y,1))</f>
        <v>0</v>
      </c>
      <c r="M89" s="53" t="n">
        <f aca="false">IF($A89="",0,SUMIFS(GL_Input!$U:$U,GL_Input!$F:$F,$A89,GL_Input!$X:$X,"S",GL_Input!$Y:$Y,2))</f>
        <v>0</v>
      </c>
      <c r="N89" s="53" t="n">
        <f aca="false">IF($A89="",0,SUMIFS(GL_Input!$U:$U,GL_Input!$F:$F,$A89,GL_Input!$X:$X,"S",GL_Input!$Y:$Y,3))</f>
        <v>0</v>
      </c>
      <c r="O89" s="54" t="n">
        <f aca="false">SUM(F89:N89)</f>
        <v>0</v>
      </c>
      <c r="P89" s="15" t="str">
        <f aca="false">IF(O89=0,"",IF($D89="","MISSING VAT NO.",IF(OR($C89="",$C89="CY",Counterparties!G89&lt;&gt;"EU"),"NOT AN EU CUSTOMER","OK")))</f>
        <v/>
      </c>
    </row>
    <row r="90" customFormat="false" ht="15" hidden="false" customHeight="false" outlineLevel="0" collapsed="false">
      <c r="A90" s="30" t="str">
        <f aca="false">IF(Counterparties!A90="","",Counterparties!A90)</f>
        <v/>
      </c>
      <c r="B90" s="30" t="str">
        <f aca="false">IF(Counterparties!B90="","",Counterparties!B90)</f>
        <v/>
      </c>
      <c r="C90" s="30" t="str">
        <f aca="false">IF(Counterparties!C90="","",Counterparties!C90)</f>
        <v/>
      </c>
      <c r="D90" s="30" t="str">
        <f aca="false">IF(Counterparties!D90="","",Counterparties!D90)</f>
        <v/>
      </c>
      <c r="E90" s="30" t="str">
        <f aca="false">IF(Counterparties!E90="","",Counterparties!E90)</f>
        <v/>
      </c>
      <c r="F90" s="53" t="n">
        <f aca="false">IF($A90="",0,SUMIFS(GL_Input!$U:$U,GL_Input!$F:$F,$A90,GL_Input!$X:$X,"G",GL_Input!$Y:$Y,1))</f>
        <v>0</v>
      </c>
      <c r="G90" s="53" t="n">
        <f aca="false">IF($A90="",0,SUMIFS(GL_Input!$U:$U,GL_Input!$F:$F,$A90,GL_Input!$X:$X,"G",GL_Input!$Y:$Y,2))</f>
        <v>0</v>
      </c>
      <c r="H90" s="53" t="n">
        <f aca="false">IF($A90="",0,SUMIFS(GL_Input!$U:$U,GL_Input!$F:$F,$A90,GL_Input!$X:$X,"G",GL_Input!$Y:$Y,3))</f>
        <v>0</v>
      </c>
      <c r="I90" s="53" t="n">
        <f aca="false">IF($A90="",0,SUMIFS(GL_Input!$U:$U,GL_Input!$F:$F,$A90,GL_Input!$X:$X,"T",GL_Input!$Y:$Y,1))</f>
        <v>0</v>
      </c>
      <c r="J90" s="53" t="n">
        <f aca="false">IF($A90="",0,SUMIFS(GL_Input!$U:$U,GL_Input!$F:$F,$A90,GL_Input!$X:$X,"T",GL_Input!$Y:$Y,2))</f>
        <v>0</v>
      </c>
      <c r="K90" s="53" t="n">
        <f aca="false">IF($A90="",0,SUMIFS(GL_Input!$U:$U,GL_Input!$F:$F,$A90,GL_Input!$X:$X,"T",GL_Input!$Y:$Y,3))</f>
        <v>0</v>
      </c>
      <c r="L90" s="53" t="n">
        <f aca="false">IF($A90="",0,SUMIFS(GL_Input!$U:$U,GL_Input!$F:$F,$A90,GL_Input!$X:$X,"S",GL_Input!$Y:$Y,1))</f>
        <v>0</v>
      </c>
      <c r="M90" s="53" t="n">
        <f aca="false">IF($A90="",0,SUMIFS(GL_Input!$U:$U,GL_Input!$F:$F,$A90,GL_Input!$X:$X,"S",GL_Input!$Y:$Y,2))</f>
        <v>0</v>
      </c>
      <c r="N90" s="53" t="n">
        <f aca="false">IF($A90="",0,SUMIFS(GL_Input!$U:$U,GL_Input!$F:$F,$A90,GL_Input!$X:$X,"S",GL_Input!$Y:$Y,3))</f>
        <v>0</v>
      </c>
      <c r="O90" s="54" t="n">
        <f aca="false">SUM(F90:N90)</f>
        <v>0</v>
      </c>
      <c r="P90" s="15" t="str">
        <f aca="false">IF(O90=0,"",IF($D90="","MISSING VAT NO.",IF(OR($C90="",$C90="CY",Counterparties!G90&lt;&gt;"EU"),"NOT AN EU CUSTOMER","OK")))</f>
        <v/>
      </c>
    </row>
    <row r="91" customFormat="false" ht="15" hidden="false" customHeight="false" outlineLevel="0" collapsed="false">
      <c r="A91" s="30" t="str">
        <f aca="false">IF(Counterparties!A91="","",Counterparties!A91)</f>
        <v/>
      </c>
      <c r="B91" s="30" t="str">
        <f aca="false">IF(Counterparties!B91="","",Counterparties!B91)</f>
        <v/>
      </c>
      <c r="C91" s="30" t="str">
        <f aca="false">IF(Counterparties!C91="","",Counterparties!C91)</f>
        <v/>
      </c>
      <c r="D91" s="30" t="str">
        <f aca="false">IF(Counterparties!D91="","",Counterparties!D91)</f>
        <v/>
      </c>
      <c r="E91" s="30" t="str">
        <f aca="false">IF(Counterparties!E91="","",Counterparties!E91)</f>
        <v/>
      </c>
      <c r="F91" s="53" t="n">
        <f aca="false">IF($A91="",0,SUMIFS(GL_Input!$U:$U,GL_Input!$F:$F,$A91,GL_Input!$X:$X,"G",GL_Input!$Y:$Y,1))</f>
        <v>0</v>
      </c>
      <c r="G91" s="53" t="n">
        <f aca="false">IF($A91="",0,SUMIFS(GL_Input!$U:$U,GL_Input!$F:$F,$A91,GL_Input!$X:$X,"G",GL_Input!$Y:$Y,2))</f>
        <v>0</v>
      </c>
      <c r="H91" s="53" t="n">
        <f aca="false">IF($A91="",0,SUMIFS(GL_Input!$U:$U,GL_Input!$F:$F,$A91,GL_Input!$X:$X,"G",GL_Input!$Y:$Y,3))</f>
        <v>0</v>
      </c>
      <c r="I91" s="53" t="n">
        <f aca="false">IF($A91="",0,SUMIFS(GL_Input!$U:$U,GL_Input!$F:$F,$A91,GL_Input!$X:$X,"T",GL_Input!$Y:$Y,1))</f>
        <v>0</v>
      </c>
      <c r="J91" s="53" t="n">
        <f aca="false">IF($A91="",0,SUMIFS(GL_Input!$U:$U,GL_Input!$F:$F,$A91,GL_Input!$X:$X,"T",GL_Input!$Y:$Y,2))</f>
        <v>0</v>
      </c>
      <c r="K91" s="53" t="n">
        <f aca="false">IF($A91="",0,SUMIFS(GL_Input!$U:$U,GL_Input!$F:$F,$A91,GL_Input!$X:$X,"T",GL_Input!$Y:$Y,3))</f>
        <v>0</v>
      </c>
      <c r="L91" s="53" t="n">
        <f aca="false">IF($A91="",0,SUMIFS(GL_Input!$U:$U,GL_Input!$F:$F,$A91,GL_Input!$X:$X,"S",GL_Input!$Y:$Y,1))</f>
        <v>0</v>
      </c>
      <c r="M91" s="53" t="n">
        <f aca="false">IF($A91="",0,SUMIFS(GL_Input!$U:$U,GL_Input!$F:$F,$A91,GL_Input!$X:$X,"S",GL_Input!$Y:$Y,2))</f>
        <v>0</v>
      </c>
      <c r="N91" s="53" t="n">
        <f aca="false">IF($A91="",0,SUMIFS(GL_Input!$U:$U,GL_Input!$F:$F,$A91,GL_Input!$X:$X,"S",GL_Input!$Y:$Y,3))</f>
        <v>0</v>
      </c>
      <c r="O91" s="54" t="n">
        <f aca="false">SUM(F91:N91)</f>
        <v>0</v>
      </c>
      <c r="P91" s="15" t="str">
        <f aca="false">IF(O91=0,"",IF($D91="","MISSING VAT NO.",IF(OR($C91="",$C91="CY",Counterparties!G91&lt;&gt;"EU"),"NOT AN EU CUSTOMER","OK")))</f>
        <v/>
      </c>
    </row>
    <row r="92" customFormat="false" ht="15" hidden="false" customHeight="false" outlineLevel="0" collapsed="false">
      <c r="A92" s="30" t="str">
        <f aca="false">IF(Counterparties!A92="","",Counterparties!A92)</f>
        <v/>
      </c>
      <c r="B92" s="30" t="str">
        <f aca="false">IF(Counterparties!B92="","",Counterparties!B92)</f>
        <v/>
      </c>
      <c r="C92" s="30" t="str">
        <f aca="false">IF(Counterparties!C92="","",Counterparties!C92)</f>
        <v/>
      </c>
      <c r="D92" s="30" t="str">
        <f aca="false">IF(Counterparties!D92="","",Counterparties!D92)</f>
        <v/>
      </c>
      <c r="E92" s="30" t="str">
        <f aca="false">IF(Counterparties!E92="","",Counterparties!E92)</f>
        <v/>
      </c>
      <c r="F92" s="53" t="n">
        <f aca="false">IF($A92="",0,SUMIFS(GL_Input!$U:$U,GL_Input!$F:$F,$A92,GL_Input!$X:$X,"G",GL_Input!$Y:$Y,1))</f>
        <v>0</v>
      </c>
      <c r="G92" s="53" t="n">
        <f aca="false">IF($A92="",0,SUMIFS(GL_Input!$U:$U,GL_Input!$F:$F,$A92,GL_Input!$X:$X,"G",GL_Input!$Y:$Y,2))</f>
        <v>0</v>
      </c>
      <c r="H92" s="53" t="n">
        <f aca="false">IF($A92="",0,SUMIFS(GL_Input!$U:$U,GL_Input!$F:$F,$A92,GL_Input!$X:$X,"G",GL_Input!$Y:$Y,3))</f>
        <v>0</v>
      </c>
      <c r="I92" s="53" t="n">
        <f aca="false">IF($A92="",0,SUMIFS(GL_Input!$U:$U,GL_Input!$F:$F,$A92,GL_Input!$X:$X,"T",GL_Input!$Y:$Y,1))</f>
        <v>0</v>
      </c>
      <c r="J92" s="53" t="n">
        <f aca="false">IF($A92="",0,SUMIFS(GL_Input!$U:$U,GL_Input!$F:$F,$A92,GL_Input!$X:$X,"T",GL_Input!$Y:$Y,2))</f>
        <v>0</v>
      </c>
      <c r="K92" s="53" t="n">
        <f aca="false">IF($A92="",0,SUMIFS(GL_Input!$U:$U,GL_Input!$F:$F,$A92,GL_Input!$X:$X,"T",GL_Input!$Y:$Y,3))</f>
        <v>0</v>
      </c>
      <c r="L92" s="53" t="n">
        <f aca="false">IF($A92="",0,SUMIFS(GL_Input!$U:$U,GL_Input!$F:$F,$A92,GL_Input!$X:$X,"S",GL_Input!$Y:$Y,1))</f>
        <v>0</v>
      </c>
      <c r="M92" s="53" t="n">
        <f aca="false">IF($A92="",0,SUMIFS(GL_Input!$U:$U,GL_Input!$F:$F,$A92,GL_Input!$X:$X,"S",GL_Input!$Y:$Y,2))</f>
        <v>0</v>
      </c>
      <c r="N92" s="53" t="n">
        <f aca="false">IF($A92="",0,SUMIFS(GL_Input!$U:$U,GL_Input!$F:$F,$A92,GL_Input!$X:$X,"S",GL_Input!$Y:$Y,3))</f>
        <v>0</v>
      </c>
      <c r="O92" s="54" t="n">
        <f aca="false">SUM(F92:N92)</f>
        <v>0</v>
      </c>
      <c r="P92" s="15" t="str">
        <f aca="false">IF(O92=0,"",IF($D92="","MISSING VAT NO.",IF(OR($C92="",$C92="CY",Counterparties!G92&lt;&gt;"EU"),"NOT AN EU CUSTOMER","OK")))</f>
        <v/>
      </c>
    </row>
    <row r="93" customFormat="false" ht="15" hidden="false" customHeight="false" outlineLevel="0" collapsed="false">
      <c r="A93" s="30" t="str">
        <f aca="false">IF(Counterparties!A93="","",Counterparties!A93)</f>
        <v/>
      </c>
      <c r="B93" s="30" t="str">
        <f aca="false">IF(Counterparties!B93="","",Counterparties!B93)</f>
        <v/>
      </c>
      <c r="C93" s="30" t="str">
        <f aca="false">IF(Counterparties!C93="","",Counterparties!C93)</f>
        <v/>
      </c>
      <c r="D93" s="30" t="str">
        <f aca="false">IF(Counterparties!D93="","",Counterparties!D93)</f>
        <v/>
      </c>
      <c r="E93" s="30" t="str">
        <f aca="false">IF(Counterparties!E93="","",Counterparties!E93)</f>
        <v/>
      </c>
      <c r="F93" s="53" t="n">
        <f aca="false">IF($A93="",0,SUMIFS(GL_Input!$U:$U,GL_Input!$F:$F,$A93,GL_Input!$X:$X,"G",GL_Input!$Y:$Y,1))</f>
        <v>0</v>
      </c>
      <c r="G93" s="53" t="n">
        <f aca="false">IF($A93="",0,SUMIFS(GL_Input!$U:$U,GL_Input!$F:$F,$A93,GL_Input!$X:$X,"G",GL_Input!$Y:$Y,2))</f>
        <v>0</v>
      </c>
      <c r="H93" s="53" t="n">
        <f aca="false">IF($A93="",0,SUMIFS(GL_Input!$U:$U,GL_Input!$F:$F,$A93,GL_Input!$X:$X,"G",GL_Input!$Y:$Y,3))</f>
        <v>0</v>
      </c>
      <c r="I93" s="53" t="n">
        <f aca="false">IF($A93="",0,SUMIFS(GL_Input!$U:$U,GL_Input!$F:$F,$A93,GL_Input!$X:$X,"T",GL_Input!$Y:$Y,1))</f>
        <v>0</v>
      </c>
      <c r="J93" s="53" t="n">
        <f aca="false">IF($A93="",0,SUMIFS(GL_Input!$U:$U,GL_Input!$F:$F,$A93,GL_Input!$X:$X,"T",GL_Input!$Y:$Y,2))</f>
        <v>0</v>
      </c>
      <c r="K93" s="53" t="n">
        <f aca="false">IF($A93="",0,SUMIFS(GL_Input!$U:$U,GL_Input!$F:$F,$A93,GL_Input!$X:$X,"T",GL_Input!$Y:$Y,3))</f>
        <v>0</v>
      </c>
      <c r="L93" s="53" t="n">
        <f aca="false">IF($A93="",0,SUMIFS(GL_Input!$U:$U,GL_Input!$F:$F,$A93,GL_Input!$X:$X,"S",GL_Input!$Y:$Y,1))</f>
        <v>0</v>
      </c>
      <c r="M93" s="53" t="n">
        <f aca="false">IF($A93="",0,SUMIFS(GL_Input!$U:$U,GL_Input!$F:$F,$A93,GL_Input!$X:$X,"S",GL_Input!$Y:$Y,2))</f>
        <v>0</v>
      </c>
      <c r="N93" s="53" t="n">
        <f aca="false">IF($A93="",0,SUMIFS(GL_Input!$U:$U,GL_Input!$F:$F,$A93,GL_Input!$X:$X,"S",GL_Input!$Y:$Y,3))</f>
        <v>0</v>
      </c>
      <c r="O93" s="54" t="n">
        <f aca="false">SUM(F93:N93)</f>
        <v>0</v>
      </c>
      <c r="P93" s="15" t="str">
        <f aca="false">IF(O93=0,"",IF($D93="","MISSING VAT NO.",IF(OR($C93="",$C93="CY",Counterparties!G93&lt;&gt;"EU"),"NOT AN EU CUSTOMER","OK")))</f>
        <v/>
      </c>
    </row>
    <row r="94" customFormat="false" ht="15" hidden="false" customHeight="false" outlineLevel="0" collapsed="false">
      <c r="A94" s="30" t="str">
        <f aca="false">IF(Counterparties!A94="","",Counterparties!A94)</f>
        <v/>
      </c>
      <c r="B94" s="30" t="str">
        <f aca="false">IF(Counterparties!B94="","",Counterparties!B94)</f>
        <v/>
      </c>
      <c r="C94" s="30" t="str">
        <f aca="false">IF(Counterparties!C94="","",Counterparties!C94)</f>
        <v/>
      </c>
      <c r="D94" s="30" t="str">
        <f aca="false">IF(Counterparties!D94="","",Counterparties!D94)</f>
        <v/>
      </c>
      <c r="E94" s="30" t="str">
        <f aca="false">IF(Counterparties!E94="","",Counterparties!E94)</f>
        <v/>
      </c>
      <c r="F94" s="53" t="n">
        <f aca="false">IF($A94="",0,SUMIFS(GL_Input!$U:$U,GL_Input!$F:$F,$A94,GL_Input!$X:$X,"G",GL_Input!$Y:$Y,1))</f>
        <v>0</v>
      </c>
      <c r="G94" s="53" t="n">
        <f aca="false">IF($A94="",0,SUMIFS(GL_Input!$U:$U,GL_Input!$F:$F,$A94,GL_Input!$X:$X,"G",GL_Input!$Y:$Y,2))</f>
        <v>0</v>
      </c>
      <c r="H94" s="53" t="n">
        <f aca="false">IF($A94="",0,SUMIFS(GL_Input!$U:$U,GL_Input!$F:$F,$A94,GL_Input!$X:$X,"G",GL_Input!$Y:$Y,3))</f>
        <v>0</v>
      </c>
      <c r="I94" s="53" t="n">
        <f aca="false">IF($A94="",0,SUMIFS(GL_Input!$U:$U,GL_Input!$F:$F,$A94,GL_Input!$X:$X,"T",GL_Input!$Y:$Y,1))</f>
        <v>0</v>
      </c>
      <c r="J94" s="53" t="n">
        <f aca="false">IF($A94="",0,SUMIFS(GL_Input!$U:$U,GL_Input!$F:$F,$A94,GL_Input!$X:$X,"T",GL_Input!$Y:$Y,2))</f>
        <v>0</v>
      </c>
      <c r="K94" s="53" t="n">
        <f aca="false">IF($A94="",0,SUMIFS(GL_Input!$U:$U,GL_Input!$F:$F,$A94,GL_Input!$X:$X,"T",GL_Input!$Y:$Y,3))</f>
        <v>0</v>
      </c>
      <c r="L94" s="53" t="n">
        <f aca="false">IF($A94="",0,SUMIFS(GL_Input!$U:$U,GL_Input!$F:$F,$A94,GL_Input!$X:$X,"S",GL_Input!$Y:$Y,1))</f>
        <v>0</v>
      </c>
      <c r="M94" s="53" t="n">
        <f aca="false">IF($A94="",0,SUMIFS(GL_Input!$U:$U,GL_Input!$F:$F,$A94,GL_Input!$X:$X,"S",GL_Input!$Y:$Y,2))</f>
        <v>0</v>
      </c>
      <c r="N94" s="53" t="n">
        <f aca="false">IF($A94="",0,SUMIFS(GL_Input!$U:$U,GL_Input!$F:$F,$A94,GL_Input!$X:$X,"S",GL_Input!$Y:$Y,3))</f>
        <v>0</v>
      </c>
      <c r="O94" s="54" t="n">
        <f aca="false">SUM(F94:N94)</f>
        <v>0</v>
      </c>
      <c r="P94" s="15" t="str">
        <f aca="false">IF(O94=0,"",IF($D94="","MISSING VAT NO.",IF(OR($C94="",$C94="CY",Counterparties!G94&lt;&gt;"EU"),"NOT AN EU CUSTOMER","OK")))</f>
        <v/>
      </c>
    </row>
    <row r="95" customFormat="false" ht="15" hidden="false" customHeight="false" outlineLevel="0" collapsed="false">
      <c r="A95" s="30" t="str">
        <f aca="false">IF(Counterparties!A95="","",Counterparties!A95)</f>
        <v/>
      </c>
      <c r="B95" s="30" t="str">
        <f aca="false">IF(Counterparties!B95="","",Counterparties!B95)</f>
        <v/>
      </c>
      <c r="C95" s="30" t="str">
        <f aca="false">IF(Counterparties!C95="","",Counterparties!C95)</f>
        <v/>
      </c>
      <c r="D95" s="30" t="str">
        <f aca="false">IF(Counterparties!D95="","",Counterparties!D95)</f>
        <v/>
      </c>
      <c r="E95" s="30" t="str">
        <f aca="false">IF(Counterparties!E95="","",Counterparties!E95)</f>
        <v/>
      </c>
      <c r="F95" s="53" t="n">
        <f aca="false">IF($A95="",0,SUMIFS(GL_Input!$U:$U,GL_Input!$F:$F,$A95,GL_Input!$X:$X,"G",GL_Input!$Y:$Y,1))</f>
        <v>0</v>
      </c>
      <c r="G95" s="53" t="n">
        <f aca="false">IF($A95="",0,SUMIFS(GL_Input!$U:$U,GL_Input!$F:$F,$A95,GL_Input!$X:$X,"G",GL_Input!$Y:$Y,2))</f>
        <v>0</v>
      </c>
      <c r="H95" s="53" t="n">
        <f aca="false">IF($A95="",0,SUMIFS(GL_Input!$U:$U,GL_Input!$F:$F,$A95,GL_Input!$X:$X,"G",GL_Input!$Y:$Y,3))</f>
        <v>0</v>
      </c>
      <c r="I95" s="53" t="n">
        <f aca="false">IF($A95="",0,SUMIFS(GL_Input!$U:$U,GL_Input!$F:$F,$A95,GL_Input!$X:$X,"T",GL_Input!$Y:$Y,1))</f>
        <v>0</v>
      </c>
      <c r="J95" s="53" t="n">
        <f aca="false">IF($A95="",0,SUMIFS(GL_Input!$U:$U,GL_Input!$F:$F,$A95,GL_Input!$X:$X,"T",GL_Input!$Y:$Y,2))</f>
        <v>0</v>
      </c>
      <c r="K95" s="53" t="n">
        <f aca="false">IF($A95="",0,SUMIFS(GL_Input!$U:$U,GL_Input!$F:$F,$A95,GL_Input!$X:$X,"T",GL_Input!$Y:$Y,3))</f>
        <v>0</v>
      </c>
      <c r="L95" s="53" t="n">
        <f aca="false">IF($A95="",0,SUMIFS(GL_Input!$U:$U,GL_Input!$F:$F,$A95,GL_Input!$X:$X,"S",GL_Input!$Y:$Y,1))</f>
        <v>0</v>
      </c>
      <c r="M95" s="53" t="n">
        <f aca="false">IF($A95="",0,SUMIFS(GL_Input!$U:$U,GL_Input!$F:$F,$A95,GL_Input!$X:$X,"S",GL_Input!$Y:$Y,2))</f>
        <v>0</v>
      </c>
      <c r="N95" s="53" t="n">
        <f aca="false">IF($A95="",0,SUMIFS(GL_Input!$U:$U,GL_Input!$F:$F,$A95,GL_Input!$X:$X,"S",GL_Input!$Y:$Y,3))</f>
        <v>0</v>
      </c>
      <c r="O95" s="54" t="n">
        <f aca="false">SUM(F95:N95)</f>
        <v>0</v>
      </c>
      <c r="P95" s="15" t="str">
        <f aca="false">IF(O95=0,"",IF($D95="","MISSING VAT NO.",IF(OR($C95="",$C95="CY",Counterparties!G95&lt;&gt;"EU"),"NOT AN EU CUSTOMER","OK")))</f>
        <v/>
      </c>
    </row>
    <row r="96" customFormat="false" ht="15" hidden="false" customHeight="false" outlineLevel="0" collapsed="false">
      <c r="A96" s="30" t="str">
        <f aca="false">IF(Counterparties!A96="","",Counterparties!A96)</f>
        <v/>
      </c>
      <c r="B96" s="30" t="str">
        <f aca="false">IF(Counterparties!B96="","",Counterparties!B96)</f>
        <v/>
      </c>
      <c r="C96" s="30" t="str">
        <f aca="false">IF(Counterparties!C96="","",Counterparties!C96)</f>
        <v/>
      </c>
      <c r="D96" s="30" t="str">
        <f aca="false">IF(Counterparties!D96="","",Counterparties!D96)</f>
        <v/>
      </c>
      <c r="E96" s="30" t="str">
        <f aca="false">IF(Counterparties!E96="","",Counterparties!E96)</f>
        <v/>
      </c>
      <c r="F96" s="53" t="n">
        <f aca="false">IF($A96="",0,SUMIFS(GL_Input!$U:$U,GL_Input!$F:$F,$A96,GL_Input!$X:$X,"G",GL_Input!$Y:$Y,1))</f>
        <v>0</v>
      </c>
      <c r="G96" s="53" t="n">
        <f aca="false">IF($A96="",0,SUMIFS(GL_Input!$U:$U,GL_Input!$F:$F,$A96,GL_Input!$X:$X,"G",GL_Input!$Y:$Y,2))</f>
        <v>0</v>
      </c>
      <c r="H96" s="53" t="n">
        <f aca="false">IF($A96="",0,SUMIFS(GL_Input!$U:$U,GL_Input!$F:$F,$A96,GL_Input!$X:$X,"G",GL_Input!$Y:$Y,3))</f>
        <v>0</v>
      </c>
      <c r="I96" s="53" t="n">
        <f aca="false">IF($A96="",0,SUMIFS(GL_Input!$U:$U,GL_Input!$F:$F,$A96,GL_Input!$X:$X,"T",GL_Input!$Y:$Y,1))</f>
        <v>0</v>
      </c>
      <c r="J96" s="53" t="n">
        <f aca="false">IF($A96="",0,SUMIFS(GL_Input!$U:$U,GL_Input!$F:$F,$A96,GL_Input!$X:$X,"T",GL_Input!$Y:$Y,2))</f>
        <v>0</v>
      </c>
      <c r="K96" s="53" t="n">
        <f aca="false">IF($A96="",0,SUMIFS(GL_Input!$U:$U,GL_Input!$F:$F,$A96,GL_Input!$X:$X,"T",GL_Input!$Y:$Y,3))</f>
        <v>0</v>
      </c>
      <c r="L96" s="53" t="n">
        <f aca="false">IF($A96="",0,SUMIFS(GL_Input!$U:$U,GL_Input!$F:$F,$A96,GL_Input!$X:$X,"S",GL_Input!$Y:$Y,1))</f>
        <v>0</v>
      </c>
      <c r="M96" s="53" t="n">
        <f aca="false">IF($A96="",0,SUMIFS(GL_Input!$U:$U,GL_Input!$F:$F,$A96,GL_Input!$X:$X,"S",GL_Input!$Y:$Y,2))</f>
        <v>0</v>
      </c>
      <c r="N96" s="53" t="n">
        <f aca="false">IF($A96="",0,SUMIFS(GL_Input!$U:$U,GL_Input!$F:$F,$A96,GL_Input!$X:$X,"S",GL_Input!$Y:$Y,3))</f>
        <v>0</v>
      </c>
      <c r="O96" s="54" t="n">
        <f aca="false">SUM(F96:N96)</f>
        <v>0</v>
      </c>
      <c r="P96" s="15" t="str">
        <f aca="false">IF(O96=0,"",IF($D96="","MISSING VAT NO.",IF(OR($C96="",$C96="CY",Counterparties!G96&lt;&gt;"EU"),"NOT AN EU CUSTOMER","OK")))</f>
        <v/>
      </c>
    </row>
    <row r="97" customFormat="false" ht="15" hidden="false" customHeight="false" outlineLevel="0" collapsed="false">
      <c r="A97" s="30" t="str">
        <f aca="false">IF(Counterparties!A97="","",Counterparties!A97)</f>
        <v/>
      </c>
      <c r="B97" s="30" t="str">
        <f aca="false">IF(Counterparties!B97="","",Counterparties!B97)</f>
        <v/>
      </c>
      <c r="C97" s="30" t="str">
        <f aca="false">IF(Counterparties!C97="","",Counterparties!C97)</f>
        <v/>
      </c>
      <c r="D97" s="30" t="str">
        <f aca="false">IF(Counterparties!D97="","",Counterparties!D97)</f>
        <v/>
      </c>
      <c r="E97" s="30" t="str">
        <f aca="false">IF(Counterparties!E97="","",Counterparties!E97)</f>
        <v/>
      </c>
      <c r="F97" s="53" t="n">
        <f aca="false">IF($A97="",0,SUMIFS(GL_Input!$U:$U,GL_Input!$F:$F,$A97,GL_Input!$X:$X,"G",GL_Input!$Y:$Y,1))</f>
        <v>0</v>
      </c>
      <c r="G97" s="53" t="n">
        <f aca="false">IF($A97="",0,SUMIFS(GL_Input!$U:$U,GL_Input!$F:$F,$A97,GL_Input!$X:$X,"G",GL_Input!$Y:$Y,2))</f>
        <v>0</v>
      </c>
      <c r="H97" s="53" t="n">
        <f aca="false">IF($A97="",0,SUMIFS(GL_Input!$U:$U,GL_Input!$F:$F,$A97,GL_Input!$X:$X,"G",GL_Input!$Y:$Y,3))</f>
        <v>0</v>
      </c>
      <c r="I97" s="53" t="n">
        <f aca="false">IF($A97="",0,SUMIFS(GL_Input!$U:$U,GL_Input!$F:$F,$A97,GL_Input!$X:$X,"T",GL_Input!$Y:$Y,1))</f>
        <v>0</v>
      </c>
      <c r="J97" s="53" t="n">
        <f aca="false">IF($A97="",0,SUMIFS(GL_Input!$U:$U,GL_Input!$F:$F,$A97,GL_Input!$X:$X,"T",GL_Input!$Y:$Y,2))</f>
        <v>0</v>
      </c>
      <c r="K97" s="53" t="n">
        <f aca="false">IF($A97="",0,SUMIFS(GL_Input!$U:$U,GL_Input!$F:$F,$A97,GL_Input!$X:$X,"T",GL_Input!$Y:$Y,3))</f>
        <v>0</v>
      </c>
      <c r="L97" s="53" t="n">
        <f aca="false">IF($A97="",0,SUMIFS(GL_Input!$U:$U,GL_Input!$F:$F,$A97,GL_Input!$X:$X,"S",GL_Input!$Y:$Y,1))</f>
        <v>0</v>
      </c>
      <c r="M97" s="53" t="n">
        <f aca="false">IF($A97="",0,SUMIFS(GL_Input!$U:$U,GL_Input!$F:$F,$A97,GL_Input!$X:$X,"S",GL_Input!$Y:$Y,2))</f>
        <v>0</v>
      </c>
      <c r="N97" s="53" t="n">
        <f aca="false">IF($A97="",0,SUMIFS(GL_Input!$U:$U,GL_Input!$F:$F,$A97,GL_Input!$X:$X,"S",GL_Input!$Y:$Y,3))</f>
        <v>0</v>
      </c>
      <c r="O97" s="54" t="n">
        <f aca="false">SUM(F97:N97)</f>
        <v>0</v>
      </c>
      <c r="P97" s="15" t="str">
        <f aca="false">IF(O97=0,"",IF($D97="","MISSING VAT NO.",IF(OR($C97="",$C97="CY",Counterparties!G97&lt;&gt;"EU"),"NOT AN EU CUSTOMER","OK")))</f>
        <v/>
      </c>
    </row>
    <row r="98" customFormat="false" ht="15" hidden="false" customHeight="false" outlineLevel="0" collapsed="false">
      <c r="A98" s="30" t="str">
        <f aca="false">IF(Counterparties!A98="","",Counterparties!A98)</f>
        <v/>
      </c>
      <c r="B98" s="30" t="str">
        <f aca="false">IF(Counterparties!B98="","",Counterparties!B98)</f>
        <v/>
      </c>
      <c r="C98" s="30" t="str">
        <f aca="false">IF(Counterparties!C98="","",Counterparties!C98)</f>
        <v/>
      </c>
      <c r="D98" s="30" t="str">
        <f aca="false">IF(Counterparties!D98="","",Counterparties!D98)</f>
        <v/>
      </c>
      <c r="E98" s="30" t="str">
        <f aca="false">IF(Counterparties!E98="","",Counterparties!E98)</f>
        <v/>
      </c>
      <c r="F98" s="53" t="n">
        <f aca="false">IF($A98="",0,SUMIFS(GL_Input!$U:$U,GL_Input!$F:$F,$A98,GL_Input!$X:$X,"G",GL_Input!$Y:$Y,1))</f>
        <v>0</v>
      </c>
      <c r="G98" s="53" t="n">
        <f aca="false">IF($A98="",0,SUMIFS(GL_Input!$U:$U,GL_Input!$F:$F,$A98,GL_Input!$X:$X,"G",GL_Input!$Y:$Y,2))</f>
        <v>0</v>
      </c>
      <c r="H98" s="53" t="n">
        <f aca="false">IF($A98="",0,SUMIFS(GL_Input!$U:$U,GL_Input!$F:$F,$A98,GL_Input!$X:$X,"G",GL_Input!$Y:$Y,3))</f>
        <v>0</v>
      </c>
      <c r="I98" s="53" t="n">
        <f aca="false">IF($A98="",0,SUMIFS(GL_Input!$U:$U,GL_Input!$F:$F,$A98,GL_Input!$X:$X,"T",GL_Input!$Y:$Y,1))</f>
        <v>0</v>
      </c>
      <c r="J98" s="53" t="n">
        <f aca="false">IF($A98="",0,SUMIFS(GL_Input!$U:$U,GL_Input!$F:$F,$A98,GL_Input!$X:$X,"T",GL_Input!$Y:$Y,2))</f>
        <v>0</v>
      </c>
      <c r="K98" s="53" t="n">
        <f aca="false">IF($A98="",0,SUMIFS(GL_Input!$U:$U,GL_Input!$F:$F,$A98,GL_Input!$X:$X,"T",GL_Input!$Y:$Y,3))</f>
        <v>0</v>
      </c>
      <c r="L98" s="53" t="n">
        <f aca="false">IF($A98="",0,SUMIFS(GL_Input!$U:$U,GL_Input!$F:$F,$A98,GL_Input!$X:$X,"S",GL_Input!$Y:$Y,1))</f>
        <v>0</v>
      </c>
      <c r="M98" s="53" t="n">
        <f aca="false">IF($A98="",0,SUMIFS(GL_Input!$U:$U,GL_Input!$F:$F,$A98,GL_Input!$X:$X,"S",GL_Input!$Y:$Y,2))</f>
        <v>0</v>
      </c>
      <c r="N98" s="53" t="n">
        <f aca="false">IF($A98="",0,SUMIFS(GL_Input!$U:$U,GL_Input!$F:$F,$A98,GL_Input!$X:$X,"S",GL_Input!$Y:$Y,3))</f>
        <v>0</v>
      </c>
      <c r="O98" s="54" t="n">
        <f aca="false">SUM(F98:N98)</f>
        <v>0</v>
      </c>
      <c r="P98" s="15" t="str">
        <f aca="false">IF(O98=0,"",IF($D98="","MISSING VAT NO.",IF(OR($C98="",$C98="CY",Counterparties!G98&lt;&gt;"EU"),"NOT AN EU CUSTOMER","OK")))</f>
        <v/>
      </c>
    </row>
    <row r="99" customFormat="false" ht="15" hidden="false" customHeight="false" outlineLevel="0" collapsed="false">
      <c r="A99" s="30" t="str">
        <f aca="false">IF(Counterparties!A99="","",Counterparties!A99)</f>
        <v/>
      </c>
      <c r="B99" s="30" t="str">
        <f aca="false">IF(Counterparties!B99="","",Counterparties!B99)</f>
        <v/>
      </c>
      <c r="C99" s="30" t="str">
        <f aca="false">IF(Counterparties!C99="","",Counterparties!C99)</f>
        <v/>
      </c>
      <c r="D99" s="30" t="str">
        <f aca="false">IF(Counterparties!D99="","",Counterparties!D99)</f>
        <v/>
      </c>
      <c r="E99" s="30" t="str">
        <f aca="false">IF(Counterparties!E99="","",Counterparties!E99)</f>
        <v/>
      </c>
      <c r="F99" s="53" t="n">
        <f aca="false">IF($A99="",0,SUMIFS(GL_Input!$U:$U,GL_Input!$F:$F,$A99,GL_Input!$X:$X,"G",GL_Input!$Y:$Y,1))</f>
        <v>0</v>
      </c>
      <c r="G99" s="53" t="n">
        <f aca="false">IF($A99="",0,SUMIFS(GL_Input!$U:$U,GL_Input!$F:$F,$A99,GL_Input!$X:$X,"G",GL_Input!$Y:$Y,2))</f>
        <v>0</v>
      </c>
      <c r="H99" s="53" t="n">
        <f aca="false">IF($A99="",0,SUMIFS(GL_Input!$U:$U,GL_Input!$F:$F,$A99,GL_Input!$X:$X,"G",GL_Input!$Y:$Y,3))</f>
        <v>0</v>
      </c>
      <c r="I99" s="53" t="n">
        <f aca="false">IF($A99="",0,SUMIFS(GL_Input!$U:$U,GL_Input!$F:$F,$A99,GL_Input!$X:$X,"T",GL_Input!$Y:$Y,1))</f>
        <v>0</v>
      </c>
      <c r="J99" s="53" t="n">
        <f aca="false">IF($A99="",0,SUMIFS(GL_Input!$U:$U,GL_Input!$F:$F,$A99,GL_Input!$X:$X,"T",GL_Input!$Y:$Y,2))</f>
        <v>0</v>
      </c>
      <c r="K99" s="53" t="n">
        <f aca="false">IF($A99="",0,SUMIFS(GL_Input!$U:$U,GL_Input!$F:$F,$A99,GL_Input!$X:$X,"T",GL_Input!$Y:$Y,3))</f>
        <v>0</v>
      </c>
      <c r="L99" s="53" t="n">
        <f aca="false">IF($A99="",0,SUMIFS(GL_Input!$U:$U,GL_Input!$F:$F,$A99,GL_Input!$X:$X,"S",GL_Input!$Y:$Y,1))</f>
        <v>0</v>
      </c>
      <c r="M99" s="53" t="n">
        <f aca="false">IF($A99="",0,SUMIFS(GL_Input!$U:$U,GL_Input!$F:$F,$A99,GL_Input!$X:$X,"S",GL_Input!$Y:$Y,2))</f>
        <v>0</v>
      </c>
      <c r="N99" s="53" t="n">
        <f aca="false">IF($A99="",0,SUMIFS(GL_Input!$U:$U,GL_Input!$F:$F,$A99,GL_Input!$X:$X,"S",GL_Input!$Y:$Y,3))</f>
        <v>0</v>
      </c>
      <c r="O99" s="54" t="n">
        <f aca="false">SUM(F99:N99)</f>
        <v>0</v>
      </c>
      <c r="P99" s="15" t="str">
        <f aca="false">IF(O99=0,"",IF($D99="","MISSING VAT NO.",IF(OR($C99="",$C99="CY",Counterparties!G99&lt;&gt;"EU"),"NOT AN EU CUSTOMER","OK")))</f>
        <v/>
      </c>
    </row>
    <row r="100" customFormat="false" ht="15" hidden="false" customHeight="false" outlineLevel="0" collapsed="false">
      <c r="A100" s="30" t="str">
        <f aca="false">IF(Counterparties!A100="","",Counterparties!A100)</f>
        <v/>
      </c>
      <c r="B100" s="30" t="str">
        <f aca="false">IF(Counterparties!B100="","",Counterparties!B100)</f>
        <v/>
      </c>
      <c r="C100" s="30" t="str">
        <f aca="false">IF(Counterparties!C100="","",Counterparties!C100)</f>
        <v/>
      </c>
      <c r="D100" s="30" t="str">
        <f aca="false">IF(Counterparties!D100="","",Counterparties!D100)</f>
        <v/>
      </c>
      <c r="E100" s="30" t="str">
        <f aca="false">IF(Counterparties!E100="","",Counterparties!E100)</f>
        <v/>
      </c>
      <c r="F100" s="53" t="n">
        <f aca="false">IF($A100="",0,SUMIFS(GL_Input!$U:$U,GL_Input!$F:$F,$A100,GL_Input!$X:$X,"G",GL_Input!$Y:$Y,1))</f>
        <v>0</v>
      </c>
      <c r="G100" s="53" t="n">
        <f aca="false">IF($A100="",0,SUMIFS(GL_Input!$U:$U,GL_Input!$F:$F,$A100,GL_Input!$X:$X,"G",GL_Input!$Y:$Y,2))</f>
        <v>0</v>
      </c>
      <c r="H100" s="53" t="n">
        <f aca="false">IF($A100="",0,SUMIFS(GL_Input!$U:$U,GL_Input!$F:$F,$A100,GL_Input!$X:$X,"G",GL_Input!$Y:$Y,3))</f>
        <v>0</v>
      </c>
      <c r="I100" s="53" t="n">
        <f aca="false">IF($A100="",0,SUMIFS(GL_Input!$U:$U,GL_Input!$F:$F,$A100,GL_Input!$X:$X,"T",GL_Input!$Y:$Y,1))</f>
        <v>0</v>
      </c>
      <c r="J100" s="53" t="n">
        <f aca="false">IF($A100="",0,SUMIFS(GL_Input!$U:$U,GL_Input!$F:$F,$A100,GL_Input!$X:$X,"T",GL_Input!$Y:$Y,2))</f>
        <v>0</v>
      </c>
      <c r="K100" s="53" t="n">
        <f aca="false">IF($A100="",0,SUMIFS(GL_Input!$U:$U,GL_Input!$F:$F,$A100,GL_Input!$X:$X,"T",GL_Input!$Y:$Y,3))</f>
        <v>0</v>
      </c>
      <c r="L100" s="53" t="n">
        <f aca="false">IF($A100="",0,SUMIFS(GL_Input!$U:$U,GL_Input!$F:$F,$A100,GL_Input!$X:$X,"S",GL_Input!$Y:$Y,1))</f>
        <v>0</v>
      </c>
      <c r="M100" s="53" t="n">
        <f aca="false">IF($A100="",0,SUMIFS(GL_Input!$U:$U,GL_Input!$F:$F,$A100,GL_Input!$X:$X,"S",GL_Input!$Y:$Y,2))</f>
        <v>0</v>
      </c>
      <c r="N100" s="53" t="n">
        <f aca="false">IF($A100="",0,SUMIFS(GL_Input!$U:$U,GL_Input!$F:$F,$A100,GL_Input!$X:$X,"S",GL_Input!$Y:$Y,3))</f>
        <v>0</v>
      </c>
      <c r="O100" s="54" t="n">
        <f aca="false">SUM(F100:N100)</f>
        <v>0</v>
      </c>
      <c r="P100" s="15" t="str">
        <f aca="false">IF(O100=0,"",IF($D100="","MISSING VAT NO.",IF(OR($C100="",$C100="CY",Counterparties!G100&lt;&gt;"EU"),"NOT AN EU CUSTOMER","OK")))</f>
        <v/>
      </c>
    </row>
    <row r="101" customFormat="false" ht="15" hidden="false" customHeight="false" outlineLevel="0" collapsed="false">
      <c r="A101" s="30" t="str">
        <f aca="false">IF(Counterparties!A101="","",Counterparties!A101)</f>
        <v/>
      </c>
      <c r="B101" s="30" t="str">
        <f aca="false">IF(Counterparties!B101="","",Counterparties!B101)</f>
        <v/>
      </c>
      <c r="C101" s="30" t="str">
        <f aca="false">IF(Counterparties!C101="","",Counterparties!C101)</f>
        <v/>
      </c>
      <c r="D101" s="30" t="str">
        <f aca="false">IF(Counterparties!D101="","",Counterparties!D101)</f>
        <v/>
      </c>
      <c r="E101" s="30" t="str">
        <f aca="false">IF(Counterparties!E101="","",Counterparties!E101)</f>
        <v/>
      </c>
      <c r="F101" s="53" t="n">
        <f aca="false">IF($A101="",0,SUMIFS(GL_Input!$U:$U,GL_Input!$F:$F,$A101,GL_Input!$X:$X,"G",GL_Input!$Y:$Y,1))</f>
        <v>0</v>
      </c>
      <c r="G101" s="53" t="n">
        <f aca="false">IF($A101="",0,SUMIFS(GL_Input!$U:$U,GL_Input!$F:$F,$A101,GL_Input!$X:$X,"G",GL_Input!$Y:$Y,2))</f>
        <v>0</v>
      </c>
      <c r="H101" s="53" t="n">
        <f aca="false">IF($A101="",0,SUMIFS(GL_Input!$U:$U,GL_Input!$F:$F,$A101,GL_Input!$X:$X,"G",GL_Input!$Y:$Y,3))</f>
        <v>0</v>
      </c>
      <c r="I101" s="53" t="n">
        <f aca="false">IF($A101="",0,SUMIFS(GL_Input!$U:$U,GL_Input!$F:$F,$A101,GL_Input!$X:$X,"T",GL_Input!$Y:$Y,1))</f>
        <v>0</v>
      </c>
      <c r="J101" s="53" t="n">
        <f aca="false">IF($A101="",0,SUMIFS(GL_Input!$U:$U,GL_Input!$F:$F,$A101,GL_Input!$X:$X,"T",GL_Input!$Y:$Y,2))</f>
        <v>0</v>
      </c>
      <c r="K101" s="53" t="n">
        <f aca="false">IF($A101="",0,SUMIFS(GL_Input!$U:$U,GL_Input!$F:$F,$A101,GL_Input!$X:$X,"T",GL_Input!$Y:$Y,3))</f>
        <v>0</v>
      </c>
      <c r="L101" s="53" t="n">
        <f aca="false">IF($A101="",0,SUMIFS(GL_Input!$U:$U,GL_Input!$F:$F,$A101,GL_Input!$X:$X,"S",GL_Input!$Y:$Y,1))</f>
        <v>0</v>
      </c>
      <c r="M101" s="53" t="n">
        <f aca="false">IF($A101="",0,SUMIFS(GL_Input!$U:$U,GL_Input!$F:$F,$A101,GL_Input!$X:$X,"S",GL_Input!$Y:$Y,2))</f>
        <v>0</v>
      </c>
      <c r="N101" s="53" t="n">
        <f aca="false">IF($A101="",0,SUMIFS(GL_Input!$U:$U,GL_Input!$F:$F,$A101,GL_Input!$X:$X,"S",GL_Input!$Y:$Y,3))</f>
        <v>0</v>
      </c>
      <c r="O101" s="54" t="n">
        <f aca="false">SUM(F101:N101)</f>
        <v>0</v>
      </c>
      <c r="P101" s="15" t="str">
        <f aca="false">IF(O101=0,"",IF($D101="","MISSING VAT NO.",IF(OR($C101="",$C101="CY",Counterparties!G101&lt;&gt;"EU"),"NOT AN EU CUSTOMER","OK")))</f>
        <v/>
      </c>
    </row>
    <row r="102" customFormat="false" ht="15" hidden="false" customHeight="false" outlineLevel="0" collapsed="false">
      <c r="A102" s="30" t="str">
        <f aca="false">IF(Counterparties!A102="","",Counterparties!A102)</f>
        <v/>
      </c>
      <c r="B102" s="30" t="str">
        <f aca="false">IF(Counterparties!B102="","",Counterparties!B102)</f>
        <v/>
      </c>
      <c r="C102" s="30" t="str">
        <f aca="false">IF(Counterparties!C102="","",Counterparties!C102)</f>
        <v/>
      </c>
      <c r="D102" s="30" t="str">
        <f aca="false">IF(Counterparties!D102="","",Counterparties!D102)</f>
        <v/>
      </c>
      <c r="E102" s="30" t="str">
        <f aca="false">IF(Counterparties!E102="","",Counterparties!E102)</f>
        <v/>
      </c>
      <c r="F102" s="53" t="n">
        <f aca="false">IF($A102="",0,SUMIFS(GL_Input!$U:$U,GL_Input!$F:$F,$A102,GL_Input!$X:$X,"G",GL_Input!$Y:$Y,1))</f>
        <v>0</v>
      </c>
      <c r="G102" s="53" t="n">
        <f aca="false">IF($A102="",0,SUMIFS(GL_Input!$U:$U,GL_Input!$F:$F,$A102,GL_Input!$X:$X,"G",GL_Input!$Y:$Y,2))</f>
        <v>0</v>
      </c>
      <c r="H102" s="53" t="n">
        <f aca="false">IF($A102="",0,SUMIFS(GL_Input!$U:$U,GL_Input!$F:$F,$A102,GL_Input!$X:$X,"G",GL_Input!$Y:$Y,3))</f>
        <v>0</v>
      </c>
      <c r="I102" s="53" t="n">
        <f aca="false">IF($A102="",0,SUMIFS(GL_Input!$U:$U,GL_Input!$F:$F,$A102,GL_Input!$X:$X,"T",GL_Input!$Y:$Y,1))</f>
        <v>0</v>
      </c>
      <c r="J102" s="53" t="n">
        <f aca="false">IF($A102="",0,SUMIFS(GL_Input!$U:$U,GL_Input!$F:$F,$A102,GL_Input!$X:$X,"T",GL_Input!$Y:$Y,2))</f>
        <v>0</v>
      </c>
      <c r="K102" s="53" t="n">
        <f aca="false">IF($A102="",0,SUMIFS(GL_Input!$U:$U,GL_Input!$F:$F,$A102,GL_Input!$X:$X,"T",GL_Input!$Y:$Y,3))</f>
        <v>0</v>
      </c>
      <c r="L102" s="53" t="n">
        <f aca="false">IF($A102="",0,SUMIFS(GL_Input!$U:$U,GL_Input!$F:$F,$A102,GL_Input!$X:$X,"S",GL_Input!$Y:$Y,1))</f>
        <v>0</v>
      </c>
      <c r="M102" s="53" t="n">
        <f aca="false">IF($A102="",0,SUMIFS(GL_Input!$U:$U,GL_Input!$F:$F,$A102,GL_Input!$X:$X,"S",GL_Input!$Y:$Y,2))</f>
        <v>0</v>
      </c>
      <c r="N102" s="53" t="n">
        <f aca="false">IF($A102="",0,SUMIFS(GL_Input!$U:$U,GL_Input!$F:$F,$A102,GL_Input!$X:$X,"S",GL_Input!$Y:$Y,3))</f>
        <v>0</v>
      </c>
      <c r="O102" s="54" t="n">
        <f aca="false">SUM(F102:N102)</f>
        <v>0</v>
      </c>
      <c r="P102" s="15" t="str">
        <f aca="false">IF(O102=0,"",IF($D102="","MISSING VAT NO.",IF(OR($C102="",$C102="CY",Counterparties!G102&lt;&gt;"EU"),"NOT AN EU CUSTOMER","OK")))</f>
        <v/>
      </c>
    </row>
    <row r="103" customFormat="false" ht="15" hidden="false" customHeight="false" outlineLevel="0" collapsed="false">
      <c r="A103" s="30" t="str">
        <f aca="false">IF(Counterparties!A103="","",Counterparties!A103)</f>
        <v/>
      </c>
      <c r="B103" s="30" t="str">
        <f aca="false">IF(Counterparties!B103="","",Counterparties!B103)</f>
        <v/>
      </c>
      <c r="C103" s="30" t="str">
        <f aca="false">IF(Counterparties!C103="","",Counterparties!C103)</f>
        <v/>
      </c>
      <c r="D103" s="30" t="str">
        <f aca="false">IF(Counterparties!D103="","",Counterparties!D103)</f>
        <v/>
      </c>
      <c r="E103" s="30" t="str">
        <f aca="false">IF(Counterparties!E103="","",Counterparties!E103)</f>
        <v/>
      </c>
      <c r="F103" s="53" t="n">
        <f aca="false">IF($A103="",0,SUMIFS(GL_Input!$U:$U,GL_Input!$F:$F,$A103,GL_Input!$X:$X,"G",GL_Input!$Y:$Y,1))</f>
        <v>0</v>
      </c>
      <c r="G103" s="53" t="n">
        <f aca="false">IF($A103="",0,SUMIFS(GL_Input!$U:$U,GL_Input!$F:$F,$A103,GL_Input!$X:$X,"G",GL_Input!$Y:$Y,2))</f>
        <v>0</v>
      </c>
      <c r="H103" s="53" t="n">
        <f aca="false">IF($A103="",0,SUMIFS(GL_Input!$U:$U,GL_Input!$F:$F,$A103,GL_Input!$X:$X,"G",GL_Input!$Y:$Y,3))</f>
        <v>0</v>
      </c>
      <c r="I103" s="53" t="n">
        <f aca="false">IF($A103="",0,SUMIFS(GL_Input!$U:$U,GL_Input!$F:$F,$A103,GL_Input!$X:$X,"T",GL_Input!$Y:$Y,1))</f>
        <v>0</v>
      </c>
      <c r="J103" s="53" t="n">
        <f aca="false">IF($A103="",0,SUMIFS(GL_Input!$U:$U,GL_Input!$F:$F,$A103,GL_Input!$X:$X,"T",GL_Input!$Y:$Y,2))</f>
        <v>0</v>
      </c>
      <c r="K103" s="53" t="n">
        <f aca="false">IF($A103="",0,SUMIFS(GL_Input!$U:$U,GL_Input!$F:$F,$A103,GL_Input!$X:$X,"T",GL_Input!$Y:$Y,3))</f>
        <v>0</v>
      </c>
      <c r="L103" s="53" t="n">
        <f aca="false">IF($A103="",0,SUMIFS(GL_Input!$U:$U,GL_Input!$F:$F,$A103,GL_Input!$X:$X,"S",GL_Input!$Y:$Y,1))</f>
        <v>0</v>
      </c>
      <c r="M103" s="53" t="n">
        <f aca="false">IF($A103="",0,SUMIFS(GL_Input!$U:$U,GL_Input!$F:$F,$A103,GL_Input!$X:$X,"S",GL_Input!$Y:$Y,2))</f>
        <v>0</v>
      </c>
      <c r="N103" s="53" t="n">
        <f aca="false">IF($A103="",0,SUMIFS(GL_Input!$U:$U,GL_Input!$F:$F,$A103,GL_Input!$X:$X,"S",GL_Input!$Y:$Y,3))</f>
        <v>0</v>
      </c>
      <c r="O103" s="54" t="n">
        <f aca="false">SUM(F103:N103)</f>
        <v>0</v>
      </c>
      <c r="P103" s="15" t="str">
        <f aca="false">IF(O103=0,"",IF($D103="","MISSING VAT NO.",IF(OR($C103="",$C103="CY",Counterparties!G103&lt;&gt;"EU"),"NOT AN EU CUSTOMER","OK")))</f>
        <v/>
      </c>
    </row>
    <row r="104" customFormat="false" ht="15" hidden="false" customHeight="false" outlineLevel="0" collapsed="false">
      <c r="A104" s="30" t="str">
        <f aca="false">IF(Counterparties!A104="","",Counterparties!A104)</f>
        <v/>
      </c>
      <c r="B104" s="30" t="str">
        <f aca="false">IF(Counterparties!B104="","",Counterparties!B104)</f>
        <v/>
      </c>
      <c r="C104" s="30" t="str">
        <f aca="false">IF(Counterparties!C104="","",Counterparties!C104)</f>
        <v/>
      </c>
      <c r="D104" s="30" t="str">
        <f aca="false">IF(Counterparties!D104="","",Counterparties!D104)</f>
        <v/>
      </c>
      <c r="E104" s="30" t="str">
        <f aca="false">IF(Counterparties!E104="","",Counterparties!E104)</f>
        <v/>
      </c>
      <c r="F104" s="53" t="n">
        <f aca="false">IF($A104="",0,SUMIFS(GL_Input!$U:$U,GL_Input!$F:$F,$A104,GL_Input!$X:$X,"G",GL_Input!$Y:$Y,1))</f>
        <v>0</v>
      </c>
      <c r="G104" s="53" t="n">
        <f aca="false">IF($A104="",0,SUMIFS(GL_Input!$U:$U,GL_Input!$F:$F,$A104,GL_Input!$X:$X,"G",GL_Input!$Y:$Y,2))</f>
        <v>0</v>
      </c>
      <c r="H104" s="53" t="n">
        <f aca="false">IF($A104="",0,SUMIFS(GL_Input!$U:$U,GL_Input!$F:$F,$A104,GL_Input!$X:$X,"G",GL_Input!$Y:$Y,3))</f>
        <v>0</v>
      </c>
      <c r="I104" s="53" t="n">
        <f aca="false">IF($A104="",0,SUMIFS(GL_Input!$U:$U,GL_Input!$F:$F,$A104,GL_Input!$X:$X,"T",GL_Input!$Y:$Y,1))</f>
        <v>0</v>
      </c>
      <c r="J104" s="53" t="n">
        <f aca="false">IF($A104="",0,SUMIFS(GL_Input!$U:$U,GL_Input!$F:$F,$A104,GL_Input!$X:$X,"T",GL_Input!$Y:$Y,2))</f>
        <v>0</v>
      </c>
      <c r="K104" s="53" t="n">
        <f aca="false">IF($A104="",0,SUMIFS(GL_Input!$U:$U,GL_Input!$F:$F,$A104,GL_Input!$X:$X,"T",GL_Input!$Y:$Y,3))</f>
        <v>0</v>
      </c>
      <c r="L104" s="53" t="n">
        <f aca="false">IF($A104="",0,SUMIFS(GL_Input!$U:$U,GL_Input!$F:$F,$A104,GL_Input!$X:$X,"S",GL_Input!$Y:$Y,1))</f>
        <v>0</v>
      </c>
      <c r="M104" s="53" t="n">
        <f aca="false">IF($A104="",0,SUMIFS(GL_Input!$U:$U,GL_Input!$F:$F,$A104,GL_Input!$X:$X,"S",GL_Input!$Y:$Y,2))</f>
        <v>0</v>
      </c>
      <c r="N104" s="53" t="n">
        <f aca="false">IF($A104="",0,SUMIFS(GL_Input!$U:$U,GL_Input!$F:$F,$A104,GL_Input!$X:$X,"S",GL_Input!$Y:$Y,3))</f>
        <v>0</v>
      </c>
      <c r="O104" s="54" t="n">
        <f aca="false">SUM(F104:N104)</f>
        <v>0</v>
      </c>
      <c r="P104" s="15" t="str">
        <f aca="false">IF(O104=0,"",IF($D104="","MISSING VAT NO.",IF(OR($C104="",$C104="CY",Counterparties!G104&lt;&gt;"EU"),"NOT AN EU CUSTOMER","OK")))</f>
        <v/>
      </c>
    </row>
    <row r="105" customFormat="false" ht="15" hidden="false" customHeight="false" outlineLevel="0" collapsed="false">
      <c r="A105" s="30" t="str">
        <f aca="false">IF(Counterparties!A105="","",Counterparties!A105)</f>
        <v/>
      </c>
      <c r="B105" s="30" t="str">
        <f aca="false">IF(Counterparties!B105="","",Counterparties!B105)</f>
        <v/>
      </c>
      <c r="C105" s="30" t="str">
        <f aca="false">IF(Counterparties!C105="","",Counterparties!C105)</f>
        <v/>
      </c>
      <c r="D105" s="30" t="str">
        <f aca="false">IF(Counterparties!D105="","",Counterparties!D105)</f>
        <v/>
      </c>
      <c r="E105" s="30" t="str">
        <f aca="false">IF(Counterparties!E105="","",Counterparties!E105)</f>
        <v/>
      </c>
      <c r="F105" s="53" t="n">
        <f aca="false">IF($A105="",0,SUMIFS(GL_Input!$U:$U,GL_Input!$F:$F,$A105,GL_Input!$X:$X,"G",GL_Input!$Y:$Y,1))</f>
        <v>0</v>
      </c>
      <c r="G105" s="53" t="n">
        <f aca="false">IF($A105="",0,SUMIFS(GL_Input!$U:$U,GL_Input!$F:$F,$A105,GL_Input!$X:$X,"G",GL_Input!$Y:$Y,2))</f>
        <v>0</v>
      </c>
      <c r="H105" s="53" t="n">
        <f aca="false">IF($A105="",0,SUMIFS(GL_Input!$U:$U,GL_Input!$F:$F,$A105,GL_Input!$X:$X,"G",GL_Input!$Y:$Y,3))</f>
        <v>0</v>
      </c>
      <c r="I105" s="53" t="n">
        <f aca="false">IF($A105="",0,SUMIFS(GL_Input!$U:$U,GL_Input!$F:$F,$A105,GL_Input!$X:$X,"T",GL_Input!$Y:$Y,1))</f>
        <v>0</v>
      </c>
      <c r="J105" s="53" t="n">
        <f aca="false">IF($A105="",0,SUMIFS(GL_Input!$U:$U,GL_Input!$F:$F,$A105,GL_Input!$X:$X,"T",GL_Input!$Y:$Y,2))</f>
        <v>0</v>
      </c>
      <c r="K105" s="53" t="n">
        <f aca="false">IF($A105="",0,SUMIFS(GL_Input!$U:$U,GL_Input!$F:$F,$A105,GL_Input!$X:$X,"T",GL_Input!$Y:$Y,3))</f>
        <v>0</v>
      </c>
      <c r="L105" s="53" t="n">
        <f aca="false">IF($A105="",0,SUMIFS(GL_Input!$U:$U,GL_Input!$F:$F,$A105,GL_Input!$X:$X,"S",GL_Input!$Y:$Y,1))</f>
        <v>0</v>
      </c>
      <c r="M105" s="53" t="n">
        <f aca="false">IF($A105="",0,SUMIFS(GL_Input!$U:$U,GL_Input!$F:$F,$A105,GL_Input!$X:$X,"S",GL_Input!$Y:$Y,2))</f>
        <v>0</v>
      </c>
      <c r="N105" s="53" t="n">
        <f aca="false">IF($A105="",0,SUMIFS(GL_Input!$U:$U,GL_Input!$F:$F,$A105,GL_Input!$X:$X,"S",GL_Input!$Y:$Y,3))</f>
        <v>0</v>
      </c>
      <c r="O105" s="54" t="n">
        <f aca="false">SUM(F105:N105)</f>
        <v>0</v>
      </c>
      <c r="P105" s="15" t="str">
        <f aca="false">IF(O105=0,"",IF($D105="","MISSING VAT NO.",IF(OR($C105="",$C105="CY",Counterparties!G105&lt;&gt;"EU"),"NOT AN EU CUSTOMER","OK")))</f>
        <v/>
      </c>
    </row>
    <row r="106" customFormat="false" ht="15" hidden="false" customHeight="false" outlineLevel="0" collapsed="false">
      <c r="A106" s="30" t="str">
        <f aca="false">IF(Counterparties!A106="","",Counterparties!A106)</f>
        <v/>
      </c>
      <c r="B106" s="30" t="str">
        <f aca="false">IF(Counterparties!B106="","",Counterparties!B106)</f>
        <v/>
      </c>
      <c r="C106" s="30" t="str">
        <f aca="false">IF(Counterparties!C106="","",Counterparties!C106)</f>
        <v/>
      </c>
      <c r="D106" s="30" t="str">
        <f aca="false">IF(Counterparties!D106="","",Counterparties!D106)</f>
        <v/>
      </c>
      <c r="E106" s="30" t="str">
        <f aca="false">IF(Counterparties!E106="","",Counterparties!E106)</f>
        <v/>
      </c>
      <c r="F106" s="53" t="n">
        <f aca="false">IF($A106="",0,SUMIFS(GL_Input!$U:$U,GL_Input!$F:$F,$A106,GL_Input!$X:$X,"G",GL_Input!$Y:$Y,1))</f>
        <v>0</v>
      </c>
      <c r="G106" s="53" t="n">
        <f aca="false">IF($A106="",0,SUMIFS(GL_Input!$U:$U,GL_Input!$F:$F,$A106,GL_Input!$X:$X,"G",GL_Input!$Y:$Y,2))</f>
        <v>0</v>
      </c>
      <c r="H106" s="53" t="n">
        <f aca="false">IF($A106="",0,SUMIFS(GL_Input!$U:$U,GL_Input!$F:$F,$A106,GL_Input!$X:$X,"G",GL_Input!$Y:$Y,3))</f>
        <v>0</v>
      </c>
      <c r="I106" s="53" t="n">
        <f aca="false">IF($A106="",0,SUMIFS(GL_Input!$U:$U,GL_Input!$F:$F,$A106,GL_Input!$X:$X,"T",GL_Input!$Y:$Y,1))</f>
        <v>0</v>
      </c>
      <c r="J106" s="53" t="n">
        <f aca="false">IF($A106="",0,SUMIFS(GL_Input!$U:$U,GL_Input!$F:$F,$A106,GL_Input!$X:$X,"T",GL_Input!$Y:$Y,2))</f>
        <v>0</v>
      </c>
      <c r="K106" s="53" t="n">
        <f aca="false">IF($A106="",0,SUMIFS(GL_Input!$U:$U,GL_Input!$F:$F,$A106,GL_Input!$X:$X,"T",GL_Input!$Y:$Y,3))</f>
        <v>0</v>
      </c>
      <c r="L106" s="53" t="n">
        <f aca="false">IF($A106="",0,SUMIFS(GL_Input!$U:$U,GL_Input!$F:$F,$A106,GL_Input!$X:$X,"S",GL_Input!$Y:$Y,1))</f>
        <v>0</v>
      </c>
      <c r="M106" s="53" t="n">
        <f aca="false">IF($A106="",0,SUMIFS(GL_Input!$U:$U,GL_Input!$F:$F,$A106,GL_Input!$X:$X,"S",GL_Input!$Y:$Y,2))</f>
        <v>0</v>
      </c>
      <c r="N106" s="53" t="n">
        <f aca="false">IF($A106="",0,SUMIFS(GL_Input!$U:$U,GL_Input!$F:$F,$A106,GL_Input!$X:$X,"S",GL_Input!$Y:$Y,3))</f>
        <v>0</v>
      </c>
      <c r="O106" s="54" t="n">
        <f aca="false">SUM(F106:N106)</f>
        <v>0</v>
      </c>
      <c r="P106" s="15" t="str">
        <f aca="false">IF(O106=0,"",IF($D106="","MISSING VAT NO.",IF(OR($C106="",$C106="CY",Counterparties!G106&lt;&gt;"EU"),"NOT AN EU CUSTOMER","OK")))</f>
        <v/>
      </c>
    </row>
    <row r="107" customFormat="false" ht="15" hidden="false" customHeight="false" outlineLevel="0" collapsed="false">
      <c r="A107" s="30" t="str">
        <f aca="false">IF(Counterparties!A107="","",Counterparties!A107)</f>
        <v/>
      </c>
      <c r="B107" s="30" t="str">
        <f aca="false">IF(Counterparties!B107="","",Counterparties!B107)</f>
        <v/>
      </c>
      <c r="C107" s="30" t="str">
        <f aca="false">IF(Counterparties!C107="","",Counterparties!C107)</f>
        <v/>
      </c>
      <c r="D107" s="30" t="str">
        <f aca="false">IF(Counterparties!D107="","",Counterparties!D107)</f>
        <v/>
      </c>
      <c r="E107" s="30" t="str">
        <f aca="false">IF(Counterparties!E107="","",Counterparties!E107)</f>
        <v/>
      </c>
      <c r="F107" s="53" t="n">
        <f aca="false">IF($A107="",0,SUMIFS(GL_Input!$U:$U,GL_Input!$F:$F,$A107,GL_Input!$X:$X,"G",GL_Input!$Y:$Y,1))</f>
        <v>0</v>
      </c>
      <c r="G107" s="53" t="n">
        <f aca="false">IF($A107="",0,SUMIFS(GL_Input!$U:$U,GL_Input!$F:$F,$A107,GL_Input!$X:$X,"G",GL_Input!$Y:$Y,2))</f>
        <v>0</v>
      </c>
      <c r="H107" s="53" t="n">
        <f aca="false">IF($A107="",0,SUMIFS(GL_Input!$U:$U,GL_Input!$F:$F,$A107,GL_Input!$X:$X,"G",GL_Input!$Y:$Y,3))</f>
        <v>0</v>
      </c>
      <c r="I107" s="53" t="n">
        <f aca="false">IF($A107="",0,SUMIFS(GL_Input!$U:$U,GL_Input!$F:$F,$A107,GL_Input!$X:$X,"T",GL_Input!$Y:$Y,1))</f>
        <v>0</v>
      </c>
      <c r="J107" s="53" t="n">
        <f aca="false">IF($A107="",0,SUMIFS(GL_Input!$U:$U,GL_Input!$F:$F,$A107,GL_Input!$X:$X,"T",GL_Input!$Y:$Y,2))</f>
        <v>0</v>
      </c>
      <c r="K107" s="53" t="n">
        <f aca="false">IF($A107="",0,SUMIFS(GL_Input!$U:$U,GL_Input!$F:$F,$A107,GL_Input!$X:$X,"T",GL_Input!$Y:$Y,3))</f>
        <v>0</v>
      </c>
      <c r="L107" s="53" t="n">
        <f aca="false">IF($A107="",0,SUMIFS(GL_Input!$U:$U,GL_Input!$F:$F,$A107,GL_Input!$X:$X,"S",GL_Input!$Y:$Y,1))</f>
        <v>0</v>
      </c>
      <c r="M107" s="53" t="n">
        <f aca="false">IF($A107="",0,SUMIFS(GL_Input!$U:$U,GL_Input!$F:$F,$A107,GL_Input!$X:$X,"S",GL_Input!$Y:$Y,2))</f>
        <v>0</v>
      </c>
      <c r="N107" s="53" t="n">
        <f aca="false">IF($A107="",0,SUMIFS(GL_Input!$U:$U,GL_Input!$F:$F,$A107,GL_Input!$X:$X,"S",GL_Input!$Y:$Y,3))</f>
        <v>0</v>
      </c>
      <c r="O107" s="54" t="n">
        <f aca="false">SUM(F107:N107)</f>
        <v>0</v>
      </c>
      <c r="P107" s="15" t="str">
        <f aca="false">IF(O107=0,"",IF($D107="","MISSING VAT NO.",IF(OR($C107="",$C107="CY",Counterparties!G107&lt;&gt;"EU"),"NOT AN EU CUSTOMER","OK")))</f>
        <v/>
      </c>
    </row>
    <row r="108" customFormat="false" ht="15" hidden="false" customHeight="false" outlineLevel="0" collapsed="false">
      <c r="A108" s="30" t="str">
        <f aca="false">IF(Counterparties!A108="","",Counterparties!A108)</f>
        <v/>
      </c>
      <c r="B108" s="30" t="str">
        <f aca="false">IF(Counterparties!B108="","",Counterparties!B108)</f>
        <v/>
      </c>
      <c r="C108" s="30" t="str">
        <f aca="false">IF(Counterparties!C108="","",Counterparties!C108)</f>
        <v/>
      </c>
      <c r="D108" s="30" t="str">
        <f aca="false">IF(Counterparties!D108="","",Counterparties!D108)</f>
        <v/>
      </c>
      <c r="E108" s="30" t="str">
        <f aca="false">IF(Counterparties!E108="","",Counterparties!E108)</f>
        <v/>
      </c>
      <c r="F108" s="53" t="n">
        <f aca="false">IF($A108="",0,SUMIFS(GL_Input!$U:$U,GL_Input!$F:$F,$A108,GL_Input!$X:$X,"G",GL_Input!$Y:$Y,1))</f>
        <v>0</v>
      </c>
      <c r="G108" s="53" t="n">
        <f aca="false">IF($A108="",0,SUMIFS(GL_Input!$U:$U,GL_Input!$F:$F,$A108,GL_Input!$X:$X,"G",GL_Input!$Y:$Y,2))</f>
        <v>0</v>
      </c>
      <c r="H108" s="53" t="n">
        <f aca="false">IF($A108="",0,SUMIFS(GL_Input!$U:$U,GL_Input!$F:$F,$A108,GL_Input!$X:$X,"G",GL_Input!$Y:$Y,3))</f>
        <v>0</v>
      </c>
      <c r="I108" s="53" t="n">
        <f aca="false">IF($A108="",0,SUMIFS(GL_Input!$U:$U,GL_Input!$F:$F,$A108,GL_Input!$X:$X,"T",GL_Input!$Y:$Y,1))</f>
        <v>0</v>
      </c>
      <c r="J108" s="53" t="n">
        <f aca="false">IF($A108="",0,SUMIFS(GL_Input!$U:$U,GL_Input!$F:$F,$A108,GL_Input!$X:$X,"T",GL_Input!$Y:$Y,2))</f>
        <v>0</v>
      </c>
      <c r="K108" s="53" t="n">
        <f aca="false">IF($A108="",0,SUMIFS(GL_Input!$U:$U,GL_Input!$F:$F,$A108,GL_Input!$X:$X,"T",GL_Input!$Y:$Y,3))</f>
        <v>0</v>
      </c>
      <c r="L108" s="53" t="n">
        <f aca="false">IF($A108="",0,SUMIFS(GL_Input!$U:$U,GL_Input!$F:$F,$A108,GL_Input!$X:$X,"S",GL_Input!$Y:$Y,1))</f>
        <v>0</v>
      </c>
      <c r="M108" s="53" t="n">
        <f aca="false">IF($A108="",0,SUMIFS(GL_Input!$U:$U,GL_Input!$F:$F,$A108,GL_Input!$X:$X,"S",GL_Input!$Y:$Y,2))</f>
        <v>0</v>
      </c>
      <c r="N108" s="53" t="n">
        <f aca="false">IF($A108="",0,SUMIFS(GL_Input!$U:$U,GL_Input!$F:$F,$A108,GL_Input!$X:$X,"S",GL_Input!$Y:$Y,3))</f>
        <v>0</v>
      </c>
      <c r="O108" s="54" t="n">
        <f aca="false">SUM(F108:N108)</f>
        <v>0</v>
      </c>
      <c r="P108" s="15" t="str">
        <f aca="false">IF(O108=0,"",IF($D108="","MISSING VAT NO.",IF(OR($C108="",$C108="CY",Counterparties!G108&lt;&gt;"EU"),"NOT AN EU CUSTOMER","OK")))</f>
        <v/>
      </c>
    </row>
    <row r="109" customFormat="false" ht="15" hidden="false" customHeight="false" outlineLevel="0" collapsed="false">
      <c r="A109" s="30" t="str">
        <f aca="false">IF(Counterparties!A109="","",Counterparties!A109)</f>
        <v/>
      </c>
      <c r="B109" s="30" t="str">
        <f aca="false">IF(Counterparties!B109="","",Counterparties!B109)</f>
        <v/>
      </c>
      <c r="C109" s="30" t="str">
        <f aca="false">IF(Counterparties!C109="","",Counterparties!C109)</f>
        <v/>
      </c>
      <c r="D109" s="30" t="str">
        <f aca="false">IF(Counterparties!D109="","",Counterparties!D109)</f>
        <v/>
      </c>
      <c r="E109" s="30" t="str">
        <f aca="false">IF(Counterparties!E109="","",Counterparties!E109)</f>
        <v/>
      </c>
      <c r="F109" s="53" t="n">
        <f aca="false">IF($A109="",0,SUMIFS(GL_Input!$U:$U,GL_Input!$F:$F,$A109,GL_Input!$X:$X,"G",GL_Input!$Y:$Y,1))</f>
        <v>0</v>
      </c>
      <c r="G109" s="53" t="n">
        <f aca="false">IF($A109="",0,SUMIFS(GL_Input!$U:$U,GL_Input!$F:$F,$A109,GL_Input!$X:$X,"G",GL_Input!$Y:$Y,2))</f>
        <v>0</v>
      </c>
      <c r="H109" s="53" t="n">
        <f aca="false">IF($A109="",0,SUMIFS(GL_Input!$U:$U,GL_Input!$F:$F,$A109,GL_Input!$X:$X,"G",GL_Input!$Y:$Y,3))</f>
        <v>0</v>
      </c>
      <c r="I109" s="53" t="n">
        <f aca="false">IF($A109="",0,SUMIFS(GL_Input!$U:$U,GL_Input!$F:$F,$A109,GL_Input!$X:$X,"T",GL_Input!$Y:$Y,1))</f>
        <v>0</v>
      </c>
      <c r="J109" s="53" t="n">
        <f aca="false">IF($A109="",0,SUMIFS(GL_Input!$U:$U,GL_Input!$F:$F,$A109,GL_Input!$X:$X,"T",GL_Input!$Y:$Y,2))</f>
        <v>0</v>
      </c>
      <c r="K109" s="53" t="n">
        <f aca="false">IF($A109="",0,SUMIFS(GL_Input!$U:$U,GL_Input!$F:$F,$A109,GL_Input!$X:$X,"T",GL_Input!$Y:$Y,3))</f>
        <v>0</v>
      </c>
      <c r="L109" s="53" t="n">
        <f aca="false">IF($A109="",0,SUMIFS(GL_Input!$U:$U,GL_Input!$F:$F,$A109,GL_Input!$X:$X,"S",GL_Input!$Y:$Y,1))</f>
        <v>0</v>
      </c>
      <c r="M109" s="53" t="n">
        <f aca="false">IF($A109="",0,SUMIFS(GL_Input!$U:$U,GL_Input!$F:$F,$A109,GL_Input!$X:$X,"S",GL_Input!$Y:$Y,2))</f>
        <v>0</v>
      </c>
      <c r="N109" s="53" t="n">
        <f aca="false">IF($A109="",0,SUMIFS(GL_Input!$U:$U,GL_Input!$F:$F,$A109,GL_Input!$X:$X,"S",GL_Input!$Y:$Y,3))</f>
        <v>0</v>
      </c>
      <c r="O109" s="54" t="n">
        <f aca="false">SUM(F109:N109)</f>
        <v>0</v>
      </c>
      <c r="P109" s="15" t="str">
        <f aca="false">IF(O109=0,"",IF($D109="","MISSING VAT NO.",IF(OR($C109="",$C109="CY",Counterparties!G109&lt;&gt;"EU"),"NOT AN EU CUSTOMER","OK")))</f>
        <v/>
      </c>
    </row>
    <row r="110" customFormat="false" ht="15" hidden="false" customHeight="false" outlineLevel="0" collapsed="false">
      <c r="A110" s="30" t="str">
        <f aca="false">IF(Counterparties!A110="","",Counterparties!A110)</f>
        <v/>
      </c>
      <c r="B110" s="30" t="str">
        <f aca="false">IF(Counterparties!B110="","",Counterparties!B110)</f>
        <v/>
      </c>
      <c r="C110" s="30" t="str">
        <f aca="false">IF(Counterparties!C110="","",Counterparties!C110)</f>
        <v/>
      </c>
      <c r="D110" s="30" t="str">
        <f aca="false">IF(Counterparties!D110="","",Counterparties!D110)</f>
        <v/>
      </c>
      <c r="E110" s="30" t="str">
        <f aca="false">IF(Counterparties!E110="","",Counterparties!E110)</f>
        <v/>
      </c>
      <c r="F110" s="53" t="n">
        <f aca="false">IF($A110="",0,SUMIFS(GL_Input!$U:$U,GL_Input!$F:$F,$A110,GL_Input!$X:$X,"G",GL_Input!$Y:$Y,1))</f>
        <v>0</v>
      </c>
      <c r="G110" s="53" t="n">
        <f aca="false">IF($A110="",0,SUMIFS(GL_Input!$U:$U,GL_Input!$F:$F,$A110,GL_Input!$X:$X,"G",GL_Input!$Y:$Y,2))</f>
        <v>0</v>
      </c>
      <c r="H110" s="53" t="n">
        <f aca="false">IF($A110="",0,SUMIFS(GL_Input!$U:$U,GL_Input!$F:$F,$A110,GL_Input!$X:$X,"G",GL_Input!$Y:$Y,3))</f>
        <v>0</v>
      </c>
      <c r="I110" s="53" t="n">
        <f aca="false">IF($A110="",0,SUMIFS(GL_Input!$U:$U,GL_Input!$F:$F,$A110,GL_Input!$X:$X,"T",GL_Input!$Y:$Y,1))</f>
        <v>0</v>
      </c>
      <c r="J110" s="53" t="n">
        <f aca="false">IF($A110="",0,SUMIFS(GL_Input!$U:$U,GL_Input!$F:$F,$A110,GL_Input!$X:$X,"T",GL_Input!$Y:$Y,2))</f>
        <v>0</v>
      </c>
      <c r="K110" s="53" t="n">
        <f aca="false">IF($A110="",0,SUMIFS(GL_Input!$U:$U,GL_Input!$F:$F,$A110,GL_Input!$X:$X,"T",GL_Input!$Y:$Y,3))</f>
        <v>0</v>
      </c>
      <c r="L110" s="53" t="n">
        <f aca="false">IF($A110="",0,SUMIFS(GL_Input!$U:$U,GL_Input!$F:$F,$A110,GL_Input!$X:$X,"S",GL_Input!$Y:$Y,1))</f>
        <v>0</v>
      </c>
      <c r="M110" s="53" t="n">
        <f aca="false">IF($A110="",0,SUMIFS(GL_Input!$U:$U,GL_Input!$F:$F,$A110,GL_Input!$X:$X,"S",GL_Input!$Y:$Y,2))</f>
        <v>0</v>
      </c>
      <c r="N110" s="53" t="n">
        <f aca="false">IF($A110="",0,SUMIFS(GL_Input!$U:$U,GL_Input!$F:$F,$A110,GL_Input!$X:$X,"S",GL_Input!$Y:$Y,3))</f>
        <v>0</v>
      </c>
      <c r="O110" s="54" t="n">
        <f aca="false">SUM(F110:N110)</f>
        <v>0</v>
      </c>
      <c r="P110" s="15" t="str">
        <f aca="false">IF(O110=0,"",IF($D110="","MISSING VAT NO.",IF(OR($C110="",$C110="CY",Counterparties!G110&lt;&gt;"EU"),"NOT AN EU CUSTOMER","OK")))</f>
        <v/>
      </c>
    </row>
    <row r="111" customFormat="false" ht="15" hidden="false" customHeight="false" outlineLevel="0" collapsed="false">
      <c r="A111" s="30" t="str">
        <f aca="false">IF(Counterparties!A111="","",Counterparties!A111)</f>
        <v/>
      </c>
      <c r="B111" s="30" t="str">
        <f aca="false">IF(Counterparties!B111="","",Counterparties!B111)</f>
        <v/>
      </c>
      <c r="C111" s="30" t="str">
        <f aca="false">IF(Counterparties!C111="","",Counterparties!C111)</f>
        <v/>
      </c>
      <c r="D111" s="30" t="str">
        <f aca="false">IF(Counterparties!D111="","",Counterparties!D111)</f>
        <v/>
      </c>
      <c r="E111" s="30" t="str">
        <f aca="false">IF(Counterparties!E111="","",Counterparties!E111)</f>
        <v/>
      </c>
      <c r="F111" s="53" t="n">
        <f aca="false">IF($A111="",0,SUMIFS(GL_Input!$U:$U,GL_Input!$F:$F,$A111,GL_Input!$X:$X,"G",GL_Input!$Y:$Y,1))</f>
        <v>0</v>
      </c>
      <c r="G111" s="53" t="n">
        <f aca="false">IF($A111="",0,SUMIFS(GL_Input!$U:$U,GL_Input!$F:$F,$A111,GL_Input!$X:$X,"G",GL_Input!$Y:$Y,2))</f>
        <v>0</v>
      </c>
      <c r="H111" s="53" t="n">
        <f aca="false">IF($A111="",0,SUMIFS(GL_Input!$U:$U,GL_Input!$F:$F,$A111,GL_Input!$X:$X,"G",GL_Input!$Y:$Y,3))</f>
        <v>0</v>
      </c>
      <c r="I111" s="53" t="n">
        <f aca="false">IF($A111="",0,SUMIFS(GL_Input!$U:$U,GL_Input!$F:$F,$A111,GL_Input!$X:$X,"T",GL_Input!$Y:$Y,1))</f>
        <v>0</v>
      </c>
      <c r="J111" s="53" t="n">
        <f aca="false">IF($A111="",0,SUMIFS(GL_Input!$U:$U,GL_Input!$F:$F,$A111,GL_Input!$X:$X,"T",GL_Input!$Y:$Y,2))</f>
        <v>0</v>
      </c>
      <c r="K111" s="53" t="n">
        <f aca="false">IF($A111="",0,SUMIFS(GL_Input!$U:$U,GL_Input!$F:$F,$A111,GL_Input!$X:$X,"T",GL_Input!$Y:$Y,3))</f>
        <v>0</v>
      </c>
      <c r="L111" s="53" t="n">
        <f aca="false">IF($A111="",0,SUMIFS(GL_Input!$U:$U,GL_Input!$F:$F,$A111,GL_Input!$X:$X,"S",GL_Input!$Y:$Y,1))</f>
        <v>0</v>
      </c>
      <c r="M111" s="53" t="n">
        <f aca="false">IF($A111="",0,SUMIFS(GL_Input!$U:$U,GL_Input!$F:$F,$A111,GL_Input!$X:$X,"S",GL_Input!$Y:$Y,2))</f>
        <v>0</v>
      </c>
      <c r="N111" s="53" t="n">
        <f aca="false">IF($A111="",0,SUMIFS(GL_Input!$U:$U,GL_Input!$F:$F,$A111,GL_Input!$X:$X,"S",GL_Input!$Y:$Y,3))</f>
        <v>0</v>
      </c>
      <c r="O111" s="54" t="n">
        <f aca="false">SUM(F111:N111)</f>
        <v>0</v>
      </c>
      <c r="P111" s="15" t="str">
        <f aca="false">IF(O111=0,"",IF($D111="","MISSING VAT NO.",IF(OR($C111="",$C111="CY",Counterparties!G111&lt;&gt;"EU"),"NOT AN EU CUSTOMER","OK")))</f>
        <v/>
      </c>
    </row>
    <row r="112" customFormat="false" ht="15" hidden="false" customHeight="false" outlineLevel="0" collapsed="false">
      <c r="A112" s="30" t="str">
        <f aca="false">IF(Counterparties!A112="","",Counterparties!A112)</f>
        <v/>
      </c>
      <c r="B112" s="30" t="str">
        <f aca="false">IF(Counterparties!B112="","",Counterparties!B112)</f>
        <v/>
      </c>
      <c r="C112" s="30" t="str">
        <f aca="false">IF(Counterparties!C112="","",Counterparties!C112)</f>
        <v/>
      </c>
      <c r="D112" s="30" t="str">
        <f aca="false">IF(Counterparties!D112="","",Counterparties!D112)</f>
        <v/>
      </c>
      <c r="E112" s="30" t="str">
        <f aca="false">IF(Counterparties!E112="","",Counterparties!E112)</f>
        <v/>
      </c>
      <c r="F112" s="53" t="n">
        <f aca="false">IF($A112="",0,SUMIFS(GL_Input!$U:$U,GL_Input!$F:$F,$A112,GL_Input!$X:$X,"G",GL_Input!$Y:$Y,1))</f>
        <v>0</v>
      </c>
      <c r="G112" s="53" t="n">
        <f aca="false">IF($A112="",0,SUMIFS(GL_Input!$U:$U,GL_Input!$F:$F,$A112,GL_Input!$X:$X,"G",GL_Input!$Y:$Y,2))</f>
        <v>0</v>
      </c>
      <c r="H112" s="53" t="n">
        <f aca="false">IF($A112="",0,SUMIFS(GL_Input!$U:$U,GL_Input!$F:$F,$A112,GL_Input!$X:$X,"G",GL_Input!$Y:$Y,3))</f>
        <v>0</v>
      </c>
      <c r="I112" s="53" t="n">
        <f aca="false">IF($A112="",0,SUMIFS(GL_Input!$U:$U,GL_Input!$F:$F,$A112,GL_Input!$X:$X,"T",GL_Input!$Y:$Y,1))</f>
        <v>0</v>
      </c>
      <c r="J112" s="53" t="n">
        <f aca="false">IF($A112="",0,SUMIFS(GL_Input!$U:$U,GL_Input!$F:$F,$A112,GL_Input!$X:$X,"T",GL_Input!$Y:$Y,2))</f>
        <v>0</v>
      </c>
      <c r="K112" s="53" t="n">
        <f aca="false">IF($A112="",0,SUMIFS(GL_Input!$U:$U,GL_Input!$F:$F,$A112,GL_Input!$X:$X,"T",GL_Input!$Y:$Y,3))</f>
        <v>0</v>
      </c>
      <c r="L112" s="53" t="n">
        <f aca="false">IF($A112="",0,SUMIFS(GL_Input!$U:$U,GL_Input!$F:$F,$A112,GL_Input!$X:$X,"S",GL_Input!$Y:$Y,1))</f>
        <v>0</v>
      </c>
      <c r="M112" s="53" t="n">
        <f aca="false">IF($A112="",0,SUMIFS(GL_Input!$U:$U,GL_Input!$F:$F,$A112,GL_Input!$X:$X,"S",GL_Input!$Y:$Y,2))</f>
        <v>0</v>
      </c>
      <c r="N112" s="53" t="n">
        <f aca="false">IF($A112="",0,SUMIFS(GL_Input!$U:$U,GL_Input!$F:$F,$A112,GL_Input!$X:$X,"S",GL_Input!$Y:$Y,3))</f>
        <v>0</v>
      </c>
      <c r="O112" s="54" t="n">
        <f aca="false">SUM(F112:N112)</f>
        <v>0</v>
      </c>
      <c r="P112" s="15" t="str">
        <f aca="false">IF(O112=0,"",IF($D112="","MISSING VAT NO.",IF(OR($C112="",$C112="CY",Counterparties!G112&lt;&gt;"EU"),"NOT AN EU CUSTOMER","OK")))</f>
        <v/>
      </c>
    </row>
    <row r="113" customFormat="false" ht="15" hidden="false" customHeight="false" outlineLevel="0" collapsed="false">
      <c r="A113" s="30" t="str">
        <f aca="false">IF(Counterparties!A113="","",Counterparties!A113)</f>
        <v/>
      </c>
      <c r="B113" s="30" t="str">
        <f aca="false">IF(Counterparties!B113="","",Counterparties!B113)</f>
        <v/>
      </c>
      <c r="C113" s="30" t="str">
        <f aca="false">IF(Counterparties!C113="","",Counterparties!C113)</f>
        <v/>
      </c>
      <c r="D113" s="30" t="str">
        <f aca="false">IF(Counterparties!D113="","",Counterparties!D113)</f>
        <v/>
      </c>
      <c r="E113" s="30" t="str">
        <f aca="false">IF(Counterparties!E113="","",Counterparties!E113)</f>
        <v/>
      </c>
      <c r="F113" s="53" t="n">
        <f aca="false">IF($A113="",0,SUMIFS(GL_Input!$U:$U,GL_Input!$F:$F,$A113,GL_Input!$X:$X,"G",GL_Input!$Y:$Y,1))</f>
        <v>0</v>
      </c>
      <c r="G113" s="53" t="n">
        <f aca="false">IF($A113="",0,SUMIFS(GL_Input!$U:$U,GL_Input!$F:$F,$A113,GL_Input!$X:$X,"G",GL_Input!$Y:$Y,2))</f>
        <v>0</v>
      </c>
      <c r="H113" s="53" t="n">
        <f aca="false">IF($A113="",0,SUMIFS(GL_Input!$U:$U,GL_Input!$F:$F,$A113,GL_Input!$X:$X,"G",GL_Input!$Y:$Y,3))</f>
        <v>0</v>
      </c>
      <c r="I113" s="53" t="n">
        <f aca="false">IF($A113="",0,SUMIFS(GL_Input!$U:$U,GL_Input!$F:$F,$A113,GL_Input!$X:$X,"T",GL_Input!$Y:$Y,1))</f>
        <v>0</v>
      </c>
      <c r="J113" s="53" t="n">
        <f aca="false">IF($A113="",0,SUMIFS(GL_Input!$U:$U,GL_Input!$F:$F,$A113,GL_Input!$X:$X,"T",GL_Input!$Y:$Y,2))</f>
        <v>0</v>
      </c>
      <c r="K113" s="53" t="n">
        <f aca="false">IF($A113="",0,SUMIFS(GL_Input!$U:$U,GL_Input!$F:$F,$A113,GL_Input!$X:$X,"T",GL_Input!$Y:$Y,3))</f>
        <v>0</v>
      </c>
      <c r="L113" s="53" t="n">
        <f aca="false">IF($A113="",0,SUMIFS(GL_Input!$U:$U,GL_Input!$F:$F,$A113,GL_Input!$X:$X,"S",GL_Input!$Y:$Y,1))</f>
        <v>0</v>
      </c>
      <c r="M113" s="53" t="n">
        <f aca="false">IF($A113="",0,SUMIFS(GL_Input!$U:$U,GL_Input!$F:$F,$A113,GL_Input!$X:$X,"S",GL_Input!$Y:$Y,2))</f>
        <v>0</v>
      </c>
      <c r="N113" s="53" t="n">
        <f aca="false">IF($A113="",0,SUMIFS(GL_Input!$U:$U,GL_Input!$F:$F,$A113,GL_Input!$X:$X,"S",GL_Input!$Y:$Y,3))</f>
        <v>0</v>
      </c>
      <c r="O113" s="54" t="n">
        <f aca="false">SUM(F113:N113)</f>
        <v>0</v>
      </c>
      <c r="P113" s="15" t="str">
        <f aca="false">IF(O113=0,"",IF($D113="","MISSING VAT NO.",IF(OR($C113="",$C113="CY",Counterparties!G113&lt;&gt;"EU"),"NOT AN EU CUSTOMER","OK")))</f>
        <v/>
      </c>
    </row>
    <row r="114" customFormat="false" ht="15" hidden="false" customHeight="false" outlineLevel="0" collapsed="false">
      <c r="A114" s="30" t="str">
        <f aca="false">IF(Counterparties!A114="","",Counterparties!A114)</f>
        <v/>
      </c>
      <c r="B114" s="30" t="str">
        <f aca="false">IF(Counterparties!B114="","",Counterparties!B114)</f>
        <v/>
      </c>
      <c r="C114" s="30" t="str">
        <f aca="false">IF(Counterparties!C114="","",Counterparties!C114)</f>
        <v/>
      </c>
      <c r="D114" s="30" t="str">
        <f aca="false">IF(Counterparties!D114="","",Counterparties!D114)</f>
        <v/>
      </c>
      <c r="E114" s="30" t="str">
        <f aca="false">IF(Counterparties!E114="","",Counterparties!E114)</f>
        <v/>
      </c>
      <c r="F114" s="53" t="n">
        <f aca="false">IF($A114="",0,SUMIFS(GL_Input!$U:$U,GL_Input!$F:$F,$A114,GL_Input!$X:$X,"G",GL_Input!$Y:$Y,1))</f>
        <v>0</v>
      </c>
      <c r="G114" s="53" t="n">
        <f aca="false">IF($A114="",0,SUMIFS(GL_Input!$U:$U,GL_Input!$F:$F,$A114,GL_Input!$X:$X,"G",GL_Input!$Y:$Y,2))</f>
        <v>0</v>
      </c>
      <c r="H114" s="53" t="n">
        <f aca="false">IF($A114="",0,SUMIFS(GL_Input!$U:$U,GL_Input!$F:$F,$A114,GL_Input!$X:$X,"G",GL_Input!$Y:$Y,3))</f>
        <v>0</v>
      </c>
      <c r="I114" s="53" t="n">
        <f aca="false">IF($A114="",0,SUMIFS(GL_Input!$U:$U,GL_Input!$F:$F,$A114,GL_Input!$X:$X,"T",GL_Input!$Y:$Y,1))</f>
        <v>0</v>
      </c>
      <c r="J114" s="53" t="n">
        <f aca="false">IF($A114="",0,SUMIFS(GL_Input!$U:$U,GL_Input!$F:$F,$A114,GL_Input!$X:$X,"T",GL_Input!$Y:$Y,2))</f>
        <v>0</v>
      </c>
      <c r="K114" s="53" t="n">
        <f aca="false">IF($A114="",0,SUMIFS(GL_Input!$U:$U,GL_Input!$F:$F,$A114,GL_Input!$X:$X,"T",GL_Input!$Y:$Y,3))</f>
        <v>0</v>
      </c>
      <c r="L114" s="53" t="n">
        <f aca="false">IF($A114="",0,SUMIFS(GL_Input!$U:$U,GL_Input!$F:$F,$A114,GL_Input!$X:$X,"S",GL_Input!$Y:$Y,1))</f>
        <v>0</v>
      </c>
      <c r="M114" s="53" t="n">
        <f aca="false">IF($A114="",0,SUMIFS(GL_Input!$U:$U,GL_Input!$F:$F,$A114,GL_Input!$X:$X,"S",GL_Input!$Y:$Y,2))</f>
        <v>0</v>
      </c>
      <c r="N114" s="53" t="n">
        <f aca="false">IF($A114="",0,SUMIFS(GL_Input!$U:$U,GL_Input!$F:$F,$A114,GL_Input!$X:$X,"S",GL_Input!$Y:$Y,3))</f>
        <v>0</v>
      </c>
      <c r="O114" s="54" t="n">
        <f aca="false">SUM(F114:N114)</f>
        <v>0</v>
      </c>
      <c r="P114" s="15" t="str">
        <f aca="false">IF(O114=0,"",IF($D114="","MISSING VAT NO.",IF(OR($C114="",$C114="CY",Counterparties!G114&lt;&gt;"EU"),"NOT AN EU CUSTOMER","OK")))</f>
        <v/>
      </c>
    </row>
    <row r="115" customFormat="false" ht="15" hidden="false" customHeight="false" outlineLevel="0" collapsed="false">
      <c r="A115" s="30" t="str">
        <f aca="false">IF(Counterparties!A115="","",Counterparties!A115)</f>
        <v/>
      </c>
      <c r="B115" s="30" t="str">
        <f aca="false">IF(Counterparties!B115="","",Counterparties!B115)</f>
        <v/>
      </c>
      <c r="C115" s="30" t="str">
        <f aca="false">IF(Counterparties!C115="","",Counterparties!C115)</f>
        <v/>
      </c>
      <c r="D115" s="30" t="str">
        <f aca="false">IF(Counterparties!D115="","",Counterparties!D115)</f>
        <v/>
      </c>
      <c r="E115" s="30" t="str">
        <f aca="false">IF(Counterparties!E115="","",Counterparties!E115)</f>
        <v/>
      </c>
      <c r="F115" s="53" t="n">
        <f aca="false">IF($A115="",0,SUMIFS(GL_Input!$U:$U,GL_Input!$F:$F,$A115,GL_Input!$X:$X,"G",GL_Input!$Y:$Y,1))</f>
        <v>0</v>
      </c>
      <c r="G115" s="53" t="n">
        <f aca="false">IF($A115="",0,SUMIFS(GL_Input!$U:$U,GL_Input!$F:$F,$A115,GL_Input!$X:$X,"G",GL_Input!$Y:$Y,2))</f>
        <v>0</v>
      </c>
      <c r="H115" s="53" t="n">
        <f aca="false">IF($A115="",0,SUMIFS(GL_Input!$U:$U,GL_Input!$F:$F,$A115,GL_Input!$X:$X,"G",GL_Input!$Y:$Y,3))</f>
        <v>0</v>
      </c>
      <c r="I115" s="53" t="n">
        <f aca="false">IF($A115="",0,SUMIFS(GL_Input!$U:$U,GL_Input!$F:$F,$A115,GL_Input!$X:$X,"T",GL_Input!$Y:$Y,1))</f>
        <v>0</v>
      </c>
      <c r="J115" s="53" t="n">
        <f aca="false">IF($A115="",0,SUMIFS(GL_Input!$U:$U,GL_Input!$F:$F,$A115,GL_Input!$X:$X,"T",GL_Input!$Y:$Y,2))</f>
        <v>0</v>
      </c>
      <c r="K115" s="53" t="n">
        <f aca="false">IF($A115="",0,SUMIFS(GL_Input!$U:$U,GL_Input!$F:$F,$A115,GL_Input!$X:$X,"T",GL_Input!$Y:$Y,3))</f>
        <v>0</v>
      </c>
      <c r="L115" s="53" t="n">
        <f aca="false">IF($A115="",0,SUMIFS(GL_Input!$U:$U,GL_Input!$F:$F,$A115,GL_Input!$X:$X,"S",GL_Input!$Y:$Y,1))</f>
        <v>0</v>
      </c>
      <c r="M115" s="53" t="n">
        <f aca="false">IF($A115="",0,SUMIFS(GL_Input!$U:$U,GL_Input!$F:$F,$A115,GL_Input!$X:$X,"S",GL_Input!$Y:$Y,2))</f>
        <v>0</v>
      </c>
      <c r="N115" s="53" t="n">
        <f aca="false">IF($A115="",0,SUMIFS(GL_Input!$U:$U,GL_Input!$F:$F,$A115,GL_Input!$X:$X,"S",GL_Input!$Y:$Y,3))</f>
        <v>0</v>
      </c>
      <c r="O115" s="54" t="n">
        <f aca="false">SUM(F115:N115)</f>
        <v>0</v>
      </c>
      <c r="P115" s="15" t="str">
        <f aca="false">IF(O115=0,"",IF($D115="","MISSING VAT NO.",IF(OR($C115="",$C115="CY",Counterparties!G115&lt;&gt;"EU"),"NOT AN EU CUSTOMER","OK")))</f>
        <v/>
      </c>
    </row>
    <row r="116" customFormat="false" ht="15" hidden="false" customHeight="false" outlineLevel="0" collapsed="false">
      <c r="A116" s="30" t="str">
        <f aca="false">IF(Counterparties!A116="","",Counterparties!A116)</f>
        <v/>
      </c>
      <c r="B116" s="30" t="str">
        <f aca="false">IF(Counterparties!B116="","",Counterparties!B116)</f>
        <v/>
      </c>
      <c r="C116" s="30" t="str">
        <f aca="false">IF(Counterparties!C116="","",Counterparties!C116)</f>
        <v/>
      </c>
      <c r="D116" s="30" t="str">
        <f aca="false">IF(Counterparties!D116="","",Counterparties!D116)</f>
        <v/>
      </c>
      <c r="E116" s="30" t="str">
        <f aca="false">IF(Counterparties!E116="","",Counterparties!E116)</f>
        <v/>
      </c>
      <c r="F116" s="53" t="n">
        <f aca="false">IF($A116="",0,SUMIFS(GL_Input!$U:$U,GL_Input!$F:$F,$A116,GL_Input!$X:$X,"G",GL_Input!$Y:$Y,1))</f>
        <v>0</v>
      </c>
      <c r="G116" s="53" t="n">
        <f aca="false">IF($A116="",0,SUMIFS(GL_Input!$U:$U,GL_Input!$F:$F,$A116,GL_Input!$X:$X,"G",GL_Input!$Y:$Y,2))</f>
        <v>0</v>
      </c>
      <c r="H116" s="53" t="n">
        <f aca="false">IF($A116="",0,SUMIFS(GL_Input!$U:$U,GL_Input!$F:$F,$A116,GL_Input!$X:$X,"G",GL_Input!$Y:$Y,3))</f>
        <v>0</v>
      </c>
      <c r="I116" s="53" t="n">
        <f aca="false">IF($A116="",0,SUMIFS(GL_Input!$U:$U,GL_Input!$F:$F,$A116,GL_Input!$X:$X,"T",GL_Input!$Y:$Y,1))</f>
        <v>0</v>
      </c>
      <c r="J116" s="53" t="n">
        <f aca="false">IF($A116="",0,SUMIFS(GL_Input!$U:$U,GL_Input!$F:$F,$A116,GL_Input!$X:$X,"T",GL_Input!$Y:$Y,2))</f>
        <v>0</v>
      </c>
      <c r="K116" s="53" t="n">
        <f aca="false">IF($A116="",0,SUMIFS(GL_Input!$U:$U,GL_Input!$F:$F,$A116,GL_Input!$X:$X,"T",GL_Input!$Y:$Y,3))</f>
        <v>0</v>
      </c>
      <c r="L116" s="53" t="n">
        <f aca="false">IF($A116="",0,SUMIFS(GL_Input!$U:$U,GL_Input!$F:$F,$A116,GL_Input!$X:$X,"S",GL_Input!$Y:$Y,1))</f>
        <v>0</v>
      </c>
      <c r="M116" s="53" t="n">
        <f aca="false">IF($A116="",0,SUMIFS(GL_Input!$U:$U,GL_Input!$F:$F,$A116,GL_Input!$X:$X,"S",GL_Input!$Y:$Y,2))</f>
        <v>0</v>
      </c>
      <c r="N116" s="53" t="n">
        <f aca="false">IF($A116="",0,SUMIFS(GL_Input!$U:$U,GL_Input!$F:$F,$A116,GL_Input!$X:$X,"S",GL_Input!$Y:$Y,3))</f>
        <v>0</v>
      </c>
      <c r="O116" s="54" t="n">
        <f aca="false">SUM(F116:N116)</f>
        <v>0</v>
      </c>
      <c r="P116" s="15" t="str">
        <f aca="false">IF(O116=0,"",IF($D116="","MISSING VAT NO.",IF(OR($C116="",$C116="CY",Counterparties!G116&lt;&gt;"EU"),"NOT AN EU CUSTOMER","OK")))</f>
        <v/>
      </c>
    </row>
    <row r="117" customFormat="false" ht="15" hidden="false" customHeight="false" outlineLevel="0" collapsed="false">
      <c r="A117" s="30" t="str">
        <f aca="false">IF(Counterparties!A117="","",Counterparties!A117)</f>
        <v/>
      </c>
      <c r="B117" s="30" t="str">
        <f aca="false">IF(Counterparties!B117="","",Counterparties!B117)</f>
        <v/>
      </c>
      <c r="C117" s="30" t="str">
        <f aca="false">IF(Counterparties!C117="","",Counterparties!C117)</f>
        <v/>
      </c>
      <c r="D117" s="30" t="str">
        <f aca="false">IF(Counterparties!D117="","",Counterparties!D117)</f>
        <v/>
      </c>
      <c r="E117" s="30" t="str">
        <f aca="false">IF(Counterparties!E117="","",Counterparties!E117)</f>
        <v/>
      </c>
      <c r="F117" s="53" t="n">
        <f aca="false">IF($A117="",0,SUMIFS(GL_Input!$U:$U,GL_Input!$F:$F,$A117,GL_Input!$X:$X,"G",GL_Input!$Y:$Y,1))</f>
        <v>0</v>
      </c>
      <c r="G117" s="53" t="n">
        <f aca="false">IF($A117="",0,SUMIFS(GL_Input!$U:$U,GL_Input!$F:$F,$A117,GL_Input!$X:$X,"G",GL_Input!$Y:$Y,2))</f>
        <v>0</v>
      </c>
      <c r="H117" s="53" t="n">
        <f aca="false">IF($A117="",0,SUMIFS(GL_Input!$U:$U,GL_Input!$F:$F,$A117,GL_Input!$X:$X,"G",GL_Input!$Y:$Y,3))</f>
        <v>0</v>
      </c>
      <c r="I117" s="53" t="n">
        <f aca="false">IF($A117="",0,SUMIFS(GL_Input!$U:$U,GL_Input!$F:$F,$A117,GL_Input!$X:$X,"T",GL_Input!$Y:$Y,1))</f>
        <v>0</v>
      </c>
      <c r="J117" s="53" t="n">
        <f aca="false">IF($A117="",0,SUMIFS(GL_Input!$U:$U,GL_Input!$F:$F,$A117,GL_Input!$X:$X,"T",GL_Input!$Y:$Y,2))</f>
        <v>0</v>
      </c>
      <c r="K117" s="53" t="n">
        <f aca="false">IF($A117="",0,SUMIFS(GL_Input!$U:$U,GL_Input!$F:$F,$A117,GL_Input!$X:$X,"T",GL_Input!$Y:$Y,3))</f>
        <v>0</v>
      </c>
      <c r="L117" s="53" t="n">
        <f aca="false">IF($A117="",0,SUMIFS(GL_Input!$U:$U,GL_Input!$F:$F,$A117,GL_Input!$X:$X,"S",GL_Input!$Y:$Y,1))</f>
        <v>0</v>
      </c>
      <c r="M117" s="53" t="n">
        <f aca="false">IF($A117="",0,SUMIFS(GL_Input!$U:$U,GL_Input!$F:$F,$A117,GL_Input!$X:$X,"S",GL_Input!$Y:$Y,2))</f>
        <v>0</v>
      </c>
      <c r="N117" s="53" t="n">
        <f aca="false">IF($A117="",0,SUMIFS(GL_Input!$U:$U,GL_Input!$F:$F,$A117,GL_Input!$X:$X,"S",GL_Input!$Y:$Y,3))</f>
        <v>0</v>
      </c>
      <c r="O117" s="54" t="n">
        <f aca="false">SUM(F117:N117)</f>
        <v>0</v>
      </c>
      <c r="P117" s="15" t="str">
        <f aca="false">IF(O117=0,"",IF($D117="","MISSING VAT NO.",IF(OR($C117="",$C117="CY",Counterparties!G117&lt;&gt;"EU"),"NOT AN EU CUSTOMER","OK")))</f>
        <v/>
      </c>
    </row>
    <row r="118" customFormat="false" ht="15" hidden="false" customHeight="false" outlineLevel="0" collapsed="false">
      <c r="A118" s="30" t="str">
        <f aca="false">IF(Counterparties!A118="","",Counterparties!A118)</f>
        <v/>
      </c>
      <c r="B118" s="30" t="str">
        <f aca="false">IF(Counterparties!B118="","",Counterparties!B118)</f>
        <v/>
      </c>
      <c r="C118" s="30" t="str">
        <f aca="false">IF(Counterparties!C118="","",Counterparties!C118)</f>
        <v/>
      </c>
      <c r="D118" s="30" t="str">
        <f aca="false">IF(Counterparties!D118="","",Counterparties!D118)</f>
        <v/>
      </c>
      <c r="E118" s="30" t="str">
        <f aca="false">IF(Counterparties!E118="","",Counterparties!E118)</f>
        <v/>
      </c>
      <c r="F118" s="53" t="n">
        <f aca="false">IF($A118="",0,SUMIFS(GL_Input!$U:$U,GL_Input!$F:$F,$A118,GL_Input!$X:$X,"G",GL_Input!$Y:$Y,1))</f>
        <v>0</v>
      </c>
      <c r="G118" s="53" t="n">
        <f aca="false">IF($A118="",0,SUMIFS(GL_Input!$U:$U,GL_Input!$F:$F,$A118,GL_Input!$X:$X,"G",GL_Input!$Y:$Y,2))</f>
        <v>0</v>
      </c>
      <c r="H118" s="53" t="n">
        <f aca="false">IF($A118="",0,SUMIFS(GL_Input!$U:$U,GL_Input!$F:$F,$A118,GL_Input!$X:$X,"G",GL_Input!$Y:$Y,3))</f>
        <v>0</v>
      </c>
      <c r="I118" s="53" t="n">
        <f aca="false">IF($A118="",0,SUMIFS(GL_Input!$U:$U,GL_Input!$F:$F,$A118,GL_Input!$X:$X,"T",GL_Input!$Y:$Y,1))</f>
        <v>0</v>
      </c>
      <c r="J118" s="53" t="n">
        <f aca="false">IF($A118="",0,SUMIFS(GL_Input!$U:$U,GL_Input!$F:$F,$A118,GL_Input!$X:$X,"T",GL_Input!$Y:$Y,2))</f>
        <v>0</v>
      </c>
      <c r="K118" s="53" t="n">
        <f aca="false">IF($A118="",0,SUMIFS(GL_Input!$U:$U,GL_Input!$F:$F,$A118,GL_Input!$X:$X,"T",GL_Input!$Y:$Y,3))</f>
        <v>0</v>
      </c>
      <c r="L118" s="53" t="n">
        <f aca="false">IF($A118="",0,SUMIFS(GL_Input!$U:$U,GL_Input!$F:$F,$A118,GL_Input!$X:$X,"S",GL_Input!$Y:$Y,1))</f>
        <v>0</v>
      </c>
      <c r="M118" s="53" t="n">
        <f aca="false">IF($A118="",0,SUMIFS(GL_Input!$U:$U,GL_Input!$F:$F,$A118,GL_Input!$X:$X,"S",GL_Input!$Y:$Y,2))</f>
        <v>0</v>
      </c>
      <c r="N118" s="53" t="n">
        <f aca="false">IF($A118="",0,SUMIFS(GL_Input!$U:$U,GL_Input!$F:$F,$A118,GL_Input!$X:$X,"S",GL_Input!$Y:$Y,3))</f>
        <v>0</v>
      </c>
      <c r="O118" s="54" t="n">
        <f aca="false">SUM(F118:N118)</f>
        <v>0</v>
      </c>
      <c r="P118" s="15" t="str">
        <f aca="false">IF(O118=0,"",IF($D118="","MISSING VAT NO.",IF(OR($C118="",$C118="CY",Counterparties!G118&lt;&gt;"EU"),"NOT AN EU CUSTOMER","OK")))</f>
        <v/>
      </c>
    </row>
    <row r="119" customFormat="false" ht="15" hidden="false" customHeight="false" outlineLevel="0" collapsed="false">
      <c r="A119" s="30" t="str">
        <f aca="false">IF(Counterparties!A119="","",Counterparties!A119)</f>
        <v/>
      </c>
      <c r="B119" s="30" t="str">
        <f aca="false">IF(Counterparties!B119="","",Counterparties!B119)</f>
        <v/>
      </c>
      <c r="C119" s="30" t="str">
        <f aca="false">IF(Counterparties!C119="","",Counterparties!C119)</f>
        <v/>
      </c>
      <c r="D119" s="30" t="str">
        <f aca="false">IF(Counterparties!D119="","",Counterparties!D119)</f>
        <v/>
      </c>
      <c r="E119" s="30" t="str">
        <f aca="false">IF(Counterparties!E119="","",Counterparties!E119)</f>
        <v/>
      </c>
      <c r="F119" s="53" t="n">
        <f aca="false">IF($A119="",0,SUMIFS(GL_Input!$U:$U,GL_Input!$F:$F,$A119,GL_Input!$X:$X,"G",GL_Input!$Y:$Y,1))</f>
        <v>0</v>
      </c>
      <c r="G119" s="53" t="n">
        <f aca="false">IF($A119="",0,SUMIFS(GL_Input!$U:$U,GL_Input!$F:$F,$A119,GL_Input!$X:$X,"G",GL_Input!$Y:$Y,2))</f>
        <v>0</v>
      </c>
      <c r="H119" s="53" t="n">
        <f aca="false">IF($A119="",0,SUMIFS(GL_Input!$U:$U,GL_Input!$F:$F,$A119,GL_Input!$X:$X,"G",GL_Input!$Y:$Y,3))</f>
        <v>0</v>
      </c>
      <c r="I119" s="53" t="n">
        <f aca="false">IF($A119="",0,SUMIFS(GL_Input!$U:$U,GL_Input!$F:$F,$A119,GL_Input!$X:$X,"T",GL_Input!$Y:$Y,1))</f>
        <v>0</v>
      </c>
      <c r="J119" s="53" t="n">
        <f aca="false">IF($A119="",0,SUMIFS(GL_Input!$U:$U,GL_Input!$F:$F,$A119,GL_Input!$X:$X,"T",GL_Input!$Y:$Y,2))</f>
        <v>0</v>
      </c>
      <c r="K119" s="53" t="n">
        <f aca="false">IF($A119="",0,SUMIFS(GL_Input!$U:$U,GL_Input!$F:$F,$A119,GL_Input!$X:$X,"T",GL_Input!$Y:$Y,3))</f>
        <v>0</v>
      </c>
      <c r="L119" s="53" t="n">
        <f aca="false">IF($A119="",0,SUMIFS(GL_Input!$U:$U,GL_Input!$F:$F,$A119,GL_Input!$X:$X,"S",GL_Input!$Y:$Y,1))</f>
        <v>0</v>
      </c>
      <c r="M119" s="53" t="n">
        <f aca="false">IF($A119="",0,SUMIFS(GL_Input!$U:$U,GL_Input!$F:$F,$A119,GL_Input!$X:$X,"S",GL_Input!$Y:$Y,2))</f>
        <v>0</v>
      </c>
      <c r="N119" s="53" t="n">
        <f aca="false">IF($A119="",0,SUMIFS(GL_Input!$U:$U,GL_Input!$F:$F,$A119,GL_Input!$X:$X,"S",GL_Input!$Y:$Y,3))</f>
        <v>0</v>
      </c>
      <c r="O119" s="54" t="n">
        <f aca="false">SUM(F119:N119)</f>
        <v>0</v>
      </c>
      <c r="P119" s="15" t="str">
        <f aca="false">IF(O119=0,"",IF($D119="","MISSING VAT NO.",IF(OR($C119="",$C119="CY",Counterparties!G119&lt;&gt;"EU"),"NOT AN EU CUSTOMER","OK")))</f>
        <v/>
      </c>
    </row>
    <row r="120" customFormat="false" ht="15" hidden="false" customHeight="false" outlineLevel="0" collapsed="false">
      <c r="A120" s="30" t="str">
        <f aca="false">IF(Counterparties!A120="","",Counterparties!A120)</f>
        <v/>
      </c>
      <c r="B120" s="30" t="str">
        <f aca="false">IF(Counterparties!B120="","",Counterparties!B120)</f>
        <v/>
      </c>
      <c r="C120" s="30" t="str">
        <f aca="false">IF(Counterparties!C120="","",Counterparties!C120)</f>
        <v/>
      </c>
      <c r="D120" s="30" t="str">
        <f aca="false">IF(Counterparties!D120="","",Counterparties!D120)</f>
        <v/>
      </c>
      <c r="E120" s="30" t="str">
        <f aca="false">IF(Counterparties!E120="","",Counterparties!E120)</f>
        <v/>
      </c>
      <c r="F120" s="53" t="n">
        <f aca="false">IF($A120="",0,SUMIFS(GL_Input!$U:$U,GL_Input!$F:$F,$A120,GL_Input!$X:$X,"G",GL_Input!$Y:$Y,1))</f>
        <v>0</v>
      </c>
      <c r="G120" s="53" t="n">
        <f aca="false">IF($A120="",0,SUMIFS(GL_Input!$U:$U,GL_Input!$F:$F,$A120,GL_Input!$X:$X,"G",GL_Input!$Y:$Y,2))</f>
        <v>0</v>
      </c>
      <c r="H120" s="53" t="n">
        <f aca="false">IF($A120="",0,SUMIFS(GL_Input!$U:$U,GL_Input!$F:$F,$A120,GL_Input!$X:$X,"G",GL_Input!$Y:$Y,3))</f>
        <v>0</v>
      </c>
      <c r="I120" s="53" t="n">
        <f aca="false">IF($A120="",0,SUMIFS(GL_Input!$U:$U,GL_Input!$F:$F,$A120,GL_Input!$X:$X,"T",GL_Input!$Y:$Y,1))</f>
        <v>0</v>
      </c>
      <c r="J120" s="53" t="n">
        <f aca="false">IF($A120="",0,SUMIFS(GL_Input!$U:$U,GL_Input!$F:$F,$A120,GL_Input!$X:$X,"T",GL_Input!$Y:$Y,2))</f>
        <v>0</v>
      </c>
      <c r="K120" s="53" t="n">
        <f aca="false">IF($A120="",0,SUMIFS(GL_Input!$U:$U,GL_Input!$F:$F,$A120,GL_Input!$X:$X,"T",GL_Input!$Y:$Y,3))</f>
        <v>0</v>
      </c>
      <c r="L120" s="53" t="n">
        <f aca="false">IF($A120="",0,SUMIFS(GL_Input!$U:$U,GL_Input!$F:$F,$A120,GL_Input!$X:$X,"S",GL_Input!$Y:$Y,1))</f>
        <v>0</v>
      </c>
      <c r="M120" s="53" t="n">
        <f aca="false">IF($A120="",0,SUMIFS(GL_Input!$U:$U,GL_Input!$F:$F,$A120,GL_Input!$X:$X,"S",GL_Input!$Y:$Y,2))</f>
        <v>0</v>
      </c>
      <c r="N120" s="53" t="n">
        <f aca="false">IF($A120="",0,SUMIFS(GL_Input!$U:$U,GL_Input!$F:$F,$A120,GL_Input!$X:$X,"S",GL_Input!$Y:$Y,3))</f>
        <v>0</v>
      </c>
      <c r="O120" s="54" t="n">
        <f aca="false">SUM(F120:N120)</f>
        <v>0</v>
      </c>
      <c r="P120" s="15" t="str">
        <f aca="false">IF(O120=0,"",IF($D120="","MISSING VAT NO.",IF(OR($C120="",$C120="CY",Counterparties!G120&lt;&gt;"EU"),"NOT AN EU CUSTOMER","OK")))</f>
        <v/>
      </c>
    </row>
    <row r="121" customFormat="false" ht="15" hidden="false" customHeight="false" outlineLevel="0" collapsed="false">
      <c r="A121" s="30" t="str">
        <f aca="false">IF(Counterparties!A121="","",Counterparties!A121)</f>
        <v/>
      </c>
      <c r="B121" s="30" t="str">
        <f aca="false">IF(Counterparties!B121="","",Counterparties!B121)</f>
        <v/>
      </c>
      <c r="C121" s="30" t="str">
        <f aca="false">IF(Counterparties!C121="","",Counterparties!C121)</f>
        <v/>
      </c>
      <c r="D121" s="30" t="str">
        <f aca="false">IF(Counterparties!D121="","",Counterparties!D121)</f>
        <v/>
      </c>
      <c r="E121" s="30" t="str">
        <f aca="false">IF(Counterparties!E121="","",Counterparties!E121)</f>
        <v/>
      </c>
      <c r="F121" s="53" t="n">
        <f aca="false">IF($A121="",0,SUMIFS(GL_Input!$U:$U,GL_Input!$F:$F,$A121,GL_Input!$X:$X,"G",GL_Input!$Y:$Y,1))</f>
        <v>0</v>
      </c>
      <c r="G121" s="53" t="n">
        <f aca="false">IF($A121="",0,SUMIFS(GL_Input!$U:$U,GL_Input!$F:$F,$A121,GL_Input!$X:$X,"G",GL_Input!$Y:$Y,2))</f>
        <v>0</v>
      </c>
      <c r="H121" s="53" t="n">
        <f aca="false">IF($A121="",0,SUMIFS(GL_Input!$U:$U,GL_Input!$F:$F,$A121,GL_Input!$X:$X,"G",GL_Input!$Y:$Y,3))</f>
        <v>0</v>
      </c>
      <c r="I121" s="53" t="n">
        <f aca="false">IF($A121="",0,SUMIFS(GL_Input!$U:$U,GL_Input!$F:$F,$A121,GL_Input!$X:$X,"T",GL_Input!$Y:$Y,1))</f>
        <v>0</v>
      </c>
      <c r="J121" s="53" t="n">
        <f aca="false">IF($A121="",0,SUMIFS(GL_Input!$U:$U,GL_Input!$F:$F,$A121,GL_Input!$X:$X,"T",GL_Input!$Y:$Y,2))</f>
        <v>0</v>
      </c>
      <c r="K121" s="53" t="n">
        <f aca="false">IF($A121="",0,SUMIFS(GL_Input!$U:$U,GL_Input!$F:$F,$A121,GL_Input!$X:$X,"T",GL_Input!$Y:$Y,3))</f>
        <v>0</v>
      </c>
      <c r="L121" s="53" t="n">
        <f aca="false">IF($A121="",0,SUMIFS(GL_Input!$U:$U,GL_Input!$F:$F,$A121,GL_Input!$X:$X,"S",GL_Input!$Y:$Y,1))</f>
        <v>0</v>
      </c>
      <c r="M121" s="53" t="n">
        <f aca="false">IF($A121="",0,SUMIFS(GL_Input!$U:$U,GL_Input!$F:$F,$A121,GL_Input!$X:$X,"S",GL_Input!$Y:$Y,2))</f>
        <v>0</v>
      </c>
      <c r="N121" s="53" t="n">
        <f aca="false">IF($A121="",0,SUMIFS(GL_Input!$U:$U,GL_Input!$F:$F,$A121,GL_Input!$X:$X,"S",GL_Input!$Y:$Y,3))</f>
        <v>0</v>
      </c>
      <c r="O121" s="54" t="n">
        <f aca="false">SUM(F121:N121)</f>
        <v>0</v>
      </c>
      <c r="P121" s="15" t="str">
        <f aca="false">IF(O121=0,"",IF($D121="","MISSING VAT NO.",IF(OR($C121="",$C121="CY",Counterparties!G121&lt;&gt;"EU"),"NOT AN EU CUSTOMER","OK")))</f>
        <v/>
      </c>
    </row>
    <row r="122" customFormat="false" ht="15" hidden="false" customHeight="false" outlineLevel="0" collapsed="false">
      <c r="A122" s="30" t="str">
        <f aca="false">IF(Counterparties!A122="","",Counterparties!A122)</f>
        <v/>
      </c>
      <c r="B122" s="30" t="str">
        <f aca="false">IF(Counterparties!B122="","",Counterparties!B122)</f>
        <v/>
      </c>
      <c r="C122" s="30" t="str">
        <f aca="false">IF(Counterparties!C122="","",Counterparties!C122)</f>
        <v/>
      </c>
      <c r="D122" s="30" t="str">
        <f aca="false">IF(Counterparties!D122="","",Counterparties!D122)</f>
        <v/>
      </c>
      <c r="E122" s="30" t="str">
        <f aca="false">IF(Counterparties!E122="","",Counterparties!E122)</f>
        <v/>
      </c>
      <c r="F122" s="53" t="n">
        <f aca="false">IF($A122="",0,SUMIFS(GL_Input!$U:$U,GL_Input!$F:$F,$A122,GL_Input!$X:$X,"G",GL_Input!$Y:$Y,1))</f>
        <v>0</v>
      </c>
      <c r="G122" s="53" t="n">
        <f aca="false">IF($A122="",0,SUMIFS(GL_Input!$U:$U,GL_Input!$F:$F,$A122,GL_Input!$X:$X,"G",GL_Input!$Y:$Y,2))</f>
        <v>0</v>
      </c>
      <c r="H122" s="53" t="n">
        <f aca="false">IF($A122="",0,SUMIFS(GL_Input!$U:$U,GL_Input!$F:$F,$A122,GL_Input!$X:$X,"G",GL_Input!$Y:$Y,3))</f>
        <v>0</v>
      </c>
      <c r="I122" s="53" t="n">
        <f aca="false">IF($A122="",0,SUMIFS(GL_Input!$U:$U,GL_Input!$F:$F,$A122,GL_Input!$X:$X,"T",GL_Input!$Y:$Y,1))</f>
        <v>0</v>
      </c>
      <c r="J122" s="53" t="n">
        <f aca="false">IF($A122="",0,SUMIFS(GL_Input!$U:$U,GL_Input!$F:$F,$A122,GL_Input!$X:$X,"T",GL_Input!$Y:$Y,2))</f>
        <v>0</v>
      </c>
      <c r="K122" s="53" t="n">
        <f aca="false">IF($A122="",0,SUMIFS(GL_Input!$U:$U,GL_Input!$F:$F,$A122,GL_Input!$X:$X,"T",GL_Input!$Y:$Y,3))</f>
        <v>0</v>
      </c>
      <c r="L122" s="53" t="n">
        <f aca="false">IF($A122="",0,SUMIFS(GL_Input!$U:$U,GL_Input!$F:$F,$A122,GL_Input!$X:$X,"S",GL_Input!$Y:$Y,1))</f>
        <v>0</v>
      </c>
      <c r="M122" s="53" t="n">
        <f aca="false">IF($A122="",0,SUMIFS(GL_Input!$U:$U,GL_Input!$F:$F,$A122,GL_Input!$X:$X,"S",GL_Input!$Y:$Y,2))</f>
        <v>0</v>
      </c>
      <c r="N122" s="53" t="n">
        <f aca="false">IF($A122="",0,SUMIFS(GL_Input!$U:$U,GL_Input!$F:$F,$A122,GL_Input!$X:$X,"S",GL_Input!$Y:$Y,3))</f>
        <v>0</v>
      </c>
      <c r="O122" s="54" t="n">
        <f aca="false">SUM(F122:N122)</f>
        <v>0</v>
      </c>
      <c r="P122" s="15" t="str">
        <f aca="false">IF(O122=0,"",IF($D122="","MISSING VAT NO.",IF(OR($C122="",$C122="CY",Counterparties!G122&lt;&gt;"EU"),"NOT AN EU CUSTOMER","OK")))</f>
        <v/>
      </c>
    </row>
    <row r="123" customFormat="false" ht="15" hidden="false" customHeight="false" outlineLevel="0" collapsed="false">
      <c r="A123" s="30" t="str">
        <f aca="false">IF(Counterparties!A123="","",Counterparties!A123)</f>
        <v/>
      </c>
      <c r="B123" s="30" t="str">
        <f aca="false">IF(Counterparties!B123="","",Counterparties!B123)</f>
        <v/>
      </c>
      <c r="C123" s="30" t="str">
        <f aca="false">IF(Counterparties!C123="","",Counterparties!C123)</f>
        <v/>
      </c>
      <c r="D123" s="30" t="str">
        <f aca="false">IF(Counterparties!D123="","",Counterparties!D123)</f>
        <v/>
      </c>
      <c r="E123" s="30" t="str">
        <f aca="false">IF(Counterparties!E123="","",Counterparties!E123)</f>
        <v/>
      </c>
      <c r="F123" s="53" t="n">
        <f aca="false">IF($A123="",0,SUMIFS(GL_Input!$U:$U,GL_Input!$F:$F,$A123,GL_Input!$X:$X,"G",GL_Input!$Y:$Y,1))</f>
        <v>0</v>
      </c>
      <c r="G123" s="53" t="n">
        <f aca="false">IF($A123="",0,SUMIFS(GL_Input!$U:$U,GL_Input!$F:$F,$A123,GL_Input!$X:$X,"G",GL_Input!$Y:$Y,2))</f>
        <v>0</v>
      </c>
      <c r="H123" s="53" t="n">
        <f aca="false">IF($A123="",0,SUMIFS(GL_Input!$U:$U,GL_Input!$F:$F,$A123,GL_Input!$X:$X,"G",GL_Input!$Y:$Y,3))</f>
        <v>0</v>
      </c>
      <c r="I123" s="53" t="n">
        <f aca="false">IF($A123="",0,SUMIFS(GL_Input!$U:$U,GL_Input!$F:$F,$A123,GL_Input!$X:$X,"T",GL_Input!$Y:$Y,1))</f>
        <v>0</v>
      </c>
      <c r="J123" s="53" t="n">
        <f aca="false">IF($A123="",0,SUMIFS(GL_Input!$U:$U,GL_Input!$F:$F,$A123,GL_Input!$X:$X,"T",GL_Input!$Y:$Y,2))</f>
        <v>0</v>
      </c>
      <c r="K123" s="53" t="n">
        <f aca="false">IF($A123="",0,SUMIFS(GL_Input!$U:$U,GL_Input!$F:$F,$A123,GL_Input!$X:$X,"T",GL_Input!$Y:$Y,3))</f>
        <v>0</v>
      </c>
      <c r="L123" s="53" t="n">
        <f aca="false">IF($A123="",0,SUMIFS(GL_Input!$U:$U,GL_Input!$F:$F,$A123,GL_Input!$X:$X,"S",GL_Input!$Y:$Y,1))</f>
        <v>0</v>
      </c>
      <c r="M123" s="53" t="n">
        <f aca="false">IF($A123="",0,SUMIFS(GL_Input!$U:$U,GL_Input!$F:$F,$A123,GL_Input!$X:$X,"S",GL_Input!$Y:$Y,2))</f>
        <v>0</v>
      </c>
      <c r="N123" s="53" t="n">
        <f aca="false">IF($A123="",0,SUMIFS(GL_Input!$U:$U,GL_Input!$F:$F,$A123,GL_Input!$X:$X,"S",GL_Input!$Y:$Y,3))</f>
        <v>0</v>
      </c>
      <c r="O123" s="54" t="n">
        <f aca="false">SUM(F123:N123)</f>
        <v>0</v>
      </c>
      <c r="P123" s="15" t="str">
        <f aca="false">IF(O123=0,"",IF($D123="","MISSING VAT NO.",IF(OR($C123="",$C123="CY",Counterparties!G123&lt;&gt;"EU"),"NOT AN EU CUSTOMER","OK")))</f>
        <v/>
      </c>
    </row>
    <row r="124" customFormat="false" ht="15" hidden="false" customHeight="false" outlineLevel="0" collapsed="false">
      <c r="A124" s="30" t="str">
        <f aca="false">IF(Counterparties!A124="","",Counterparties!A124)</f>
        <v/>
      </c>
      <c r="B124" s="30" t="str">
        <f aca="false">IF(Counterparties!B124="","",Counterparties!B124)</f>
        <v/>
      </c>
      <c r="C124" s="30" t="str">
        <f aca="false">IF(Counterparties!C124="","",Counterparties!C124)</f>
        <v/>
      </c>
      <c r="D124" s="30" t="str">
        <f aca="false">IF(Counterparties!D124="","",Counterparties!D124)</f>
        <v/>
      </c>
      <c r="E124" s="30" t="str">
        <f aca="false">IF(Counterparties!E124="","",Counterparties!E124)</f>
        <v/>
      </c>
      <c r="F124" s="53" t="n">
        <f aca="false">IF($A124="",0,SUMIFS(GL_Input!$U:$U,GL_Input!$F:$F,$A124,GL_Input!$X:$X,"G",GL_Input!$Y:$Y,1))</f>
        <v>0</v>
      </c>
      <c r="G124" s="53" t="n">
        <f aca="false">IF($A124="",0,SUMIFS(GL_Input!$U:$U,GL_Input!$F:$F,$A124,GL_Input!$X:$X,"G",GL_Input!$Y:$Y,2))</f>
        <v>0</v>
      </c>
      <c r="H124" s="53" t="n">
        <f aca="false">IF($A124="",0,SUMIFS(GL_Input!$U:$U,GL_Input!$F:$F,$A124,GL_Input!$X:$X,"G",GL_Input!$Y:$Y,3))</f>
        <v>0</v>
      </c>
      <c r="I124" s="53" t="n">
        <f aca="false">IF($A124="",0,SUMIFS(GL_Input!$U:$U,GL_Input!$F:$F,$A124,GL_Input!$X:$X,"T",GL_Input!$Y:$Y,1))</f>
        <v>0</v>
      </c>
      <c r="J124" s="53" t="n">
        <f aca="false">IF($A124="",0,SUMIFS(GL_Input!$U:$U,GL_Input!$F:$F,$A124,GL_Input!$X:$X,"T",GL_Input!$Y:$Y,2))</f>
        <v>0</v>
      </c>
      <c r="K124" s="53" t="n">
        <f aca="false">IF($A124="",0,SUMIFS(GL_Input!$U:$U,GL_Input!$F:$F,$A124,GL_Input!$X:$X,"T",GL_Input!$Y:$Y,3))</f>
        <v>0</v>
      </c>
      <c r="L124" s="53" t="n">
        <f aca="false">IF($A124="",0,SUMIFS(GL_Input!$U:$U,GL_Input!$F:$F,$A124,GL_Input!$X:$X,"S",GL_Input!$Y:$Y,1))</f>
        <v>0</v>
      </c>
      <c r="M124" s="53" t="n">
        <f aca="false">IF($A124="",0,SUMIFS(GL_Input!$U:$U,GL_Input!$F:$F,$A124,GL_Input!$X:$X,"S",GL_Input!$Y:$Y,2))</f>
        <v>0</v>
      </c>
      <c r="N124" s="53" t="n">
        <f aca="false">IF($A124="",0,SUMIFS(GL_Input!$U:$U,GL_Input!$F:$F,$A124,GL_Input!$X:$X,"S",GL_Input!$Y:$Y,3))</f>
        <v>0</v>
      </c>
      <c r="O124" s="54" t="n">
        <f aca="false">SUM(F124:N124)</f>
        <v>0</v>
      </c>
      <c r="P124" s="15" t="str">
        <f aca="false">IF(O124=0,"",IF($D124="","MISSING VAT NO.",IF(OR($C124="",$C124="CY",Counterparties!G124&lt;&gt;"EU"),"NOT AN EU CUSTOMER","OK")))</f>
        <v/>
      </c>
    </row>
    <row r="125" customFormat="false" ht="15" hidden="false" customHeight="false" outlineLevel="0" collapsed="false">
      <c r="A125" s="30" t="str">
        <f aca="false">IF(Counterparties!A125="","",Counterparties!A125)</f>
        <v/>
      </c>
      <c r="B125" s="30" t="str">
        <f aca="false">IF(Counterparties!B125="","",Counterparties!B125)</f>
        <v/>
      </c>
      <c r="C125" s="30" t="str">
        <f aca="false">IF(Counterparties!C125="","",Counterparties!C125)</f>
        <v/>
      </c>
      <c r="D125" s="30" t="str">
        <f aca="false">IF(Counterparties!D125="","",Counterparties!D125)</f>
        <v/>
      </c>
      <c r="E125" s="30" t="str">
        <f aca="false">IF(Counterparties!E125="","",Counterparties!E125)</f>
        <v/>
      </c>
      <c r="F125" s="53" t="n">
        <f aca="false">IF($A125="",0,SUMIFS(GL_Input!$U:$U,GL_Input!$F:$F,$A125,GL_Input!$X:$X,"G",GL_Input!$Y:$Y,1))</f>
        <v>0</v>
      </c>
      <c r="G125" s="53" t="n">
        <f aca="false">IF($A125="",0,SUMIFS(GL_Input!$U:$U,GL_Input!$F:$F,$A125,GL_Input!$X:$X,"G",GL_Input!$Y:$Y,2))</f>
        <v>0</v>
      </c>
      <c r="H125" s="53" t="n">
        <f aca="false">IF($A125="",0,SUMIFS(GL_Input!$U:$U,GL_Input!$F:$F,$A125,GL_Input!$X:$X,"G",GL_Input!$Y:$Y,3))</f>
        <v>0</v>
      </c>
      <c r="I125" s="53" t="n">
        <f aca="false">IF($A125="",0,SUMIFS(GL_Input!$U:$U,GL_Input!$F:$F,$A125,GL_Input!$X:$X,"T",GL_Input!$Y:$Y,1))</f>
        <v>0</v>
      </c>
      <c r="J125" s="53" t="n">
        <f aca="false">IF($A125="",0,SUMIFS(GL_Input!$U:$U,GL_Input!$F:$F,$A125,GL_Input!$X:$X,"T",GL_Input!$Y:$Y,2))</f>
        <v>0</v>
      </c>
      <c r="K125" s="53" t="n">
        <f aca="false">IF($A125="",0,SUMIFS(GL_Input!$U:$U,GL_Input!$F:$F,$A125,GL_Input!$X:$X,"T",GL_Input!$Y:$Y,3))</f>
        <v>0</v>
      </c>
      <c r="L125" s="53" t="n">
        <f aca="false">IF($A125="",0,SUMIFS(GL_Input!$U:$U,GL_Input!$F:$F,$A125,GL_Input!$X:$X,"S",GL_Input!$Y:$Y,1))</f>
        <v>0</v>
      </c>
      <c r="M125" s="53" t="n">
        <f aca="false">IF($A125="",0,SUMIFS(GL_Input!$U:$U,GL_Input!$F:$F,$A125,GL_Input!$X:$X,"S",GL_Input!$Y:$Y,2))</f>
        <v>0</v>
      </c>
      <c r="N125" s="53" t="n">
        <f aca="false">IF($A125="",0,SUMIFS(GL_Input!$U:$U,GL_Input!$F:$F,$A125,GL_Input!$X:$X,"S",GL_Input!$Y:$Y,3))</f>
        <v>0</v>
      </c>
      <c r="O125" s="54" t="n">
        <f aca="false">SUM(F125:N125)</f>
        <v>0</v>
      </c>
      <c r="P125" s="15" t="str">
        <f aca="false">IF(O125=0,"",IF($D125="","MISSING VAT NO.",IF(OR($C125="",$C125="CY",Counterparties!G125&lt;&gt;"EU"),"NOT AN EU CUSTOMER","OK")))</f>
        <v/>
      </c>
    </row>
    <row r="126" customFormat="false" ht="15" hidden="false" customHeight="false" outlineLevel="0" collapsed="false">
      <c r="A126" s="30" t="str">
        <f aca="false">IF(Counterparties!A126="","",Counterparties!A126)</f>
        <v/>
      </c>
      <c r="B126" s="30" t="str">
        <f aca="false">IF(Counterparties!B126="","",Counterparties!B126)</f>
        <v/>
      </c>
      <c r="C126" s="30" t="str">
        <f aca="false">IF(Counterparties!C126="","",Counterparties!C126)</f>
        <v/>
      </c>
      <c r="D126" s="30" t="str">
        <f aca="false">IF(Counterparties!D126="","",Counterparties!D126)</f>
        <v/>
      </c>
      <c r="E126" s="30" t="str">
        <f aca="false">IF(Counterparties!E126="","",Counterparties!E126)</f>
        <v/>
      </c>
      <c r="F126" s="53" t="n">
        <f aca="false">IF($A126="",0,SUMIFS(GL_Input!$U:$U,GL_Input!$F:$F,$A126,GL_Input!$X:$X,"G",GL_Input!$Y:$Y,1))</f>
        <v>0</v>
      </c>
      <c r="G126" s="53" t="n">
        <f aca="false">IF($A126="",0,SUMIFS(GL_Input!$U:$U,GL_Input!$F:$F,$A126,GL_Input!$X:$X,"G",GL_Input!$Y:$Y,2))</f>
        <v>0</v>
      </c>
      <c r="H126" s="53" t="n">
        <f aca="false">IF($A126="",0,SUMIFS(GL_Input!$U:$U,GL_Input!$F:$F,$A126,GL_Input!$X:$X,"G",GL_Input!$Y:$Y,3))</f>
        <v>0</v>
      </c>
      <c r="I126" s="53" t="n">
        <f aca="false">IF($A126="",0,SUMIFS(GL_Input!$U:$U,GL_Input!$F:$F,$A126,GL_Input!$X:$X,"T",GL_Input!$Y:$Y,1))</f>
        <v>0</v>
      </c>
      <c r="J126" s="53" t="n">
        <f aca="false">IF($A126="",0,SUMIFS(GL_Input!$U:$U,GL_Input!$F:$F,$A126,GL_Input!$X:$X,"T",GL_Input!$Y:$Y,2))</f>
        <v>0</v>
      </c>
      <c r="K126" s="53" t="n">
        <f aca="false">IF($A126="",0,SUMIFS(GL_Input!$U:$U,GL_Input!$F:$F,$A126,GL_Input!$X:$X,"T",GL_Input!$Y:$Y,3))</f>
        <v>0</v>
      </c>
      <c r="L126" s="53" t="n">
        <f aca="false">IF($A126="",0,SUMIFS(GL_Input!$U:$U,GL_Input!$F:$F,$A126,GL_Input!$X:$X,"S",GL_Input!$Y:$Y,1))</f>
        <v>0</v>
      </c>
      <c r="M126" s="53" t="n">
        <f aca="false">IF($A126="",0,SUMIFS(GL_Input!$U:$U,GL_Input!$F:$F,$A126,GL_Input!$X:$X,"S",GL_Input!$Y:$Y,2))</f>
        <v>0</v>
      </c>
      <c r="N126" s="53" t="n">
        <f aca="false">IF($A126="",0,SUMIFS(GL_Input!$U:$U,GL_Input!$F:$F,$A126,GL_Input!$X:$X,"S",GL_Input!$Y:$Y,3))</f>
        <v>0</v>
      </c>
      <c r="O126" s="54" t="n">
        <f aca="false">SUM(F126:N126)</f>
        <v>0</v>
      </c>
      <c r="P126" s="15" t="str">
        <f aca="false">IF(O126=0,"",IF($D126="","MISSING VAT NO.",IF(OR($C126="",$C126="CY",Counterparties!G126&lt;&gt;"EU"),"NOT AN EU CUSTOMER","OK")))</f>
        <v/>
      </c>
    </row>
    <row r="127" customFormat="false" ht="15" hidden="false" customHeight="false" outlineLevel="0" collapsed="false">
      <c r="A127" s="30" t="str">
        <f aca="false">IF(Counterparties!A127="","",Counterparties!A127)</f>
        <v/>
      </c>
      <c r="B127" s="30" t="str">
        <f aca="false">IF(Counterparties!B127="","",Counterparties!B127)</f>
        <v/>
      </c>
      <c r="C127" s="30" t="str">
        <f aca="false">IF(Counterparties!C127="","",Counterparties!C127)</f>
        <v/>
      </c>
      <c r="D127" s="30" t="str">
        <f aca="false">IF(Counterparties!D127="","",Counterparties!D127)</f>
        <v/>
      </c>
      <c r="E127" s="30" t="str">
        <f aca="false">IF(Counterparties!E127="","",Counterparties!E127)</f>
        <v/>
      </c>
      <c r="F127" s="53" t="n">
        <f aca="false">IF($A127="",0,SUMIFS(GL_Input!$U:$U,GL_Input!$F:$F,$A127,GL_Input!$X:$X,"G",GL_Input!$Y:$Y,1))</f>
        <v>0</v>
      </c>
      <c r="G127" s="53" t="n">
        <f aca="false">IF($A127="",0,SUMIFS(GL_Input!$U:$U,GL_Input!$F:$F,$A127,GL_Input!$X:$X,"G",GL_Input!$Y:$Y,2))</f>
        <v>0</v>
      </c>
      <c r="H127" s="53" t="n">
        <f aca="false">IF($A127="",0,SUMIFS(GL_Input!$U:$U,GL_Input!$F:$F,$A127,GL_Input!$X:$X,"G",GL_Input!$Y:$Y,3))</f>
        <v>0</v>
      </c>
      <c r="I127" s="53" t="n">
        <f aca="false">IF($A127="",0,SUMIFS(GL_Input!$U:$U,GL_Input!$F:$F,$A127,GL_Input!$X:$X,"T",GL_Input!$Y:$Y,1))</f>
        <v>0</v>
      </c>
      <c r="J127" s="53" t="n">
        <f aca="false">IF($A127="",0,SUMIFS(GL_Input!$U:$U,GL_Input!$F:$F,$A127,GL_Input!$X:$X,"T",GL_Input!$Y:$Y,2))</f>
        <v>0</v>
      </c>
      <c r="K127" s="53" t="n">
        <f aca="false">IF($A127="",0,SUMIFS(GL_Input!$U:$U,GL_Input!$F:$F,$A127,GL_Input!$X:$X,"T",GL_Input!$Y:$Y,3))</f>
        <v>0</v>
      </c>
      <c r="L127" s="53" t="n">
        <f aca="false">IF($A127="",0,SUMIFS(GL_Input!$U:$U,GL_Input!$F:$F,$A127,GL_Input!$X:$X,"S",GL_Input!$Y:$Y,1))</f>
        <v>0</v>
      </c>
      <c r="M127" s="53" t="n">
        <f aca="false">IF($A127="",0,SUMIFS(GL_Input!$U:$U,GL_Input!$F:$F,$A127,GL_Input!$X:$X,"S",GL_Input!$Y:$Y,2))</f>
        <v>0</v>
      </c>
      <c r="N127" s="53" t="n">
        <f aca="false">IF($A127="",0,SUMIFS(GL_Input!$U:$U,GL_Input!$F:$F,$A127,GL_Input!$X:$X,"S",GL_Input!$Y:$Y,3))</f>
        <v>0</v>
      </c>
      <c r="O127" s="54" t="n">
        <f aca="false">SUM(F127:N127)</f>
        <v>0</v>
      </c>
      <c r="P127" s="15" t="str">
        <f aca="false">IF(O127=0,"",IF($D127="","MISSING VAT NO.",IF(OR($C127="",$C127="CY",Counterparties!G127&lt;&gt;"EU"),"NOT AN EU CUSTOMER","OK")))</f>
        <v/>
      </c>
    </row>
    <row r="128" customFormat="false" ht="15" hidden="false" customHeight="false" outlineLevel="0" collapsed="false">
      <c r="A128" s="30" t="str">
        <f aca="false">IF(Counterparties!A128="","",Counterparties!A128)</f>
        <v/>
      </c>
      <c r="B128" s="30" t="str">
        <f aca="false">IF(Counterparties!B128="","",Counterparties!B128)</f>
        <v/>
      </c>
      <c r="C128" s="30" t="str">
        <f aca="false">IF(Counterparties!C128="","",Counterparties!C128)</f>
        <v/>
      </c>
      <c r="D128" s="30" t="str">
        <f aca="false">IF(Counterparties!D128="","",Counterparties!D128)</f>
        <v/>
      </c>
      <c r="E128" s="30" t="str">
        <f aca="false">IF(Counterparties!E128="","",Counterparties!E128)</f>
        <v/>
      </c>
      <c r="F128" s="53" t="n">
        <f aca="false">IF($A128="",0,SUMIFS(GL_Input!$U:$U,GL_Input!$F:$F,$A128,GL_Input!$X:$X,"G",GL_Input!$Y:$Y,1))</f>
        <v>0</v>
      </c>
      <c r="G128" s="53" t="n">
        <f aca="false">IF($A128="",0,SUMIFS(GL_Input!$U:$U,GL_Input!$F:$F,$A128,GL_Input!$X:$X,"G",GL_Input!$Y:$Y,2))</f>
        <v>0</v>
      </c>
      <c r="H128" s="53" t="n">
        <f aca="false">IF($A128="",0,SUMIFS(GL_Input!$U:$U,GL_Input!$F:$F,$A128,GL_Input!$X:$X,"G",GL_Input!$Y:$Y,3))</f>
        <v>0</v>
      </c>
      <c r="I128" s="53" t="n">
        <f aca="false">IF($A128="",0,SUMIFS(GL_Input!$U:$U,GL_Input!$F:$F,$A128,GL_Input!$X:$X,"T",GL_Input!$Y:$Y,1))</f>
        <v>0</v>
      </c>
      <c r="J128" s="53" t="n">
        <f aca="false">IF($A128="",0,SUMIFS(GL_Input!$U:$U,GL_Input!$F:$F,$A128,GL_Input!$X:$X,"T",GL_Input!$Y:$Y,2))</f>
        <v>0</v>
      </c>
      <c r="K128" s="53" t="n">
        <f aca="false">IF($A128="",0,SUMIFS(GL_Input!$U:$U,GL_Input!$F:$F,$A128,GL_Input!$X:$X,"T",GL_Input!$Y:$Y,3))</f>
        <v>0</v>
      </c>
      <c r="L128" s="53" t="n">
        <f aca="false">IF($A128="",0,SUMIFS(GL_Input!$U:$U,GL_Input!$F:$F,$A128,GL_Input!$X:$X,"S",GL_Input!$Y:$Y,1))</f>
        <v>0</v>
      </c>
      <c r="M128" s="53" t="n">
        <f aca="false">IF($A128="",0,SUMIFS(GL_Input!$U:$U,GL_Input!$F:$F,$A128,GL_Input!$X:$X,"S",GL_Input!$Y:$Y,2))</f>
        <v>0</v>
      </c>
      <c r="N128" s="53" t="n">
        <f aca="false">IF($A128="",0,SUMIFS(GL_Input!$U:$U,GL_Input!$F:$F,$A128,GL_Input!$X:$X,"S",GL_Input!$Y:$Y,3))</f>
        <v>0</v>
      </c>
      <c r="O128" s="54" t="n">
        <f aca="false">SUM(F128:N128)</f>
        <v>0</v>
      </c>
      <c r="P128" s="15" t="str">
        <f aca="false">IF(O128=0,"",IF($D128="","MISSING VAT NO.",IF(OR($C128="",$C128="CY",Counterparties!G128&lt;&gt;"EU"),"NOT AN EU CUSTOMER","OK")))</f>
        <v/>
      </c>
    </row>
    <row r="129" customFormat="false" ht="15" hidden="false" customHeight="false" outlineLevel="0" collapsed="false">
      <c r="A129" s="30" t="str">
        <f aca="false">IF(Counterparties!A129="","",Counterparties!A129)</f>
        <v/>
      </c>
      <c r="B129" s="30" t="str">
        <f aca="false">IF(Counterparties!B129="","",Counterparties!B129)</f>
        <v/>
      </c>
      <c r="C129" s="30" t="str">
        <f aca="false">IF(Counterparties!C129="","",Counterparties!C129)</f>
        <v/>
      </c>
      <c r="D129" s="30" t="str">
        <f aca="false">IF(Counterparties!D129="","",Counterparties!D129)</f>
        <v/>
      </c>
      <c r="E129" s="30" t="str">
        <f aca="false">IF(Counterparties!E129="","",Counterparties!E129)</f>
        <v/>
      </c>
      <c r="F129" s="53" t="n">
        <f aca="false">IF($A129="",0,SUMIFS(GL_Input!$U:$U,GL_Input!$F:$F,$A129,GL_Input!$X:$X,"G",GL_Input!$Y:$Y,1))</f>
        <v>0</v>
      </c>
      <c r="G129" s="53" t="n">
        <f aca="false">IF($A129="",0,SUMIFS(GL_Input!$U:$U,GL_Input!$F:$F,$A129,GL_Input!$X:$X,"G",GL_Input!$Y:$Y,2))</f>
        <v>0</v>
      </c>
      <c r="H129" s="53" t="n">
        <f aca="false">IF($A129="",0,SUMIFS(GL_Input!$U:$U,GL_Input!$F:$F,$A129,GL_Input!$X:$X,"G",GL_Input!$Y:$Y,3))</f>
        <v>0</v>
      </c>
      <c r="I129" s="53" t="n">
        <f aca="false">IF($A129="",0,SUMIFS(GL_Input!$U:$U,GL_Input!$F:$F,$A129,GL_Input!$X:$X,"T",GL_Input!$Y:$Y,1))</f>
        <v>0</v>
      </c>
      <c r="J129" s="53" t="n">
        <f aca="false">IF($A129="",0,SUMIFS(GL_Input!$U:$U,GL_Input!$F:$F,$A129,GL_Input!$X:$X,"T",GL_Input!$Y:$Y,2))</f>
        <v>0</v>
      </c>
      <c r="K129" s="53" t="n">
        <f aca="false">IF($A129="",0,SUMIFS(GL_Input!$U:$U,GL_Input!$F:$F,$A129,GL_Input!$X:$X,"T",GL_Input!$Y:$Y,3))</f>
        <v>0</v>
      </c>
      <c r="L129" s="53" t="n">
        <f aca="false">IF($A129="",0,SUMIFS(GL_Input!$U:$U,GL_Input!$F:$F,$A129,GL_Input!$X:$X,"S",GL_Input!$Y:$Y,1))</f>
        <v>0</v>
      </c>
      <c r="M129" s="53" t="n">
        <f aca="false">IF($A129="",0,SUMIFS(GL_Input!$U:$U,GL_Input!$F:$F,$A129,GL_Input!$X:$X,"S",GL_Input!$Y:$Y,2))</f>
        <v>0</v>
      </c>
      <c r="N129" s="53" t="n">
        <f aca="false">IF($A129="",0,SUMIFS(GL_Input!$U:$U,GL_Input!$F:$F,$A129,GL_Input!$X:$X,"S",GL_Input!$Y:$Y,3))</f>
        <v>0</v>
      </c>
      <c r="O129" s="54" t="n">
        <f aca="false">SUM(F129:N129)</f>
        <v>0</v>
      </c>
      <c r="P129" s="15" t="str">
        <f aca="false">IF(O129=0,"",IF($D129="","MISSING VAT NO.",IF(OR($C129="",$C129="CY",Counterparties!G129&lt;&gt;"EU"),"NOT AN EU CUSTOMER","OK")))</f>
        <v/>
      </c>
    </row>
    <row r="130" customFormat="false" ht="15" hidden="false" customHeight="false" outlineLevel="0" collapsed="false">
      <c r="A130" s="30" t="str">
        <f aca="false">IF(Counterparties!A130="","",Counterparties!A130)</f>
        <v/>
      </c>
      <c r="B130" s="30" t="str">
        <f aca="false">IF(Counterparties!B130="","",Counterparties!B130)</f>
        <v/>
      </c>
      <c r="C130" s="30" t="str">
        <f aca="false">IF(Counterparties!C130="","",Counterparties!C130)</f>
        <v/>
      </c>
      <c r="D130" s="30" t="str">
        <f aca="false">IF(Counterparties!D130="","",Counterparties!D130)</f>
        <v/>
      </c>
      <c r="E130" s="30" t="str">
        <f aca="false">IF(Counterparties!E130="","",Counterparties!E130)</f>
        <v/>
      </c>
      <c r="F130" s="53" t="n">
        <f aca="false">IF($A130="",0,SUMIFS(GL_Input!$U:$U,GL_Input!$F:$F,$A130,GL_Input!$X:$X,"G",GL_Input!$Y:$Y,1))</f>
        <v>0</v>
      </c>
      <c r="G130" s="53" t="n">
        <f aca="false">IF($A130="",0,SUMIFS(GL_Input!$U:$U,GL_Input!$F:$F,$A130,GL_Input!$X:$X,"G",GL_Input!$Y:$Y,2))</f>
        <v>0</v>
      </c>
      <c r="H130" s="53" t="n">
        <f aca="false">IF($A130="",0,SUMIFS(GL_Input!$U:$U,GL_Input!$F:$F,$A130,GL_Input!$X:$X,"G",GL_Input!$Y:$Y,3))</f>
        <v>0</v>
      </c>
      <c r="I130" s="53" t="n">
        <f aca="false">IF($A130="",0,SUMIFS(GL_Input!$U:$U,GL_Input!$F:$F,$A130,GL_Input!$X:$X,"T",GL_Input!$Y:$Y,1))</f>
        <v>0</v>
      </c>
      <c r="J130" s="53" t="n">
        <f aca="false">IF($A130="",0,SUMIFS(GL_Input!$U:$U,GL_Input!$F:$F,$A130,GL_Input!$X:$X,"T",GL_Input!$Y:$Y,2))</f>
        <v>0</v>
      </c>
      <c r="K130" s="53" t="n">
        <f aca="false">IF($A130="",0,SUMIFS(GL_Input!$U:$U,GL_Input!$F:$F,$A130,GL_Input!$X:$X,"T",GL_Input!$Y:$Y,3))</f>
        <v>0</v>
      </c>
      <c r="L130" s="53" t="n">
        <f aca="false">IF($A130="",0,SUMIFS(GL_Input!$U:$U,GL_Input!$F:$F,$A130,GL_Input!$X:$X,"S",GL_Input!$Y:$Y,1))</f>
        <v>0</v>
      </c>
      <c r="M130" s="53" t="n">
        <f aca="false">IF($A130="",0,SUMIFS(GL_Input!$U:$U,GL_Input!$F:$F,$A130,GL_Input!$X:$X,"S",GL_Input!$Y:$Y,2))</f>
        <v>0</v>
      </c>
      <c r="N130" s="53" t="n">
        <f aca="false">IF($A130="",0,SUMIFS(GL_Input!$U:$U,GL_Input!$F:$F,$A130,GL_Input!$X:$X,"S",GL_Input!$Y:$Y,3))</f>
        <v>0</v>
      </c>
      <c r="O130" s="54" t="n">
        <f aca="false">SUM(F130:N130)</f>
        <v>0</v>
      </c>
      <c r="P130" s="15" t="str">
        <f aca="false">IF(O130=0,"",IF($D130="","MISSING VAT NO.",IF(OR($C130="",$C130="CY",Counterparties!G130&lt;&gt;"EU"),"NOT AN EU CUSTOMER","OK")))</f>
        <v/>
      </c>
    </row>
    <row r="131" customFormat="false" ht="15" hidden="false" customHeight="false" outlineLevel="0" collapsed="false">
      <c r="A131" s="30" t="str">
        <f aca="false">IF(Counterparties!A131="","",Counterparties!A131)</f>
        <v/>
      </c>
      <c r="B131" s="30" t="str">
        <f aca="false">IF(Counterparties!B131="","",Counterparties!B131)</f>
        <v/>
      </c>
      <c r="C131" s="30" t="str">
        <f aca="false">IF(Counterparties!C131="","",Counterparties!C131)</f>
        <v/>
      </c>
      <c r="D131" s="30" t="str">
        <f aca="false">IF(Counterparties!D131="","",Counterparties!D131)</f>
        <v/>
      </c>
      <c r="E131" s="30" t="str">
        <f aca="false">IF(Counterparties!E131="","",Counterparties!E131)</f>
        <v/>
      </c>
      <c r="F131" s="53" t="n">
        <f aca="false">IF($A131="",0,SUMIFS(GL_Input!$U:$U,GL_Input!$F:$F,$A131,GL_Input!$X:$X,"G",GL_Input!$Y:$Y,1))</f>
        <v>0</v>
      </c>
      <c r="G131" s="53" t="n">
        <f aca="false">IF($A131="",0,SUMIFS(GL_Input!$U:$U,GL_Input!$F:$F,$A131,GL_Input!$X:$X,"G",GL_Input!$Y:$Y,2))</f>
        <v>0</v>
      </c>
      <c r="H131" s="53" t="n">
        <f aca="false">IF($A131="",0,SUMIFS(GL_Input!$U:$U,GL_Input!$F:$F,$A131,GL_Input!$X:$X,"G",GL_Input!$Y:$Y,3))</f>
        <v>0</v>
      </c>
      <c r="I131" s="53" t="n">
        <f aca="false">IF($A131="",0,SUMIFS(GL_Input!$U:$U,GL_Input!$F:$F,$A131,GL_Input!$X:$X,"T",GL_Input!$Y:$Y,1))</f>
        <v>0</v>
      </c>
      <c r="J131" s="53" t="n">
        <f aca="false">IF($A131="",0,SUMIFS(GL_Input!$U:$U,GL_Input!$F:$F,$A131,GL_Input!$X:$X,"T",GL_Input!$Y:$Y,2))</f>
        <v>0</v>
      </c>
      <c r="K131" s="53" t="n">
        <f aca="false">IF($A131="",0,SUMIFS(GL_Input!$U:$U,GL_Input!$F:$F,$A131,GL_Input!$X:$X,"T",GL_Input!$Y:$Y,3))</f>
        <v>0</v>
      </c>
      <c r="L131" s="53" t="n">
        <f aca="false">IF($A131="",0,SUMIFS(GL_Input!$U:$U,GL_Input!$F:$F,$A131,GL_Input!$X:$X,"S",GL_Input!$Y:$Y,1))</f>
        <v>0</v>
      </c>
      <c r="M131" s="53" t="n">
        <f aca="false">IF($A131="",0,SUMIFS(GL_Input!$U:$U,GL_Input!$F:$F,$A131,GL_Input!$X:$X,"S",GL_Input!$Y:$Y,2))</f>
        <v>0</v>
      </c>
      <c r="N131" s="53" t="n">
        <f aca="false">IF($A131="",0,SUMIFS(GL_Input!$U:$U,GL_Input!$F:$F,$A131,GL_Input!$X:$X,"S",GL_Input!$Y:$Y,3))</f>
        <v>0</v>
      </c>
      <c r="O131" s="54" t="n">
        <f aca="false">SUM(F131:N131)</f>
        <v>0</v>
      </c>
      <c r="P131" s="15" t="str">
        <f aca="false">IF(O131=0,"",IF($D131="","MISSING VAT NO.",IF(OR($C131="",$C131="CY",Counterparties!G131&lt;&gt;"EU"),"NOT AN EU CUSTOMER","OK")))</f>
        <v/>
      </c>
    </row>
    <row r="132" customFormat="false" ht="15" hidden="false" customHeight="false" outlineLevel="0" collapsed="false">
      <c r="A132" s="30" t="str">
        <f aca="false">IF(Counterparties!A132="","",Counterparties!A132)</f>
        <v/>
      </c>
      <c r="B132" s="30" t="str">
        <f aca="false">IF(Counterparties!B132="","",Counterparties!B132)</f>
        <v/>
      </c>
      <c r="C132" s="30" t="str">
        <f aca="false">IF(Counterparties!C132="","",Counterparties!C132)</f>
        <v/>
      </c>
      <c r="D132" s="30" t="str">
        <f aca="false">IF(Counterparties!D132="","",Counterparties!D132)</f>
        <v/>
      </c>
      <c r="E132" s="30" t="str">
        <f aca="false">IF(Counterparties!E132="","",Counterparties!E132)</f>
        <v/>
      </c>
      <c r="F132" s="53" t="n">
        <f aca="false">IF($A132="",0,SUMIFS(GL_Input!$U:$U,GL_Input!$F:$F,$A132,GL_Input!$X:$X,"G",GL_Input!$Y:$Y,1))</f>
        <v>0</v>
      </c>
      <c r="G132" s="53" t="n">
        <f aca="false">IF($A132="",0,SUMIFS(GL_Input!$U:$U,GL_Input!$F:$F,$A132,GL_Input!$X:$X,"G",GL_Input!$Y:$Y,2))</f>
        <v>0</v>
      </c>
      <c r="H132" s="53" t="n">
        <f aca="false">IF($A132="",0,SUMIFS(GL_Input!$U:$U,GL_Input!$F:$F,$A132,GL_Input!$X:$X,"G",GL_Input!$Y:$Y,3))</f>
        <v>0</v>
      </c>
      <c r="I132" s="53" t="n">
        <f aca="false">IF($A132="",0,SUMIFS(GL_Input!$U:$U,GL_Input!$F:$F,$A132,GL_Input!$X:$X,"T",GL_Input!$Y:$Y,1))</f>
        <v>0</v>
      </c>
      <c r="J132" s="53" t="n">
        <f aca="false">IF($A132="",0,SUMIFS(GL_Input!$U:$U,GL_Input!$F:$F,$A132,GL_Input!$X:$X,"T",GL_Input!$Y:$Y,2))</f>
        <v>0</v>
      </c>
      <c r="K132" s="53" t="n">
        <f aca="false">IF($A132="",0,SUMIFS(GL_Input!$U:$U,GL_Input!$F:$F,$A132,GL_Input!$X:$X,"T",GL_Input!$Y:$Y,3))</f>
        <v>0</v>
      </c>
      <c r="L132" s="53" t="n">
        <f aca="false">IF($A132="",0,SUMIFS(GL_Input!$U:$U,GL_Input!$F:$F,$A132,GL_Input!$X:$X,"S",GL_Input!$Y:$Y,1))</f>
        <v>0</v>
      </c>
      <c r="M132" s="53" t="n">
        <f aca="false">IF($A132="",0,SUMIFS(GL_Input!$U:$U,GL_Input!$F:$F,$A132,GL_Input!$X:$X,"S",GL_Input!$Y:$Y,2))</f>
        <v>0</v>
      </c>
      <c r="N132" s="53" t="n">
        <f aca="false">IF($A132="",0,SUMIFS(GL_Input!$U:$U,GL_Input!$F:$F,$A132,GL_Input!$X:$X,"S",GL_Input!$Y:$Y,3))</f>
        <v>0</v>
      </c>
      <c r="O132" s="54" t="n">
        <f aca="false">SUM(F132:N132)</f>
        <v>0</v>
      </c>
      <c r="P132" s="15" t="str">
        <f aca="false">IF(O132=0,"",IF($D132="","MISSING VAT NO.",IF(OR($C132="",$C132="CY",Counterparties!G132&lt;&gt;"EU"),"NOT AN EU CUSTOMER","OK")))</f>
        <v/>
      </c>
    </row>
    <row r="133" customFormat="false" ht="15" hidden="false" customHeight="false" outlineLevel="0" collapsed="false">
      <c r="A133" s="30" t="str">
        <f aca="false">IF(Counterparties!A133="","",Counterparties!A133)</f>
        <v/>
      </c>
      <c r="B133" s="30" t="str">
        <f aca="false">IF(Counterparties!B133="","",Counterparties!B133)</f>
        <v/>
      </c>
      <c r="C133" s="30" t="str">
        <f aca="false">IF(Counterparties!C133="","",Counterparties!C133)</f>
        <v/>
      </c>
      <c r="D133" s="30" t="str">
        <f aca="false">IF(Counterparties!D133="","",Counterparties!D133)</f>
        <v/>
      </c>
      <c r="E133" s="30" t="str">
        <f aca="false">IF(Counterparties!E133="","",Counterparties!E133)</f>
        <v/>
      </c>
      <c r="F133" s="53" t="n">
        <f aca="false">IF($A133="",0,SUMIFS(GL_Input!$U:$U,GL_Input!$F:$F,$A133,GL_Input!$X:$X,"G",GL_Input!$Y:$Y,1))</f>
        <v>0</v>
      </c>
      <c r="G133" s="53" t="n">
        <f aca="false">IF($A133="",0,SUMIFS(GL_Input!$U:$U,GL_Input!$F:$F,$A133,GL_Input!$X:$X,"G",GL_Input!$Y:$Y,2))</f>
        <v>0</v>
      </c>
      <c r="H133" s="53" t="n">
        <f aca="false">IF($A133="",0,SUMIFS(GL_Input!$U:$U,GL_Input!$F:$F,$A133,GL_Input!$X:$X,"G",GL_Input!$Y:$Y,3))</f>
        <v>0</v>
      </c>
      <c r="I133" s="53" t="n">
        <f aca="false">IF($A133="",0,SUMIFS(GL_Input!$U:$U,GL_Input!$F:$F,$A133,GL_Input!$X:$X,"T",GL_Input!$Y:$Y,1))</f>
        <v>0</v>
      </c>
      <c r="J133" s="53" t="n">
        <f aca="false">IF($A133="",0,SUMIFS(GL_Input!$U:$U,GL_Input!$F:$F,$A133,GL_Input!$X:$X,"T",GL_Input!$Y:$Y,2))</f>
        <v>0</v>
      </c>
      <c r="K133" s="53" t="n">
        <f aca="false">IF($A133="",0,SUMIFS(GL_Input!$U:$U,GL_Input!$F:$F,$A133,GL_Input!$X:$X,"T",GL_Input!$Y:$Y,3))</f>
        <v>0</v>
      </c>
      <c r="L133" s="53" t="n">
        <f aca="false">IF($A133="",0,SUMIFS(GL_Input!$U:$U,GL_Input!$F:$F,$A133,GL_Input!$X:$X,"S",GL_Input!$Y:$Y,1))</f>
        <v>0</v>
      </c>
      <c r="M133" s="53" t="n">
        <f aca="false">IF($A133="",0,SUMIFS(GL_Input!$U:$U,GL_Input!$F:$F,$A133,GL_Input!$X:$X,"S",GL_Input!$Y:$Y,2))</f>
        <v>0</v>
      </c>
      <c r="N133" s="53" t="n">
        <f aca="false">IF($A133="",0,SUMIFS(GL_Input!$U:$U,GL_Input!$F:$F,$A133,GL_Input!$X:$X,"S",GL_Input!$Y:$Y,3))</f>
        <v>0</v>
      </c>
      <c r="O133" s="54" t="n">
        <f aca="false">SUM(F133:N133)</f>
        <v>0</v>
      </c>
      <c r="P133" s="15" t="str">
        <f aca="false">IF(O133=0,"",IF($D133="","MISSING VAT NO.",IF(OR($C133="",$C133="CY",Counterparties!G133&lt;&gt;"EU"),"NOT AN EU CUSTOMER","OK")))</f>
        <v/>
      </c>
    </row>
    <row r="134" customFormat="false" ht="15" hidden="false" customHeight="false" outlineLevel="0" collapsed="false">
      <c r="A134" s="30" t="str">
        <f aca="false">IF(Counterparties!A134="","",Counterparties!A134)</f>
        <v/>
      </c>
      <c r="B134" s="30" t="str">
        <f aca="false">IF(Counterparties!B134="","",Counterparties!B134)</f>
        <v/>
      </c>
      <c r="C134" s="30" t="str">
        <f aca="false">IF(Counterparties!C134="","",Counterparties!C134)</f>
        <v/>
      </c>
      <c r="D134" s="30" t="str">
        <f aca="false">IF(Counterparties!D134="","",Counterparties!D134)</f>
        <v/>
      </c>
      <c r="E134" s="30" t="str">
        <f aca="false">IF(Counterparties!E134="","",Counterparties!E134)</f>
        <v/>
      </c>
      <c r="F134" s="53" t="n">
        <f aca="false">IF($A134="",0,SUMIFS(GL_Input!$U:$U,GL_Input!$F:$F,$A134,GL_Input!$X:$X,"G",GL_Input!$Y:$Y,1))</f>
        <v>0</v>
      </c>
      <c r="G134" s="53" t="n">
        <f aca="false">IF($A134="",0,SUMIFS(GL_Input!$U:$U,GL_Input!$F:$F,$A134,GL_Input!$X:$X,"G",GL_Input!$Y:$Y,2))</f>
        <v>0</v>
      </c>
      <c r="H134" s="53" t="n">
        <f aca="false">IF($A134="",0,SUMIFS(GL_Input!$U:$U,GL_Input!$F:$F,$A134,GL_Input!$X:$X,"G",GL_Input!$Y:$Y,3))</f>
        <v>0</v>
      </c>
      <c r="I134" s="53" t="n">
        <f aca="false">IF($A134="",0,SUMIFS(GL_Input!$U:$U,GL_Input!$F:$F,$A134,GL_Input!$X:$X,"T",GL_Input!$Y:$Y,1))</f>
        <v>0</v>
      </c>
      <c r="J134" s="53" t="n">
        <f aca="false">IF($A134="",0,SUMIFS(GL_Input!$U:$U,GL_Input!$F:$F,$A134,GL_Input!$X:$X,"T",GL_Input!$Y:$Y,2))</f>
        <v>0</v>
      </c>
      <c r="K134" s="53" t="n">
        <f aca="false">IF($A134="",0,SUMIFS(GL_Input!$U:$U,GL_Input!$F:$F,$A134,GL_Input!$X:$X,"T",GL_Input!$Y:$Y,3))</f>
        <v>0</v>
      </c>
      <c r="L134" s="53" t="n">
        <f aca="false">IF($A134="",0,SUMIFS(GL_Input!$U:$U,GL_Input!$F:$F,$A134,GL_Input!$X:$X,"S",GL_Input!$Y:$Y,1))</f>
        <v>0</v>
      </c>
      <c r="M134" s="53" t="n">
        <f aca="false">IF($A134="",0,SUMIFS(GL_Input!$U:$U,GL_Input!$F:$F,$A134,GL_Input!$X:$X,"S",GL_Input!$Y:$Y,2))</f>
        <v>0</v>
      </c>
      <c r="N134" s="53" t="n">
        <f aca="false">IF($A134="",0,SUMIFS(GL_Input!$U:$U,GL_Input!$F:$F,$A134,GL_Input!$X:$X,"S",GL_Input!$Y:$Y,3))</f>
        <v>0</v>
      </c>
      <c r="O134" s="54" t="n">
        <f aca="false">SUM(F134:N134)</f>
        <v>0</v>
      </c>
      <c r="P134" s="15" t="str">
        <f aca="false">IF(O134=0,"",IF($D134="","MISSING VAT NO.",IF(OR($C134="",$C134="CY",Counterparties!G134&lt;&gt;"EU"),"NOT AN EU CUSTOMER","OK")))</f>
        <v/>
      </c>
    </row>
    <row r="135" customFormat="false" ht="15" hidden="false" customHeight="false" outlineLevel="0" collapsed="false">
      <c r="A135" s="30" t="str">
        <f aca="false">IF(Counterparties!A135="","",Counterparties!A135)</f>
        <v/>
      </c>
      <c r="B135" s="30" t="str">
        <f aca="false">IF(Counterparties!B135="","",Counterparties!B135)</f>
        <v/>
      </c>
      <c r="C135" s="30" t="str">
        <f aca="false">IF(Counterparties!C135="","",Counterparties!C135)</f>
        <v/>
      </c>
      <c r="D135" s="30" t="str">
        <f aca="false">IF(Counterparties!D135="","",Counterparties!D135)</f>
        <v/>
      </c>
      <c r="E135" s="30" t="str">
        <f aca="false">IF(Counterparties!E135="","",Counterparties!E135)</f>
        <v/>
      </c>
      <c r="F135" s="53" t="n">
        <f aca="false">IF($A135="",0,SUMIFS(GL_Input!$U:$U,GL_Input!$F:$F,$A135,GL_Input!$X:$X,"G",GL_Input!$Y:$Y,1))</f>
        <v>0</v>
      </c>
      <c r="G135" s="53" t="n">
        <f aca="false">IF($A135="",0,SUMIFS(GL_Input!$U:$U,GL_Input!$F:$F,$A135,GL_Input!$X:$X,"G",GL_Input!$Y:$Y,2))</f>
        <v>0</v>
      </c>
      <c r="H135" s="53" t="n">
        <f aca="false">IF($A135="",0,SUMIFS(GL_Input!$U:$U,GL_Input!$F:$F,$A135,GL_Input!$X:$X,"G",GL_Input!$Y:$Y,3))</f>
        <v>0</v>
      </c>
      <c r="I135" s="53" t="n">
        <f aca="false">IF($A135="",0,SUMIFS(GL_Input!$U:$U,GL_Input!$F:$F,$A135,GL_Input!$X:$X,"T",GL_Input!$Y:$Y,1))</f>
        <v>0</v>
      </c>
      <c r="J135" s="53" t="n">
        <f aca="false">IF($A135="",0,SUMIFS(GL_Input!$U:$U,GL_Input!$F:$F,$A135,GL_Input!$X:$X,"T",GL_Input!$Y:$Y,2))</f>
        <v>0</v>
      </c>
      <c r="K135" s="53" t="n">
        <f aca="false">IF($A135="",0,SUMIFS(GL_Input!$U:$U,GL_Input!$F:$F,$A135,GL_Input!$X:$X,"T",GL_Input!$Y:$Y,3))</f>
        <v>0</v>
      </c>
      <c r="L135" s="53" t="n">
        <f aca="false">IF($A135="",0,SUMIFS(GL_Input!$U:$U,GL_Input!$F:$F,$A135,GL_Input!$X:$X,"S",GL_Input!$Y:$Y,1))</f>
        <v>0</v>
      </c>
      <c r="M135" s="53" t="n">
        <f aca="false">IF($A135="",0,SUMIFS(GL_Input!$U:$U,GL_Input!$F:$F,$A135,GL_Input!$X:$X,"S",GL_Input!$Y:$Y,2))</f>
        <v>0</v>
      </c>
      <c r="N135" s="53" t="n">
        <f aca="false">IF($A135="",0,SUMIFS(GL_Input!$U:$U,GL_Input!$F:$F,$A135,GL_Input!$X:$X,"S",GL_Input!$Y:$Y,3))</f>
        <v>0</v>
      </c>
      <c r="O135" s="54" t="n">
        <f aca="false">SUM(F135:N135)</f>
        <v>0</v>
      </c>
      <c r="P135" s="15" t="str">
        <f aca="false">IF(O135=0,"",IF($D135="","MISSING VAT NO.",IF(OR($C135="",$C135="CY",Counterparties!G135&lt;&gt;"EU"),"NOT AN EU CUSTOMER","OK")))</f>
        <v/>
      </c>
    </row>
    <row r="136" customFormat="false" ht="15" hidden="false" customHeight="false" outlineLevel="0" collapsed="false">
      <c r="A136" s="30" t="str">
        <f aca="false">IF(Counterparties!A136="","",Counterparties!A136)</f>
        <v/>
      </c>
      <c r="B136" s="30" t="str">
        <f aca="false">IF(Counterparties!B136="","",Counterparties!B136)</f>
        <v/>
      </c>
      <c r="C136" s="30" t="str">
        <f aca="false">IF(Counterparties!C136="","",Counterparties!C136)</f>
        <v/>
      </c>
      <c r="D136" s="30" t="str">
        <f aca="false">IF(Counterparties!D136="","",Counterparties!D136)</f>
        <v/>
      </c>
      <c r="E136" s="30" t="str">
        <f aca="false">IF(Counterparties!E136="","",Counterparties!E136)</f>
        <v/>
      </c>
      <c r="F136" s="53" t="n">
        <f aca="false">IF($A136="",0,SUMIFS(GL_Input!$U:$U,GL_Input!$F:$F,$A136,GL_Input!$X:$X,"G",GL_Input!$Y:$Y,1))</f>
        <v>0</v>
      </c>
      <c r="G136" s="53" t="n">
        <f aca="false">IF($A136="",0,SUMIFS(GL_Input!$U:$U,GL_Input!$F:$F,$A136,GL_Input!$X:$X,"G",GL_Input!$Y:$Y,2))</f>
        <v>0</v>
      </c>
      <c r="H136" s="53" t="n">
        <f aca="false">IF($A136="",0,SUMIFS(GL_Input!$U:$U,GL_Input!$F:$F,$A136,GL_Input!$X:$X,"G",GL_Input!$Y:$Y,3))</f>
        <v>0</v>
      </c>
      <c r="I136" s="53" t="n">
        <f aca="false">IF($A136="",0,SUMIFS(GL_Input!$U:$U,GL_Input!$F:$F,$A136,GL_Input!$X:$X,"T",GL_Input!$Y:$Y,1))</f>
        <v>0</v>
      </c>
      <c r="J136" s="53" t="n">
        <f aca="false">IF($A136="",0,SUMIFS(GL_Input!$U:$U,GL_Input!$F:$F,$A136,GL_Input!$X:$X,"T",GL_Input!$Y:$Y,2))</f>
        <v>0</v>
      </c>
      <c r="K136" s="53" t="n">
        <f aca="false">IF($A136="",0,SUMIFS(GL_Input!$U:$U,GL_Input!$F:$F,$A136,GL_Input!$X:$X,"T",GL_Input!$Y:$Y,3))</f>
        <v>0</v>
      </c>
      <c r="L136" s="53" t="n">
        <f aca="false">IF($A136="",0,SUMIFS(GL_Input!$U:$U,GL_Input!$F:$F,$A136,GL_Input!$X:$X,"S",GL_Input!$Y:$Y,1))</f>
        <v>0</v>
      </c>
      <c r="M136" s="53" t="n">
        <f aca="false">IF($A136="",0,SUMIFS(GL_Input!$U:$U,GL_Input!$F:$F,$A136,GL_Input!$X:$X,"S",GL_Input!$Y:$Y,2))</f>
        <v>0</v>
      </c>
      <c r="N136" s="53" t="n">
        <f aca="false">IF($A136="",0,SUMIFS(GL_Input!$U:$U,GL_Input!$F:$F,$A136,GL_Input!$X:$X,"S",GL_Input!$Y:$Y,3))</f>
        <v>0</v>
      </c>
      <c r="O136" s="54" t="n">
        <f aca="false">SUM(F136:N136)</f>
        <v>0</v>
      </c>
      <c r="P136" s="15" t="str">
        <f aca="false">IF(O136=0,"",IF($D136="","MISSING VAT NO.",IF(OR($C136="",$C136="CY",Counterparties!G136&lt;&gt;"EU"),"NOT AN EU CUSTOMER","OK")))</f>
        <v/>
      </c>
    </row>
    <row r="137" customFormat="false" ht="15" hidden="false" customHeight="false" outlineLevel="0" collapsed="false">
      <c r="A137" s="30" t="str">
        <f aca="false">IF(Counterparties!A137="","",Counterparties!A137)</f>
        <v/>
      </c>
      <c r="B137" s="30" t="str">
        <f aca="false">IF(Counterparties!B137="","",Counterparties!B137)</f>
        <v/>
      </c>
      <c r="C137" s="30" t="str">
        <f aca="false">IF(Counterparties!C137="","",Counterparties!C137)</f>
        <v/>
      </c>
      <c r="D137" s="30" t="str">
        <f aca="false">IF(Counterparties!D137="","",Counterparties!D137)</f>
        <v/>
      </c>
      <c r="E137" s="30" t="str">
        <f aca="false">IF(Counterparties!E137="","",Counterparties!E137)</f>
        <v/>
      </c>
      <c r="F137" s="53" t="n">
        <f aca="false">IF($A137="",0,SUMIFS(GL_Input!$U:$U,GL_Input!$F:$F,$A137,GL_Input!$X:$X,"G",GL_Input!$Y:$Y,1))</f>
        <v>0</v>
      </c>
      <c r="G137" s="53" t="n">
        <f aca="false">IF($A137="",0,SUMIFS(GL_Input!$U:$U,GL_Input!$F:$F,$A137,GL_Input!$X:$X,"G",GL_Input!$Y:$Y,2))</f>
        <v>0</v>
      </c>
      <c r="H137" s="53" t="n">
        <f aca="false">IF($A137="",0,SUMIFS(GL_Input!$U:$U,GL_Input!$F:$F,$A137,GL_Input!$X:$X,"G",GL_Input!$Y:$Y,3))</f>
        <v>0</v>
      </c>
      <c r="I137" s="53" t="n">
        <f aca="false">IF($A137="",0,SUMIFS(GL_Input!$U:$U,GL_Input!$F:$F,$A137,GL_Input!$X:$X,"T",GL_Input!$Y:$Y,1))</f>
        <v>0</v>
      </c>
      <c r="J137" s="53" t="n">
        <f aca="false">IF($A137="",0,SUMIFS(GL_Input!$U:$U,GL_Input!$F:$F,$A137,GL_Input!$X:$X,"T",GL_Input!$Y:$Y,2))</f>
        <v>0</v>
      </c>
      <c r="K137" s="53" t="n">
        <f aca="false">IF($A137="",0,SUMIFS(GL_Input!$U:$U,GL_Input!$F:$F,$A137,GL_Input!$X:$X,"T",GL_Input!$Y:$Y,3))</f>
        <v>0</v>
      </c>
      <c r="L137" s="53" t="n">
        <f aca="false">IF($A137="",0,SUMIFS(GL_Input!$U:$U,GL_Input!$F:$F,$A137,GL_Input!$X:$X,"S",GL_Input!$Y:$Y,1))</f>
        <v>0</v>
      </c>
      <c r="M137" s="53" t="n">
        <f aca="false">IF($A137="",0,SUMIFS(GL_Input!$U:$U,GL_Input!$F:$F,$A137,GL_Input!$X:$X,"S",GL_Input!$Y:$Y,2))</f>
        <v>0</v>
      </c>
      <c r="N137" s="53" t="n">
        <f aca="false">IF($A137="",0,SUMIFS(GL_Input!$U:$U,GL_Input!$F:$F,$A137,GL_Input!$X:$X,"S",GL_Input!$Y:$Y,3))</f>
        <v>0</v>
      </c>
      <c r="O137" s="54" t="n">
        <f aca="false">SUM(F137:N137)</f>
        <v>0</v>
      </c>
      <c r="P137" s="15" t="str">
        <f aca="false">IF(O137=0,"",IF($D137="","MISSING VAT NO.",IF(OR($C137="",$C137="CY",Counterparties!G137&lt;&gt;"EU"),"NOT AN EU CUSTOMER","OK")))</f>
        <v/>
      </c>
    </row>
    <row r="138" customFormat="false" ht="15" hidden="false" customHeight="false" outlineLevel="0" collapsed="false">
      <c r="A138" s="30" t="str">
        <f aca="false">IF(Counterparties!A138="","",Counterparties!A138)</f>
        <v/>
      </c>
      <c r="B138" s="30" t="str">
        <f aca="false">IF(Counterparties!B138="","",Counterparties!B138)</f>
        <v/>
      </c>
      <c r="C138" s="30" t="str">
        <f aca="false">IF(Counterparties!C138="","",Counterparties!C138)</f>
        <v/>
      </c>
      <c r="D138" s="30" t="str">
        <f aca="false">IF(Counterparties!D138="","",Counterparties!D138)</f>
        <v/>
      </c>
      <c r="E138" s="30" t="str">
        <f aca="false">IF(Counterparties!E138="","",Counterparties!E138)</f>
        <v/>
      </c>
      <c r="F138" s="53" t="n">
        <f aca="false">IF($A138="",0,SUMIFS(GL_Input!$U:$U,GL_Input!$F:$F,$A138,GL_Input!$X:$X,"G",GL_Input!$Y:$Y,1))</f>
        <v>0</v>
      </c>
      <c r="G138" s="53" t="n">
        <f aca="false">IF($A138="",0,SUMIFS(GL_Input!$U:$U,GL_Input!$F:$F,$A138,GL_Input!$X:$X,"G",GL_Input!$Y:$Y,2))</f>
        <v>0</v>
      </c>
      <c r="H138" s="53" t="n">
        <f aca="false">IF($A138="",0,SUMIFS(GL_Input!$U:$U,GL_Input!$F:$F,$A138,GL_Input!$X:$X,"G",GL_Input!$Y:$Y,3))</f>
        <v>0</v>
      </c>
      <c r="I138" s="53" t="n">
        <f aca="false">IF($A138="",0,SUMIFS(GL_Input!$U:$U,GL_Input!$F:$F,$A138,GL_Input!$X:$X,"T",GL_Input!$Y:$Y,1))</f>
        <v>0</v>
      </c>
      <c r="J138" s="53" t="n">
        <f aca="false">IF($A138="",0,SUMIFS(GL_Input!$U:$U,GL_Input!$F:$F,$A138,GL_Input!$X:$X,"T",GL_Input!$Y:$Y,2))</f>
        <v>0</v>
      </c>
      <c r="K138" s="53" t="n">
        <f aca="false">IF($A138="",0,SUMIFS(GL_Input!$U:$U,GL_Input!$F:$F,$A138,GL_Input!$X:$X,"T",GL_Input!$Y:$Y,3))</f>
        <v>0</v>
      </c>
      <c r="L138" s="53" t="n">
        <f aca="false">IF($A138="",0,SUMIFS(GL_Input!$U:$U,GL_Input!$F:$F,$A138,GL_Input!$X:$X,"S",GL_Input!$Y:$Y,1))</f>
        <v>0</v>
      </c>
      <c r="M138" s="53" t="n">
        <f aca="false">IF($A138="",0,SUMIFS(GL_Input!$U:$U,GL_Input!$F:$F,$A138,GL_Input!$X:$X,"S",GL_Input!$Y:$Y,2))</f>
        <v>0</v>
      </c>
      <c r="N138" s="53" t="n">
        <f aca="false">IF($A138="",0,SUMIFS(GL_Input!$U:$U,GL_Input!$F:$F,$A138,GL_Input!$X:$X,"S",GL_Input!$Y:$Y,3))</f>
        <v>0</v>
      </c>
      <c r="O138" s="54" t="n">
        <f aca="false">SUM(F138:N138)</f>
        <v>0</v>
      </c>
      <c r="P138" s="15" t="str">
        <f aca="false">IF(O138=0,"",IF($D138="","MISSING VAT NO.",IF(OR($C138="",$C138="CY",Counterparties!G138&lt;&gt;"EU"),"NOT AN EU CUSTOMER","OK")))</f>
        <v/>
      </c>
    </row>
    <row r="139" customFormat="false" ht="15" hidden="false" customHeight="false" outlineLevel="0" collapsed="false">
      <c r="A139" s="30" t="str">
        <f aca="false">IF(Counterparties!A139="","",Counterparties!A139)</f>
        <v/>
      </c>
      <c r="B139" s="30" t="str">
        <f aca="false">IF(Counterparties!B139="","",Counterparties!B139)</f>
        <v/>
      </c>
      <c r="C139" s="30" t="str">
        <f aca="false">IF(Counterparties!C139="","",Counterparties!C139)</f>
        <v/>
      </c>
      <c r="D139" s="30" t="str">
        <f aca="false">IF(Counterparties!D139="","",Counterparties!D139)</f>
        <v/>
      </c>
      <c r="E139" s="30" t="str">
        <f aca="false">IF(Counterparties!E139="","",Counterparties!E139)</f>
        <v/>
      </c>
      <c r="F139" s="53" t="n">
        <f aca="false">IF($A139="",0,SUMIFS(GL_Input!$U:$U,GL_Input!$F:$F,$A139,GL_Input!$X:$X,"G",GL_Input!$Y:$Y,1))</f>
        <v>0</v>
      </c>
      <c r="G139" s="53" t="n">
        <f aca="false">IF($A139="",0,SUMIFS(GL_Input!$U:$U,GL_Input!$F:$F,$A139,GL_Input!$X:$X,"G",GL_Input!$Y:$Y,2))</f>
        <v>0</v>
      </c>
      <c r="H139" s="53" t="n">
        <f aca="false">IF($A139="",0,SUMIFS(GL_Input!$U:$U,GL_Input!$F:$F,$A139,GL_Input!$X:$X,"G",GL_Input!$Y:$Y,3))</f>
        <v>0</v>
      </c>
      <c r="I139" s="53" t="n">
        <f aca="false">IF($A139="",0,SUMIFS(GL_Input!$U:$U,GL_Input!$F:$F,$A139,GL_Input!$X:$X,"T",GL_Input!$Y:$Y,1))</f>
        <v>0</v>
      </c>
      <c r="J139" s="53" t="n">
        <f aca="false">IF($A139="",0,SUMIFS(GL_Input!$U:$U,GL_Input!$F:$F,$A139,GL_Input!$X:$X,"T",GL_Input!$Y:$Y,2))</f>
        <v>0</v>
      </c>
      <c r="K139" s="53" t="n">
        <f aca="false">IF($A139="",0,SUMIFS(GL_Input!$U:$U,GL_Input!$F:$F,$A139,GL_Input!$X:$X,"T",GL_Input!$Y:$Y,3))</f>
        <v>0</v>
      </c>
      <c r="L139" s="53" t="n">
        <f aca="false">IF($A139="",0,SUMIFS(GL_Input!$U:$U,GL_Input!$F:$F,$A139,GL_Input!$X:$X,"S",GL_Input!$Y:$Y,1))</f>
        <v>0</v>
      </c>
      <c r="M139" s="53" t="n">
        <f aca="false">IF($A139="",0,SUMIFS(GL_Input!$U:$U,GL_Input!$F:$F,$A139,GL_Input!$X:$X,"S",GL_Input!$Y:$Y,2))</f>
        <v>0</v>
      </c>
      <c r="N139" s="53" t="n">
        <f aca="false">IF($A139="",0,SUMIFS(GL_Input!$U:$U,GL_Input!$F:$F,$A139,GL_Input!$X:$X,"S",GL_Input!$Y:$Y,3))</f>
        <v>0</v>
      </c>
      <c r="O139" s="54" t="n">
        <f aca="false">SUM(F139:N139)</f>
        <v>0</v>
      </c>
      <c r="P139" s="15" t="str">
        <f aca="false">IF(O139=0,"",IF($D139="","MISSING VAT NO.",IF(OR($C139="",$C139="CY",Counterparties!G139&lt;&gt;"EU"),"NOT AN EU CUSTOMER","OK")))</f>
        <v/>
      </c>
    </row>
    <row r="140" customFormat="false" ht="15" hidden="false" customHeight="false" outlineLevel="0" collapsed="false">
      <c r="A140" s="30" t="str">
        <f aca="false">IF(Counterparties!A140="","",Counterparties!A140)</f>
        <v/>
      </c>
      <c r="B140" s="30" t="str">
        <f aca="false">IF(Counterparties!B140="","",Counterparties!B140)</f>
        <v/>
      </c>
      <c r="C140" s="30" t="str">
        <f aca="false">IF(Counterparties!C140="","",Counterparties!C140)</f>
        <v/>
      </c>
      <c r="D140" s="30" t="str">
        <f aca="false">IF(Counterparties!D140="","",Counterparties!D140)</f>
        <v/>
      </c>
      <c r="E140" s="30" t="str">
        <f aca="false">IF(Counterparties!E140="","",Counterparties!E140)</f>
        <v/>
      </c>
      <c r="F140" s="53" t="n">
        <f aca="false">IF($A140="",0,SUMIFS(GL_Input!$U:$U,GL_Input!$F:$F,$A140,GL_Input!$X:$X,"G",GL_Input!$Y:$Y,1))</f>
        <v>0</v>
      </c>
      <c r="G140" s="53" t="n">
        <f aca="false">IF($A140="",0,SUMIFS(GL_Input!$U:$U,GL_Input!$F:$F,$A140,GL_Input!$X:$X,"G",GL_Input!$Y:$Y,2))</f>
        <v>0</v>
      </c>
      <c r="H140" s="53" t="n">
        <f aca="false">IF($A140="",0,SUMIFS(GL_Input!$U:$U,GL_Input!$F:$F,$A140,GL_Input!$X:$X,"G",GL_Input!$Y:$Y,3))</f>
        <v>0</v>
      </c>
      <c r="I140" s="53" t="n">
        <f aca="false">IF($A140="",0,SUMIFS(GL_Input!$U:$U,GL_Input!$F:$F,$A140,GL_Input!$X:$X,"T",GL_Input!$Y:$Y,1))</f>
        <v>0</v>
      </c>
      <c r="J140" s="53" t="n">
        <f aca="false">IF($A140="",0,SUMIFS(GL_Input!$U:$U,GL_Input!$F:$F,$A140,GL_Input!$X:$X,"T",GL_Input!$Y:$Y,2))</f>
        <v>0</v>
      </c>
      <c r="K140" s="53" t="n">
        <f aca="false">IF($A140="",0,SUMIFS(GL_Input!$U:$U,GL_Input!$F:$F,$A140,GL_Input!$X:$X,"T",GL_Input!$Y:$Y,3))</f>
        <v>0</v>
      </c>
      <c r="L140" s="53" t="n">
        <f aca="false">IF($A140="",0,SUMIFS(GL_Input!$U:$U,GL_Input!$F:$F,$A140,GL_Input!$X:$X,"S",GL_Input!$Y:$Y,1))</f>
        <v>0</v>
      </c>
      <c r="M140" s="53" t="n">
        <f aca="false">IF($A140="",0,SUMIFS(GL_Input!$U:$U,GL_Input!$F:$F,$A140,GL_Input!$X:$X,"S",GL_Input!$Y:$Y,2))</f>
        <v>0</v>
      </c>
      <c r="N140" s="53" t="n">
        <f aca="false">IF($A140="",0,SUMIFS(GL_Input!$U:$U,GL_Input!$F:$F,$A140,GL_Input!$X:$X,"S",GL_Input!$Y:$Y,3))</f>
        <v>0</v>
      </c>
      <c r="O140" s="54" t="n">
        <f aca="false">SUM(F140:N140)</f>
        <v>0</v>
      </c>
      <c r="P140" s="15" t="str">
        <f aca="false">IF(O140=0,"",IF($D140="","MISSING VAT NO.",IF(OR($C140="",$C140="CY",Counterparties!G140&lt;&gt;"EU"),"NOT AN EU CUSTOMER","OK")))</f>
        <v/>
      </c>
    </row>
    <row r="141" customFormat="false" ht="15" hidden="false" customHeight="false" outlineLevel="0" collapsed="false">
      <c r="A141" s="30" t="str">
        <f aca="false">IF(Counterparties!A141="","",Counterparties!A141)</f>
        <v/>
      </c>
      <c r="B141" s="30" t="str">
        <f aca="false">IF(Counterparties!B141="","",Counterparties!B141)</f>
        <v/>
      </c>
      <c r="C141" s="30" t="str">
        <f aca="false">IF(Counterparties!C141="","",Counterparties!C141)</f>
        <v/>
      </c>
      <c r="D141" s="30" t="str">
        <f aca="false">IF(Counterparties!D141="","",Counterparties!D141)</f>
        <v/>
      </c>
      <c r="E141" s="30" t="str">
        <f aca="false">IF(Counterparties!E141="","",Counterparties!E141)</f>
        <v/>
      </c>
      <c r="F141" s="53" t="n">
        <f aca="false">IF($A141="",0,SUMIFS(GL_Input!$U:$U,GL_Input!$F:$F,$A141,GL_Input!$X:$X,"G",GL_Input!$Y:$Y,1))</f>
        <v>0</v>
      </c>
      <c r="G141" s="53" t="n">
        <f aca="false">IF($A141="",0,SUMIFS(GL_Input!$U:$U,GL_Input!$F:$F,$A141,GL_Input!$X:$X,"G",GL_Input!$Y:$Y,2))</f>
        <v>0</v>
      </c>
      <c r="H141" s="53" t="n">
        <f aca="false">IF($A141="",0,SUMIFS(GL_Input!$U:$U,GL_Input!$F:$F,$A141,GL_Input!$X:$X,"G",GL_Input!$Y:$Y,3))</f>
        <v>0</v>
      </c>
      <c r="I141" s="53" t="n">
        <f aca="false">IF($A141="",0,SUMIFS(GL_Input!$U:$U,GL_Input!$F:$F,$A141,GL_Input!$X:$X,"T",GL_Input!$Y:$Y,1))</f>
        <v>0</v>
      </c>
      <c r="J141" s="53" t="n">
        <f aca="false">IF($A141="",0,SUMIFS(GL_Input!$U:$U,GL_Input!$F:$F,$A141,GL_Input!$X:$X,"T",GL_Input!$Y:$Y,2))</f>
        <v>0</v>
      </c>
      <c r="K141" s="53" t="n">
        <f aca="false">IF($A141="",0,SUMIFS(GL_Input!$U:$U,GL_Input!$F:$F,$A141,GL_Input!$X:$X,"T",GL_Input!$Y:$Y,3))</f>
        <v>0</v>
      </c>
      <c r="L141" s="53" t="n">
        <f aca="false">IF($A141="",0,SUMIFS(GL_Input!$U:$U,GL_Input!$F:$F,$A141,GL_Input!$X:$X,"S",GL_Input!$Y:$Y,1))</f>
        <v>0</v>
      </c>
      <c r="M141" s="53" t="n">
        <f aca="false">IF($A141="",0,SUMIFS(GL_Input!$U:$U,GL_Input!$F:$F,$A141,GL_Input!$X:$X,"S",GL_Input!$Y:$Y,2))</f>
        <v>0</v>
      </c>
      <c r="N141" s="53" t="n">
        <f aca="false">IF($A141="",0,SUMIFS(GL_Input!$U:$U,GL_Input!$F:$F,$A141,GL_Input!$X:$X,"S",GL_Input!$Y:$Y,3))</f>
        <v>0</v>
      </c>
      <c r="O141" s="54" t="n">
        <f aca="false">SUM(F141:N141)</f>
        <v>0</v>
      </c>
      <c r="P141" s="15" t="str">
        <f aca="false">IF(O141=0,"",IF($D141="","MISSING VAT NO.",IF(OR($C141="",$C141="CY",Counterparties!G141&lt;&gt;"EU"),"NOT AN EU CUSTOMER","OK")))</f>
        <v/>
      </c>
    </row>
    <row r="142" customFormat="false" ht="15" hidden="false" customHeight="false" outlineLevel="0" collapsed="false">
      <c r="A142" s="30" t="str">
        <f aca="false">IF(Counterparties!A142="","",Counterparties!A142)</f>
        <v/>
      </c>
      <c r="B142" s="30" t="str">
        <f aca="false">IF(Counterparties!B142="","",Counterparties!B142)</f>
        <v/>
      </c>
      <c r="C142" s="30" t="str">
        <f aca="false">IF(Counterparties!C142="","",Counterparties!C142)</f>
        <v/>
      </c>
      <c r="D142" s="30" t="str">
        <f aca="false">IF(Counterparties!D142="","",Counterparties!D142)</f>
        <v/>
      </c>
      <c r="E142" s="30" t="str">
        <f aca="false">IF(Counterparties!E142="","",Counterparties!E142)</f>
        <v/>
      </c>
      <c r="F142" s="53" t="n">
        <f aca="false">IF($A142="",0,SUMIFS(GL_Input!$U:$U,GL_Input!$F:$F,$A142,GL_Input!$X:$X,"G",GL_Input!$Y:$Y,1))</f>
        <v>0</v>
      </c>
      <c r="G142" s="53" t="n">
        <f aca="false">IF($A142="",0,SUMIFS(GL_Input!$U:$U,GL_Input!$F:$F,$A142,GL_Input!$X:$X,"G",GL_Input!$Y:$Y,2))</f>
        <v>0</v>
      </c>
      <c r="H142" s="53" t="n">
        <f aca="false">IF($A142="",0,SUMIFS(GL_Input!$U:$U,GL_Input!$F:$F,$A142,GL_Input!$X:$X,"G",GL_Input!$Y:$Y,3))</f>
        <v>0</v>
      </c>
      <c r="I142" s="53" t="n">
        <f aca="false">IF($A142="",0,SUMIFS(GL_Input!$U:$U,GL_Input!$F:$F,$A142,GL_Input!$X:$X,"T",GL_Input!$Y:$Y,1))</f>
        <v>0</v>
      </c>
      <c r="J142" s="53" t="n">
        <f aca="false">IF($A142="",0,SUMIFS(GL_Input!$U:$U,GL_Input!$F:$F,$A142,GL_Input!$X:$X,"T",GL_Input!$Y:$Y,2))</f>
        <v>0</v>
      </c>
      <c r="K142" s="53" t="n">
        <f aca="false">IF($A142="",0,SUMIFS(GL_Input!$U:$U,GL_Input!$F:$F,$A142,GL_Input!$X:$X,"T",GL_Input!$Y:$Y,3))</f>
        <v>0</v>
      </c>
      <c r="L142" s="53" t="n">
        <f aca="false">IF($A142="",0,SUMIFS(GL_Input!$U:$U,GL_Input!$F:$F,$A142,GL_Input!$X:$X,"S",GL_Input!$Y:$Y,1))</f>
        <v>0</v>
      </c>
      <c r="M142" s="53" t="n">
        <f aca="false">IF($A142="",0,SUMIFS(GL_Input!$U:$U,GL_Input!$F:$F,$A142,GL_Input!$X:$X,"S",GL_Input!$Y:$Y,2))</f>
        <v>0</v>
      </c>
      <c r="N142" s="53" t="n">
        <f aca="false">IF($A142="",0,SUMIFS(GL_Input!$U:$U,GL_Input!$F:$F,$A142,GL_Input!$X:$X,"S",GL_Input!$Y:$Y,3))</f>
        <v>0</v>
      </c>
      <c r="O142" s="54" t="n">
        <f aca="false">SUM(F142:N142)</f>
        <v>0</v>
      </c>
      <c r="P142" s="15" t="str">
        <f aca="false">IF(O142=0,"",IF($D142="","MISSING VAT NO.",IF(OR($C142="",$C142="CY",Counterparties!G142&lt;&gt;"EU"),"NOT AN EU CUSTOMER","OK")))</f>
        <v/>
      </c>
    </row>
    <row r="143" customFormat="false" ht="15" hidden="false" customHeight="false" outlineLevel="0" collapsed="false">
      <c r="A143" s="30" t="str">
        <f aca="false">IF(Counterparties!A143="","",Counterparties!A143)</f>
        <v/>
      </c>
      <c r="B143" s="30" t="str">
        <f aca="false">IF(Counterparties!B143="","",Counterparties!B143)</f>
        <v/>
      </c>
      <c r="C143" s="30" t="str">
        <f aca="false">IF(Counterparties!C143="","",Counterparties!C143)</f>
        <v/>
      </c>
      <c r="D143" s="30" t="str">
        <f aca="false">IF(Counterparties!D143="","",Counterparties!D143)</f>
        <v/>
      </c>
      <c r="E143" s="30" t="str">
        <f aca="false">IF(Counterparties!E143="","",Counterparties!E143)</f>
        <v/>
      </c>
      <c r="F143" s="53" t="n">
        <f aca="false">IF($A143="",0,SUMIFS(GL_Input!$U:$U,GL_Input!$F:$F,$A143,GL_Input!$X:$X,"G",GL_Input!$Y:$Y,1))</f>
        <v>0</v>
      </c>
      <c r="G143" s="53" t="n">
        <f aca="false">IF($A143="",0,SUMIFS(GL_Input!$U:$U,GL_Input!$F:$F,$A143,GL_Input!$X:$X,"G",GL_Input!$Y:$Y,2))</f>
        <v>0</v>
      </c>
      <c r="H143" s="53" t="n">
        <f aca="false">IF($A143="",0,SUMIFS(GL_Input!$U:$U,GL_Input!$F:$F,$A143,GL_Input!$X:$X,"G",GL_Input!$Y:$Y,3))</f>
        <v>0</v>
      </c>
      <c r="I143" s="53" t="n">
        <f aca="false">IF($A143="",0,SUMIFS(GL_Input!$U:$U,GL_Input!$F:$F,$A143,GL_Input!$X:$X,"T",GL_Input!$Y:$Y,1))</f>
        <v>0</v>
      </c>
      <c r="J143" s="53" t="n">
        <f aca="false">IF($A143="",0,SUMIFS(GL_Input!$U:$U,GL_Input!$F:$F,$A143,GL_Input!$X:$X,"T",GL_Input!$Y:$Y,2))</f>
        <v>0</v>
      </c>
      <c r="K143" s="53" t="n">
        <f aca="false">IF($A143="",0,SUMIFS(GL_Input!$U:$U,GL_Input!$F:$F,$A143,GL_Input!$X:$X,"T",GL_Input!$Y:$Y,3))</f>
        <v>0</v>
      </c>
      <c r="L143" s="53" t="n">
        <f aca="false">IF($A143="",0,SUMIFS(GL_Input!$U:$U,GL_Input!$F:$F,$A143,GL_Input!$X:$X,"S",GL_Input!$Y:$Y,1))</f>
        <v>0</v>
      </c>
      <c r="M143" s="53" t="n">
        <f aca="false">IF($A143="",0,SUMIFS(GL_Input!$U:$U,GL_Input!$F:$F,$A143,GL_Input!$X:$X,"S",GL_Input!$Y:$Y,2))</f>
        <v>0</v>
      </c>
      <c r="N143" s="53" t="n">
        <f aca="false">IF($A143="",0,SUMIFS(GL_Input!$U:$U,GL_Input!$F:$F,$A143,GL_Input!$X:$X,"S",GL_Input!$Y:$Y,3))</f>
        <v>0</v>
      </c>
      <c r="O143" s="54" t="n">
        <f aca="false">SUM(F143:N143)</f>
        <v>0</v>
      </c>
      <c r="P143" s="15" t="str">
        <f aca="false">IF(O143=0,"",IF($D143="","MISSING VAT NO.",IF(OR($C143="",$C143="CY",Counterparties!G143&lt;&gt;"EU"),"NOT AN EU CUSTOMER","OK")))</f>
        <v/>
      </c>
    </row>
    <row r="144" customFormat="false" ht="15" hidden="false" customHeight="false" outlineLevel="0" collapsed="false">
      <c r="A144" s="30" t="str">
        <f aca="false">IF(Counterparties!A144="","",Counterparties!A144)</f>
        <v/>
      </c>
      <c r="B144" s="30" t="str">
        <f aca="false">IF(Counterparties!B144="","",Counterparties!B144)</f>
        <v/>
      </c>
      <c r="C144" s="30" t="str">
        <f aca="false">IF(Counterparties!C144="","",Counterparties!C144)</f>
        <v/>
      </c>
      <c r="D144" s="30" t="str">
        <f aca="false">IF(Counterparties!D144="","",Counterparties!D144)</f>
        <v/>
      </c>
      <c r="E144" s="30" t="str">
        <f aca="false">IF(Counterparties!E144="","",Counterparties!E144)</f>
        <v/>
      </c>
      <c r="F144" s="53" t="n">
        <f aca="false">IF($A144="",0,SUMIFS(GL_Input!$U:$U,GL_Input!$F:$F,$A144,GL_Input!$X:$X,"G",GL_Input!$Y:$Y,1))</f>
        <v>0</v>
      </c>
      <c r="G144" s="53" t="n">
        <f aca="false">IF($A144="",0,SUMIFS(GL_Input!$U:$U,GL_Input!$F:$F,$A144,GL_Input!$X:$X,"G",GL_Input!$Y:$Y,2))</f>
        <v>0</v>
      </c>
      <c r="H144" s="53" t="n">
        <f aca="false">IF($A144="",0,SUMIFS(GL_Input!$U:$U,GL_Input!$F:$F,$A144,GL_Input!$X:$X,"G",GL_Input!$Y:$Y,3))</f>
        <v>0</v>
      </c>
      <c r="I144" s="53" t="n">
        <f aca="false">IF($A144="",0,SUMIFS(GL_Input!$U:$U,GL_Input!$F:$F,$A144,GL_Input!$X:$X,"T",GL_Input!$Y:$Y,1))</f>
        <v>0</v>
      </c>
      <c r="J144" s="53" t="n">
        <f aca="false">IF($A144="",0,SUMIFS(GL_Input!$U:$U,GL_Input!$F:$F,$A144,GL_Input!$X:$X,"T",GL_Input!$Y:$Y,2))</f>
        <v>0</v>
      </c>
      <c r="K144" s="53" t="n">
        <f aca="false">IF($A144="",0,SUMIFS(GL_Input!$U:$U,GL_Input!$F:$F,$A144,GL_Input!$X:$X,"T",GL_Input!$Y:$Y,3))</f>
        <v>0</v>
      </c>
      <c r="L144" s="53" t="n">
        <f aca="false">IF($A144="",0,SUMIFS(GL_Input!$U:$U,GL_Input!$F:$F,$A144,GL_Input!$X:$X,"S",GL_Input!$Y:$Y,1))</f>
        <v>0</v>
      </c>
      <c r="M144" s="53" t="n">
        <f aca="false">IF($A144="",0,SUMIFS(GL_Input!$U:$U,GL_Input!$F:$F,$A144,GL_Input!$X:$X,"S",GL_Input!$Y:$Y,2))</f>
        <v>0</v>
      </c>
      <c r="N144" s="53" t="n">
        <f aca="false">IF($A144="",0,SUMIFS(GL_Input!$U:$U,GL_Input!$F:$F,$A144,GL_Input!$X:$X,"S",GL_Input!$Y:$Y,3))</f>
        <v>0</v>
      </c>
      <c r="O144" s="54" t="n">
        <f aca="false">SUM(F144:N144)</f>
        <v>0</v>
      </c>
      <c r="P144" s="15" t="str">
        <f aca="false">IF(O144=0,"",IF($D144="","MISSING VAT NO.",IF(OR($C144="",$C144="CY",Counterparties!G144&lt;&gt;"EU"),"NOT AN EU CUSTOMER","OK")))</f>
        <v/>
      </c>
    </row>
    <row r="145" customFormat="false" ht="15" hidden="false" customHeight="false" outlineLevel="0" collapsed="false">
      <c r="A145" s="30" t="str">
        <f aca="false">IF(Counterparties!A145="","",Counterparties!A145)</f>
        <v/>
      </c>
      <c r="B145" s="30" t="str">
        <f aca="false">IF(Counterparties!B145="","",Counterparties!B145)</f>
        <v/>
      </c>
      <c r="C145" s="30" t="str">
        <f aca="false">IF(Counterparties!C145="","",Counterparties!C145)</f>
        <v/>
      </c>
      <c r="D145" s="30" t="str">
        <f aca="false">IF(Counterparties!D145="","",Counterparties!D145)</f>
        <v/>
      </c>
      <c r="E145" s="30" t="str">
        <f aca="false">IF(Counterparties!E145="","",Counterparties!E145)</f>
        <v/>
      </c>
      <c r="F145" s="53" t="n">
        <f aca="false">IF($A145="",0,SUMIFS(GL_Input!$U:$U,GL_Input!$F:$F,$A145,GL_Input!$X:$X,"G",GL_Input!$Y:$Y,1))</f>
        <v>0</v>
      </c>
      <c r="G145" s="53" t="n">
        <f aca="false">IF($A145="",0,SUMIFS(GL_Input!$U:$U,GL_Input!$F:$F,$A145,GL_Input!$X:$X,"G",GL_Input!$Y:$Y,2))</f>
        <v>0</v>
      </c>
      <c r="H145" s="53" t="n">
        <f aca="false">IF($A145="",0,SUMIFS(GL_Input!$U:$U,GL_Input!$F:$F,$A145,GL_Input!$X:$X,"G",GL_Input!$Y:$Y,3))</f>
        <v>0</v>
      </c>
      <c r="I145" s="53" t="n">
        <f aca="false">IF($A145="",0,SUMIFS(GL_Input!$U:$U,GL_Input!$F:$F,$A145,GL_Input!$X:$X,"T",GL_Input!$Y:$Y,1))</f>
        <v>0</v>
      </c>
      <c r="J145" s="53" t="n">
        <f aca="false">IF($A145="",0,SUMIFS(GL_Input!$U:$U,GL_Input!$F:$F,$A145,GL_Input!$X:$X,"T",GL_Input!$Y:$Y,2))</f>
        <v>0</v>
      </c>
      <c r="K145" s="53" t="n">
        <f aca="false">IF($A145="",0,SUMIFS(GL_Input!$U:$U,GL_Input!$F:$F,$A145,GL_Input!$X:$X,"T",GL_Input!$Y:$Y,3))</f>
        <v>0</v>
      </c>
      <c r="L145" s="53" t="n">
        <f aca="false">IF($A145="",0,SUMIFS(GL_Input!$U:$U,GL_Input!$F:$F,$A145,GL_Input!$X:$X,"S",GL_Input!$Y:$Y,1))</f>
        <v>0</v>
      </c>
      <c r="M145" s="53" t="n">
        <f aca="false">IF($A145="",0,SUMIFS(GL_Input!$U:$U,GL_Input!$F:$F,$A145,GL_Input!$X:$X,"S",GL_Input!$Y:$Y,2))</f>
        <v>0</v>
      </c>
      <c r="N145" s="53" t="n">
        <f aca="false">IF($A145="",0,SUMIFS(GL_Input!$U:$U,GL_Input!$F:$F,$A145,GL_Input!$X:$X,"S",GL_Input!$Y:$Y,3))</f>
        <v>0</v>
      </c>
      <c r="O145" s="54" t="n">
        <f aca="false">SUM(F145:N145)</f>
        <v>0</v>
      </c>
      <c r="P145" s="15" t="str">
        <f aca="false">IF(O145=0,"",IF($D145="","MISSING VAT NO.",IF(OR($C145="",$C145="CY",Counterparties!G145&lt;&gt;"EU"),"NOT AN EU CUSTOMER","OK")))</f>
        <v/>
      </c>
    </row>
    <row r="146" customFormat="false" ht="15" hidden="false" customHeight="false" outlineLevel="0" collapsed="false">
      <c r="A146" s="30" t="str">
        <f aca="false">IF(Counterparties!A146="","",Counterparties!A146)</f>
        <v/>
      </c>
      <c r="B146" s="30" t="str">
        <f aca="false">IF(Counterparties!B146="","",Counterparties!B146)</f>
        <v/>
      </c>
      <c r="C146" s="30" t="str">
        <f aca="false">IF(Counterparties!C146="","",Counterparties!C146)</f>
        <v/>
      </c>
      <c r="D146" s="30" t="str">
        <f aca="false">IF(Counterparties!D146="","",Counterparties!D146)</f>
        <v/>
      </c>
      <c r="E146" s="30" t="str">
        <f aca="false">IF(Counterparties!E146="","",Counterparties!E146)</f>
        <v/>
      </c>
      <c r="F146" s="53" t="n">
        <f aca="false">IF($A146="",0,SUMIFS(GL_Input!$U:$U,GL_Input!$F:$F,$A146,GL_Input!$X:$X,"G",GL_Input!$Y:$Y,1))</f>
        <v>0</v>
      </c>
      <c r="G146" s="53" t="n">
        <f aca="false">IF($A146="",0,SUMIFS(GL_Input!$U:$U,GL_Input!$F:$F,$A146,GL_Input!$X:$X,"G",GL_Input!$Y:$Y,2))</f>
        <v>0</v>
      </c>
      <c r="H146" s="53" t="n">
        <f aca="false">IF($A146="",0,SUMIFS(GL_Input!$U:$U,GL_Input!$F:$F,$A146,GL_Input!$X:$X,"G",GL_Input!$Y:$Y,3))</f>
        <v>0</v>
      </c>
      <c r="I146" s="53" t="n">
        <f aca="false">IF($A146="",0,SUMIFS(GL_Input!$U:$U,GL_Input!$F:$F,$A146,GL_Input!$X:$X,"T",GL_Input!$Y:$Y,1))</f>
        <v>0</v>
      </c>
      <c r="J146" s="53" t="n">
        <f aca="false">IF($A146="",0,SUMIFS(GL_Input!$U:$U,GL_Input!$F:$F,$A146,GL_Input!$X:$X,"T",GL_Input!$Y:$Y,2))</f>
        <v>0</v>
      </c>
      <c r="K146" s="53" t="n">
        <f aca="false">IF($A146="",0,SUMIFS(GL_Input!$U:$U,GL_Input!$F:$F,$A146,GL_Input!$X:$X,"T",GL_Input!$Y:$Y,3))</f>
        <v>0</v>
      </c>
      <c r="L146" s="53" t="n">
        <f aca="false">IF($A146="",0,SUMIFS(GL_Input!$U:$U,GL_Input!$F:$F,$A146,GL_Input!$X:$X,"S",GL_Input!$Y:$Y,1))</f>
        <v>0</v>
      </c>
      <c r="M146" s="53" t="n">
        <f aca="false">IF($A146="",0,SUMIFS(GL_Input!$U:$U,GL_Input!$F:$F,$A146,GL_Input!$X:$X,"S",GL_Input!$Y:$Y,2))</f>
        <v>0</v>
      </c>
      <c r="N146" s="53" t="n">
        <f aca="false">IF($A146="",0,SUMIFS(GL_Input!$U:$U,GL_Input!$F:$F,$A146,GL_Input!$X:$X,"S",GL_Input!$Y:$Y,3))</f>
        <v>0</v>
      </c>
      <c r="O146" s="54" t="n">
        <f aca="false">SUM(F146:N146)</f>
        <v>0</v>
      </c>
      <c r="P146" s="15" t="str">
        <f aca="false">IF(O146=0,"",IF($D146="","MISSING VAT NO.",IF(OR($C146="",$C146="CY",Counterparties!G146&lt;&gt;"EU"),"NOT AN EU CUSTOMER","OK")))</f>
        <v/>
      </c>
    </row>
    <row r="147" customFormat="false" ht="15" hidden="false" customHeight="false" outlineLevel="0" collapsed="false">
      <c r="A147" s="30" t="str">
        <f aca="false">IF(Counterparties!A147="","",Counterparties!A147)</f>
        <v/>
      </c>
      <c r="B147" s="30" t="str">
        <f aca="false">IF(Counterparties!B147="","",Counterparties!B147)</f>
        <v/>
      </c>
      <c r="C147" s="30" t="str">
        <f aca="false">IF(Counterparties!C147="","",Counterparties!C147)</f>
        <v/>
      </c>
      <c r="D147" s="30" t="str">
        <f aca="false">IF(Counterparties!D147="","",Counterparties!D147)</f>
        <v/>
      </c>
      <c r="E147" s="30" t="str">
        <f aca="false">IF(Counterparties!E147="","",Counterparties!E147)</f>
        <v/>
      </c>
      <c r="F147" s="53" t="n">
        <f aca="false">IF($A147="",0,SUMIFS(GL_Input!$U:$U,GL_Input!$F:$F,$A147,GL_Input!$X:$X,"G",GL_Input!$Y:$Y,1))</f>
        <v>0</v>
      </c>
      <c r="G147" s="53" t="n">
        <f aca="false">IF($A147="",0,SUMIFS(GL_Input!$U:$U,GL_Input!$F:$F,$A147,GL_Input!$X:$X,"G",GL_Input!$Y:$Y,2))</f>
        <v>0</v>
      </c>
      <c r="H147" s="53" t="n">
        <f aca="false">IF($A147="",0,SUMIFS(GL_Input!$U:$U,GL_Input!$F:$F,$A147,GL_Input!$X:$X,"G",GL_Input!$Y:$Y,3))</f>
        <v>0</v>
      </c>
      <c r="I147" s="53" t="n">
        <f aca="false">IF($A147="",0,SUMIFS(GL_Input!$U:$U,GL_Input!$F:$F,$A147,GL_Input!$X:$X,"T",GL_Input!$Y:$Y,1))</f>
        <v>0</v>
      </c>
      <c r="J147" s="53" t="n">
        <f aca="false">IF($A147="",0,SUMIFS(GL_Input!$U:$U,GL_Input!$F:$F,$A147,GL_Input!$X:$X,"T",GL_Input!$Y:$Y,2))</f>
        <v>0</v>
      </c>
      <c r="K147" s="53" t="n">
        <f aca="false">IF($A147="",0,SUMIFS(GL_Input!$U:$U,GL_Input!$F:$F,$A147,GL_Input!$X:$X,"T",GL_Input!$Y:$Y,3))</f>
        <v>0</v>
      </c>
      <c r="L147" s="53" t="n">
        <f aca="false">IF($A147="",0,SUMIFS(GL_Input!$U:$U,GL_Input!$F:$F,$A147,GL_Input!$X:$X,"S",GL_Input!$Y:$Y,1))</f>
        <v>0</v>
      </c>
      <c r="M147" s="53" t="n">
        <f aca="false">IF($A147="",0,SUMIFS(GL_Input!$U:$U,GL_Input!$F:$F,$A147,GL_Input!$X:$X,"S",GL_Input!$Y:$Y,2))</f>
        <v>0</v>
      </c>
      <c r="N147" s="53" t="n">
        <f aca="false">IF($A147="",0,SUMIFS(GL_Input!$U:$U,GL_Input!$F:$F,$A147,GL_Input!$X:$X,"S",GL_Input!$Y:$Y,3))</f>
        <v>0</v>
      </c>
      <c r="O147" s="54" t="n">
        <f aca="false">SUM(F147:N147)</f>
        <v>0</v>
      </c>
      <c r="P147" s="15" t="str">
        <f aca="false">IF(O147=0,"",IF($D147="","MISSING VAT NO.",IF(OR($C147="",$C147="CY",Counterparties!G147&lt;&gt;"EU"),"NOT AN EU CUSTOMER","OK")))</f>
        <v/>
      </c>
    </row>
    <row r="148" customFormat="false" ht="15" hidden="false" customHeight="false" outlineLevel="0" collapsed="false">
      <c r="A148" s="30" t="str">
        <f aca="false">IF(Counterparties!A148="","",Counterparties!A148)</f>
        <v/>
      </c>
      <c r="B148" s="30" t="str">
        <f aca="false">IF(Counterparties!B148="","",Counterparties!B148)</f>
        <v/>
      </c>
      <c r="C148" s="30" t="str">
        <f aca="false">IF(Counterparties!C148="","",Counterparties!C148)</f>
        <v/>
      </c>
      <c r="D148" s="30" t="str">
        <f aca="false">IF(Counterparties!D148="","",Counterparties!D148)</f>
        <v/>
      </c>
      <c r="E148" s="30" t="str">
        <f aca="false">IF(Counterparties!E148="","",Counterparties!E148)</f>
        <v/>
      </c>
      <c r="F148" s="53" t="n">
        <f aca="false">IF($A148="",0,SUMIFS(GL_Input!$U:$U,GL_Input!$F:$F,$A148,GL_Input!$X:$X,"G",GL_Input!$Y:$Y,1))</f>
        <v>0</v>
      </c>
      <c r="G148" s="53" t="n">
        <f aca="false">IF($A148="",0,SUMIFS(GL_Input!$U:$U,GL_Input!$F:$F,$A148,GL_Input!$X:$X,"G",GL_Input!$Y:$Y,2))</f>
        <v>0</v>
      </c>
      <c r="H148" s="53" t="n">
        <f aca="false">IF($A148="",0,SUMIFS(GL_Input!$U:$U,GL_Input!$F:$F,$A148,GL_Input!$X:$X,"G",GL_Input!$Y:$Y,3))</f>
        <v>0</v>
      </c>
      <c r="I148" s="53" t="n">
        <f aca="false">IF($A148="",0,SUMIFS(GL_Input!$U:$U,GL_Input!$F:$F,$A148,GL_Input!$X:$X,"T",GL_Input!$Y:$Y,1))</f>
        <v>0</v>
      </c>
      <c r="J148" s="53" t="n">
        <f aca="false">IF($A148="",0,SUMIFS(GL_Input!$U:$U,GL_Input!$F:$F,$A148,GL_Input!$X:$X,"T",GL_Input!$Y:$Y,2))</f>
        <v>0</v>
      </c>
      <c r="K148" s="53" t="n">
        <f aca="false">IF($A148="",0,SUMIFS(GL_Input!$U:$U,GL_Input!$F:$F,$A148,GL_Input!$X:$X,"T",GL_Input!$Y:$Y,3))</f>
        <v>0</v>
      </c>
      <c r="L148" s="53" t="n">
        <f aca="false">IF($A148="",0,SUMIFS(GL_Input!$U:$U,GL_Input!$F:$F,$A148,GL_Input!$X:$X,"S",GL_Input!$Y:$Y,1))</f>
        <v>0</v>
      </c>
      <c r="M148" s="53" t="n">
        <f aca="false">IF($A148="",0,SUMIFS(GL_Input!$U:$U,GL_Input!$F:$F,$A148,GL_Input!$X:$X,"S",GL_Input!$Y:$Y,2))</f>
        <v>0</v>
      </c>
      <c r="N148" s="53" t="n">
        <f aca="false">IF($A148="",0,SUMIFS(GL_Input!$U:$U,GL_Input!$F:$F,$A148,GL_Input!$X:$X,"S",GL_Input!$Y:$Y,3))</f>
        <v>0</v>
      </c>
      <c r="O148" s="54" t="n">
        <f aca="false">SUM(F148:N148)</f>
        <v>0</v>
      </c>
      <c r="P148" s="15" t="str">
        <f aca="false">IF(O148=0,"",IF($D148="","MISSING VAT NO.",IF(OR($C148="",$C148="CY",Counterparties!G148&lt;&gt;"EU"),"NOT AN EU CUSTOMER","OK")))</f>
        <v/>
      </c>
    </row>
    <row r="149" customFormat="false" ht="15" hidden="false" customHeight="false" outlineLevel="0" collapsed="false">
      <c r="A149" s="30" t="str">
        <f aca="false">IF(Counterparties!A149="","",Counterparties!A149)</f>
        <v/>
      </c>
      <c r="B149" s="30" t="str">
        <f aca="false">IF(Counterparties!B149="","",Counterparties!B149)</f>
        <v/>
      </c>
      <c r="C149" s="30" t="str">
        <f aca="false">IF(Counterparties!C149="","",Counterparties!C149)</f>
        <v/>
      </c>
      <c r="D149" s="30" t="str">
        <f aca="false">IF(Counterparties!D149="","",Counterparties!D149)</f>
        <v/>
      </c>
      <c r="E149" s="30" t="str">
        <f aca="false">IF(Counterparties!E149="","",Counterparties!E149)</f>
        <v/>
      </c>
      <c r="F149" s="53" t="n">
        <f aca="false">IF($A149="",0,SUMIFS(GL_Input!$U:$U,GL_Input!$F:$F,$A149,GL_Input!$X:$X,"G",GL_Input!$Y:$Y,1))</f>
        <v>0</v>
      </c>
      <c r="G149" s="53" t="n">
        <f aca="false">IF($A149="",0,SUMIFS(GL_Input!$U:$U,GL_Input!$F:$F,$A149,GL_Input!$X:$X,"G",GL_Input!$Y:$Y,2))</f>
        <v>0</v>
      </c>
      <c r="H149" s="53" t="n">
        <f aca="false">IF($A149="",0,SUMIFS(GL_Input!$U:$U,GL_Input!$F:$F,$A149,GL_Input!$X:$X,"G",GL_Input!$Y:$Y,3))</f>
        <v>0</v>
      </c>
      <c r="I149" s="53" t="n">
        <f aca="false">IF($A149="",0,SUMIFS(GL_Input!$U:$U,GL_Input!$F:$F,$A149,GL_Input!$X:$X,"T",GL_Input!$Y:$Y,1))</f>
        <v>0</v>
      </c>
      <c r="J149" s="53" t="n">
        <f aca="false">IF($A149="",0,SUMIFS(GL_Input!$U:$U,GL_Input!$F:$F,$A149,GL_Input!$X:$X,"T",GL_Input!$Y:$Y,2))</f>
        <v>0</v>
      </c>
      <c r="K149" s="53" t="n">
        <f aca="false">IF($A149="",0,SUMIFS(GL_Input!$U:$U,GL_Input!$F:$F,$A149,GL_Input!$X:$X,"T",GL_Input!$Y:$Y,3))</f>
        <v>0</v>
      </c>
      <c r="L149" s="53" t="n">
        <f aca="false">IF($A149="",0,SUMIFS(GL_Input!$U:$U,GL_Input!$F:$F,$A149,GL_Input!$X:$X,"S",GL_Input!$Y:$Y,1))</f>
        <v>0</v>
      </c>
      <c r="M149" s="53" t="n">
        <f aca="false">IF($A149="",0,SUMIFS(GL_Input!$U:$U,GL_Input!$F:$F,$A149,GL_Input!$X:$X,"S",GL_Input!$Y:$Y,2))</f>
        <v>0</v>
      </c>
      <c r="N149" s="53" t="n">
        <f aca="false">IF($A149="",0,SUMIFS(GL_Input!$U:$U,GL_Input!$F:$F,$A149,GL_Input!$X:$X,"S",GL_Input!$Y:$Y,3))</f>
        <v>0</v>
      </c>
      <c r="O149" s="54" t="n">
        <f aca="false">SUM(F149:N149)</f>
        <v>0</v>
      </c>
      <c r="P149" s="15" t="str">
        <f aca="false">IF(O149=0,"",IF($D149="","MISSING VAT NO.",IF(OR($C149="",$C149="CY",Counterparties!G149&lt;&gt;"EU"),"NOT AN EU CUSTOMER","OK")))</f>
        <v/>
      </c>
    </row>
    <row r="150" customFormat="false" ht="15" hidden="false" customHeight="false" outlineLevel="0" collapsed="false">
      <c r="A150" s="30" t="str">
        <f aca="false">IF(Counterparties!A150="","",Counterparties!A150)</f>
        <v/>
      </c>
      <c r="B150" s="30" t="str">
        <f aca="false">IF(Counterparties!B150="","",Counterparties!B150)</f>
        <v/>
      </c>
      <c r="C150" s="30" t="str">
        <f aca="false">IF(Counterparties!C150="","",Counterparties!C150)</f>
        <v/>
      </c>
      <c r="D150" s="30" t="str">
        <f aca="false">IF(Counterparties!D150="","",Counterparties!D150)</f>
        <v/>
      </c>
      <c r="E150" s="30" t="str">
        <f aca="false">IF(Counterparties!E150="","",Counterparties!E150)</f>
        <v/>
      </c>
      <c r="F150" s="53" t="n">
        <f aca="false">IF($A150="",0,SUMIFS(GL_Input!$U:$U,GL_Input!$F:$F,$A150,GL_Input!$X:$X,"G",GL_Input!$Y:$Y,1))</f>
        <v>0</v>
      </c>
      <c r="G150" s="53" t="n">
        <f aca="false">IF($A150="",0,SUMIFS(GL_Input!$U:$U,GL_Input!$F:$F,$A150,GL_Input!$X:$X,"G",GL_Input!$Y:$Y,2))</f>
        <v>0</v>
      </c>
      <c r="H150" s="53" t="n">
        <f aca="false">IF($A150="",0,SUMIFS(GL_Input!$U:$U,GL_Input!$F:$F,$A150,GL_Input!$X:$X,"G",GL_Input!$Y:$Y,3))</f>
        <v>0</v>
      </c>
      <c r="I150" s="53" t="n">
        <f aca="false">IF($A150="",0,SUMIFS(GL_Input!$U:$U,GL_Input!$F:$F,$A150,GL_Input!$X:$X,"T",GL_Input!$Y:$Y,1))</f>
        <v>0</v>
      </c>
      <c r="J150" s="53" t="n">
        <f aca="false">IF($A150="",0,SUMIFS(GL_Input!$U:$U,GL_Input!$F:$F,$A150,GL_Input!$X:$X,"T",GL_Input!$Y:$Y,2))</f>
        <v>0</v>
      </c>
      <c r="K150" s="53" t="n">
        <f aca="false">IF($A150="",0,SUMIFS(GL_Input!$U:$U,GL_Input!$F:$F,$A150,GL_Input!$X:$X,"T",GL_Input!$Y:$Y,3))</f>
        <v>0</v>
      </c>
      <c r="L150" s="53" t="n">
        <f aca="false">IF($A150="",0,SUMIFS(GL_Input!$U:$U,GL_Input!$F:$F,$A150,GL_Input!$X:$X,"S",GL_Input!$Y:$Y,1))</f>
        <v>0</v>
      </c>
      <c r="M150" s="53" t="n">
        <f aca="false">IF($A150="",0,SUMIFS(GL_Input!$U:$U,GL_Input!$F:$F,$A150,GL_Input!$X:$X,"S",GL_Input!$Y:$Y,2))</f>
        <v>0</v>
      </c>
      <c r="N150" s="53" t="n">
        <f aca="false">IF($A150="",0,SUMIFS(GL_Input!$U:$U,GL_Input!$F:$F,$A150,GL_Input!$X:$X,"S",GL_Input!$Y:$Y,3))</f>
        <v>0</v>
      </c>
      <c r="O150" s="54" t="n">
        <f aca="false">SUM(F150:N150)</f>
        <v>0</v>
      </c>
      <c r="P150" s="15" t="str">
        <f aca="false">IF(O150=0,"",IF($D150="","MISSING VAT NO.",IF(OR($C150="",$C150="CY",Counterparties!G150&lt;&gt;"EU"),"NOT AN EU CUSTOMER","OK")))</f>
        <v/>
      </c>
    </row>
    <row r="151" customFormat="false" ht="15" hidden="false" customHeight="false" outlineLevel="0" collapsed="false">
      <c r="A151" s="30" t="str">
        <f aca="false">IF(Counterparties!A151="","",Counterparties!A151)</f>
        <v/>
      </c>
      <c r="B151" s="30" t="str">
        <f aca="false">IF(Counterparties!B151="","",Counterparties!B151)</f>
        <v/>
      </c>
      <c r="C151" s="30" t="str">
        <f aca="false">IF(Counterparties!C151="","",Counterparties!C151)</f>
        <v/>
      </c>
      <c r="D151" s="30" t="str">
        <f aca="false">IF(Counterparties!D151="","",Counterparties!D151)</f>
        <v/>
      </c>
      <c r="E151" s="30" t="str">
        <f aca="false">IF(Counterparties!E151="","",Counterparties!E151)</f>
        <v/>
      </c>
      <c r="F151" s="53" t="n">
        <f aca="false">IF($A151="",0,SUMIFS(GL_Input!$U:$U,GL_Input!$F:$F,$A151,GL_Input!$X:$X,"G",GL_Input!$Y:$Y,1))</f>
        <v>0</v>
      </c>
      <c r="G151" s="53" t="n">
        <f aca="false">IF($A151="",0,SUMIFS(GL_Input!$U:$U,GL_Input!$F:$F,$A151,GL_Input!$X:$X,"G",GL_Input!$Y:$Y,2))</f>
        <v>0</v>
      </c>
      <c r="H151" s="53" t="n">
        <f aca="false">IF($A151="",0,SUMIFS(GL_Input!$U:$U,GL_Input!$F:$F,$A151,GL_Input!$X:$X,"G",GL_Input!$Y:$Y,3))</f>
        <v>0</v>
      </c>
      <c r="I151" s="53" t="n">
        <f aca="false">IF($A151="",0,SUMIFS(GL_Input!$U:$U,GL_Input!$F:$F,$A151,GL_Input!$X:$X,"T",GL_Input!$Y:$Y,1))</f>
        <v>0</v>
      </c>
      <c r="J151" s="53" t="n">
        <f aca="false">IF($A151="",0,SUMIFS(GL_Input!$U:$U,GL_Input!$F:$F,$A151,GL_Input!$X:$X,"T",GL_Input!$Y:$Y,2))</f>
        <v>0</v>
      </c>
      <c r="K151" s="53" t="n">
        <f aca="false">IF($A151="",0,SUMIFS(GL_Input!$U:$U,GL_Input!$F:$F,$A151,GL_Input!$X:$X,"T",GL_Input!$Y:$Y,3))</f>
        <v>0</v>
      </c>
      <c r="L151" s="53" t="n">
        <f aca="false">IF($A151="",0,SUMIFS(GL_Input!$U:$U,GL_Input!$F:$F,$A151,GL_Input!$X:$X,"S",GL_Input!$Y:$Y,1))</f>
        <v>0</v>
      </c>
      <c r="M151" s="53" t="n">
        <f aca="false">IF($A151="",0,SUMIFS(GL_Input!$U:$U,GL_Input!$F:$F,$A151,GL_Input!$X:$X,"S",GL_Input!$Y:$Y,2))</f>
        <v>0</v>
      </c>
      <c r="N151" s="53" t="n">
        <f aca="false">IF($A151="",0,SUMIFS(GL_Input!$U:$U,GL_Input!$F:$F,$A151,GL_Input!$X:$X,"S",GL_Input!$Y:$Y,3))</f>
        <v>0</v>
      </c>
      <c r="O151" s="54" t="n">
        <f aca="false">SUM(F151:N151)</f>
        <v>0</v>
      </c>
      <c r="P151" s="15" t="str">
        <f aca="false">IF(O151=0,"",IF($D151="","MISSING VAT NO.",IF(OR($C151="",$C151="CY",Counterparties!G151&lt;&gt;"EU"),"NOT AN EU CUSTOMER","OK")))</f>
        <v/>
      </c>
    </row>
    <row r="152" customFormat="false" ht="15" hidden="false" customHeight="false" outlineLevel="0" collapsed="false">
      <c r="A152" s="30" t="str">
        <f aca="false">IF(Counterparties!A152="","",Counterparties!A152)</f>
        <v/>
      </c>
      <c r="B152" s="30" t="str">
        <f aca="false">IF(Counterparties!B152="","",Counterparties!B152)</f>
        <v/>
      </c>
      <c r="C152" s="30" t="str">
        <f aca="false">IF(Counterparties!C152="","",Counterparties!C152)</f>
        <v/>
      </c>
      <c r="D152" s="30" t="str">
        <f aca="false">IF(Counterparties!D152="","",Counterparties!D152)</f>
        <v/>
      </c>
      <c r="E152" s="30" t="str">
        <f aca="false">IF(Counterparties!E152="","",Counterparties!E152)</f>
        <v/>
      </c>
      <c r="F152" s="53" t="n">
        <f aca="false">IF($A152="",0,SUMIFS(GL_Input!$U:$U,GL_Input!$F:$F,$A152,GL_Input!$X:$X,"G",GL_Input!$Y:$Y,1))</f>
        <v>0</v>
      </c>
      <c r="G152" s="53" t="n">
        <f aca="false">IF($A152="",0,SUMIFS(GL_Input!$U:$U,GL_Input!$F:$F,$A152,GL_Input!$X:$X,"G",GL_Input!$Y:$Y,2))</f>
        <v>0</v>
      </c>
      <c r="H152" s="53" t="n">
        <f aca="false">IF($A152="",0,SUMIFS(GL_Input!$U:$U,GL_Input!$F:$F,$A152,GL_Input!$X:$X,"G",GL_Input!$Y:$Y,3))</f>
        <v>0</v>
      </c>
      <c r="I152" s="53" t="n">
        <f aca="false">IF($A152="",0,SUMIFS(GL_Input!$U:$U,GL_Input!$F:$F,$A152,GL_Input!$X:$X,"T",GL_Input!$Y:$Y,1))</f>
        <v>0</v>
      </c>
      <c r="J152" s="53" t="n">
        <f aca="false">IF($A152="",0,SUMIFS(GL_Input!$U:$U,GL_Input!$F:$F,$A152,GL_Input!$X:$X,"T",GL_Input!$Y:$Y,2))</f>
        <v>0</v>
      </c>
      <c r="K152" s="53" t="n">
        <f aca="false">IF($A152="",0,SUMIFS(GL_Input!$U:$U,GL_Input!$F:$F,$A152,GL_Input!$X:$X,"T",GL_Input!$Y:$Y,3))</f>
        <v>0</v>
      </c>
      <c r="L152" s="53" t="n">
        <f aca="false">IF($A152="",0,SUMIFS(GL_Input!$U:$U,GL_Input!$F:$F,$A152,GL_Input!$X:$X,"S",GL_Input!$Y:$Y,1))</f>
        <v>0</v>
      </c>
      <c r="M152" s="53" t="n">
        <f aca="false">IF($A152="",0,SUMIFS(GL_Input!$U:$U,GL_Input!$F:$F,$A152,GL_Input!$X:$X,"S",GL_Input!$Y:$Y,2))</f>
        <v>0</v>
      </c>
      <c r="N152" s="53" t="n">
        <f aca="false">IF($A152="",0,SUMIFS(GL_Input!$U:$U,GL_Input!$F:$F,$A152,GL_Input!$X:$X,"S",GL_Input!$Y:$Y,3))</f>
        <v>0</v>
      </c>
      <c r="O152" s="54" t="n">
        <f aca="false">SUM(F152:N152)</f>
        <v>0</v>
      </c>
      <c r="P152" s="15" t="str">
        <f aca="false">IF(O152=0,"",IF($D152="","MISSING VAT NO.",IF(OR($C152="",$C152="CY",Counterparties!G152&lt;&gt;"EU"),"NOT AN EU CUSTOMER","OK")))</f>
        <v/>
      </c>
    </row>
    <row r="153" customFormat="false" ht="15" hidden="false" customHeight="false" outlineLevel="0" collapsed="false">
      <c r="A153" s="30" t="str">
        <f aca="false">IF(Counterparties!A153="","",Counterparties!A153)</f>
        <v/>
      </c>
      <c r="B153" s="30" t="str">
        <f aca="false">IF(Counterparties!B153="","",Counterparties!B153)</f>
        <v/>
      </c>
      <c r="C153" s="30" t="str">
        <f aca="false">IF(Counterparties!C153="","",Counterparties!C153)</f>
        <v/>
      </c>
      <c r="D153" s="30" t="str">
        <f aca="false">IF(Counterparties!D153="","",Counterparties!D153)</f>
        <v/>
      </c>
      <c r="E153" s="30" t="str">
        <f aca="false">IF(Counterparties!E153="","",Counterparties!E153)</f>
        <v/>
      </c>
      <c r="F153" s="53" t="n">
        <f aca="false">IF($A153="",0,SUMIFS(GL_Input!$U:$U,GL_Input!$F:$F,$A153,GL_Input!$X:$X,"G",GL_Input!$Y:$Y,1))</f>
        <v>0</v>
      </c>
      <c r="G153" s="53" t="n">
        <f aca="false">IF($A153="",0,SUMIFS(GL_Input!$U:$U,GL_Input!$F:$F,$A153,GL_Input!$X:$X,"G",GL_Input!$Y:$Y,2))</f>
        <v>0</v>
      </c>
      <c r="H153" s="53" t="n">
        <f aca="false">IF($A153="",0,SUMIFS(GL_Input!$U:$U,GL_Input!$F:$F,$A153,GL_Input!$X:$X,"G",GL_Input!$Y:$Y,3))</f>
        <v>0</v>
      </c>
      <c r="I153" s="53" t="n">
        <f aca="false">IF($A153="",0,SUMIFS(GL_Input!$U:$U,GL_Input!$F:$F,$A153,GL_Input!$X:$X,"T",GL_Input!$Y:$Y,1))</f>
        <v>0</v>
      </c>
      <c r="J153" s="53" t="n">
        <f aca="false">IF($A153="",0,SUMIFS(GL_Input!$U:$U,GL_Input!$F:$F,$A153,GL_Input!$X:$X,"T",GL_Input!$Y:$Y,2))</f>
        <v>0</v>
      </c>
      <c r="K153" s="53" t="n">
        <f aca="false">IF($A153="",0,SUMIFS(GL_Input!$U:$U,GL_Input!$F:$F,$A153,GL_Input!$X:$X,"T",GL_Input!$Y:$Y,3))</f>
        <v>0</v>
      </c>
      <c r="L153" s="53" t="n">
        <f aca="false">IF($A153="",0,SUMIFS(GL_Input!$U:$U,GL_Input!$F:$F,$A153,GL_Input!$X:$X,"S",GL_Input!$Y:$Y,1))</f>
        <v>0</v>
      </c>
      <c r="M153" s="53" t="n">
        <f aca="false">IF($A153="",0,SUMIFS(GL_Input!$U:$U,GL_Input!$F:$F,$A153,GL_Input!$X:$X,"S",GL_Input!$Y:$Y,2))</f>
        <v>0</v>
      </c>
      <c r="N153" s="53" t="n">
        <f aca="false">IF($A153="",0,SUMIFS(GL_Input!$U:$U,GL_Input!$F:$F,$A153,GL_Input!$X:$X,"S",GL_Input!$Y:$Y,3))</f>
        <v>0</v>
      </c>
      <c r="O153" s="54" t="n">
        <f aca="false">SUM(F153:N153)</f>
        <v>0</v>
      </c>
      <c r="P153" s="15" t="str">
        <f aca="false">IF(O153=0,"",IF($D153="","MISSING VAT NO.",IF(OR($C153="",$C153="CY",Counterparties!G153&lt;&gt;"EU"),"NOT AN EU CUSTOMER","OK")))</f>
        <v/>
      </c>
    </row>
    <row r="154" customFormat="false" ht="15" hidden="false" customHeight="false" outlineLevel="0" collapsed="false">
      <c r="A154" s="30" t="str">
        <f aca="false">IF(Counterparties!A154="","",Counterparties!A154)</f>
        <v/>
      </c>
      <c r="B154" s="30" t="str">
        <f aca="false">IF(Counterparties!B154="","",Counterparties!B154)</f>
        <v/>
      </c>
      <c r="C154" s="30" t="str">
        <f aca="false">IF(Counterparties!C154="","",Counterparties!C154)</f>
        <v/>
      </c>
      <c r="D154" s="30" t="str">
        <f aca="false">IF(Counterparties!D154="","",Counterparties!D154)</f>
        <v/>
      </c>
      <c r="E154" s="30" t="str">
        <f aca="false">IF(Counterparties!E154="","",Counterparties!E154)</f>
        <v/>
      </c>
      <c r="F154" s="53" t="n">
        <f aca="false">IF($A154="",0,SUMIFS(GL_Input!$U:$U,GL_Input!$F:$F,$A154,GL_Input!$X:$X,"G",GL_Input!$Y:$Y,1))</f>
        <v>0</v>
      </c>
      <c r="G154" s="53" t="n">
        <f aca="false">IF($A154="",0,SUMIFS(GL_Input!$U:$U,GL_Input!$F:$F,$A154,GL_Input!$X:$X,"G",GL_Input!$Y:$Y,2))</f>
        <v>0</v>
      </c>
      <c r="H154" s="53" t="n">
        <f aca="false">IF($A154="",0,SUMIFS(GL_Input!$U:$U,GL_Input!$F:$F,$A154,GL_Input!$X:$X,"G",GL_Input!$Y:$Y,3))</f>
        <v>0</v>
      </c>
      <c r="I154" s="53" t="n">
        <f aca="false">IF($A154="",0,SUMIFS(GL_Input!$U:$U,GL_Input!$F:$F,$A154,GL_Input!$X:$X,"T",GL_Input!$Y:$Y,1))</f>
        <v>0</v>
      </c>
      <c r="J154" s="53" t="n">
        <f aca="false">IF($A154="",0,SUMIFS(GL_Input!$U:$U,GL_Input!$F:$F,$A154,GL_Input!$X:$X,"T",GL_Input!$Y:$Y,2))</f>
        <v>0</v>
      </c>
      <c r="K154" s="53" t="n">
        <f aca="false">IF($A154="",0,SUMIFS(GL_Input!$U:$U,GL_Input!$F:$F,$A154,GL_Input!$X:$X,"T",GL_Input!$Y:$Y,3))</f>
        <v>0</v>
      </c>
      <c r="L154" s="53" t="n">
        <f aca="false">IF($A154="",0,SUMIFS(GL_Input!$U:$U,GL_Input!$F:$F,$A154,GL_Input!$X:$X,"S",GL_Input!$Y:$Y,1))</f>
        <v>0</v>
      </c>
      <c r="M154" s="53" t="n">
        <f aca="false">IF($A154="",0,SUMIFS(GL_Input!$U:$U,GL_Input!$F:$F,$A154,GL_Input!$X:$X,"S",GL_Input!$Y:$Y,2))</f>
        <v>0</v>
      </c>
      <c r="N154" s="53" t="n">
        <f aca="false">IF($A154="",0,SUMIFS(GL_Input!$U:$U,GL_Input!$F:$F,$A154,GL_Input!$X:$X,"S",GL_Input!$Y:$Y,3))</f>
        <v>0</v>
      </c>
      <c r="O154" s="54" t="n">
        <f aca="false">SUM(F154:N154)</f>
        <v>0</v>
      </c>
      <c r="P154" s="15" t="str">
        <f aca="false">IF(O154=0,"",IF($D154="","MISSING VAT NO.",IF(OR($C154="",$C154="CY",Counterparties!G154&lt;&gt;"EU"),"NOT AN EU CUSTOMER","OK")))</f>
        <v/>
      </c>
    </row>
    <row r="155" customFormat="false" ht="15" hidden="false" customHeight="false" outlineLevel="0" collapsed="false">
      <c r="A155" s="30" t="str">
        <f aca="false">IF(Counterparties!A155="","",Counterparties!A155)</f>
        <v/>
      </c>
      <c r="B155" s="30" t="str">
        <f aca="false">IF(Counterparties!B155="","",Counterparties!B155)</f>
        <v/>
      </c>
      <c r="C155" s="30" t="str">
        <f aca="false">IF(Counterparties!C155="","",Counterparties!C155)</f>
        <v/>
      </c>
      <c r="D155" s="30" t="str">
        <f aca="false">IF(Counterparties!D155="","",Counterparties!D155)</f>
        <v/>
      </c>
      <c r="E155" s="30" t="str">
        <f aca="false">IF(Counterparties!E155="","",Counterparties!E155)</f>
        <v/>
      </c>
      <c r="F155" s="53" t="n">
        <f aca="false">IF($A155="",0,SUMIFS(GL_Input!$U:$U,GL_Input!$F:$F,$A155,GL_Input!$X:$X,"G",GL_Input!$Y:$Y,1))</f>
        <v>0</v>
      </c>
      <c r="G155" s="53" t="n">
        <f aca="false">IF($A155="",0,SUMIFS(GL_Input!$U:$U,GL_Input!$F:$F,$A155,GL_Input!$X:$X,"G",GL_Input!$Y:$Y,2))</f>
        <v>0</v>
      </c>
      <c r="H155" s="53" t="n">
        <f aca="false">IF($A155="",0,SUMIFS(GL_Input!$U:$U,GL_Input!$F:$F,$A155,GL_Input!$X:$X,"G",GL_Input!$Y:$Y,3))</f>
        <v>0</v>
      </c>
      <c r="I155" s="53" t="n">
        <f aca="false">IF($A155="",0,SUMIFS(GL_Input!$U:$U,GL_Input!$F:$F,$A155,GL_Input!$X:$X,"T",GL_Input!$Y:$Y,1))</f>
        <v>0</v>
      </c>
      <c r="J155" s="53" t="n">
        <f aca="false">IF($A155="",0,SUMIFS(GL_Input!$U:$U,GL_Input!$F:$F,$A155,GL_Input!$X:$X,"T",GL_Input!$Y:$Y,2))</f>
        <v>0</v>
      </c>
      <c r="K155" s="53" t="n">
        <f aca="false">IF($A155="",0,SUMIFS(GL_Input!$U:$U,GL_Input!$F:$F,$A155,GL_Input!$X:$X,"T",GL_Input!$Y:$Y,3))</f>
        <v>0</v>
      </c>
      <c r="L155" s="53" t="n">
        <f aca="false">IF($A155="",0,SUMIFS(GL_Input!$U:$U,GL_Input!$F:$F,$A155,GL_Input!$X:$X,"S",GL_Input!$Y:$Y,1))</f>
        <v>0</v>
      </c>
      <c r="M155" s="53" t="n">
        <f aca="false">IF($A155="",0,SUMIFS(GL_Input!$U:$U,GL_Input!$F:$F,$A155,GL_Input!$X:$X,"S",GL_Input!$Y:$Y,2))</f>
        <v>0</v>
      </c>
      <c r="N155" s="53" t="n">
        <f aca="false">IF($A155="",0,SUMIFS(GL_Input!$U:$U,GL_Input!$F:$F,$A155,GL_Input!$X:$X,"S",GL_Input!$Y:$Y,3))</f>
        <v>0</v>
      </c>
      <c r="O155" s="54" t="n">
        <f aca="false">SUM(F155:N155)</f>
        <v>0</v>
      </c>
      <c r="P155" s="15" t="str">
        <f aca="false">IF(O155=0,"",IF($D155="","MISSING VAT NO.",IF(OR($C155="",$C155="CY",Counterparties!G155&lt;&gt;"EU"),"NOT AN EU CUSTOMER","OK")))</f>
        <v/>
      </c>
    </row>
    <row r="156" customFormat="false" ht="15" hidden="false" customHeight="false" outlineLevel="0" collapsed="false">
      <c r="A156" s="30" t="str">
        <f aca="false">IF(Counterparties!A156="","",Counterparties!A156)</f>
        <v/>
      </c>
      <c r="B156" s="30" t="str">
        <f aca="false">IF(Counterparties!B156="","",Counterparties!B156)</f>
        <v/>
      </c>
      <c r="C156" s="30" t="str">
        <f aca="false">IF(Counterparties!C156="","",Counterparties!C156)</f>
        <v/>
      </c>
      <c r="D156" s="30" t="str">
        <f aca="false">IF(Counterparties!D156="","",Counterparties!D156)</f>
        <v/>
      </c>
      <c r="E156" s="30" t="str">
        <f aca="false">IF(Counterparties!E156="","",Counterparties!E156)</f>
        <v/>
      </c>
      <c r="F156" s="53" t="n">
        <f aca="false">IF($A156="",0,SUMIFS(GL_Input!$U:$U,GL_Input!$F:$F,$A156,GL_Input!$X:$X,"G",GL_Input!$Y:$Y,1))</f>
        <v>0</v>
      </c>
      <c r="G156" s="53" t="n">
        <f aca="false">IF($A156="",0,SUMIFS(GL_Input!$U:$U,GL_Input!$F:$F,$A156,GL_Input!$X:$X,"G",GL_Input!$Y:$Y,2))</f>
        <v>0</v>
      </c>
      <c r="H156" s="53" t="n">
        <f aca="false">IF($A156="",0,SUMIFS(GL_Input!$U:$U,GL_Input!$F:$F,$A156,GL_Input!$X:$X,"G",GL_Input!$Y:$Y,3))</f>
        <v>0</v>
      </c>
      <c r="I156" s="53" t="n">
        <f aca="false">IF($A156="",0,SUMIFS(GL_Input!$U:$U,GL_Input!$F:$F,$A156,GL_Input!$X:$X,"T",GL_Input!$Y:$Y,1))</f>
        <v>0</v>
      </c>
      <c r="J156" s="53" t="n">
        <f aca="false">IF($A156="",0,SUMIFS(GL_Input!$U:$U,GL_Input!$F:$F,$A156,GL_Input!$X:$X,"T",GL_Input!$Y:$Y,2))</f>
        <v>0</v>
      </c>
      <c r="K156" s="53" t="n">
        <f aca="false">IF($A156="",0,SUMIFS(GL_Input!$U:$U,GL_Input!$F:$F,$A156,GL_Input!$X:$X,"T",GL_Input!$Y:$Y,3))</f>
        <v>0</v>
      </c>
      <c r="L156" s="53" t="n">
        <f aca="false">IF($A156="",0,SUMIFS(GL_Input!$U:$U,GL_Input!$F:$F,$A156,GL_Input!$X:$X,"S",GL_Input!$Y:$Y,1))</f>
        <v>0</v>
      </c>
      <c r="M156" s="53" t="n">
        <f aca="false">IF($A156="",0,SUMIFS(GL_Input!$U:$U,GL_Input!$F:$F,$A156,GL_Input!$X:$X,"S",GL_Input!$Y:$Y,2))</f>
        <v>0</v>
      </c>
      <c r="N156" s="53" t="n">
        <f aca="false">IF($A156="",0,SUMIFS(GL_Input!$U:$U,GL_Input!$F:$F,$A156,GL_Input!$X:$X,"S",GL_Input!$Y:$Y,3))</f>
        <v>0</v>
      </c>
      <c r="O156" s="54" t="n">
        <f aca="false">SUM(F156:N156)</f>
        <v>0</v>
      </c>
      <c r="P156" s="15" t="str">
        <f aca="false">IF(O156=0,"",IF($D156="","MISSING VAT NO.",IF(OR($C156="",$C156="CY",Counterparties!G156&lt;&gt;"EU"),"NOT AN EU CUSTOMER","OK")))</f>
        <v/>
      </c>
    </row>
    <row r="157" customFormat="false" ht="15" hidden="false" customHeight="false" outlineLevel="0" collapsed="false">
      <c r="A157" s="30" t="str">
        <f aca="false">IF(Counterparties!A157="","",Counterparties!A157)</f>
        <v/>
      </c>
      <c r="B157" s="30" t="str">
        <f aca="false">IF(Counterparties!B157="","",Counterparties!B157)</f>
        <v/>
      </c>
      <c r="C157" s="30" t="str">
        <f aca="false">IF(Counterparties!C157="","",Counterparties!C157)</f>
        <v/>
      </c>
      <c r="D157" s="30" t="str">
        <f aca="false">IF(Counterparties!D157="","",Counterparties!D157)</f>
        <v/>
      </c>
      <c r="E157" s="30" t="str">
        <f aca="false">IF(Counterparties!E157="","",Counterparties!E157)</f>
        <v/>
      </c>
      <c r="F157" s="53" t="n">
        <f aca="false">IF($A157="",0,SUMIFS(GL_Input!$U:$U,GL_Input!$F:$F,$A157,GL_Input!$X:$X,"G",GL_Input!$Y:$Y,1))</f>
        <v>0</v>
      </c>
      <c r="G157" s="53" t="n">
        <f aca="false">IF($A157="",0,SUMIFS(GL_Input!$U:$U,GL_Input!$F:$F,$A157,GL_Input!$X:$X,"G",GL_Input!$Y:$Y,2))</f>
        <v>0</v>
      </c>
      <c r="H157" s="53" t="n">
        <f aca="false">IF($A157="",0,SUMIFS(GL_Input!$U:$U,GL_Input!$F:$F,$A157,GL_Input!$X:$X,"G",GL_Input!$Y:$Y,3))</f>
        <v>0</v>
      </c>
      <c r="I157" s="53" t="n">
        <f aca="false">IF($A157="",0,SUMIFS(GL_Input!$U:$U,GL_Input!$F:$F,$A157,GL_Input!$X:$X,"T",GL_Input!$Y:$Y,1))</f>
        <v>0</v>
      </c>
      <c r="J157" s="53" t="n">
        <f aca="false">IF($A157="",0,SUMIFS(GL_Input!$U:$U,GL_Input!$F:$F,$A157,GL_Input!$X:$X,"T",GL_Input!$Y:$Y,2))</f>
        <v>0</v>
      </c>
      <c r="K157" s="53" t="n">
        <f aca="false">IF($A157="",0,SUMIFS(GL_Input!$U:$U,GL_Input!$F:$F,$A157,GL_Input!$X:$X,"T",GL_Input!$Y:$Y,3))</f>
        <v>0</v>
      </c>
      <c r="L157" s="53" t="n">
        <f aca="false">IF($A157="",0,SUMIFS(GL_Input!$U:$U,GL_Input!$F:$F,$A157,GL_Input!$X:$X,"S",GL_Input!$Y:$Y,1))</f>
        <v>0</v>
      </c>
      <c r="M157" s="53" t="n">
        <f aca="false">IF($A157="",0,SUMIFS(GL_Input!$U:$U,GL_Input!$F:$F,$A157,GL_Input!$X:$X,"S",GL_Input!$Y:$Y,2))</f>
        <v>0</v>
      </c>
      <c r="N157" s="53" t="n">
        <f aca="false">IF($A157="",0,SUMIFS(GL_Input!$U:$U,GL_Input!$F:$F,$A157,GL_Input!$X:$X,"S",GL_Input!$Y:$Y,3))</f>
        <v>0</v>
      </c>
      <c r="O157" s="54" t="n">
        <f aca="false">SUM(F157:N157)</f>
        <v>0</v>
      </c>
      <c r="P157" s="15" t="str">
        <f aca="false">IF(O157=0,"",IF($D157="","MISSING VAT NO.",IF(OR($C157="",$C157="CY",Counterparties!G157&lt;&gt;"EU"),"NOT AN EU CUSTOMER","OK")))</f>
        <v/>
      </c>
    </row>
    <row r="158" customFormat="false" ht="15" hidden="false" customHeight="false" outlineLevel="0" collapsed="false">
      <c r="A158" s="30" t="str">
        <f aca="false">IF(Counterparties!A158="","",Counterparties!A158)</f>
        <v/>
      </c>
      <c r="B158" s="30" t="str">
        <f aca="false">IF(Counterparties!B158="","",Counterparties!B158)</f>
        <v/>
      </c>
      <c r="C158" s="30" t="str">
        <f aca="false">IF(Counterparties!C158="","",Counterparties!C158)</f>
        <v/>
      </c>
      <c r="D158" s="30" t="str">
        <f aca="false">IF(Counterparties!D158="","",Counterparties!D158)</f>
        <v/>
      </c>
      <c r="E158" s="30" t="str">
        <f aca="false">IF(Counterparties!E158="","",Counterparties!E158)</f>
        <v/>
      </c>
      <c r="F158" s="53" t="n">
        <f aca="false">IF($A158="",0,SUMIFS(GL_Input!$U:$U,GL_Input!$F:$F,$A158,GL_Input!$X:$X,"G",GL_Input!$Y:$Y,1))</f>
        <v>0</v>
      </c>
      <c r="G158" s="53" t="n">
        <f aca="false">IF($A158="",0,SUMIFS(GL_Input!$U:$U,GL_Input!$F:$F,$A158,GL_Input!$X:$X,"G",GL_Input!$Y:$Y,2))</f>
        <v>0</v>
      </c>
      <c r="H158" s="53" t="n">
        <f aca="false">IF($A158="",0,SUMIFS(GL_Input!$U:$U,GL_Input!$F:$F,$A158,GL_Input!$X:$X,"G",GL_Input!$Y:$Y,3))</f>
        <v>0</v>
      </c>
      <c r="I158" s="53" t="n">
        <f aca="false">IF($A158="",0,SUMIFS(GL_Input!$U:$U,GL_Input!$F:$F,$A158,GL_Input!$X:$X,"T",GL_Input!$Y:$Y,1))</f>
        <v>0</v>
      </c>
      <c r="J158" s="53" t="n">
        <f aca="false">IF($A158="",0,SUMIFS(GL_Input!$U:$U,GL_Input!$F:$F,$A158,GL_Input!$X:$X,"T",GL_Input!$Y:$Y,2))</f>
        <v>0</v>
      </c>
      <c r="K158" s="53" t="n">
        <f aca="false">IF($A158="",0,SUMIFS(GL_Input!$U:$U,GL_Input!$F:$F,$A158,GL_Input!$X:$X,"T",GL_Input!$Y:$Y,3))</f>
        <v>0</v>
      </c>
      <c r="L158" s="53" t="n">
        <f aca="false">IF($A158="",0,SUMIFS(GL_Input!$U:$U,GL_Input!$F:$F,$A158,GL_Input!$X:$X,"S",GL_Input!$Y:$Y,1))</f>
        <v>0</v>
      </c>
      <c r="M158" s="53" t="n">
        <f aca="false">IF($A158="",0,SUMIFS(GL_Input!$U:$U,GL_Input!$F:$F,$A158,GL_Input!$X:$X,"S",GL_Input!$Y:$Y,2))</f>
        <v>0</v>
      </c>
      <c r="N158" s="53" t="n">
        <f aca="false">IF($A158="",0,SUMIFS(GL_Input!$U:$U,GL_Input!$F:$F,$A158,GL_Input!$X:$X,"S",GL_Input!$Y:$Y,3))</f>
        <v>0</v>
      </c>
      <c r="O158" s="54" t="n">
        <f aca="false">SUM(F158:N158)</f>
        <v>0</v>
      </c>
      <c r="P158" s="15" t="str">
        <f aca="false">IF(O158=0,"",IF($D158="","MISSING VAT NO.",IF(OR($C158="",$C158="CY",Counterparties!G158&lt;&gt;"EU"),"NOT AN EU CUSTOMER","OK")))</f>
        <v/>
      </c>
    </row>
    <row r="159" customFormat="false" ht="15" hidden="false" customHeight="false" outlineLevel="0" collapsed="false">
      <c r="A159" s="30" t="str">
        <f aca="false">IF(Counterparties!A159="","",Counterparties!A159)</f>
        <v/>
      </c>
      <c r="B159" s="30" t="str">
        <f aca="false">IF(Counterparties!B159="","",Counterparties!B159)</f>
        <v/>
      </c>
      <c r="C159" s="30" t="str">
        <f aca="false">IF(Counterparties!C159="","",Counterparties!C159)</f>
        <v/>
      </c>
      <c r="D159" s="30" t="str">
        <f aca="false">IF(Counterparties!D159="","",Counterparties!D159)</f>
        <v/>
      </c>
      <c r="E159" s="30" t="str">
        <f aca="false">IF(Counterparties!E159="","",Counterparties!E159)</f>
        <v/>
      </c>
      <c r="F159" s="53" t="n">
        <f aca="false">IF($A159="",0,SUMIFS(GL_Input!$U:$U,GL_Input!$F:$F,$A159,GL_Input!$X:$X,"G",GL_Input!$Y:$Y,1))</f>
        <v>0</v>
      </c>
      <c r="G159" s="53" t="n">
        <f aca="false">IF($A159="",0,SUMIFS(GL_Input!$U:$U,GL_Input!$F:$F,$A159,GL_Input!$X:$X,"G",GL_Input!$Y:$Y,2))</f>
        <v>0</v>
      </c>
      <c r="H159" s="53" t="n">
        <f aca="false">IF($A159="",0,SUMIFS(GL_Input!$U:$U,GL_Input!$F:$F,$A159,GL_Input!$X:$X,"G",GL_Input!$Y:$Y,3))</f>
        <v>0</v>
      </c>
      <c r="I159" s="53" t="n">
        <f aca="false">IF($A159="",0,SUMIFS(GL_Input!$U:$U,GL_Input!$F:$F,$A159,GL_Input!$X:$X,"T",GL_Input!$Y:$Y,1))</f>
        <v>0</v>
      </c>
      <c r="J159" s="53" t="n">
        <f aca="false">IF($A159="",0,SUMIFS(GL_Input!$U:$U,GL_Input!$F:$F,$A159,GL_Input!$X:$X,"T",GL_Input!$Y:$Y,2))</f>
        <v>0</v>
      </c>
      <c r="K159" s="53" t="n">
        <f aca="false">IF($A159="",0,SUMIFS(GL_Input!$U:$U,GL_Input!$F:$F,$A159,GL_Input!$X:$X,"T",GL_Input!$Y:$Y,3))</f>
        <v>0</v>
      </c>
      <c r="L159" s="53" t="n">
        <f aca="false">IF($A159="",0,SUMIFS(GL_Input!$U:$U,GL_Input!$F:$F,$A159,GL_Input!$X:$X,"S",GL_Input!$Y:$Y,1))</f>
        <v>0</v>
      </c>
      <c r="M159" s="53" t="n">
        <f aca="false">IF($A159="",0,SUMIFS(GL_Input!$U:$U,GL_Input!$F:$F,$A159,GL_Input!$X:$X,"S",GL_Input!$Y:$Y,2))</f>
        <v>0</v>
      </c>
      <c r="N159" s="53" t="n">
        <f aca="false">IF($A159="",0,SUMIFS(GL_Input!$U:$U,GL_Input!$F:$F,$A159,GL_Input!$X:$X,"S",GL_Input!$Y:$Y,3))</f>
        <v>0</v>
      </c>
      <c r="O159" s="54" t="n">
        <f aca="false">SUM(F159:N159)</f>
        <v>0</v>
      </c>
      <c r="P159" s="15" t="str">
        <f aca="false">IF(O159=0,"",IF($D159="","MISSING VAT NO.",IF(OR($C159="",$C159="CY",Counterparties!G159&lt;&gt;"EU"),"NOT AN EU CUSTOMER","OK")))</f>
        <v/>
      </c>
    </row>
    <row r="160" customFormat="false" ht="15" hidden="false" customHeight="false" outlineLevel="0" collapsed="false">
      <c r="A160" s="30" t="str">
        <f aca="false">IF(Counterparties!A160="","",Counterparties!A160)</f>
        <v/>
      </c>
      <c r="B160" s="30" t="str">
        <f aca="false">IF(Counterparties!B160="","",Counterparties!B160)</f>
        <v/>
      </c>
      <c r="C160" s="30" t="str">
        <f aca="false">IF(Counterparties!C160="","",Counterparties!C160)</f>
        <v/>
      </c>
      <c r="D160" s="30" t="str">
        <f aca="false">IF(Counterparties!D160="","",Counterparties!D160)</f>
        <v/>
      </c>
      <c r="E160" s="30" t="str">
        <f aca="false">IF(Counterparties!E160="","",Counterparties!E160)</f>
        <v/>
      </c>
      <c r="F160" s="53" t="n">
        <f aca="false">IF($A160="",0,SUMIFS(GL_Input!$U:$U,GL_Input!$F:$F,$A160,GL_Input!$X:$X,"G",GL_Input!$Y:$Y,1))</f>
        <v>0</v>
      </c>
      <c r="G160" s="53" t="n">
        <f aca="false">IF($A160="",0,SUMIFS(GL_Input!$U:$U,GL_Input!$F:$F,$A160,GL_Input!$X:$X,"G",GL_Input!$Y:$Y,2))</f>
        <v>0</v>
      </c>
      <c r="H160" s="53" t="n">
        <f aca="false">IF($A160="",0,SUMIFS(GL_Input!$U:$U,GL_Input!$F:$F,$A160,GL_Input!$X:$X,"G",GL_Input!$Y:$Y,3))</f>
        <v>0</v>
      </c>
      <c r="I160" s="53" t="n">
        <f aca="false">IF($A160="",0,SUMIFS(GL_Input!$U:$U,GL_Input!$F:$F,$A160,GL_Input!$X:$X,"T",GL_Input!$Y:$Y,1))</f>
        <v>0</v>
      </c>
      <c r="J160" s="53" t="n">
        <f aca="false">IF($A160="",0,SUMIFS(GL_Input!$U:$U,GL_Input!$F:$F,$A160,GL_Input!$X:$X,"T",GL_Input!$Y:$Y,2))</f>
        <v>0</v>
      </c>
      <c r="K160" s="53" t="n">
        <f aca="false">IF($A160="",0,SUMIFS(GL_Input!$U:$U,GL_Input!$F:$F,$A160,GL_Input!$X:$X,"T",GL_Input!$Y:$Y,3))</f>
        <v>0</v>
      </c>
      <c r="L160" s="53" t="n">
        <f aca="false">IF($A160="",0,SUMIFS(GL_Input!$U:$U,GL_Input!$F:$F,$A160,GL_Input!$X:$X,"S",GL_Input!$Y:$Y,1))</f>
        <v>0</v>
      </c>
      <c r="M160" s="53" t="n">
        <f aca="false">IF($A160="",0,SUMIFS(GL_Input!$U:$U,GL_Input!$F:$F,$A160,GL_Input!$X:$X,"S",GL_Input!$Y:$Y,2))</f>
        <v>0</v>
      </c>
      <c r="N160" s="53" t="n">
        <f aca="false">IF($A160="",0,SUMIFS(GL_Input!$U:$U,GL_Input!$F:$F,$A160,GL_Input!$X:$X,"S",GL_Input!$Y:$Y,3))</f>
        <v>0</v>
      </c>
      <c r="O160" s="54" t="n">
        <f aca="false">SUM(F160:N160)</f>
        <v>0</v>
      </c>
      <c r="P160" s="15" t="str">
        <f aca="false">IF(O160=0,"",IF($D160="","MISSING VAT NO.",IF(OR($C160="",$C160="CY",Counterparties!G160&lt;&gt;"EU"),"NOT AN EU CUSTOMER","OK")))</f>
        <v/>
      </c>
    </row>
    <row r="161" customFormat="false" ht="15" hidden="false" customHeight="false" outlineLevel="0" collapsed="false">
      <c r="A161" s="30" t="str">
        <f aca="false">IF(Counterparties!A161="","",Counterparties!A161)</f>
        <v/>
      </c>
      <c r="B161" s="30" t="str">
        <f aca="false">IF(Counterparties!B161="","",Counterparties!B161)</f>
        <v/>
      </c>
      <c r="C161" s="30" t="str">
        <f aca="false">IF(Counterparties!C161="","",Counterparties!C161)</f>
        <v/>
      </c>
      <c r="D161" s="30" t="str">
        <f aca="false">IF(Counterparties!D161="","",Counterparties!D161)</f>
        <v/>
      </c>
      <c r="E161" s="30" t="str">
        <f aca="false">IF(Counterparties!E161="","",Counterparties!E161)</f>
        <v/>
      </c>
      <c r="F161" s="53" t="n">
        <f aca="false">IF($A161="",0,SUMIFS(GL_Input!$U:$U,GL_Input!$F:$F,$A161,GL_Input!$X:$X,"G",GL_Input!$Y:$Y,1))</f>
        <v>0</v>
      </c>
      <c r="G161" s="53" t="n">
        <f aca="false">IF($A161="",0,SUMIFS(GL_Input!$U:$U,GL_Input!$F:$F,$A161,GL_Input!$X:$X,"G",GL_Input!$Y:$Y,2))</f>
        <v>0</v>
      </c>
      <c r="H161" s="53" t="n">
        <f aca="false">IF($A161="",0,SUMIFS(GL_Input!$U:$U,GL_Input!$F:$F,$A161,GL_Input!$X:$X,"G",GL_Input!$Y:$Y,3))</f>
        <v>0</v>
      </c>
      <c r="I161" s="53" t="n">
        <f aca="false">IF($A161="",0,SUMIFS(GL_Input!$U:$U,GL_Input!$F:$F,$A161,GL_Input!$X:$X,"T",GL_Input!$Y:$Y,1))</f>
        <v>0</v>
      </c>
      <c r="J161" s="53" t="n">
        <f aca="false">IF($A161="",0,SUMIFS(GL_Input!$U:$U,GL_Input!$F:$F,$A161,GL_Input!$X:$X,"T",GL_Input!$Y:$Y,2))</f>
        <v>0</v>
      </c>
      <c r="K161" s="53" t="n">
        <f aca="false">IF($A161="",0,SUMIFS(GL_Input!$U:$U,GL_Input!$F:$F,$A161,GL_Input!$X:$X,"T",GL_Input!$Y:$Y,3))</f>
        <v>0</v>
      </c>
      <c r="L161" s="53" t="n">
        <f aca="false">IF($A161="",0,SUMIFS(GL_Input!$U:$U,GL_Input!$F:$F,$A161,GL_Input!$X:$X,"S",GL_Input!$Y:$Y,1))</f>
        <v>0</v>
      </c>
      <c r="M161" s="53" t="n">
        <f aca="false">IF($A161="",0,SUMIFS(GL_Input!$U:$U,GL_Input!$F:$F,$A161,GL_Input!$X:$X,"S",GL_Input!$Y:$Y,2))</f>
        <v>0</v>
      </c>
      <c r="N161" s="53" t="n">
        <f aca="false">IF($A161="",0,SUMIFS(GL_Input!$U:$U,GL_Input!$F:$F,$A161,GL_Input!$X:$X,"S",GL_Input!$Y:$Y,3))</f>
        <v>0</v>
      </c>
      <c r="O161" s="54" t="n">
        <f aca="false">SUM(F161:N161)</f>
        <v>0</v>
      </c>
      <c r="P161" s="15" t="str">
        <f aca="false">IF(O161=0,"",IF($D161="","MISSING VAT NO.",IF(OR($C161="",$C161="CY",Counterparties!G161&lt;&gt;"EU"),"NOT AN EU CUSTOMER","OK")))</f>
        <v/>
      </c>
    </row>
    <row r="162" customFormat="false" ht="15" hidden="false" customHeight="false" outlineLevel="0" collapsed="false">
      <c r="A162" s="30" t="str">
        <f aca="false">IF(Counterparties!A162="","",Counterparties!A162)</f>
        <v/>
      </c>
      <c r="B162" s="30" t="str">
        <f aca="false">IF(Counterparties!B162="","",Counterparties!B162)</f>
        <v/>
      </c>
      <c r="C162" s="30" t="str">
        <f aca="false">IF(Counterparties!C162="","",Counterparties!C162)</f>
        <v/>
      </c>
      <c r="D162" s="30" t="str">
        <f aca="false">IF(Counterparties!D162="","",Counterparties!D162)</f>
        <v/>
      </c>
      <c r="E162" s="30" t="str">
        <f aca="false">IF(Counterparties!E162="","",Counterparties!E162)</f>
        <v/>
      </c>
      <c r="F162" s="53" t="n">
        <f aca="false">IF($A162="",0,SUMIFS(GL_Input!$U:$U,GL_Input!$F:$F,$A162,GL_Input!$X:$X,"G",GL_Input!$Y:$Y,1))</f>
        <v>0</v>
      </c>
      <c r="G162" s="53" t="n">
        <f aca="false">IF($A162="",0,SUMIFS(GL_Input!$U:$U,GL_Input!$F:$F,$A162,GL_Input!$X:$X,"G",GL_Input!$Y:$Y,2))</f>
        <v>0</v>
      </c>
      <c r="H162" s="53" t="n">
        <f aca="false">IF($A162="",0,SUMIFS(GL_Input!$U:$U,GL_Input!$F:$F,$A162,GL_Input!$X:$X,"G",GL_Input!$Y:$Y,3))</f>
        <v>0</v>
      </c>
      <c r="I162" s="53" t="n">
        <f aca="false">IF($A162="",0,SUMIFS(GL_Input!$U:$U,GL_Input!$F:$F,$A162,GL_Input!$X:$X,"T",GL_Input!$Y:$Y,1))</f>
        <v>0</v>
      </c>
      <c r="J162" s="53" t="n">
        <f aca="false">IF($A162="",0,SUMIFS(GL_Input!$U:$U,GL_Input!$F:$F,$A162,GL_Input!$X:$X,"T",GL_Input!$Y:$Y,2))</f>
        <v>0</v>
      </c>
      <c r="K162" s="53" t="n">
        <f aca="false">IF($A162="",0,SUMIFS(GL_Input!$U:$U,GL_Input!$F:$F,$A162,GL_Input!$X:$X,"T",GL_Input!$Y:$Y,3))</f>
        <v>0</v>
      </c>
      <c r="L162" s="53" t="n">
        <f aca="false">IF($A162="",0,SUMIFS(GL_Input!$U:$U,GL_Input!$F:$F,$A162,GL_Input!$X:$X,"S",GL_Input!$Y:$Y,1))</f>
        <v>0</v>
      </c>
      <c r="M162" s="53" t="n">
        <f aca="false">IF($A162="",0,SUMIFS(GL_Input!$U:$U,GL_Input!$F:$F,$A162,GL_Input!$X:$X,"S",GL_Input!$Y:$Y,2))</f>
        <v>0</v>
      </c>
      <c r="N162" s="53" t="n">
        <f aca="false">IF($A162="",0,SUMIFS(GL_Input!$U:$U,GL_Input!$F:$F,$A162,GL_Input!$X:$X,"S",GL_Input!$Y:$Y,3))</f>
        <v>0</v>
      </c>
      <c r="O162" s="54" t="n">
        <f aca="false">SUM(F162:N162)</f>
        <v>0</v>
      </c>
      <c r="P162" s="15" t="str">
        <f aca="false">IF(O162=0,"",IF($D162="","MISSING VAT NO.",IF(OR($C162="",$C162="CY",Counterparties!G162&lt;&gt;"EU"),"NOT AN EU CUSTOMER","OK")))</f>
        <v/>
      </c>
    </row>
    <row r="163" customFormat="false" ht="15" hidden="false" customHeight="false" outlineLevel="0" collapsed="false">
      <c r="A163" s="30" t="str">
        <f aca="false">IF(Counterparties!A163="","",Counterparties!A163)</f>
        <v/>
      </c>
      <c r="B163" s="30" t="str">
        <f aca="false">IF(Counterparties!B163="","",Counterparties!B163)</f>
        <v/>
      </c>
      <c r="C163" s="30" t="str">
        <f aca="false">IF(Counterparties!C163="","",Counterparties!C163)</f>
        <v/>
      </c>
      <c r="D163" s="30" t="str">
        <f aca="false">IF(Counterparties!D163="","",Counterparties!D163)</f>
        <v/>
      </c>
      <c r="E163" s="30" t="str">
        <f aca="false">IF(Counterparties!E163="","",Counterparties!E163)</f>
        <v/>
      </c>
      <c r="F163" s="53" t="n">
        <f aca="false">IF($A163="",0,SUMIFS(GL_Input!$U:$U,GL_Input!$F:$F,$A163,GL_Input!$X:$X,"G",GL_Input!$Y:$Y,1))</f>
        <v>0</v>
      </c>
      <c r="G163" s="53" t="n">
        <f aca="false">IF($A163="",0,SUMIFS(GL_Input!$U:$U,GL_Input!$F:$F,$A163,GL_Input!$X:$X,"G",GL_Input!$Y:$Y,2))</f>
        <v>0</v>
      </c>
      <c r="H163" s="53" t="n">
        <f aca="false">IF($A163="",0,SUMIFS(GL_Input!$U:$U,GL_Input!$F:$F,$A163,GL_Input!$X:$X,"G",GL_Input!$Y:$Y,3))</f>
        <v>0</v>
      </c>
      <c r="I163" s="53" t="n">
        <f aca="false">IF($A163="",0,SUMIFS(GL_Input!$U:$U,GL_Input!$F:$F,$A163,GL_Input!$X:$X,"T",GL_Input!$Y:$Y,1))</f>
        <v>0</v>
      </c>
      <c r="J163" s="53" t="n">
        <f aca="false">IF($A163="",0,SUMIFS(GL_Input!$U:$U,GL_Input!$F:$F,$A163,GL_Input!$X:$X,"T",GL_Input!$Y:$Y,2))</f>
        <v>0</v>
      </c>
      <c r="K163" s="53" t="n">
        <f aca="false">IF($A163="",0,SUMIFS(GL_Input!$U:$U,GL_Input!$F:$F,$A163,GL_Input!$X:$X,"T",GL_Input!$Y:$Y,3))</f>
        <v>0</v>
      </c>
      <c r="L163" s="53" t="n">
        <f aca="false">IF($A163="",0,SUMIFS(GL_Input!$U:$U,GL_Input!$F:$F,$A163,GL_Input!$X:$X,"S",GL_Input!$Y:$Y,1))</f>
        <v>0</v>
      </c>
      <c r="M163" s="53" t="n">
        <f aca="false">IF($A163="",0,SUMIFS(GL_Input!$U:$U,GL_Input!$F:$F,$A163,GL_Input!$X:$X,"S",GL_Input!$Y:$Y,2))</f>
        <v>0</v>
      </c>
      <c r="N163" s="53" t="n">
        <f aca="false">IF($A163="",0,SUMIFS(GL_Input!$U:$U,GL_Input!$F:$F,$A163,GL_Input!$X:$X,"S",GL_Input!$Y:$Y,3))</f>
        <v>0</v>
      </c>
      <c r="O163" s="54" t="n">
        <f aca="false">SUM(F163:N163)</f>
        <v>0</v>
      </c>
      <c r="P163" s="15" t="str">
        <f aca="false">IF(O163=0,"",IF($D163="","MISSING VAT NO.",IF(OR($C163="",$C163="CY",Counterparties!G163&lt;&gt;"EU"),"NOT AN EU CUSTOMER","OK")))</f>
        <v/>
      </c>
    </row>
    <row r="164" customFormat="false" ht="15" hidden="false" customHeight="false" outlineLevel="0" collapsed="false">
      <c r="A164" s="30" t="str">
        <f aca="false">IF(Counterparties!A164="","",Counterparties!A164)</f>
        <v/>
      </c>
      <c r="B164" s="30" t="str">
        <f aca="false">IF(Counterparties!B164="","",Counterparties!B164)</f>
        <v/>
      </c>
      <c r="C164" s="30" t="str">
        <f aca="false">IF(Counterparties!C164="","",Counterparties!C164)</f>
        <v/>
      </c>
      <c r="D164" s="30" t="str">
        <f aca="false">IF(Counterparties!D164="","",Counterparties!D164)</f>
        <v/>
      </c>
      <c r="E164" s="30" t="str">
        <f aca="false">IF(Counterparties!E164="","",Counterparties!E164)</f>
        <v/>
      </c>
      <c r="F164" s="53" t="n">
        <f aca="false">IF($A164="",0,SUMIFS(GL_Input!$U:$U,GL_Input!$F:$F,$A164,GL_Input!$X:$X,"G",GL_Input!$Y:$Y,1))</f>
        <v>0</v>
      </c>
      <c r="G164" s="53" t="n">
        <f aca="false">IF($A164="",0,SUMIFS(GL_Input!$U:$U,GL_Input!$F:$F,$A164,GL_Input!$X:$X,"G",GL_Input!$Y:$Y,2))</f>
        <v>0</v>
      </c>
      <c r="H164" s="53" t="n">
        <f aca="false">IF($A164="",0,SUMIFS(GL_Input!$U:$U,GL_Input!$F:$F,$A164,GL_Input!$X:$X,"G",GL_Input!$Y:$Y,3))</f>
        <v>0</v>
      </c>
      <c r="I164" s="53" t="n">
        <f aca="false">IF($A164="",0,SUMIFS(GL_Input!$U:$U,GL_Input!$F:$F,$A164,GL_Input!$X:$X,"T",GL_Input!$Y:$Y,1))</f>
        <v>0</v>
      </c>
      <c r="J164" s="53" t="n">
        <f aca="false">IF($A164="",0,SUMIFS(GL_Input!$U:$U,GL_Input!$F:$F,$A164,GL_Input!$X:$X,"T",GL_Input!$Y:$Y,2))</f>
        <v>0</v>
      </c>
      <c r="K164" s="53" t="n">
        <f aca="false">IF($A164="",0,SUMIFS(GL_Input!$U:$U,GL_Input!$F:$F,$A164,GL_Input!$X:$X,"T",GL_Input!$Y:$Y,3))</f>
        <v>0</v>
      </c>
      <c r="L164" s="53" t="n">
        <f aca="false">IF($A164="",0,SUMIFS(GL_Input!$U:$U,GL_Input!$F:$F,$A164,GL_Input!$X:$X,"S",GL_Input!$Y:$Y,1))</f>
        <v>0</v>
      </c>
      <c r="M164" s="53" t="n">
        <f aca="false">IF($A164="",0,SUMIFS(GL_Input!$U:$U,GL_Input!$F:$F,$A164,GL_Input!$X:$X,"S",GL_Input!$Y:$Y,2))</f>
        <v>0</v>
      </c>
      <c r="N164" s="53" t="n">
        <f aca="false">IF($A164="",0,SUMIFS(GL_Input!$U:$U,GL_Input!$F:$F,$A164,GL_Input!$X:$X,"S",GL_Input!$Y:$Y,3))</f>
        <v>0</v>
      </c>
      <c r="O164" s="54" t="n">
        <f aca="false">SUM(F164:N164)</f>
        <v>0</v>
      </c>
      <c r="P164" s="15" t="str">
        <f aca="false">IF(O164=0,"",IF($D164="","MISSING VAT NO.",IF(OR($C164="",$C164="CY",Counterparties!G164&lt;&gt;"EU"),"NOT AN EU CUSTOMER","OK")))</f>
        <v/>
      </c>
    </row>
    <row r="165" customFormat="false" ht="15" hidden="false" customHeight="false" outlineLevel="0" collapsed="false">
      <c r="A165" s="30" t="str">
        <f aca="false">IF(Counterparties!A165="","",Counterparties!A165)</f>
        <v/>
      </c>
      <c r="B165" s="30" t="str">
        <f aca="false">IF(Counterparties!B165="","",Counterparties!B165)</f>
        <v/>
      </c>
      <c r="C165" s="30" t="str">
        <f aca="false">IF(Counterparties!C165="","",Counterparties!C165)</f>
        <v/>
      </c>
      <c r="D165" s="30" t="str">
        <f aca="false">IF(Counterparties!D165="","",Counterparties!D165)</f>
        <v/>
      </c>
      <c r="E165" s="30" t="str">
        <f aca="false">IF(Counterparties!E165="","",Counterparties!E165)</f>
        <v/>
      </c>
      <c r="F165" s="53" t="n">
        <f aca="false">IF($A165="",0,SUMIFS(GL_Input!$U:$U,GL_Input!$F:$F,$A165,GL_Input!$X:$X,"G",GL_Input!$Y:$Y,1))</f>
        <v>0</v>
      </c>
      <c r="G165" s="53" t="n">
        <f aca="false">IF($A165="",0,SUMIFS(GL_Input!$U:$U,GL_Input!$F:$F,$A165,GL_Input!$X:$X,"G",GL_Input!$Y:$Y,2))</f>
        <v>0</v>
      </c>
      <c r="H165" s="53" t="n">
        <f aca="false">IF($A165="",0,SUMIFS(GL_Input!$U:$U,GL_Input!$F:$F,$A165,GL_Input!$X:$X,"G",GL_Input!$Y:$Y,3))</f>
        <v>0</v>
      </c>
      <c r="I165" s="53" t="n">
        <f aca="false">IF($A165="",0,SUMIFS(GL_Input!$U:$U,GL_Input!$F:$F,$A165,GL_Input!$X:$X,"T",GL_Input!$Y:$Y,1))</f>
        <v>0</v>
      </c>
      <c r="J165" s="53" t="n">
        <f aca="false">IF($A165="",0,SUMIFS(GL_Input!$U:$U,GL_Input!$F:$F,$A165,GL_Input!$X:$X,"T",GL_Input!$Y:$Y,2))</f>
        <v>0</v>
      </c>
      <c r="K165" s="53" t="n">
        <f aca="false">IF($A165="",0,SUMIFS(GL_Input!$U:$U,GL_Input!$F:$F,$A165,GL_Input!$X:$X,"T",GL_Input!$Y:$Y,3))</f>
        <v>0</v>
      </c>
      <c r="L165" s="53" t="n">
        <f aca="false">IF($A165="",0,SUMIFS(GL_Input!$U:$U,GL_Input!$F:$F,$A165,GL_Input!$X:$X,"S",GL_Input!$Y:$Y,1))</f>
        <v>0</v>
      </c>
      <c r="M165" s="53" t="n">
        <f aca="false">IF($A165="",0,SUMIFS(GL_Input!$U:$U,GL_Input!$F:$F,$A165,GL_Input!$X:$X,"S",GL_Input!$Y:$Y,2))</f>
        <v>0</v>
      </c>
      <c r="N165" s="53" t="n">
        <f aca="false">IF($A165="",0,SUMIFS(GL_Input!$U:$U,GL_Input!$F:$F,$A165,GL_Input!$X:$X,"S",GL_Input!$Y:$Y,3))</f>
        <v>0</v>
      </c>
      <c r="O165" s="54" t="n">
        <f aca="false">SUM(F165:N165)</f>
        <v>0</v>
      </c>
      <c r="P165" s="15" t="str">
        <f aca="false">IF(O165=0,"",IF($D165="","MISSING VAT NO.",IF(OR($C165="",$C165="CY",Counterparties!G165&lt;&gt;"EU"),"NOT AN EU CUSTOMER","OK")))</f>
        <v/>
      </c>
    </row>
    <row r="166" customFormat="false" ht="15" hidden="false" customHeight="false" outlineLevel="0" collapsed="false">
      <c r="A166" s="30" t="str">
        <f aca="false">IF(Counterparties!A166="","",Counterparties!A166)</f>
        <v/>
      </c>
      <c r="B166" s="30" t="str">
        <f aca="false">IF(Counterparties!B166="","",Counterparties!B166)</f>
        <v/>
      </c>
      <c r="C166" s="30" t="str">
        <f aca="false">IF(Counterparties!C166="","",Counterparties!C166)</f>
        <v/>
      </c>
      <c r="D166" s="30" t="str">
        <f aca="false">IF(Counterparties!D166="","",Counterparties!D166)</f>
        <v/>
      </c>
      <c r="E166" s="30" t="str">
        <f aca="false">IF(Counterparties!E166="","",Counterparties!E166)</f>
        <v/>
      </c>
      <c r="F166" s="53" t="n">
        <f aca="false">IF($A166="",0,SUMIFS(GL_Input!$U:$U,GL_Input!$F:$F,$A166,GL_Input!$X:$X,"G",GL_Input!$Y:$Y,1))</f>
        <v>0</v>
      </c>
      <c r="G166" s="53" t="n">
        <f aca="false">IF($A166="",0,SUMIFS(GL_Input!$U:$U,GL_Input!$F:$F,$A166,GL_Input!$X:$X,"G",GL_Input!$Y:$Y,2))</f>
        <v>0</v>
      </c>
      <c r="H166" s="53" t="n">
        <f aca="false">IF($A166="",0,SUMIFS(GL_Input!$U:$U,GL_Input!$F:$F,$A166,GL_Input!$X:$X,"G",GL_Input!$Y:$Y,3))</f>
        <v>0</v>
      </c>
      <c r="I166" s="53" t="n">
        <f aca="false">IF($A166="",0,SUMIFS(GL_Input!$U:$U,GL_Input!$F:$F,$A166,GL_Input!$X:$X,"T",GL_Input!$Y:$Y,1))</f>
        <v>0</v>
      </c>
      <c r="J166" s="53" t="n">
        <f aca="false">IF($A166="",0,SUMIFS(GL_Input!$U:$U,GL_Input!$F:$F,$A166,GL_Input!$X:$X,"T",GL_Input!$Y:$Y,2))</f>
        <v>0</v>
      </c>
      <c r="K166" s="53" t="n">
        <f aca="false">IF($A166="",0,SUMIFS(GL_Input!$U:$U,GL_Input!$F:$F,$A166,GL_Input!$X:$X,"T",GL_Input!$Y:$Y,3))</f>
        <v>0</v>
      </c>
      <c r="L166" s="53" t="n">
        <f aca="false">IF($A166="",0,SUMIFS(GL_Input!$U:$U,GL_Input!$F:$F,$A166,GL_Input!$X:$X,"S",GL_Input!$Y:$Y,1))</f>
        <v>0</v>
      </c>
      <c r="M166" s="53" t="n">
        <f aca="false">IF($A166="",0,SUMIFS(GL_Input!$U:$U,GL_Input!$F:$F,$A166,GL_Input!$X:$X,"S",GL_Input!$Y:$Y,2))</f>
        <v>0</v>
      </c>
      <c r="N166" s="53" t="n">
        <f aca="false">IF($A166="",0,SUMIFS(GL_Input!$U:$U,GL_Input!$F:$F,$A166,GL_Input!$X:$X,"S",GL_Input!$Y:$Y,3))</f>
        <v>0</v>
      </c>
      <c r="O166" s="54" t="n">
        <f aca="false">SUM(F166:N166)</f>
        <v>0</v>
      </c>
      <c r="P166" s="15" t="str">
        <f aca="false">IF(O166=0,"",IF($D166="","MISSING VAT NO.",IF(OR($C166="",$C166="CY",Counterparties!G166&lt;&gt;"EU"),"NOT AN EU CUSTOMER","OK")))</f>
        <v/>
      </c>
    </row>
    <row r="167" customFormat="false" ht="15" hidden="false" customHeight="false" outlineLevel="0" collapsed="false">
      <c r="A167" s="30" t="str">
        <f aca="false">IF(Counterparties!A167="","",Counterparties!A167)</f>
        <v/>
      </c>
      <c r="B167" s="30" t="str">
        <f aca="false">IF(Counterparties!B167="","",Counterparties!B167)</f>
        <v/>
      </c>
      <c r="C167" s="30" t="str">
        <f aca="false">IF(Counterparties!C167="","",Counterparties!C167)</f>
        <v/>
      </c>
      <c r="D167" s="30" t="str">
        <f aca="false">IF(Counterparties!D167="","",Counterparties!D167)</f>
        <v/>
      </c>
      <c r="E167" s="30" t="str">
        <f aca="false">IF(Counterparties!E167="","",Counterparties!E167)</f>
        <v/>
      </c>
      <c r="F167" s="53" t="n">
        <f aca="false">IF($A167="",0,SUMIFS(GL_Input!$U:$U,GL_Input!$F:$F,$A167,GL_Input!$X:$X,"G",GL_Input!$Y:$Y,1))</f>
        <v>0</v>
      </c>
      <c r="G167" s="53" t="n">
        <f aca="false">IF($A167="",0,SUMIFS(GL_Input!$U:$U,GL_Input!$F:$F,$A167,GL_Input!$X:$X,"G",GL_Input!$Y:$Y,2))</f>
        <v>0</v>
      </c>
      <c r="H167" s="53" t="n">
        <f aca="false">IF($A167="",0,SUMIFS(GL_Input!$U:$U,GL_Input!$F:$F,$A167,GL_Input!$X:$X,"G",GL_Input!$Y:$Y,3))</f>
        <v>0</v>
      </c>
      <c r="I167" s="53" t="n">
        <f aca="false">IF($A167="",0,SUMIFS(GL_Input!$U:$U,GL_Input!$F:$F,$A167,GL_Input!$X:$X,"T",GL_Input!$Y:$Y,1))</f>
        <v>0</v>
      </c>
      <c r="J167" s="53" t="n">
        <f aca="false">IF($A167="",0,SUMIFS(GL_Input!$U:$U,GL_Input!$F:$F,$A167,GL_Input!$X:$X,"T",GL_Input!$Y:$Y,2))</f>
        <v>0</v>
      </c>
      <c r="K167" s="53" t="n">
        <f aca="false">IF($A167="",0,SUMIFS(GL_Input!$U:$U,GL_Input!$F:$F,$A167,GL_Input!$X:$X,"T",GL_Input!$Y:$Y,3))</f>
        <v>0</v>
      </c>
      <c r="L167" s="53" t="n">
        <f aca="false">IF($A167="",0,SUMIFS(GL_Input!$U:$U,GL_Input!$F:$F,$A167,GL_Input!$X:$X,"S",GL_Input!$Y:$Y,1))</f>
        <v>0</v>
      </c>
      <c r="M167" s="53" t="n">
        <f aca="false">IF($A167="",0,SUMIFS(GL_Input!$U:$U,GL_Input!$F:$F,$A167,GL_Input!$X:$X,"S",GL_Input!$Y:$Y,2))</f>
        <v>0</v>
      </c>
      <c r="N167" s="53" t="n">
        <f aca="false">IF($A167="",0,SUMIFS(GL_Input!$U:$U,GL_Input!$F:$F,$A167,GL_Input!$X:$X,"S",GL_Input!$Y:$Y,3))</f>
        <v>0</v>
      </c>
      <c r="O167" s="54" t="n">
        <f aca="false">SUM(F167:N167)</f>
        <v>0</v>
      </c>
      <c r="P167" s="15" t="str">
        <f aca="false">IF(O167=0,"",IF($D167="","MISSING VAT NO.",IF(OR($C167="",$C167="CY",Counterparties!G167&lt;&gt;"EU"),"NOT AN EU CUSTOMER","OK")))</f>
        <v/>
      </c>
    </row>
    <row r="168" customFormat="false" ht="15" hidden="false" customHeight="false" outlineLevel="0" collapsed="false">
      <c r="A168" s="30" t="str">
        <f aca="false">IF(Counterparties!A168="","",Counterparties!A168)</f>
        <v/>
      </c>
      <c r="B168" s="30" t="str">
        <f aca="false">IF(Counterparties!B168="","",Counterparties!B168)</f>
        <v/>
      </c>
      <c r="C168" s="30" t="str">
        <f aca="false">IF(Counterparties!C168="","",Counterparties!C168)</f>
        <v/>
      </c>
      <c r="D168" s="30" t="str">
        <f aca="false">IF(Counterparties!D168="","",Counterparties!D168)</f>
        <v/>
      </c>
      <c r="E168" s="30" t="str">
        <f aca="false">IF(Counterparties!E168="","",Counterparties!E168)</f>
        <v/>
      </c>
      <c r="F168" s="53" t="n">
        <f aca="false">IF($A168="",0,SUMIFS(GL_Input!$U:$U,GL_Input!$F:$F,$A168,GL_Input!$X:$X,"G",GL_Input!$Y:$Y,1))</f>
        <v>0</v>
      </c>
      <c r="G168" s="53" t="n">
        <f aca="false">IF($A168="",0,SUMIFS(GL_Input!$U:$U,GL_Input!$F:$F,$A168,GL_Input!$X:$X,"G",GL_Input!$Y:$Y,2))</f>
        <v>0</v>
      </c>
      <c r="H168" s="53" t="n">
        <f aca="false">IF($A168="",0,SUMIFS(GL_Input!$U:$U,GL_Input!$F:$F,$A168,GL_Input!$X:$X,"G",GL_Input!$Y:$Y,3))</f>
        <v>0</v>
      </c>
      <c r="I168" s="53" t="n">
        <f aca="false">IF($A168="",0,SUMIFS(GL_Input!$U:$U,GL_Input!$F:$F,$A168,GL_Input!$X:$X,"T",GL_Input!$Y:$Y,1))</f>
        <v>0</v>
      </c>
      <c r="J168" s="53" t="n">
        <f aca="false">IF($A168="",0,SUMIFS(GL_Input!$U:$U,GL_Input!$F:$F,$A168,GL_Input!$X:$X,"T",GL_Input!$Y:$Y,2))</f>
        <v>0</v>
      </c>
      <c r="K168" s="53" t="n">
        <f aca="false">IF($A168="",0,SUMIFS(GL_Input!$U:$U,GL_Input!$F:$F,$A168,GL_Input!$X:$X,"T",GL_Input!$Y:$Y,3))</f>
        <v>0</v>
      </c>
      <c r="L168" s="53" t="n">
        <f aca="false">IF($A168="",0,SUMIFS(GL_Input!$U:$U,GL_Input!$F:$F,$A168,GL_Input!$X:$X,"S",GL_Input!$Y:$Y,1))</f>
        <v>0</v>
      </c>
      <c r="M168" s="53" t="n">
        <f aca="false">IF($A168="",0,SUMIFS(GL_Input!$U:$U,GL_Input!$F:$F,$A168,GL_Input!$X:$X,"S",GL_Input!$Y:$Y,2))</f>
        <v>0</v>
      </c>
      <c r="N168" s="53" t="n">
        <f aca="false">IF($A168="",0,SUMIFS(GL_Input!$U:$U,GL_Input!$F:$F,$A168,GL_Input!$X:$X,"S",GL_Input!$Y:$Y,3))</f>
        <v>0</v>
      </c>
      <c r="O168" s="54" t="n">
        <f aca="false">SUM(F168:N168)</f>
        <v>0</v>
      </c>
      <c r="P168" s="15" t="str">
        <f aca="false">IF(O168=0,"",IF($D168="","MISSING VAT NO.",IF(OR($C168="",$C168="CY",Counterparties!G168&lt;&gt;"EU"),"NOT AN EU CUSTOMER","OK")))</f>
        <v/>
      </c>
    </row>
    <row r="169" customFormat="false" ht="15" hidden="false" customHeight="false" outlineLevel="0" collapsed="false">
      <c r="A169" s="30" t="str">
        <f aca="false">IF(Counterparties!A169="","",Counterparties!A169)</f>
        <v/>
      </c>
      <c r="B169" s="30" t="str">
        <f aca="false">IF(Counterparties!B169="","",Counterparties!B169)</f>
        <v/>
      </c>
      <c r="C169" s="30" t="str">
        <f aca="false">IF(Counterparties!C169="","",Counterparties!C169)</f>
        <v/>
      </c>
      <c r="D169" s="30" t="str">
        <f aca="false">IF(Counterparties!D169="","",Counterparties!D169)</f>
        <v/>
      </c>
      <c r="E169" s="30" t="str">
        <f aca="false">IF(Counterparties!E169="","",Counterparties!E169)</f>
        <v/>
      </c>
      <c r="F169" s="53" t="n">
        <f aca="false">IF($A169="",0,SUMIFS(GL_Input!$U:$U,GL_Input!$F:$F,$A169,GL_Input!$X:$X,"G",GL_Input!$Y:$Y,1))</f>
        <v>0</v>
      </c>
      <c r="G169" s="53" t="n">
        <f aca="false">IF($A169="",0,SUMIFS(GL_Input!$U:$U,GL_Input!$F:$F,$A169,GL_Input!$X:$X,"G",GL_Input!$Y:$Y,2))</f>
        <v>0</v>
      </c>
      <c r="H169" s="53" t="n">
        <f aca="false">IF($A169="",0,SUMIFS(GL_Input!$U:$U,GL_Input!$F:$F,$A169,GL_Input!$X:$X,"G",GL_Input!$Y:$Y,3))</f>
        <v>0</v>
      </c>
      <c r="I169" s="53" t="n">
        <f aca="false">IF($A169="",0,SUMIFS(GL_Input!$U:$U,GL_Input!$F:$F,$A169,GL_Input!$X:$X,"T",GL_Input!$Y:$Y,1))</f>
        <v>0</v>
      </c>
      <c r="J169" s="53" t="n">
        <f aca="false">IF($A169="",0,SUMIFS(GL_Input!$U:$U,GL_Input!$F:$F,$A169,GL_Input!$X:$X,"T",GL_Input!$Y:$Y,2))</f>
        <v>0</v>
      </c>
      <c r="K169" s="53" t="n">
        <f aca="false">IF($A169="",0,SUMIFS(GL_Input!$U:$U,GL_Input!$F:$F,$A169,GL_Input!$X:$X,"T",GL_Input!$Y:$Y,3))</f>
        <v>0</v>
      </c>
      <c r="L169" s="53" t="n">
        <f aca="false">IF($A169="",0,SUMIFS(GL_Input!$U:$U,GL_Input!$F:$F,$A169,GL_Input!$X:$X,"S",GL_Input!$Y:$Y,1))</f>
        <v>0</v>
      </c>
      <c r="M169" s="53" t="n">
        <f aca="false">IF($A169="",0,SUMIFS(GL_Input!$U:$U,GL_Input!$F:$F,$A169,GL_Input!$X:$X,"S",GL_Input!$Y:$Y,2))</f>
        <v>0</v>
      </c>
      <c r="N169" s="53" t="n">
        <f aca="false">IF($A169="",0,SUMIFS(GL_Input!$U:$U,GL_Input!$F:$F,$A169,GL_Input!$X:$X,"S",GL_Input!$Y:$Y,3))</f>
        <v>0</v>
      </c>
      <c r="O169" s="54" t="n">
        <f aca="false">SUM(F169:N169)</f>
        <v>0</v>
      </c>
      <c r="P169" s="15" t="str">
        <f aca="false">IF(O169=0,"",IF($D169="","MISSING VAT NO.",IF(OR($C169="",$C169="CY",Counterparties!G169&lt;&gt;"EU"),"NOT AN EU CUSTOMER","OK")))</f>
        <v/>
      </c>
    </row>
    <row r="170" customFormat="false" ht="15" hidden="false" customHeight="false" outlineLevel="0" collapsed="false">
      <c r="A170" s="30" t="str">
        <f aca="false">IF(Counterparties!A170="","",Counterparties!A170)</f>
        <v/>
      </c>
      <c r="B170" s="30" t="str">
        <f aca="false">IF(Counterparties!B170="","",Counterparties!B170)</f>
        <v/>
      </c>
      <c r="C170" s="30" t="str">
        <f aca="false">IF(Counterparties!C170="","",Counterparties!C170)</f>
        <v/>
      </c>
      <c r="D170" s="30" t="str">
        <f aca="false">IF(Counterparties!D170="","",Counterparties!D170)</f>
        <v/>
      </c>
      <c r="E170" s="30" t="str">
        <f aca="false">IF(Counterparties!E170="","",Counterparties!E170)</f>
        <v/>
      </c>
      <c r="F170" s="53" t="n">
        <f aca="false">IF($A170="",0,SUMIFS(GL_Input!$U:$U,GL_Input!$F:$F,$A170,GL_Input!$X:$X,"G",GL_Input!$Y:$Y,1))</f>
        <v>0</v>
      </c>
      <c r="G170" s="53" t="n">
        <f aca="false">IF($A170="",0,SUMIFS(GL_Input!$U:$U,GL_Input!$F:$F,$A170,GL_Input!$X:$X,"G",GL_Input!$Y:$Y,2))</f>
        <v>0</v>
      </c>
      <c r="H170" s="53" t="n">
        <f aca="false">IF($A170="",0,SUMIFS(GL_Input!$U:$U,GL_Input!$F:$F,$A170,GL_Input!$X:$X,"G",GL_Input!$Y:$Y,3))</f>
        <v>0</v>
      </c>
      <c r="I170" s="53" t="n">
        <f aca="false">IF($A170="",0,SUMIFS(GL_Input!$U:$U,GL_Input!$F:$F,$A170,GL_Input!$X:$X,"T",GL_Input!$Y:$Y,1))</f>
        <v>0</v>
      </c>
      <c r="J170" s="53" t="n">
        <f aca="false">IF($A170="",0,SUMIFS(GL_Input!$U:$U,GL_Input!$F:$F,$A170,GL_Input!$X:$X,"T",GL_Input!$Y:$Y,2))</f>
        <v>0</v>
      </c>
      <c r="K170" s="53" t="n">
        <f aca="false">IF($A170="",0,SUMIFS(GL_Input!$U:$U,GL_Input!$F:$F,$A170,GL_Input!$X:$X,"T",GL_Input!$Y:$Y,3))</f>
        <v>0</v>
      </c>
      <c r="L170" s="53" t="n">
        <f aca="false">IF($A170="",0,SUMIFS(GL_Input!$U:$U,GL_Input!$F:$F,$A170,GL_Input!$X:$X,"S",GL_Input!$Y:$Y,1))</f>
        <v>0</v>
      </c>
      <c r="M170" s="53" t="n">
        <f aca="false">IF($A170="",0,SUMIFS(GL_Input!$U:$U,GL_Input!$F:$F,$A170,GL_Input!$X:$X,"S",GL_Input!$Y:$Y,2))</f>
        <v>0</v>
      </c>
      <c r="N170" s="53" t="n">
        <f aca="false">IF($A170="",0,SUMIFS(GL_Input!$U:$U,GL_Input!$F:$F,$A170,GL_Input!$X:$X,"S",GL_Input!$Y:$Y,3))</f>
        <v>0</v>
      </c>
      <c r="O170" s="54" t="n">
        <f aca="false">SUM(F170:N170)</f>
        <v>0</v>
      </c>
      <c r="P170" s="15" t="str">
        <f aca="false">IF(O170=0,"",IF($D170="","MISSING VAT NO.",IF(OR($C170="",$C170="CY",Counterparties!G170&lt;&gt;"EU"),"NOT AN EU CUSTOMER","OK")))</f>
        <v/>
      </c>
    </row>
    <row r="171" customFormat="false" ht="15" hidden="false" customHeight="false" outlineLevel="0" collapsed="false">
      <c r="A171" s="30" t="str">
        <f aca="false">IF(Counterparties!A171="","",Counterparties!A171)</f>
        <v/>
      </c>
      <c r="B171" s="30" t="str">
        <f aca="false">IF(Counterparties!B171="","",Counterparties!B171)</f>
        <v/>
      </c>
      <c r="C171" s="30" t="str">
        <f aca="false">IF(Counterparties!C171="","",Counterparties!C171)</f>
        <v/>
      </c>
      <c r="D171" s="30" t="str">
        <f aca="false">IF(Counterparties!D171="","",Counterparties!D171)</f>
        <v/>
      </c>
      <c r="E171" s="30" t="str">
        <f aca="false">IF(Counterparties!E171="","",Counterparties!E171)</f>
        <v/>
      </c>
      <c r="F171" s="53" t="n">
        <f aca="false">IF($A171="",0,SUMIFS(GL_Input!$U:$U,GL_Input!$F:$F,$A171,GL_Input!$X:$X,"G",GL_Input!$Y:$Y,1))</f>
        <v>0</v>
      </c>
      <c r="G171" s="53" t="n">
        <f aca="false">IF($A171="",0,SUMIFS(GL_Input!$U:$U,GL_Input!$F:$F,$A171,GL_Input!$X:$X,"G",GL_Input!$Y:$Y,2))</f>
        <v>0</v>
      </c>
      <c r="H171" s="53" t="n">
        <f aca="false">IF($A171="",0,SUMIFS(GL_Input!$U:$U,GL_Input!$F:$F,$A171,GL_Input!$X:$X,"G",GL_Input!$Y:$Y,3))</f>
        <v>0</v>
      </c>
      <c r="I171" s="53" t="n">
        <f aca="false">IF($A171="",0,SUMIFS(GL_Input!$U:$U,GL_Input!$F:$F,$A171,GL_Input!$X:$X,"T",GL_Input!$Y:$Y,1))</f>
        <v>0</v>
      </c>
      <c r="J171" s="53" t="n">
        <f aca="false">IF($A171="",0,SUMIFS(GL_Input!$U:$U,GL_Input!$F:$F,$A171,GL_Input!$X:$X,"T",GL_Input!$Y:$Y,2))</f>
        <v>0</v>
      </c>
      <c r="K171" s="53" t="n">
        <f aca="false">IF($A171="",0,SUMIFS(GL_Input!$U:$U,GL_Input!$F:$F,$A171,GL_Input!$X:$X,"T",GL_Input!$Y:$Y,3))</f>
        <v>0</v>
      </c>
      <c r="L171" s="53" t="n">
        <f aca="false">IF($A171="",0,SUMIFS(GL_Input!$U:$U,GL_Input!$F:$F,$A171,GL_Input!$X:$X,"S",GL_Input!$Y:$Y,1))</f>
        <v>0</v>
      </c>
      <c r="M171" s="53" t="n">
        <f aca="false">IF($A171="",0,SUMIFS(GL_Input!$U:$U,GL_Input!$F:$F,$A171,GL_Input!$X:$X,"S",GL_Input!$Y:$Y,2))</f>
        <v>0</v>
      </c>
      <c r="N171" s="53" t="n">
        <f aca="false">IF($A171="",0,SUMIFS(GL_Input!$U:$U,GL_Input!$F:$F,$A171,GL_Input!$X:$X,"S",GL_Input!$Y:$Y,3))</f>
        <v>0</v>
      </c>
      <c r="O171" s="54" t="n">
        <f aca="false">SUM(F171:N171)</f>
        <v>0</v>
      </c>
      <c r="P171" s="15" t="str">
        <f aca="false">IF(O171=0,"",IF($D171="","MISSING VAT NO.",IF(OR($C171="",$C171="CY",Counterparties!G171&lt;&gt;"EU"),"NOT AN EU CUSTOMER","OK")))</f>
        <v/>
      </c>
    </row>
    <row r="172" customFormat="false" ht="15" hidden="false" customHeight="false" outlineLevel="0" collapsed="false">
      <c r="A172" s="30" t="str">
        <f aca="false">IF(Counterparties!A172="","",Counterparties!A172)</f>
        <v/>
      </c>
      <c r="B172" s="30" t="str">
        <f aca="false">IF(Counterparties!B172="","",Counterparties!B172)</f>
        <v/>
      </c>
      <c r="C172" s="30" t="str">
        <f aca="false">IF(Counterparties!C172="","",Counterparties!C172)</f>
        <v/>
      </c>
      <c r="D172" s="30" t="str">
        <f aca="false">IF(Counterparties!D172="","",Counterparties!D172)</f>
        <v/>
      </c>
      <c r="E172" s="30" t="str">
        <f aca="false">IF(Counterparties!E172="","",Counterparties!E172)</f>
        <v/>
      </c>
      <c r="F172" s="53" t="n">
        <f aca="false">IF($A172="",0,SUMIFS(GL_Input!$U:$U,GL_Input!$F:$F,$A172,GL_Input!$X:$X,"G",GL_Input!$Y:$Y,1))</f>
        <v>0</v>
      </c>
      <c r="G172" s="53" t="n">
        <f aca="false">IF($A172="",0,SUMIFS(GL_Input!$U:$U,GL_Input!$F:$F,$A172,GL_Input!$X:$X,"G",GL_Input!$Y:$Y,2))</f>
        <v>0</v>
      </c>
      <c r="H172" s="53" t="n">
        <f aca="false">IF($A172="",0,SUMIFS(GL_Input!$U:$U,GL_Input!$F:$F,$A172,GL_Input!$X:$X,"G",GL_Input!$Y:$Y,3))</f>
        <v>0</v>
      </c>
      <c r="I172" s="53" t="n">
        <f aca="false">IF($A172="",0,SUMIFS(GL_Input!$U:$U,GL_Input!$F:$F,$A172,GL_Input!$X:$X,"T",GL_Input!$Y:$Y,1))</f>
        <v>0</v>
      </c>
      <c r="J172" s="53" t="n">
        <f aca="false">IF($A172="",0,SUMIFS(GL_Input!$U:$U,GL_Input!$F:$F,$A172,GL_Input!$X:$X,"T",GL_Input!$Y:$Y,2))</f>
        <v>0</v>
      </c>
      <c r="K172" s="53" t="n">
        <f aca="false">IF($A172="",0,SUMIFS(GL_Input!$U:$U,GL_Input!$F:$F,$A172,GL_Input!$X:$X,"T",GL_Input!$Y:$Y,3))</f>
        <v>0</v>
      </c>
      <c r="L172" s="53" t="n">
        <f aca="false">IF($A172="",0,SUMIFS(GL_Input!$U:$U,GL_Input!$F:$F,$A172,GL_Input!$X:$X,"S",GL_Input!$Y:$Y,1))</f>
        <v>0</v>
      </c>
      <c r="M172" s="53" t="n">
        <f aca="false">IF($A172="",0,SUMIFS(GL_Input!$U:$U,GL_Input!$F:$F,$A172,GL_Input!$X:$X,"S",GL_Input!$Y:$Y,2))</f>
        <v>0</v>
      </c>
      <c r="N172" s="53" t="n">
        <f aca="false">IF($A172="",0,SUMIFS(GL_Input!$U:$U,GL_Input!$F:$F,$A172,GL_Input!$X:$X,"S",GL_Input!$Y:$Y,3))</f>
        <v>0</v>
      </c>
      <c r="O172" s="54" t="n">
        <f aca="false">SUM(F172:N172)</f>
        <v>0</v>
      </c>
      <c r="P172" s="15" t="str">
        <f aca="false">IF(O172=0,"",IF($D172="","MISSING VAT NO.",IF(OR($C172="",$C172="CY",Counterparties!G172&lt;&gt;"EU"),"NOT AN EU CUSTOMER","OK")))</f>
        <v/>
      </c>
    </row>
    <row r="173" customFormat="false" ht="15" hidden="false" customHeight="false" outlineLevel="0" collapsed="false">
      <c r="A173" s="30" t="str">
        <f aca="false">IF(Counterparties!A173="","",Counterparties!A173)</f>
        <v/>
      </c>
      <c r="B173" s="30" t="str">
        <f aca="false">IF(Counterparties!B173="","",Counterparties!B173)</f>
        <v/>
      </c>
      <c r="C173" s="30" t="str">
        <f aca="false">IF(Counterparties!C173="","",Counterparties!C173)</f>
        <v/>
      </c>
      <c r="D173" s="30" t="str">
        <f aca="false">IF(Counterparties!D173="","",Counterparties!D173)</f>
        <v/>
      </c>
      <c r="E173" s="30" t="str">
        <f aca="false">IF(Counterparties!E173="","",Counterparties!E173)</f>
        <v/>
      </c>
      <c r="F173" s="53" t="n">
        <f aca="false">IF($A173="",0,SUMIFS(GL_Input!$U:$U,GL_Input!$F:$F,$A173,GL_Input!$X:$X,"G",GL_Input!$Y:$Y,1))</f>
        <v>0</v>
      </c>
      <c r="G173" s="53" t="n">
        <f aca="false">IF($A173="",0,SUMIFS(GL_Input!$U:$U,GL_Input!$F:$F,$A173,GL_Input!$X:$X,"G",GL_Input!$Y:$Y,2))</f>
        <v>0</v>
      </c>
      <c r="H173" s="53" t="n">
        <f aca="false">IF($A173="",0,SUMIFS(GL_Input!$U:$U,GL_Input!$F:$F,$A173,GL_Input!$X:$X,"G",GL_Input!$Y:$Y,3))</f>
        <v>0</v>
      </c>
      <c r="I173" s="53" t="n">
        <f aca="false">IF($A173="",0,SUMIFS(GL_Input!$U:$U,GL_Input!$F:$F,$A173,GL_Input!$X:$X,"T",GL_Input!$Y:$Y,1))</f>
        <v>0</v>
      </c>
      <c r="J173" s="53" t="n">
        <f aca="false">IF($A173="",0,SUMIFS(GL_Input!$U:$U,GL_Input!$F:$F,$A173,GL_Input!$X:$X,"T",GL_Input!$Y:$Y,2))</f>
        <v>0</v>
      </c>
      <c r="K173" s="53" t="n">
        <f aca="false">IF($A173="",0,SUMIFS(GL_Input!$U:$U,GL_Input!$F:$F,$A173,GL_Input!$X:$X,"T",GL_Input!$Y:$Y,3))</f>
        <v>0</v>
      </c>
      <c r="L173" s="53" t="n">
        <f aca="false">IF($A173="",0,SUMIFS(GL_Input!$U:$U,GL_Input!$F:$F,$A173,GL_Input!$X:$X,"S",GL_Input!$Y:$Y,1))</f>
        <v>0</v>
      </c>
      <c r="M173" s="53" t="n">
        <f aca="false">IF($A173="",0,SUMIFS(GL_Input!$U:$U,GL_Input!$F:$F,$A173,GL_Input!$X:$X,"S",GL_Input!$Y:$Y,2))</f>
        <v>0</v>
      </c>
      <c r="N173" s="53" t="n">
        <f aca="false">IF($A173="",0,SUMIFS(GL_Input!$U:$U,GL_Input!$F:$F,$A173,GL_Input!$X:$X,"S",GL_Input!$Y:$Y,3))</f>
        <v>0</v>
      </c>
      <c r="O173" s="54" t="n">
        <f aca="false">SUM(F173:N173)</f>
        <v>0</v>
      </c>
      <c r="P173" s="15" t="str">
        <f aca="false">IF(O173=0,"",IF($D173="","MISSING VAT NO.",IF(OR($C173="",$C173="CY",Counterparties!G173&lt;&gt;"EU"),"NOT AN EU CUSTOMER","OK")))</f>
        <v/>
      </c>
    </row>
    <row r="174" customFormat="false" ht="15" hidden="false" customHeight="false" outlineLevel="0" collapsed="false">
      <c r="A174" s="30" t="str">
        <f aca="false">IF(Counterparties!A174="","",Counterparties!A174)</f>
        <v/>
      </c>
      <c r="B174" s="30" t="str">
        <f aca="false">IF(Counterparties!B174="","",Counterparties!B174)</f>
        <v/>
      </c>
      <c r="C174" s="30" t="str">
        <f aca="false">IF(Counterparties!C174="","",Counterparties!C174)</f>
        <v/>
      </c>
      <c r="D174" s="30" t="str">
        <f aca="false">IF(Counterparties!D174="","",Counterparties!D174)</f>
        <v/>
      </c>
      <c r="E174" s="30" t="str">
        <f aca="false">IF(Counterparties!E174="","",Counterparties!E174)</f>
        <v/>
      </c>
      <c r="F174" s="53" t="n">
        <f aca="false">IF($A174="",0,SUMIFS(GL_Input!$U:$U,GL_Input!$F:$F,$A174,GL_Input!$X:$X,"G",GL_Input!$Y:$Y,1))</f>
        <v>0</v>
      </c>
      <c r="G174" s="53" t="n">
        <f aca="false">IF($A174="",0,SUMIFS(GL_Input!$U:$U,GL_Input!$F:$F,$A174,GL_Input!$X:$X,"G",GL_Input!$Y:$Y,2))</f>
        <v>0</v>
      </c>
      <c r="H174" s="53" t="n">
        <f aca="false">IF($A174="",0,SUMIFS(GL_Input!$U:$U,GL_Input!$F:$F,$A174,GL_Input!$X:$X,"G",GL_Input!$Y:$Y,3))</f>
        <v>0</v>
      </c>
      <c r="I174" s="53" t="n">
        <f aca="false">IF($A174="",0,SUMIFS(GL_Input!$U:$U,GL_Input!$F:$F,$A174,GL_Input!$X:$X,"T",GL_Input!$Y:$Y,1))</f>
        <v>0</v>
      </c>
      <c r="J174" s="53" t="n">
        <f aca="false">IF($A174="",0,SUMIFS(GL_Input!$U:$U,GL_Input!$F:$F,$A174,GL_Input!$X:$X,"T",GL_Input!$Y:$Y,2))</f>
        <v>0</v>
      </c>
      <c r="K174" s="53" t="n">
        <f aca="false">IF($A174="",0,SUMIFS(GL_Input!$U:$U,GL_Input!$F:$F,$A174,GL_Input!$X:$X,"T",GL_Input!$Y:$Y,3))</f>
        <v>0</v>
      </c>
      <c r="L174" s="53" t="n">
        <f aca="false">IF($A174="",0,SUMIFS(GL_Input!$U:$U,GL_Input!$F:$F,$A174,GL_Input!$X:$X,"S",GL_Input!$Y:$Y,1))</f>
        <v>0</v>
      </c>
      <c r="M174" s="53" t="n">
        <f aca="false">IF($A174="",0,SUMIFS(GL_Input!$U:$U,GL_Input!$F:$F,$A174,GL_Input!$X:$X,"S",GL_Input!$Y:$Y,2))</f>
        <v>0</v>
      </c>
      <c r="N174" s="53" t="n">
        <f aca="false">IF($A174="",0,SUMIFS(GL_Input!$U:$U,GL_Input!$F:$F,$A174,GL_Input!$X:$X,"S",GL_Input!$Y:$Y,3))</f>
        <v>0</v>
      </c>
      <c r="O174" s="54" t="n">
        <f aca="false">SUM(F174:N174)</f>
        <v>0</v>
      </c>
      <c r="P174" s="15" t="str">
        <f aca="false">IF(O174=0,"",IF($D174="","MISSING VAT NO.",IF(OR($C174="",$C174="CY",Counterparties!G174&lt;&gt;"EU"),"NOT AN EU CUSTOMER","OK")))</f>
        <v/>
      </c>
    </row>
    <row r="175" customFormat="false" ht="15" hidden="false" customHeight="false" outlineLevel="0" collapsed="false">
      <c r="A175" s="30" t="str">
        <f aca="false">IF(Counterparties!A175="","",Counterparties!A175)</f>
        <v/>
      </c>
      <c r="B175" s="30" t="str">
        <f aca="false">IF(Counterparties!B175="","",Counterparties!B175)</f>
        <v/>
      </c>
      <c r="C175" s="30" t="str">
        <f aca="false">IF(Counterparties!C175="","",Counterparties!C175)</f>
        <v/>
      </c>
      <c r="D175" s="30" t="str">
        <f aca="false">IF(Counterparties!D175="","",Counterparties!D175)</f>
        <v/>
      </c>
      <c r="E175" s="30" t="str">
        <f aca="false">IF(Counterparties!E175="","",Counterparties!E175)</f>
        <v/>
      </c>
      <c r="F175" s="53" t="n">
        <f aca="false">IF($A175="",0,SUMIFS(GL_Input!$U:$U,GL_Input!$F:$F,$A175,GL_Input!$X:$X,"G",GL_Input!$Y:$Y,1))</f>
        <v>0</v>
      </c>
      <c r="G175" s="53" t="n">
        <f aca="false">IF($A175="",0,SUMIFS(GL_Input!$U:$U,GL_Input!$F:$F,$A175,GL_Input!$X:$X,"G",GL_Input!$Y:$Y,2))</f>
        <v>0</v>
      </c>
      <c r="H175" s="53" t="n">
        <f aca="false">IF($A175="",0,SUMIFS(GL_Input!$U:$U,GL_Input!$F:$F,$A175,GL_Input!$X:$X,"G",GL_Input!$Y:$Y,3))</f>
        <v>0</v>
      </c>
      <c r="I175" s="53" t="n">
        <f aca="false">IF($A175="",0,SUMIFS(GL_Input!$U:$U,GL_Input!$F:$F,$A175,GL_Input!$X:$X,"T",GL_Input!$Y:$Y,1))</f>
        <v>0</v>
      </c>
      <c r="J175" s="53" t="n">
        <f aca="false">IF($A175="",0,SUMIFS(GL_Input!$U:$U,GL_Input!$F:$F,$A175,GL_Input!$X:$X,"T",GL_Input!$Y:$Y,2))</f>
        <v>0</v>
      </c>
      <c r="K175" s="53" t="n">
        <f aca="false">IF($A175="",0,SUMIFS(GL_Input!$U:$U,GL_Input!$F:$F,$A175,GL_Input!$X:$X,"T",GL_Input!$Y:$Y,3))</f>
        <v>0</v>
      </c>
      <c r="L175" s="53" t="n">
        <f aca="false">IF($A175="",0,SUMIFS(GL_Input!$U:$U,GL_Input!$F:$F,$A175,GL_Input!$X:$X,"S",GL_Input!$Y:$Y,1))</f>
        <v>0</v>
      </c>
      <c r="M175" s="53" t="n">
        <f aca="false">IF($A175="",0,SUMIFS(GL_Input!$U:$U,GL_Input!$F:$F,$A175,GL_Input!$X:$X,"S",GL_Input!$Y:$Y,2))</f>
        <v>0</v>
      </c>
      <c r="N175" s="53" t="n">
        <f aca="false">IF($A175="",0,SUMIFS(GL_Input!$U:$U,GL_Input!$F:$F,$A175,GL_Input!$X:$X,"S",GL_Input!$Y:$Y,3))</f>
        <v>0</v>
      </c>
      <c r="O175" s="54" t="n">
        <f aca="false">SUM(F175:N175)</f>
        <v>0</v>
      </c>
      <c r="P175" s="15" t="str">
        <f aca="false">IF(O175=0,"",IF($D175="","MISSING VAT NO.",IF(OR($C175="",$C175="CY",Counterparties!G175&lt;&gt;"EU"),"NOT AN EU CUSTOMER","OK")))</f>
        <v/>
      </c>
    </row>
    <row r="176" customFormat="false" ht="15" hidden="false" customHeight="false" outlineLevel="0" collapsed="false">
      <c r="A176" s="30" t="str">
        <f aca="false">IF(Counterparties!A176="","",Counterparties!A176)</f>
        <v/>
      </c>
      <c r="B176" s="30" t="str">
        <f aca="false">IF(Counterparties!B176="","",Counterparties!B176)</f>
        <v/>
      </c>
      <c r="C176" s="30" t="str">
        <f aca="false">IF(Counterparties!C176="","",Counterparties!C176)</f>
        <v/>
      </c>
      <c r="D176" s="30" t="str">
        <f aca="false">IF(Counterparties!D176="","",Counterparties!D176)</f>
        <v/>
      </c>
      <c r="E176" s="30" t="str">
        <f aca="false">IF(Counterparties!E176="","",Counterparties!E176)</f>
        <v/>
      </c>
      <c r="F176" s="53" t="n">
        <f aca="false">IF($A176="",0,SUMIFS(GL_Input!$U:$U,GL_Input!$F:$F,$A176,GL_Input!$X:$X,"G",GL_Input!$Y:$Y,1))</f>
        <v>0</v>
      </c>
      <c r="G176" s="53" t="n">
        <f aca="false">IF($A176="",0,SUMIFS(GL_Input!$U:$U,GL_Input!$F:$F,$A176,GL_Input!$X:$X,"G",GL_Input!$Y:$Y,2))</f>
        <v>0</v>
      </c>
      <c r="H176" s="53" t="n">
        <f aca="false">IF($A176="",0,SUMIFS(GL_Input!$U:$U,GL_Input!$F:$F,$A176,GL_Input!$X:$X,"G",GL_Input!$Y:$Y,3))</f>
        <v>0</v>
      </c>
      <c r="I176" s="53" t="n">
        <f aca="false">IF($A176="",0,SUMIFS(GL_Input!$U:$U,GL_Input!$F:$F,$A176,GL_Input!$X:$X,"T",GL_Input!$Y:$Y,1))</f>
        <v>0</v>
      </c>
      <c r="J176" s="53" t="n">
        <f aca="false">IF($A176="",0,SUMIFS(GL_Input!$U:$U,GL_Input!$F:$F,$A176,GL_Input!$X:$X,"T",GL_Input!$Y:$Y,2))</f>
        <v>0</v>
      </c>
      <c r="K176" s="53" t="n">
        <f aca="false">IF($A176="",0,SUMIFS(GL_Input!$U:$U,GL_Input!$F:$F,$A176,GL_Input!$X:$X,"T",GL_Input!$Y:$Y,3))</f>
        <v>0</v>
      </c>
      <c r="L176" s="53" t="n">
        <f aca="false">IF($A176="",0,SUMIFS(GL_Input!$U:$U,GL_Input!$F:$F,$A176,GL_Input!$X:$X,"S",GL_Input!$Y:$Y,1))</f>
        <v>0</v>
      </c>
      <c r="M176" s="53" t="n">
        <f aca="false">IF($A176="",0,SUMIFS(GL_Input!$U:$U,GL_Input!$F:$F,$A176,GL_Input!$X:$X,"S",GL_Input!$Y:$Y,2))</f>
        <v>0</v>
      </c>
      <c r="N176" s="53" t="n">
        <f aca="false">IF($A176="",0,SUMIFS(GL_Input!$U:$U,GL_Input!$F:$F,$A176,GL_Input!$X:$X,"S",GL_Input!$Y:$Y,3))</f>
        <v>0</v>
      </c>
      <c r="O176" s="54" t="n">
        <f aca="false">SUM(F176:N176)</f>
        <v>0</v>
      </c>
      <c r="P176" s="15" t="str">
        <f aca="false">IF(O176=0,"",IF($D176="","MISSING VAT NO.",IF(OR($C176="",$C176="CY",Counterparties!G176&lt;&gt;"EU"),"NOT AN EU CUSTOMER","OK")))</f>
        <v/>
      </c>
    </row>
    <row r="177" customFormat="false" ht="15" hidden="false" customHeight="false" outlineLevel="0" collapsed="false">
      <c r="A177" s="30" t="str">
        <f aca="false">IF(Counterparties!A177="","",Counterparties!A177)</f>
        <v/>
      </c>
      <c r="B177" s="30" t="str">
        <f aca="false">IF(Counterparties!B177="","",Counterparties!B177)</f>
        <v/>
      </c>
      <c r="C177" s="30" t="str">
        <f aca="false">IF(Counterparties!C177="","",Counterparties!C177)</f>
        <v/>
      </c>
      <c r="D177" s="30" t="str">
        <f aca="false">IF(Counterparties!D177="","",Counterparties!D177)</f>
        <v/>
      </c>
      <c r="E177" s="30" t="str">
        <f aca="false">IF(Counterparties!E177="","",Counterparties!E177)</f>
        <v/>
      </c>
      <c r="F177" s="53" t="n">
        <f aca="false">IF($A177="",0,SUMIFS(GL_Input!$U:$U,GL_Input!$F:$F,$A177,GL_Input!$X:$X,"G",GL_Input!$Y:$Y,1))</f>
        <v>0</v>
      </c>
      <c r="G177" s="53" t="n">
        <f aca="false">IF($A177="",0,SUMIFS(GL_Input!$U:$U,GL_Input!$F:$F,$A177,GL_Input!$X:$X,"G",GL_Input!$Y:$Y,2))</f>
        <v>0</v>
      </c>
      <c r="H177" s="53" t="n">
        <f aca="false">IF($A177="",0,SUMIFS(GL_Input!$U:$U,GL_Input!$F:$F,$A177,GL_Input!$X:$X,"G",GL_Input!$Y:$Y,3))</f>
        <v>0</v>
      </c>
      <c r="I177" s="53" t="n">
        <f aca="false">IF($A177="",0,SUMIFS(GL_Input!$U:$U,GL_Input!$F:$F,$A177,GL_Input!$X:$X,"T",GL_Input!$Y:$Y,1))</f>
        <v>0</v>
      </c>
      <c r="J177" s="53" t="n">
        <f aca="false">IF($A177="",0,SUMIFS(GL_Input!$U:$U,GL_Input!$F:$F,$A177,GL_Input!$X:$X,"T",GL_Input!$Y:$Y,2))</f>
        <v>0</v>
      </c>
      <c r="K177" s="53" t="n">
        <f aca="false">IF($A177="",0,SUMIFS(GL_Input!$U:$U,GL_Input!$F:$F,$A177,GL_Input!$X:$X,"T",GL_Input!$Y:$Y,3))</f>
        <v>0</v>
      </c>
      <c r="L177" s="53" t="n">
        <f aca="false">IF($A177="",0,SUMIFS(GL_Input!$U:$U,GL_Input!$F:$F,$A177,GL_Input!$X:$X,"S",GL_Input!$Y:$Y,1))</f>
        <v>0</v>
      </c>
      <c r="M177" s="53" t="n">
        <f aca="false">IF($A177="",0,SUMIFS(GL_Input!$U:$U,GL_Input!$F:$F,$A177,GL_Input!$X:$X,"S",GL_Input!$Y:$Y,2))</f>
        <v>0</v>
      </c>
      <c r="N177" s="53" t="n">
        <f aca="false">IF($A177="",0,SUMIFS(GL_Input!$U:$U,GL_Input!$F:$F,$A177,GL_Input!$X:$X,"S",GL_Input!$Y:$Y,3))</f>
        <v>0</v>
      </c>
      <c r="O177" s="54" t="n">
        <f aca="false">SUM(F177:N177)</f>
        <v>0</v>
      </c>
      <c r="P177" s="15" t="str">
        <f aca="false">IF(O177=0,"",IF($D177="","MISSING VAT NO.",IF(OR($C177="",$C177="CY",Counterparties!G177&lt;&gt;"EU"),"NOT AN EU CUSTOMER","OK")))</f>
        <v/>
      </c>
    </row>
    <row r="178" customFormat="false" ht="15" hidden="false" customHeight="false" outlineLevel="0" collapsed="false">
      <c r="A178" s="30" t="str">
        <f aca="false">IF(Counterparties!A178="","",Counterparties!A178)</f>
        <v/>
      </c>
      <c r="B178" s="30" t="str">
        <f aca="false">IF(Counterparties!B178="","",Counterparties!B178)</f>
        <v/>
      </c>
      <c r="C178" s="30" t="str">
        <f aca="false">IF(Counterparties!C178="","",Counterparties!C178)</f>
        <v/>
      </c>
      <c r="D178" s="30" t="str">
        <f aca="false">IF(Counterparties!D178="","",Counterparties!D178)</f>
        <v/>
      </c>
      <c r="E178" s="30" t="str">
        <f aca="false">IF(Counterparties!E178="","",Counterparties!E178)</f>
        <v/>
      </c>
      <c r="F178" s="53" t="n">
        <f aca="false">IF($A178="",0,SUMIFS(GL_Input!$U:$U,GL_Input!$F:$F,$A178,GL_Input!$X:$X,"G",GL_Input!$Y:$Y,1))</f>
        <v>0</v>
      </c>
      <c r="G178" s="53" t="n">
        <f aca="false">IF($A178="",0,SUMIFS(GL_Input!$U:$U,GL_Input!$F:$F,$A178,GL_Input!$X:$X,"G",GL_Input!$Y:$Y,2))</f>
        <v>0</v>
      </c>
      <c r="H178" s="53" t="n">
        <f aca="false">IF($A178="",0,SUMIFS(GL_Input!$U:$U,GL_Input!$F:$F,$A178,GL_Input!$X:$X,"G",GL_Input!$Y:$Y,3))</f>
        <v>0</v>
      </c>
      <c r="I178" s="53" t="n">
        <f aca="false">IF($A178="",0,SUMIFS(GL_Input!$U:$U,GL_Input!$F:$F,$A178,GL_Input!$X:$X,"T",GL_Input!$Y:$Y,1))</f>
        <v>0</v>
      </c>
      <c r="J178" s="53" t="n">
        <f aca="false">IF($A178="",0,SUMIFS(GL_Input!$U:$U,GL_Input!$F:$F,$A178,GL_Input!$X:$X,"T",GL_Input!$Y:$Y,2))</f>
        <v>0</v>
      </c>
      <c r="K178" s="53" t="n">
        <f aca="false">IF($A178="",0,SUMIFS(GL_Input!$U:$U,GL_Input!$F:$F,$A178,GL_Input!$X:$X,"T",GL_Input!$Y:$Y,3))</f>
        <v>0</v>
      </c>
      <c r="L178" s="53" t="n">
        <f aca="false">IF($A178="",0,SUMIFS(GL_Input!$U:$U,GL_Input!$F:$F,$A178,GL_Input!$X:$X,"S",GL_Input!$Y:$Y,1))</f>
        <v>0</v>
      </c>
      <c r="M178" s="53" t="n">
        <f aca="false">IF($A178="",0,SUMIFS(GL_Input!$U:$U,GL_Input!$F:$F,$A178,GL_Input!$X:$X,"S",GL_Input!$Y:$Y,2))</f>
        <v>0</v>
      </c>
      <c r="N178" s="53" t="n">
        <f aca="false">IF($A178="",0,SUMIFS(GL_Input!$U:$U,GL_Input!$F:$F,$A178,GL_Input!$X:$X,"S",GL_Input!$Y:$Y,3))</f>
        <v>0</v>
      </c>
      <c r="O178" s="54" t="n">
        <f aca="false">SUM(F178:N178)</f>
        <v>0</v>
      </c>
      <c r="P178" s="15" t="str">
        <f aca="false">IF(O178=0,"",IF($D178="","MISSING VAT NO.",IF(OR($C178="",$C178="CY",Counterparties!G178&lt;&gt;"EU"),"NOT AN EU CUSTOMER","OK")))</f>
        <v/>
      </c>
    </row>
    <row r="179" customFormat="false" ht="15" hidden="false" customHeight="false" outlineLevel="0" collapsed="false">
      <c r="A179" s="30" t="str">
        <f aca="false">IF(Counterparties!A179="","",Counterparties!A179)</f>
        <v/>
      </c>
      <c r="B179" s="30" t="str">
        <f aca="false">IF(Counterparties!B179="","",Counterparties!B179)</f>
        <v/>
      </c>
      <c r="C179" s="30" t="str">
        <f aca="false">IF(Counterparties!C179="","",Counterparties!C179)</f>
        <v/>
      </c>
      <c r="D179" s="30" t="str">
        <f aca="false">IF(Counterparties!D179="","",Counterparties!D179)</f>
        <v/>
      </c>
      <c r="E179" s="30" t="str">
        <f aca="false">IF(Counterparties!E179="","",Counterparties!E179)</f>
        <v/>
      </c>
      <c r="F179" s="53" t="n">
        <f aca="false">IF($A179="",0,SUMIFS(GL_Input!$U:$U,GL_Input!$F:$F,$A179,GL_Input!$X:$X,"G",GL_Input!$Y:$Y,1))</f>
        <v>0</v>
      </c>
      <c r="G179" s="53" t="n">
        <f aca="false">IF($A179="",0,SUMIFS(GL_Input!$U:$U,GL_Input!$F:$F,$A179,GL_Input!$X:$X,"G",GL_Input!$Y:$Y,2))</f>
        <v>0</v>
      </c>
      <c r="H179" s="53" t="n">
        <f aca="false">IF($A179="",0,SUMIFS(GL_Input!$U:$U,GL_Input!$F:$F,$A179,GL_Input!$X:$X,"G",GL_Input!$Y:$Y,3))</f>
        <v>0</v>
      </c>
      <c r="I179" s="53" t="n">
        <f aca="false">IF($A179="",0,SUMIFS(GL_Input!$U:$U,GL_Input!$F:$F,$A179,GL_Input!$X:$X,"T",GL_Input!$Y:$Y,1))</f>
        <v>0</v>
      </c>
      <c r="J179" s="53" t="n">
        <f aca="false">IF($A179="",0,SUMIFS(GL_Input!$U:$U,GL_Input!$F:$F,$A179,GL_Input!$X:$X,"T",GL_Input!$Y:$Y,2))</f>
        <v>0</v>
      </c>
      <c r="K179" s="53" t="n">
        <f aca="false">IF($A179="",0,SUMIFS(GL_Input!$U:$U,GL_Input!$F:$F,$A179,GL_Input!$X:$X,"T",GL_Input!$Y:$Y,3))</f>
        <v>0</v>
      </c>
      <c r="L179" s="53" t="n">
        <f aca="false">IF($A179="",0,SUMIFS(GL_Input!$U:$U,GL_Input!$F:$F,$A179,GL_Input!$X:$X,"S",GL_Input!$Y:$Y,1))</f>
        <v>0</v>
      </c>
      <c r="M179" s="53" t="n">
        <f aca="false">IF($A179="",0,SUMIFS(GL_Input!$U:$U,GL_Input!$F:$F,$A179,GL_Input!$X:$X,"S",GL_Input!$Y:$Y,2))</f>
        <v>0</v>
      </c>
      <c r="N179" s="53" t="n">
        <f aca="false">IF($A179="",0,SUMIFS(GL_Input!$U:$U,GL_Input!$F:$F,$A179,GL_Input!$X:$X,"S",GL_Input!$Y:$Y,3))</f>
        <v>0</v>
      </c>
      <c r="O179" s="54" t="n">
        <f aca="false">SUM(F179:N179)</f>
        <v>0</v>
      </c>
      <c r="P179" s="15" t="str">
        <f aca="false">IF(O179=0,"",IF($D179="","MISSING VAT NO.",IF(OR($C179="",$C179="CY",Counterparties!G179&lt;&gt;"EU"),"NOT AN EU CUSTOMER","OK")))</f>
        <v/>
      </c>
    </row>
    <row r="180" customFormat="false" ht="15" hidden="false" customHeight="false" outlineLevel="0" collapsed="false">
      <c r="A180" s="30" t="str">
        <f aca="false">IF(Counterparties!A180="","",Counterparties!A180)</f>
        <v/>
      </c>
      <c r="B180" s="30" t="str">
        <f aca="false">IF(Counterparties!B180="","",Counterparties!B180)</f>
        <v/>
      </c>
      <c r="C180" s="30" t="str">
        <f aca="false">IF(Counterparties!C180="","",Counterparties!C180)</f>
        <v/>
      </c>
      <c r="D180" s="30" t="str">
        <f aca="false">IF(Counterparties!D180="","",Counterparties!D180)</f>
        <v/>
      </c>
      <c r="E180" s="30" t="str">
        <f aca="false">IF(Counterparties!E180="","",Counterparties!E180)</f>
        <v/>
      </c>
      <c r="F180" s="53" t="n">
        <f aca="false">IF($A180="",0,SUMIFS(GL_Input!$U:$U,GL_Input!$F:$F,$A180,GL_Input!$X:$X,"G",GL_Input!$Y:$Y,1))</f>
        <v>0</v>
      </c>
      <c r="G180" s="53" t="n">
        <f aca="false">IF($A180="",0,SUMIFS(GL_Input!$U:$U,GL_Input!$F:$F,$A180,GL_Input!$X:$X,"G",GL_Input!$Y:$Y,2))</f>
        <v>0</v>
      </c>
      <c r="H180" s="53" t="n">
        <f aca="false">IF($A180="",0,SUMIFS(GL_Input!$U:$U,GL_Input!$F:$F,$A180,GL_Input!$X:$X,"G",GL_Input!$Y:$Y,3))</f>
        <v>0</v>
      </c>
      <c r="I180" s="53" t="n">
        <f aca="false">IF($A180="",0,SUMIFS(GL_Input!$U:$U,GL_Input!$F:$F,$A180,GL_Input!$X:$X,"T",GL_Input!$Y:$Y,1))</f>
        <v>0</v>
      </c>
      <c r="J180" s="53" t="n">
        <f aca="false">IF($A180="",0,SUMIFS(GL_Input!$U:$U,GL_Input!$F:$F,$A180,GL_Input!$X:$X,"T",GL_Input!$Y:$Y,2))</f>
        <v>0</v>
      </c>
      <c r="K180" s="53" t="n">
        <f aca="false">IF($A180="",0,SUMIFS(GL_Input!$U:$U,GL_Input!$F:$F,$A180,GL_Input!$X:$X,"T",GL_Input!$Y:$Y,3))</f>
        <v>0</v>
      </c>
      <c r="L180" s="53" t="n">
        <f aca="false">IF($A180="",0,SUMIFS(GL_Input!$U:$U,GL_Input!$F:$F,$A180,GL_Input!$X:$X,"S",GL_Input!$Y:$Y,1))</f>
        <v>0</v>
      </c>
      <c r="M180" s="53" t="n">
        <f aca="false">IF($A180="",0,SUMIFS(GL_Input!$U:$U,GL_Input!$F:$F,$A180,GL_Input!$X:$X,"S",GL_Input!$Y:$Y,2))</f>
        <v>0</v>
      </c>
      <c r="N180" s="53" t="n">
        <f aca="false">IF($A180="",0,SUMIFS(GL_Input!$U:$U,GL_Input!$F:$F,$A180,GL_Input!$X:$X,"S",GL_Input!$Y:$Y,3))</f>
        <v>0</v>
      </c>
      <c r="O180" s="54" t="n">
        <f aca="false">SUM(F180:N180)</f>
        <v>0</v>
      </c>
      <c r="P180" s="15" t="str">
        <f aca="false">IF(O180=0,"",IF($D180="","MISSING VAT NO.",IF(OR($C180="",$C180="CY",Counterparties!G180&lt;&gt;"EU"),"NOT AN EU CUSTOMER","OK")))</f>
        <v/>
      </c>
    </row>
    <row r="181" customFormat="false" ht="15" hidden="false" customHeight="false" outlineLevel="0" collapsed="false">
      <c r="A181" s="30" t="str">
        <f aca="false">IF(Counterparties!A181="","",Counterparties!A181)</f>
        <v/>
      </c>
      <c r="B181" s="30" t="str">
        <f aca="false">IF(Counterparties!B181="","",Counterparties!B181)</f>
        <v/>
      </c>
      <c r="C181" s="30" t="str">
        <f aca="false">IF(Counterparties!C181="","",Counterparties!C181)</f>
        <v/>
      </c>
      <c r="D181" s="30" t="str">
        <f aca="false">IF(Counterparties!D181="","",Counterparties!D181)</f>
        <v/>
      </c>
      <c r="E181" s="30" t="str">
        <f aca="false">IF(Counterparties!E181="","",Counterparties!E181)</f>
        <v/>
      </c>
      <c r="F181" s="53" t="n">
        <f aca="false">IF($A181="",0,SUMIFS(GL_Input!$U:$U,GL_Input!$F:$F,$A181,GL_Input!$X:$X,"G",GL_Input!$Y:$Y,1))</f>
        <v>0</v>
      </c>
      <c r="G181" s="53" t="n">
        <f aca="false">IF($A181="",0,SUMIFS(GL_Input!$U:$U,GL_Input!$F:$F,$A181,GL_Input!$X:$X,"G",GL_Input!$Y:$Y,2))</f>
        <v>0</v>
      </c>
      <c r="H181" s="53" t="n">
        <f aca="false">IF($A181="",0,SUMIFS(GL_Input!$U:$U,GL_Input!$F:$F,$A181,GL_Input!$X:$X,"G",GL_Input!$Y:$Y,3))</f>
        <v>0</v>
      </c>
      <c r="I181" s="53" t="n">
        <f aca="false">IF($A181="",0,SUMIFS(GL_Input!$U:$U,GL_Input!$F:$F,$A181,GL_Input!$X:$X,"T",GL_Input!$Y:$Y,1))</f>
        <v>0</v>
      </c>
      <c r="J181" s="53" t="n">
        <f aca="false">IF($A181="",0,SUMIFS(GL_Input!$U:$U,GL_Input!$F:$F,$A181,GL_Input!$X:$X,"T",GL_Input!$Y:$Y,2))</f>
        <v>0</v>
      </c>
      <c r="K181" s="53" t="n">
        <f aca="false">IF($A181="",0,SUMIFS(GL_Input!$U:$U,GL_Input!$F:$F,$A181,GL_Input!$X:$X,"T",GL_Input!$Y:$Y,3))</f>
        <v>0</v>
      </c>
      <c r="L181" s="53" t="n">
        <f aca="false">IF($A181="",0,SUMIFS(GL_Input!$U:$U,GL_Input!$F:$F,$A181,GL_Input!$X:$X,"S",GL_Input!$Y:$Y,1))</f>
        <v>0</v>
      </c>
      <c r="M181" s="53" t="n">
        <f aca="false">IF($A181="",0,SUMIFS(GL_Input!$U:$U,GL_Input!$F:$F,$A181,GL_Input!$X:$X,"S",GL_Input!$Y:$Y,2))</f>
        <v>0</v>
      </c>
      <c r="N181" s="53" t="n">
        <f aca="false">IF($A181="",0,SUMIFS(GL_Input!$U:$U,GL_Input!$F:$F,$A181,GL_Input!$X:$X,"S",GL_Input!$Y:$Y,3))</f>
        <v>0</v>
      </c>
      <c r="O181" s="54" t="n">
        <f aca="false">SUM(F181:N181)</f>
        <v>0</v>
      </c>
      <c r="P181" s="15" t="str">
        <f aca="false">IF(O181=0,"",IF($D181="","MISSING VAT NO.",IF(OR($C181="",$C181="CY",Counterparties!G181&lt;&gt;"EU"),"NOT AN EU CUSTOMER","OK")))</f>
        <v/>
      </c>
    </row>
    <row r="182" customFormat="false" ht="15" hidden="false" customHeight="false" outlineLevel="0" collapsed="false">
      <c r="A182" s="30" t="str">
        <f aca="false">IF(Counterparties!A182="","",Counterparties!A182)</f>
        <v/>
      </c>
      <c r="B182" s="30" t="str">
        <f aca="false">IF(Counterparties!B182="","",Counterparties!B182)</f>
        <v/>
      </c>
      <c r="C182" s="30" t="str">
        <f aca="false">IF(Counterparties!C182="","",Counterparties!C182)</f>
        <v/>
      </c>
      <c r="D182" s="30" t="str">
        <f aca="false">IF(Counterparties!D182="","",Counterparties!D182)</f>
        <v/>
      </c>
      <c r="E182" s="30" t="str">
        <f aca="false">IF(Counterparties!E182="","",Counterparties!E182)</f>
        <v/>
      </c>
      <c r="F182" s="53" t="n">
        <f aca="false">IF($A182="",0,SUMIFS(GL_Input!$U:$U,GL_Input!$F:$F,$A182,GL_Input!$X:$X,"G",GL_Input!$Y:$Y,1))</f>
        <v>0</v>
      </c>
      <c r="G182" s="53" t="n">
        <f aca="false">IF($A182="",0,SUMIFS(GL_Input!$U:$U,GL_Input!$F:$F,$A182,GL_Input!$X:$X,"G",GL_Input!$Y:$Y,2))</f>
        <v>0</v>
      </c>
      <c r="H182" s="53" t="n">
        <f aca="false">IF($A182="",0,SUMIFS(GL_Input!$U:$U,GL_Input!$F:$F,$A182,GL_Input!$X:$X,"G",GL_Input!$Y:$Y,3))</f>
        <v>0</v>
      </c>
      <c r="I182" s="53" t="n">
        <f aca="false">IF($A182="",0,SUMIFS(GL_Input!$U:$U,GL_Input!$F:$F,$A182,GL_Input!$X:$X,"T",GL_Input!$Y:$Y,1))</f>
        <v>0</v>
      </c>
      <c r="J182" s="53" t="n">
        <f aca="false">IF($A182="",0,SUMIFS(GL_Input!$U:$U,GL_Input!$F:$F,$A182,GL_Input!$X:$X,"T",GL_Input!$Y:$Y,2))</f>
        <v>0</v>
      </c>
      <c r="K182" s="53" t="n">
        <f aca="false">IF($A182="",0,SUMIFS(GL_Input!$U:$U,GL_Input!$F:$F,$A182,GL_Input!$X:$X,"T",GL_Input!$Y:$Y,3))</f>
        <v>0</v>
      </c>
      <c r="L182" s="53" t="n">
        <f aca="false">IF($A182="",0,SUMIFS(GL_Input!$U:$U,GL_Input!$F:$F,$A182,GL_Input!$X:$X,"S",GL_Input!$Y:$Y,1))</f>
        <v>0</v>
      </c>
      <c r="M182" s="53" t="n">
        <f aca="false">IF($A182="",0,SUMIFS(GL_Input!$U:$U,GL_Input!$F:$F,$A182,GL_Input!$X:$X,"S",GL_Input!$Y:$Y,2))</f>
        <v>0</v>
      </c>
      <c r="N182" s="53" t="n">
        <f aca="false">IF($A182="",0,SUMIFS(GL_Input!$U:$U,GL_Input!$F:$F,$A182,GL_Input!$X:$X,"S",GL_Input!$Y:$Y,3))</f>
        <v>0</v>
      </c>
      <c r="O182" s="54" t="n">
        <f aca="false">SUM(F182:N182)</f>
        <v>0</v>
      </c>
      <c r="P182" s="15" t="str">
        <f aca="false">IF(O182=0,"",IF($D182="","MISSING VAT NO.",IF(OR($C182="",$C182="CY",Counterparties!G182&lt;&gt;"EU"),"NOT AN EU CUSTOMER","OK")))</f>
        <v/>
      </c>
    </row>
    <row r="183" customFormat="false" ht="15" hidden="false" customHeight="false" outlineLevel="0" collapsed="false">
      <c r="A183" s="30" t="str">
        <f aca="false">IF(Counterparties!A183="","",Counterparties!A183)</f>
        <v/>
      </c>
      <c r="B183" s="30" t="str">
        <f aca="false">IF(Counterparties!B183="","",Counterparties!B183)</f>
        <v/>
      </c>
      <c r="C183" s="30" t="str">
        <f aca="false">IF(Counterparties!C183="","",Counterparties!C183)</f>
        <v/>
      </c>
      <c r="D183" s="30" t="str">
        <f aca="false">IF(Counterparties!D183="","",Counterparties!D183)</f>
        <v/>
      </c>
      <c r="E183" s="30" t="str">
        <f aca="false">IF(Counterparties!E183="","",Counterparties!E183)</f>
        <v/>
      </c>
      <c r="F183" s="53" t="n">
        <f aca="false">IF($A183="",0,SUMIFS(GL_Input!$U:$U,GL_Input!$F:$F,$A183,GL_Input!$X:$X,"G",GL_Input!$Y:$Y,1))</f>
        <v>0</v>
      </c>
      <c r="G183" s="53" t="n">
        <f aca="false">IF($A183="",0,SUMIFS(GL_Input!$U:$U,GL_Input!$F:$F,$A183,GL_Input!$X:$X,"G",GL_Input!$Y:$Y,2))</f>
        <v>0</v>
      </c>
      <c r="H183" s="53" t="n">
        <f aca="false">IF($A183="",0,SUMIFS(GL_Input!$U:$U,GL_Input!$F:$F,$A183,GL_Input!$X:$X,"G",GL_Input!$Y:$Y,3))</f>
        <v>0</v>
      </c>
      <c r="I183" s="53" t="n">
        <f aca="false">IF($A183="",0,SUMIFS(GL_Input!$U:$U,GL_Input!$F:$F,$A183,GL_Input!$X:$X,"T",GL_Input!$Y:$Y,1))</f>
        <v>0</v>
      </c>
      <c r="J183" s="53" t="n">
        <f aca="false">IF($A183="",0,SUMIFS(GL_Input!$U:$U,GL_Input!$F:$F,$A183,GL_Input!$X:$X,"T",GL_Input!$Y:$Y,2))</f>
        <v>0</v>
      </c>
      <c r="K183" s="53" t="n">
        <f aca="false">IF($A183="",0,SUMIFS(GL_Input!$U:$U,GL_Input!$F:$F,$A183,GL_Input!$X:$X,"T",GL_Input!$Y:$Y,3))</f>
        <v>0</v>
      </c>
      <c r="L183" s="53" t="n">
        <f aca="false">IF($A183="",0,SUMIFS(GL_Input!$U:$U,GL_Input!$F:$F,$A183,GL_Input!$X:$X,"S",GL_Input!$Y:$Y,1))</f>
        <v>0</v>
      </c>
      <c r="M183" s="53" t="n">
        <f aca="false">IF($A183="",0,SUMIFS(GL_Input!$U:$U,GL_Input!$F:$F,$A183,GL_Input!$X:$X,"S",GL_Input!$Y:$Y,2))</f>
        <v>0</v>
      </c>
      <c r="N183" s="53" t="n">
        <f aca="false">IF($A183="",0,SUMIFS(GL_Input!$U:$U,GL_Input!$F:$F,$A183,GL_Input!$X:$X,"S",GL_Input!$Y:$Y,3))</f>
        <v>0</v>
      </c>
      <c r="O183" s="54" t="n">
        <f aca="false">SUM(F183:N183)</f>
        <v>0</v>
      </c>
      <c r="P183" s="15" t="str">
        <f aca="false">IF(O183=0,"",IF($D183="","MISSING VAT NO.",IF(OR($C183="",$C183="CY",Counterparties!G183&lt;&gt;"EU"),"NOT AN EU CUSTOMER","OK")))</f>
        <v/>
      </c>
    </row>
    <row r="184" customFormat="false" ht="15" hidden="false" customHeight="false" outlineLevel="0" collapsed="false">
      <c r="A184" s="30" t="str">
        <f aca="false">IF(Counterparties!A184="","",Counterparties!A184)</f>
        <v/>
      </c>
      <c r="B184" s="30" t="str">
        <f aca="false">IF(Counterparties!B184="","",Counterparties!B184)</f>
        <v/>
      </c>
      <c r="C184" s="30" t="str">
        <f aca="false">IF(Counterparties!C184="","",Counterparties!C184)</f>
        <v/>
      </c>
      <c r="D184" s="30" t="str">
        <f aca="false">IF(Counterparties!D184="","",Counterparties!D184)</f>
        <v/>
      </c>
      <c r="E184" s="30" t="str">
        <f aca="false">IF(Counterparties!E184="","",Counterparties!E184)</f>
        <v/>
      </c>
      <c r="F184" s="53" t="n">
        <f aca="false">IF($A184="",0,SUMIFS(GL_Input!$U:$U,GL_Input!$F:$F,$A184,GL_Input!$X:$X,"G",GL_Input!$Y:$Y,1))</f>
        <v>0</v>
      </c>
      <c r="G184" s="53" t="n">
        <f aca="false">IF($A184="",0,SUMIFS(GL_Input!$U:$U,GL_Input!$F:$F,$A184,GL_Input!$X:$X,"G",GL_Input!$Y:$Y,2))</f>
        <v>0</v>
      </c>
      <c r="H184" s="53" t="n">
        <f aca="false">IF($A184="",0,SUMIFS(GL_Input!$U:$U,GL_Input!$F:$F,$A184,GL_Input!$X:$X,"G",GL_Input!$Y:$Y,3))</f>
        <v>0</v>
      </c>
      <c r="I184" s="53" t="n">
        <f aca="false">IF($A184="",0,SUMIFS(GL_Input!$U:$U,GL_Input!$F:$F,$A184,GL_Input!$X:$X,"T",GL_Input!$Y:$Y,1))</f>
        <v>0</v>
      </c>
      <c r="J184" s="53" t="n">
        <f aca="false">IF($A184="",0,SUMIFS(GL_Input!$U:$U,GL_Input!$F:$F,$A184,GL_Input!$X:$X,"T",GL_Input!$Y:$Y,2))</f>
        <v>0</v>
      </c>
      <c r="K184" s="53" t="n">
        <f aca="false">IF($A184="",0,SUMIFS(GL_Input!$U:$U,GL_Input!$F:$F,$A184,GL_Input!$X:$X,"T",GL_Input!$Y:$Y,3))</f>
        <v>0</v>
      </c>
      <c r="L184" s="53" t="n">
        <f aca="false">IF($A184="",0,SUMIFS(GL_Input!$U:$U,GL_Input!$F:$F,$A184,GL_Input!$X:$X,"S",GL_Input!$Y:$Y,1))</f>
        <v>0</v>
      </c>
      <c r="M184" s="53" t="n">
        <f aca="false">IF($A184="",0,SUMIFS(GL_Input!$U:$U,GL_Input!$F:$F,$A184,GL_Input!$X:$X,"S",GL_Input!$Y:$Y,2))</f>
        <v>0</v>
      </c>
      <c r="N184" s="53" t="n">
        <f aca="false">IF($A184="",0,SUMIFS(GL_Input!$U:$U,GL_Input!$F:$F,$A184,GL_Input!$X:$X,"S",GL_Input!$Y:$Y,3))</f>
        <v>0</v>
      </c>
      <c r="O184" s="54" t="n">
        <f aca="false">SUM(F184:N184)</f>
        <v>0</v>
      </c>
      <c r="P184" s="15" t="str">
        <f aca="false">IF(O184=0,"",IF($D184="","MISSING VAT NO.",IF(OR($C184="",$C184="CY",Counterparties!G184&lt;&gt;"EU"),"NOT AN EU CUSTOMER","OK")))</f>
        <v/>
      </c>
    </row>
    <row r="185" customFormat="false" ht="15" hidden="false" customHeight="false" outlineLevel="0" collapsed="false">
      <c r="A185" s="30" t="str">
        <f aca="false">IF(Counterparties!A185="","",Counterparties!A185)</f>
        <v/>
      </c>
      <c r="B185" s="30" t="str">
        <f aca="false">IF(Counterparties!B185="","",Counterparties!B185)</f>
        <v/>
      </c>
      <c r="C185" s="30" t="str">
        <f aca="false">IF(Counterparties!C185="","",Counterparties!C185)</f>
        <v/>
      </c>
      <c r="D185" s="30" t="str">
        <f aca="false">IF(Counterparties!D185="","",Counterparties!D185)</f>
        <v/>
      </c>
      <c r="E185" s="30" t="str">
        <f aca="false">IF(Counterparties!E185="","",Counterparties!E185)</f>
        <v/>
      </c>
      <c r="F185" s="53" t="n">
        <f aca="false">IF($A185="",0,SUMIFS(GL_Input!$U:$U,GL_Input!$F:$F,$A185,GL_Input!$X:$X,"G",GL_Input!$Y:$Y,1))</f>
        <v>0</v>
      </c>
      <c r="G185" s="53" t="n">
        <f aca="false">IF($A185="",0,SUMIFS(GL_Input!$U:$U,GL_Input!$F:$F,$A185,GL_Input!$X:$X,"G",GL_Input!$Y:$Y,2))</f>
        <v>0</v>
      </c>
      <c r="H185" s="53" t="n">
        <f aca="false">IF($A185="",0,SUMIFS(GL_Input!$U:$U,GL_Input!$F:$F,$A185,GL_Input!$X:$X,"G",GL_Input!$Y:$Y,3))</f>
        <v>0</v>
      </c>
      <c r="I185" s="53" t="n">
        <f aca="false">IF($A185="",0,SUMIFS(GL_Input!$U:$U,GL_Input!$F:$F,$A185,GL_Input!$X:$X,"T",GL_Input!$Y:$Y,1))</f>
        <v>0</v>
      </c>
      <c r="J185" s="53" t="n">
        <f aca="false">IF($A185="",0,SUMIFS(GL_Input!$U:$U,GL_Input!$F:$F,$A185,GL_Input!$X:$X,"T",GL_Input!$Y:$Y,2))</f>
        <v>0</v>
      </c>
      <c r="K185" s="53" t="n">
        <f aca="false">IF($A185="",0,SUMIFS(GL_Input!$U:$U,GL_Input!$F:$F,$A185,GL_Input!$X:$X,"T",GL_Input!$Y:$Y,3))</f>
        <v>0</v>
      </c>
      <c r="L185" s="53" t="n">
        <f aca="false">IF($A185="",0,SUMIFS(GL_Input!$U:$U,GL_Input!$F:$F,$A185,GL_Input!$X:$X,"S",GL_Input!$Y:$Y,1))</f>
        <v>0</v>
      </c>
      <c r="M185" s="53" t="n">
        <f aca="false">IF($A185="",0,SUMIFS(GL_Input!$U:$U,GL_Input!$F:$F,$A185,GL_Input!$X:$X,"S",GL_Input!$Y:$Y,2))</f>
        <v>0</v>
      </c>
      <c r="N185" s="53" t="n">
        <f aca="false">IF($A185="",0,SUMIFS(GL_Input!$U:$U,GL_Input!$F:$F,$A185,GL_Input!$X:$X,"S",GL_Input!$Y:$Y,3))</f>
        <v>0</v>
      </c>
      <c r="O185" s="54" t="n">
        <f aca="false">SUM(F185:N185)</f>
        <v>0</v>
      </c>
      <c r="P185" s="15" t="str">
        <f aca="false">IF(O185=0,"",IF($D185="","MISSING VAT NO.",IF(OR($C185="",$C185="CY",Counterparties!G185&lt;&gt;"EU"),"NOT AN EU CUSTOMER","OK")))</f>
        <v/>
      </c>
    </row>
    <row r="186" customFormat="false" ht="15" hidden="false" customHeight="false" outlineLevel="0" collapsed="false">
      <c r="A186" s="30" t="str">
        <f aca="false">IF(Counterparties!A186="","",Counterparties!A186)</f>
        <v/>
      </c>
      <c r="B186" s="30" t="str">
        <f aca="false">IF(Counterparties!B186="","",Counterparties!B186)</f>
        <v/>
      </c>
      <c r="C186" s="30" t="str">
        <f aca="false">IF(Counterparties!C186="","",Counterparties!C186)</f>
        <v/>
      </c>
      <c r="D186" s="30" t="str">
        <f aca="false">IF(Counterparties!D186="","",Counterparties!D186)</f>
        <v/>
      </c>
      <c r="E186" s="30" t="str">
        <f aca="false">IF(Counterparties!E186="","",Counterparties!E186)</f>
        <v/>
      </c>
      <c r="F186" s="53" t="n">
        <f aca="false">IF($A186="",0,SUMIFS(GL_Input!$U:$U,GL_Input!$F:$F,$A186,GL_Input!$X:$X,"G",GL_Input!$Y:$Y,1))</f>
        <v>0</v>
      </c>
      <c r="G186" s="53" t="n">
        <f aca="false">IF($A186="",0,SUMIFS(GL_Input!$U:$U,GL_Input!$F:$F,$A186,GL_Input!$X:$X,"G",GL_Input!$Y:$Y,2))</f>
        <v>0</v>
      </c>
      <c r="H186" s="53" t="n">
        <f aca="false">IF($A186="",0,SUMIFS(GL_Input!$U:$U,GL_Input!$F:$F,$A186,GL_Input!$X:$X,"G",GL_Input!$Y:$Y,3))</f>
        <v>0</v>
      </c>
      <c r="I186" s="53" t="n">
        <f aca="false">IF($A186="",0,SUMIFS(GL_Input!$U:$U,GL_Input!$F:$F,$A186,GL_Input!$X:$X,"T",GL_Input!$Y:$Y,1))</f>
        <v>0</v>
      </c>
      <c r="J186" s="53" t="n">
        <f aca="false">IF($A186="",0,SUMIFS(GL_Input!$U:$U,GL_Input!$F:$F,$A186,GL_Input!$X:$X,"T",GL_Input!$Y:$Y,2))</f>
        <v>0</v>
      </c>
      <c r="K186" s="53" t="n">
        <f aca="false">IF($A186="",0,SUMIFS(GL_Input!$U:$U,GL_Input!$F:$F,$A186,GL_Input!$X:$X,"T",GL_Input!$Y:$Y,3))</f>
        <v>0</v>
      </c>
      <c r="L186" s="53" t="n">
        <f aca="false">IF($A186="",0,SUMIFS(GL_Input!$U:$U,GL_Input!$F:$F,$A186,GL_Input!$X:$X,"S",GL_Input!$Y:$Y,1))</f>
        <v>0</v>
      </c>
      <c r="M186" s="53" t="n">
        <f aca="false">IF($A186="",0,SUMIFS(GL_Input!$U:$U,GL_Input!$F:$F,$A186,GL_Input!$X:$X,"S",GL_Input!$Y:$Y,2))</f>
        <v>0</v>
      </c>
      <c r="N186" s="53" t="n">
        <f aca="false">IF($A186="",0,SUMIFS(GL_Input!$U:$U,GL_Input!$F:$F,$A186,GL_Input!$X:$X,"S",GL_Input!$Y:$Y,3))</f>
        <v>0</v>
      </c>
      <c r="O186" s="54" t="n">
        <f aca="false">SUM(F186:N186)</f>
        <v>0</v>
      </c>
      <c r="P186" s="15" t="str">
        <f aca="false">IF(O186=0,"",IF($D186="","MISSING VAT NO.",IF(OR($C186="",$C186="CY",Counterparties!G186&lt;&gt;"EU"),"NOT AN EU CUSTOMER","OK")))</f>
        <v/>
      </c>
    </row>
    <row r="187" customFormat="false" ht="15" hidden="false" customHeight="false" outlineLevel="0" collapsed="false">
      <c r="A187" s="30" t="str">
        <f aca="false">IF(Counterparties!A187="","",Counterparties!A187)</f>
        <v/>
      </c>
      <c r="B187" s="30" t="str">
        <f aca="false">IF(Counterparties!B187="","",Counterparties!B187)</f>
        <v/>
      </c>
      <c r="C187" s="30" t="str">
        <f aca="false">IF(Counterparties!C187="","",Counterparties!C187)</f>
        <v/>
      </c>
      <c r="D187" s="30" t="str">
        <f aca="false">IF(Counterparties!D187="","",Counterparties!D187)</f>
        <v/>
      </c>
      <c r="E187" s="30" t="str">
        <f aca="false">IF(Counterparties!E187="","",Counterparties!E187)</f>
        <v/>
      </c>
      <c r="F187" s="53" t="n">
        <f aca="false">IF($A187="",0,SUMIFS(GL_Input!$U:$U,GL_Input!$F:$F,$A187,GL_Input!$X:$X,"G",GL_Input!$Y:$Y,1))</f>
        <v>0</v>
      </c>
      <c r="G187" s="53" t="n">
        <f aca="false">IF($A187="",0,SUMIFS(GL_Input!$U:$U,GL_Input!$F:$F,$A187,GL_Input!$X:$X,"G",GL_Input!$Y:$Y,2))</f>
        <v>0</v>
      </c>
      <c r="H187" s="53" t="n">
        <f aca="false">IF($A187="",0,SUMIFS(GL_Input!$U:$U,GL_Input!$F:$F,$A187,GL_Input!$X:$X,"G",GL_Input!$Y:$Y,3))</f>
        <v>0</v>
      </c>
      <c r="I187" s="53" t="n">
        <f aca="false">IF($A187="",0,SUMIFS(GL_Input!$U:$U,GL_Input!$F:$F,$A187,GL_Input!$X:$X,"T",GL_Input!$Y:$Y,1))</f>
        <v>0</v>
      </c>
      <c r="J187" s="53" t="n">
        <f aca="false">IF($A187="",0,SUMIFS(GL_Input!$U:$U,GL_Input!$F:$F,$A187,GL_Input!$X:$X,"T",GL_Input!$Y:$Y,2))</f>
        <v>0</v>
      </c>
      <c r="K187" s="53" t="n">
        <f aca="false">IF($A187="",0,SUMIFS(GL_Input!$U:$U,GL_Input!$F:$F,$A187,GL_Input!$X:$X,"T",GL_Input!$Y:$Y,3))</f>
        <v>0</v>
      </c>
      <c r="L187" s="53" t="n">
        <f aca="false">IF($A187="",0,SUMIFS(GL_Input!$U:$U,GL_Input!$F:$F,$A187,GL_Input!$X:$X,"S",GL_Input!$Y:$Y,1))</f>
        <v>0</v>
      </c>
      <c r="M187" s="53" t="n">
        <f aca="false">IF($A187="",0,SUMIFS(GL_Input!$U:$U,GL_Input!$F:$F,$A187,GL_Input!$X:$X,"S",GL_Input!$Y:$Y,2))</f>
        <v>0</v>
      </c>
      <c r="N187" s="53" t="n">
        <f aca="false">IF($A187="",0,SUMIFS(GL_Input!$U:$U,GL_Input!$F:$F,$A187,GL_Input!$X:$X,"S",GL_Input!$Y:$Y,3))</f>
        <v>0</v>
      </c>
      <c r="O187" s="54" t="n">
        <f aca="false">SUM(F187:N187)</f>
        <v>0</v>
      </c>
      <c r="P187" s="15" t="str">
        <f aca="false">IF(O187=0,"",IF($D187="","MISSING VAT NO.",IF(OR($C187="",$C187="CY",Counterparties!G187&lt;&gt;"EU"),"NOT AN EU CUSTOMER","OK")))</f>
        <v/>
      </c>
    </row>
    <row r="188" customFormat="false" ht="15" hidden="false" customHeight="false" outlineLevel="0" collapsed="false">
      <c r="A188" s="30" t="str">
        <f aca="false">IF(Counterparties!A188="","",Counterparties!A188)</f>
        <v/>
      </c>
      <c r="B188" s="30" t="str">
        <f aca="false">IF(Counterparties!B188="","",Counterparties!B188)</f>
        <v/>
      </c>
      <c r="C188" s="30" t="str">
        <f aca="false">IF(Counterparties!C188="","",Counterparties!C188)</f>
        <v/>
      </c>
      <c r="D188" s="30" t="str">
        <f aca="false">IF(Counterparties!D188="","",Counterparties!D188)</f>
        <v/>
      </c>
      <c r="E188" s="30" t="str">
        <f aca="false">IF(Counterparties!E188="","",Counterparties!E188)</f>
        <v/>
      </c>
      <c r="F188" s="53" t="n">
        <f aca="false">IF($A188="",0,SUMIFS(GL_Input!$U:$U,GL_Input!$F:$F,$A188,GL_Input!$X:$X,"G",GL_Input!$Y:$Y,1))</f>
        <v>0</v>
      </c>
      <c r="G188" s="53" t="n">
        <f aca="false">IF($A188="",0,SUMIFS(GL_Input!$U:$U,GL_Input!$F:$F,$A188,GL_Input!$X:$X,"G",GL_Input!$Y:$Y,2))</f>
        <v>0</v>
      </c>
      <c r="H188" s="53" t="n">
        <f aca="false">IF($A188="",0,SUMIFS(GL_Input!$U:$U,GL_Input!$F:$F,$A188,GL_Input!$X:$X,"G",GL_Input!$Y:$Y,3))</f>
        <v>0</v>
      </c>
      <c r="I188" s="53" t="n">
        <f aca="false">IF($A188="",0,SUMIFS(GL_Input!$U:$U,GL_Input!$F:$F,$A188,GL_Input!$X:$X,"T",GL_Input!$Y:$Y,1))</f>
        <v>0</v>
      </c>
      <c r="J188" s="53" t="n">
        <f aca="false">IF($A188="",0,SUMIFS(GL_Input!$U:$U,GL_Input!$F:$F,$A188,GL_Input!$X:$X,"T",GL_Input!$Y:$Y,2))</f>
        <v>0</v>
      </c>
      <c r="K188" s="53" t="n">
        <f aca="false">IF($A188="",0,SUMIFS(GL_Input!$U:$U,GL_Input!$F:$F,$A188,GL_Input!$X:$X,"T",GL_Input!$Y:$Y,3))</f>
        <v>0</v>
      </c>
      <c r="L188" s="53" t="n">
        <f aca="false">IF($A188="",0,SUMIFS(GL_Input!$U:$U,GL_Input!$F:$F,$A188,GL_Input!$X:$X,"S",GL_Input!$Y:$Y,1))</f>
        <v>0</v>
      </c>
      <c r="M188" s="53" t="n">
        <f aca="false">IF($A188="",0,SUMIFS(GL_Input!$U:$U,GL_Input!$F:$F,$A188,GL_Input!$X:$X,"S",GL_Input!$Y:$Y,2))</f>
        <v>0</v>
      </c>
      <c r="N188" s="53" t="n">
        <f aca="false">IF($A188="",0,SUMIFS(GL_Input!$U:$U,GL_Input!$F:$F,$A188,GL_Input!$X:$X,"S",GL_Input!$Y:$Y,3))</f>
        <v>0</v>
      </c>
      <c r="O188" s="54" t="n">
        <f aca="false">SUM(F188:N188)</f>
        <v>0</v>
      </c>
      <c r="P188" s="15" t="str">
        <f aca="false">IF(O188=0,"",IF($D188="","MISSING VAT NO.",IF(OR($C188="",$C188="CY",Counterparties!G188&lt;&gt;"EU"),"NOT AN EU CUSTOMER","OK")))</f>
        <v/>
      </c>
    </row>
    <row r="189" customFormat="false" ht="15" hidden="false" customHeight="false" outlineLevel="0" collapsed="false">
      <c r="A189" s="30" t="str">
        <f aca="false">IF(Counterparties!A189="","",Counterparties!A189)</f>
        <v/>
      </c>
      <c r="B189" s="30" t="str">
        <f aca="false">IF(Counterparties!B189="","",Counterparties!B189)</f>
        <v/>
      </c>
      <c r="C189" s="30" t="str">
        <f aca="false">IF(Counterparties!C189="","",Counterparties!C189)</f>
        <v/>
      </c>
      <c r="D189" s="30" t="str">
        <f aca="false">IF(Counterparties!D189="","",Counterparties!D189)</f>
        <v/>
      </c>
      <c r="E189" s="30" t="str">
        <f aca="false">IF(Counterparties!E189="","",Counterparties!E189)</f>
        <v/>
      </c>
      <c r="F189" s="53" t="n">
        <f aca="false">IF($A189="",0,SUMIFS(GL_Input!$U:$U,GL_Input!$F:$F,$A189,GL_Input!$X:$X,"G",GL_Input!$Y:$Y,1))</f>
        <v>0</v>
      </c>
      <c r="G189" s="53" t="n">
        <f aca="false">IF($A189="",0,SUMIFS(GL_Input!$U:$U,GL_Input!$F:$F,$A189,GL_Input!$X:$X,"G",GL_Input!$Y:$Y,2))</f>
        <v>0</v>
      </c>
      <c r="H189" s="53" t="n">
        <f aca="false">IF($A189="",0,SUMIFS(GL_Input!$U:$U,GL_Input!$F:$F,$A189,GL_Input!$X:$X,"G",GL_Input!$Y:$Y,3))</f>
        <v>0</v>
      </c>
      <c r="I189" s="53" t="n">
        <f aca="false">IF($A189="",0,SUMIFS(GL_Input!$U:$U,GL_Input!$F:$F,$A189,GL_Input!$X:$X,"T",GL_Input!$Y:$Y,1))</f>
        <v>0</v>
      </c>
      <c r="J189" s="53" t="n">
        <f aca="false">IF($A189="",0,SUMIFS(GL_Input!$U:$U,GL_Input!$F:$F,$A189,GL_Input!$X:$X,"T",GL_Input!$Y:$Y,2))</f>
        <v>0</v>
      </c>
      <c r="K189" s="53" t="n">
        <f aca="false">IF($A189="",0,SUMIFS(GL_Input!$U:$U,GL_Input!$F:$F,$A189,GL_Input!$X:$X,"T",GL_Input!$Y:$Y,3))</f>
        <v>0</v>
      </c>
      <c r="L189" s="53" t="n">
        <f aca="false">IF($A189="",0,SUMIFS(GL_Input!$U:$U,GL_Input!$F:$F,$A189,GL_Input!$X:$X,"S",GL_Input!$Y:$Y,1))</f>
        <v>0</v>
      </c>
      <c r="M189" s="53" t="n">
        <f aca="false">IF($A189="",0,SUMIFS(GL_Input!$U:$U,GL_Input!$F:$F,$A189,GL_Input!$X:$X,"S",GL_Input!$Y:$Y,2))</f>
        <v>0</v>
      </c>
      <c r="N189" s="53" t="n">
        <f aca="false">IF($A189="",0,SUMIFS(GL_Input!$U:$U,GL_Input!$F:$F,$A189,GL_Input!$X:$X,"S",GL_Input!$Y:$Y,3))</f>
        <v>0</v>
      </c>
      <c r="O189" s="54" t="n">
        <f aca="false">SUM(F189:N189)</f>
        <v>0</v>
      </c>
      <c r="P189" s="15" t="str">
        <f aca="false">IF(O189=0,"",IF($D189="","MISSING VAT NO.",IF(OR($C189="",$C189="CY",Counterparties!G189&lt;&gt;"EU"),"NOT AN EU CUSTOMER","OK")))</f>
        <v/>
      </c>
    </row>
    <row r="190" customFormat="false" ht="15" hidden="false" customHeight="false" outlineLevel="0" collapsed="false">
      <c r="A190" s="30" t="str">
        <f aca="false">IF(Counterparties!A190="","",Counterparties!A190)</f>
        <v/>
      </c>
      <c r="B190" s="30" t="str">
        <f aca="false">IF(Counterparties!B190="","",Counterparties!B190)</f>
        <v/>
      </c>
      <c r="C190" s="30" t="str">
        <f aca="false">IF(Counterparties!C190="","",Counterparties!C190)</f>
        <v/>
      </c>
      <c r="D190" s="30" t="str">
        <f aca="false">IF(Counterparties!D190="","",Counterparties!D190)</f>
        <v/>
      </c>
      <c r="E190" s="30" t="str">
        <f aca="false">IF(Counterparties!E190="","",Counterparties!E190)</f>
        <v/>
      </c>
      <c r="F190" s="53" t="n">
        <f aca="false">IF($A190="",0,SUMIFS(GL_Input!$U:$U,GL_Input!$F:$F,$A190,GL_Input!$X:$X,"G",GL_Input!$Y:$Y,1))</f>
        <v>0</v>
      </c>
      <c r="G190" s="53" t="n">
        <f aca="false">IF($A190="",0,SUMIFS(GL_Input!$U:$U,GL_Input!$F:$F,$A190,GL_Input!$X:$X,"G",GL_Input!$Y:$Y,2))</f>
        <v>0</v>
      </c>
      <c r="H190" s="53" t="n">
        <f aca="false">IF($A190="",0,SUMIFS(GL_Input!$U:$U,GL_Input!$F:$F,$A190,GL_Input!$X:$X,"G",GL_Input!$Y:$Y,3))</f>
        <v>0</v>
      </c>
      <c r="I190" s="53" t="n">
        <f aca="false">IF($A190="",0,SUMIFS(GL_Input!$U:$U,GL_Input!$F:$F,$A190,GL_Input!$X:$X,"T",GL_Input!$Y:$Y,1))</f>
        <v>0</v>
      </c>
      <c r="J190" s="53" t="n">
        <f aca="false">IF($A190="",0,SUMIFS(GL_Input!$U:$U,GL_Input!$F:$F,$A190,GL_Input!$X:$X,"T",GL_Input!$Y:$Y,2))</f>
        <v>0</v>
      </c>
      <c r="K190" s="53" t="n">
        <f aca="false">IF($A190="",0,SUMIFS(GL_Input!$U:$U,GL_Input!$F:$F,$A190,GL_Input!$X:$X,"T",GL_Input!$Y:$Y,3))</f>
        <v>0</v>
      </c>
      <c r="L190" s="53" t="n">
        <f aca="false">IF($A190="",0,SUMIFS(GL_Input!$U:$U,GL_Input!$F:$F,$A190,GL_Input!$X:$X,"S",GL_Input!$Y:$Y,1))</f>
        <v>0</v>
      </c>
      <c r="M190" s="53" t="n">
        <f aca="false">IF($A190="",0,SUMIFS(GL_Input!$U:$U,GL_Input!$F:$F,$A190,GL_Input!$X:$X,"S",GL_Input!$Y:$Y,2))</f>
        <v>0</v>
      </c>
      <c r="N190" s="53" t="n">
        <f aca="false">IF($A190="",0,SUMIFS(GL_Input!$U:$U,GL_Input!$F:$F,$A190,GL_Input!$X:$X,"S",GL_Input!$Y:$Y,3))</f>
        <v>0</v>
      </c>
      <c r="O190" s="54" t="n">
        <f aca="false">SUM(F190:N190)</f>
        <v>0</v>
      </c>
      <c r="P190" s="15" t="str">
        <f aca="false">IF(O190=0,"",IF($D190="","MISSING VAT NO.",IF(OR($C190="",$C190="CY",Counterparties!G190&lt;&gt;"EU"),"NOT AN EU CUSTOMER","OK")))</f>
        <v/>
      </c>
    </row>
    <row r="191" customFormat="false" ht="15" hidden="false" customHeight="false" outlineLevel="0" collapsed="false">
      <c r="A191" s="30" t="str">
        <f aca="false">IF(Counterparties!A191="","",Counterparties!A191)</f>
        <v/>
      </c>
      <c r="B191" s="30" t="str">
        <f aca="false">IF(Counterparties!B191="","",Counterparties!B191)</f>
        <v/>
      </c>
      <c r="C191" s="30" t="str">
        <f aca="false">IF(Counterparties!C191="","",Counterparties!C191)</f>
        <v/>
      </c>
      <c r="D191" s="30" t="str">
        <f aca="false">IF(Counterparties!D191="","",Counterparties!D191)</f>
        <v/>
      </c>
      <c r="E191" s="30" t="str">
        <f aca="false">IF(Counterparties!E191="","",Counterparties!E191)</f>
        <v/>
      </c>
      <c r="F191" s="53" t="n">
        <f aca="false">IF($A191="",0,SUMIFS(GL_Input!$U:$U,GL_Input!$F:$F,$A191,GL_Input!$X:$X,"G",GL_Input!$Y:$Y,1))</f>
        <v>0</v>
      </c>
      <c r="G191" s="53" t="n">
        <f aca="false">IF($A191="",0,SUMIFS(GL_Input!$U:$U,GL_Input!$F:$F,$A191,GL_Input!$X:$X,"G",GL_Input!$Y:$Y,2))</f>
        <v>0</v>
      </c>
      <c r="H191" s="53" t="n">
        <f aca="false">IF($A191="",0,SUMIFS(GL_Input!$U:$U,GL_Input!$F:$F,$A191,GL_Input!$X:$X,"G",GL_Input!$Y:$Y,3))</f>
        <v>0</v>
      </c>
      <c r="I191" s="53" t="n">
        <f aca="false">IF($A191="",0,SUMIFS(GL_Input!$U:$U,GL_Input!$F:$F,$A191,GL_Input!$X:$X,"T",GL_Input!$Y:$Y,1))</f>
        <v>0</v>
      </c>
      <c r="J191" s="53" t="n">
        <f aca="false">IF($A191="",0,SUMIFS(GL_Input!$U:$U,GL_Input!$F:$F,$A191,GL_Input!$X:$X,"T",GL_Input!$Y:$Y,2))</f>
        <v>0</v>
      </c>
      <c r="K191" s="53" t="n">
        <f aca="false">IF($A191="",0,SUMIFS(GL_Input!$U:$U,GL_Input!$F:$F,$A191,GL_Input!$X:$X,"T",GL_Input!$Y:$Y,3))</f>
        <v>0</v>
      </c>
      <c r="L191" s="53" t="n">
        <f aca="false">IF($A191="",0,SUMIFS(GL_Input!$U:$U,GL_Input!$F:$F,$A191,GL_Input!$X:$X,"S",GL_Input!$Y:$Y,1))</f>
        <v>0</v>
      </c>
      <c r="M191" s="53" t="n">
        <f aca="false">IF($A191="",0,SUMIFS(GL_Input!$U:$U,GL_Input!$F:$F,$A191,GL_Input!$X:$X,"S",GL_Input!$Y:$Y,2))</f>
        <v>0</v>
      </c>
      <c r="N191" s="53" t="n">
        <f aca="false">IF($A191="",0,SUMIFS(GL_Input!$U:$U,GL_Input!$F:$F,$A191,GL_Input!$X:$X,"S",GL_Input!$Y:$Y,3))</f>
        <v>0</v>
      </c>
      <c r="O191" s="54" t="n">
        <f aca="false">SUM(F191:N191)</f>
        <v>0</v>
      </c>
      <c r="P191" s="15" t="str">
        <f aca="false">IF(O191=0,"",IF($D191="","MISSING VAT NO.",IF(OR($C191="",$C191="CY",Counterparties!G191&lt;&gt;"EU"),"NOT AN EU CUSTOMER","OK")))</f>
        <v/>
      </c>
    </row>
    <row r="192" customFormat="false" ht="15" hidden="false" customHeight="false" outlineLevel="0" collapsed="false">
      <c r="A192" s="30" t="str">
        <f aca="false">IF(Counterparties!A192="","",Counterparties!A192)</f>
        <v/>
      </c>
      <c r="B192" s="30" t="str">
        <f aca="false">IF(Counterparties!B192="","",Counterparties!B192)</f>
        <v/>
      </c>
      <c r="C192" s="30" t="str">
        <f aca="false">IF(Counterparties!C192="","",Counterparties!C192)</f>
        <v/>
      </c>
      <c r="D192" s="30" t="str">
        <f aca="false">IF(Counterparties!D192="","",Counterparties!D192)</f>
        <v/>
      </c>
      <c r="E192" s="30" t="str">
        <f aca="false">IF(Counterparties!E192="","",Counterparties!E192)</f>
        <v/>
      </c>
      <c r="F192" s="53" t="n">
        <f aca="false">IF($A192="",0,SUMIFS(GL_Input!$U:$U,GL_Input!$F:$F,$A192,GL_Input!$X:$X,"G",GL_Input!$Y:$Y,1))</f>
        <v>0</v>
      </c>
      <c r="G192" s="53" t="n">
        <f aca="false">IF($A192="",0,SUMIFS(GL_Input!$U:$U,GL_Input!$F:$F,$A192,GL_Input!$X:$X,"G",GL_Input!$Y:$Y,2))</f>
        <v>0</v>
      </c>
      <c r="H192" s="53" t="n">
        <f aca="false">IF($A192="",0,SUMIFS(GL_Input!$U:$U,GL_Input!$F:$F,$A192,GL_Input!$X:$X,"G",GL_Input!$Y:$Y,3))</f>
        <v>0</v>
      </c>
      <c r="I192" s="53" t="n">
        <f aca="false">IF($A192="",0,SUMIFS(GL_Input!$U:$U,GL_Input!$F:$F,$A192,GL_Input!$X:$X,"T",GL_Input!$Y:$Y,1))</f>
        <v>0</v>
      </c>
      <c r="J192" s="53" t="n">
        <f aca="false">IF($A192="",0,SUMIFS(GL_Input!$U:$U,GL_Input!$F:$F,$A192,GL_Input!$X:$X,"T",GL_Input!$Y:$Y,2))</f>
        <v>0</v>
      </c>
      <c r="K192" s="53" t="n">
        <f aca="false">IF($A192="",0,SUMIFS(GL_Input!$U:$U,GL_Input!$F:$F,$A192,GL_Input!$X:$X,"T",GL_Input!$Y:$Y,3))</f>
        <v>0</v>
      </c>
      <c r="L192" s="53" t="n">
        <f aca="false">IF($A192="",0,SUMIFS(GL_Input!$U:$U,GL_Input!$F:$F,$A192,GL_Input!$X:$X,"S",GL_Input!$Y:$Y,1))</f>
        <v>0</v>
      </c>
      <c r="M192" s="53" t="n">
        <f aca="false">IF($A192="",0,SUMIFS(GL_Input!$U:$U,GL_Input!$F:$F,$A192,GL_Input!$X:$X,"S",GL_Input!$Y:$Y,2))</f>
        <v>0</v>
      </c>
      <c r="N192" s="53" t="n">
        <f aca="false">IF($A192="",0,SUMIFS(GL_Input!$U:$U,GL_Input!$F:$F,$A192,GL_Input!$X:$X,"S",GL_Input!$Y:$Y,3))</f>
        <v>0</v>
      </c>
      <c r="O192" s="54" t="n">
        <f aca="false">SUM(F192:N192)</f>
        <v>0</v>
      </c>
      <c r="P192" s="15" t="str">
        <f aca="false">IF(O192=0,"",IF($D192="","MISSING VAT NO.",IF(OR($C192="",$C192="CY",Counterparties!G192&lt;&gt;"EU"),"NOT AN EU CUSTOMER","OK")))</f>
        <v/>
      </c>
    </row>
    <row r="193" customFormat="false" ht="15" hidden="false" customHeight="false" outlineLevel="0" collapsed="false">
      <c r="A193" s="30" t="str">
        <f aca="false">IF(Counterparties!A193="","",Counterparties!A193)</f>
        <v/>
      </c>
      <c r="B193" s="30" t="str">
        <f aca="false">IF(Counterparties!B193="","",Counterparties!B193)</f>
        <v/>
      </c>
      <c r="C193" s="30" t="str">
        <f aca="false">IF(Counterparties!C193="","",Counterparties!C193)</f>
        <v/>
      </c>
      <c r="D193" s="30" t="str">
        <f aca="false">IF(Counterparties!D193="","",Counterparties!D193)</f>
        <v/>
      </c>
      <c r="E193" s="30" t="str">
        <f aca="false">IF(Counterparties!E193="","",Counterparties!E193)</f>
        <v/>
      </c>
      <c r="F193" s="53" t="n">
        <f aca="false">IF($A193="",0,SUMIFS(GL_Input!$U:$U,GL_Input!$F:$F,$A193,GL_Input!$X:$X,"G",GL_Input!$Y:$Y,1))</f>
        <v>0</v>
      </c>
      <c r="G193" s="53" t="n">
        <f aca="false">IF($A193="",0,SUMIFS(GL_Input!$U:$U,GL_Input!$F:$F,$A193,GL_Input!$X:$X,"G",GL_Input!$Y:$Y,2))</f>
        <v>0</v>
      </c>
      <c r="H193" s="53" t="n">
        <f aca="false">IF($A193="",0,SUMIFS(GL_Input!$U:$U,GL_Input!$F:$F,$A193,GL_Input!$X:$X,"G",GL_Input!$Y:$Y,3))</f>
        <v>0</v>
      </c>
      <c r="I193" s="53" t="n">
        <f aca="false">IF($A193="",0,SUMIFS(GL_Input!$U:$U,GL_Input!$F:$F,$A193,GL_Input!$X:$X,"T",GL_Input!$Y:$Y,1))</f>
        <v>0</v>
      </c>
      <c r="J193" s="53" t="n">
        <f aca="false">IF($A193="",0,SUMIFS(GL_Input!$U:$U,GL_Input!$F:$F,$A193,GL_Input!$X:$X,"T",GL_Input!$Y:$Y,2))</f>
        <v>0</v>
      </c>
      <c r="K193" s="53" t="n">
        <f aca="false">IF($A193="",0,SUMIFS(GL_Input!$U:$U,GL_Input!$F:$F,$A193,GL_Input!$X:$X,"T",GL_Input!$Y:$Y,3))</f>
        <v>0</v>
      </c>
      <c r="L193" s="53" t="n">
        <f aca="false">IF($A193="",0,SUMIFS(GL_Input!$U:$U,GL_Input!$F:$F,$A193,GL_Input!$X:$X,"S",GL_Input!$Y:$Y,1))</f>
        <v>0</v>
      </c>
      <c r="M193" s="53" t="n">
        <f aca="false">IF($A193="",0,SUMIFS(GL_Input!$U:$U,GL_Input!$F:$F,$A193,GL_Input!$X:$X,"S",GL_Input!$Y:$Y,2))</f>
        <v>0</v>
      </c>
      <c r="N193" s="53" t="n">
        <f aca="false">IF($A193="",0,SUMIFS(GL_Input!$U:$U,GL_Input!$F:$F,$A193,GL_Input!$X:$X,"S",GL_Input!$Y:$Y,3))</f>
        <v>0</v>
      </c>
      <c r="O193" s="54" t="n">
        <f aca="false">SUM(F193:N193)</f>
        <v>0</v>
      </c>
      <c r="P193" s="15" t="str">
        <f aca="false">IF(O193=0,"",IF($D193="","MISSING VAT NO.",IF(OR($C193="",$C193="CY",Counterparties!G193&lt;&gt;"EU"),"NOT AN EU CUSTOMER","OK")))</f>
        <v/>
      </c>
    </row>
    <row r="194" customFormat="false" ht="15" hidden="false" customHeight="false" outlineLevel="0" collapsed="false">
      <c r="A194" s="30" t="str">
        <f aca="false">IF(Counterparties!A194="","",Counterparties!A194)</f>
        <v/>
      </c>
      <c r="B194" s="30" t="str">
        <f aca="false">IF(Counterparties!B194="","",Counterparties!B194)</f>
        <v/>
      </c>
      <c r="C194" s="30" t="str">
        <f aca="false">IF(Counterparties!C194="","",Counterparties!C194)</f>
        <v/>
      </c>
      <c r="D194" s="30" t="str">
        <f aca="false">IF(Counterparties!D194="","",Counterparties!D194)</f>
        <v/>
      </c>
      <c r="E194" s="30" t="str">
        <f aca="false">IF(Counterparties!E194="","",Counterparties!E194)</f>
        <v/>
      </c>
      <c r="F194" s="53" t="n">
        <f aca="false">IF($A194="",0,SUMIFS(GL_Input!$U:$U,GL_Input!$F:$F,$A194,GL_Input!$X:$X,"G",GL_Input!$Y:$Y,1))</f>
        <v>0</v>
      </c>
      <c r="G194" s="53" t="n">
        <f aca="false">IF($A194="",0,SUMIFS(GL_Input!$U:$U,GL_Input!$F:$F,$A194,GL_Input!$X:$X,"G",GL_Input!$Y:$Y,2))</f>
        <v>0</v>
      </c>
      <c r="H194" s="53" t="n">
        <f aca="false">IF($A194="",0,SUMIFS(GL_Input!$U:$U,GL_Input!$F:$F,$A194,GL_Input!$X:$X,"G",GL_Input!$Y:$Y,3))</f>
        <v>0</v>
      </c>
      <c r="I194" s="53" t="n">
        <f aca="false">IF($A194="",0,SUMIFS(GL_Input!$U:$U,GL_Input!$F:$F,$A194,GL_Input!$X:$X,"T",GL_Input!$Y:$Y,1))</f>
        <v>0</v>
      </c>
      <c r="J194" s="53" t="n">
        <f aca="false">IF($A194="",0,SUMIFS(GL_Input!$U:$U,GL_Input!$F:$F,$A194,GL_Input!$X:$X,"T",GL_Input!$Y:$Y,2))</f>
        <v>0</v>
      </c>
      <c r="K194" s="53" t="n">
        <f aca="false">IF($A194="",0,SUMIFS(GL_Input!$U:$U,GL_Input!$F:$F,$A194,GL_Input!$X:$X,"T",GL_Input!$Y:$Y,3))</f>
        <v>0</v>
      </c>
      <c r="L194" s="53" t="n">
        <f aca="false">IF($A194="",0,SUMIFS(GL_Input!$U:$U,GL_Input!$F:$F,$A194,GL_Input!$X:$X,"S",GL_Input!$Y:$Y,1))</f>
        <v>0</v>
      </c>
      <c r="M194" s="53" t="n">
        <f aca="false">IF($A194="",0,SUMIFS(GL_Input!$U:$U,GL_Input!$F:$F,$A194,GL_Input!$X:$X,"S",GL_Input!$Y:$Y,2))</f>
        <v>0</v>
      </c>
      <c r="N194" s="53" t="n">
        <f aca="false">IF($A194="",0,SUMIFS(GL_Input!$U:$U,GL_Input!$F:$F,$A194,GL_Input!$X:$X,"S",GL_Input!$Y:$Y,3))</f>
        <v>0</v>
      </c>
      <c r="O194" s="54" t="n">
        <f aca="false">SUM(F194:N194)</f>
        <v>0</v>
      </c>
      <c r="P194" s="15" t="str">
        <f aca="false">IF(O194=0,"",IF($D194="","MISSING VAT NO.",IF(OR($C194="",$C194="CY",Counterparties!G194&lt;&gt;"EU"),"NOT AN EU CUSTOMER","OK")))</f>
        <v/>
      </c>
    </row>
    <row r="195" customFormat="false" ht="15" hidden="false" customHeight="false" outlineLevel="0" collapsed="false">
      <c r="A195" s="30" t="str">
        <f aca="false">IF(Counterparties!A195="","",Counterparties!A195)</f>
        <v/>
      </c>
      <c r="B195" s="30" t="str">
        <f aca="false">IF(Counterparties!B195="","",Counterparties!B195)</f>
        <v/>
      </c>
      <c r="C195" s="30" t="str">
        <f aca="false">IF(Counterparties!C195="","",Counterparties!C195)</f>
        <v/>
      </c>
      <c r="D195" s="30" t="str">
        <f aca="false">IF(Counterparties!D195="","",Counterparties!D195)</f>
        <v/>
      </c>
      <c r="E195" s="30" t="str">
        <f aca="false">IF(Counterparties!E195="","",Counterparties!E195)</f>
        <v/>
      </c>
      <c r="F195" s="53" t="n">
        <f aca="false">IF($A195="",0,SUMIFS(GL_Input!$U:$U,GL_Input!$F:$F,$A195,GL_Input!$X:$X,"G",GL_Input!$Y:$Y,1))</f>
        <v>0</v>
      </c>
      <c r="G195" s="53" t="n">
        <f aca="false">IF($A195="",0,SUMIFS(GL_Input!$U:$U,GL_Input!$F:$F,$A195,GL_Input!$X:$X,"G",GL_Input!$Y:$Y,2))</f>
        <v>0</v>
      </c>
      <c r="H195" s="53" t="n">
        <f aca="false">IF($A195="",0,SUMIFS(GL_Input!$U:$U,GL_Input!$F:$F,$A195,GL_Input!$X:$X,"G",GL_Input!$Y:$Y,3))</f>
        <v>0</v>
      </c>
      <c r="I195" s="53" t="n">
        <f aca="false">IF($A195="",0,SUMIFS(GL_Input!$U:$U,GL_Input!$F:$F,$A195,GL_Input!$X:$X,"T",GL_Input!$Y:$Y,1))</f>
        <v>0</v>
      </c>
      <c r="J195" s="53" t="n">
        <f aca="false">IF($A195="",0,SUMIFS(GL_Input!$U:$U,GL_Input!$F:$F,$A195,GL_Input!$X:$X,"T",GL_Input!$Y:$Y,2))</f>
        <v>0</v>
      </c>
      <c r="K195" s="53" t="n">
        <f aca="false">IF($A195="",0,SUMIFS(GL_Input!$U:$U,GL_Input!$F:$F,$A195,GL_Input!$X:$X,"T",GL_Input!$Y:$Y,3))</f>
        <v>0</v>
      </c>
      <c r="L195" s="53" t="n">
        <f aca="false">IF($A195="",0,SUMIFS(GL_Input!$U:$U,GL_Input!$F:$F,$A195,GL_Input!$X:$X,"S",GL_Input!$Y:$Y,1))</f>
        <v>0</v>
      </c>
      <c r="M195" s="53" t="n">
        <f aca="false">IF($A195="",0,SUMIFS(GL_Input!$U:$U,GL_Input!$F:$F,$A195,GL_Input!$X:$X,"S",GL_Input!$Y:$Y,2))</f>
        <v>0</v>
      </c>
      <c r="N195" s="53" t="n">
        <f aca="false">IF($A195="",0,SUMIFS(GL_Input!$U:$U,GL_Input!$F:$F,$A195,GL_Input!$X:$X,"S",GL_Input!$Y:$Y,3))</f>
        <v>0</v>
      </c>
      <c r="O195" s="54" t="n">
        <f aca="false">SUM(F195:N195)</f>
        <v>0</v>
      </c>
      <c r="P195" s="15" t="str">
        <f aca="false">IF(O195=0,"",IF($D195="","MISSING VAT NO.",IF(OR($C195="",$C195="CY",Counterparties!G195&lt;&gt;"EU"),"NOT AN EU CUSTOMER","OK")))</f>
        <v/>
      </c>
    </row>
    <row r="196" customFormat="false" ht="15" hidden="false" customHeight="false" outlineLevel="0" collapsed="false">
      <c r="A196" s="30" t="str">
        <f aca="false">IF(Counterparties!A196="","",Counterparties!A196)</f>
        <v/>
      </c>
      <c r="B196" s="30" t="str">
        <f aca="false">IF(Counterparties!B196="","",Counterparties!B196)</f>
        <v/>
      </c>
      <c r="C196" s="30" t="str">
        <f aca="false">IF(Counterparties!C196="","",Counterparties!C196)</f>
        <v/>
      </c>
      <c r="D196" s="30" t="str">
        <f aca="false">IF(Counterparties!D196="","",Counterparties!D196)</f>
        <v/>
      </c>
      <c r="E196" s="30" t="str">
        <f aca="false">IF(Counterparties!E196="","",Counterparties!E196)</f>
        <v/>
      </c>
      <c r="F196" s="53" t="n">
        <f aca="false">IF($A196="",0,SUMIFS(GL_Input!$U:$U,GL_Input!$F:$F,$A196,GL_Input!$X:$X,"G",GL_Input!$Y:$Y,1))</f>
        <v>0</v>
      </c>
      <c r="G196" s="53" t="n">
        <f aca="false">IF($A196="",0,SUMIFS(GL_Input!$U:$U,GL_Input!$F:$F,$A196,GL_Input!$X:$X,"G",GL_Input!$Y:$Y,2))</f>
        <v>0</v>
      </c>
      <c r="H196" s="53" t="n">
        <f aca="false">IF($A196="",0,SUMIFS(GL_Input!$U:$U,GL_Input!$F:$F,$A196,GL_Input!$X:$X,"G",GL_Input!$Y:$Y,3))</f>
        <v>0</v>
      </c>
      <c r="I196" s="53" t="n">
        <f aca="false">IF($A196="",0,SUMIFS(GL_Input!$U:$U,GL_Input!$F:$F,$A196,GL_Input!$X:$X,"T",GL_Input!$Y:$Y,1))</f>
        <v>0</v>
      </c>
      <c r="J196" s="53" t="n">
        <f aca="false">IF($A196="",0,SUMIFS(GL_Input!$U:$U,GL_Input!$F:$F,$A196,GL_Input!$X:$X,"T",GL_Input!$Y:$Y,2))</f>
        <v>0</v>
      </c>
      <c r="K196" s="53" t="n">
        <f aca="false">IF($A196="",0,SUMIFS(GL_Input!$U:$U,GL_Input!$F:$F,$A196,GL_Input!$X:$X,"T",GL_Input!$Y:$Y,3))</f>
        <v>0</v>
      </c>
      <c r="L196" s="53" t="n">
        <f aca="false">IF($A196="",0,SUMIFS(GL_Input!$U:$U,GL_Input!$F:$F,$A196,GL_Input!$X:$X,"S",GL_Input!$Y:$Y,1))</f>
        <v>0</v>
      </c>
      <c r="M196" s="53" t="n">
        <f aca="false">IF($A196="",0,SUMIFS(GL_Input!$U:$U,GL_Input!$F:$F,$A196,GL_Input!$X:$X,"S",GL_Input!$Y:$Y,2))</f>
        <v>0</v>
      </c>
      <c r="N196" s="53" t="n">
        <f aca="false">IF($A196="",0,SUMIFS(GL_Input!$U:$U,GL_Input!$F:$F,$A196,GL_Input!$X:$X,"S",GL_Input!$Y:$Y,3))</f>
        <v>0</v>
      </c>
      <c r="O196" s="54" t="n">
        <f aca="false">SUM(F196:N196)</f>
        <v>0</v>
      </c>
      <c r="P196" s="15" t="str">
        <f aca="false">IF(O196=0,"",IF($D196="","MISSING VAT NO.",IF(OR($C196="",$C196="CY",Counterparties!G196&lt;&gt;"EU"),"NOT AN EU CUSTOMER","OK")))</f>
        <v/>
      </c>
    </row>
    <row r="197" customFormat="false" ht="15" hidden="false" customHeight="false" outlineLevel="0" collapsed="false">
      <c r="A197" s="30" t="str">
        <f aca="false">IF(Counterparties!A197="","",Counterparties!A197)</f>
        <v/>
      </c>
      <c r="B197" s="30" t="str">
        <f aca="false">IF(Counterparties!B197="","",Counterparties!B197)</f>
        <v/>
      </c>
      <c r="C197" s="30" t="str">
        <f aca="false">IF(Counterparties!C197="","",Counterparties!C197)</f>
        <v/>
      </c>
      <c r="D197" s="30" t="str">
        <f aca="false">IF(Counterparties!D197="","",Counterparties!D197)</f>
        <v/>
      </c>
      <c r="E197" s="30" t="str">
        <f aca="false">IF(Counterparties!E197="","",Counterparties!E197)</f>
        <v/>
      </c>
      <c r="F197" s="53" t="n">
        <f aca="false">IF($A197="",0,SUMIFS(GL_Input!$U:$U,GL_Input!$F:$F,$A197,GL_Input!$X:$X,"G",GL_Input!$Y:$Y,1))</f>
        <v>0</v>
      </c>
      <c r="G197" s="53" t="n">
        <f aca="false">IF($A197="",0,SUMIFS(GL_Input!$U:$U,GL_Input!$F:$F,$A197,GL_Input!$X:$X,"G",GL_Input!$Y:$Y,2))</f>
        <v>0</v>
      </c>
      <c r="H197" s="53" t="n">
        <f aca="false">IF($A197="",0,SUMIFS(GL_Input!$U:$U,GL_Input!$F:$F,$A197,GL_Input!$X:$X,"G",GL_Input!$Y:$Y,3))</f>
        <v>0</v>
      </c>
      <c r="I197" s="53" t="n">
        <f aca="false">IF($A197="",0,SUMIFS(GL_Input!$U:$U,GL_Input!$F:$F,$A197,GL_Input!$X:$X,"T",GL_Input!$Y:$Y,1))</f>
        <v>0</v>
      </c>
      <c r="J197" s="53" t="n">
        <f aca="false">IF($A197="",0,SUMIFS(GL_Input!$U:$U,GL_Input!$F:$F,$A197,GL_Input!$X:$X,"T",GL_Input!$Y:$Y,2))</f>
        <v>0</v>
      </c>
      <c r="K197" s="53" t="n">
        <f aca="false">IF($A197="",0,SUMIFS(GL_Input!$U:$U,GL_Input!$F:$F,$A197,GL_Input!$X:$X,"T",GL_Input!$Y:$Y,3))</f>
        <v>0</v>
      </c>
      <c r="L197" s="53" t="n">
        <f aca="false">IF($A197="",0,SUMIFS(GL_Input!$U:$U,GL_Input!$F:$F,$A197,GL_Input!$X:$X,"S",GL_Input!$Y:$Y,1))</f>
        <v>0</v>
      </c>
      <c r="M197" s="53" t="n">
        <f aca="false">IF($A197="",0,SUMIFS(GL_Input!$U:$U,GL_Input!$F:$F,$A197,GL_Input!$X:$X,"S",GL_Input!$Y:$Y,2))</f>
        <v>0</v>
      </c>
      <c r="N197" s="53" t="n">
        <f aca="false">IF($A197="",0,SUMIFS(GL_Input!$U:$U,GL_Input!$F:$F,$A197,GL_Input!$X:$X,"S",GL_Input!$Y:$Y,3))</f>
        <v>0</v>
      </c>
      <c r="O197" s="54" t="n">
        <f aca="false">SUM(F197:N197)</f>
        <v>0</v>
      </c>
      <c r="P197" s="15" t="str">
        <f aca="false">IF(O197=0,"",IF($D197="","MISSING VAT NO.",IF(OR($C197="",$C197="CY",Counterparties!G197&lt;&gt;"EU"),"NOT AN EU CUSTOMER","OK")))</f>
        <v/>
      </c>
    </row>
    <row r="198" customFormat="false" ht="15" hidden="false" customHeight="false" outlineLevel="0" collapsed="false">
      <c r="A198" s="30" t="str">
        <f aca="false">IF(Counterparties!A198="","",Counterparties!A198)</f>
        <v/>
      </c>
      <c r="B198" s="30" t="str">
        <f aca="false">IF(Counterparties!B198="","",Counterparties!B198)</f>
        <v/>
      </c>
      <c r="C198" s="30" t="str">
        <f aca="false">IF(Counterparties!C198="","",Counterparties!C198)</f>
        <v/>
      </c>
      <c r="D198" s="30" t="str">
        <f aca="false">IF(Counterparties!D198="","",Counterparties!D198)</f>
        <v/>
      </c>
      <c r="E198" s="30" t="str">
        <f aca="false">IF(Counterparties!E198="","",Counterparties!E198)</f>
        <v/>
      </c>
      <c r="F198" s="53" t="n">
        <f aca="false">IF($A198="",0,SUMIFS(GL_Input!$U:$U,GL_Input!$F:$F,$A198,GL_Input!$X:$X,"G",GL_Input!$Y:$Y,1))</f>
        <v>0</v>
      </c>
      <c r="G198" s="53" t="n">
        <f aca="false">IF($A198="",0,SUMIFS(GL_Input!$U:$U,GL_Input!$F:$F,$A198,GL_Input!$X:$X,"G",GL_Input!$Y:$Y,2))</f>
        <v>0</v>
      </c>
      <c r="H198" s="53" t="n">
        <f aca="false">IF($A198="",0,SUMIFS(GL_Input!$U:$U,GL_Input!$F:$F,$A198,GL_Input!$X:$X,"G",GL_Input!$Y:$Y,3))</f>
        <v>0</v>
      </c>
      <c r="I198" s="53" t="n">
        <f aca="false">IF($A198="",0,SUMIFS(GL_Input!$U:$U,GL_Input!$F:$F,$A198,GL_Input!$X:$X,"T",GL_Input!$Y:$Y,1))</f>
        <v>0</v>
      </c>
      <c r="J198" s="53" t="n">
        <f aca="false">IF($A198="",0,SUMIFS(GL_Input!$U:$U,GL_Input!$F:$F,$A198,GL_Input!$X:$X,"T",GL_Input!$Y:$Y,2))</f>
        <v>0</v>
      </c>
      <c r="K198" s="53" t="n">
        <f aca="false">IF($A198="",0,SUMIFS(GL_Input!$U:$U,GL_Input!$F:$F,$A198,GL_Input!$X:$X,"T",GL_Input!$Y:$Y,3))</f>
        <v>0</v>
      </c>
      <c r="L198" s="53" t="n">
        <f aca="false">IF($A198="",0,SUMIFS(GL_Input!$U:$U,GL_Input!$F:$F,$A198,GL_Input!$X:$X,"S",GL_Input!$Y:$Y,1))</f>
        <v>0</v>
      </c>
      <c r="M198" s="53" t="n">
        <f aca="false">IF($A198="",0,SUMIFS(GL_Input!$U:$U,GL_Input!$F:$F,$A198,GL_Input!$X:$X,"S",GL_Input!$Y:$Y,2))</f>
        <v>0</v>
      </c>
      <c r="N198" s="53" t="n">
        <f aca="false">IF($A198="",0,SUMIFS(GL_Input!$U:$U,GL_Input!$F:$F,$A198,GL_Input!$X:$X,"S",GL_Input!$Y:$Y,3))</f>
        <v>0</v>
      </c>
      <c r="O198" s="54" t="n">
        <f aca="false">SUM(F198:N198)</f>
        <v>0</v>
      </c>
      <c r="P198" s="15" t="str">
        <f aca="false">IF(O198=0,"",IF($D198="","MISSING VAT NO.",IF(OR($C198="",$C198="CY",Counterparties!G198&lt;&gt;"EU"),"NOT AN EU CUSTOMER","OK")))</f>
        <v/>
      </c>
    </row>
    <row r="199" customFormat="false" ht="15" hidden="false" customHeight="false" outlineLevel="0" collapsed="false">
      <c r="A199" s="30" t="str">
        <f aca="false">IF(Counterparties!A199="","",Counterparties!A199)</f>
        <v/>
      </c>
      <c r="B199" s="30" t="str">
        <f aca="false">IF(Counterparties!B199="","",Counterparties!B199)</f>
        <v/>
      </c>
      <c r="C199" s="30" t="str">
        <f aca="false">IF(Counterparties!C199="","",Counterparties!C199)</f>
        <v/>
      </c>
      <c r="D199" s="30" t="str">
        <f aca="false">IF(Counterparties!D199="","",Counterparties!D199)</f>
        <v/>
      </c>
      <c r="E199" s="30" t="str">
        <f aca="false">IF(Counterparties!E199="","",Counterparties!E199)</f>
        <v/>
      </c>
      <c r="F199" s="53" t="n">
        <f aca="false">IF($A199="",0,SUMIFS(GL_Input!$U:$U,GL_Input!$F:$F,$A199,GL_Input!$X:$X,"G",GL_Input!$Y:$Y,1))</f>
        <v>0</v>
      </c>
      <c r="G199" s="53" t="n">
        <f aca="false">IF($A199="",0,SUMIFS(GL_Input!$U:$U,GL_Input!$F:$F,$A199,GL_Input!$X:$X,"G",GL_Input!$Y:$Y,2))</f>
        <v>0</v>
      </c>
      <c r="H199" s="53" t="n">
        <f aca="false">IF($A199="",0,SUMIFS(GL_Input!$U:$U,GL_Input!$F:$F,$A199,GL_Input!$X:$X,"G",GL_Input!$Y:$Y,3))</f>
        <v>0</v>
      </c>
      <c r="I199" s="53" t="n">
        <f aca="false">IF($A199="",0,SUMIFS(GL_Input!$U:$U,GL_Input!$F:$F,$A199,GL_Input!$X:$X,"T",GL_Input!$Y:$Y,1))</f>
        <v>0</v>
      </c>
      <c r="J199" s="53" t="n">
        <f aca="false">IF($A199="",0,SUMIFS(GL_Input!$U:$U,GL_Input!$F:$F,$A199,GL_Input!$X:$X,"T",GL_Input!$Y:$Y,2))</f>
        <v>0</v>
      </c>
      <c r="K199" s="53" t="n">
        <f aca="false">IF($A199="",0,SUMIFS(GL_Input!$U:$U,GL_Input!$F:$F,$A199,GL_Input!$X:$X,"T",GL_Input!$Y:$Y,3))</f>
        <v>0</v>
      </c>
      <c r="L199" s="53" t="n">
        <f aca="false">IF($A199="",0,SUMIFS(GL_Input!$U:$U,GL_Input!$F:$F,$A199,GL_Input!$X:$X,"S",GL_Input!$Y:$Y,1))</f>
        <v>0</v>
      </c>
      <c r="M199" s="53" t="n">
        <f aca="false">IF($A199="",0,SUMIFS(GL_Input!$U:$U,GL_Input!$F:$F,$A199,GL_Input!$X:$X,"S",GL_Input!$Y:$Y,2))</f>
        <v>0</v>
      </c>
      <c r="N199" s="53" t="n">
        <f aca="false">IF($A199="",0,SUMIFS(GL_Input!$U:$U,GL_Input!$F:$F,$A199,GL_Input!$X:$X,"S",GL_Input!$Y:$Y,3))</f>
        <v>0</v>
      </c>
      <c r="O199" s="54" t="n">
        <f aca="false">SUM(F199:N199)</f>
        <v>0</v>
      </c>
      <c r="P199" s="15" t="str">
        <f aca="false">IF(O199=0,"",IF($D199="","MISSING VAT NO.",IF(OR($C199="",$C199="CY",Counterparties!G199&lt;&gt;"EU"),"NOT AN EU CUSTOMER","OK")))</f>
        <v/>
      </c>
    </row>
    <row r="200" customFormat="false" ht="15" hidden="false" customHeight="false" outlineLevel="0" collapsed="false">
      <c r="A200" s="30" t="str">
        <f aca="false">IF(Counterparties!A200="","",Counterparties!A200)</f>
        <v/>
      </c>
      <c r="B200" s="30" t="str">
        <f aca="false">IF(Counterparties!B200="","",Counterparties!B200)</f>
        <v/>
      </c>
      <c r="C200" s="30" t="str">
        <f aca="false">IF(Counterparties!C200="","",Counterparties!C200)</f>
        <v/>
      </c>
      <c r="D200" s="30" t="str">
        <f aca="false">IF(Counterparties!D200="","",Counterparties!D200)</f>
        <v/>
      </c>
      <c r="E200" s="30" t="str">
        <f aca="false">IF(Counterparties!E200="","",Counterparties!E200)</f>
        <v/>
      </c>
      <c r="F200" s="53" t="n">
        <f aca="false">IF($A200="",0,SUMIFS(GL_Input!$U:$U,GL_Input!$F:$F,$A200,GL_Input!$X:$X,"G",GL_Input!$Y:$Y,1))</f>
        <v>0</v>
      </c>
      <c r="G200" s="53" t="n">
        <f aca="false">IF($A200="",0,SUMIFS(GL_Input!$U:$U,GL_Input!$F:$F,$A200,GL_Input!$X:$X,"G",GL_Input!$Y:$Y,2))</f>
        <v>0</v>
      </c>
      <c r="H200" s="53" t="n">
        <f aca="false">IF($A200="",0,SUMIFS(GL_Input!$U:$U,GL_Input!$F:$F,$A200,GL_Input!$X:$X,"G",GL_Input!$Y:$Y,3))</f>
        <v>0</v>
      </c>
      <c r="I200" s="53" t="n">
        <f aca="false">IF($A200="",0,SUMIFS(GL_Input!$U:$U,GL_Input!$F:$F,$A200,GL_Input!$X:$X,"T",GL_Input!$Y:$Y,1))</f>
        <v>0</v>
      </c>
      <c r="J200" s="53" t="n">
        <f aca="false">IF($A200="",0,SUMIFS(GL_Input!$U:$U,GL_Input!$F:$F,$A200,GL_Input!$X:$X,"T",GL_Input!$Y:$Y,2))</f>
        <v>0</v>
      </c>
      <c r="K200" s="53" t="n">
        <f aca="false">IF($A200="",0,SUMIFS(GL_Input!$U:$U,GL_Input!$F:$F,$A200,GL_Input!$X:$X,"T",GL_Input!$Y:$Y,3))</f>
        <v>0</v>
      </c>
      <c r="L200" s="53" t="n">
        <f aca="false">IF($A200="",0,SUMIFS(GL_Input!$U:$U,GL_Input!$F:$F,$A200,GL_Input!$X:$X,"S",GL_Input!$Y:$Y,1))</f>
        <v>0</v>
      </c>
      <c r="M200" s="53" t="n">
        <f aca="false">IF($A200="",0,SUMIFS(GL_Input!$U:$U,GL_Input!$F:$F,$A200,GL_Input!$X:$X,"S",GL_Input!$Y:$Y,2))</f>
        <v>0</v>
      </c>
      <c r="N200" s="53" t="n">
        <f aca="false">IF($A200="",0,SUMIFS(GL_Input!$U:$U,GL_Input!$F:$F,$A200,GL_Input!$X:$X,"S",GL_Input!$Y:$Y,3))</f>
        <v>0</v>
      </c>
      <c r="O200" s="54" t="n">
        <f aca="false">SUM(F200:N200)</f>
        <v>0</v>
      </c>
      <c r="P200" s="15" t="str">
        <f aca="false">IF(O200=0,"",IF($D200="","MISSING VAT NO.",IF(OR($C200="",$C200="CY",Counterparties!G200&lt;&gt;"EU"),"NOT AN EU CUSTOMER","OK")))</f>
        <v/>
      </c>
    </row>
    <row r="201" customFormat="false" ht="15" hidden="false" customHeight="false" outlineLevel="0" collapsed="false">
      <c r="A201" s="30" t="str">
        <f aca="false">IF(Counterparties!A201="","",Counterparties!A201)</f>
        <v/>
      </c>
      <c r="B201" s="30" t="str">
        <f aca="false">IF(Counterparties!B201="","",Counterparties!B201)</f>
        <v/>
      </c>
      <c r="C201" s="30" t="str">
        <f aca="false">IF(Counterparties!C201="","",Counterparties!C201)</f>
        <v/>
      </c>
      <c r="D201" s="30" t="str">
        <f aca="false">IF(Counterparties!D201="","",Counterparties!D201)</f>
        <v/>
      </c>
      <c r="E201" s="30" t="str">
        <f aca="false">IF(Counterparties!E201="","",Counterparties!E201)</f>
        <v/>
      </c>
      <c r="F201" s="53" t="n">
        <f aca="false">IF($A201="",0,SUMIFS(GL_Input!$U:$U,GL_Input!$F:$F,$A201,GL_Input!$X:$X,"G",GL_Input!$Y:$Y,1))</f>
        <v>0</v>
      </c>
      <c r="G201" s="53" t="n">
        <f aca="false">IF($A201="",0,SUMIFS(GL_Input!$U:$U,GL_Input!$F:$F,$A201,GL_Input!$X:$X,"G",GL_Input!$Y:$Y,2))</f>
        <v>0</v>
      </c>
      <c r="H201" s="53" t="n">
        <f aca="false">IF($A201="",0,SUMIFS(GL_Input!$U:$U,GL_Input!$F:$F,$A201,GL_Input!$X:$X,"G",GL_Input!$Y:$Y,3))</f>
        <v>0</v>
      </c>
      <c r="I201" s="53" t="n">
        <f aca="false">IF($A201="",0,SUMIFS(GL_Input!$U:$U,GL_Input!$F:$F,$A201,GL_Input!$X:$X,"T",GL_Input!$Y:$Y,1))</f>
        <v>0</v>
      </c>
      <c r="J201" s="53" t="n">
        <f aca="false">IF($A201="",0,SUMIFS(GL_Input!$U:$U,GL_Input!$F:$F,$A201,GL_Input!$X:$X,"T",GL_Input!$Y:$Y,2))</f>
        <v>0</v>
      </c>
      <c r="K201" s="53" t="n">
        <f aca="false">IF($A201="",0,SUMIFS(GL_Input!$U:$U,GL_Input!$F:$F,$A201,GL_Input!$X:$X,"T",GL_Input!$Y:$Y,3))</f>
        <v>0</v>
      </c>
      <c r="L201" s="53" t="n">
        <f aca="false">IF($A201="",0,SUMIFS(GL_Input!$U:$U,GL_Input!$F:$F,$A201,GL_Input!$X:$X,"S",GL_Input!$Y:$Y,1))</f>
        <v>0</v>
      </c>
      <c r="M201" s="53" t="n">
        <f aca="false">IF($A201="",0,SUMIFS(GL_Input!$U:$U,GL_Input!$F:$F,$A201,GL_Input!$X:$X,"S",GL_Input!$Y:$Y,2))</f>
        <v>0</v>
      </c>
      <c r="N201" s="53" t="n">
        <f aca="false">IF($A201="",0,SUMIFS(GL_Input!$U:$U,GL_Input!$F:$F,$A201,GL_Input!$X:$X,"S",GL_Input!$Y:$Y,3))</f>
        <v>0</v>
      </c>
      <c r="O201" s="54" t="n">
        <f aca="false">SUM(F201:N201)</f>
        <v>0</v>
      </c>
      <c r="P201" s="15" t="str">
        <f aca="false">IF(O201=0,"",IF($D201="","MISSING VAT NO.",IF(OR($C201="",$C201="CY",Counterparties!G201&lt;&gt;"EU"),"NOT AN EU CUSTOMER","OK")))</f>
        <v/>
      </c>
    </row>
    <row r="202" customFormat="false" ht="15" hidden="false" customHeight="false" outlineLevel="0" collapsed="false">
      <c r="A202" s="30" t="str">
        <f aca="false">IF(Counterparties!A202="","",Counterparties!A202)</f>
        <v/>
      </c>
      <c r="B202" s="30" t="str">
        <f aca="false">IF(Counterparties!B202="","",Counterparties!B202)</f>
        <v/>
      </c>
      <c r="C202" s="30" t="str">
        <f aca="false">IF(Counterparties!C202="","",Counterparties!C202)</f>
        <v/>
      </c>
      <c r="D202" s="30" t="str">
        <f aca="false">IF(Counterparties!D202="","",Counterparties!D202)</f>
        <v/>
      </c>
      <c r="E202" s="30" t="str">
        <f aca="false">IF(Counterparties!E202="","",Counterparties!E202)</f>
        <v/>
      </c>
      <c r="F202" s="53" t="n">
        <f aca="false">IF($A202="",0,SUMIFS(GL_Input!$U:$U,GL_Input!$F:$F,$A202,GL_Input!$X:$X,"G",GL_Input!$Y:$Y,1))</f>
        <v>0</v>
      </c>
      <c r="G202" s="53" t="n">
        <f aca="false">IF($A202="",0,SUMIFS(GL_Input!$U:$U,GL_Input!$F:$F,$A202,GL_Input!$X:$X,"G",GL_Input!$Y:$Y,2))</f>
        <v>0</v>
      </c>
      <c r="H202" s="53" t="n">
        <f aca="false">IF($A202="",0,SUMIFS(GL_Input!$U:$U,GL_Input!$F:$F,$A202,GL_Input!$X:$X,"G",GL_Input!$Y:$Y,3))</f>
        <v>0</v>
      </c>
      <c r="I202" s="53" t="n">
        <f aca="false">IF($A202="",0,SUMIFS(GL_Input!$U:$U,GL_Input!$F:$F,$A202,GL_Input!$X:$X,"T",GL_Input!$Y:$Y,1))</f>
        <v>0</v>
      </c>
      <c r="J202" s="53" t="n">
        <f aca="false">IF($A202="",0,SUMIFS(GL_Input!$U:$U,GL_Input!$F:$F,$A202,GL_Input!$X:$X,"T",GL_Input!$Y:$Y,2))</f>
        <v>0</v>
      </c>
      <c r="K202" s="53" t="n">
        <f aca="false">IF($A202="",0,SUMIFS(GL_Input!$U:$U,GL_Input!$F:$F,$A202,GL_Input!$X:$X,"T",GL_Input!$Y:$Y,3))</f>
        <v>0</v>
      </c>
      <c r="L202" s="53" t="n">
        <f aca="false">IF($A202="",0,SUMIFS(GL_Input!$U:$U,GL_Input!$F:$F,$A202,GL_Input!$X:$X,"S",GL_Input!$Y:$Y,1))</f>
        <v>0</v>
      </c>
      <c r="M202" s="53" t="n">
        <f aca="false">IF($A202="",0,SUMIFS(GL_Input!$U:$U,GL_Input!$F:$F,$A202,GL_Input!$X:$X,"S",GL_Input!$Y:$Y,2))</f>
        <v>0</v>
      </c>
      <c r="N202" s="53" t="n">
        <f aca="false">IF($A202="",0,SUMIFS(GL_Input!$U:$U,GL_Input!$F:$F,$A202,GL_Input!$X:$X,"S",GL_Input!$Y:$Y,3))</f>
        <v>0</v>
      </c>
      <c r="O202" s="54" t="n">
        <f aca="false">SUM(F202:N202)</f>
        <v>0</v>
      </c>
      <c r="P202" s="15" t="str">
        <f aca="false">IF(O202=0,"",IF($D202="","MISSING VAT NO.",IF(OR($C202="",$C202="CY",Counterparties!G202&lt;&gt;"EU"),"NOT AN EU CUSTOMER","OK")))</f>
        <v/>
      </c>
    </row>
    <row r="203" customFormat="false" ht="15" hidden="false" customHeight="false" outlineLevel="0" collapsed="false">
      <c r="A203" s="30" t="str">
        <f aca="false">IF(Counterparties!A203="","",Counterparties!A203)</f>
        <v/>
      </c>
      <c r="B203" s="30" t="str">
        <f aca="false">IF(Counterparties!B203="","",Counterparties!B203)</f>
        <v/>
      </c>
      <c r="C203" s="30" t="str">
        <f aca="false">IF(Counterparties!C203="","",Counterparties!C203)</f>
        <v/>
      </c>
      <c r="D203" s="30" t="str">
        <f aca="false">IF(Counterparties!D203="","",Counterparties!D203)</f>
        <v/>
      </c>
      <c r="E203" s="30" t="str">
        <f aca="false">IF(Counterparties!E203="","",Counterparties!E203)</f>
        <v/>
      </c>
      <c r="F203" s="53" t="n">
        <f aca="false">IF($A203="",0,SUMIFS(GL_Input!$U:$U,GL_Input!$F:$F,$A203,GL_Input!$X:$X,"G",GL_Input!$Y:$Y,1))</f>
        <v>0</v>
      </c>
      <c r="G203" s="53" t="n">
        <f aca="false">IF($A203="",0,SUMIFS(GL_Input!$U:$U,GL_Input!$F:$F,$A203,GL_Input!$X:$X,"G",GL_Input!$Y:$Y,2))</f>
        <v>0</v>
      </c>
      <c r="H203" s="53" t="n">
        <f aca="false">IF($A203="",0,SUMIFS(GL_Input!$U:$U,GL_Input!$F:$F,$A203,GL_Input!$X:$X,"G",GL_Input!$Y:$Y,3))</f>
        <v>0</v>
      </c>
      <c r="I203" s="53" t="n">
        <f aca="false">IF($A203="",0,SUMIFS(GL_Input!$U:$U,GL_Input!$F:$F,$A203,GL_Input!$X:$X,"T",GL_Input!$Y:$Y,1))</f>
        <v>0</v>
      </c>
      <c r="J203" s="53" t="n">
        <f aca="false">IF($A203="",0,SUMIFS(GL_Input!$U:$U,GL_Input!$F:$F,$A203,GL_Input!$X:$X,"T",GL_Input!$Y:$Y,2))</f>
        <v>0</v>
      </c>
      <c r="K203" s="53" t="n">
        <f aca="false">IF($A203="",0,SUMIFS(GL_Input!$U:$U,GL_Input!$F:$F,$A203,GL_Input!$X:$X,"T",GL_Input!$Y:$Y,3))</f>
        <v>0</v>
      </c>
      <c r="L203" s="53" t="n">
        <f aca="false">IF($A203="",0,SUMIFS(GL_Input!$U:$U,GL_Input!$F:$F,$A203,GL_Input!$X:$X,"S",GL_Input!$Y:$Y,1))</f>
        <v>0</v>
      </c>
      <c r="M203" s="53" t="n">
        <f aca="false">IF($A203="",0,SUMIFS(GL_Input!$U:$U,GL_Input!$F:$F,$A203,GL_Input!$X:$X,"S",GL_Input!$Y:$Y,2))</f>
        <v>0</v>
      </c>
      <c r="N203" s="53" t="n">
        <f aca="false">IF($A203="",0,SUMIFS(GL_Input!$U:$U,GL_Input!$F:$F,$A203,GL_Input!$X:$X,"S",GL_Input!$Y:$Y,3))</f>
        <v>0</v>
      </c>
      <c r="O203" s="54" t="n">
        <f aca="false">SUM(F203:N203)</f>
        <v>0</v>
      </c>
      <c r="P203" s="15" t="str">
        <f aca="false">IF(O203=0,"",IF($D203="","MISSING VAT NO.",IF(OR($C203="",$C203="CY",Counterparties!G203&lt;&gt;"EU"),"NOT AN EU CUSTOMER","OK")))</f>
        <v/>
      </c>
    </row>
    <row r="204" customFormat="false" ht="15" hidden="false" customHeight="false" outlineLevel="0" collapsed="false">
      <c r="A204" s="30" t="str">
        <f aca="false">IF(Counterparties!A204="","",Counterparties!A204)</f>
        <v/>
      </c>
      <c r="B204" s="30" t="str">
        <f aca="false">IF(Counterparties!B204="","",Counterparties!B204)</f>
        <v/>
      </c>
      <c r="C204" s="30" t="str">
        <f aca="false">IF(Counterparties!C204="","",Counterparties!C204)</f>
        <v/>
      </c>
      <c r="D204" s="30" t="str">
        <f aca="false">IF(Counterparties!D204="","",Counterparties!D204)</f>
        <v/>
      </c>
      <c r="E204" s="30" t="str">
        <f aca="false">IF(Counterparties!E204="","",Counterparties!E204)</f>
        <v/>
      </c>
      <c r="F204" s="53" t="n">
        <f aca="false">IF($A204="",0,SUMIFS(GL_Input!$U:$U,GL_Input!$F:$F,$A204,GL_Input!$X:$X,"G",GL_Input!$Y:$Y,1))</f>
        <v>0</v>
      </c>
      <c r="G204" s="53" t="n">
        <f aca="false">IF($A204="",0,SUMIFS(GL_Input!$U:$U,GL_Input!$F:$F,$A204,GL_Input!$X:$X,"G",GL_Input!$Y:$Y,2))</f>
        <v>0</v>
      </c>
      <c r="H204" s="53" t="n">
        <f aca="false">IF($A204="",0,SUMIFS(GL_Input!$U:$U,GL_Input!$F:$F,$A204,GL_Input!$X:$X,"G",GL_Input!$Y:$Y,3))</f>
        <v>0</v>
      </c>
      <c r="I204" s="53" t="n">
        <f aca="false">IF($A204="",0,SUMIFS(GL_Input!$U:$U,GL_Input!$F:$F,$A204,GL_Input!$X:$X,"T",GL_Input!$Y:$Y,1))</f>
        <v>0</v>
      </c>
      <c r="J204" s="53" t="n">
        <f aca="false">IF($A204="",0,SUMIFS(GL_Input!$U:$U,GL_Input!$F:$F,$A204,GL_Input!$X:$X,"T",GL_Input!$Y:$Y,2))</f>
        <v>0</v>
      </c>
      <c r="K204" s="53" t="n">
        <f aca="false">IF($A204="",0,SUMIFS(GL_Input!$U:$U,GL_Input!$F:$F,$A204,GL_Input!$X:$X,"T",GL_Input!$Y:$Y,3))</f>
        <v>0</v>
      </c>
      <c r="L204" s="53" t="n">
        <f aca="false">IF($A204="",0,SUMIFS(GL_Input!$U:$U,GL_Input!$F:$F,$A204,GL_Input!$X:$X,"S",GL_Input!$Y:$Y,1))</f>
        <v>0</v>
      </c>
      <c r="M204" s="53" t="n">
        <f aca="false">IF($A204="",0,SUMIFS(GL_Input!$U:$U,GL_Input!$F:$F,$A204,GL_Input!$X:$X,"S",GL_Input!$Y:$Y,2))</f>
        <v>0</v>
      </c>
      <c r="N204" s="53" t="n">
        <f aca="false">IF($A204="",0,SUMIFS(GL_Input!$U:$U,GL_Input!$F:$F,$A204,GL_Input!$X:$X,"S",GL_Input!$Y:$Y,3))</f>
        <v>0</v>
      </c>
      <c r="O204" s="54" t="n">
        <f aca="false">SUM(F204:N204)</f>
        <v>0</v>
      </c>
      <c r="P204" s="15" t="str">
        <f aca="false">IF(O204=0,"",IF($D204="","MISSING VAT NO.",IF(OR($C204="",$C204="CY",Counterparties!G204&lt;&gt;"EU"),"NOT AN EU CUSTOMER","OK")))</f>
        <v/>
      </c>
    </row>
    <row r="205" customFormat="false" ht="15" hidden="false" customHeight="false" outlineLevel="0" collapsed="false">
      <c r="A205" s="30" t="str">
        <f aca="false">IF(Counterparties!A205="","",Counterparties!A205)</f>
        <v/>
      </c>
      <c r="B205" s="30" t="str">
        <f aca="false">IF(Counterparties!B205="","",Counterparties!B205)</f>
        <v/>
      </c>
      <c r="C205" s="30" t="str">
        <f aca="false">IF(Counterparties!C205="","",Counterparties!C205)</f>
        <v/>
      </c>
      <c r="D205" s="30" t="str">
        <f aca="false">IF(Counterparties!D205="","",Counterparties!D205)</f>
        <v/>
      </c>
      <c r="E205" s="30" t="str">
        <f aca="false">IF(Counterparties!E205="","",Counterparties!E205)</f>
        <v/>
      </c>
      <c r="F205" s="53" t="n">
        <f aca="false">IF($A205="",0,SUMIFS(GL_Input!$U:$U,GL_Input!$F:$F,$A205,GL_Input!$X:$X,"G",GL_Input!$Y:$Y,1))</f>
        <v>0</v>
      </c>
      <c r="G205" s="53" t="n">
        <f aca="false">IF($A205="",0,SUMIFS(GL_Input!$U:$U,GL_Input!$F:$F,$A205,GL_Input!$X:$X,"G",GL_Input!$Y:$Y,2))</f>
        <v>0</v>
      </c>
      <c r="H205" s="53" t="n">
        <f aca="false">IF($A205="",0,SUMIFS(GL_Input!$U:$U,GL_Input!$F:$F,$A205,GL_Input!$X:$X,"G",GL_Input!$Y:$Y,3))</f>
        <v>0</v>
      </c>
      <c r="I205" s="53" t="n">
        <f aca="false">IF($A205="",0,SUMIFS(GL_Input!$U:$U,GL_Input!$F:$F,$A205,GL_Input!$X:$X,"T",GL_Input!$Y:$Y,1))</f>
        <v>0</v>
      </c>
      <c r="J205" s="53" t="n">
        <f aca="false">IF($A205="",0,SUMIFS(GL_Input!$U:$U,GL_Input!$F:$F,$A205,GL_Input!$X:$X,"T",GL_Input!$Y:$Y,2))</f>
        <v>0</v>
      </c>
      <c r="K205" s="53" t="n">
        <f aca="false">IF($A205="",0,SUMIFS(GL_Input!$U:$U,GL_Input!$F:$F,$A205,GL_Input!$X:$X,"T",GL_Input!$Y:$Y,3))</f>
        <v>0</v>
      </c>
      <c r="L205" s="53" t="n">
        <f aca="false">IF($A205="",0,SUMIFS(GL_Input!$U:$U,GL_Input!$F:$F,$A205,GL_Input!$X:$X,"S",GL_Input!$Y:$Y,1))</f>
        <v>0</v>
      </c>
      <c r="M205" s="53" t="n">
        <f aca="false">IF($A205="",0,SUMIFS(GL_Input!$U:$U,GL_Input!$F:$F,$A205,GL_Input!$X:$X,"S",GL_Input!$Y:$Y,2))</f>
        <v>0</v>
      </c>
      <c r="N205" s="53" t="n">
        <f aca="false">IF($A205="",0,SUMIFS(GL_Input!$U:$U,GL_Input!$F:$F,$A205,GL_Input!$X:$X,"S",GL_Input!$Y:$Y,3))</f>
        <v>0</v>
      </c>
      <c r="O205" s="54" t="n">
        <f aca="false">SUM(F205:N205)</f>
        <v>0</v>
      </c>
      <c r="P205" s="15" t="str">
        <f aca="false">IF(O205=0,"",IF($D205="","MISSING VAT NO.",IF(OR($C205="",$C205="CY",Counterparties!G205&lt;&gt;"EU"),"NOT AN EU CUSTOMER","OK")))</f>
        <v/>
      </c>
    </row>
    <row r="206" customFormat="false" ht="15" hidden="false" customHeight="false" outlineLevel="0" collapsed="false">
      <c r="A206" s="30" t="str">
        <f aca="false">IF(Counterparties!A206="","",Counterparties!A206)</f>
        <v/>
      </c>
      <c r="B206" s="30" t="str">
        <f aca="false">IF(Counterparties!B206="","",Counterparties!B206)</f>
        <v/>
      </c>
      <c r="C206" s="30" t="str">
        <f aca="false">IF(Counterparties!C206="","",Counterparties!C206)</f>
        <v/>
      </c>
      <c r="D206" s="30" t="str">
        <f aca="false">IF(Counterparties!D206="","",Counterparties!D206)</f>
        <v/>
      </c>
      <c r="E206" s="30" t="str">
        <f aca="false">IF(Counterparties!E206="","",Counterparties!E206)</f>
        <v/>
      </c>
      <c r="F206" s="53" t="n">
        <f aca="false">IF($A206="",0,SUMIFS(GL_Input!$U:$U,GL_Input!$F:$F,$A206,GL_Input!$X:$X,"G",GL_Input!$Y:$Y,1))</f>
        <v>0</v>
      </c>
      <c r="G206" s="53" t="n">
        <f aca="false">IF($A206="",0,SUMIFS(GL_Input!$U:$U,GL_Input!$F:$F,$A206,GL_Input!$X:$X,"G",GL_Input!$Y:$Y,2))</f>
        <v>0</v>
      </c>
      <c r="H206" s="53" t="n">
        <f aca="false">IF($A206="",0,SUMIFS(GL_Input!$U:$U,GL_Input!$F:$F,$A206,GL_Input!$X:$X,"G",GL_Input!$Y:$Y,3))</f>
        <v>0</v>
      </c>
      <c r="I206" s="53" t="n">
        <f aca="false">IF($A206="",0,SUMIFS(GL_Input!$U:$U,GL_Input!$F:$F,$A206,GL_Input!$X:$X,"T",GL_Input!$Y:$Y,1))</f>
        <v>0</v>
      </c>
      <c r="J206" s="53" t="n">
        <f aca="false">IF($A206="",0,SUMIFS(GL_Input!$U:$U,GL_Input!$F:$F,$A206,GL_Input!$X:$X,"T",GL_Input!$Y:$Y,2))</f>
        <v>0</v>
      </c>
      <c r="K206" s="53" t="n">
        <f aca="false">IF($A206="",0,SUMIFS(GL_Input!$U:$U,GL_Input!$F:$F,$A206,GL_Input!$X:$X,"T",GL_Input!$Y:$Y,3))</f>
        <v>0</v>
      </c>
      <c r="L206" s="53" t="n">
        <f aca="false">IF($A206="",0,SUMIFS(GL_Input!$U:$U,GL_Input!$F:$F,$A206,GL_Input!$X:$X,"S",GL_Input!$Y:$Y,1))</f>
        <v>0</v>
      </c>
      <c r="M206" s="53" t="n">
        <f aca="false">IF($A206="",0,SUMIFS(GL_Input!$U:$U,GL_Input!$F:$F,$A206,GL_Input!$X:$X,"S",GL_Input!$Y:$Y,2))</f>
        <v>0</v>
      </c>
      <c r="N206" s="53" t="n">
        <f aca="false">IF($A206="",0,SUMIFS(GL_Input!$U:$U,GL_Input!$F:$F,$A206,GL_Input!$X:$X,"S",GL_Input!$Y:$Y,3))</f>
        <v>0</v>
      </c>
      <c r="O206" s="54" t="n">
        <f aca="false">SUM(F206:N206)</f>
        <v>0</v>
      </c>
      <c r="P206" s="15" t="str">
        <f aca="false">IF(O206=0,"",IF($D206="","MISSING VAT NO.",IF(OR($C206="",$C206="CY",Counterparties!G206&lt;&gt;"EU"),"NOT AN EU CUSTOMER","OK")))</f>
        <v/>
      </c>
    </row>
    <row r="207" customFormat="false" ht="15" hidden="false" customHeight="false" outlineLevel="0" collapsed="false">
      <c r="A207" s="30" t="str">
        <f aca="false">IF(Counterparties!A207="","",Counterparties!A207)</f>
        <v/>
      </c>
      <c r="B207" s="30" t="str">
        <f aca="false">IF(Counterparties!B207="","",Counterparties!B207)</f>
        <v/>
      </c>
      <c r="C207" s="30" t="str">
        <f aca="false">IF(Counterparties!C207="","",Counterparties!C207)</f>
        <v/>
      </c>
      <c r="D207" s="30" t="str">
        <f aca="false">IF(Counterparties!D207="","",Counterparties!D207)</f>
        <v/>
      </c>
      <c r="E207" s="30" t="str">
        <f aca="false">IF(Counterparties!E207="","",Counterparties!E207)</f>
        <v/>
      </c>
      <c r="F207" s="53" t="n">
        <f aca="false">IF($A207="",0,SUMIFS(GL_Input!$U:$U,GL_Input!$F:$F,$A207,GL_Input!$X:$X,"G",GL_Input!$Y:$Y,1))</f>
        <v>0</v>
      </c>
      <c r="G207" s="53" t="n">
        <f aca="false">IF($A207="",0,SUMIFS(GL_Input!$U:$U,GL_Input!$F:$F,$A207,GL_Input!$X:$X,"G",GL_Input!$Y:$Y,2))</f>
        <v>0</v>
      </c>
      <c r="H207" s="53" t="n">
        <f aca="false">IF($A207="",0,SUMIFS(GL_Input!$U:$U,GL_Input!$F:$F,$A207,GL_Input!$X:$X,"G",GL_Input!$Y:$Y,3))</f>
        <v>0</v>
      </c>
      <c r="I207" s="53" t="n">
        <f aca="false">IF($A207="",0,SUMIFS(GL_Input!$U:$U,GL_Input!$F:$F,$A207,GL_Input!$X:$X,"T",GL_Input!$Y:$Y,1))</f>
        <v>0</v>
      </c>
      <c r="J207" s="53" t="n">
        <f aca="false">IF($A207="",0,SUMIFS(GL_Input!$U:$U,GL_Input!$F:$F,$A207,GL_Input!$X:$X,"T",GL_Input!$Y:$Y,2))</f>
        <v>0</v>
      </c>
      <c r="K207" s="53" t="n">
        <f aca="false">IF($A207="",0,SUMIFS(GL_Input!$U:$U,GL_Input!$F:$F,$A207,GL_Input!$X:$X,"T",GL_Input!$Y:$Y,3))</f>
        <v>0</v>
      </c>
      <c r="L207" s="53" t="n">
        <f aca="false">IF($A207="",0,SUMIFS(GL_Input!$U:$U,GL_Input!$F:$F,$A207,GL_Input!$X:$X,"S",GL_Input!$Y:$Y,1))</f>
        <v>0</v>
      </c>
      <c r="M207" s="53" t="n">
        <f aca="false">IF($A207="",0,SUMIFS(GL_Input!$U:$U,GL_Input!$F:$F,$A207,GL_Input!$X:$X,"S",GL_Input!$Y:$Y,2))</f>
        <v>0</v>
      </c>
      <c r="N207" s="53" t="n">
        <f aca="false">IF($A207="",0,SUMIFS(GL_Input!$U:$U,GL_Input!$F:$F,$A207,GL_Input!$X:$X,"S",GL_Input!$Y:$Y,3))</f>
        <v>0</v>
      </c>
      <c r="O207" s="54" t="n">
        <f aca="false">SUM(F207:N207)</f>
        <v>0</v>
      </c>
      <c r="P207" s="15" t="str">
        <f aca="false">IF(O207=0,"",IF($D207="","MISSING VAT NO.",IF(OR($C207="",$C207="CY",Counterparties!G207&lt;&gt;"EU"),"NOT AN EU CUSTOMER","OK")))</f>
        <v/>
      </c>
    </row>
    <row r="208" customFormat="false" ht="15" hidden="false" customHeight="false" outlineLevel="0" collapsed="false">
      <c r="A208" s="30" t="str">
        <f aca="false">IF(Counterparties!A208="","",Counterparties!A208)</f>
        <v/>
      </c>
      <c r="B208" s="30" t="str">
        <f aca="false">IF(Counterparties!B208="","",Counterparties!B208)</f>
        <v/>
      </c>
      <c r="C208" s="30" t="str">
        <f aca="false">IF(Counterparties!C208="","",Counterparties!C208)</f>
        <v/>
      </c>
      <c r="D208" s="30" t="str">
        <f aca="false">IF(Counterparties!D208="","",Counterparties!D208)</f>
        <v/>
      </c>
      <c r="E208" s="30" t="str">
        <f aca="false">IF(Counterparties!E208="","",Counterparties!E208)</f>
        <v/>
      </c>
      <c r="F208" s="53" t="n">
        <f aca="false">IF($A208="",0,SUMIFS(GL_Input!$U:$U,GL_Input!$F:$F,$A208,GL_Input!$X:$X,"G",GL_Input!$Y:$Y,1))</f>
        <v>0</v>
      </c>
      <c r="G208" s="53" t="n">
        <f aca="false">IF($A208="",0,SUMIFS(GL_Input!$U:$U,GL_Input!$F:$F,$A208,GL_Input!$X:$X,"G",GL_Input!$Y:$Y,2))</f>
        <v>0</v>
      </c>
      <c r="H208" s="53" t="n">
        <f aca="false">IF($A208="",0,SUMIFS(GL_Input!$U:$U,GL_Input!$F:$F,$A208,GL_Input!$X:$X,"G",GL_Input!$Y:$Y,3))</f>
        <v>0</v>
      </c>
      <c r="I208" s="53" t="n">
        <f aca="false">IF($A208="",0,SUMIFS(GL_Input!$U:$U,GL_Input!$F:$F,$A208,GL_Input!$X:$X,"T",GL_Input!$Y:$Y,1))</f>
        <v>0</v>
      </c>
      <c r="J208" s="53" t="n">
        <f aca="false">IF($A208="",0,SUMIFS(GL_Input!$U:$U,GL_Input!$F:$F,$A208,GL_Input!$X:$X,"T",GL_Input!$Y:$Y,2))</f>
        <v>0</v>
      </c>
      <c r="K208" s="53" t="n">
        <f aca="false">IF($A208="",0,SUMIFS(GL_Input!$U:$U,GL_Input!$F:$F,$A208,GL_Input!$X:$X,"T",GL_Input!$Y:$Y,3))</f>
        <v>0</v>
      </c>
      <c r="L208" s="53" t="n">
        <f aca="false">IF($A208="",0,SUMIFS(GL_Input!$U:$U,GL_Input!$F:$F,$A208,GL_Input!$X:$X,"S",GL_Input!$Y:$Y,1))</f>
        <v>0</v>
      </c>
      <c r="M208" s="53" t="n">
        <f aca="false">IF($A208="",0,SUMIFS(GL_Input!$U:$U,GL_Input!$F:$F,$A208,GL_Input!$X:$X,"S",GL_Input!$Y:$Y,2))</f>
        <v>0</v>
      </c>
      <c r="N208" s="53" t="n">
        <f aca="false">IF($A208="",0,SUMIFS(GL_Input!$U:$U,GL_Input!$F:$F,$A208,GL_Input!$X:$X,"S",GL_Input!$Y:$Y,3))</f>
        <v>0</v>
      </c>
      <c r="O208" s="54" t="n">
        <f aca="false">SUM(F208:N208)</f>
        <v>0</v>
      </c>
      <c r="P208" s="15" t="str">
        <f aca="false">IF(O208=0,"",IF($D208="","MISSING VAT NO.",IF(OR($C208="",$C208="CY",Counterparties!G208&lt;&gt;"EU"),"NOT AN EU CUSTOMER","OK")))</f>
        <v/>
      </c>
    </row>
    <row r="209" customFormat="false" ht="15" hidden="false" customHeight="false" outlineLevel="0" collapsed="false">
      <c r="A209" s="30" t="str">
        <f aca="false">IF(Counterparties!A209="","",Counterparties!A209)</f>
        <v/>
      </c>
      <c r="B209" s="30" t="str">
        <f aca="false">IF(Counterparties!B209="","",Counterparties!B209)</f>
        <v/>
      </c>
      <c r="C209" s="30" t="str">
        <f aca="false">IF(Counterparties!C209="","",Counterparties!C209)</f>
        <v/>
      </c>
      <c r="D209" s="30" t="str">
        <f aca="false">IF(Counterparties!D209="","",Counterparties!D209)</f>
        <v/>
      </c>
      <c r="E209" s="30" t="str">
        <f aca="false">IF(Counterparties!E209="","",Counterparties!E209)</f>
        <v/>
      </c>
      <c r="F209" s="53" t="n">
        <f aca="false">IF($A209="",0,SUMIFS(GL_Input!$U:$U,GL_Input!$F:$F,$A209,GL_Input!$X:$X,"G",GL_Input!$Y:$Y,1))</f>
        <v>0</v>
      </c>
      <c r="G209" s="53" t="n">
        <f aca="false">IF($A209="",0,SUMIFS(GL_Input!$U:$U,GL_Input!$F:$F,$A209,GL_Input!$X:$X,"G",GL_Input!$Y:$Y,2))</f>
        <v>0</v>
      </c>
      <c r="H209" s="53" t="n">
        <f aca="false">IF($A209="",0,SUMIFS(GL_Input!$U:$U,GL_Input!$F:$F,$A209,GL_Input!$X:$X,"G",GL_Input!$Y:$Y,3))</f>
        <v>0</v>
      </c>
      <c r="I209" s="53" t="n">
        <f aca="false">IF($A209="",0,SUMIFS(GL_Input!$U:$U,GL_Input!$F:$F,$A209,GL_Input!$X:$X,"T",GL_Input!$Y:$Y,1))</f>
        <v>0</v>
      </c>
      <c r="J209" s="53" t="n">
        <f aca="false">IF($A209="",0,SUMIFS(GL_Input!$U:$U,GL_Input!$F:$F,$A209,GL_Input!$X:$X,"T",GL_Input!$Y:$Y,2))</f>
        <v>0</v>
      </c>
      <c r="K209" s="53" t="n">
        <f aca="false">IF($A209="",0,SUMIFS(GL_Input!$U:$U,GL_Input!$F:$F,$A209,GL_Input!$X:$X,"T",GL_Input!$Y:$Y,3))</f>
        <v>0</v>
      </c>
      <c r="L209" s="53" t="n">
        <f aca="false">IF($A209="",0,SUMIFS(GL_Input!$U:$U,GL_Input!$F:$F,$A209,GL_Input!$X:$X,"S",GL_Input!$Y:$Y,1))</f>
        <v>0</v>
      </c>
      <c r="M209" s="53" t="n">
        <f aca="false">IF($A209="",0,SUMIFS(GL_Input!$U:$U,GL_Input!$F:$F,$A209,GL_Input!$X:$X,"S",GL_Input!$Y:$Y,2))</f>
        <v>0</v>
      </c>
      <c r="N209" s="53" t="n">
        <f aca="false">IF($A209="",0,SUMIFS(GL_Input!$U:$U,GL_Input!$F:$F,$A209,GL_Input!$X:$X,"S",GL_Input!$Y:$Y,3))</f>
        <v>0</v>
      </c>
      <c r="O209" s="54" t="n">
        <f aca="false">SUM(F209:N209)</f>
        <v>0</v>
      </c>
      <c r="P209" s="15" t="str">
        <f aca="false">IF(O209=0,"",IF($D209="","MISSING VAT NO.",IF(OR($C209="",$C209="CY",Counterparties!G209&lt;&gt;"EU"),"NOT AN EU CUSTOMER","OK")))</f>
        <v/>
      </c>
    </row>
    <row r="210" customFormat="false" ht="15" hidden="false" customHeight="false" outlineLevel="0" collapsed="false">
      <c r="A210" s="30" t="str">
        <f aca="false">IF(Counterparties!A210="","",Counterparties!A210)</f>
        <v/>
      </c>
      <c r="B210" s="30" t="str">
        <f aca="false">IF(Counterparties!B210="","",Counterparties!B210)</f>
        <v/>
      </c>
      <c r="C210" s="30" t="str">
        <f aca="false">IF(Counterparties!C210="","",Counterparties!C210)</f>
        <v/>
      </c>
      <c r="D210" s="30" t="str">
        <f aca="false">IF(Counterparties!D210="","",Counterparties!D210)</f>
        <v/>
      </c>
      <c r="E210" s="30" t="str">
        <f aca="false">IF(Counterparties!E210="","",Counterparties!E210)</f>
        <v/>
      </c>
      <c r="F210" s="53" t="n">
        <f aca="false">IF($A210="",0,SUMIFS(GL_Input!$U:$U,GL_Input!$F:$F,$A210,GL_Input!$X:$X,"G",GL_Input!$Y:$Y,1))</f>
        <v>0</v>
      </c>
      <c r="G210" s="53" t="n">
        <f aca="false">IF($A210="",0,SUMIFS(GL_Input!$U:$U,GL_Input!$F:$F,$A210,GL_Input!$X:$X,"G",GL_Input!$Y:$Y,2))</f>
        <v>0</v>
      </c>
      <c r="H210" s="53" t="n">
        <f aca="false">IF($A210="",0,SUMIFS(GL_Input!$U:$U,GL_Input!$F:$F,$A210,GL_Input!$X:$X,"G",GL_Input!$Y:$Y,3))</f>
        <v>0</v>
      </c>
      <c r="I210" s="53" t="n">
        <f aca="false">IF($A210="",0,SUMIFS(GL_Input!$U:$U,GL_Input!$F:$F,$A210,GL_Input!$X:$X,"T",GL_Input!$Y:$Y,1))</f>
        <v>0</v>
      </c>
      <c r="J210" s="53" t="n">
        <f aca="false">IF($A210="",0,SUMIFS(GL_Input!$U:$U,GL_Input!$F:$F,$A210,GL_Input!$X:$X,"T",GL_Input!$Y:$Y,2))</f>
        <v>0</v>
      </c>
      <c r="K210" s="53" t="n">
        <f aca="false">IF($A210="",0,SUMIFS(GL_Input!$U:$U,GL_Input!$F:$F,$A210,GL_Input!$X:$X,"T",GL_Input!$Y:$Y,3))</f>
        <v>0</v>
      </c>
      <c r="L210" s="53" t="n">
        <f aca="false">IF($A210="",0,SUMIFS(GL_Input!$U:$U,GL_Input!$F:$F,$A210,GL_Input!$X:$X,"S",GL_Input!$Y:$Y,1))</f>
        <v>0</v>
      </c>
      <c r="M210" s="53" t="n">
        <f aca="false">IF($A210="",0,SUMIFS(GL_Input!$U:$U,GL_Input!$F:$F,$A210,GL_Input!$X:$X,"S",GL_Input!$Y:$Y,2))</f>
        <v>0</v>
      </c>
      <c r="N210" s="53" t="n">
        <f aca="false">IF($A210="",0,SUMIFS(GL_Input!$U:$U,GL_Input!$F:$F,$A210,GL_Input!$X:$X,"S",GL_Input!$Y:$Y,3))</f>
        <v>0</v>
      </c>
      <c r="O210" s="54" t="n">
        <f aca="false">SUM(F210:N210)</f>
        <v>0</v>
      </c>
      <c r="P210" s="15" t="str">
        <f aca="false">IF(O210=0,"",IF($D210="","MISSING VAT NO.",IF(OR($C210="",$C210="CY",Counterparties!G210&lt;&gt;"EU"),"NOT AN EU CUSTOMER","OK")))</f>
        <v/>
      </c>
    </row>
    <row r="211" customFormat="false" ht="15" hidden="false" customHeight="false" outlineLevel="0" collapsed="false">
      <c r="A211" s="30" t="str">
        <f aca="false">IF(Counterparties!A211="","",Counterparties!A211)</f>
        <v/>
      </c>
      <c r="B211" s="30" t="str">
        <f aca="false">IF(Counterparties!B211="","",Counterparties!B211)</f>
        <v/>
      </c>
      <c r="C211" s="30" t="str">
        <f aca="false">IF(Counterparties!C211="","",Counterparties!C211)</f>
        <v/>
      </c>
      <c r="D211" s="30" t="str">
        <f aca="false">IF(Counterparties!D211="","",Counterparties!D211)</f>
        <v/>
      </c>
      <c r="E211" s="30" t="str">
        <f aca="false">IF(Counterparties!E211="","",Counterparties!E211)</f>
        <v/>
      </c>
      <c r="F211" s="53" t="n">
        <f aca="false">IF($A211="",0,SUMIFS(GL_Input!$U:$U,GL_Input!$F:$F,$A211,GL_Input!$X:$X,"G",GL_Input!$Y:$Y,1))</f>
        <v>0</v>
      </c>
      <c r="G211" s="53" t="n">
        <f aca="false">IF($A211="",0,SUMIFS(GL_Input!$U:$U,GL_Input!$F:$F,$A211,GL_Input!$X:$X,"G",GL_Input!$Y:$Y,2))</f>
        <v>0</v>
      </c>
      <c r="H211" s="53" t="n">
        <f aca="false">IF($A211="",0,SUMIFS(GL_Input!$U:$U,GL_Input!$F:$F,$A211,GL_Input!$X:$X,"G",GL_Input!$Y:$Y,3))</f>
        <v>0</v>
      </c>
      <c r="I211" s="53" t="n">
        <f aca="false">IF($A211="",0,SUMIFS(GL_Input!$U:$U,GL_Input!$F:$F,$A211,GL_Input!$X:$X,"T",GL_Input!$Y:$Y,1))</f>
        <v>0</v>
      </c>
      <c r="J211" s="53" t="n">
        <f aca="false">IF($A211="",0,SUMIFS(GL_Input!$U:$U,GL_Input!$F:$F,$A211,GL_Input!$X:$X,"T",GL_Input!$Y:$Y,2))</f>
        <v>0</v>
      </c>
      <c r="K211" s="53" t="n">
        <f aca="false">IF($A211="",0,SUMIFS(GL_Input!$U:$U,GL_Input!$F:$F,$A211,GL_Input!$X:$X,"T",GL_Input!$Y:$Y,3))</f>
        <v>0</v>
      </c>
      <c r="L211" s="53" t="n">
        <f aca="false">IF($A211="",0,SUMIFS(GL_Input!$U:$U,GL_Input!$F:$F,$A211,GL_Input!$X:$X,"S",GL_Input!$Y:$Y,1))</f>
        <v>0</v>
      </c>
      <c r="M211" s="53" t="n">
        <f aca="false">IF($A211="",0,SUMIFS(GL_Input!$U:$U,GL_Input!$F:$F,$A211,GL_Input!$X:$X,"S",GL_Input!$Y:$Y,2))</f>
        <v>0</v>
      </c>
      <c r="N211" s="53" t="n">
        <f aca="false">IF($A211="",0,SUMIFS(GL_Input!$U:$U,GL_Input!$F:$F,$A211,GL_Input!$X:$X,"S",GL_Input!$Y:$Y,3))</f>
        <v>0</v>
      </c>
      <c r="O211" s="54" t="n">
        <f aca="false">SUM(F211:N211)</f>
        <v>0</v>
      </c>
      <c r="P211" s="15" t="str">
        <f aca="false">IF(O211=0,"",IF($D211="","MISSING VAT NO.",IF(OR($C211="",$C211="CY",Counterparties!G211&lt;&gt;"EU"),"NOT AN EU CUSTOMER","OK")))</f>
        <v/>
      </c>
    </row>
    <row r="212" customFormat="false" ht="15" hidden="false" customHeight="false" outlineLevel="0" collapsed="false">
      <c r="A212" s="30" t="str">
        <f aca="false">IF(Counterparties!A212="","",Counterparties!A212)</f>
        <v/>
      </c>
      <c r="B212" s="30" t="str">
        <f aca="false">IF(Counterparties!B212="","",Counterparties!B212)</f>
        <v/>
      </c>
      <c r="C212" s="30" t="str">
        <f aca="false">IF(Counterparties!C212="","",Counterparties!C212)</f>
        <v/>
      </c>
      <c r="D212" s="30" t="str">
        <f aca="false">IF(Counterparties!D212="","",Counterparties!D212)</f>
        <v/>
      </c>
      <c r="E212" s="30" t="str">
        <f aca="false">IF(Counterparties!E212="","",Counterparties!E212)</f>
        <v/>
      </c>
      <c r="F212" s="53" t="n">
        <f aca="false">IF($A212="",0,SUMIFS(GL_Input!$U:$U,GL_Input!$F:$F,$A212,GL_Input!$X:$X,"G",GL_Input!$Y:$Y,1))</f>
        <v>0</v>
      </c>
      <c r="G212" s="53" t="n">
        <f aca="false">IF($A212="",0,SUMIFS(GL_Input!$U:$U,GL_Input!$F:$F,$A212,GL_Input!$X:$X,"G",GL_Input!$Y:$Y,2))</f>
        <v>0</v>
      </c>
      <c r="H212" s="53" t="n">
        <f aca="false">IF($A212="",0,SUMIFS(GL_Input!$U:$U,GL_Input!$F:$F,$A212,GL_Input!$X:$X,"G",GL_Input!$Y:$Y,3))</f>
        <v>0</v>
      </c>
      <c r="I212" s="53" t="n">
        <f aca="false">IF($A212="",0,SUMIFS(GL_Input!$U:$U,GL_Input!$F:$F,$A212,GL_Input!$X:$X,"T",GL_Input!$Y:$Y,1))</f>
        <v>0</v>
      </c>
      <c r="J212" s="53" t="n">
        <f aca="false">IF($A212="",0,SUMIFS(GL_Input!$U:$U,GL_Input!$F:$F,$A212,GL_Input!$X:$X,"T",GL_Input!$Y:$Y,2))</f>
        <v>0</v>
      </c>
      <c r="K212" s="53" t="n">
        <f aca="false">IF($A212="",0,SUMIFS(GL_Input!$U:$U,GL_Input!$F:$F,$A212,GL_Input!$X:$X,"T",GL_Input!$Y:$Y,3))</f>
        <v>0</v>
      </c>
      <c r="L212" s="53" t="n">
        <f aca="false">IF($A212="",0,SUMIFS(GL_Input!$U:$U,GL_Input!$F:$F,$A212,GL_Input!$X:$X,"S",GL_Input!$Y:$Y,1))</f>
        <v>0</v>
      </c>
      <c r="M212" s="53" t="n">
        <f aca="false">IF($A212="",0,SUMIFS(GL_Input!$U:$U,GL_Input!$F:$F,$A212,GL_Input!$X:$X,"S",GL_Input!$Y:$Y,2))</f>
        <v>0</v>
      </c>
      <c r="N212" s="53" t="n">
        <f aca="false">IF($A212="",0,SUMIFS(GL_Input!$U:$U,GL_Input!$F:$F,$A212,GL_Input!$X:$X,"S",GL_Input!$Y:$Y,3))</f>
        <v>0</v>
      </c>
      <c r="O212" s="54" t="n">
        <f aca="false">SUM(F212:N212)</f>
        <v>0</v>
      </c>
      <c r="P212" s="15" t="str">
        <f aca="false">IF(O212=0,"",IF($D212="","MISSING VAT NO.",IF(OR($C212="",$C212="CY",Counterparties!G212&lt;&gt;"EU"),"NOT AN EU CUSTOMER","OK")))</f>
        <v/>
      </c>
    </row>
    <row r="213" customFormat="false" ht="15" hidden="false" customHeight="false" outlineLevel="0" collapsed="false">
      <c r="A213" s="30" t="str">
        <f aca="false">IF(Counterparties!A213="","",Counterparties!A213)</f>
        <v/>
      </c>
      <c r="B213" s="30" t="str">
        <f aca="false">IF(Counterparties!B213="","",Counterparties!B213)</f>
        <v/>
      </c>
      <c r="C213" s="30" t="str">
        <f aca="false">IF(Counterparties!C213="","",Counterparties!C213)</f>
        <v/>
      </c>
      <c r="D213" s="30" t="str">
        <f aca="false">IF(Counterparties!D213="","",Counterparties!D213)</f>
        <v/>
      </c>
      <c r="E213" s="30" t="str">
        <f aca="false">IF(Counterparties!E213="","",Counterparties!E213)</f>
        <v/>
      </c>
      <c r="F213" s="53" t="n">
        <f aca="false">IF($A213="",0,SUMIFS(GL_Input!$U:$U,GL_Input!$F:$F,$A213,GL_Input!$X:$X,"G",GL_Input!$Y:$Y,1))</f>
        <v>0</v>
      </c>
      <c r="G213" s="53" t="n">
        <f aca="false">IF($A213="",0,SUMIFS(GL_Input!$U:$U,GL_Input!$F:$F,$A213,GL_Input!$X:$X,"G",GL_Input!$Y:$Y,2))</f>
        <v>0</v>
      </c>
      <c r="H213" s="53" t="n">
        <f aca="false">IF($A213="",0,SUMIFS(GL_Input!$U:$U,GL_Input!$F:$F,$A213,GL_Input!$X:$X,"G",GL_Input!$Y:$Y,3))</f>
        <v>0</v>
      </c>
      <c r="I213" s="53" t="n">
        <f aca="false">IF($A213="",0,SUMIFS(GL_Input!$U:$U,GL_Input!$F:$F,$A213,GL_Input!$X:$X,"T",GL_Input!$Y:$Y,1))</f>
        <v>0</v>
      </c>
      <c r="J213" s="53" t="n">
        <f aca="false">IF($A213="",0,SUMIFS(GL_Input!$U:$U,GL_Input!$F:$F,$A213,GL_Input!$X:$X,"T",GL_Input!$Y:$Y,2))</f>
        <v>0</v>
      </c>
      <c r="K213" s="53" t="n">
        <f aca="false">IF($A213="",0,SUMIFS(GL_Input!$U:$U,GL_Input!$F:$F,$A213,GL_Input!$X:$X,"T",GL_Input!$Y:$Y,3))</f>
        <v>0</v>
      </c>
      <c r="L213" s="53" t="n">
        <f aca="false">IF($A213="",0,SUMIFS(GL_Input!$U:$U,GL_Input!$F:$F,$A213,GL_Input!$X:$X,"S",GL_Input!$Y:$Y,1))</f>
        <v>0</v>
      </c>
      <c r="M213" s="53" t="n">
        <f aca="false">IF($A213="",0,SUMIFS(GL_Input!$U:$U,GL_Input!$F:$F,$A213,GL_Input!$X:$X,"S",GL_Input!$Y:$Y,2))</f>
        <v>0</v>
      </c>
      <c r="N213" s="53" t="n">
        <f aca="false">IF($A213="",0,SUMIFS(GL_Input!$U:$U,GL_Input!$F:$F,$A213,GL_Input!$X:$X,"S",GL_Input!$Y:$Y,3))</f>
        <v>0</v>
      </c>
      <c r="O213" s="54" t="n">
        <f aca="false">SUM(F213:N213)</f>
        <v>0</v>
      </c>
      <c r="P213" s="15" t="str">
        <f aca="false">IF(O213=0,"",IF($D213="","MISSING VAT NO.",IF(OR($C213="",$C213="CY",Counterparties!G213&lt;&gt;"EU"),"NOT AN EU CUSTOMER","OK")))</f>
        <v/>
      </c>
    </row>
    <row r="214" customFormat="false" ht="15" hidden="false" customHeight="false" outlineLevel="0" collapsed="false">
      <c r="A214" s="30" t="str">
        <f aca="false">IF(Counterparties!A214="","",Counterparties!A214)</f>
        <v/>
      </c>
      <c r="B214" s="30" t="str">
        <f aca="false">IF(Counterparties!B214="","",Counterparties!B214)</f>
        <v/>
      </c>
      <c r="C214" s="30" t="str">
        <f aca="false">IF(Counterparties!C214="","",Counterparties!C214)</f>
        <v/>
      </c>
      <c r="D214" s="30" t="str">
        <f aca="false">IF(Counterparties!D214="","",Counterparties!D214)</f>
        <v/>
      </c>
      <c r="E214" s="30" t="str">
        <f aca="false">IF(Counterparties!E214="","",Counterparties!E214)</f>
        <v/>
      </c>
      <c r="F214" s="53" t="n">
        <f aca="false">IF($A214="",0,SUMIFS(GL_Input!$U:$U,GL_Input!$F:$F,$A214,GL_Input!$X:$X,"G",GL_Input!$Y:$Y,1))</f>
        <v>0</v>
      </c>
      <c r="G214" s="53" t="n">
        <f aca="false">IF($A214="",0,SUMIFS(GL_Input!$U:$U,GL_Input!$F:$F,$A214,GL_Input!$X:$X,"G",GL_Input!$Y:$Y,2))</f>
        <v>0</v>
      </c>
      <c r="H214" s="53" t="n">
        <f aca="false">IF($A214="",0,SUMIFS(GL_Input!$U:$U,GL_Input!$F:$F,$A214,GL_Input!$X:$X,"G",GL_Input!$Y:$Y,3))</f>
        <v>0</v>
      </c>
      <c r="I214" s="53" t="n">
        <f aca="false">IF($A214="",0,SUMIFS(GL_Input!$U:$U,GL_Input!$F:$F,$A214,GL_Input!$X:$X,"T",GL_Input!$Y:$Y,1))</f>
        <v>0</v>
      </c>
      <c r="J214" s="53" t="n">
        <f aca="false">IF($A214="",0,SUMIFS(GL_Input!$U:$U,GL_Input!$F:$F,$A214,GL_Input!$X:$X,"T",GL_Input!$Y:$Y,2))</f>
        <v>0</v>
      </c>
      <c r="K214" s="53" t="n">
        <f aca="false">IF($A214="",0,SUMIFS(GL_Input!$U:$U,GL_Input!$F:$F,$A214,GL_Input!$X:$X,"T",GL_Input!$Y:$Y,3))</f>
        <v>0</v>
      </c>
      <c r="L214" s="53" t="n">
        <f aca="false">IF($A214="",0,SUMIFS(GL_Input!$U:$U,GL_Input!$F:$F,$A214,GL_Input!$X:$X,"S",GL_Input!$Y:$Y,1))</f>
        <v>0</v>
      </c>
      <c r="M214" s="53" t="n">
        <f aca="false">IF($A214="",0,SUMIFS(GL_Input!$U:$U,GL_Input!$F:$F,$A214,GL_Input!$X:$X,"S",GL_Input!$Y:$Y,2))</f>
        <v>0</v>
      </c>
      <c r="N214" s="53" t="n">
        <f aca="false">IF($A214="",0,SUMIFS(GL_Input!$U:$U,GL_Input!$F:$F,$A214,GL_Input!$X:$X,"S",GL_Input!$Y:$Y,3))</f>
        <v>0</v>
      </c>
      <c r="O214" s="54" t="n">
        <f aca="false">SUM(F214:N214)</f>
        <v>0</v>
      </c>
      <c r="P214" s="15" t="str">
        <f aca="false">IF(O214=0,"",IF($D214="","MISSING VAT NO.",IF(OR($C214="",$C214="CY",Counterparties!G214&lt;&gt;"EU"),"NOT AN EU CUSTOMER","OK")))</f>
        <v/>
      </c>
    </row>
    <row r="215" customFormat="false" ht="15" hidden="false" customHeight="false" outlineLevel="0" collapsed="false">
      <c r="A215" s="30" t="str">
        <f aca="false">IF(Counterparties!A215="","",Counterparties!A215)</f>
        <v/>
      </c>
      <c r="B215" s="30" t="str">
        <f aca="false">IF(Counterparties!B215="","",Counterparties!B215)</f>
        <v/>
      </c>
      <c r="C215" s="30" t="str">
        <f aca="false">IF(Counterparties!C215="","",Counterparties!C215)</f>
        <v/>
      </c>
      <c r="D215" s="30" t="str">
        <f aca="false">IF(Counterparties!D215="","",Counterparties!D215)</f>
        <v/>
      </c>
      <c r="E215" s="30" t="str">
        <f aca="false">IF(Counterparties!E215="","",Counterparties!E215)</f>
        <v/>
      </c>
      <c r="F215" s="53" t="n">
        <f aca="false">IF($A215="",0,SUMIFS(GL_Input!$U:$U,GL_Input!$F:$F,$A215,GL_Input!$X:$X,"G",GL_Input!$Y:$Y,1))</f>
        <v>0</v>
      </c>
      <c r="G215" s="53" t="n">
        <f aca="false">IF($A215="",0,SUMIFS(GL_Input!$U:$U,GL_Input!$F:$F,$A215,GL_Input!$X:$X,"G",GL_Input!$Y:$Y,2))</f>
        <v>0</v>
      </c>
      <c r="H215" s="53" t="n">
        <f aca="false">IF($A215="",0,SUMIFS(GL_Input!$U:$U,GL_Input!$F:$F,$A215,GL_Input!$X:$X,"G",GL_Input!$Y:$Y,3))</f>
        <v>0</v>
      </c>
      <c r="I215" s="53" t="n">
        <f aca="false">IF($A215="",0,SUMIFS(GL_Input!$U:$U,GL_Input!$F:$F,$A215,GL_Input!$X:$X,"T",GL_Input!$Y:$Y,1))</f>
        <v>0</v>
      </c>
      <c r="J215" s="53" t="n">
        <f aca="false">IF($A215="",0,SUMIFS(GL_Input!$U:$U,GL_Input!$F:$F,$A215,GL_Input!$X:$X,"T",GL_Input!$Y:$Y,2))</f>
        <v>0</v>
      </c>
      <c r="K215" s="53" t="n">
        <f aca="false">IF($A215="",0,SUMIFS(GL_Input!$U:$U,GL_Input!$F:$F,$A215,GL_Input!$X:$X,"T",GL_Input!$Y:$Y,3))</f>
        <v>0</v>
      </c>
      <c r="L215" s="53" t="n">
        <f aca="false">IF($A215="",0,SUMIFS(GL_Input!$U:$U,GL_Input!$F:$F,$A215,GL_Input!$X:$X,"S",GL_Input!$Y:$Y,1))</f>
        <v>0</v>
      </c>
      <c r="M215" s="53" t="n">
        <f aca="false">IF($A215="",0,SUMIFS(GL_Input!$U:$U,GL_Input!$F:$F,$A215,GL_Input!$X:$X,"S",GL_Input!$Y:$Y,2))</f>
        <v>0</v>
      </c>
      <c r="N215" s="53" t="n">
        <f aca="false">IF($A215="",0,SUMIFS(GL_Input!$U:$U,GL_Input!$F:$F,$A215,GL_Input!$X:$X,"S",GL_Input!$Y:$Y,3))</f>
        <v>0</v>
      </c>
      <c r="O215" s="54" t="n">
        <f aca="false">SUM(F215:N215)</f>
        <v>0</v>
      </c>
      <c r="P215" s="15" t="str">
        <f aca="false">IF(O215=0,"",IF($D215="","MISSING VAT NO.",IF(OR($C215="",$C215="CY",Counterparties!G215&lt;&gt;"EU"),"NOT AN EU CUSTOMER","OK")))</f>
        <v/>
      </c>
    </row>
    <row r="216" customFormat="false" ht="15" hidden="false" customHeight="false" outlineLevel="0" collapsed="false">
      <c r="A216" s="30" t="str">
        <f aca="false">IF(Counterparties!A216="","",Counterparties!A216)</f>
        <v/>
      </c>
      <c r="B216" s="30" t="str">
        <f aca="false">IF(Counterparties!B216="","",Counterparties!B216)</f>
        <v/>
      </c>
      <c r="C216" s="30" t="str">
        <f aca="false">IF(Counterparties!C216="","",Counterparties!C216)</f>
        <v/>
      </c>
      <c r="D216" s="30" t="str">
        <f aca="false">IF(Counterparties!D216="","",Counterparties!D216)</f>
        <v/>
      </c>
      <c r="E216" s="30" t="str">
        <f aca="false">IF(Counterparties!E216="","",Counterparties!E216)</f>
        <v/>
      </c>
      <c r="F216" s="53" t="n">
        <f aca="false">IF($A216="",0,SUMIFS(GL_Input!$U:$U,GL_Input!$F:$F,$A216,GL_Input!$X:$X,"G",GL_Input!$Y:$Y,1))</f>
        <v>0</v>
      </c>
      <c r="G216" s="53" t="n">
        <f aca="false">IF($A216="",0,SUMIFS(GL_Input!$U:$U,GL_Input!$F:$F,$A216,GL_Input!$X:$X,"G",GL_Input!$Y:$Y,2))</f>
        <v>0</v>
      </c>
      <c r="H216" s="53" t="n">
        <f aca="false">IF($A216="",0,SUMIFS(GL_Input!$U:$U,GL_Input!$F:$F,$A216,GL_Input!$X:$X,"G",GL_Input!$Y:$Y,3))</f>
        <v>0</v>
      </c>
      <c r="I216" s="53" t="n">
        <f aca="false">IF($A216="",0,SUMIFS(GL_Input!$U:$U,GL_Input!$F:$F,$A216,GL_Input!$X:$X,"T",GL_Input!$Y:$Y,1))</f>
        <v>0</v>
      </c>
      <c r="J216" s="53" t="n">
        <f aca="false">IF($A216="",0,SUMIFS(GL_Input!$U:$U,GL_Input!$F:$F,$A216,GL_Input!$X:$X,"T",GL_Input!$Y:$Y,2))</f>
        <v>0</v>
      </c>
      <c r="K216" s="53" t="n">
        <f aca="false">IF($A216="",0,SUMIFS(GL_Input!$U:$U,GL_Input!$F:$F,$A216,GL_Input!$X:$X,"T",GL_Input!$Y:$Y,3))</f>
        <v>0</v>
      </c>
      <c r="L216" s="53" t="n">
        <f aca="false">IF($A216="",0,SUMIFS(GL_Input!$U:$U,GL_Input!$F:$F,$A216,GL_Input!$X:$X,"S",GL_Input!$Y:$Y,1))</f>
        <v>0</v>
      </c>
      <c r="M216" s="53" t="n">
        <f aca="false">IF($A216="",0,SUMIFS(GL_Input!$U:$U,GL_Input!$F:$F,$A216,GL_Input!$X:$X,"S",GL_Input!$Y:$Y,2))</f>
        <v>0</v>
      </c>
      <c r="N216" s="53" t="n">
        <f aca="false">IF($A216="",0,SUMIFS(GL_Input!$U:$U,GL_Input!$F:$F,$A216,GL_Input!$X:$X,"S",GL_Input!$Y:$Y,3))</f>
        <v>0</v>
      </c>
      <c r="O216" s="54" t="n">
        <f aca="false">SUM(F216:N216)</f>
        <v>0</v>
      </c>
      <c r="P216" s="15" t="str">
        <f aca="false">IF(O216=0,"",IF($D216="","MISSING VAT NO.",IF(OR($C216="",$C216="CY",Counterparties!G216&lt;&gt;"EU"),"NOT AN EU CUSTOMER","OK")))</f>
        <v/>
      </c>
    </row>
    <row r="217" customFormat="false" ht="15" hidden="false" customHeight="false" outlineLevel="0" collapsed="false">
      <c r="A217" s="30" t="str">
        <f aca="false">IF(Counterparties!A217="","",Counterparties!A217)</f>
        <v/>
      </c>
      <c r="B217" s="30" t="str">
        <f aca="false">IF(Counterparties!B217="","",Counterparties!B217)</f>
        <v/>
      </c>
      <c r="C217" s="30" t="str">
        <f aca="false">IF(Counterparties!C217="","",Counterparties!C217)</f>
        <v/>
      </c>
      <c r="D217" s="30" t="str">
        <f aca="false">IF(Counterparties!D217="","",Counterparties!D217)</f>
        <v/>
      </c>
      <c r="E217" s="30" t="str">
        <f aca="false">IF(Counterparties!E217="","",Counterparties!E217)</f>
        <v/>
      </c>
      <c r="F217" s="53" t="n">
        <f aca="false">IF($A217="",0,SUMIFS(GL_Input!$U:$U,GL_Input!$F:$F,$A217,GL_Input!$X:$X,"G",GL_Input!$Y:$Y,1))</f>
        <v>0</v>
      </c>
      <c r="G217" s="53" t="n">
        <f aca="false">IF($A217="",0,SUMIFS(GL_Input!$U:$U,GL_Input!$F:$F,$A217,GL_Input!$X:$X,"G",GL_Input!$Y:$Y,2))</f>
        <v>0</v>
      </c>
      <c r="H217" s="53" t="n">
        <f aca="false">IF($A217="",0,SUMIFS(GL_Input!$U:$U,GL_Input!$F:$F,$A217,GL_Input!$X:$X,"G",GL_Input!$Y:$Y,3))</f>
        <v>0</v>
      </c>
      <c r="I217" s="53" t="n">
        <f aca="false">IF($A217="",0,SUMIFS(GL_Input!$U:$U,GL_Input!$F:$F,$A217,GL_Input!$X:$X,"T",GL_Input!$Y:$Y,1))</f>
        <v>0</v>
      </c>
      <c r="J217" s="53" t="n">
        <f aca="false">IF($A217="",0,SUMIFS(GL_Input!$U:$U,GL_Input!$F:$F,$A217,GL_Input!$X:$X,"T",GL_Input!$Y:$Y,2))</f>
        <v>0</v>
      </c>
      <c r="K217" s="53" t="n">
        <f aca="false">IF($A217="",0,SUMIFS(GL_Input!$U:$U,GL_Input!$F:$F,$A217,GL_Input!$X:$X,"T",GL_Input!$Y:$Y,3))</f>
        <v>0</v>
      </c>
      <c r="L217" s="53" t="n">
        <f aca="false">IF($A217="",0,SUMIFS(GL_Input!$U:$U,GL_Input!$F:$F,$A217,GL_Input!$X:$X,"S",GL_Input!$Y:$Y,1))</f>
        <v>0</v>
      </c>
      <c r="M217" s="53" t="n">
        <f aca="false">IF($A217="",0,SUMIFS(GL_Input!$U:$U,GL_Input!$F:$F,$A217,GL_Input!$X:$X,"S",GL_Input!$Y:$Y,2))</f>
        <v>0</v>
      </c>
      <c r="N217" s="53" t="n">
        <f aca="false">IF($A217="",0,SUMIFS(GL_Input!$U:$U,GL_Input!$F:$F,$A217,GL_Input!$X:$X,"S",GL_Input!$Y:$Y,3))</f>
        <v>0</v>
      </c>
      <c r="O217" s="54" t="n">
        <f aca="false">SUM(F217:N217)</f>
        <v>0</v>
      </c>
      <c r="P217" s="15" t="str">
        <f aca="false">IF(O217=0,"",IF($D217="","MISSING VAT NO.",IF(OR($C217="",$C217="CY",Counterparties!G217&lt;&gt;"EU"),"NOT AN EU CUSTOMER","OK")))</f>
        <v/>
      </c>
    </row>
    <row r="218" customFormat="false" ht="15" hidden="false" customHeight="false" outlineLevel="0" collapsed="false">
      <c r="A218" s="30" t="str">
        <f aca="false">IF(Counterparties!A218="","",Counterparties!A218)</f>
        <v/>
      </c>
      <c r="B218" s="30" t="str">
        <f aca="false">IF(Counterparties!B218="","",Counterparties!B218)</f>
        <v/>
      </c>
      <c r="C218" s="30" t="str">
        <f aca="false">IF(Counterparties!C218="","",Counterparties!C218)</f>
        <v/>
      </c>
      <c r="D218" s="30" t="str">
        <f aca="false">IF(Counterparties!D218="","",Counterparties!D218)</f>
        <v/>
      </c>
      <c r="E218" s="30" t="str">
        <f aca="false">IF(Counterparties!E218="","",Counterparties!E218)</f>
        <v/>
      </c>
      <c r="F218" s="53" t="n">
        <f aca="false">IF($A218="",0,SUMIFS(GL_Input!$U:$U,GL_Input!$F:$F,$A218,GL_Input!$X:$X,"G",GL_Input!$Y:$Y,1))</f>
        <v>0</v>
      </c>
      <c r="G218" s="53" t="n">
        <f aca="false">IF($A218="",0,SUMIFS(GL_Input!$U:$U,GL_Input!$F:$F,$A218,GL_Input!$X:$X,"G",GL_Input!$Y:$Y,2))</f>
        <v>0</v>
      </c>
      <c r="H218" s="53" t="n">
        <f aca="false">IF($A218="",0,SUMIFS(GL_Input!$U:$U,GL_Input!$F:$F,$A218,GL_Input!$X:$X,"G",GL_Input!$Y:$Y,3))</f>
        <v>0</v>
      </c>
      <c r="I218" s="53" t="n">
        <f aca="false">IF($A218="",0,SUMIFS(GL_Input!$U:$U,GL_Input!$F:$F,$A218,GL_Input!$X:$X,"T",GL_Input!$Y:$Y,1))</f>
        <v>0</v>
      </c>
      <c r="J218" s="53" t="n">
        <f aca="false">IF($A218="",0,SUMIFS(GL_Input!$U:$U,GL_Input!$F:$F,$A218,GL_Input!$X:$X,"T",GL_Input!$Y:$Y,2))</f>
        <v>0</v>
      </c>
      <c r="K218" s="53" t="n">
        <f aca="false">IF($A218="",0,SUMIFS(GL_Input!$U:$U,GL_Input!$F:$F,$A218,GL_Input!$X:$X,"T",GL_Input!$Y:$Y,3))</f>
        <v>0</v>
      </c>
      <c r="L218" s="53" t="n">
        <f aca="false">IF($A218="",0,SUMIFS(GL_Input!$U:$U,GL_Input!$F:$F,$A218,GL_Input!$X:$X,"S",GL_Input!$Y:$Y,1))</f>
        <v>0</v>
      </c>
      <c r="M218" s="53" t="n">
        <f aca="false">IF($A218="",0,SUMIFS(GL_Input!$U:$U,GL_Input!$F:$F,$A218,GL_Input!$X:$X,"S",GL_Input!$Y:$Y,2))</f>
        <v>0</v>
      </c>
      <c r="N218" s="53" t="n">
        <f aca="false">IF($A218="",0,SUMIFS(GL_Input!$U:$U,GL_Input!$F:$F,$A218,GL_Input!$X:$X,"S",GL_Input!$Y:$Y,3))</f>
        <v>0</v>
      </c>
      <c r="O218" s="54" t="n">
        <f aca="false">SUM(F218:N218)</f>
        <v>0</v>
      </c>
      <c r="P218" s="15" t="str">
        <f aca="false">IF(O218=0,"",IF($D218="","MISSING VAT NO.",IF(OR($C218="",$C218="CY",Counterparties!G218&lt;&gt;"EU"),"NOT AN EU CUSTOMER","OK")))</f>
        <v/>
      </c>
    </row>
    <row r="219" customFormat="false" ht="15" hidden="false" customHeight="false" outlineLevel="0" collapsed="false">
      <c r="A219" s="30" t="str">
        <f aca="false">IF(Counterparties!A219="","",Counterparties!A219)</f>
        <v/>
      </c>
      <c r="B219" s="30" t="str">
        <f aca="false">IF(Counterparties!B219="","",Counterparties!B219)</f>
        <v/>
      </c>
      <c r="C219" s="30" t="str">
        <f aca="false">IF(Counterparties!C219="","",Counterparties!C219)</f>
        <v/>
      </c>
      <c r="D219" s="30" t="str">
        <f aca="false">IF(Counterparties!D219="","",Counterparties!D219)</f>
        <v/>
      </c>
      <c r="E219" s="30" t="str">
        <f aca="false">IF(Counterparties!E219="","",Counterparties!E219)</f>
        <v/>
      </c>
      <c r="F219" s="53" t="n">
        <f aca="false">IF($A219="",0,SUMIFS(GL_Input!$U:$U,GL_Input!$F:$F,$A219,GL_Input!$X:$X,"G",GL_Input!$Y:$Y,1))</f>
        <v>0</v>
      </c>
      <c r="G219" s="53" t="n">
        <f aca="false">IF($A219="",0,SUMIFS(GL_Input!$U:$U,GL_Input!$F:$F,$A219,GL_Input!$X:$X,"G",GL_Input!$Y:$Y,2))</f>
        <v>0</v>
      </c>
      <c r="H219" s="53" t="n">
        <f aca="false">IF($A219="",0,SUMIFS(GL_Input!$U:$U,GL_Input!$F:$F,$A219,GL_Input!$X:$X,"G",GL_Input!$Y:$Y,3))</f>
        <v>0</v>
      </c>
      <c r="I219" s="53" t="n">
        <f aca="false">IF($A219="",0,SUMIFS(GL_Input!$U:$U,GL_Input!$F:$F,$A219,GL_Input!$X:$X,"T",GL_Input!$Y:$Y,1))</f>
        <v>0</v>
      </c>
      <c r="J219" s="53" t="n">
        <f aca="false">IF($A219="",0,SUMIFS(GL_Input!$U:$U,GL_Input!$F:$F,$A219,GL_Input!$X:$X,"T",GL_Input!$Y:$Y,2))</f>
        <v>0</v>
      </c>
      <c r="K219" s="53" t="n">
        <f aca="false">IF($A219="",0,SUMIFS(GL_Input!$U:$U,GL_Input!$F:$F,$A219,GL_Input!$X:$X,"T",GL_Input!$Y:$Y,3))</f>
        <v>0</v>
      </c>
      <c r="L219" s="53" t="n">
        <f aca="false">IF($A219="",0,SUMIFS(GL_Input!$U:$U,GL_Input!$F:$F,$A219,GL_Input!$X:$X,"S",GL_Input!$Y:$Y,1))</f>
        <v>0</v>
      </c>
      <c r="M219" s="53" t="n">
        <f aca="false">IF($A219="",0,SUMIFS(GL_Input!$U:$U,GL_Input!$F:$F,$A219,GL_Input!$X:$X,"S",GL_Input!$Y:$Y,2))</f>
        <v>0</v>
      </c>
      <c r="N219" s="53" t="n">
        <f aca="false">IF($A219="",0,SUMIFS(GL_Input!$U:$U,GL_Input!$F:$F,$A219,GL_Input!$X:$X,"S",GL_Input!$Y:$Y,3))</f>
        <v>0</v>
      </c>
      <c r="O219" s="54" t="n">
        <f aca="false">SUM(F219:N219)</f>
        <v>0</v>
      </c>
      <c r="P219" s="15" t="str">
        <f aca="false">IF(O219=0,"",IF($D219="","MISSING VAT NO.",IF(OR($C219="",$C219="CY",Counterparties!G219&lt;&gt;"EU"),"NOT AN EU CUSTOMER","OK")))</f>
        <v/>
      </c>
    </row>
    <row r="220" customFormat="false" ht="15" hidden="false" customHeight="false" outlineLevel="0" collapsed="false">
      <c r="A220" s="30" t="str">
        <f aca="false">IF(Counterparties!A220="","",Counterparties!A220)</f>
        <v/>
      </c>
      <c r="B220" s="30" t="str">
        <f aca="false">IF(Counterparties!B220="","",Counterparties!B220)</f>
        <v/>
      </c>
      <c r="C220" s="30" t="str">
        <f aca="false">IF(Counterparties!C220="","",Counterparties!C220)</f>
        <v/>
      </c>
      <c r="D220" s="30" t="str">
        <f aca="false">IF(Counterparties!D220="","",Counterparties!D220)</f>
        <v/>
      </c>
      <c r="E220" s="30" t="str">
        <f aca="false">IF(Counterparties!E220="","",Counterparties!E220)</f>
        <v/>
      </c>
      <c r="F220" s="53" t="n">
        <f aca="false">IF($A220="",0,SUMIFS(GL_Input!$U:$U,GL_Input!$F:$F,$A220,GL_Input!$X:$X,"G",GL_Input!$Y:$Y,1))</f>
        <v>0</v>
      </c>
      <c r="G220" s="53" t="n">
        <f aca="false">IF($A220="",0,SUMIFS(GL_Input!$U:$U,GL_Input!$F:$F,$A220,GL_Input!$X:$X,"G",GL_Input!$Y:$Y,2))</f>
        <v>0</v>
      </c>
      <c r="H220" s="53" t="n">
        <f aca="false">IF($A220="",0,SUMIFS(GL_Input!$U:$U,GL_Input!$F:$F,$A220,GL_Input!$X:$X,"G",GL_Input!$Y:$Y,3))</f>
        <v>0</v>
      </c>
      <c r="I220" s="53" t="n">
        <f aca="false">IF($A220="",0,SUMIFS(GL_Input!$U:$U,GL_Input!$F:$F,$A220,GL_Input!$X:$X,"T",GL_Input!$Y:$Y,1))</f>
        <v>0</v>
      </c>
      <c r="J220" s="53" t="n">
        <f aca="false">IF($A220="",0,SUMIFS(GL_Input!$U:$U,GL_Input!$F:$F,$A220,GL_Input!$X:$X,"T",GL_Input!$Y:$Y,2))</f>
        <v>0</v>
      </c>
      <c r="K220" s="53" t="n">
        <f aca="false">IF($A220="",0,SUMIFS(GL_Input!$U:$U,GL_Input!$F:$F,$A220,GL_Input!$X:$X,"T",GL_Input!$Y:$Y,3))</f>
        <v>0</v>
      </c>
      <c r="L220" s="53" t="n">
        <f aca="false">IF($A220="",0,SUMIFS(GL_Input!$U:$U,GL_Input!$F:$F,$A220,GL_Input!$X:$X,"S",GL_Input!$Y:$Y,1))</f>
        <v>0</v>
      </c>
      <c r="M220" s="53" t="n">
        <f aca="false">IF($A220="",0,SUMIFS(GL_Input!$U:$U,GL_Input!$F:$F,$A220,GL_Input!$X:$X,"S",GL_Input!$Y:$Y,2))</f>
        <v>0</v>
      </c>
      <c r="N220" s="53" t="n">
        <f aca="false">IF($A220="",0,SUMIFS(GL_Input!$U:$U,GL_Input!$F:$F,$A220,GL_Input!$X:$X,"S",GL_Input!$Y:$Y,3))</f>
        <v>0</v>
      </c>
      <c r="O220" s="54" t="n">
        <f aca="false">SUM(F220:N220)</f>
        <v>0</v>
      </c>
      <c r="P220" s="15" t="str">
        <f aca="false">IF(O220=0,"",IF($D220="","MISSING VAT NO.",IF(OR($C220="",$C220="CY",Counterparties!G220&lt;&gt;"EU"),"NOT AN EU CUSTOMER","OK")))</f>
        <v/>
      </c>
    </row>
    <row r="221" customFormat="false" ht="15" hidden="false" customHeight="false" outlineLevel="0" collapsed="false">
      <c r="A221" s="30" t="str">
        <f aca="false">IF(Counterparties!A221="","",Counterparties!A221)</f>
        <v/>
      </c>
      <c r="B221" s="30" t="str">
        <f aca="false">IF(Counterparties!B221="","",Counterparties!B221)</f>
        <v/>
      </c>
      <c r="C221" s="30" t="str">
        <f aca="false">IF(Counterparties!C221="","",Counterparties!C221)</f>
        <v/>
      </c>
      <c r="D221" s="30" t="str">
        <f aca="false">IF(Counterparties!D221="","",Counterparties!D221)</f>
        <v/>
      </c>
      <c r="E221" s="30" t="str">
        <f aca="false">IF(Counterparties!E221="","",Counterparties!E221)</f>
        <v/>
      </c>
      <c r="F221" s="53" t="n">
        <f aca="false">IF($A221="",0,SUMIFS(GL_Input!$U:$U,GL_Input!$F:$F,$A221,GL_Input!$X:$X,"G",GL_Input!$Y:$Y,1))</f>
        <v>0</v>
      </c>
      <c r="G221" s="53" t="n">
        <f aca="false">IF($A221="",0,SUMIFS(GL_Input!$U:$U,GL_Input!$F:$F,$A221,GL_Input!$X:$X,"G",GL_Input!$Y:$Y,2))</f>
        <v>0</v>
      </c>
      <c r="H221" s="53" t="n">
        <f aca="false">IF($A221="",0,SUMIFS(GL_Input!$U:$U,GL_Input!$F:$F,$A221,GL_Input!$X:$X,"G",GL_Input!$Y:$Y,3))</f>
        <v>0</v>
      </c>
      <c r="I221" s="53" t="n">
        <f aca="false">IF($A221="",0,SUMIFS(GL_Input!$U:$U,GL_Input!$F:$F,$A221,GL_Input!$X:$X,"T",GL_Input!$Y:$Y,1))</f>
        <v>0</v>
      </c>
      <c r="J221" s="53" t="n">
        <f aca="false">IF($A221="",0,SUMIFS(GL_Input!$U:$U,GL_Input!$F:$F,$A221,GL_Input!$X:$X,"T",GL_Input!$Y:$Y,2))</f>
        <v>0</v>
      </c>
      <c r="K221" s="53" t="n">
        <f aca="false">IF($A221="",0,SUMIFS(GL_Input!$U:$U,GL_Input!$F:$F,$A221,GL_Input!$X:$X,"T",GL_Input!$Y:$Y,3))</f>
        <v>0</v>
      </c>
      <c r="L221" s="53" t="n">
        <f aca="false">IF($A221="",0,SUMIFS(GL_Input!$U:$U,GL_Input!$F:$F,$A221,GL_Input!$X:$X,"S",GL_Input!$Y:$Y,1))</f>
        <v>0</v>
      </c>
      <c r="M221" s="53" t="n">
        <f aca="false">IF($A221="",0,SUMIFS(GL_Input!$U:$U,GL_Input!$F:$F,$A221,GL_Input!$X:$X,"S",GL_Input!$Y:$Y,2))</f>
        <v>0</v>
      </c>
      <c r="N221" s="53" t="n">
        <f aca="false">IF($A221="",0,SUMIFS(GL_Input!$U:$U,GL_Input!$F:$F,$A221,GL_Input!$X:$X,"S",GL_Input!$Y:$Y,3))</f>
        <v>0</v>
      </c>
      <c r="O221" s="54" t="n">
        <f aca="false">SUM(F221:N221)</f>
        <v>0</v>
      </c>
      <c r="P221" s="15" t="str">
        <f aca="false">IF(O221=0,"",IF($D221="","MISSING VAT NO.",IF(OR($C221="",$C221="CY",Counterparties!G221&lt;&gt;"EU"),"NOT AN EU CUSTOMER","OK")))</f>
        <v/>
      </c>
    </row>
    <row r="222" customFormat="false" ht="15" hidden="false" customHeight="false" outlineLevel="0" collapsed="false">
      <c r="A222" s="30" t="str">
        <f aca="false">IF(Counterparties!A222="","",Counterparties!A222)</f>
        <v/>
      </c>
      <c r="B222" s="30" t="str">
        <f aca="false">IF(Counterparties!B222="","",Counterparties!B222)</f>
        <v/>
      </c>
      <c r="C222" s="30" t="str">
        <f aca="false">IF(Counterparties!C222="","",Counterparties!C222)</f>
        <v/>
      </c>
      <c r="D222" s="30" t="str">
        <f aca="false">IF(Counterparties!D222="","",Counterparties!D222)</f>
        <v/>
      </c>
      <c r="E222" s="30" t="str">
        <f aca="false">IF(Counterparties!E222="","",Counterparties!E222)</f>
        <v/>
      </c>
      <c r="F222" s="53" t="n">
        <f aca="false">IF($A222="",0,SUMIFS(GL_Input!$U:$U,GL_Input!$F:$F,$A222,GL_Input!$X:$X,"G",GL_Input!$Y:$Y,1))</f>
        <v>0</v>
      </c>
      <c r="G222" s="53" t="n">
        <f aca="false">IF($A222="",0,SUMIFS(GL_Input!$U:$U,GL_Input!$F:$F,$A222,GL_Input!$X:$X,"G",GL_Input!$Y:$Y,2))</f>
        <v>0</v>
      </c>
      <c r="H222" s="53" t="n">
        <f aca="false">IF($A222="",0,SUMIFS(GL_Input!$U:$U,GL_Input!$F:$F,$A222,GL_Input!$X:$X,"G",GL_Input!$Y:$Y,3))</f>
        <v>0</v>
      </c>
      <c r="I222" s="53" t="n">
        <f aca="false">IF($A222="",0,SUMIFS(GL_Input!$U:$U,GL_Input!$F:$F,$A222,GL_Input!$X:$X,"T",GL_Input!$Y:$Y,1))</f>
        <v>0</v>
      </c>
      <c r="J222" s="53" t="n">
        <f aca="false">IF($A222="",0,SUMIFS(GL_Input!$U:$U,GL_Input!$F:$F,$A222,GL_Input!$X:$X,"T",GL_Input!$Y:$Y,2))</f>
        <v>0</v>
      </c>
      <c r="K222" s="53" t="n">
        <f aca="false">IF($A222="",0,SUMIFS(GL_Input!$U:$U,GL_Input!$F:$F,$A222,GL_Input!$X:$X,"T",GL_Input!$Y:$Y,3))</f>
        <v>0</v>
      </c>
      <c r="L222" s="53" t="n">
        <f aca="false">IF($A222="",0,SUMIFS(GL_Input!$U:$U,GL_Input!$F:$F,$A222,GL_Input!$X:$X,"S",GL_Input!$Y:$Y,1))</f>
        <v>0</v>
      </c>
      <c r="M222" s="53" t="n">
        <f aca="false">IF($A222="",0,SUMIFS(GL_Input!$U:$U,GL_Input!$F:$F,$A222,GL_Input!$X:$X,"S",GL_Input!$Y:$Y,2))</f>
        <v>0</v>
      </c>
      <c r="N222" s="53" t="n">
        <f aca="false">IF($A222="",0,SUMIFS(GL_Input!$U:$U,GL_Input!$F:$F,$A222,GL_Input!$X:$X,"S",GL_Input!$Y:$Y,3))</f>
        <v>0</v>
      </c>
      <c r="O222" s="54" t="n">
        <f aca="false">SUM(F222:N222)</f>
        <v>0</v>
      </c>
      <c r="P222" s="15" t="str">
        <f aca="false">IF(O222=0,"",IF($D222="","MISSING VAT NO.",IF(OR($C222="",$C222="CY",Counterparties!G222&lt;&gt;"EU"),"NOT AN EU CUSTOMER","OK")))</f>
        <v/>
      </c>
    </row>
    <row r="223" customFormat="false" ht="15" hidden="false" customHeight="false" outlineLevel="0" collapsed="false">
      <c r="A223" s="30" t="str">
        <f aca="false">IF(Counterparties!A223="","",Counterparties!A223)</f>
        <v/>
      </c>
      <c r="B223" s="30" t="str">
        <f aca="false">IF(Counterparties!B223="","",Counterparties!B223)</f>
        <v/>
      </c>
      <c r="C223" s="30" t="str">
        <f aca="false">IF(Counterparties!C223="","",Counterparties!C223)</f>
        <v/>
      </c>
      <c r="D223" s="30" t="str">
        <f aca="false">IF(Counterparties!D223="","",Counterparties!D223)</f>
        <v/>
      </c>
      <c r="E223" s="30" t="str">
        <f aca="false">IF(Counterparties!E223="","",Counterparties!E223)</f>
        <v/>
      </c>
      <c r="F223" s="53" t="n">
        <f aca="false">IF($A223="",0,SUMIFS(GL_Input!$U:$U,GL_Input!$F:$F,$A223,GL_Input!$X:$X,"G",GL_Input!$Y:$Y,1))</f>
        <v>0</v>
      </c>
      <c r="G223" s="53" t="n">
        <f aca="false">IF($A223="",0,SUMIFS(GL_Input!$U:$U,GL_Input!$F:$F,$A223,GL_Input!$X:$X,"G",GL_Input!$Y:$Y,2))</f>
        <v>0</v>
      </c>
      <c r="H223" s="53" t="n">
        <f aca="false">IF($A223="",0,SUMIFS(GL_Input!$U:$U,GL_Input!$F:$F,$A223,GL_Input!$X:$X,"G",GL_Input!$Y:$Y,3))</f>
        <v>0</v>
      </c>
      <c r="I223" s="53" t="n">
        <f aca="false">IF($A223="",0,SUMIFS(GL_Input!$U:$U,GL_Input!$F:$F,$A223,GL_Input!$X:$X,"T",GL_Input!$Y:$Y,1))</f>
        <v>0</v>
      </c>
      <c r="J223" s="53" t="n">
        <f aca="false">IF($A223="",0,SUMIFS(GL_Input!$U:$U,GL_Input!$F:$F,$A223,GL_Input!$X:$X,"T",GL_Input!$Y:$Y,2))</f>
        <v>0</v>
      </c>
      <c r="K223" s="53" t="n">
        <f aca="false">IF($A223="",0,SUMIFS(GL_Input!$U:$U,GL_Input!$F:$F,$A223,GL_Input!$X:$X,"T",GL_Input!$Y:$Y,3))</f>
        <v>0</v>
      </c>
      <c r="L223" s="53" t="n">
        <f aca="false">IF($A223="",0,SUMIFS(GL_Input!$U:$U,GL_Input!$F:$F,$A223,GL_Input!$X:$X,"S",GL_Input!$Y:$Y,1))</f>
        <v>0</v>
      </c>
      <c r="M223" s="53" t="n">
        <f aca="false">IF($A223="",0,SUMIFS(GL_Input!$U:$U,GL_Input!$F:$F,$A223,GL_Input!$X:$X,"S",GL_Input!$Y:$Y,2))</f>
        <v>0</v>
      </c>
      <c r="N223" s="53" t="n">
        <f aca="false">IF($A223="",0,SUMIFS(GL_Input!$U:$U,GL_Input!$F:$F,$A223,GL_Input!$X:$X,"S",GL_Input!$Y:$Y,3))</f>
        <v>0</v>
      </c>
      <c r="O223" s="54" t="n">
        <f aca="false">SUM(F223:N223)</f>
        <v>0</v>
      </c>
      <c r="P223" s="15" t="str">
        <f aca="false">IF(O223=0,"",IF($D223="","MISSING VAT NO.",IF(OR($C223="",$C223="CY",Counterparties!G223&lt;&gt;"EU"),"NOT AN EU CUSTOMER","OK")))</f>
        <v/>
      </c>
    </row>
    <row r="224" customFormat="false" ht="15" hidden="false" customHeight="false" outlineLevel="0" collapsed="false">
      <c r="A224" s="30" t="str">
        <f aca="false">IF(Counterparties!A224="","",Counterparties!A224)</f>
        <v/>
      </c>
      <c r="B224" s="30" t="str">
        <f aca="false">IF(Counterparties!B224="","",Counterparties!B224)</f>
        <v/>
      </c>
      <c r="C224" s="30" t="str">
        <f aca="false">IF(Counterparties!C224="","",Counterparties!C224)</f>
        <v/>
      </c>
      <c r="D224" s="30" t="str">
        <f aca="false">IF(Counterparties!D224="","",Counterparties!D224)</f>
        <v/>
      </c>
      <c r="E224" s="30" t="str">
        <f aca="false">IF(Counterparties!E224="","",Counterparties!E224)</f>
        <v/>
      </c>
      <c r="F224" s="53" t="n">
        <f aca="false">IF($A224="",0,SUMIFS(GL_Input!$U:$U,GL_Input!$F:$F,$A224,GL_Input!$X:$X,"G",GL_Input!$Y:$Y,1))</f>
        <v>0</v>
      </c>
      <c r="G224" s="53" t="n">
        <f aca="false">IF($A224="",0,SUMIFS(GL_Input!$U:$U,GL_Input!$F:$F,$A224,GL_Input!$X:$X,"G",GL_Input!$Y:$Y,2))</f>
        <v>0</v>
      </c>
      <c r="H224" s="53" t="n">
        <f aca="false">IF($A224="",0,SUMIFS(GL_Input!$U:$U,GL_Input!$F:$F,$A224,GL_Input!$X:$X,"G",GL_Input!$Y:$Y,3))</f>
        <v>0</v>
      </c>
      <c r="I224" s="53" t="n">
        <f aca="false">IF($A224="",0,SUMIFS(GL_Input!$U:$U,GL_Input!$F:$F,$A224,GL_Input!$X:$X,"T",GL_Input!$Y:$Y,1))</f>
        <v>0</v>
      </c>
      <c r="J224" s="53" t="n">
        <f aca="false">IF($A224="",0,SUMIFS(GL_Input!$U:$U,GL_Input!$F:$F,$A224,GL_Input!$X:$X,"T",GL_Input!$Y:$Y,2))</f>
        <v>0</v>
      </c>
      <c r="K224" s="53" t="n">
        <f aca="false">IF($A224="",0,SUMIFS(GL_Input!$U:$U,GL_Input!$F:$F,$A224,GL_Input!$X:$X,"T",GL_Input!$Y:$Y,3))</f>
        <v>0</v>
      </c>
      <c r="L224" s="53" t="n">
        <f aca="false">IF($A224="",0,SUMIFS(GL_Input!$U:$U,GL_Input!$F:$F,$A224,GL_Input!$X:$X,"S",GL_Input!$Y:$Y,1))</f>
        <v>0</v>
      </c>
      <c r="M224" s="53" t="n">
        <f aca="false">IF($A224="",0,SUMIFS(GL_Input!$U:$U,GL_Input!$F:$F,$A224,GL_Input!$X:$X,"S",GL_Input!$Y:$Y,2))</f>
        <v>0</v>
      </c>
      <c r="N224" s="53" t="n">
        <f aca="false">IF($A224="",0,SUMIFS(GL_Input!$U:$U,GL_Input!$F:$F,$A224,GL_Input!$X:$X,"S",GL_Input!$Y:$Y,3))</f>
        <v>0</v>
      </c>
      <c r="O224" s="54" t="n">
        <f aca="false">SUM(F224:N224)</f>
        <v>0</v>
      </c>
      <c r="P224" s="15" t="str">
        <f aca="false">IF(O224=0,"",IF($D224="","MISSING VAT NO.",IF(OR($C224="",$C224="CY",Counterparties!G224&lt;&gt;"EU"),"NOT AN EU CUSTOMER","OK")))</f>
        <v/>
      </c>
    </row>
    <row r="225" customFormat="false" ht="15" hidden="false" customHeight="false" outlineLevel="0" collapsed="false">
      <c r="A225" s="30" t="str">
        <f aca="false">IF(Counterparties!A225="","",Counterparties!A225)</f>
        <v/>
      </c>
      <c r="B225" s="30" t="str">
        <f aca="false">IF(Counterparties!B225="","",Counterparties!B225)</f>
        <v/>
      </c>
      <c r="C225" s="30" t="str">
        <f aca="false">IF(Counterparties!C225="","",Counterparties!C225)</f>
        <v/>
      </c>
      <c r="D225" s="30" t="str">
        <f aca="false">IF(Counterparties!D225="","",Counterparties!D225)</f>
        <v/>
      </c>
      <c r="E225" s="30" t="str">
        <f aca="false">IF(Counterparties!E225="","",Counterparties!E225)</f>
        <v/>
      </c>
      <c r="F225" s="53" t="n">
        <f aca="false">IF($A225="",0,SUMIFS(GL_Input!$U:$U,GL_Input!$F:$F,$A225,GL_Input!$X:$X,"G",GL_Input!$Y:$Y,1))</f>
        <v>0</v>
      </c>
      <c r="G225" s="53" t="n">
        <f aca="false">IF($A225="",0,SUMIFS(GL_Input!$U:$U,GL_Input!$F:$F,$A225,GL_Input!$X:$X,"G",GL_Input!$Y:$Y,2))</f>
        <v>0</v>
      </c>
      <c r="H225" s="53" t="n">
        <f aca="false">IF($A225="",0,SUMIFS(GL_Input!$U:$U,GL_Input!$F:$F,$A225,GL_Input!$X:$X,"G",GL_Input!$Y:$Y,3))</f>
        <v>0</v>
      </c>
      <c r="I225" s="53" t="n">
        <f aca="false">IF($A225="",0,SUMIFS(GL_Input!$U:$U,GL_Input!$F:$F,$A225,GL_Input!$X:$X,"T",GL_Input!$Y:$Y,1))</f>
        <v>0</v>
      </c>
      <c r="J225" s="53" t="n">
        <f aca="false">IF($A225="",0,SUMIFS(GL_Input!$U:$U,GL_Input!$F:$F,$A225,GL_Input!$X:$X,"T",GL_Input!$Y:$Y,2))</f>
        <v>0</v>
      </c>
      <c r="K225" s="53" t="n">
        <f aca="false">IF($A225="",0,SUMIFS(GL_Input!$U:$U,GL_Input!$F:$F,$A225,GL_Input!$X:$X,"T",GL_Input!$Y:$Y,3))</f>
        <v>0</v>
      </c>
      <c r="L225" s="53" t="n">
        <f aca="false">IF($A225="",0,SUMIFS(GL_Input!$U:$U,GL_Input!$F:$F,$A225,GL_Input!$X:$X,"S",GL_Input!$Y:$Y,1))</f>
        <v>0</v>
      </c>
      <c r="M225" s="53" t="n">
        <f aca="false">IF($A225="",0,SUMIFS(GL_Input!$U:$U,GL_Input!$F:$F,$A225,GL_Input!$X:$X,"S",GL_Input!$Y:$Y,2))</f>
        <v>0</v>
      </c>
      <c r="N225" s="53" t="n">
        <f aca="false">IF($A225="",0,SUMIFS(GL_Input!$U:$U,GL_Input!$F:$F,$A225,GL_Input!$X:$X,"S",GL_Input!$Y:$Y,3))</f>
        <v>0</v>
      </c>
      <c r="O225" s="54" t="n">
        <f aca="false">SUM(F225:N225)</f>
        <v>0</v>
      </c>
      <c r="P225" s="15" t="str">
        <f aca="false">IF(O225=0,"",IF($D225="","MISSING VAT NO.",IF(OR($C225="",$C225="CY",Counterparties!G225&lt;&gt;"EU"),"NOT AN EU CUSTOMER","OK")))</f>
        <v/>
      </c>
    </row>
    <row r="226" customFormat="false" ht="15" hidden="false" customHeight="false" outlineLevel="0" collapsed="false">
      <c r="A226" s="30" t="str">
        <f aca="false">IF(Counterparties!A226="","",Counterparties!A226)</f>
        <v/>
      </c>
      <c r="B226" s="30" t="str">
        <f aca="false">IF(Counterparties!B226="","",Counterparties!B226)</f>
        <v/>
      </c>
      <c r="C226" s="30" t="str">
        <f aca="false">IF(Counterparties!C226="","",Counterparties!C226)</f>
        <v/>
      </c>
      <c r="D226" s="30" t="str">
        <f aca="false">IF(Counterparties!D226="","",Counterparties!D226)</f>
        <v/>
      </c>
      <c r="E226" s="30" t="str">
        <f aca="false">IF(Counterparties!E226="","",Counterparties!E226)</f>
        <v/>
      </c>
      <c r="F226" s="53" t="n">
        <f aca="false">IF($A226="",0,SUMIFS(GL_Input!$U:$U,GL_Input!$F:$F,$A226,GL_Input!$X:$X,"G",GL_Input!$Y:$Y,1))</f>
        <v>0</v>
      </c>
      <c r="G226" s="53" t="n">
        <f aca="false">IF($A226="",0,SUMIFS(GL_Input!$U:$U,GL_Input!$F:$F,$A226,GL_Input!$X:$X,"G",GL_Input!$Y:$Y,2))</f>
        <v>0</v>
      </c>
      <c r="H226" s="53" t="n">
        <f aca="false">IF($A226="",0,SUMIFS(GL_Input!$U:$U,GL_Input!$F:$F,$A226,GL_Input!$X:$X,"G",GL_Input!$Y:$Y,3))</f>
        <v>0</v>
      </c>
      <c r="I226" s="53" t="n">
        <f aca="false">IF($A226="",0,SUMIFS(GL_Input!$U:$U,GL_Input!$F:$F,$A226,GL_Input!$X:$X,"T",GL_Input!$Y:$Y,1))</f>
        <v>0</v>
      </c>
      <c r="J226" s="53" t="n">
        <f aca="false">IF($A226="",0,SUMIFS(GL_Input!$U:$U,GL_Input!$F:$F,$A226,GL_Input!$X:$X,"T",GL_Input!$Y:$Y,2))</f>
        <v>0</v>
      </c>
      <c r="K226" s="53" t="n">
        <f aca="false">IF($A226="",0,SUMIFS(GL_Input!$U:$U,GL_Input!$F:$F,$A226,GL_Input!$X:$X,"T",GL_Input!$Y:$Y,3))</f>
        <v>0</v>
      </c>
      <c r="L226" s="53" t="n">
        <f aca="false">IF($A226="",0,SUMIFS(GL_Input!$U:$U,GL_Input!$F:$F,$A226,GL_Input!$X:$X,"S",GL_Input!$Y:$Y,1))</f>
        <v>0</v>
      </c>
      <c r="M226" s="53" t="n">
        <f aca="false">IF($A226="",0,SUMIFS(GL_Input!$U:$U,GL_Input!$F:$F,$A226,GL_Input!$X:$X,"S",GL_Input!$Y:$Y,2))</f>
        <v>0</v>
      </c>
      <c r="N226" s="53" t="n">
        <f aca="false">IF($A226="",0,SUMIFS(GL_Input!$U:$U,GL_Input!$F:$F,$A226,GL_Input!$X:$X,"S",GL_Input!$Y:$Y,3))</f>
        <v>0</v>
      </c>
      <c r="O226" s="54" t="n">
        <f aca="false">SUM(F226:N226)</f>
        <v>0</v>
      </c>
      <c r="P226" s="15" t="str">
        <f aca="false">IF(O226=0,"",IF($D226="","MISSING VAT NO.",IF(OR($C226="",$C226="CY",Counterparties!G226&lt;&gt;"EU"),"NOT AN EU CUSTOMER","OK")))</f>
        <v/>
      </c>
    </row>
    <row r="227" customFormat="false" ht="15" hidden="false" customHeight="false" outlineLevel="0" collapsed="false">
      <c r="A227" s="30" t="str">
        <f aca="false">IF(Counterparties!A227="","",Counterparties!A227)</f>
        <v/>
      </c>
      <c r="B227" s="30" t="str">
        <f aca="false">IF(Counterparties!B227="","",Counterparties!B227)</f>
        <v/>
      </c>
      <c r="C227" s="30" t="str">
        <f aca="false">IF(Counterparties!C227="","",Counterparties!C227)</f>
        <v/>
      </c>
      <c r="D227" s="30" t="str">
        <f aca="false">IF(Counterparties!D227="","",Counterparties!D227)</f>
        <v/>
      </c>
      <c r="E227" s="30" t="str">
        <f aca="false">IF(Counterparties!E227="","",Counterparties!E227)</f>
        <v/>
      </c>
      <c r="F227" s="53" t="n">
        <f aca="false">IF($A227="",0,SUMIFS(GL_Input!$U:$U,GL_Input!$F:$F,$A227,GL_Input!$X:$X,"G",GL_Input!$Y:$Y,1))</f>
        <v>0</v>
      </c>
      <c r="G227" s="53" t="n">
        <f aca="false">IF($A227="",0,SUMIFS(GL_Input!$U:$U,GL_Input!$F:$F,$A227,GL_Input!$X:$X,"G",GL_Input!$Y:$Y,2))</f>
        <v>0</v>
      </c>
      <c r="H227" s="53" t="n">
        <f aca="false">IF($A227="",0,SUMIFS(GL_Input!$U:$U,GL_Input!$F:$F,$A227,GL_Input!$X:$X,"G",GL_Input!$Y:$Y,3))</f>
        <v>0</v>
      </c>
      <c r="I227" s="53" t="n">
        <f aca="false">IF($A227="",0,SUMIFS(GL_Input!$U:$U,GL_Input!$F:$F,$A227,GL_Input!$X:$X,"T",GL_Input!$Y:$Y,1))</f>
        <v>0</v>
      </c>
      <c r="J227" s="53" t="n">
        <f aca="false">IF($A227="",0,SUMIFS(GL_Input!$U:$U,GL_Input!$F:$F,$A227,GL_Input!$X:$X,"T",GL_Input!$Y:$Y,2))</f>
        <v>0</v>
      </c>
      <c r="K227" s="53" t="n">
        <f aca="false">IF($A227="",0,SUMIFS(GL_Input!$U:$U,GL_Input!$F:$F,$A227,GL_Input!$X:$X,"T",GL_Input!$Y:$Y,3))</f>
        <v>0</v>
      </c>
      <c r="L227" s="53" t="n">
        <f aca="false">IF($A227="",0,SUMIFS(GL_Input!$U:$U,GL_Input!$F:$F,$A227,GL_Input!$X:$X,"S",GL_Input!$Y:$Y,1))</f>
        <v>0</v>
      </c>
      <c r="M227" s="53" t="n">
        <f aca="false">IF($A227="",0,SUMIFS(GL_Input!$U:$U,GL_Input!$F:$F,$A227,GL_Input!$X:$X,"S",GL_Input!$Y:$Y,2))</f>
        <v>0</v>
      </c>
      <c r="N227" s="53" t="n">
        <f aca="false">IF($A227="",0,SUMIFS(GL_Input!$U:$U,GL_Input!$F:$F,$A227,GL_Input!$X:$X,"S",GL_Input!$Y:$Y,3))</f>
        <v>0</v>
      </c>
      <c r="O227" s="54" t="n">
        <f aca="false">SUM(F227:N227)</f>
        <v>0</v>
      </c>
      <c r="P227" s="15" t="str">
        <f aca="false">IF(O227=0,"",IF($D227="","MISSING VAT NO.",IF(OR($C227="",$C227="CY",Counterparties!G227&lt;&gt;"EU"),"NOT AN EU CUSTOMER","OK")))</f>
        <v/>
      </c>
    </row>
    <row r="228" customFormat="false" ht="15" hidden="false" customHeight="false" outlineLevel="0" collapsed="false">
      <c r="A228" s="30" t="str">
        <f aca="false">IF(Counterparties!A228="","",Counterparties!A228)</f>
        <v/>
      </c>
      <c r="B228" s="30" t="str">
        <f aca="false">IF(Counterparties!B228="","",Counterparties!B228)</f>
        <v/>
      </c>
      <c r="C228" s="30" t="str">
        <f aca="false">IF(Counterparties!C228="","",Counterparties!C228)</f>
        <v/>
      </c>
      <c r="D228" s="30" t="str">
        <f aca="false">IF(Counterparties!D228="","",Counterparties!D228)</f>
        <v/>
      </c>
      <c r="E228" s="30" t="str">
        <f aca="false">IF(Counterparties!E228="","",Counterparties!E228)</f>
        <v/>
      </c>
      <c r="F228" s="53" t="n">
        <f aca="false">IF($A228="",0,SUMIFS(GL_Input!$U:$U,GL_Input!$F:$F,$A228,GL_Input!$X:$X,"G",GL_Input!$Y:$Y,1))</f>
        <v>0</v>
      </c>
      <c r="G228" s="53" t="n">
        <f aca="false">IF($A228="",0,SUMIFS(GL_Input!$U:$U,GL_Input!$F:$F,$A228,GL_Input!$X:$X,"G",GL_Input!$Y:$Y,2))</f>
        <v>0</v>
      </c>
      <c r="H228" s="53" t="n">
        <f aca="false">IF($A228="",0,SUMIFS(GL_Input!$U:$U,GL_Input!$F:$F,$A228,GL_Input!$X:$X,"G",GL_Input!$Y:$Y,3))</f>
        <v>0</v>
      </c>
      <c r="I228" s="53" t="n">
        <f aca="false">IF($A228="",0,SUMIFS(GL_Input!$U:$U,GL_Input!$F:$F,$A228,GL_Input!$X:$X,"T",GL_Input!$Y:$Y,1))</f>
        <v>0</v>
      </c>
      <c r="J228" s="53" t="n">
        <f aca="false">IF($A228="",0,SUMIFS(GL_Input!$U:$U,GL_Input!$F:$F,$A228,GL_Input!$X:$X,"T",GL_Input!$Y:$Y,2))</f>
        <v>0</v>
      </c>
      <c r="K228" s="53" t="n">
        <f aca="false">IF($A228="",0,SUMIFS(GL_Input!$U:$U,GL_Input!$F:$F,$A228,GL_Input!$X:$X,"T",GL_Input!$Y:$Y,3))</f>
        <v>0</v>
      </c>
      <c r="L228" s="53" t="n">
        <f aca="false">IF($A228="",0,SUMIFS(GL_Input!$U:$U,GL_Input!$F:$F,$A228,GL_Input!$X:$X,"S",GL_Input!$Y:$Y,1))</f>
        <v>0</v>
      </c>
      <c r="M228" s="53" t="n">
        <f aca="false">IF($A228="",0,SUMIFS(GL_Input!$U:$U,GL_Input!$F:$F,$A228,GL_Input!$X:$X,"S",GL_Input!$Y:$Y,2))</f>
        <v>0</v>
      </c>
      <c r="N228" s="53" t="n">
        <f aca="false">IF($A228="",0,SUMIFS(GL_Input!$U:$U,GL_Input!$F:$F,$A228,GL_Input!$X:$X,"S",GL_Input!$Y:$Y,3))</f>
        <v>0</v>
      </c>
      <c r="O228" s="54" t="n">
        <f aca="false">SUM(F228:N228)</f>
        <v>0</v>
      </c>
      <c r="P228" s="15" t="str">
        <f aca="false">IF(O228=0,"",IF($D228="","MISSING VAT NO.",IF(OR($C228="",$C228="CY",Counterparties!G228&lt;&gt;"EU"),"NOT AN EU CUSTOMER","OK")))</f>
        <v/>
      </c>
    </row>
    <row r="229" customFormat="false" ht="15" hidden="false" customHeight="false" outlineLevel="0" collapsed="false">
      <c r="A229" s="30" t="str">
        <f aca="false">IF(Counterparties!A229="","",Counterparties!A229)</f>
        <v/>
      </c>
      <c r="B229" s="30" t="str">
        <f aca="false">IF(Counterparties!B229="","",Counterparties!B229)</f>
        <v/>
      </c>
      <c r="C229" s="30" t="str">
        <f aca="false">IF(Counterparties!C229="","",Counterparties!C229)</f>
        <v/>
      </c>
      <c r="D229" s="30" t="str">
        <f aca="false">IF(Counterparties!D229="","",Counterparties!D229)</f>
        <v/>
      </c>
      <c r="E229" s="30" t="str">
        <f aca="false">IF(Counterparties!E229="","",Counterparties!E229)</f>
        <v/>
      </c>
      <c r="F229" s="53" t="n">
        <f aca="false">IF($A229="",0,SUMIFS(GL_Input!$U:$U,GL_Input!$F:$F,$A229,GL_Input!$X:$X,"G",GL_Input!$Y:$Y,1))</f>
        <v>0</v>
      </c>
      <c r="G229" s="53" t="n">
        <f aca="false">IF($A229="",0,SUMIFS(GL_Input!$U:$U,GL_Input!$F:$F,$A229,GL_Input!$X:$X,"G",GL_Input!$Y:$Y,2))</f>
        <v>0</v>
      </c>
      <c r="H229" s="53" t="n">
        <f aca="false">IF($A229="",0,SUMIFS(GL_Input!$U:$U,GL_Input!$F:$F,$A229,GL_Input!$X:$X,"G",GL_Input!$Y:$Y,3))</f>
        <v>0</v>
      </c>
      <c r="I229" s="53" t="n">
        <f aca="false">IF($A229="",0,SUMIFS(GL_Input!$U:$U,GL_Input!$F:$F,$A229,GL_Input!$X:$X,"T",GL_Input!$Y:$Y,1))</f>
        <v>0</v>
      </c>
      <c r="J229" s="53" t="n">
        <f aca="false">IF($A229="",0,SUMIFS(GL_Input!$U:$U,GL_Input!$F:$F,$A229,GL_Input!$X:$X,"T",GL_Input!$Y:$Y,2))</f>
        <v>0</v>
      </c>
      <c r="K229" s="53" t="n">
        <f aca="false">IF($A229="",0,SUMIFS(GL_Input!$U:$U,GL_Input!$F:$F,$A229,GL_Input!$X:$X,"T",GL_Input!$Y:$Y,3))</f>
        <v>0</v>
      </c>
      <c r="L229" s="53" t="n">
        <f aca="false">IF($A229="",0,SUMIFS(GL_Input!$U:$U,GL_Input!$F:$F,$A229,GL_Input!$X:$X,"S",GL_Input!$Y:$Y,1))</f>
        <v>0</v>
      </c>
      <c r="M229" s="53" t="n">
        <f aca="false">IF($A229="",0,SUMIFS(GL_Input!$U:$U,GL_Input!$F:$F,$A229,GL_Input!$X:$X,"S",GL_Input!$Y:$Y,2))</f>
        <v>0</v>
      </c>
      <c r="N229" s="53" t="n">
        <f aca="false">IF($A229="",0,SUMIFS(GL_Input!$U:$U,GL_Input!$F:$F,$A229,GL_Input!$X:$X,"S",GL_Input!$Y:$Y,3))</f>
        <v>0</v>
      </c>
      <c r="O229" s="54" t="n">
        <f aca="false">SUM(F229:N229)</f>
        <v>0</v>
      </c>
      <c r="P229" s="15" t="str">
        <f aca="false">IF(O229=0,"",IF($D229="","MISSING VAT NO.",IF(OR($C229="",$C229="CY",Counterparties!G229&lt;&gt;"EU"),"NOT AN EU CUSTOMER","OK")))</f>
        <v/>
      </c>
    </row>
    <row r="230" customFormat="false" ht="15" hidden="false" customHeight="false" outlineLevel="0" collapsed="false">
      <c r="A230" s="30" t="str">
        <f aca="false">IF(Counterparties!A230="","",Counterparties!A230)</f>
        <v/>
      </c>
      <c r="B230" s="30" t="str">
        <f aca="false">IF(Counterparties!B230="","",Counterparties!B230)</f>
        <v/>
      </c>
      <c r="C230" s="30" t="str">
        <f aca="false">IF(Counterparties!C230="","",Counterparties!C230)</f>
        <v/>
      </c>
      <c r="D230" s="30" t="str">
        <f aca="false">IF(Counterparties!D230="","",Counterparties!D230)</f>
        <v/>
      </c>
      <c r="E230" s="30" t="str">
        <f aca="false">IF(Counterparties!E230="","",Counterparties!E230)</f>
        <v/>
      </c>
      <c r="F230" s="53" t="n">
        <f aca="false">IF($A230="",0,SUMIFS(GL_Input!$U:$U,GL_Input!$F:$F,$A230,GL_Input!$X:$X,"G",GL_Input!$Y:$Y,1))</f>
        <v>0</v>
      </c>
      <c r="G230" s="53" t="n">
        <f aca="false">IF($A230="",0,SUMIFS(GL_Input!$U:$U,GL_Input!$F:$F,$A230,GL_Input!$X:$X,"G",GL_Input!$Y:$Y,2))</f>
        <v>0</v>
      </c>
      <c r="H230" s="53" t="n">
        <f aca="false">IF($A230="",0,SUMIFS(GL_Input!$U:$U,GL_Input!$F:$F,$A230,GL_Input!$X:$X,"G",GL_Input!$Y:$Y,3))</f>
        <v>0</v>
      </c>
      <c r="I230" s="53" t="n">
        <f aca="false">IF($A230="",0,SUMIFS(GL_Input!$U:$U,GL_Input!$F:$F,$A230,GL_Input!$X:$X,"T",GL_Input!$Y:$Y,1))</f>
        <v>0</v>
      </c>
      <c r="J230" s="53" t="n">
        <f aca="false">IF($A230="",0,SUMIFS(GL_Input!$U:$U,GL_Input!$F:$F,$A230,GL_Input!$X:$X,"T",GL_Input!$Y:$Y,2))</f>
        <v>0</v>
      </c>
      <c r="K230" s="53" t="n">
        <f aca="false">IF($A230="",0,SUMIFS(GL_Input!$U:$U,GL_Input!$F:$F,$A230,GL_Input!$X:$X,"T",GL_Input!$Y:$Y,3))</f>
        <v>0</v>
      </c>
      <c r="L230" s="53" t="n">
        <f aca="false">IF($A230="",0,SUMIFS(GL_Input!$U:$U,GL_Input!$F:$F,$A230,GL_Input!$X:$X,"S",GL_Input!$Y:$Y,1))</f>
        <v>0</v>
      </c>
      <c r="M230" s="53" t="n">
        <f aca="false">IF($A230="",0,SUMIFS(GL_Input!$U:$U,GL_Input!$F:$F,$A230,GL_Input!$X:$X,"S",GL_Input!$Y:$Y,2))</f>
        <v>0</v>
      </c>
      <c r="N230" s="53" t="n">
        <f aca="false">IF($A230="",0,SUMIFS(GL_Input!$U:$U,GL_Input!$F:$F,$A230,GL_Input!$X:$X,"S",GL_Input!$Y:$Y,3))</f>
        <v>0</v>
      </c>
      <c r="O230" s="54" t="n">
        <f aca="false">SUM(F230:N230)</f>
        <v>0</v>
      </c>
      <c r="P230" s="15" t="str">
        <f aca="false">IF(O230=0,"",IF($D230="","MISSING VAT NO.",IF(OR($C230="",$C230="CY",Counterparties!G230&lt;&gt;"EU"),"NOT AN EU CUSTOMER","OK")))</f>
        <v/>
      </c>
    </row>
    <row r="231" customFormat="false" ht="15" hidden="false" customHeight="false" outlineLevel="0" collapsed="false">
      <c r="A231" s="30" t="str">
        <f aca="false">IF(Counterparties!A231="","",Counterparties!A231)</f>
        <v/>
      </c>
      <c r="B231" s="30" t="str">
        <f aca="false">IF(Counterparties!B231="","",Counterparties!B231)</f>
        <v/>
      </c>
      <c r="C231" s="30" t="str">
        <f aca="false">IF(Counterparties!C231="","",Counterparties!C231)</f>
        <v/>
      </c>
      <c r="D231" s="30" t="str">
        <f aca="false">IF(Counterparties!D231="","",Counterparties!D231)</f>
        <v/>
      </c>
      <c r="E231" s="30" t="str">
        <f aca="false">IF(Counterparties!E231="","",Counterparties!E231)</f>
        <v/>
      </c>
      <c r="F231" s="53" t="n">
        <f aca="false">IF($A231="",0,SUMIFS(GL_Input!$U:$U,GL_Input!$F:$F,$A231,GL_Input!$X:$X,"G",GL_Input!$Y:$Y,1))</f>
        <v>0</v>
      </c>
      <c r="G231" s="53" t="n">
        <f aca="false">IF($A231="",0,SUMIFS(GL_Input!$U:$U,GL_Input!$F:$F,$A231,GL_Input!$X:$X,"G",GL_Input!$Y:$Y,2))</f>
        <v>0</v>
      </c>
      <c r="H231" s="53" t="n">
        <f aca="false">IF($A231="",0,SUMIFS(GL_Input!$U:$U,GL_Input!$F:$F,$A231,GL_Input!$X:$X,"G",GL_Input!$Y:$Y,3))</f>
        <v>0</v>
      </c>
      <c r="I231" s="53" t="n">
        <f aca="false">IF($A231="",0,SUMIFS(GL_Input!$U:$U,GL_Input!$F:$F,$A231,GL_Input!$X:$X,"T",GL_Input!$Y:$Y,1))</f>
        <v>0</v>
      </c>
      <c r="J231" s="53" t="n">
        <f aca="false">IF($A231="",0,SUMIFS(GL_Input!$U:$U,GL_Input!$F:$F,$A231,GL_Input!$X:$X,"T",GL_Input!$Y:$Y,2))</f>
        <v>0</v>
      </c>
      <c r="K231" s="53" t="n">
        <f aca="false">IF($A231="",0,SUMIFS(GL_Input!$U:$U,GL_Input!$F:$F,$A231,GL_Input!$X:$X,"T",GL_Input!$Y:$Y,3))</f>
        <v>0</v>
      </c>
      <c r="L231" s="53" t="n">
        <f aca="false">IF($A231="",0,SUMIFS(GL_Input!$U:$U,GL_Input!$F:$F,$A231,GL_Input!$X:$X,"S",GL_Input!$Y:$Y,1))</f>
        <v>0</v>
      </c>
      <c r="M231" s="53" t="n">
        <f aca="false">IF($A231="",0,SUMIFS(GL_Input!$U:$U,GL_Input!$F:$F,$A231,GL_Input!$X:$X,"S",GL_Input!$Y:$Y,2))</f>
        <v>0</v>
      </c>
      <c r="N231" s="53" t="n">
        <f aca="false">IF($A231="",0,SUMIFS(GL_Input!$U:$U,GL_Input!$F:$F,$A231,GL_Input!$X:$X,"S",GL_Input!$Y:$Y,3))</f>
        <v>0</v>
      </c>
      <c r="O231" s="54" t="n">
        <f aca="false">SUM(F231:N231)</f>
        <v>0</v>
      </c>
      <c r="P231" s="15" t="str">
        <f aca="false">IF(O231=0,"",IF($D231="","MISSING VAT NO.",IF(OR($C231="",$C231="CY",Counterparties!G231&lt;&gt;"EU"),"NOT AN EU CUSTOMER","OK")))</f>
        <v/>
      </c>
    </row>
    <row r="232" customFormat="false" ht="15" hidden="false" customHeight="false" outlineLevel="0" collapsed="false">
      <c r="A232" s="30" t="str">
        <f aca="false">IF(Counterparties!A232="","",Counterparties!A232)</f>
        <v/>
      </c>
      <c r="B232" s="30" t="str">
        <f aca="false">IF(Counterparties!B232="","",Counterparties!B232)</f>
        <v/>
      </c>
      <c r="C232" s="30" t="str">
        <f aca="false">IF(Counterparties!C232="","",Counterparties!C232)</f>
        <v/>
      </c>
      <c r="D232" s="30" t="str">
        <f aca="false">IF(Counterparties!D232="","",Counterparties!D232)</f>
        <v/>
      </c>
      <c r="E232" s="30" t="str">
        <f aca="false">IF(Counterparties!E232="","",Counterparties!E232)</f>
        <v/>
      </c>
      <c r="F232" s="53" t="n">
        <f aca="false">IF($A232="",0,SUMIFS(GL_Input!$U:$U,GL_Input!$F:$F,$A232,GL_Input!$X:$X,"G",GL_Input!$Y:$Y,1))</f>
        <v>0</v>
      </c>
      <c r="G232" s="53" t="n">
        <f aca="false">IF($A232="",0,SUMIFS(GL_Input!$U:$U,GL_Input!$F:$F,$A232,GL_Input!$X:$X,"G",GL_Input!$Y:$Y,2))</f>
        <v>0</v>
      </c>
      <c r="H232" s="53" t="n">
        <f aca="false">IF($A232="",0,SUMIFS(GL_Input!$U:$U,GL_Input!$F:$F,$A232,GL_Input!$X:$X,"G",GL_Input!$Y:$Y,3))</f>
        <v>0</v>
      </c>
      <c r="I232" s="53" t="n">
        <f aca="false">IF($A232="",0,SUMIFS(GL_Input!$U:$U,GL_Input!$F:$F,$A232,GL_Input!$X:$X,"T",GL_Input!$Y:$Y,1))</f>
        <v>0</v>
      </c>
      <c r="J232" s="53" t="n">
        <f aca="false">IF($A232="",0,SUMIFS(GL_Input!$U:$U,GL_Input!$F:$F,$A232,GL_Input!$X:$X,"T",GL_Input!$Y:$Y,2))</f>
        <v>0</v>
      </c>
      <c r="K232" s="53" t="n">
        <f aca="false">IF($A232="",0,SUMIFS(GL_Input!$U:$U,GL_Input!$F:$F,$A232,GL_Input!$X:$X,"T",GL_Input!$Y:$Y,3))</f>
        <v>0</v>
      </c>
      <c r="L232" s="53" t="n">
        <f aca="false">IF($A232="",0,SUMIFS(GL_Input!$U:$U,GL_Input!$F:$F,$A232,GL_Input!$X:$X,"S",GL_Input!$Y:$Y,1))</f>
        <v>0</v>
      </c>
      <c r="M232" s="53" t="n">
        <f aca="false">IF($A232="",0,SUMIFS(GL_Input!$U:$U,GL_Input!$F:$F,$A232,GL_Input!$X:$X,"S",GL_Input!$Y:$Y,2))</f>
        <v>0</v>
      </c>
      <c r="N232" s="53" t="n">
        <f aca="false">IF($A232="",0,SUMIFS(GL_Input!$U:$U,GL_Input!$F:$F,$A232,GL_Input!$X:$X,"S",GL_Input!$Y:$Y,3))</f>
        <v>0</v>
      </c>
      <c r="O232" s="54" t="n">
        <f aca="false">SUM(F232:N232)</f>
        <v>0</v>
      </c>
      <c r="P232" s="15" t="str">
        <f aca="false">IF(O232=0,"",IF($D232="","MISSING VAT NO.",IF(OR($C232="",$C232="CY",Counterparties!G232&lt;&gt;"EU"),"NOT AN EU CUSTOMER","OK")))</f>
        <v/>
      </c>
    </row>
    <row r="233" customFormat="false" ht="15" hidden="false" customHeight="false" outlineLevel="0" collapsed="false">
      <c r="A233" s="30" t="str">
        <f aca="false">IF(Counterparties!A233="","",Counterparties!A233)</f>
        <v/>
      </c>
      <c r="B233" s="30" t="str">
        <f aca="false">IF(Counterparties!B233="","",Counterparties!B233)</f>
        <v/>
      </c>
      <c r="C233" s="30" t="str">
        <f aca="false">IF(Counterparties!C233="","",Counterparties!C233)</f>
        <v/>
      </c>
      <c r="D233" s="30" t="str">
        <f aca="false">IF(Counterparties!D233="","",Counterparties!D233)</f>
        <v/>
      </c>
      <c r="E233" s="30" t="str">
        <f aca="false">IF(Counterparties!E233="","",Counterparties!E233)</f>
        <v/>
      </c>
      <c r="F233" s="53" t="n">
        <f aca="false">IF($A233="",0,SUMIFS(GL_Input!$U:$U,GL_Input!$F:$F,$A233,GL_Input!$X:$X,"G",GL_Input!$Y:$Y,1))</f>
        <v>0</v>
      </c>
      <c r="G233" s="53" t="n">
        <f aca="false">IF($A233="",0,SUMIFS(GL_Input!$U:$U,GL_Input!$F:$F,$A233,GL_Input!$X:$X,"G",GL_Input!$Y:$Y,2))</f>
        <v>0</v>
      </c>
      <c r="H233" s="53" t="n">
        <f aca="false">IF($A233="",0,SUMIFS(GL_Input!$U:$U,GL_Input!$F:$F,$A233,GL_Input!$X:$X,"G",GL_Input!$Y:$Y,3))</f>
        <v>0</v>
      </c>
      <c r="I233" s="53" t="n">
        <f aca="false">IF($A233="",0,SUMIFS(GL_Input!$U:$U,GL_Input!$F:$F,$A233,GL_Input!$X:$X,"T",GL_Input!$Y:$Y,1))</f>
        <v>0</v>
      </c>
      <c r="J233" s="53" t="n">
        <f aca="false">IF($A233="",0,SUMIFS(GL_Input!$U:$U,GL_Input!$F:$F,$A233,GL_Input!$X:$X,"T",GL_Input!$Y:$Y,2))</f>
        <v>0</v>
      </c>
      <c r="K233" s="53" t="n">
        <f aca="false">IF($A233="",0,SUMIFS(GL_Input!$U:$U,GL_Input!$F:$F,$A233,GL_Input!$X:$X,"T",GL_Input!$Y:$Y,3))</f>
        <v>0</v>
      </c>
      <c r="L233" s="53" t="n">
        <f aca="false">IF($A233="",0,SUMIFS(GL_Input!$U:$U,GL_Input!$F:$F,$A233,GL_Input!$X:$X,"S",GL_Input!$Y:$Y,1))</f>
        <v>0</v>
      </c>
      <c r="M233" s="53" t="n">
        <f aca="false">IF($A233="",0,SUMIFS(GL_Input!$U:$U,GL_Input!$F:$F,$A233,GL_Input!$X:$X,"S",GL_Input!$Y:$Y,2))</f>
        <v>0</v>
      </c>
      <c r="N233" s="53" t="n">
        <f aca="false">IF($A233="",0,SUMIFS(GL_Input!$U:$U,GL_Input!$F:$F,$A233,GL_Input!$X:$X,"S",GL_Input!$Y:$Y,3))</f>
        <v>0</v>
      </c>
      <c r="O233" s="54" t="n">
        <f aca="false">SUM(F233:N233)</f>
        <v>0</v>
      </c>
      <c r="P233" s="15" t="str">
        <f aca="false">IF(O233=0,"",IF($D233="","MISSING VAT NO.",IF(OR($C233="",$C233="CY",Counterparties!G233&lt;&gt;"EU"),"NOT AN EU CUSTOMER","OK")))</f>
        <v/>
      </c>
    </row>
    <row r="234" customFormat="false" ht="15" hidden="false" customHeight="false" outlineLevel="0" collapsed="false">
      <c r="A234" s="30" t="str">
        <f aca="false">IF(Counterparties!A234="","",Counterparties!A234)</f>
        <v/>
      </c>
      <c r="B234" s="30" t="str">
        <f aca="false">IF(Counterparties!B234="","",Counterparties!B234)</f>
        <v/>
      </c>
      <c r="C234" s="30" t="str">
        <f aca="false">IF(Counterparties!C234="","",Counterparties!C234)</f>
        <v/>
      </c>
      <c r="D234" s="30" t="str">
        <f aca="false">IF(Counterparties!D234="","",Counterparties!D234)</f>
        <v/>
      </c>
      <c r="E234" s="30" t="str">
        <f aca="false">IF(Counterparties!E234="","",Counterparties!E234)</f>
        <v/>
      </c>
      <c r="F234" s="53" t="n">
        <f aca="false">IF($A234="",0,SUMIFS(GL_Input!$U:$U,GL_Input!$F:$F,$A234,GL_Input!$X:$X,"G",GL_Input!$Y:$Y,1))</f>
        <v>0</v>
      </c>
      <c r="G234" s="53" t="n">
        <f aca="false">IF($A234="",0,SUMIFS(GL_Input!$U:$U,GL_Input!$F:$F,$A234,GL_Input!$X:$X,"G",GL_Input!$Y:$Y,2))</f>
        <v>0</v>
      </c>
      <c r="H234" s="53" t="n">
        <f aca="false">IF($A234="",0,SUMIFS(GL_Input!$U:$U,GL_Input!$F:$F,$A234,GL_Input!$X:$X,"G",GL_Input!$Y:$Y,3))</f>
        <v>0</v>
      </c>
      <c r="I234" s="53" t="n">
        <f aca="false">IF($A234="",0,SUMIFS(GL_Input!$U:$U,GL_Input!$F:$F,$A234,GL_Input!$X:$X,"T",GL_Input!$Y:$Y,1))</f>
        <v>0</v>
      </c>
      <c r="J234" s="53" t="n">
        <f aca="false">IF($A234="",0,SUMIFS(GL_Input!$U:$U,GL_Input!$F:$F,$A234,GL_Input!$X:$X,"T",GL_Input!$Y:$Y,2))</f>
        <v>0</v>
      </c>
      <c r="K234" s="53" t="n">
        <f aca="false">IF($A234="",0,SUMIFS(GL_Input!$U:$U,GL_Input!$F:$F,$A234,GL_Input!$X:$X,"T",GL_Input!$Y:$Y,3))</f>
        <v>0</v>
      </c>
      <c r="L234" s="53" t="n">
        <f aca="false">IF($A234="",0,SUMIFS(GL_Input!$U:$U,GL_Input!$F:$F,$A234,GL_Input!$X:$X,"S",GL_Input!$Y:$Y,1))</f>
        <v>0</v>
      </c>
      <c r="M234" s="53" t="n">
        <f aca="false">IF($A234="",0,SUMIFS(GL_Input!$U:$U,GL_Input!$F:$F,$A234,GL_Input!$X:$X,"S",GL_Input!$Y:$Y,2))</f>
        <v>0</v>
      </c>
      <c r="N234" s="53" t="n">
        <f aca="false">IF($A234="",0,SUMIFS(GL_Input!$U:$U,GL_Input!$F:$F,$A234,GL_Input!$X:$X,"S",GL_Input!$Y:$Y,3))</f>
        <v>0</v>
      </c>
      <c r="O234" s="54" t="n">
        <f aca="false">SUM(F234:N234)</f>
        <v>0</v>
      </c>
      <c r="P234" s="15" t="str">
        <f aca="false">IF(O234=0,"",IF($D234="","MISSING VAT NO.",IF(OR($C234="",$C234="CY",Counterparties!G234&lt;&gt;"EU"),"NOT AN EU CUSTOMER","OK")))</f>
        <v/>
      </c>
    </row>
    <row r="235" customFormat="false" ht="15" hidden="false" customHeight="false" outlineLevel="0" collapsed="false">
      <c r="A235" s="30" t="str">
        <f aca="false">IF(Counterparties!A235="","",Counterparties!A235)</f>
        <v/>
      </c>
      <c r="B235" s="30" t="str">
        <f aca="false">IF(Counterparties!B235="","",Counterparties!B235)</f>
        <v/>
      </c>
      <c r="C235" s="30" t="str">
        <f aca="false">IF(Counterparties!C235="","",Counterparties!C235)</f>
        <v/>
      </c>
      <c r="D235" s="30" t="str">
        <f aca="false">IF(Counterparties!D235="","",Counterparties!D235)</f>
        <v/>
      </c>
      <c r="E235" s="30" t="str">
        <f aca="false">IF(Counterparties!E235="","",Counterparties!E235)</f>
        <v/>
      </c>
      <c r="F235" s="53" t="n">
        <f aca="false">IF($A235="",0,SUMIFS(GL_Input!$U:$U,GL_Input!$F:$F,$A235,GL_Input!$X:$X,"G",GL_Input!$Y:$Y,1))</f>
        <v>0</v>
      </c>
      <c r="G235" s="53" t="n">
        <f aca="false">IF($A235="",0,SUMIFS(GL_Input!$U:$U,GL_Input!$F:$F,$A235,GL_Input!$X:$X,"G",GL_Input!$Y:$Y,2))</f>
        <v>0</v>
      </c>
      <c r="H235" s="53" t="n">
        <f aca="false">IF($A235="",0,SUMIFS(GL_Input!$U:$U,GL_Input!$F:$F,$A235,GL_Input!$X:$X,"G",GL_Input!$Y:$Y,3))</f>
        <v>0</v>
      </c>
      <c r="I235" s="53" t="n">
        <f aca="false">IF($A235="",0,SUMIFS(GL_Input!$U:$U,GL_Input!$F:$F,$A235,GL_Input!$X:$X,"T",GL_Input!$Y:$Y,1))</f>
        <v>0</v>
      </c>
      <c r="J235" s="53" t="n">
        <f aca="false">IF($A235="",0,SUMIFS(GL_Input!$U:$U,GL_Input!$F:$F,$A235,GL_Input!$X:$X,"T",GL_Input!$Y:$Y,2))</f>
        <v>0</v>
      </c>
      <c r="K235" s="53" t="n">
        <f aca="false">IF($A235="",0,SUMIFS(GL_Input!$U:$U,GL_Input!$F:$F,$A235,GL_Input!$X:$X,"T",GL_Input!$Y:$Y,3))</f>
        <v>0</v>
      </c>
      <c r="L235" s="53" t="n">
        <f aca="false">IF($A235="",0,SUMIFS(GL_Input!$U:$U,GL_Input!$F:$F,$A235,GL_Input!$X:$X,"S",GL_Input!$Y:$Y,1))</f>
        <v>0</v>
      </c>
      <c r="M235" s="53" t="n">
        <f aca="false">IF($A235="",0,SUMIFS(GL_Input!$U:$U,GL_Input!$F:$F,$A235,GL_Input!$X:$X,"S",GL_Input!$Y:$Y,2))</f>
        <v>0</v>
      </c>
      <c r="N235" s="53" t="n">
        <f aca="false">IF($A235="",0,SUMIFS(GL_Input!$U:$U,GL_Input!$F:$F,$A235,GL_Input!$X:$X,"S",GL_Input!$Y:$Y,3))</f>
        <v>0</v>
      </c>
      <c r="O235" s="54" t="n">
        <f aca="false">SUM(F235:N235)</f>
        <v>0</v>
      </c>
      <c r="P235" s="15" t="str">
        <f aca="false">IF(O235=0,"",IF($D235="","MISSING VAT NO.",IF(OR($C235="",$C235="CY",Counterparties!G235&lt;&gt;"EU"),"NOT AN EU CUSTOMER","OK")))</f>
        <v/>
      </c>
    </row>
    <row r="236" customFormat="false" ht="15" hidden="false" customHeight="false" outlineLevel="0" collapsed="false">
      <c r="A236" s="30" t="str">
        <f aca="false">IF(Counterparties!A236="","",Counterparties!A236)</f>
        <v/>
      </c>
      <c r="B236" s="30" t="str">
        <f aca="false">IF(Counterparties!B236="","",Counterparties!B236)</f>
        <v/>
      </c>
      <c r="C236" s="30" t="str">
        <f aca="false">IF(Counterparties!C236="","",Counterparties!C236)</f>
        <v/>
      </c>
      <c r="D236" s="30" t="str">
        <f aca="false">IF(Counterparties!D236="","",Counterparties!D236)</f>
        <v/>
      </c>
      <c r="E236" s="30" t="str">
        <f aca="false">IF(Counterparties!E236="","",Counterparties!E236)</f>
        <v/>
      </c>
      <c r="F236" s="53" t="n">
        <f aca="false">IF($A236="",0,SUMIFS(GL_Input!$U:$U,GL_Input!$F:$F,$A236,GL_Input!$X:$X,"G",GL_Input!$Y:$Y,1))</f>
        <v>0</v>
      </c>
      <c r="G236" s="53" t="n">
        <f aca="false">IF($A236="",0,SUMIFS(GL_Input!$U:$U,GL_Input!$F:$F,$A236,GL_Input!$X:$X,"G",GL_Input!$Y:$Y,2))</f>
        <v>0</v>
      </c>
      <c r="H236" s="53" t="n">
        <f aca="false">IF($A236="",0,SUMIFS(GL_Input!$U:$U,GL_Input!$F:$F,$A236,GL_Input!$X:$X,"G",GL_Input!$Y:$Y,3))</f>
        <v>0</v>
      </c>
      <c r="I236" s="53" t="n">
        <f aca="false">IF($A236="",0,SUMIFS(GL_Input!$U:$U,GL_Input!$F:$F,$A236,GL_Input!$X:$X,"T",GL_Input!$Y:$Y,1))</f>
        <v>0</v>
      </c>
      <c r="J236" s="53" t="n">
        <f aca="false">IF($A236="",0,SUMIFS(GL_Input!$U:$U,GL_Input!$F:$F,$A236,GL_Input!$X:$X,"T",GL_Input!$Y:$Y,2))</f>
        <v>0</v>
      </c>
      <c r="K236" s="53" t="n">
        <f aca="false">IF($A236="",0,SUMIFS(GL_Input!$U:$U,GL_Input!$F:$F,$A236,GL_Input!$X:$X,"T",GL_Input!$Y:$Y,3))</f>
        <v>0</v>
      </c>
      <c r="L236" s="53" t="n">
        <f aca="false">IF($A236="",0,SUMIFS(GL_Input!$U:$U,GL_Input!$F:$F,$A236,GL_Input!$X:$X,"S",GL_Input!$Y:$Y,1))</f>
        <v>0</v>
      </c>
      <c r="M236" s="53" t="n">
        <f aca="false">IF($A236="",0,SUMIFS(GL_Input!$U:$U,GL_Input!$F:$F,$A236,GL_Input!$X:$X,"S",GL_Input!$Y:$Y,2))</f>
        <v>0</v>
      </c>
      <c r="N236" s="53" t="n">
        <f aca="false">IF($A236="",0,SUMIFS(GL_Input!$U:$U,GL_Input!$F:$F,$A236,GL_Input!$X:$X,"S",GL_Input!$Y:$Y,3))</f>
        <v>0</v>
      </c>
      <c r="O236" s="54" t="n">
        <f aca="false">SUM(F236:N236)</f>
        <v>0</v>
      </c>
      <c r="P236" s="15" t="str">
        <f aca="false">IF(O236=0,"",IF($D236="","MISSING VAT NO.",IF(OR($C236="",$C236="CY",Counterparties!G236&lt;&gt;"EU"),"NOT AN EU CUSTOMER","OK")))</f>
        <v/>
      </c>
    </row>
    <row r="237" customFormat="false" ht="15" hidden="false" customHeight="false" outlineLevel="0" collapsed="false">
      <c r="A237" s="30" t="str">
        <f aca="false">IF(Counterparties!A237="","",Counterparties!A237)</f>
        <v/>
      </c>
      <c r="B237" s="30" t="str">
        <f aca="false">IF(Counterparties!B237="","",Counterparties!B237)</f>
        <v/>
      </c>
      <c r="C237" s="30" t="str">
        <f aca="false">IF(Counterparties!C237="","",Counterparties!C237)</f>
        <v/>
      </c>
      <c r="D237" s="30" t="str">
        <f aca="false">IF(Counterparties!D237="","",Counterparties!D237)</f>
        <v/>
      </c>
      <c r="E237" s="30" t="str">
        <f aca="false">IF(Counterparties!E237="","",Counterparties!E237)</f>
        <v/>
      </c>
      <c r="F237" s="53" t="n">
        <f aca="false">IF($A237="",0,SUMIFS(GL_Input!$U:$U,GL_Input!$F:$F,$A237,GL_Input!$X:$X,"G",GL_Input!$Y:$Y,1))</f>
        <v>0</v>
      </c>
      <c r="G237" s="53" t="n">
        <f aca="false">IF($A237="",0,SUMIFS(GL_Input!$U:$U,GL_Input!$F:$F,$A237,GL_Input!$X:$X,"G",GL_Input!$Y:$Y,2))</f>
        <v>0</v>
      </c>
      <c r="H237" s="53" t="n">
        <f aca="false">IF($A237="",0,SUMIFS(GL_Input!$U:$U,GL_Input!$F:$F,$A237,GL_Input!$X:$X,"G",GL_Input!$Y:$Y,3))</f>
        <v>0</v>
      </c>
      <c r="I237" s="53" t="n">
        <f aca="false">IF($A237="",0,SUMIFS(GL_Input!$U:$U,GL_Input!$F:$F,$A237,GL_Input!$X:$X,"T",GL_Input!$Y:$Y,1))</f>
        <v>0</v>
      </c>
      <c r="J237" s="53" t="n">
        <f aca="false">IF($A237="",0,SUMIFS(GL_Input!$U:$U,GL_Input!$F:$F,$A237,GL_Input!$X:$X,"T",GL_Input!$Y:$Y,2))</f>
        <v>0</v>
      </c>
      <c r="K237" s="53" t="n">
        <f aca="false">IF($A237="",0,SUMIFS(GL_Input!$U:$U,GL_Input!$F:$F,$A237,GL_Input!$X:$X,"T",GL_Input!$Y:$Y,3))</f>
        <v>0</v>
      </c>
      <c r="L237" s="53" t="n">
        <f aca="false">IF($A237="",0,SUMIFS(GL_Input!$U:$U,GL_Input!$F:$F,$A237,GL_Input!$X:$X,"S",GL_Input!$Y:$Y,1))</f>
        <v>0</v>
      </c>
      <c r="M237" s="53" t="n">
        <f aca="false">IF($A237="",0,SUMIFS(GL_Input!$U:$U,GL_Input!$F:$F,$A237,GL_Input!$X:$X,"S",GL_Input!$Y:$Y,2))</f>
        <v>0</v>
      </c>
      <c r="N237" s="53" t="n">
        <f aca="false">IF($A237="",0,SUMIFS(GL_Input!$U:$U,GL_Input!$F:$F,$A237,GL_Input!$X:$X,"S",GL_Input!$Y:$Y,3))</f>
        <v>0</v>
      </c>
      <c r="O237" s="54" t="n">
        <f aca="false">SUM(F237:N237)</f>
        <v>0</v>
      </c>
      <c r="P237" s="15" t="str">
        <f aca="false">IF(O237=0,"",IF($D237="","MISSING VAT NO.",IF(OR($C237="",$C237="CY",Counterparties!G237&lt;&gt;"EU"),"NOT AN EU CUSTOMER","OK")))</f>
        <v/>
      </c>
    </row>
    <row r="238" customFormat="false" ht="15" hidden="false" customHeight="false" outlineLevel="0" collapsed="false">
      <c r="A238" s="30" t="str">
        <f aca="false">IF(Counterparties!A238="","",Counterparties!A238)</f>
        <v/>
      </c>
      <c r="B238" s="30" t="str">
        <f aca="false">IF(Counterparties!B238="","",Counterparties!B238)</f>
        <v/>
      </c>
      <c r="C238" s="30" t="str">
        <f aca="false">IF(Counterparties!C238="","",Counterparties!C238)</f>
        <v/>
      </c>
      <c r="D238" s="30" t="str">
        <f aca="false">IF(Counterparties!D238="","",Counterparties!D238)</f>
        <v/>
      </c>
      <c r="E238" s="30" t="str">
        <f aca="false">IF(Counterparties!E238="","",Counterparties!E238)</f>
        <v/>
      </c>
      <c r="F238" s="53" t="n">
        <f aca="false">IF($A238="",0,SUMIFS(GL_Input!$U:$U,GL_Input!$F:$F,$A238,GL_Input!$X:$X,"G",GL_Input!$Y:$Y,1))</f>
        <v>0</v>
      </c>
      <c r="G238" s="53" t="n">
        <f aca="false">IF($A238="",0,SUMIFS(GL_Input!$U:$U,GL_Input!$F:$F,$A238,GL_Input!$X:$X,"G",GL_Input!$Y:$Y,2))</f>
        <v>0</v>
      </c>
      <c r="H238" s="53" t="n">
        <f aca="false">IF($A238="",0,SUMIFS(GL_Input!$U:$U,GL_Input!$F:$F,$A238,GL_Input!$X:$X,"G",GL_Input!$Y:$Y,3))</f>
        <v>0</v>
      </c>
      <c r="I238" s="53" t="n">
        <f aca="false">IF($A238="",0,SUMIFS(GL_Input!$U:$U,GL_Input!$F:$F,$A238,GL_Input!$X:$X,"T",GL_Input!$Y:$Y,1))</f>
        <v>0</v>
      </c>
      <c r="J238" s="53" t="n">
        <f aca="false">IF($A238="",0,SUMIFS(GL_Input!$U:$U,GL_Input!$F:$F,$A238,GL_Input!$X:$X,"T",GL_Input!$Y:$Y,2))</f>
        <v>0</v>
      </c>
      <c r="K238" s="53" t="n">
        <f aca="false">IF($A238="",0,SUMIFS(GL_Input!$U:$U,GL_Input!$F:$F,$A238,GL_Input!$X:$X,"T",GL_Input!$Y:$Y,3))</f>
        <v>0</v>
      </c>
      <c r="L238" s="53" t="n">
        <f aca="false">IF($A238="",0,SUMIFS(GL_Input!$U:$U,GL_Input!$F:$F,$A238,GL_Input!$X:$X,"S",GL_Input!$Y:$Y,1))</f>
        <v>0</v>
      </c>
      <c r="M238" s="53" t="n">
        <f aca="false">IF($A238="",0,SUMIFS(GL_Input!$U:$U,GL_Input!$F:$F,$A238,GL_Input!$X:$X,"S",GL_Input!$Y:$Y,2))</f>
        <v>0</v>
      </c>
      <c r="N238" s="53" t="n">
        <f aca="false">IF($A238="",0,SUMIFS(GL_Input!$U:$U,GL_Input!$F:$F,$A238,GL_Input!$X:$X,"S",GL_Input!$Y:$Y,3))</f>
        <v>0</v>
      </c>
      <c r="O238" s="54" t="n">
        <f aca="false">SUM(F238:N238)</f>
        <v>0</v>
      </c>
      <c r="P238" s="15" t="str">
        <f aca="false">IF(O238=0,"",IF($D238="","MISSING VAT NO.",IF(OR($C238="",$C238="CY",Counterparties!G238&lt;&gt;"EU"),"NOT AN EU CUSTOMER","OK")))</f>
        <v/>
      </c>
    </row>
    <row r="239" customFormat="false" ht="15" hidden="false" customHeight="false" outlineLevel="0" collapsed="false">
      <c r="A239" s="30" t="str">
        <f aca="false">IF(Counterparties!A239="","",Counterparties!A239)</f>
        <v/>
      </c>
      <c r="B239" s="30" t="str">
        <f aca="false">IF(Counterparties!B239="","",Counterparties!B239)</f>
        <v/>
      </c>
      <c r="C239" s="30" t="str">
        <f aca="false">IF(Counterparties!C239="","",Counterparties!C239)</f>
        <v/>
      </c>
      <c r="D239" s="30" t="str">
        <f aca="false">IF(Counterparties!D239="","",Counterparties!D239)</f>
        <v/>
      </c>
      <c r="E239" s="30" t="str">
        <f aca="false">IF(Counterparties!E239="","",Counterparties!E239)</f>
        <v/>
      </c>
      <c r="F239" s="53" t="n">
        <f aca="false">IF($A239="",0,SUMIFS(GL_Input!$U:$U,GL_Input!$F:$F,$A239,GL_Input!$X:$X,"G",GL_Input!$Y:$Y,1))</f>
        <v>0</v>
      </c>
      <c r="G239" s="53" t="n">
        <f aca="false">IF($A239="",0,SUMIFS(GL_Input!$U:$U,GL_Input!$F:$F,$A239,GL_Input!$X:$X,"G",GL_Input!$Y:$Y,2))</f>
        <v>0</v>
      </c>
      <c r="H239" s="53" t="n">
        <f aca="false">IF($A239="",0,SUMIFS(GL_Input!$U:$U,GL_Input!$F:$F,$A239,GL_Input!$X:$X,"G",GL_Input!$Y:$Y,3))</f>
        <v>0</v>
      </c>
      <c r="I239" s="53" t="n">
        <f aca="false">IF($A239="",0,SUMIFS(GL_Input!$U:$U,GL_Input!$F:$F,$A239,GL_Input!$X:$X,"T",GL_Input!$Y:$Y,1))</f>
        <v>0</v>
      </c>
      <c r="J239" s="53" t="n">
        <f aca="false">IF($A239="",0,SUMIFS(GL_Input!$U:$U,GL_Input!$F:$F,$A239,GL_Input!$X:$X,"T",GL_Input!$Y:$Y,2))</f>
        <v>0</v>
      </c>
      <c r="K239" s="53" t="n">
        <f aca="false">IF($A239="",0,SUMIFS(GL_Input!$U:$U,GL_Input!$F:$F,$A239,GL_Input!$X:$X,"T",GL_Input!$Y:$Y,3))</f>
        <v>0</v>
      </c>
      <c r="L239" s="53" t="n">
        <f aca="false">IF($A239="",0,SUMIFS(GL_Input!$U:$U,GL_Input!$F:$F,$A239,GL_Input!$X:$X,"S",GL_Input!$Y:$Y,1))</f>
        <v>0</v>
      </c>
      <c r="M239" s="53" t="n">
        <f aca="false">IF($A239="",0,SUMIFS(GL_Input!$U:$U,GL_Input!$F:$F,$A239,GL_Input!$X:$X,"S",GL_Input!$Y:$Y,2))</f>
        <v>0</v>
      </c>
      <c r="N239" s="53" t="n">
        <f aca="false">IF($A239="",0,SUMIFS(GL_Input!$U:$U,GL_Input!$F:$F,$A239,GL_Input!$X:$X,"S",GL_Input!$Y:$Y,3))</f>
        <v>0</v>
      </c>
      <c r="O239" s="54" t="n">
        <f aca="false">SUM(F239:N239)</f>
        <v>0</v>
      </c>
      <c r="P239" s="15" t="str">
        <f aca="false">IF(O239=0,"",IF($D239="","MISSING VAT NO.",IF(OR($C239="",$C239="CY",Counterparties!G239&lt;&gt;"EU"),"NOT AN EU CUSTOMER","OK")))</f>
        <v/>
      </c>
    </row>
    <row r="240" customFormat="false" ht="15" hidden="false" customHeight="false" outlineLevel="0" collapsed="false">
      <c r="A240" s="30" t="str">
        <f aca="false">IF(Counterparties!A240="","",Counterparties!A240)</f>
        <v/>
      </c>
      <c r="B240" s="30" t="str">
        <f aca="false">IF(Counterparties!B240="","",Counterparties!B240)</f>
        <v/>
      </c>
      <c r="C240" s="30" t="str">
        <f aca="false">IF(Counterparties!C240="","",Counterparties!C240)</f>
        <v/>
      </c>
      <c r="D240" s="30" t="str">
        <f aca="false">IF(Counterparties!D240="","",Counterparties!D240)</f>
        <v/>
      </c>
      <c r="E240" s="30" t="str">
        <f aca="false">IF(Counterparties!E240="","",Counterparties!E240)</f>
        <v/>
      </c>
      <c r="F240" s="53" t="n">
        <f aca="false">IF($A240="",0,SUMIFS(GL_Input!$U:$U,GL_Input!$F:$F,$A240,GL_Input!$X:$X,"G",GL_Input!$Y:$Y,1))</f>
        <v>0</v>
      </c>
      <c r="G240" s="53" t="n">
        <f aca="false">IF($A240="",0,SUMIFS(GL_Input!$U:$U,GL_Input!$F:$F,$A240,GL_Input!$X:$X,"G",GL_Input!$Y:$Y,2))</f>
        <v>0</v>
      </c>
      <c r="H240" s="53" t="n">
        <f aca="false">IF($A240="",0,SUMIFS(GL_Input!$U:$U,GL_Input!$F:$F,$A240,GL_Input!$X:$X,"G",GL_Input!$Y:$Y,3))</f>
        <v>0</v>
      </c>
      <c r="I240" s="53" t="n">
        <f aca="false">IF($A240="",0,SUMIFS(GL_Input!$U:$U,GL_Input!$F:$F,$A240,GL_Input!$X:$X,"T",GL_Input!$Y:$Y,1))</f>
        <v>0</v>
      </c>
      <c r="J240" s="53" t="n">
        <f aca="false">IF($A240="",0,SUMIFS(GL_Input!$U:$U,GL_Input!$F:$F,$A240,GL_Input!$X:$X,"T",GL_Input!$Y:$Y,2))</f>
        <v>0</v>
      </c>
      <c r="K240" s="53" t="n">
        <f aca="false">IF($A240="",0,SUMIFS(GL_Input!$U:$U,GL_Input!$F:$F,$A240,GL_Input!$X:$X,"T",GL_Input!$Y:$Y,3))</f>
        <v>0</v>
      </c>
      <c r="L240" s="53" t="n">
        <f aca="false">IF($A240="",0,SUMIFS(GL_Input!$U:$U,GL_Input!$F:$F,$A240,GL_Input!$X:$X,"S",GL_Input!$Y:$Y,1))</f>
        <v>0</v>
      </c>
      <c r="M240" s="53" t="n">
        <f aca="false">IF($A240="",0,SUMIFS(GL_Input!$U:$U,GL_Input!$F:$F,$A240,GL_Input!$X:$X,"S",GL_Input!$Y:$Y,2))</f>
        <v>0</v>
      </c>
      <c r="N240" s="53" t="n">
        <f aca="false">IF($A240="",0,SUMIFS(GL_Input!$U:$U,GL_Input!$F:$F,$A240,GL_Input!$X:$X,"S",GL_Input!$Y:$Y,3))</f>
        <v>0</v>
      </c>
      <c r="O240" s="54" t="n">
        <f aca="false">SUM(F240:N240)</f>
        <v>0</v>
      </c>
      <c r="P240" s="15" t="str">
        <f aca="false">IF(O240=0,"",IF($D240="","MISSING VAT NO.",IF(OR($C240="",$C240="CY",Counterparties!G240&lt;&gt;"EU"),"NOT AN EU CUSTOMER","OK")))</f>
        <v/>
      </c>
    </row>
    <row r="241" customFormat="false" ht="15" hidden="false" customHeight="false" outlineLevel="0" collapsed="false">
      <c r="A241" s="30" t="str">
        <f aca="false">IF(Counterparties!A241="","",Counterparties!A241)</f>
        <v/>
      </c>
      <c r="B241" s="30" t="str">
        <f aca="false">IF(Counterparties!B241="","",Counterparties!B241)</f>
        <v/>
      </c>
      <c r="C241" s="30" t="str">
        <f aca="false">IF(Counterparties!C241="","",Counterparties!C241)</f>
        <v/>
      </c>
      <c r="D241" s="30" t="str">
        <f aca="false">IF(Counterparties!D241="","",Counterparties!D241)</f>
        <v/>
      </c>
      <c r="E241" s="30" t="str">
        <f aca="false">IF(Counterparties!E241="","",Counterparties!E241)</f>
        <v/>
      </c>
      <c r="F241" s="53" t="n">
        <f aca="false">IF($A241="",0,SUMIFS(GL_Input!$U:$U,GL_Input!$F:$F,$A241,GL_Input!$X:$X,"G",GL_Input!$Y:$Y,1))</f>
        <v>0</v>
      </c>
      <c r="G241" s="53" t="n">
        <f aca="false">IF($A241="",0,SUMIFS(GL_Input!$U:$U,GL_Input!$F:$F,$A241,GL_Input!$X:$X,"G",GL_Input!$Y:$Y,2))</f>
        <v>0</v>
      </c>
      <c r="H241" s="53" t="n">
        <f aca="false">IF($A241="",0,SUMIFS(GL_Input!$U:$U,GL_Input!$F:$F,$A241,GL_Input!$X:$X,"G",GL_Input!$Y:$Y,3))</f>
        <v>0</v>
      </c>
      <c r="I241" s="53" t="n">
        <f aca="false">IF($A241="",0,SUMIFS(GL_Input!$U:$U,GL_Input!$F:$F,$A241,GL_Input!$X:$X,"T",GL_Input!$Y:$Y,1))</f>
        <v>0</v>
      </c>
      <c r="J241" s="53" t="n">
        <f aca="false">IF($A241="",0,SUMIFS(GL_Input!$U:$U,GL_Input!$F:$F,$A241,GL_Input!$X:$X,"T",GL_Input!$Y:$Y,2))</f>
        <v>0</v>
      </c>
      <c r="K241" s="53" t="n">
        <f aca="false">IF($A241="",0,SUMIFS(GL_Input!$U:$U,GL_Input!$F:$F,$A241,GL_Input!$X:$X,"T",GL_Input!$Y:$Y,3))</f>
        <v>0</v>
      </c>
      <c r="L241" s="53" t="n">
        <f aca="false">IF($A241="",0,SUMIFS(GL_Input!$U:$U,GL_Input!$F:$F,$A241,GL_Input!$X:$X,"S",GL_Input!$Y:$Y,1))</f>
        <v>0</v>
      </c>
      <c r="M241" s="53" t="n">
        <f aca="false">IF($A241="",0,SUMIFS(GL_Input!$U:$U,GL_Input!$F:$F,$A241,GL_Input!$X:$X,"S",GL_Input!$Y:$Y,2))</f>
        <v>0</v>
      </c>
      <c r="N241" s="53" t="n">
        <f aca="false">IF($A241="",0,SUMIFS(GL_Input!$U:$U,GL_Input!$F:$F,$A241,GL_Input!$X:$X,"S",GL_Input!$Y:$Y,3))</f>
        <v>0</v>
      </c>
      <c r="O241" s="54" t="n">
        <f aca="false">SUM(F241:N241)</f>
        <v>0</v>
      </c>
      <c r="P241" s="15" t="str">
        <f aca="false">IF(O241=0,"",IF($D241="","MISSING VAT NO.",IF(OR($C241="",$C241="CY",Counterparties!G241&lt;&gt;"EU"),"NOT AN EU CUSTOMER","OK")))</f>
        <v/>
      </c>
    </row>
    <row r="242" customFormat="false" ht="15" hidden="false" customHeight="false" outlineLevel="0" collapsed="false">
      <c r="A242" s="30" t="str">
        <f aca="false">IF(Counterparties!A242="","",Counterparties!A242)</f>
        <v/>
      </c>
      <c r="B242" s="30" t="str">
        <f aca="false">IF(Counterparties!B242="","",Counterparties!B242)</f>
        <v/>
      </c>
      <c r="C242" s="30" t="str">
        <f aca="false">IF(Counterparties!C242="","",Counterparties!C242)</f>
        <v/>
      </c>
      <c r="D242" s="30" t="str">
        <f aca="false">IF(Counterparties!D242="","",Counterparties!D242)</f>
        <v/>
      </c>
      <c r="E242" s="30" t="str">
        <f aca="false">IF(Counterparties!E242="","",Counterparties!E242)</f>
        <v/>
      </c>
      <c r="F242" s="53" t="n">
        <f aca="false">IF($A242="",0,SUMIFS(GL_Input!$U:$U,GL_Input!$F:$F,$A242,GL_Input!$X:$X,"G",GL_Input!$Y:$Y,1))</f>
        <v>0</v>
      </c>
      <c r="G242" s="53" t="n">
        <f aca="false">IF($A242="",0,SUMIFS(GL_Input!$U:$U,GL_Input!$F:$F,$A242,GL_Input!$X:$X,"G",GL_Input!$Y:$Y,2))</f>
        <v>0</v>
      </c>
      <c r="H242" s="53" t="n">
        <f aca="false">IF($A242="",0,SUMIFS(GL_Input!$U:$U,GL_Input!$F:$F,$A242,GL_Input!$X:$X,"G",GL_Input!$Y:$Y,3))</f>
        <v>0</v>
      </c>
      <c r="I242" s="53" t="n">
        <f aca="false">IF($A242="",0,SUMIFS(GL_Input!$U:$U,GL_Input!$F:$F,$A242,GL_Input!$X:$X,"T",GL_Input!$Y:$Y,1))</f>
        <v>0</v>
      </c>
      <c r="J242" s="53" t="n">
        <f aca="false">IF($A242="",0,SUMIFS(GL_Input!$U:$U,GL_Input!$F:$F,$A242,GL_Input!$X:$X,"T",GL_Input!$Y:$Y,2))</f>
        <v>0</v>
      </c>
      <c r="K242" s="53" t="n">
        <f aca="false">IF($A242="",0,SUMIFS(GL_Input!$U:$U,GL_Input!$F:$F,$A242,GL_Input!$X:$X,"T",GL_Input!$Y:$Y,3))</f>
        <v>0</v>
      </c>
      <c r="L242" s="53" t="n">
        <f aca="false">IF($A242="",0,SUMIFS(GL_Input!$U:$U,GL_Input!$F:$F,$A242,GL_Input!$X:$X,"S",GL_Input!$Y:$Y,1))</f>
        <v>0</v>
      </c>
      <c r="M242" s="53" t="n">
        <f aca="false">IF($A242="",0,SUMIFS(GL_Input!$U:$U,GL_Input!$F:$F,$A242,GL_Input!$X:$X,"S",GL_Input!$Y:$Y,2))</f>
        <v>0</v>
      </c>
      <c r="N242" s="53" t="n">
        <f aca="false">IF($A242="",0,SUMIFS(GL_Input!$U:$U,GL_Input!$F:$F,$A242,GL_Input!$X:$X,"S",GL_Input!$Y:$Y,3))</f>
        <v>0</v>
      </c>
      <c r="O242" s="54" t="n">
        <f aca="false">SUM(F242:N242)</f>
        <v>0</v>
      </c>
      <c r="P242" s="15" t="str">
        <f aca="false">IF(O242=0,"",IF($D242="","MISSING VAT NO.",IF(OR($C242="",$C242="CY",Counterparties!G242&lt;&gt;"EU"),"NOT AN EU CUSTOMER","OK")))</f>
        <v/>
      </c>
    </row>
    <row r="243" customFormat="false" ht="15" hidden="false" customHeight="false" outlineLevel="0" collapsed="false">
      <c r="A243" s="30" t="str">
        <f aca="false">IF(Counterparties!A243="","",Counterparties!A243)</f>
        <v/>
      </c>
      <c r="B243" s="30" t="str">
        <f aca="false">IF(Counterparties!B243="","",Counterparties!B243)</f>
        <v/>
      </c>
      <c r="C243" s="30" t="str">
        <f aca="false">IF(Counterparties!C243="","",Counterparties!C243)</f>
        <v/>
      </c>
      <c r="D243" s="30" t="str">
        <f aca="false">IF(Counterparties!D243="","",Counterparties!D243)</f>
        <v/>
      </c>
      <c r="E243" s="30" t="str">
        <f aca="false">IF(Counterparties!E243="","",Counterparties!E243)</f>
        <v/>
      </c>
      <c r="F243" s="53" t="n">
        <f aca="false">IF($A243="",0,SUMIFS(GL_Input!$U:$U,GL_Input!$F:$F,$A243,GL_Input!$X:$X,"G",GL_Input!$Y:$Y,1))</f>
        <v>0</v>
      </c>
      <c r="G243" s="53" t="n">
        <f aca="false">IF($A243="",0,SUMIFS(GL_Input!$U:$U,GL_Input!$F:$F,$A243,GL_Input!$X:$X,"G",GL_Input!$Y:$Y,2))</f>
        <v>0</v>
      </c>
      <c r="H243" s="53" t="n">
        <f aca="false">IF($A243="",0,SUMIFS(GL_Input!$U:$U,GL_Input!$F:$F,$A243,GL_Input!$X:$X,"G",GL_Input!$Y:$Y,3))</f>
        <v>0</v>
      </c>
      <c r="I243" s="53" t="n">
        <f aca="false">IF($A243="",0,SUMIFS(GL_Input!$U:$U,GL_Input!$F:$F,$A243,GL_Input!$X:$X,"T",GL_Input!$Y:$Y,1))</f>
        <v>0</v>
      </c>
      <c r="J243" s="53" t="n">
        <f aca="false">IF($A243="",0,SUMIFS(GL_Input!$U:$U,GL_Input!$F:$F,$A243,GL_Input!$X:$X,"T",GL_Input!$Y:$Y,2))</f>
        <v>0</v>
      </c>
      <c r="K243" s="53" t="n">
        <f aca="false">IF($A243="",0,SUMIFS(GL_Input!$U:$U,GL_Input!$F:$F,$A243,GL_Input!$X:$X,"T",GL_Input!$Y:$Y,3))</f>
        <v>0</v>
      </c>
      <c r="L243" s="53" t="n">
        <f aca="false">IF($A243="",0,SUMIFS(GL_Input!$U:$U,GL_Input!$F:$F,$A243,GL_Input!$X:$X,"S",GL_Input!$Y:$Y,1))</f>
        <v>0</v>
      </c>
      <c r="M243" s="53" t="n">
        <f aca="false">IF($A243="",0,SUMIFS(GL_Input!$U:$U,GL_Input!$F:$F,$A243,GL_Input!$X:$X,"S",GL_Input!$Y:$Y,2))</f>
        <v>0</v>
      </c>
      <c r="N243" s="53" t="n">
        <f aca="false">IF($A243="",0,SUMIFS(GL_Input!$U:$U,GL_Input!$F:$F,$A243,GL_Input!$X:$X,"S",GL_Input!$Y:$Y,3))</f>
        <v>0</v>
      </c>
      <c r="O243" s="54" t="n">
        <f aca="false">SUM(F243:N243)</f>
        <v>0</v>
      </c>
      <c r="P243" s="15" t="str">
        <f aca="false">IF(O243=0,"",IF($D243="","MISSING VAT NO.",IF(OR($C243="",$C243="CY",Counterparties!G243&lt;&gt;"EU"),"NOT AN EU CUSTOMER","OK")))</f>
        <v/>
      </c>
    </row>
    <row r="244" customFormat="false" ht="15" hidden="false" customHeight="false" outlineLevel="0" collapsed="false">
      <c r="A244" s="30" t="str">
        <f aca="false">IF(Counterparties!A244="","",Counterparties!A244)</f>
        <v/>
      </c>
      <c r="B244" s="30" t="str">
        <f aca="false">IF(Counterparties!B244="","",Counterparties!B244)</f>
        <v/>
      </c>
      <c r="C244" s="30" t="str">
        <f aca="false">IF(Counterparties!C244="","",Counterparties!C244)</f>
        <v/>
      </c>
      <c r="D244" s="30" t="str">
        <f aca="false">IF(Counterparties!D244="","",Counterparties!D244)</f>
        <v/>
      </c>
      <c r="E244" s="30" t="str">
        <f aca="false">IF(Counterparties!E244="","",Counterparties!E244)</f>
        <v/>
      </c>
      <c r="F244" s="53" t="n">
        <f aca="false">IF($A244="",0,SUMIFS(GL_Input!$U:$U,GL_Input!$F:$F,$A244,GL_Input!$X:$X,"G",GL_Input!$Y:$Y,1))</f>
        <v>0</v>
      </c>
      <c r="G244" s="53" t="n">
        <f aca="false">IF($A244="",0,SUMIFS(GL_Input!$U:$U,GL_Input!$F:$F,$A244,GL_Input!$X:$X,"G",GL_Input!$Y:$Y,2))</f>
        <v>0</v>
      </c>
      <c r="H244" s="53" t="n">
        <f aca="false">IF($A244="",0,SUMIFS(GL_Input!$U:$U,GL_Input!$F:$F,$A244,GL_Input!$X:$X,"G",GL_Input!$Y:$Y,3))</f>
        <v>0</v>
      </c>
      <c r="I244" s="53" t="n">
        <f aca="false">IF($A244="",0,SUMIFS(GL_Input!$U:$U,GL_Input!$F:$F,$A244,GL_Input!$X:$X,"T",GL_Input!$Y:$Y,1))</f>
        <v>0</v>
      </c>
      <c r="J244" s="53" t="n">
        <f aca="false">IF($A244="",0,SUMIFS(GL_Input!$U:$U,GL_Input!$F:$F,$A244,GL_Input!$X:$X,"T",GL_Input!$Y:$Y,2))</f>
        <v>0</v>
      </c>
      <c r="K244" s="53" t="n">
        <f aca="false">IF($A244="",0,SUMIFS(GL_Input!$U:$U,GL_Input!$F:$F,$A244,GL_Input!$X:$X,"T",GL_Input!$Y:$Y,3))</f>
        <v>0</v>
      </c>
      <c r="L244" s="53" t="n">
        <f aca="false">IF($A244="",0,SUMIFS(GL_Input!$U:$U,GL_Input!$F:$F,$A244,GL_Input!$X:$X,"S",GL_Input!$Y:$Y,1))</f>
        <v>0</v>
      </c>
      <c r="M244" s="53" t="n">
        <f aca="false">IF($A244="",0,SUMIFS(GL_Input!$U:$U,GL_Input!$F:$F,$A244,GL_Input!$X:$X,"S",GL_Input!$Y:$Y,2))</f>
        <v>0</v>
      </c>
      <c r="N244" s="53" t="n">
        <f aca="false">IF($A244="",0,SUMIFS(GL_Input!$U:$U,GL_Input!$F:$F,$A244,GL_Input!$X:$X,"S",GL_Input!$Y:$Y,3))</f>
        <v>0</v>
      </c>
      <c r="O244" s="54" t="n">
        <f aca="false">SUM(F244:N244)</f>
        <v>0</v>
      </c>
      <c r="P244" s="15" t="str">
        <f aca="false">IF(O244=0,"",IF($D244="","MISSING VAT NO.",IF(OR($C244="",$C244="CY",Counterparties!G244&lt;&gt;"EU"),"NOT AN EU CUSTOMER","OK")))</f>
        <v/>
      </c>
    </row>
    <row r="245" customFormat="false" ht="15" hidden="false" customHeight="false" outlineLevel="0" collapsed="false">
      <c r="A245" s="30" t="str">
        <f aca="false">IF(Counterparties!A245="","",Counterparties!A245)</f>
        <v/>
      </c>
      <c r="B245" s="30" t="str">
        <f aca="false">IF(Counterparties!B245="","",Counterparties!B245)</f>
        <v/>
      </c>
      <c r="C245" s="30" t="str">
        <f aca="false">IF(Counterparties!C245="","",Counterparties!C245)</f>
        <v/>
      </c>
      <c r="D245" s="30" t="str">
        <f aca="false">IF(Counterparties!D245="","",Counterparties!D245)</f>
        <v/>
      </c>
      <c r="E245" s="30" t="str">
        <f aca="false">IF(Counterparties!E245="","",Counterparties!E245)</f>
        <v/>
      </c>
      <c r="F245" s="53" t="n">
        <f aca="false">IF($A245="",0,SUMIFS(GL_Input!$U:$U,GL_Input!$F:$F,$A245,GL_Input!$X:$X,"G",GL_Input!$Y:$Y,1))</f>
        <v>0</v>
      </c>
      <c r="G245" s="53" t="n">
        <f aca="false">IF($A245="",0,SUMIFS(GL_Input!$U:$U,GL_Input!$F:$F,$A245,GL_Input!$X:$X,"G",GL_Input!$Y:$Y,2))</f>
        <v>0</v>
      </c>
      <c r="H245" s="53" t="n">
        <f aca="false">IF($A245="",0,SUMIFS(GL_Input!$U:$U,GL_Input!$F:$F,$A245,GL_Input!$X:$X,"G",GL_Input!$Y:$Y,3))</f>
        <v>0</v>
      </c>
      <c r="I245" s="53" t="n">
        <f aca="false">IF($A245="",0,SUMIFS(GL_Input!$U:$U,GL_Input!$F:$F,$A245,GL_Input!$X:$X,"T",GL_Input!$Y:$Y,1))</f>
        <v>0</v>
      </c>
      <c r="J245" s="53" t="n">
        <f aca="false">IF($A245="",0,SUMIFS(GL_Input!$U:$U,GL_Input!$F:$F,$A245,GL_Input!$X:$X,"T",GL_Input!$Y:$Y,2))</f>
        <v>0</v>
      </c>
      <c r="K245" s="53" t="n">
        <f aca="false">IF($A245="",0,SUMIFS(GL_Input!$U:$U,GL_Input!$F:$F,$A245,GL_Input!$X:$X,"T",GL_Input!$Y:$Y,3))</f>
        <v>0</v>
      </c>
      <c r="L245" s="53" t="n">
        <f aca="false">IF($A245="",0,SUMIFS(GL_Input!$U:$U,GL_Input!$F:$F,$A245,GL_Input!$X:$X,"S",GL_Input!$Y:$Y,1))</f>
        <v>0</v>
      </c>
      <c r="M245" s="53" t="n">
        <f aca="false">IF($A245="",0,SUMIFS(GL_Input!$U:$U,GL_Input!$F:$F,$A245,GL_Input!$X:$X,"S",GL_Input!$Y:$Y,2))</f>
        <v>0</v>
      </c>
      <c r="N245" s="53" t="n">
        <f aca="false">IF($A245="",0,SUMIFS(GL_Input!$U:$U,GL_Input!$F:$F,$A245,GL_Input!$X:$X,"S",GL_Input!$Y:$Y,3))</f>
        <v>0</v>
      </c>
      <c r="O245" s="54" t="n">
        <f aca="false">SUM(F245:N245)</f>
        <v>0</v>
      </c>
      <c r="P245" s="15" t="str">
        <f aca="false">IF(O245=0,"",IF($D245="","MISSING VAT NO.",IF(OR($C245="",$C245="CY",Counterparties!G245&lt;&gt;"EU"),"NOT AN EU CUSTOMER","OK")))</f>
        <v/>
      </c>
    </row>
    <row r="246" customFormat="false" ht="15" hidden="false" customHeight="false" outlineLevel="0" collapsed="false">
      <c r="A246" s="30" t="str">
        <f aca="false">IF(Counterparties!A246="","",Counterparties!A246)</f>
        <v/>
      </c>
      <c r="B246" s="30" t="str">
        <f aca="false">IF(Counterparties!B246="","",Counterparties!B246)</f>
        <v/>
      </c>
      <c r="C246" s="30" t="str">
        <f aca="false">IF(Counterparties!C246="","",Counterparties!C246)</f>
        <v/>
      </c>
      <c r="D246" s="30" t="str">
        <f aca="false">IF(Counterparties!D246="","",Counterparties!D246)</f>
        <v/>
      </c>
      <c r="E246" s="30" t="str">
        <f aca="false">IF(Counterparties!E246="","",Counterparties!E246)</f>
        <v/>
      </c>
      <c r="F246" s="53" t="n">
        <f aca="false">IF($A246="",0,SUMIFS(GL_Input!$U:$U,GL_Input!$F:$F,$A246,GL_Input!$X:$X,"G",GL_Input!$Y:$Y,1))</f>
        <v>0</v>
      </c>
      <c r="G246" s="53" t="n">
        <f aca="false">IF($A246="",0,SUMIFS(GL_Input!$U:$U,GL_Input!$F:$F,$A246,GL_Input!$X:$X,"G",GL_Input!$Y:$Y,2))</f>
        <v>0</v>
      </c>
      <c r="H246" s="53" t="n">
        <f aca="false">IF($A246="",0,SUMIFS(GL_Input!$U:$U,GL_Input!$F:$F,$A246,GL_Input!$X:$X,"G",GL_Input!$Y:$Y,3))</f>
        <v>0</v>
      </c>
      <c r="I246" s="53" t="n">
        <f aca="false">IF($A246="",0,SUMIFS(GL_Input!$U:$U,GL_Input!$F:$F,$A246,GL_Input!$X:$X,"T",GL_Input!$Y:$Y,1))</f>
        <v>0</v>
      </c>
      <c r="J246" s="53" t="n">
        <f aca="false">IF($A246="",0,SUMIFS(GL_Input!$U:$U,GL_Input!$F:$F,$A246,GL_Input!$X:$X,"T",GL_Input!$Y:$Y,2))</f>
        <v>0</v>
      </c>
      <c r="K246" s="53" t="n">
        <f aca="false">IF($A246="",0,SUMIFS(GL_Input!$U:$U,GL_Input!$F:$F,$A246,GL_Input!$X:$X,"T",GL_Input!$Y:$Y,3))</f>
        <v>0</v>
      </c>
      <c r="L246" s="53" t="n">
        <f aca="false">IF($A246="",0,SUMIFS(GL_Input!$U:$U,GL_Input!$F:$F,$A246,GL_Input!$X:$X,"S",GL_Input!$Y:$Y,1))</f>
        <v>0</v>
      </c>
      <c r="M246" s="53" t="n">
        <f aca="false">IF($A246="",0,SUMIFS(GL_Input!$U:$U,GL_Input!$F:$F,$A246,GL_Input!$X:$X,"S",GL_Input!$Y:$Y,2))</f>
        <v>0</v>
      </c>
      <c r="N246" s="53" t="n">
        <f aca="false">IF($A246="",0,SUMIFS(GL_Input!$U:$U,GL_Input!$F:$F,$A246,GL_Input!$X:$X,"S",GL_Input!$Y:$Y,3))</f>
        <v>0</v>
      </c>
      <c r="O246" s="54" t="n">
        <f aca="false">SUM(F246:N246)</f>
        <v>0</v>
      </c>
      <c r="P246" s="15" t="str">
        <f aca="false">IF(O246=0,"",IF($D246="","MISSING VAT NO.",IF(OR($C246="",$C246="CY",Counterparties!G246&lt;&gt;"EU"),"NOT AN EU CUSTOMER","OK")))</f>
        <v/>
      </c>
    </row>
    <row r="247" customFormat="false" ht="15" hidden="false" customHeight="false" outlineLevel="0" collapsed="false">
      <c r="A247" s="30" t="str">
        <f aca="false">IF(Counterparties!A247="","",Counterparties!A247)</f>
        <v/>
      </c>
      <c r="B247" s="30" t="str">
        <f aca="false">IF(Counterparties!B247="","",Counterparties!B247)</f>
        <v/>
      </c>
      <c r="C247" s="30" t="str">
        <f aca="false">IF(Counterparties!C247="","",Counterparties!C247)</f>
        <v/>
      </c>
      <c r="D247" s="30" t="str">
        <f aca="false">IF(Counterparties!D247="","",Counterparties!D247)</f>
        <v/>
      </c>
      <c r="E247" s="30" t="str">
        <f aca="false">IF(Counterparties!E247="","",Counterparties!E247)</f>
        <v/>
      </c>
      <c r="F247" s="53" t="n">
        <f aca="false">IF($A247="",0,SUMIFS(GL_Input!$U:$U,GL_Input!$F:$F,$A247,GL_Input!$X:$X,"G",GL_Input!$Y:$Y,1))</f>
        <v>0</v>
      </c>
      <c r="G247" s="53" t="n">
        <f aca="false">IF($A247="",0,SUMIFS(GL_Input!$U:$U,GL_Input!$F:$F,$A247,GL_Input!$X:$X,"G",GL_Input!$Y:$Y,2))</f>
        <v>0</v>
      </c>
      <c r="H247" s="53" t="n">
        <f aca="false">IF($A247="",0,SUMIFS(GL_Input!$U:$U,GL_Input!$F:$F,$A247,GL_Input!$X:$X,"G",GL_Input!$Y:$Y,3))</f>
        <v>0</v>
      </c>
      <c r="I247" s="53" t="n">
        <f aca="false">IF($A247="",0,SUMIFS(GL_Input!$U:$U,GL_Input!$F:$F,$A247,GL_Input!$X:$X,"T",GL_Input!$Y:$Y,1))</f>
        <v>0</v>
      </c>
      <c r="J247" s="53" t="n">
        <f aca="false">IF($A247="",0,SUMIFS(GL_Input!$U:$U,GL_Input!$F:$F,$A247,GL_Input!$X:$X,"T",GL_Input!$Y:$Y,2))</f>
        <v>0</v>
      </c>
      <c r="K247" s="53" t="n">
        <f aca="false">IF($A247="",0,SUMIFS(GL_Input!$U:$U,GL_Input!$F:$F,$A247,GL_Input!$X:$X,"T",GL_Input!$Y:$Y,3))</f>
        <v>0</v>
      </c>
      <c r="L247" s="53" t="n">
        <f aca="false">IF($A247="",0,SUMIFS(GL_Input!$U:$U,GL_Input!$F:$F,$A247,GL_Input!$X:$X,"S",GL_Input!$Y:$Y,1))</f>
        <v>0</v>
      </c>
      <c r="M247" s="53" t="n">
        <f aca="false">IF($A247="",0,SUMIFS(GL_Input!$U:$U,GL_Input!$F:$F,$A247,GL_Input!$X:$X,"S",GL_Input!$Y:$Y,2))</f>
        <v>0</v>
      </c>
      <c r="N247" s="53" t="n">
        <f aca="false">IF($A247="",0,SUMIFS(GL_Input!$U:$U,GL_Input!$F:$F,$A247,GL_Input!$X:$X,"S",GL_Input!$Y:$Y,3))</f>
        <v>0</v>
      </c>
      <c r="O247" s="54" t="n">
        <f aca="false">SUM(F247:N247)</f>
        <v>0</v>
      </c>
      <c r="P247" s="15" t="str">
        <f aca="false">IF(O247=0,"",IF($D247="","MISSING VAT NO.",IF(OR($C247="",$C247="CY",Counterparties!G247&lt;&gt;"EU"),"NOT AN EU CUSTOMER","OK")))</f>
        <v/>
      </c>
    </row>
    <row r="248" customFormat="false" ht="15" hidden="false" customHeight="false" outlineLevel="0" collapsed="false">
      <c r="A248" s="30" t="str">
        <f aca="false">IF(Counterparties!A248="","",Counterparties!A248)</f>
        <v/>
      </c>
      <c r="B248" s="30" t="str">
        <f aca="false">IF(Counterparties!B248="","",Counterparties!B248)</f>
        <v/>
      </c>
      <c r="C248" s="30" t="str">
        <f aca="false">IF(Counterparties!C248="","",Counterparties!C248)</f>
        <v/>
      </c>
      <c r="D248" s="30" t="str">
        <f aca="false">IF(Counterparties!D248="","",Counterparties!D248)</f>
        <v/>
      </c>
      <c r="E248" s="30" t="str">
        <f aca="false">IF(Counterparties!E248="","",Counterparties!E248)</f>
        <v/>
      </c>
      <c r="F248" s="53" t="n">
        <f aca="false">IF($A248="",0,SUMIFS(GL_Input!$U:$U,GL_Input!$F:$F,$A248,GL_Input!$X:$X,"G",GL_Input!$Y:$Y,1))</f>
        <v>0</v>
      </c>
      <c r="G248" s="53" t="n">
        <f aca="false">IF($A248="",0,SUMIFS(GL_Input!$U:$U,GL_Input!$F:$F,$A248,GL_Input!$X:$X,"G",GL_Input!$Y:$Y,2))</f>
        <v>0</v>
      </c>
      <c r="H248" s="53" t="n">
        <f aca="false">IF($A248="",0,SUMIFS(GL_Input!$U:$U,GL_Input!$F:$F,$A248,GL_Input!$X:$X,"G",GL_Input!$Y:$Y,3))</f>
        <v>0</v>
      </c>
      <c r="I248" s="53" t="n">
        <f aca="false">IF($A248="",0,SUMIFS(GL_Input!$U:$U,GL_Input!$F:$F,$A248,GL_Input!$X:$X,"T",GL_Input!$Y:$Y,1))</f>
        <v>0</v>
      </c>
      <c r="J248" s="53" t="n">
        <f aca="false">IF($A248="",0,SUMIFS(GL_Input!$U:$U,GL_Input!$F:$F,$A248,GL_Input!$X:$X,"T",GL_Input!$Y:$Y,2))</f>
        <v>0</v>
      </c>
      <c r="K248" s="53" t="n">
        <f aca="false">IF($A248="",0,SUMIFS(GL_Input!$U:$U,GL_Input!$F:$F,$A248,GL_Input!$X:$X,"T",GL_Input!$Y:$Y,3))</f>
        <v>0</v>
      </c>
      <c r="L248" s="53" t="n">
        <f aca="false">IF($A248="",0,SUMIFS(GL_Input!$U:$U,GL_Input!$F:$F,$A248,GL_Input!$X:$X,"S",GL_Input!$Y:$Y,1))</f>
        <v>0</v>
      </c>
      <c r="M248" s="53" t="n">
        <f aca="false">IF($A248="",0,SUMIFS(GL_Input!$U:$U,GL_Input!$F:$F,$A248,GL_Input!$X:$X,"S",GL_Input!$Y:$Y,2))</f>
        <v>0</v>
      </c>
      <c r="N248" s="53" t="n">
        <f aca="false">IF($A248="",0,SUMIFS(GL_Input!$U:$U,GL_Input!$F:$F,$A248,GL_Input!$X:$X,"S",GL_Input!$Y:$Y,3))</f>
        <v>0</v>
      </c>
      <c r="O248" s="54" t="n">
        <f aca="false">SUM(F248:N248)</f>
        <v>0</v>
      </c>
      <c r="P248" s="15" t="str">
        <f aca="false">IF(O248=0,"",IF($D248="","MISSING VAT NO.",IF(OR($C248="",$C248="CY",Counterparties!G248&lt;&gt;"EU"),"NOT AN EU CUSTOMER","OK")))</f>
        <v/>
      </c>
    </row>
    <row r="249" customFormat="false" ht="15" hidden="false" customHeight="false" outlineLevel="0" collapsed="false">
      <c r="A249" s="30" t="str">
        <f aca="false">IF(Counterparties!A249="","",Counterparties!A249)</f>
        <v/>
      </c>
      <c r="B249" s="30" t="str">
        <f aca="false">IF(Counterparties!B249="","",Counterparties!B249)</f>
        <v/>
      </c>
      <c r="C249" s="30" t="str">
        <f aca="false">IF(Counterparties!C249="","",Counterparties!C249)</f>
        <v/>
      </c>
      <c r="D249" s="30" t="str">
        <f aca="false">IF(Counterparties!D249="","",Counterparties!D249)</f>
        <v/>
      </c>
      <c r="E249" s="30" t="str">
        <f aca="false">IF(Counterparties!E249="","",Counterparties!E249)</f>
        <v/>
      </c>
      <c r="F249" s="53" t="n">
        <f aca="false">IF($A249="",0,SUMIFS(GL_Input!$U:$U,GL_Input!$F:$F,$A249,GL_Input!$X:$X,"G",GL_Input!$Y:$Y,1))</f>
        <v>0</v>
      </c>
      <c r="G249" s="53" t="n">
        <f aca="false">IF($A249="",0,SUMIFS(GL_Input!$U:$U,GL_Input!$F:$F,$A249,GL_Input!$X:$X,"G",GL_Input!$Y:$Y,2))</f>
        <v>0</v>
      </c>
      <c r="H249" s="53" t="n">
        <f aca="false">IF($A249="",0,SUMIFS(GL_Input!$U:$U,GL_Input!$F:$F,$A249,GL_Input!$X:$X,"G",GL_Input!$Y:$Y,3))</f>
        <v>0</v>
      </c>
      <c r="I249" s="53" t="n">
        <f aca="false">IF($A249="",0,SUMIFS(GL_Input!$U:$U,GL_Input!$F:$F,$A249,GL_Input!$X:$X,"T",GL_Input!$Y:$Y,1))</f>
        <v>0</v>
      </c>
      <c r="J249" s="53" t="n">
        <f aca="false">IF($A249="",0,SUMIFS(GL_Input!$U:$U,GL_Input!$F:$F,$A249,GL_Input!$X:$X,"T",GL_Input!$Y:$Y,2))</f>
        <v>0</v>
      </c>
      <c r="K249" s="53" t="n">
        <f aca="false">IF($A249="",0,SUMIFS(GL_Input!$U:$U,GL_Input!$F:$F,$A249,GL_Input!$X:$X,"T",GL_Input!$Y:$Y,3))</f>
        <v>0</v>
      </c>
      <c r="L249" s="53" t="n">
        <f aca="false">IF($A249="",0,SUMIFS(GL_Input!$U:$U,GL_Input!$F:$F,$A249,GL_Input!$X:$X,"S",GL_Input!$Y:$Y,1))</f>
        <v>0</v>
      </c>
      <c r="M249" s="53" t="n">
        <f aca="false">IF($A249="",0,SUMIFS(GL_Input!$U:$U,GL_Input!$F:$F,$A249,GL_Input!$X:$X,"S",GL_Input!$Y:$Y,2))</f>
        <v>0</v>
      </c>
      <c r="N249" s="53" t="n">
        <f aca="false">IF($A249="",0,SUMIFS(GL_Input!$U:$U,GL_Input!$F:$F,$A249,GL_Input!$X:$X,"S",GL_Input!$Y:$Y,3))</f>
        <v>0</v>
      </c>
      <c r="O249" s="54" t="n">
        <f aca="false">SUM(F249:N249)</f>
        <v>0</v>
      </c>
      <c r="P249" s="15" t="str">
        <f aca="false">IF(O249=0,"",IF($D249="","MISSING VAT NO.",IF(OR($C249="",$C249="CY",Counterparties!G249&lt;&gt;"EU"),"NOT AN EU CUSTOMER","OK")))</f>
        <v/>
      </c>
    </row>
    <row r="250" customFormat="false" ht="15" hidden="false" customHeight="false" outlineLevel="0" collapsed="false">
      <c r="A250" s="30" t="str">
        <f aca="false">IF(Counterparties!A250="","",Counterparties!A250)</f>
        <v/>
      </c>
      <c r="B250" s="30" t="str">
        <f aca="false">IF(Counterparties!B250="","",Counterparties!B250)</f>
        <v/>
      </c>
      <c r="C250" s="30" t="str">
        <f aca="false">IF(Counterparties!C250="","",Counterparties!C250)</f>
        <v/>
      </c>
      <c r="D250" s="30" t="str">
        <f aca="false">IF(Counterparties!D250="","",Counterparties!D250)</f>
        <v/>
      </c>
      <c r="E250" s="30" t="str">
        <f aca="false">IF(Counterparties!E250="","",Counterparties!E250)</f>
        <v/>
      </c>
      <c r="F250" s="53" t="n">
        <f aca="false">IF($A250="",0,SUMIFS(GL_Input!$U:$U,GL_Input!$F:$F,$A250,GL_Input!$X:$X,"G",GL_Input!$Y:$Y,1))</f>
        <v>0</v>
      </c>
      <c r="G250" s="53" t="n">
        <f aca="false">IF($A250="",0,SUMIFS(GL_Input!$U:$U,GL_Input!$F:$F,$A250,GL_Input!$X:$X,"G",GL_Input!$Y:$Y,2))</f>
        <v>0</v>
      </c>
      <c r="H250" s="53" t="n">
        <f aca="false">IF($A250="",0,SUMIFS(GL_Input!$U:$U,GL_Input!$F:$F,$A250,GL_Input!$X:$X,"G",GL_Input!$Y:$Y,3))</f>
        <v>0</v>
      </c>
      <c r="I250" s="53" t="n">
        <f aca="false">IF($A250="",0,SUMIFS(GL_Input!$U:$U,GL_Input!$F:$F,$A250,GL_Input!$X:$X,"T",GL_Input!$Y:$Y,1))</f>
        <v>0</v>
      </c>
      <c r="J250" s="53" t="n">
        <f aca="false">IF($A250="",0,SUMIFS(GL_Input!$U:$U,GL_Input!$F:$F,$A250,GL_Input!$X:$X,"T",GL_Input!$Y:$Y,2))</f>
        <v>0</v>
      </c>
      <c r="K250" s="53" t="n">
        <f aca="false">IF($A250="",0,SUMIFS(GL_Input!$U:$U,GL_Input!$F:$F,$A250,GL_Input!$X:$X,"T",GL_Input!$Y:$Y,3))</f>
        <v>0</v>
      </c>
      <c r="L250" s="53" t="n">
        <f aca="false">IF($A250="",0,SUMIFS(GL_Input!$U:$U,GL_Input!$F:$F,$A250,GL_Input!$X:$X,"S",GL_Input!$Y:$Y,1))</f>
        <v>0</v>
      </c>
      <c r="M250" s="53" t="n">
        <f aca="false">IF($A250="",0,SUMIFS(GL_Input!$U:$U,GL_Input!$F:$F,$A250,GL_Input!$X:$X,"S",GL_Input!$Y:$Y,2))</f>
        <v>0</v>
      </c>
      <c r="N250" s="53" t="n">
        <f aca="false">IF($A250="",0,SUMIFS(GL_Input!$U:$U,GL_Input!$F:$F,$A250,GL_Input!$X:$X,"S",GL_Input!$Y:$Y,3))</f>
        <v>0</v>
      </c>
      <c r="O250" s="54" t="n">
        <f aca="false">SUM(F250:N250)</f>
        <v>0</v>
      </c>
      <c r="P250" s="15" t="str">
        <f aca="false">IF(O250=0,"",IF($D250="","MISSING VAT NO.",IF(OR($C250="",$C250="CY",Counterparties!G250&lt;&gt;"EU"),"NOT AN EU CUSTOMER","OK")))</f>
        <v/>
      </c>
    </row>
    <row r="251" customFormat="false" ht="15" hidden="false" customHeight="false" outlineLevel="0" collapsed="false">
      <c r="A251" s="30" t="str">
        <f aca="false">IF(Counterparties!A251="","",Counterparties!A251)</f>
        <v/>
      </c>
      <c r="B251" s="30" t="str">
        <f aca="false">IF(Counterparties!B251="","",Counterparties!B251)</f>
        <v/>
      </c>
      <c r="C251" s="30" t="str">
        <f aca="false">IF(Counterparties!C251="","",Counterparties!C251)</f>
        <v/>
      </c>
      <c r="D251" s="30" t="str">
        <f aca="false">IF(Counterparties!D251="","",Counterparties!D251)</f>
        <v/>
      </c>
      <c r="E251" s="30" t="str">
        <f aca="false">IF(Counterparties!E251="","",Counterparties!E251)</f>
        <v/>
      </c>
      <c r="F251" s="53" t="n">
        <f aca="false">IF($A251="",0,SUMIFS(GL_Input!$U:$U,GL_Input!$F:$F,$A251,GL_Input!$X:$X,"G",GL_Input!$Y:$Y,1))</f>
        <v>0</v>
      </c>
      <c r="G251" s="53" t="n">
        <f aca="false">IF($A251="",0,SUMIFS(GL_Input!$U:$U,GL_Input!$F:$F,$A251,GL_Input!$X:$X,"G",GL_Input!$Y:$Y,2))</f>
        <v>0</v>
      </c>
      <c r="H251" s="53" t="n">
        <f aca="false">IF($A251="",0,SUMIFS(GL_Input!$U:$U,GL_Input!$F:$F,$A251,GL_Input!$X:$X,"G",GL_Input!$Y:$Y,3))</f>
        <v>0</v>
      </c>
      <c r="I251" s="53" t="n">
        <f aca="false">IF($A251="",0,SUMIFS(GL_Input!$U:$U,GL_Input!$F:$F,$A251,GL_Input!$X:$X,"T",GL_Input!$Y:$Y,1))</f>
        <v>0</v>
      </c>
      <c r="J251" s="53" t="n">
        <f aca="false">IF($A251="",0,SUMIFS(GL_Input!$U:$U,GL_Input!$F:$F,$A251,GL_Input!$X:$X,"T",GL_Input!$Y:$Y,2))</f>
        <v>0</v>
      </c>
      <c r="K251" s="53" t="n">
        <f aca="false">IF($A251="",0,SUMIFS(GL_Input!$U:$U,GL_Input!$F:$F,$A251,GL_Input!$X:$X,"T",GL_Input!$Y:$Y,3))</f>
        <v>0</v>
      </c>
      <c r="L251" s="53" t="n">
        <f aca="false">IF($A251="",0,SUMIFS(GL_Input!$U:$U,GL_Input!$F:$F,$A251,GL_Input!$X:$X,"S",GL_Input!$Y:$Y,1))</f>
        <v>0</v>
      </c>
      <c r="M251" s="53" t="n">
        <f aca="false">IF($A251="",0,SUMIFS(GL_Input!$U:$U,GL_Input!$F:$F,$A251,GL_Input!$X:$X,"S",GL_Input!$Y:$Y,2))</f>
        <v>0</v>
      </c>
      <c r="N251" s="53" t="n">
        <f aca="false">IF($A251="",0,SUMIFS(GL_Input!$U:$U,GL_Input!$F:$F,$A251,GL_Input!$X:$X,"S",GL_Input!$Y:$Y,3))</f>
        <v>0</v>
      </c>
      <c r="O251" s="54" t="n">
        <f aca="false">SUM(F251:N251)</f>
        <v>0</v>
      </c>
      <c r="P251" s="15" t="str">
        <f aca="false">IF(O251=0,"",IF($D251="","MISSING VAT NO.",IF(OR($C251="",$C251="CY",Counterparties!G251&lt;&gt;"EU"),"NOT AN EU CUSTOMER","OK")))</f>
        <v/>
      </c>
    </row>
    <row r="252" customFormat="false" ht="15" hidden="false" customHeight="false" outlineLevel="0" collapsed="false">
      <c r="A252" s="30" t="str">
        <f aca="false">IF(Counterparties!A252="","",Counterparties!A252)</f>
        <v/>
      </c>
      <c r="B252" s="30" t="str">
        <f aca="false">IF(Counterparties!B252="","",Counterparties!B252)</f>
        <v/>
      </c>
      <c r="C252" s="30" t="str">
        <f aca="false">IF(Counterparties!C252="","",Counterparties!C252)</f>
        <v/>
      </c>
      <c r="D252" s="30" t="str">
        <f aca="false">IF(Counterparties!D252="","",Counterparties!D252)</f>
        <v/>
      </c>
      <c r="E252" s="30" t="str">
        <f aca="false">IF(Counterparties!E252="","",Counterparties!E252)</f>
        <v/>
      </c>
      <c r="F252" s="53" t="n">
        <f aca="false">IF($A252="",0,SUMIFS(GL_Input!$U:$U,GL_Input!$F:$F,$A252,GL_Input!$X:$X,"G",GL_Input!$Y:$Y,1))</f>
        <v>0</v>
      </c>
      <c r="G252" s="53" t="n">
        <f aca="false">IF($A252="",0,SUMIFS(GL_Input!$U:$U,GL_Input!$F:$F,$A252,GL_Input!$X:$X,"G",GL_Input!$Y:$Y,2))</f>
        <v>0</v>
      </c>
      <c r="H252" s="53" t="n">
        <f aca="false">IF($A252="",0,SUMIFS(GL_Input!$U:$U,GL_Input!$F:$F,$A252,GL_Input!$X:$X,"G",GL_Input!$Y:$Y,3))</f>
        <v>0</v>
      </c>
      <c r="I252" s="53" t="n">
        <f aca="false">IF($A252="",0,SUMIFS(GL_Input!$U:$U,GL_Input!$F:$F,$A252,GL_Input!$X:$X,"T",GL_Input!$Y:$Y,1))</f>
        <v>0</v>
      </c>
      <c r="J252" s="53" t="n">
        <f aca="false">IF($A252="",0,SUMIFS(GL_Input!$U:$U,GL_Input!$F:$F,$A252,GL_Input!$X:$X,"T",GL_Input!$Y:$Y,2))</f>
        <v>0</v>
      </c>
      <c r="K252" s="53" t="n">
        <f aca="false">IF($A252="",0,SUMIFS(GL_Input!$U:$U,GL_Input!$F:$F,$A252,GL_Input!$X:$X,"T",GL_Input!$Y:$Y,3))</f>
        <v>0</v>
      </c>
      <c r="L252" s="53" t="n">
        <f aca="false">IF($A252="",0,SUMIFS(GL_Input!$U:$U,GL_Input!$F:$F,$A252,GL_Input!$X:$X,"S",GL_Input!$Y:$Y,1))</f>
        <v>0</v>
      </c>
      <c r="M252" s="53" t="n">
        <f aca="false">IF($A252="",0,SUMIFS(GL_Input!$U:$U,GL_Input!$F:$F,$A252,GL_Input!$X:$X,"S",GL_Input!$Y:$Y,2))</f>
        <v>0</v>
      </c>
      <c r="N252" s="53" t="n">
        <f aca="false">IF($A252="",0,SUMIFS(GL_Input!$U:$U,GL_Input!$F:$F,$A252,GL_Input!$X:$X,"S",GL_Input!$Y:$Y,3))</f>
        <v>0</v>
      </c>
      <c r="O252" s="54" t="n">
        <f aca="false">SUM(F252:N252)</f>
        <v>0</v>
      </c>
      <c r="P252" s="15" t="str">
        <f aca="false">IF(O252=0,"",IF($D252="","MISSING VAT NO.",IF(OR($C252="",$C252="CY",Counterparties!G252&lt;&gt;"EU"),"NOT AN EU CUSTOMER","OK")))</f>
        <v/>
      </c>
    </row>
    <row r="253" customFormat="false" ht="15" hidden="false" customHeight="false" outlineLevel="0" collapsed="false">
      <c r="A253" s="30" t="str">
        <f aca="false">IF(Counterparties!A253="","",Counterparties!A253)</f>
        <v/>
      </c>
      <c r="B253" s="30" t="str">
        <f aca="false">IF(Counterparties!B253="","",Counterparties!B253)</f>
        <v/>
      </c>
      <c r="C253" s="30" t="str">
        <f aca="false">IF(Counterparties!C253="","",Counterparties!C253)</f>
        <v/>
      </c>
      <c r="D253" s="30" t="str">
        <f aca="false">IF(Counterparties!D253="","",Counterparties!D253)</f>
        <v/>
      </c>
      <c r="E253" s="30" t="str">
        <f aca="false">IF(Counterparties!E253="","",Counterparties!E253)</f>
        <v/>
      </c>
      <c r="F253" s="53" t="n">
        <f aca="false">IF($A253="",0,SUMIFS(GL_Input!$U:$U,GL_Input!$F:$F,$A253,GL_Input!$X:$X,"G",GL_Input!$Y:$Y,1))</f>
        <v>0</v>
      </c>
      <c r="G253" s="53" t="n">
        <f aca="false">IF($A253="",0,SUMIFS(GL_Input!$U:$U,GL_Input!$F:$F,$A253,GL_Input!$X:$X,"G",GL_Input!$Y:$Y,2))</f>
        <v>0</v>
      </c>
      <c r="H253" s="53" t="n">
        <f aca="false">IF($A253="",0,SUMIFS(GL_Input!$U:$U,GL_Input!$F:$F,$A253,GL_Input!$X:$X,"G",GL_Input!$Y:$Y,3))</f>
        <v>0</v>
      </c>
      <c r="I253" s="53" t="n">
        <f aca="false">IF($A253="",0,SUMIFS(GL_Input!$U:$U,GL_Input!$F:$F,$A253,GL_Input!$X:$X,"T",GL_Input!$Y:$Y,1))</f>
        <v>0</v>
      </c>
      <c r="J253" s="53" t="n">
        <f aca="false">IF($A253="",0,SUMIFS(GL_Input!$U:$U,GL_Input!$F:$F,$A253,GL_Input!$X:$X,"T",GL_Input!$Y:$Y,2))</f>
        <v>0</v>
      </c>
      <c r="K253" s="53" t="n">
        <f aca="false">IF($A253="",0,SUMIFS(GL_Input!$U:$U,GL_Input!$F:$F,$A253,GL_Input!$X:$X,"T",GL_Input!$Y:$Y,3))</f>
        <v>0</v>
      </c>
      <c r="L253" s="53" t="n">
        <f aca="false">IF($A253="",0,SUMIFS(GL_Input!$U:$U,GL_Input!$F:$F,$A253,GL_Input!$X:$X,"S",GL_Input!$Y:$Y,1))</f>
        <v>0</v>
      </c>
      <c r="M253" s="53" t="n">
        <f aca="false">IF($A253="",0,SUMIFS(GL_Input!$U:$U,GL_Input!$F:$F,$A253,GL_Input!$X:$X,"S",GL_Input!$Y:$Y,2))</f>
        <v>0</v>
      </c>
      <c r="N253" s="53" t="n">
        <f aca="false">IF($A253="",0,SUMIFS(GL_Input!$U:$U,GL_Input!$F:$F,$A253,GL_Input!$X:$X,"S",GL_Input!$Y:$Y,3))</f>
        <v>0</v>
      </c>
      <c r="O253" s="54" t="n">
        <f aca="false">SUM(F253:N253)</f>
        <v>0</v>
      </c>
      <c r="P253" s="15" t="str">
        <f aca="false">IF(O253=0,"",IF($D253="","MISSING VAT NO.",IF(OR($C253="",$C253="CY",Counterparties!G253&lt;&gt;"EU"),"NOT AN EU CUSTOMER","OK")))</f>
        <v/>
      </c>
    </row>
    <row r="254" customFormat="false" ht="15" hidden="false" customHeight="false" outlineLevel="0" collapsed="false">
      <c r="A254" s="30" t="str">
        <f aca="false">IF(Counterparties!A254="","",Counterparties!A254)</f>
        <v/>
      </c>
      <c r="B254" s="30" t="str">
        <f aca="false">IF(Counterparties!B254="","",Counterparties!B254)</f>
        <v/>
      </c>
      <c r="C254" s="30" t="str">
        <f aca="false">IF(Counterparties!C254="","",Counterparties!C254)</f>
        <v/>
      </c>
      <c r="D254" s="30" t="str">
        <f aca="false">IF(Counterparties!D254="","",Counterparties!D254)</f>
        <v/>
      </c>
      <c r="E254" s="30" t="str">
        <f aca="false">IF(Counterparties!E254="","",Counterparties!E254)</f>
        <v/>
      </c>
      <c r="F254" s="53" t="n">
        <f aca="false">IF($A254="",0,SUMIFS(GL_Input!$U:$U,GL_Input!$F:$F,$A254,GL_Input!$X:$X,"G",GL_Input!$Y:$Y,1))</f>
        <v>0</v>
      </c>
      <c r="G254" s="53" t="n">
        <f aca="false">IF($A254="",0,SUMIFS(GL_Input!$U:$U,GL_Input!$F:$F,$A254,GL_Input!$X:$X,"G",GL_Input!$Y:$Y,2))</f>
        <v>0</v>
      </c>
      <c r="H254" s="53" t="n">
        <f aca="false">IF($A254="",0,SUMIFS(GL_Input!$U:$U,GL_Input!$F:$F,$A254,GL_Input!$X:$X,"G",GL_Input!$Y:$Y,3))</f>
        <v>0</v>
      </c>
      <c r="I254" s="53" t="n">
        <f aca="false">IF($A254="",0,SUMIFS(GL_Input!$U:$U,GL_Input!$F:$F,$A254,GL_Input!$X:$X,"T",GL_Input!$Y:$Y,1))</f>
        <v>0</v>
      </c>
      <c r="J254" s="53" t="n">
        <f aca="false">IF($A254="",0,SUMIFS(GL_Input!$U:$U,GL_Input!$F:$F,$A254,GL_Input!$X:$X,"T",GL_Input!$Y:$Y,2))</f>
        <v>0</v>
      </c>
      <c r="K254" s="53" t="n">
        <f aca="false">IF($A254="",0,SUMIFS(GL_Input!$U:$U,GL_Input!$F:$F,$A254,GL_Input!$X:$X,"T",GL_Input!$Y:$Y,3))</f>
        <v>0</v>
      </c>
      <c r="L254" s="53" t="n">
        <f aca="false">IF($A254="",0,SUMIFS(GL_Input!$U:$U,GL_Input!$F:$F,$A254,GL_Input!$X:$X,"S",GL_Input!$Y:$Y,1))</f>
        <v>0</v>
      </c>
      <c r="M254" s="53" t="n">
        <f aca="false">IF($A254="",0,SUMIFS(GL_Input!$U:$U,GL_Input!$F:$F,$A254,GL_Input!$X:$X,"S",GL_Input!$Y:$Y,2))</f>
        <v>0</v>
      </c>
      <c r="N254" s="53" t="n">
        <f aca="false">IF($A254="",0,SUMIFS(GL_Input!$U:$U,GL_Input!$F:$F,$A254,GL_Input!$X:$X,"S",GL_Input!$Y:$Y,3))</f>
        <v>0</v>
      </c>
      <c r="O254" s="54" t="n">
        <f aca="false">SUM(F254:N254)</f>
        <v>0</v>
      </c>
      <c r="P254" s="15" t="str">
        <f aca="false">IF(O254=0,"",IF($D254="","MISSING VAT NO.",IF(OR($C254="",$C254="CY",Counterparties!G254&lt;&gt;"EU"),"NOT AN EU CUSTOMER","OK")))</f>
        <v/>
      </c>
    </row>
    <row r="255" customFormat="false" ht="15" hidden="false" customHeight="false" outlineLevel="0" collapsed="false">
      <c r="A255" s="30" t="str">
        <f aca="false">IF(Counterparties!A255="","",Counterparties!A255)</f>
        <v/>
      </c>
      <c r="B255" s="30" t="str">
        <f aca="false">IF(Counterparties!B255="","",Counterparties!B255)</f>
        <v/>
      </c>
      <c r="C255" s="30" t="str">
        <f aca="false">IF(Counterparties!C255="","",Counterparties!C255)</f>
        <v/>
      </c>
      <c r="D255" s="30" t="str">
        <f aca="false">IF(Counterparties!D255="","",Counterparties!D255)</f>
        <v/>
      </c>
      <c r="E255" s="30" t="str">
        <f aca="false">IF(Counterparties!E255="","",Counterparties!E255)</f>
        <v/>
      </c>
      <c r="F255" s="53" t="n">
        <f aca="false">IF($A255="",0,SUMIFS(GL_Input!$U:$U,GL_Input!$F:$F,$A255,GL_Input!$X:$X,"G",GL_Input!$Y:$Y,1))</f>
        <v>0</v>
      </c>
      <c r="G255" s="53" t="n">
        <f aca="false">IF($A255="",0,SUMIFS(GL_Input!$U:$U,GL_Input!$F:$F,$A255,GL_Input!$X:$X,"G",GL_Input!$Y:$Y,2))</f>
        <v>0</v>
      </c>
      <c r="H255" s="53" t="n">
        <f aca="false">IF($A255="",0,SUMIFS(GL_Input!$U:$U,GL_Input!$F:$F,$A255,GL_Input!$X:$X,"G",GL_Input!$Y:$Y,3))</f>
        <v>0</v>
      </c>
      <c r="I255" s="53" t="n">
        <f aca="false">IF($A255="",0,SUMIFS(GL_Input!$U:$U,GL_Input!$F:$F,$A255,GL_Input!$X:$X,"T",GL_Input!$Y:$Y,1))</f>
        <v>0</v>
      </c>
      <c r="J255" s="53" t="n">
        <f aca="false">IF($A255="",0,SUMIFS(GL_Input!$U:$U,GL_Input!$F:$F,$A255,GL_Input!$X:$X,"T",GL_Input!$Y:$Y,2))</f>
        <v>0</v>
      </c>
      <c r="K255" s="53" t="n">
        <f aca="false">IF($A255="",0,SUMIFS(GL_Input!$U:$U,GL_Input!$F:$F,$A255,GL_Input!$X:$X,"T",GL_Input!$Y:$Y,3))</f>
        <v>0</v>
      </c>
      <c r="L255" s="53" t="n">
        <f aca="false">IF($A255="",0,SUMIFS(GL_Input!$U:$U,GL_Input!$F:$F,$A255,GL_Input!$X:$X,"S",GL_Input!$Y:$Y,1))</f>
        <v>0</v>
      </c>
      <c r="M255" s="53" t="n">
        <f aca="false">IF($A255="",0,SUMIFS(GL_Input!$U:$U,GL_Input!$F:$F,$A255,GL_Input!$X:$X,"S",GL_Input!$Y:$Y,2))</f>
        <v>0</v>
      </c>
      <c r="N255" s="53" t="n">
        <f aca="false">IF($A255="",0,SUMIFS(GL_Input!$U:$U,GL_Input!$F:$F,$A255,GL_Input!$X:$X,"S",GL_Input!$Y:$Y,3))</f>
        <v>0</v>
      </c>
      <c r="O255" s="54" t="n">
        <f aca="false">SUM(F255:N255)</f>
        <v>0</v>
      </c>
      <c r="P255" s="15" t="str">
        <f aca="false">IF(O255=0,"",IF($D255="","MISSING VAT NO.",IF(OR($C255="",$C255="CY",Counterparties!G255&lt;&gt;"EU"),"NOT AN EU CUSTOMER","OK")))</f>
        <v/>
      </c>
    </row>
    <row r="256" customFormat="false" ht="15" hidden="false" customHeight="false" outlineLevel="0" collapsed="false">
      <c r="A256" s="30" t="str">
        <f aca="false">IF(Counterparties!A256="","",Counterparties!A256)</f>
        <v/>
      </c>
      <c r="B256" s="30" t="str">
        <f aca="false">IF(Counterparties!B256="","",Counterparties!B256)</f>
        <v/>
      </c>
      <c r="C256" s="30" t="str">
        <f aca="false">IF(Counterparties!C256="","",Counterparties!C256)</f>
        <v/>
      </c>
      <c r="D256" s="30" t="str">
        <f aca="false">IF(Counterparties!D256="","",Counterparties!D256)</f>
        <v/>
      </c>
      <c r="E256" s="30" t="str">
        <f aca="false">IF(Counterparties!E256="","",Counterparties!E256)</f>
        <v/>
      </c>
      <c r="F256" s="53" t="n">
        <f aca="false">IF($A256="",0,SUMIFS(GL_Input!$U:$U,GL_Input!$F:$F,$A256,GL_Input!$X:$X,"G",GL_Input!$Y:$Y,1))</f>
        <v>0</v>
      </c>
      <c r="G256" s="53" t="n">
        <f aca="false">IF($A256="",0,SUMIFS(GL_Input!$U:$U,GL_Input!$F:$F,$A256,GL_Input!$X:$X,"G",GL_Input!$Y:$Y,2))</f>
        <v>0</v>
      </c>
      <c r="H256" s="53" t="n">
        <f aca="false">IF($A256="",0,SUMIFS(GL_Input!$U:$U,GL_Input!$F:$F,$A256,GL_Input!$X:$X,"G",GL_Input!$Y:$Y,3))</f>
        <v>0</v>
      </c>
      <c r="I256" s="53" t="n">
        <f aca="false">IF($A256="",0,SUMIFS(GL_Input!$U:$U,GL_Input!$F:$F,$A256,GL_Input!$X:$X,"T",GL_Input!$Y:$Y,1))</f>
        <v>0</v>
      </c>
      <c r="J256" s="53" t="n">
        <f aca="false">IF($A256="",0,SUMIFS(GL_Input!$U:$U,GL_Input!$F:$F,$A256,GL_Input!$X:$X,"T",GL_Input!$Y:$Y,2))</f>
        <v>0</v>
      </c>
      <c r="K256" s="53" t="n">
        <f aca="false">IF($A256="",0,SUMIFS(GL_Input!$U:$U,GL_Input!$F:$F,$A256,GL_Input!$X:$X,"T",GL_Input!$Y:$Y,3))</f>
        <v>0</v>
      </c>
      <c r="L256" s="53" t="n">
        <f aca="false">IF($A256="",0,SUMIFS(GL_Input!$U:$U,GL_Input!$F:$F,$A256,GL_Input!$X:$X,"S",GL_Input!$Y:$Y,1))</f>
        <v>0</v>
      </c>
      <c r="M256" s="53" t="n">
        <f aca="false">IF($A256="",0,SUMIFS(GL_Input!$U:$U,GL_Input!$F:$F,$A256,GL_Input!$X:$X,"S",GL_Input!$Y:$Y,2))</f>
        <v>0</v>
      </c>
      <c r="N256" s="53" t="n">
        <f aca="false">IF($A256="",0,SUMIFS(GL_Input!$U:$U,GL_Input!$F:$F,$A256,GL_Input!$X:$X,"S",GL_Input!$Y:$Y,3))</f>
        <v>0</v>
      </c>
      <c r="O256" s="54" t="n">
        <f aca="false">SUM(F256:N256)</f>
        <v>0</v>
      </c>
      <c r="P256" s="15" t="str">
        <f aca="false">IF(O256=0,"",IF($D256="","MISSING VAT NO.",IF(OR($C256="",$C256="CY",Counterparties!G256&lt;&gt;"EU"),"NOT AN EU CUSTOMER","OK")))</f>
        <v/>
      </c>
    </row>
    <row r="257" customFormat="false" ht="15" hidden="false" customHeight="false" outlineLevel="0" collapsed="false">
      <c r="A257" s="30" t="str">
        <f aca="false">IF(Counterparties!A257="","",Counterparties!A257)</f>
        <v/>
      </c>
      <c r="B257" s="30" t="str">
        <f aca="false">IF(Counterparties!B257="","",Counterparties!B257)</f>
        <v/>
      </c>
      <c r="C257" s="30" t="str">
        <f aca="false">IF(Counterparties!C257="","",Counterparties!C257)</f>
        <v/>
      </c>
      <c r="D257" s="30" t="str">
        <f aca="false">IF(Counterparties!D257="","",Counterparties!D257)</f>
        <v/>
      </c>
      <c r="E257" s="30" t="str">
        <f aca="false">IF(Counterparties!E257="","",Counterparties!E257)</f>
        <v/>
      </c>
      <c r="F257" s="53" t="n">
        <f aca="false">IF($A257="",0,SUMIFS(GL_Input!$U:$U,GL_Input!$F:$F,$A257,GL_Input!$X:$X,"G",GL_Input!$Y:$Y,1))</f>
        <v>0</v>
      </c>
      <c r="G257" s="53" t="n">
        <f aca="false">IF($A257="",0,SUMIFS(GL_Input!$U:$U,GL_Input!$F:$F,$A257,GL_Input!$X:$X,"G",GL_Input!$Y:$Y,2))</f>
        <v>0</v>
      </c>
      <c r="H257" s="53" t="n">
        <f aca="false">IF($A257="",0,SUMIFS(GL_Input!$U:$U,GL_Input!$F:$F,$A257,GL_Input!$X:$X,"G",GL_Input!$Y:$Y,3))</f>
        <v>0</v>
      </c>
      <c r="I257" s="53" t="n">
        <f aca="false">IF($A257="",0,SUMIFS(GL_Input!$U:$U,GL_Input!$F:$F,$A257,GL_Input!$X:$X,"T",GL_Input!$Y:$Y,1))</f>
        <v>0</v>
      </c>
      <c r="J257" s="53" t="n">
        <f aca="false">IF($A257="",0,SUMIFS(GL_Input!$U:$U,GL_Input!$F:$F,$A257,GL_Input!$X:$X,"T",GL_Input!$Y:$Y,2))</f>
        <v>0</v>
      </c>
      <c r="K257" s="53" t="n">
        <f aca="false">IF($A257="",0,SUMIFS(GL_Input!$U:$U,GL_Input!$F:$F,$A257,GL_Input!$X:$X,"T",GL_Input!$Y:$Y,3))</f>
        <v>0</v>
      </c>
      <c r="L257" s="53" t="n">
        <f aca="false">IF($A257="",0,SUMIFS(GL_Input!$U:$U,GL_Input!$F:$F,$A257,GL_Input!$X:$X,"S",GL_Input!$Y:$Y,1))</f>
        <v>0</v>
      </c>
      <c r="M257" s="53" t="n">
        <f aca="false">IF($A257="",0,SUMIFS(GL_Input!$U:$U,GL_Input!$F:$F,$A257,GL_Input!$X:$X,"S",GL_Input!$Y:$Y,2))</f>
        <v>0</v>
      </c>
      <c r="N257" s="53" t="n">
        <f aca="false">IF($A257="",0,SUMIFS(GL_Input!$U:$U,GL_Input!$F:$F,$A257,GL_Input!$X:$X,"S",GL_Input!$Y:$Y,3))</f>
        <v>0</v>
      </c>
      <c r="O257" s="54" t="n">
        <f aca="false">SUM(F257:N257)</f>
        <v>0</v>
      </c>
      <c r="P257" s="15" t="str">
        <f aca="false">IF(O257=0,"",IF($D257="","MISSING VAT NO.",IF(OR($C257="",$C257="CY",Counterparties!G257&lt;&gt;"EU"),"NOT AN EU CUSTOMER","OK")))</f>
        <v/>
      </c>
    </row>
    <row r="258" customFormat="false" ht="15" hidden="false" customHeight="false" outlineLevel="0" collapsed="false">
      <c r="A258" s="30" t="str">
        <f aca="false">IF(Counterparties!A258="","",Counterparties!A258)</f>
        <v/>
      </c>
      <c r="B258" s="30" t="str">
        <f aca="false">IF(Counterparties!B258="","",Counterparties!B258)</f>
        <v/>
      </c>
      <c r="C258" s="30" t="str">
        <f aca="false">IF(Counterparties!C258="","",Counterparties!C258)</f>
        <v/>
      </c>
      <c r="D258" s="30" t="str">
        <f aca="false">IF(Counterparties!D258="","",Counterparties!D258)</f>
        <v/>
      </c>
      <c r="E258" s="30" t="str">
        <f aca="false">IF(Counterparties!E258="","",Counterparties!E258)</f>
        <v/>
      </c>
      <c r="F258" s="53" t="n">
        <f aca="false">IF($A258="",0,SUMIFS(GL_Input!$U:$U,GL_Input!$F:$F,$A258,GL_Input!$X:$X,"G",GL_Input!$Y:$Y,1))</f>
        <v>0</v>
      </c>
      <c r="G258" s="53" t="n">
        <f aca="false">IF($A258="",0,SUMIFS(GL_Input!$U:$U,GL_Input!$F:$F,$A258,GL_Input!$X:$X,"G",GL_Input!$Y:$Y,2))</f>
        <v>0</v>
      </c>
      <c r="H258" s="53" t="n">
        <f aca="false">IF($A258="",0,SUMIFS(GL_Input!$U:$U,GL_Input!$F:$F,$A258,GL_Input!$X:$X,"G",GL_Input!$Y:$Y,3))</f>
        <v>0</v>
      </c>
      <c r="I258" s="53" t="n">
        <f aca="false">IF($A258="",0,SUMIFS(GL_Input!$U:$U,GL_Input!$F:$F,$A258,GL_Input!$X:$X,"T",GL_Input!$Y:$Y,1))</f>
        <v>0</v>
      </c>
      <c r="J258" s="53" t="n">
        <f aca="false">IF($A258="",0,SUMIFS(GL_Input!$U:$U,GL_Input!$F:$F,$A258,GL_Input!$X:$X,"T",GL_Input!$Y:$Y,2))</f>
        <v>0</v>
      </c>
      <c r="K258" s="53" t="n">
        <f aca="false">IF($A258="",0,SUMIFS(GL_Input!$U:$U,GL_Input!$F:$F,$A258,GL_Input!$X:$X,"T",GL_Input!$Y:$Y,3))</f>
        <v>0</v>
      </c>
      <c r="L258" s="53" t="n">
        <f aca="false">IF($A258="",0,SUMIFS(GL_Input!$U:$U,GL_Input!$F:$F,$A258,GL_Input!$X:$X,"S",GL_Input!$Y:$Y,1))</f>
        <v>0</v>
      </c>
      <c r="M258" s="53" t="n">
        <f aca="false">IF($A258="",0,SUMIFS(GL_Input!$U:$U,GL_Input!$F:$F,$A258,GL_Input!$X:$X,"S",GL_Input!$Y:$Y,2))</f>
        <v>0</v>
      </c>
      <c r="N258" s="53" t="n">
        <f aca="false">IF($A258="",0,SUMIFS(GL_Input!$U:$U,GL_Input!$F:$F,$A258,GL_Input!$X:$X,"S",GL_Input!$Y:$Y,3))</f>
        <v>0</v>
      </c>
      <c r="O258" s="54" t="n">
        <f aca="false">SUM(F258:N258)</f>
        <v>0</v>
      </c>
      <c r="P258" s="15" t="str">
        <f aca="false">IF(O258=0,"",IF($D258="","MISSING VAT NO.",IF(OR($C258="",$C258="CY",Counterparties!G258&lt;&gt;"EU"),"NOT AN EU CUSTOMER","OK")))</f>
        <v/>
      </c>
    </row>
    <row r="259" customFormat="false" ht="15" hidden="false" customHeight="false" outlineLevel="0" collapsed="false">
      <c r="A259" s="30" t="str">
        <f aca="false">IF(Counterparties!A259="","",Counterparties!A259)</f>
        <v/>
      </c>
      <c r="B259" s="30" t="str">
        <f aca="false">IF(Counterparties!B259="","",Counterparties!B259)</f>
        <v/>
      </c>
      <c r="C259" s="30" t="str">
        <f aca="false">IF(Counterparties!C259="","",Counterparties!C259)</f>
        <v/>
      </c>
      <c r="D259" s="30" t="str">
        <f aca="false">IF(Counterparties!D259="","",Counterparties!D259)</f>
        <v/>
      </c>
      <c r="E259" s="30" t="str">
        <f aca="false">IF(Counterparties!E259="","",Counterparties!E259)</f>
        <v/>
      </c>
      <c r="F259" s="53" t="n">
        <f aca="false">IF($A259="",0,SUMIFS(GL_Input!$U:$U,GL_Input!$F:$F,$A259,GL_Input!$X:$X,"G",GL_Input!$Y:$Y,1))</f>
        <v>0</v>
      </c>
      <c r="G259" s="53" t="n">
        <f aca="false">IF($A259="",0,SUMIFS(GL_Input!$U:$U,GL_Input!$F:$F,$A259,GL_Input!$X:$X,"G",GL_Input!$Y:$Y,2))</f>
        <v>0</v>
      </c>
      <c r="H259" s="53" t="n">
        <f aca="false">IF($A259="",0,SUMIFS(GL_Input!$U:$U,GL_Input!$F:$F,$A259,GL_Input!$X:$X,"G",GL_Input!$Y:$Y,3))</f>
        <v>0</v>
      </c>
      <c r="I259" s="53" t="n">
        <f aca="false">IF($A259="",0,SUMIFS(GL_Input!$U:$U,GL_Input!$F:$F,$A259,GL_Input!$X:$X,"T",GL_Input!$Y:$Y,1))</f>
        <v>0</v>
      </c>
      <c r="J259" s="53" t="n">
        <f aca="false">IF($A259="",0,SUMIFS(GL_Input!$U:$U,GL_Input!$F:$F,$A259,GL_Input!$X:$X,"T",GL_Input!$Y:$Y,2))</f>
        <v>0</v>
      </c>
      <c r="K259" s="53" t="n">
        <f aca="false">IF($A259="",0,SUMIFS(GL_Input!$U:$U,GL_Input!$F:$F,$A259,GL_Input!$X:$X,"T",GL_Input!$Y:$Y,3))</f>
        <v>0</v>
      </c>
      <c r="L259" s="53" t="n">
        <f aca="false">IF($A259="",0,SUMIFS(GL_Input!$U:$U,GL_Input!$F:$F,$A259,GL_Input!$X:$X,"S",GL_Input!$Y:$Y,1))</f>
        <v>0</v>
      </c>
      <c r="M259" s="53" t="n">
        <f aca="false">IF($A259="",0,SUMIFS(GL_Input!$U:$U,GL_Input!$F:$F,$A259,GL_Input!$X:$X,"S",GL_Input!$Y:$Y,2))</f>
        <v>0</v>
      </c>
      <c r="N259" s="53" t="n">
        <f aca="false">IF($A259="",0,SUMIFS(GL_Input!$U:$U,GL_Input!$F:$F,$A259,GL_Input!$X:$X,"S",GL_Input!$Y:$Y,3))</f>
        <v>0</v>
      </c>
      <c r="O259" s="54" t="n">
        <f aca="false">SUM(F259:N259)</f>
        <v>0</v>
      </c>
      <c r="P259" s="15" t="str">
        <f aca="false">IF(O259=0,"",IF($D259="","MISSING VAT NO.",IF(OR($C259="",$C259="CY",Counterparties!G259&lt;&gt;"EU"),"NOT AN EU CUSTOMER","OK")))</f>
        <v/>
      </c>
    </row>
    <row r="260" customFormat="false" ht="15" hidden="false" customHeight="false" outlineLevel="0" collapsed="false">
      <c r="A260" s="30" t="str">
        <f aca="false">IF(Counterparties!A260="","",Counterparties!A260)</f>
        <v/>
      </c>
      <c r="B260" s="30" t="str">
        <f aca="false">IF(Counterparties!B260="","",Counterparties!B260)</f>
        <v/>
      </c>
      <c r="C260" s="30" t="str">
        <f aca="false">IF(Counterparties!C260="","",Counterparties!C260)</f>
        <v/>
      </c>
      <c r="D260" s="30" t="str">
        <f aca="false">IF(Counterparties!D260="","",Counterparties!D260)</f>
        <v/>
      </c>
      <c r="E260" s="30" t="str">
        <f aca="false">IF(Counterparties!E260="","",Counterparties!E260)</f>
        <v/>
      </c>
      <c r="F260" s="53" t="n">
        <f aca="false">IF($A260="",0,SUMIFS(GL_Input!$U:$U,GL_Input!$F:$F,$A260,GL_Input!$X:$X,"G",GL_Input!$Y:$Y,1))</f>
        <v>0</v>
      </c>
      <c r="G260" s="53" t="n">
        <f aca="false">IF($A260="",0,SUMIFS(GL_Input!$U:$U,GL_Input!$F:$F,$A260,GL_Input!$X:$X,"G",GL_Input!$Y:$Y,2))</f>
        <v>0</v>
      </c>
      <c r="H260" s="53" t="n">
        <f aca="false">IF($A260="",0,SUMIFS(GL_Input!$U:$U,GL_Input!$F:$F,$A260,GL_Input!$X:$X,"G",GL_Input!$Y:$Y,3))</f>
        <v>0</v>
      </c>
      <c r="I260" s="53" t="n">
        <f aca="false">IF($A260="",0,SUMIFS(GL_Input!$U:$U,GL_Input!$F:$F,$A260,GL_Input!$X:$X,"T",GL_Input!$Y:$Y,1))</f>
        <v>0</v>
      </c>
      <c r="J260" s="53" t="n">
        <f aca="false">IF($A260="",0,SUMIFS(GL_Input!$U:$U,GL_Input!$F:$F,$A260,GL_Input!$X:$X,"T",GL_Input!$Y:$Y,2))</f>
        <v>0</v>
      </c>
      <c r="K260" s="53" t="n">
        <f aca="false">IF($A260="",0,SUMIFS(GL_Input!$U:$U,GL_Input!$F:$F,$A260,GL_Input!$X:$X,"T",GL_Input!$Y:$Y,3))</f>
        <v>0</v>
      </c>
      <c r="L260" s="53" t="n">
        <f aca="false">IF($A260="",0,SUMIFS(GL_Input!$U:$U,GL_Input!$F:$F,$A260,GL_Input!$X:$X,"S",GL_Input!$Y:$Y,1))</f>
        <v>0</v>
      </c>
      <c r="M260" s="53" t="n">
        <f aca="false">IF($A260="",0,SUMIFS(GL_Input!$U:$U,GL_Input!$F:$F,$A260,GL_Input!$X:$X,"S",GL_Input!$Y:$Y,2))</f>
        <v>0</v>
      </c>
      <c r="N260" s="53" t="n">
        <f aca="false">IF($A260="",0,SUMIFS(GL_Input!$U:$U,GL_Input!$F:$F,$A260,GL_Input!$X:$X,"S",GL_Input!$Y:$Y,3))</f>
        <v>0</v>
      </c>
      <c r="O260" s="54" t="n">
        <f aca="false">SUM(F260:N260)</f>
        <v>0</v>
      </c>
      <c r="P260" s="15" t="str">
        <f aca="false">IF(O260=0,"",IF($D260="","MISSING VAT NO.",IF(OR($C260="",$C260="CY",Counterparties!G260&lt;&gt;"EU"),"NOT AN EU CUSTOMER","OK")))</f>
        <v/>
      </c>
    </row>
    <row r="261" customFormat="false" ht="15" hidden="false" customHeight="false" outlineLevel="0" collapsed="false">
      <c r="A261" s="30" t="str">
        <f aca="false">IF(Counterparties!A261="","",Counterparties!A261)</f>
        <v/>
      </c>
      <c r="B261" s="30" t="str">
        <f aca="false">IF(Counterparties!B261="","",Counterparties!B261)</f>
        <v/>
      </c>
      <c r="C261" s="30" t="str">
        <f aca="false">IF(Counterparties!C261="","",Counterparties!C261)</f>
        <v/>
      </c>
      <c r="D261" s="30" t="str">
        <f aca="false">IF(Counterparties!D261="","",Counterparties!D261)</f>
        <v/>
      </c>
      <c r="E261" s="30" t="str">
        <f aca="false">IF(Counterparties!E261="","",Counterparties!E261)</f>
        <v/>
      </c>
      <c r="F261" s="53" t="n">
        <f aca="false">IF($A261="",0,SUMIFS(GL_Input!$U:$U,GL_Input!$F:$F,$A261,GL_Input!$X:$X,"G",GL_Input!$Y:$Y,1))</f>
        <v>0</v>
      </c>
      <c r="G261" s="53" t="n">
        <f aca="false">IF($A261="",0,SUMIFS(GL_Input!$U:$U,GL_Input!$F:$F,$A261,GL_Input!$X:$X,"G",GL_Input!$Y:$Y,2))</f>
        <v>0</v>
      </c>
      <c r="H261" s="53" t="n">
        <f aca="false">IF($A261="",0,SUMIFS(GL_Input!$U:$U,GL_Input!$F:$F,$A261,GL_Input!$X:$X,"G",GL_Input!$Y:$Y,3))</f>
        <v>0</v>
      </c>
      <c r="I261" s="53" t="n">
        <f aca="false">IF($A261="",0,SUMIFS(GL_Input!$U:$U,GL_Input!$F:$F,$A261,GL_Input!$X:$X,"T",GL_Input!$Y:$Y,1))</f>
        <v>0</v>
      </c>
      <c r="J261" s="53" t="n">
        <f aca="false">IF($A261="",0,SUMIFS(GL_Input!$U:$U,GL_Input!$F:$F,$A261,GL_Input!$X:$X,"T",GL_Input!$Y:$Y,2))</f>
        <v>0</v>
      </c>
      <c r="K261" s="53" t="n">
        <f aca="false">IF($A261="",0,SUMIFS(GL_Input!$U:$U,GL_Input!$F:$F,$A261,GL_Input!$X:$X,"T",GL_Input!$Y:$Y,3))</f>
        <v>0</v>
      </c>
      <c r="L261" s="53" t="n">
        <f aca="false">IF($A261="",0,SUMIFS(GL_Input!$U:$U,GL_Input!$F:$F,$A261,GL_Input!$X:$X,"S",GL_Input!$Y:$Y,1))</f>
        <v>0</v>
      </c>
      <c r="M261" s="53" t="n">
        <f aca="false">IF($A261="",0,SUMIFS(GL_Input!$U:$U,GL_Input!$F:$F,$A261,GL_Input!$X:$X,"S",GL_Input!$Y:$Y,2))</f>
        <v>0</v>
      </c>
      <c r="N261" s="53" t="n">
        <f aca="false">IF($A261="",0,SUMIFS(GL_Input!$U:$U,GL_Input!$F:$F,$A261,GL_Input!$X:$X,"S",GL_Input!$Y:$Y,3))</f>
        <v>0</v>
      </c>
      <c r="O261" s="54" t="n">
        <f aca="false">SUM(F261:N261)</f>
        <v>0</v>
      </c>
      <c r="P261" s="15" t="str">
        <f aca="false">IF(O261=0,"",IF($D261="","MISSING VAT NO.",IF(OR($C261="",$C261="CY",Counterparties!G261&lt;&gt;"EU"),"NOT AN EU CUSTOMER","OK")))</f>
        <v/>
      </c>
    </row>
    <row r="262" customFormat="false" ht="15" hidden="false" customHeight="false" outlineLevel="0" collapsed="false">
      <c r="A262" s="30" t="str">
        <f aca="false">IF(Counterparties!A262="","",Counterparties!A262)</f>
        <v/>
      </c>
      <c r="B262" s="30" t="str">
        <f aca="false">IF(Counterparties!B262="","",Counterparties!B262)</f>
        <v/>
      </c>
      <c r="C262" s="30" t="str">
        <f aca="false">IF(Counterparties!C262="","",Counterparties!C262)</f>
        <v/>
      </c>
      <c r="D262" s="30" t="str">
        <f aca="false">IF(Counterparties!D262="","",Counterparties!D262)</f>
        <v/>
      </c>
      <c r="E262" s="30" t="str">
        <f aca="false">IF(Counterparties!E262="","",Counterparties!E262)</f>
        <v/>
      </c>
      <c r="F262" s="53" t="n">
        <f aca="false">IF($A262="",0,SUMIFS(GL_Input!$U:$U,GL_Input!$F:$F,$A262,GL_Input!$X:$X,"G",GL_Input!$Y:$Y,1))</f>
        <v>0</v>
      </c>
      <c r="G262" s="53" t="n">
        <f aca="false">IF($A262="",0,SUMIFS(GL_Input!$U:$U,GL_Input!$F:$F,$A262,GL_Input!$X:$X,"G",GL_Input!$Y:$Y,2))</f>
        <v>0</v>
      </c>
      <c r="H262" s="53" t="n">
        <f aca="false">IF($A262="",0,SUMIFS(GL_Input!$U:$U,GL_Input!$F:$F,$A262,GL_Input!$X:$X,"G",GL_Input!$Y:$Y,3))</f>
        <v>0</v>
      </c>
      <c r="I262" s="53" t="n">
        <f aca="false">IF($A262="",0,SUMIFS(GL_Input!$U:$U,GL_Input!$F:$F,$A262,GL_Input!$X:$X,"T",GL_Input!$Y:$Y,1))</f>
        <v>0</v>
      </c>
      <c r="J262" s="53" t="n">
        <f aca="false">IF($A262="",0,SUMIFS(GL_Input!$U:$U,GL_Input!$F:$F,$A262,GL_Input!$X:$X,"T",GL_Input!$Y:$Y,2))</f>
        <v>0</v>
      </c>
      <c r="K262" s="53" t="n">
        <f aca="false">IF($A262="",0,SUMIFS(GL_Input!$U:$U,GL_Input!$F:$F,$A262,GL_Input!$X:$X,"T",GL_Input!$Y:$Y,3))</f>
        <v>0</v>
      </c>
      <c r="L262" s="53" t="n">
        <f aca="false">IF($A262="",0,SUMIFS(GL_Input!$U:$U,GL_Input!$F:$F,$A262,GL_Input!$X:$X,"S",GL_Input!$Y:$Y,1))</f>
        <v>0</v>
      </c>
      <c r="M262" s="53" t="n">
        <f aca="false">IF($A262="",0,SUMIFS(GL_Input!$U:$U,GL_Input!$F:$F,$A262,GL_Input!$X:$X,"S",GL_Input!$Y:$Y,2))</f>
        <v>0</v>
      </c>
      <c r="N262" s="53" t="n">
        <f aca="false">IF($A262="",0,SUMIFS(GL_Input!$U:$U,GL_Input!$F:$F,$A262,GL_Input!$X:$X,"S",GL_Input!$Y:$Y,3))</f>
        <v>0</v>
      </c>
      <c r="O262" s="54" t="n">
        <f aca="false">SUM(F262:N262)</f>
        <v>0</v>
      </c>
      <c r="P262" s="15" t="str">
        <f aca="false">IF(O262=0,"",IF($D262="","MISSING VAT NO.",IF(OR($C262="",$C262="CY",Counterparties!G262&lt;&gt;"EU"),"NOT AN EU CUSTOMER","OK")))</f>
        <v/>
      </c>
    </row>
    <row r="263" customFormat="false" ht="15" hidden="false" customHeight="false" outlineLevel="0" collapsed="false">
      <c r="A263" s="30" t="str">
        <f aca="false">IF(Counterparties!A263="","",Counterparties!A263)</f>
        <v/>
      </c>
      <c r="B263" s="30" t="str">
        <f aca="false">IF(Counterparties!B263="","",Counterparties!B263)</f>
        <v/>
      </c>
      <c r="C263" s="30" t="str">
        <f aca="false">IF(Counterparties!C263="","",Counterparties!C263)</f>
        <v/>
      </c>
      <c r="D263" s="30" t="str">
        <f aca="false">IF(Counterparties!D263="","",Counterparties!D263)</f>
        <v/>
      </c>
      <c r="E263" s="30" t="str">
        <f aca="false">IF(Counterparties!E263="","",Counterparties!E263)</f>
        <v/>
      </c>
      <c r="F263" s="53" t="n">
        <f aca="false">IF($A263="",0,SUMIFS(GL_Input!$U:$U,GL_Input!$F:$F,$A263,GL_Input!$X:$X,"G",GL_Input!$Y:$Y,1))</f>
        <v>0</v>
      </c>
      <c r="G263" s="53" t="n">
        <f aca="false">IF($A263="",0,SUMIFS(GL_Input!$U:$U,GL_Input!$F:$F,$A263,GL_Input!$X:$X,"G",GL_Input!$Y:$Y,2))</f>
        <v>0</v>
      </c>
      <c r="H263" s="53" t="n">
        <f aca="false">IF($A263="",0,SUMIFS(GL_Input!$U:$U,GL_Input!$F:$F,$A263,GL_Input!$X:$X,"G",GL_Input!$Y:$Y,3))</f>
        <v>0</v>
      </c>
      <c r="I263" s="53" t="n">
        <f aca="false">IF($A263="",0,SUMIFS(GL_Input!$U:$U,GL_Input!$F:$F,$A263,GL_Input!$X:$X,"T",GL_Input!$Y:$Y,1))</f>
        <v>0</v>
      </c>
      <c r="J263" s="53" t="n">
        <f aca="false">IF($A263="",0,SUMIFS(GL_Input!$U:$U,GL_Input!$F:$F,$A263,GL_Input!$X:$X,"T",GL_Input!$Y:$Y,2))</f>
        <v>0</v>
      </c>
      <c r="K263" s="53" t="n">
        <f aca="false">IF($A263="",0,SUMIFS(GL_Input!$U:$U,GL_Input!$F:$F,$A263,GL_Input!$X:$X,"T",GL_Input!$Y:$Y,3))</f>
        <v>0</v>
      </c>
      <c r="L263" s="53" t="n">
        <f aca="false">IF($A263="",0,SUMIFS(GL_Input!$U:$U,GL_Input!$F:$F,$A263,GL_Input!$X:$X,"S",GL_Input!$Y:$Y,1))</f>
        <v>0</v>
      </c>
      <c r="M263" s="53" t="n">
        <f aca="false">IF($A263="",0,SUMIFS(GL_Input!$U:$U,GL_Input!$F:$F,$A263,GL_Input!$X:$X,"S",GL_Input!$Y:$Y,2))</f>
        <v>0</v>
      </c>
      <c r="N263" s="53" t="n">
        <f aca="false">IF($A263="",0,SUMIFS(GL_Input!$U:$U,GL_Input!$F:$F,$A263,GL_Input!$X:$X,"S",GL_Input!$Y:$Y,3))</f>
        <v>0</v>
      </c>
      <c r="O263" s="54" t="n">
        <f aca="false">SUM(F263:N263)</f>
        <v>0</v>
      </c>
      <c r="P263" s="15" t="str">
        <f aca="false">IF(O263=0,"",IF($D263="","MISSING VAT NO.",IF(OR($C263="",$C263="CY",Counterparties!G263&lt;&gt;"EU"),"NOT AN EU CUSTOMER","OK")))</f>
        <v/>
      </c>
    </row>
    <row r="264" customFormat="false" ht="15" hidden="false" customHeight="false" outlineLevel="0" collapsed="false">
      <c r="A264" s="30" t="str">
        <f aca="false">IF(Counterparties!A264="","",Counterparties!A264)</f>
        <v/>
      </c>
      <c r="B264" s="30" t="str">
        <f aca="false">IF(Counterparties!B264="","",Counterparties!B264)</f>
        <v/>
      </c>
      <c r="C264" s="30" t="str">
        <f aca="false">IF(Counterparties!C264="","",Counterparties!C264)</f>
        <v/>
      </c>
      <c r="D264" s="30" t="str">
        <f aca="false">IF(Counterparties!D264="","",Counterparties!D264)</f>
        <v/>
      </c>
      <c r="E264" s="30" t="str">
        <f aca="false">IF(Counterparties!E264="","",Counterparties!E264)</f>
        <v/>
      </c>
      <c r="F264" s="53" t="n">
        <f aca="false">IF($A264="",0,SUMIFS(GL_Input!$U:$U,GL_Input!$F:$F,$A264,GL_Input!$X:$X,"G",GL_Input!$Y:$Y,1))</f>
        <v>0</v>
      </c>
      <c r="G264" s="53" t="n">
        <f aca="false">IF($A264="",0,SUMIFS(GL_Input!$U:$U,GL_Input!$F:$F,$A264,GL_Input!$X:$X,"G",GL_Input!$Y:$Y,2))</f>
        <v>0</v>
      </c>
      <c r="H264" s="53" t="n">
        <f aca="false">IF($A264="",0,SUMIFS(GL_Input!$U:$U,GL_Input!$F:$F,$A264,GL_Input!$X:$X,"G",GL_Input!$Y:$Y,3))</f>
        <v>0</v>
      </c>
      <c r="I264" s="53" t="n">
        <f aca="false">IF($A264="",0,SUMIFS(GL_Input!$U:$U,GL_Input!$F:$F,$A264,GL_Input!$X:$X,"T",GL_Input!$Y:$Y,1))</f>
        <v>0</v>
      </c>
      <c r="J264" s="53" t="n">
        <f aca="false">IF($A264="",0,SUMIFS(GL_Input!$U:$U,GL_Input!$F:$F,$A264,GL_Input!$X:$X,"T",GL_Input!$Y:$Y,2))</f>
        <v>0</v>
      </c>
      <c r="K264" s="53" t="n">
        <f aca="false">IF($A264="",0,SUMIFS(GL_Input!$U:$U,GL_Input!$F:$F,$A264,GL_Input!$X:$X,"T",GL_Input!$Y:$Y,3))</f>
        <v>0</v>
      </c>
      <c r="L264" s="53" t="n">
        <f aca="false">IF($A264="",0,SUMIFS(GL_Input!$U:$U,GL_Input!$F:$F,$A264,GL_Input!$X:$X,"S",GL_Input!$Y:$Y,1))</f>
        <v>0</v>
      </c>
      <c r="M264" s="53" t="n">
        <f aca="false">IF($A264="",0,SUMIFS(GL_Input!$U:$U,GL_Input!$F:$F,$A264,GL_Input!$X:$X,"S",GL_Input!$Y:$Y,2))</f>
        <v>0</v>
      </c>
      <c r="N264" s="53" t="n">
        <f aca="false">IF($A264="",0,SUMIFS(GL_Input!$U:$U,GL_Input!$F:$F,$A264,GL_Input!$X:$X,"S",GL_Input!$Y:$Y,3))</f>
        <v>0</v>
      </c>
      <c r="O264" s="54" t="n">
        <f aca="false">SUM(F264:N264)</f>
        <v>0</v>
      </c>
      <c r="P264" s="15" t="str">
        <f aca="false">IF(O264=0,"",IF($D264="","MISSING VAT NO.",IF(OR($C264="",$C264="CY",Counterparties!G264&lt;&gt;"EU"),"NOT AN EU CUSTOMER","OK")))</f>
        <v/>
      </c>
    </row>
    <row r="265" customFormat="false" ht="15" hidden="false" customHeight="false" outlineLevel="0" collapsed="false">
      <c r="A265" s="30" t="str">
        <f aca="false">IF(Counterparties!A265="","",Counterparties!A265)</f>
        <v/>
      </c>
      <c r="B265" s="30" t="str">
        <f aca="false">IF(Counterparties!B265="","",Counterparties!B265)</f>
        <v/>
      </c>
      <c r="C265" s="30" t="str">
        <f aca="false">IF(Counterparties!C265="","",Counterparties!C265)</f>
        <v/>
      </c>
      <c r="D265" s="30" t="str">
        <f aca="false">IF(Counterparties!D265="","",Counterparties!D265)</f>
        <v/>
      </c>
      <c r="E265" s="30" t="str">
        <f aca="false">IF(Counterparties!E265="","",Counterparties!E265)</f>
        <v/>
      </c>
      <c r="F265" s="53" t="n">
        <f aca="false">IF($A265="",0,SUMIFS(GL_Input!$U:$U,GL_Input!$F:$F,$A265,GL_Input!$X:$X,"G",GL_Input!$Y:$Y,1))</f>
        <v>0</v>
      </c>
      <c r="G265" s="53" t="n">
        <f aca="false">IF($A265="",0,SUMIFS(GL_Input!$U:$U,GL_Input!$F:$F,$A265,GL_Input!$X:$X,"G",GL_Input!$Y:$Y,2))</f>
        <v>0</v>
      </c>
      <c r="H265" s="53" t="n">
        <f aca="false">IF($A265="",0,SUMIFS(GL_Input!$U:$U,GL_Input!$F:$F,$A265,GL_Input!$X:$X,"G",GL_Input!$Y:$Y,3))</f>
        <v>0</v>
      </c>
      <c r="I265" s="53" t="n">
        <f aca="false">IF($A265="",0,SUMIFS(GL_Input!$U:$U,GL_Input!$F:$F,$A265,GL_Input!$X:$X,"T",GL_Input!$Y:$Y,1))</f>
        <v>0</v>
      </c>
      <c r="J265" s="53" t="n">
        <f aca="false">IF($A265="",0,SUMIFS(GL_Input!$U:$U,GL_Input!$F:$F,$A265,GL_Input!$X:$X,"T",GL_Input!$Y:$Y,2))</f>
        <v>0</v>
      </c>
      <c r="K265" s="53" t="n">
        <f aca="false">IF($A265="",0,SUMIFS(GL_Input!$U:$U,GL_Input!$F:$F,$A265,GL_Input!$X:$X,"T",GL_Input!$Y:$Y,3))</f>
        <v>0</v>
      </c>
      <c r="L265" s="53" t="n">
        <f aca="false">IF($A265="",0,SUMIFS(GL_Input!$U:$U,GL_Input!$F:$F,$A265,GL_Input!$X:$X,"S",GL_Input!$Y:$Y,1))</f>
        <v>0</v>
      </c>
      <c r="M265" s="53" t="n">
        <f aca="false">IF($A265="",0,SUMIFS(GL_Input!$U:$U,GL_Input!$F:$F,$A265,GL_Input!$X:$X,"S",GL_Input!$Y:$Y,2))</f>
        <v>0</v>
      </c>
      <c r="N265" s="53" t="n">
        <f aca="false">IF($A265="",0,SUMIFS(GL_Input!$U:$U,GL_Input!$F:$F,$A265,GL_Input!$X:$X,"S",GL_Input!$Y:$Y,3))</f>
        <v>0</v>
      </c>
      <c r="O265" s="54" t="n">
        <f aca="false">SUM(F265:N265)</f>
        <v>0</v>
      </c>
      <c r="P265" s="15" t="str">
        <f aca="false">IF(O265=0,"",IF($D265="","MISSING VAT NO.",IF(OR($C265="",$C265="CY",Counterparties!G265&lt;&gt;"EU"),"NOT AN EU CUSTOMER","OK")))</f>
        <v/>
      </c>
    </row>
    <row r="266" customFormat="false" ht="15" hidden="false" customHeight="false" outlineLevel="0" collapsed="false">
      <c r="A266" s="30" t="str">
        <f aca="false">IF(Counterparties!A266="","",Counterparties!A266)</f>
        <v/>
      </c>
      <c r="B266" s="30" t="str">
        <f aca="false">IF(Counterparties!B266="","",Counterparties!B266)</f>
        <v/>
      </c>
      <c r="C266" s="30" t="str">
        <f aca="false">IF(Counterparties!C266="","",Counterparties!C266)</f>
        <v/>
      </c>
      <c r="D266" s="30" t="str">
        <f aca="false">IF(Counterparties!D266="","",Counterparties!D266)</f>
        <v/>
      </c>
      <c r="E266" s="30" t="str">
        <f aca="false">IF(Counterparties!E266="","",Counterparties!E266)</f>
        <v/>
      </c>
      <c r="F266" s="53" t="n">
        <f aca="false">IF($A266="",0,SUMIFS(GL_Input!$U:$U,GL_Input!$F:$F,$A266,GL_Input!$X:$X,"G",GL_Input!$Y:$Y,1))</f>
        <v>0</v>
      </c>
      <c r="G266" s="53" t="n">
        <f aca="false">IF($A266="",0,SUMIFS(GL_Input!$U:$U,GL_Input!$F:$F,$A266,GL_Input!$X:$X,"G",GL_Input!$Y:$Y,2))</f>
        <v>0</v>
      </c>
      <c r="H266" s="53" t="n">
        <f aca="false">IF($A266="",0,SUMIFS(GL_Input!$U:$U,GL_Input!$F:$F,$A266,GL_Input!$X:$X,"G",GL_Input!$Y:$Y,3))</f>
        <v>0</v>
      </c>
      <c r="I266" s="53" t="n">
        <f aca="false">IF($A266="",0,SUMIFS(GL_Input!$U:$U,GL_Input!$F:$F,$A266,GL_Input!$X:$X,"T",GL_Input!$Y:$Y,1))</f>
        <v>0</v>
      </c>
      <c r="J266" s="53" t="n">
        <f aca="false">IF($A266="",0,SUMIFS(GL_Input!$U:$U,GL_Input!$F:$F,$A266,GL_Input!$X:$X,"T",GL_Input!$Y:$Y,2))</f>
        <v>0</v>
      </c>
      <c r="K266" s="53" t="n">
        <f aca="false">IF($A266="",0,SUMIFS(GL_Input!$U:$U,GL_Input!$F:$F,$A266,GL_Input!$X:$X,"T",GL_Input!$Y:$Y,3))</f>
        <v>0</v>
      </c>
      <c r="L266" s="53" t="n">
        <f aca="false">IF($A266="",0,SUMIFS(GL_Input!$U:$U,GL_Input!$F:$F,$A266,GL_Input!$X:$X,"S",GL_Input!$Y:$Y,1))</f>
        <v>0</v>
      </c>
      <c r="M266" s="53" t="n">
        <f aca="false">IF($A266="",0,SUMIFS(GL_Input!$U:$U,GL_Input!$F:$F,$A266,GL_Input!$X:$X,"S",GL_Input!$Y:$Y,2))</f>
        <v>0</v>
      </c>
      <c r="N266" s="53" t="n">
        <f aca="false">IF($A266="",0,SUMIFS(GL_Input!$U:$U,GL_Input!$F:$F,$A266,GL_Input!$X:$X,"S",GL_Input!$Y:$Y,3))</f>
        <v>0</v>
      </c>
      <c r="O266" s="54" t="n">
        <f aca="false">SUM(F266:N266)</f>
        <v>0</v>
      </c>
      <c r="P266" s="15" t="str">
        <f aca="false">IF(O266=0,"",IF($D266="","MISSING VAT NO.",IF(OR($C266="",$C266="CY",Counterparties!G266&lt;&gt;"EU"),"NOT AN EU CUSTOMER","OK")))</f>
        <v/>
      </c>
    </row>
    <row r="267" customFormat="false" ht="15" hidden="false" customHeight="false" outlineLevel="0" collapsed="false">
      <c r="A267" s="30" t="str">
        <f aca="false">IF(Counterparties!A267="","",Counterparties!A267)</f>
        <v/>
      </c>
      <c r="B267" s="30" t="str">
        <f aca="false">IF(Counterparties!B267="","",Counterparties!B267)</f>
        <v/>
      </c>
      <c r="C267" s="30" t="str">
        <f aca="false">IF(Counterparties!C267="","",Counterparties!C267)</f>
        <v/>
      </c>
      <c r="D267" s="30" t="str">
        <f aca="false">IF(Counterparties!D267="","",Counterparties!D267)</f>
        <v/>
      </c>
      <c r="E267" s="30" t="str">
        <f aca="false">IF(Counterparties!E267="","",Counterparties!E267)</f>
        <v/>
      </c>
      <c r="F267" s="53" t="n">
        <f aca="false">IF($A267="",0,SUMIFS(GL_Input!$U:$U,GL_Input!$F:$F,$A267,GL_Input!$X:$X,"G",GL_Input!$Y:$Y,1))</f>
        <v>0</v>
      </c>
      <c r="G267" s="53" t="n">
        <f aca="false">IF($A267="",0,SUMIFS(GL_Input!$U:$U,GL_Input!$F:$F,$A267,GL_Input!$X:$X,"G",GL_Input!$Y:$Y,2))</f>
        <v>0</v>
      </c>
      <c r="H267" s="53" t="n">
        <f aca="false">IF($A267="",0,SUMIFS(GL_Input!$U:$U,GL_Input!$F:$F,$A267,GL_Input!$X:$X,"G",GL_Input!$Y:$Y,3))</f>
        <v>0</v>
      </c>
      <c r="I267" s="53" t="n">
        <f aca="false">IF($A267="",0,SUMIFS(GL_Input!$U:$U,GL_Input!$F:$F,$A267,GL_Input!$X:$X,"T",GL_Input!$Y:$Y,1))</f>
        <v>0</v>
      </c>
      <c r="J267" s="53" t="n">
        <f aca="false">IF($A267="",0,SUMIFS(GL_Input!$U:$U,GL_Input!$F:$F,$A267,GL_Input!$X:$X,"T",GL_Input!$Y:$Y,2))</f>
        <v>0</v>
      </c>
      <c r="K267" s="53" t="n">
        <f aca="false">IF($A267="",0,SUMIFS(GL_Input!$U:$U,GL_Input!$F:$F,$A267,GL_Input!$X:$X,"T",GL_Input!$Y:$Y,3))</f>
        <v>0</v>
      </c>
      <c r="L267" s="53" t="n">
        <f aca="false">IF($A267="",0,SUMIFS(GL_Input!$U:$U,GL_Input!$F:$F,$A267,GL_Input!$X:$X,"S",GL_Input!$Y:$Y,1))</f>
        <v>0</v>
      </c>
      <c r="M267" s="53" t="n">
        <f aca="false">IF($A267="",0,SUMIFS(GL_Input!$U:$U,GL_Input!$F:$F,$A267,GL_Input!$X:$X,"S",GL_Input!$Y:$Y,2))</f>
        <v>0</v>
      </c>
      <c r="N267" s="53" t="n">
        <f aca="false">IF($A267="",0,SUMIFS(GL_Input!$U:$U,GL_Input!$F:$F,$A267,GL_Input!$X:$X,"S",GL_Input!$Y:$Y,3))</f>
        <v>0</v>
      </c>
      <c r="O267" s="54" t="n">
        <f aca="false">SUM(F267:N267)</f>
        <v>0</v>
      </c>
      <c r="P267" s="15" t="str">
        <f aca="false">IF(O267=0,"",IF($D267="","MISSING VAT NO.",IF(OR($C267="",$C267="CY",Counterparties!G267&lt;&gt;"EU"),"NOT AN EU CUSTOMER","OK")))</f>
        <v/>
      </c>
    </row>
    <row r="268" customFormat="false" ht="15" hidden="false" customHeight="false" outlineLevel="0" collapsed="false">
      <c r="A268" s="30" t="str">
        <f aca="false">IF(Counterparties!A268="","",Counterparties!A268)</f>
        <v/>
      </c>
      <c r="B268" s="30" t="str">
        <f aca="false">IF(Counterparties!B268="","",Counterparties!B268)</f>
        <v/>
      </c>
      <c r="C268" s="30" t="str">
        <f aca="false">IF(Counterparties!C268="","",Counterparties!C268)</f>
        <v/>
      </c>
      <c r="D268" s="30" t="str">
        <f aca="false">IF(Counterparties!D268="","",Counterparties!D268)</f>
        <v/>
      </c>
      <c r="E268" s="30" t="str">
        <f aca="false">IF(Counterparties!E268="","",Counterparties!E268)</f>
        <v/>
      </c>
      <c r="F268" s="53" t="n">
        <f aca="false">IF($A268="",0,SUMIFS(GL_Input!$U:$U,GL_Input!$F:$F,$A268,GL_Input!$X:$X,"G",GL_Input!$Y:$Y,1))</f>
        <v>0</v>
      </c>
      <c r="G268" s="53" t="n">
        <f aca="false">IF($A268="",0,SUMIFS(GL_Input!$U:$U,GL_Input!$F:$F,$A268,GL_Input!$X:$X,"G",GL_Input!$Y:$Y,2))</f>
        <v>0</v>
      </c>
      <c r="H268" s="53" t="n">
        <f aca="false">IF($A268="",0,SUMIFS(GL_Input!$U:$U,GL_Input!$F:$F,$A268,GL_Input!$X:$X,"G",GL_Input!$Y:$Y,3))</f>
        <v>0</v>
      </c>
      <c r="I268" s="53" t="n">
        <f aca="false">IF($A268="",0,SUMIFS(GL_Input!$U:$U,GL_Input!$F:$F,$A268,GL_Input!$X:$X,"T",GL_Input!$Y:$Y,1))</f>
        <v>0</v>
      </c>
      <c r="J268" s="53" t="n">
        <f aca="false">IF($A268="",0,SUMIFS(GL_Input!$U:$U,GL_Input!$F:$F,$A268,GL_Input!$X:$X,"T",GL_Input!$Y:$Y,2))</f>
        <v>0</v>
      </c>
      <c r="K268" s="53" t="n">
        <f aca="false">IF($A268="",0,SUMIFS(GL_Input!$U:$U,GL_Input!$F:$F,$A268,GL_Input!$X:$X,"T",GL_Input!$Y:$Y,3))</f>
        <v>0</v>
      </c>
      <c r="L268" s="53" t="n">
        <f aca="false">IF($A268="",0,SUMIFS(GL_Input!$U:$U,GL_Input!$F:$F,$A268,GL_Input!$X:$X,"S",GL_Input!$Y:$Y,1))</f>
        <v>0</v>
      </c>
      <c r="M268" s="53" t="n">
        <f aca="false">IF($A268="",0,SUMIFS(GL_Input!$U:$U,GL_Input!$F:$F,$A268,GL_Input!$X:$X,"S",GL_Input!$Y:$Y,2))</f>
        <v>0</v>
      </c>
      <c r="N268" s="53" t="n">
        <f aca="false">IF($A268="",0,SUMIFS(GL_Input!$U:$U,GL_Input!$F:$F,$A268,GL_Input!$X:$X,"S",GL_Input!$Y:$Y,3))</f>
        <v>0</v>
      </c>
      <c r="O268" s="54" t="n">
        <f aca="false">SUM(F268:N268)</f>
        <v>0</v>
      </c>
      <c r="P268" s="15" t="str">
        <f aca="false">IF(O268=0,"",IF($D268="","MISSING VAT NO.",IF(OR($C268="",$C268="CY",Counterparties!G268&lt;&gt;"EU"),"NOT AN EU CUSTOMER","OK")))</f>
        <v/>
      </c>
    </row>
    <row r="269" customFormat="false" ht="15" hidden="false" customHeight="false" outlineLevel="0" collapsed="false">
      <c r="A269" s="30" t="str">
        <f aca="false">IF(Counterparties!A269="","",Counterparties!A269)</f>
        <v/>
      </c>
      <c r="B269" s="30" t="str">
        <f aca="false">IF(Counterparties!B269="","",Counterparties!B269)</f>
        <v/>
      </c>
      <c r="C269" s="30" t="str">
        <f aca="false">IF(Counterparties!C269="","",Counterparties!C269)</f>
        <v/>
      </c>
      <c r="D269" s="30" t="str">
        <f aca="false">IF(Counterparties!D269="","",Counterparties!D269)</f>
        <v/>
      </c>
      <c r="E269" s="30" t="str">
        <f aca="false">IF(Counterparties!E269="","",Counterparties!E269)</f>
        <v/>
      </c>
      <c r="F269" s="53" t="n">
        <f aca="false">IF($A269="",0,SUMIFS(GL_Input!$U:$U,GL_Input!$F:$F,$A269,GL_Input!$X:$X,"G",GL_Input!$Y:$Y,1))</f>
        <v>0</v>
      </c>
      <c r="G269" s="53" t="n">
        <f aca="false">IF($A269="",0,SUMIFS(GL_Input!$U:$U,GL_Input!$F:$F,$A269,GL_Input!$X:$X,"G",GL_Input!$Y:$Y,2))</f>
        <v>0</v>
      </c>
      <c r="H269" s="53" t="n">
        <f aca="false">IF($A269="",0,SUMIFS(GL_Input!$U:$U,GL_Input!$F:$F,$A269,GL_Input!$X:$X,"G",GL_Input!$Y:$Y,3))</f>
        <v>0</v>
      </c>
      <c r="I269" s="53" t="n">
        <f aca="false">IF($A269="",0,SUMIFS(GL_Input!$U:$U,GL_Input!$F:$F,$A269,GL_Input!$X:$X,"T",GL_Input!$Y:$Y,1))</f>
        <v>0</v>
      </c>
      <c r="J269" s="53" t="n">
        <f aca="false">IF($A269="",0,SUMIFS(GL_Input!$U:$U,GL_Input!$F:$F,$A269,GL_Input!$X:$X,"T",GL_Input!$Y:$Y,2))</f>
        <v>0</v>
      </c>
      <c r="K269" s="53" t="n">
        <f aca="false">IF($A269="",0,SUMIFS(GL_Input!$U:$U,GL_Input!$F:$F,$A269,GL_Input!$X:$X,"T",GL_Input!$Y:$Y,3))</f>
        <v>0</v>
      </c>
      <c r="L269" s="53" t="n">
        <f aca="false">IF($A269="",0,SUMIFS(GL_Input!$U:$U,GL_Input!$F:$F,$A269,GL_Input!$X:$X,"S",GL_Input!$Y:$Y,1))</f>
        <v>0</v>
      </c>
      <c r="M269" s="53" t="n">
        <f aca="false">IF($A269="",0,SUMIFS(GL_Input!$U:$U,GL_Input!$F:$F,$A269,GL_Input!$X:$X,"S",GL_Input!$Y:$Y,2))</f>
        <v>0</v>
      </c>
      <c r="N269" s="53" t="n">
        <f aca="false">IF($A269="",0,SUMIFS(GL_Input!$U:$U,GL_Input!$F:$F,$A269,GL_Input!$X:$X,"S",GL_Input!$Y:$Y,3))</f>
        <v>0</v>
      </c>
      <c r="O269" s="54" t="n">
        <f aca="false">SUM(F269:N269)</f>
        <v>0</v>
      </c>
      <c r="P269" s="15" t="str">
        <f aca="false">IF(O269=0,"",IF($D269="","MISSING VAT NO.",IF(OR($C269="",$C269="CY",Counterparties!G269&lt;&gt;"EU"),"NOT AN EU CUSTOMER","OK")))</f>
        <v/>
      </c>
    </row>
    <row r="270" customFormat="false" ht="15" hidden="false" customHeight="false" outlineLevel="0" collapsed="false">
      <c r="A270" s="30" t="str">
        <f aca="false">IF(Counterparties!A270="","",Counterparties!A270)</f>
        <v/>
      </c>
      <c r="B270" s="30" t="str">
        <f aca="false">IF(Counterparties!B270="","",Counterparties!B270)</f>
        <v/>
      </c>
      <c r="C270" s="30" t="str">
        <f aca="false">IF(Counterparties!C270="","",Counterparties!C270)</f>
        <v/>
      </c>
      <c r="D270" s="30" t="str">
        <f aca="false">IF(Counterparties!D270="","",Counterparties!D270)</f>
        <v/>
      </c>
      <c r="E270" s="30" t="str">
        <f aca="false">IF(Counterparties!E270="","",Counterparties!E270)</f>
        <v/>
      </c>
      <c r="F270" s="53" t="n">
        <f aca="false">IF($A270="",0,SUMIFS(GL_Input!$U:$U,GL_Input!$F:$F,$A270,GL_Input!$X:$X,"G",GL_Input!$Y:$Y,1))</f>
        <v>0</v>
      </c>
      <c r="G270" s="53" t="n">
        <f aca="false">IF($A270="",0,SUMIFS(GL_Input!$U:$U,GL_Input!$F:$F,$A270,GL_Input!$X:$X,"G",GL_Input!$Y:$Y,2))</f>
        <v>0</v>
      </c>
      <c r="H270" s="53" t="n">
        <f aca="false">IF($A270="",0,SUMIFS(GL_Input!$U:$U,GL_Input!$F:$F,$A270,GL_Input!$X:$X,"G",GL_Input!$Y:$Y,3))</f>
        <v>0</v>
      </c>
      <c r="I270" s="53" t="n">
        <f aca="false">IF($A270="",0,SUMIFS(GL_Input!$U:$U,GL_Input!$F:$F,$A270,GL_Input!$X:$X,"T",GL_Input!$Y:$Y,1))</f>
        <v>0</v>
      </c>
      <c r="J270" s="53" t="n">
        <f aca="false">IF($A270="",0,SUMIFS(GL_Input!$U:$U,GL_Input!$F:$F,$A270,GL_Input!$X:$X,"T",GL_Input!$Y:$Y,2))</f>
        <v>0</v>
      </c>
      <c r="K270" s="53" t="n">
        <f aca="false">IF($A270="",0,SUMIFS(GL_Input!$U:$U,GL_Input!$F:$F,$A270,GL_Input!$X:$X,"T",GL_Input!$Y:$Y,3))</f>
        <v>0</v>
      </c>
      <c r="L270" s="53" t="n">
        <f aca="false">IF($A270="",0,SUMIFS(GL_Input!$U:$U,GL_Input!$F:$F,$A270,GL_Input!$X:$X,"S",GL_Input!$Y:$Y,1))</f>
        <v>0</v>
      </c>
      <c r="M270" s="53" t="n">
        <f aca="false">IF($A270="",0,SUMIFS(GL_Input!$U:$U,GL_Input!$F:$F,$A270,GL_Input!$X:$X,"S",GL_Input!$Y:$Y,2))</f>
        <v>0</v>
      </c>
      <c r="N270" s="53" t="n">
        <f aca="false">IF($A270="",0,SUMIFS(GL_Input!$U:$U,GL_Input!$F:$F,$A270,GL_Input!$X:$X,"S",GL_Input!$Y:$Y,3))</f>
        <v>0</v>
      </c>
      <c r="O270" s="54" t="n">
        <f aca="false">SUM(F270:N270)</f>
        <v>0</v>
      </c>
      <c r="P270" s="15" t="str">
        <f aca="false">IF(O270=0,"",IF($D270="","MISSING VAT NO.",IF(OR($C270="",$C270="CY",Counterparties!G270&lt;&gt;"EU"),"NOT AN EU CUSTOMER","OK")))</f>
        <v/>
      </c>
    </row>
    <row r="271" customFormat="false" ht="15" hidden="false" customHeight="false" outlineLevel="0" collapsed="false">
      <c r="A271" s="30" t="str">
        <f aca="false">IF(Counterparties!A271="","",Counterparties!A271)</f>
        <v/>
      </c>
      <c r="B271" s="30" t="str">
        <f aca="false">IF(Counterparties!B271="","",Counterparties!B271)</f>
        <v/>
      </c>
      <c r="C271" s="30" t="str">
        <f aca="false">IF(Counterparties!C271="","",Counterparties!C271)</f>
        <v/>
      </c>
      <c r="D271" s="30" t="str">
        <f aca="false">IF(Counterparties!D271="","",Counterparties!D271)</f>
        <v/>
      </c>
      <c r="E271" s="30" t="str">
        <f aca="false">IF(Counterparties!E271="","",Counterparties!E271)</f>
        <v/>
      </c>
      <c r="F271" s="53" t="n">
        <f aca="false">IF($A271="",0,SUMIFS(GL_Input!$U:$U,GL_Input!$F:$F,$A271,GL_Input!$X:$X,"G",GL_Input!$Y:$Y,1))</f>
        <v>0</v>
      </c>
      <c r="G271" s="53" t="n">
        <f aca="false">IF($A271="",0,SUMIFS(GL_Input!$U:$U,GL_Input!$F:$F,$A271,GL_Input!$X:$X,"G",GL_Input!$Y:$Y,2))</f>
        <v>0</v>
      </c>
      <c r="H271" s="53" t="n">
        <f aca="false">IF($A271="",0,SUMIFS(GL_Input!$U:$U,GL_Input!$F:$F,$A271,GL_Input!$X:$X,"G",GL_Input!$Y:$Y,3))</f>
        <v>0</v>
      </c>
      <c r="I271" s="53" t="n">
        <f aca="false">IF($A271="",0,SUMIFS(GL_Input!$U:$U,GL_Input!$F:$F,$A271,GL_Input!$X:$X,"T",GL_Input!$Y:$Y,1))</f>
        <v>0</v>
      </c>
      <c r="J271" s="53" t="n">
        <f aca="false">IF($A271="",0,SUMIFS(GL_Input!$U:$U,GL_Input!$F:$F,$A271,GL_Input!$X:$X,"T",GL_Input!$Y:$Y,2))</f>
        <v>0</v>
      </c>
      <c r="K271" s="53" t="n">
        <f aca="false">IF($A271="",0,SUMIFS(GL_Input!$U:$U,GL_Input!$F:$F,$A271,GL_Input!$X:$X,"T",GL_Input!$Y:$Y,3))</f>
        <v>0</v>
      </c>
      <c r="L271" s="53" t="n">
        <f aca="false">IF($A271="",0,SUMIFS(GL_Input!$U:$U,GL_Input!$F:$F,$A271,GL_Input!$X:$X,"S",GL_Input!$Y:$Y,1))</f>
        <v>0</v>
      </c>
      <c r="M271" s="53" t="n">
        <f aca="false">IF($A271="",0,SUMIFS(GL_Input!$U:$U,GL_Input!$F:$F,$A271,GL_Input!$X:$X,"S",GL_Input!$Y:$Y,2))</f>
        <v>0</v>
      </c>
      <c r="N271" s="53" t="n">
        <f aca="false">IF($A271="",0,SUMIFS(GL_Input!$U:$U,GL_Input!$F:$F,$A271,GL_Input!$X:$X,"S",GL_Input!$Y:$Y,3))</f>
        <v>0</v>
      </c>
      <c r="O271" s="54" t="n">
        <f aca="false">SUM(F271:N271)</f>
        <v>0</v>
      </c>
      <c r="P271" s="15" t="str">
        <f aca="false">IF(O271=0,"",IF($D271="","MISSING VAT NO.",IF(OR($C271="",$C271="CY",Counterparties!G271&lt;&gt;"EU"),"NOT AN EU CUSTOMER","OK")))</f>
        <v/>
      </c>
    </row>
    <row r="272" customFormat="false" ht="15" hidden="false" customHeight="false" outlineLevel="0" collapsed="false">
      <c r="A272" s="30" t="str">
        <f aca="false">IF(Counterparties!A272="","",Counterparties!A272)</f>
        <v/>
      </c>
      <c r="B272" s="30" t="str">
        <f aca="false">IF(Counterparties!B272="","",Counterparties!B272)</f>
        <v/>
      </c>
      <c r="C272" s="30" t="str">
        <f aca="false">IF(Counterparties!C272="","",Counterparties!C272)</f>
        <v/>
      </c>
      <c r="D272" s="30" t="str">
        <f aca="false">IF(Counterparties!D272="","",Counterparties!D272)</f>
        <v/>
      </c>
      <c r="E272" s="30" t="str">
        <f aca="false">IF(Counterparties!E272="","",Counterparties!E272)</f>
        <v/>
      </c>
      <c r="F272" s="53" t="n">
        <f aca="false">IF($A272="",0,SUMIFS(GL_Input!$U:$U,GL_Input!$F:$F,$A272,GL_Input!$X:$X,"G",GL_Input!$Y:$Y,1))</f>
        <v>0</v>
      </c>
      <c r="G272" s="53" t="n">
        <f aca="false">IF($A272="",0,SUMIFS(GL_Input!$U:$U,GL_Input!$F:$F,$A272,GL_Input!$X:$X,"G",GL_Input!$Y:$Y,2))</f>
        <v>0</v>
      </c>
      <c r="H272" s="53" t="n">
        <f aca="false">IF($A272="",0,SUMIFS(GL_Input!$U:$U,GL_Input!$F:$F,$A272,GL_Input!$X:$X,"G",GL_Input!$Y:$Y,3))</f>
        <v>0</v>
      </c>
      <c r="I272" s="53" t="n">
        <f aca="false">IF($A272="",0,SUMIFS(GL_Input!$U:$U,GL_Input!$F:$F,$A272,GL_Input!$X:$X,"T",GL_Input!$Y:$Y,1))</f>
        <v>0</v>
      </c>
      <c r="J272" s="53" t="n">
        <f aca="false">IF($A272="",0,SUMIFS(GL_Input!$U:$U,GL_Input!$F:$F,$A272,GL_Input!$X:$X,"T",GL_Input!$Y:$Y,2))</f>
        <v>0</v>
      </c>
      <c r="K272" s="53" t="n">
        <f aca="false">IF($A272="",0,SUMIFS(GL_Input!$U:$U,GL_Input!$F:$F,$A272,GL_Input!$X:$X,"T",GL_Input!$Y:$Y,3))</f>
        <v>0</v>
      </c>
      <c r="L272" s="53" t="n">
        <f aca="false">IF($A272="",0,SUMIFS(GL_Input!$U:$U,GL_Input!$F:$F,$A272,GL_Input!$X:$X,"S",GL_Input!$Y:$Y,1))</f>
        <v>0</v>
      </c>
      <c r="M272" s="53" t="n">
        <f aca="false">IF($A272="",0,SUMIFS(GL_Input!$U:$U,GL_Input!$F:$F,$A272,GL_Input!$X:$X,"S",GL_Input!$Y:$Y,2))</f>
        <v>0</v>
      </c>
      <c r="N272" s="53" t="n">
        <f aca="false">IF($A272="",0,SUMIFS(GL_Input!$U:$U,GL_Input!$F:$F,$A272,GL_Input!$X:$X,"S",GL_Input!$Y:$Y,3))</f>
        <v>0</v>
      </c>
      <c r="O272" s="54" t="n">
        <f aca="false">SUM(F272:N272)</f>
        <v>0</v>
      </c>
      <c r="P272" s="15" t="str">
        <f aca="false">IF(O272=0,"",IF($D272="","MISSING VAT NO.",IF(OR($C272="",$C272="CY",Counterparties!G272&lt;&gt;"EU"),"NOT AN EU CUSTOMER","OK")))</f>
        <v/>
      </c>
    </row>
    <row r="273" customFormat="false" ht="15" hidden="false" customHeight="false" outlineLevel="0" collapsed="false">
      <c r="A273" s="30" t="str">
        <f aca="false">IF(Counterparties!A273="","",Counterparties!A273)</f>
        <v/>
      </c>
      <c r="B273" s="30" t="str">
        <f aca="false">IF(Counterparties!B273="","",Counterparties!B273)</f>
        <v/>
      </c>
      <c r="C273" s="30" t="str">
        <f aca="false">IF(Counterparties!C273="","",Counterparties!C273)</f>
        <v/>
      </c>
      <c r="D273" s="30" t="str">
        <f aca="false">IF(Counterparties!D273="","",Counterparties!D273)</f>
        <v/>
      </c>
      <c r="E273" s="30" t="str">
        <f aca="false">IF(Counterparties!E273="","",Counterparties!E273)</f>
        <v/>
      </c>
      <c r="F273" s="53" t="n">
        <f aca="false">IF($A273="",0,SUMIFS(GL_Input!$U:$U,GL_Input!$F:$F,$A273,GL_Input!$X:$X,"G",GL_Input!$Y:$Y,1))</f>
        <v>0</v>
      </c>
      <c r="G273" s="53" t="n">
        <f aca="false">IF($A273="",0,SUMIFS(GL_Input!$U:$U,GL_Input!$F:$F,$A273,GL_Input!$X:$X,"G",GL_Input!$Y:$Y,2))</f>
        <v>0</v>
      </c>
      <c r="H273" s="53" t="n">
        <f aca="false">IF($A273="",0,SUMIFS(GL_Input!$U:$U,GL_Input!$F:$F,$A273,GL_Input!$X:$X,"G",GL_Input!$Y:$Y,3))</f>
        <v>0</v>
      </c>
      <c r="I273" s="53" t="n">
        <f aca="false">IF($A273="",0,SUMIFS(GL_Input!$U:$U,GL_Input!$F:$F,$A273,GL_Input!$X:$X,"T",GL_Input!$Y:$Y,1))</f>
        <v>0</v>
      </c>
      <c r="J273" s="53" t="n">
        <f aca="false">IF($A273="",0,SUMIFS(GL_Input!$U:$U,GL_Input!$F:$F,$A273,GL_Input!$X:$X,"T",GL_Input!$Y:$Y,2))</f>
        <v>0</v>
      </c>
      <c r="K273" s="53" t="n">
        <f aca="false">IF($A273="",0,SUMIFS(GL_Input!$U:$U,GL_Input!$F:$F,$A273,GL_Input!$X:$X,"T",GL_Input!$Y:$Y,3))</f>
        <v>0</v>
      </c>
      <c r="L273" s="53" t="n">
        <f aca="false">IF($A273="",0,SUMIFS(GL_Input!$U:$U,GL_Input!$F:$F,$A273,GL_Input!$X:$X,"S",GL_Input!$Y:$Y,1))</f>
        <v>0</v>
      </c>
      <c r="M273" s="53" t="n">
        <f aca="false">IF($A273="",0,SUMIFS(GL_Input!$U:$U,GL_Input!$F:$F,$A273,GL_Input!$X:$X,"S",GL_Input!$Y:$Y,2))</f>
        <v>0</v>
      </c>
      <c r="N273" s="53" t="n">
        <f aca="false">IF($A273="",0,SUMIFS(GL_Input!$U:$U,GL_Input!$F:$F,$A273,GL_Input!$X:$X,"S",GL_Input!$Y:$Y,3))</f>
        <v>0</v>
      </c>
      <c r="O273" s="54" t="n">
        <f aca="false">SUM(F273:N273)</f>
        <v>0</v>
      </c>
      <c r="P273" s="15" t="str">
        <f aca="false">IF(O273=0,"",IF($D273="","MISSING VAT NO.",IF(OR($C273="",$C273="CY",Counterparties!G273&lt;&gt;"EU"),"NOT AN EU CUSTOMER","OK")))</f>
        <v/>
      </c>
    </row>
    <row r="274" customFormat="false" ht="15" hidden="false" customHeight="false" outlineLevel="0" collapsed="false">
      <c r="A274" s="30" t="str">
        <f aca="false">IF(Counterparties!A274="","",Counterparties!A274)</f>
        <v/>
      </c>
      <c r="B274" s="30" t="str">
        <f aca="false">IF(Counterparties!B274="","",Counterparties!B274)</f>
        <v/>
      </c>
      <c r="C274" s="30" t="str">
        <f aca="false">IF(Counterparties!C274="","",Counterparties!C274)</f>
        <v/>
      </c>
      <c r="D274" s="30" t="str">
        <f aca="false">IF(Counterparties!D274="","",Counterparties!D274)</f>
        <v/>
      </c>
      <c r="E274" s="30" t="str">
        <f aca="false">IF(Counterparties!E274="","",Counterparties!E274)</f>
        <v/>
      </c>
      <c r="F274" s="53" t="n">
        <f aca="false">IF($A274="",0,SUMIFS(GL_Input!$U:$U,GL_Input!$F:$F,$A274,GL_Input!$X:$X,"G",GL_Input!$Y:$Y,1))</f>
        <v>0</v>
      </c>
      <c r="G274" s="53" t="n">
        <f aca="false">IF($A274="",0,SUMIFS(GL_Input!$U:$U,GL_Input!$F:$F,$A274,GL_Input!$X:$X,"G",GL_Input!$Y:$Y,2))</f>
        <v>0</v>
      </c>
      <c r="H274" s="53" t="n">
        <f aca="false">IF($A274="",0,SUMIFS(GL_Input!$U:$U,GL_Input!$F:$F,$A274,GL_Input!$X:$X,"G",GL_Input!$Y:$Y,3))</f>
        <v>0</v>
      </c>
      <c r="I274" s="53" t="n">
        <f aca="false">IF($A274="",0,SUMIFS(GL_Input!$U:$U,GL_Input!$F:$F,$A274,GL_Input!$X:$X,"T",GL_Input!$Y:$Y,1))</f>
        <v>0</v>
      </c>
      <c r="J274" s="53" t="n">
        <f aca="false">IF($A274="",0,SUMIFS(GL_Input!$U:$U,GL_Input!$F:$F,$A274,GL_Input!$X:$X,"T",GL_Input!$Y:$Y,2))</f>
        <v>0</v>
      </c>
      <c r="K274" s="53" t="n">
        <f aca="false">IF($A274="",0,SUMIFS(GL_Input!$U:$U,GL_Input!$F:$F,$A274,GL_Input!$X:$X,"T",GL_Input!$Y:$Y,3))</f>
        <v>0</v>
      </c>
      <c r="L274" s="53" t="n">
        <f aca="false">IF($A274="",0,SUMIFS(GL_Input!$U:$U,GL_Input!$F:$F,$A274,GL_Input!$X:$X,"S",GL_Input!$Y:$Y,1))</f>
        <v>0</v>
      </c>
      <c r="M274" s="53" t="n">
        <f aca="false">IF($A274="",0,SUMIFS(GL_Input!$U:$U,GL_Input!$F:$F,$A274,GL_Input!$X:$X,"S",GL_Input!$Y:$Y,2))</f>
        <v>0</v>
      </c>
      <c r="N274" s="53" t="n">
        <f aca="false">IF($A274="",0,SUMIFS(GL_Input!$U:$U,GL_Input!$F:$F,$A274,GL_Input!$X:$X,"S",GL_Input!$Y:$Y,3))</f>
        <v>0</v>
      </c>
      <c r="O274" s="54" t="n">
        <f aca="false">SUM(F274:N274)</f>
        <v>0</v>
      </c>
      <c r="P274" s="15" t="str">
        <f aca="false">IF(O274=0,"",IF($D274="","MISSING VAT NO.",IF(OR($C274="",$C274="CY",Counterparties!G274&lt;&gt;"EU"),"NOT AN EU CUSTOMER","OK")))</f>
        <v/>
      </c>
    </row>
    <row r="275" customFormat="false" ht="15" hidden="false" customHeight="false" outlineLevel="0" collapsed="false">
      <c r="A275" s="30" t="str">
        <f aca="false">IF(Counterparties!A275="","",Counterparties!A275)</f>
        <v/>
      </c>
      <c r="B275" s="30" t="str">
        <f aca="false">IF(Counterparties!B275="","",Counterparties!B275)</f>
        <v/>
      </c>
      <c r="C275" s="30" t="str">
        <f aca="false">IF(Counterparties!C275="","",Counterparties!C275)</f>
        <v/>
      </c>
      <c r="D275" s="30" t="str">
        <f aca="false">IF(Counterparties!D275="","",Counterparties!D275)</f>
        <v/>
      </c>
      <c r="E275" s="30" t="str">
        <f aca="false">IF(Counterparties!E275="","",Counterparties!E275)</f>
        <v/>
      </c>
      <c r="F275" s="53" t="n">
        <f aca="false">IF($A275="",0,SUMIFS(GL_Input!$U:$U,GL_Input!$F:$F,$A275,GL_Input!$X:$X,"G",GL_Input!$Y:$Y,1))</f>
        <v>0</v>
      </c>
      <c r="G275" s="53" t="n">
        <f aca="false">IF($A275="",0,SUMIFS(GL_Input!$U:$U,GL_Input!$F:$F,$A275,GL_Input!$X:$X,"G",GL_Input!$Y:$Y,2))</f>
        <v>0</v>
      </c>
      <c r="H275" s="53" t="n">
        <f aca="false">IF($A275="",0,SUMIFS(GL_Input!$U:$U,GL_Input!$F:$F,$A275,GL_Input!$X:$X,"G",GL_Input!$Y:$Y,3))</f>
        <v>0</v>
      </c>
      <c r="I275" s="53" t="n">
        <f aca="false">IF($A275="",0,SUMIFS(GL_Input!$U:$U,GL_Input!$F:$F,$A275,GL_Input!$X:$X,"T",GL_Input!$Y:$Y,1))</f>
        <v>0</v>
      </c>
      <c r="J275" s="53" t="n">
        <f aca="false">IF($A275="",0,SUMIFS(GL_Input!$U:$U,GL_Input!$F:$F,$A275,GL_Input!$X:$X,"T",GL_Input!$Y:$Y,2))</f>
        <v>0</v>
      </c>
      <c r="K275" s="53" t="n">
        <f aca="false">IF($A275="",0,SUMIFS(GL_Input!$U:$U,GL_Input!$F:$F,$A275,GL_Input!$X:$X,"T",GL_Input!$Y:$Y,3))</f>
        <v>0</v>
      </c>
      <c r="L275" s="53" t="n">
        <f aca="false">IF($A275="",0,SUMIFS(GL_Input!$U:$U,GL_Input!$F:$F,$A275,GL_Input!$X:$X,"S",GL_Input!$Y:$Y,1))</f>
        <v>0</v>
      </c>
      <c r="M275" s="53" t="n">
        <f aca="false">IF($A275="",0,SUMIFS(GL_Input!$U:$U,GL_Input!$F:$F,$A275,GL_Input!$X:$X,"S",GL_Input!$Y:$Y,2))</f>
        <v>0</v>
      </c>
      <c r="N275" s="53" t="n">
        <f aca="false">IF($A275="",0,SUMIFS(GL_Input!$U:$U,GL_Input!$F:$F,$A275,GL_Input!$X:$X,"S",GL_Input!$Y:$Y,3))</f>
        <v>0</v>
      </c>
      <c r="O275" s="54" t="n">
        <f aca="false">SUM(F275:N275)</f>
        <v>0</v>
      </c>
      <c r="P275" s="15" t="str">
        <f aca="false">IF(O275=0,"",IF($D275="","MISSING VAT NO.",IF(OR($C275="",$C275="CY",Counterparties!G275&lt;&gt;"EU"),"NOT AN EU CUSTOMER","OK")))</f>
        <v/>
      </c>
    </row>
    <row r="276" customFormat="false" ht="15" hidden="false" customHeight="false" outlineLevel="0" collapsed="false">
      <c r="A276" s="30" t="str">
        <f aca="false">IF(Counterparties!A276="","",Counterparties!A276)</f>
        <v/>
      </c>
      <c r="B276" s="30" t="str">
        <f aca="false">IF(Counterparties!B276="","",Counterparties!B276)</f>
        <v/>
      </c>
      <c r="C276" s="30" t="str">
        <f aca="false">IF(Counterparties!C276="","",Counterparties!C276)</f>
        <v/>
      </c>
      <c r="D276" s="30" t="str">
        <f aca="false">IF(Counterparties!D276="","",Counterparties!D276)</f>
        <v/>
      </c>
      <c r="E276" s="30" t="str">
        <f aca="false">IF(Counterparties!E276="","",Counterparties!E276)</f>
        <v/>
      </c>
      <c r="F276" s="53" t="n">
        <f aca="false">IF($A276="",0,SUMIFS(GL_Input!$U:$U,GL_Input!$F:$F,$A276,GL_Input!$X:$X,"G",GL_Input!$Y:$Y,1))</f>
        <v>0</v>
      </c>
      <c r="G276" s="53" t="n">
        <f aca="false">IF($A276="",0,SUMIFS(GL_Input!$U:$U,GL_Input!$F:$F,$A276,GL_Input!$X:$X,"G",GL_Input!$Y:$Y,2))</f>
        <v>0</v>
      </c>
      <c r="H276" s="53" t="n">
        <f aca="false">IF($A276="",0,SUMIFS(GL_Input!$U:$U,GL_Input!$F:$F,$A276,GL_Input!$X:$X,"G",GL_Input!$Y:$Y,3))</f>
        <v>0</v>
      </c>
      <c r="I276" s="53" t="n">
        <f aca="false">IF($A276="",0,SUMIFS(GL_Input!$U:$U,GL_Input!$F:$F,$A276,GL_Input!$X:$X,"T",GL_Input!$Y:$Y,1))</f>
        <v>0</v>
      </c>
      <c r="J276" s="53" t="n">
        <f aca="false">IF($A276="",0,SUMIFS(GL_Input!$U:$U,GL_Input!$F:$F,$A276,GL_Input!$X:$X,"T",GL_Input!$Y:$Y,2))</f>
        <v>0</v>
      </c>
      <c r="K276" s="53" t="n">
        <f aca="false">IF($A276="",0,SUMIFS(GL_Input!$U:$U,GL_Input!$F:$F,$A276,GL_Input!$X:$X,"T",GL_Input!$Y:$Y,3))</f>
        <v>0</v>
      </c>
      <c r="L276" s="53" t="n">
        <f aca="false">IF($A276="",0,SUMIFS(GL_Input!$U:$U,GL_Input!$F:$F,$A276,GL_Input!$X:$X,"S",GL_Input!$Y:$Y,1))</f>
        <v>0</v>
      </c>
      <c r="M276" s="53" t="n">
        <f aca="false">IF($A276="",0,SUMIFS(GL_Input!$U:$U,GL_Input!$F:$F,$A276,GL_Input!$X:$X,"S",GL_Input!$Y:$Y,2))</f>
        <v>0</v>
      </c>
      <c r="N276" s="53" t="n">
        <f aca="false">IF($A276="",0,SUMIFS(GL_Input!$U:$U,GL_Input!$F:$F,$A276,GL_Input!$X:$X,"S",GL_Input!$Y:$Y,3))</f>
        <v>0</v>
      </c>
      <c r="O276" s="54" t="n">
        <f aca="false">SUM(F276:N276)</f>
        <v>0</v>
      </c>
      <c r="P276" s="15" t="str">
        <f aca="false">IF(O276=0,"",IF($D276="","MISSING VAT NO.",IF(OR($C276="",$C276="CY",Counterparties!G276&lt;&gt;"EU"),"NOT AN EU CUSTOMER","OK")))</f>
        <v/>
      </c>
    </row>
    <row r="277" customFormat="false" ht="15" hidden="false" customHeight="false" outlineLevel="0" collapsed="false">
      <c r="A277" s="30" t="str">
        <f aca="false">IF(Counterparties!A277="","",Counterparties!A277)</f>
        <v/>
      </c>
      <c r="B277" s="30" t="str">
        <f aca="false">IF(Counterparties!B277="","",Counterparties!B277)</f>
        <v/>
      </c>
      <c r="C277" s="30" t="str">
        <f aca="false">IF(Counterparties!C277="","",Counterparties!C277)</f>
        <v/>
      </c>
      <c r="D277" s="30" t="str">
        <f aca="false">IF(Counterparties!D277="","",Counterparties!D277)</f>
        <v/>
      </c>
      <c r="E277" s="30" t="str">
        <f aca="false">IF(Counterparties!E277="","",Counterparties!E277)</f>
        <v/>
      </c>
      <c r="F277" s="53" t="n">
        <f aca="false">IF($A277="",0,SUMIFS(GL_Input!$U:$U,GL_Input!$F:$F,$A277,GL_Input!$X:$X,"G",GL_Input!$Y:$Y,1))</f>
        <v>0</v>
      </c>
      <c r="G277" s="53" t="n">
        <f aca="false">IF($A277="",0,SUMIFS(GL_Input!$U:$U,GL_Input!$F:$F,$A277,GL_Input!$X:$X,"G",GL_Input!$Y:$Y,2))</f>
        <v>0</v>
      </c>
      <c r="H277" s="53" t="n">
        <f aca="false">IF($A277="",0,SUMIFS(GL_Input!$U:$U,GL_Input!$F:$F,$A277,GL_Input!$X:$X,"G",GL_Input!$Y:$Y,3))</f>
        <v>0</v>
      </c>
      <c r="I277" s="53" t="n">
        <f aca="false">IF($A277="",0,SUMIFS(GL_Input!$U:$U,GL_Input!$F:$F,$A277,GL_Input!$X:$X,"T",GL_Input!$Y:$Y,1))</f>
        <v>0</v>
      </c>
      <c r="J277" s="53" t="n">
        <f aca="false">IF($A277="",0,SUMIFS(GL_Input!$U:$U,GL_Input!$F:$F,$A277,GL_Input!$X:$X,"T",GL_Input!$Y:$Y,2))</f>
        <v>0</v>
      </c>
      <c r="K277" s="53" t="n">
        <f aca="false">IF($A277="",0,SUMIFS(GL_Input!$U:$U,GL_Input!$F:$F,$A277,GL_Input!$X:$X,"T",GL_Input!$Y:$Y,3))</f>
        <v>0</v>
      </c>
      <c r="L277" s="53" t="n">
        <f aca="false">IF($A277="",0,SUMIFS(GL_Input!$U:$U,GL_Input!$F:$F,$A277,GL_Input!$X:$X,"S",GL_Input!$Y:$Y,1))</f>
        <v>0</v>
      </c>
      <c r="M277" s="53" t="n">
        <f aca="false">IF($A277="",0,SUMIFS(GL_Input!$U:$U,GL_Input!$F:$F,$A277,GL_Input!$X:$X,"S",GL_Input!$Y:$Y,2))</f>
        <v>0</v>
      </c>
      <c r="N277" s="53" t="n">
        <f aca="false">IF($A277="",0,SUMIFS(GL_Input!$U:$U,GL_Input!$F:$F,$A277,GL_Input!$X:$X,"S",GL_Input!$Y:$Y,3))</f>
        <v>0</v>
      </c>
      <c r="O277" s="54" t="n">
        <f aca="false">SUM(F277:N277)</f>
        <v>0</v>
      </c>
      <c r="P277" s="15" t="str">
        <f aca="false">IF(O277=0,"",IF($D277="","MISSING VAT NO.",IF(OR($C277="",$C277="CY",Counterparties!G277&lt;&gt;"EU"),"NOT AN EU CUSTOMER","OK")))</f>
        <v/>
      </c>
    </row>
    <row r="278" customFormat="false" ht="15" hidden="false" customHeight="false" outlineLevel="0" collapsed="false">
      <c r="A278" s="30" t="str">
        <f aca="false">IF(Counterparties!A278="","",Counterparties!A278)</f>
        <v/>
      </c>
      <c r="B278" s="30" t="str">
        <f aca="false">IF(Counterparties!B278="","",Counterparties!B278)</f>
        <v/>
      </c>
      <c r="C278" s="30" t="str">
        <f aca="false">IF(Counterparties!C278="","",Counterparties!C278)</f>
        <v/>
      </c>
      <c r="D278" s="30" t="str">
        <f aca="false">IF(Counterparties!D278="","",Counterparties!D278)</f>
        <v/>
      </c>
      <c r="E278" s="30" t="str">
        <f aca="false">IF(Counterparties!E278="","",Counterparties!E278)</f>
        <v/>
      </c>
      <c r="F278" s="53" t="n">
        <f aca="false">IF($A278="",0,SUMIFS(GL_Input!$U:$U,GL_Input!$F:$F,$A278,GL_Input!$X:$X,"G",GL_Input!$Y:$Y,1))</f>
        <v>0</v>
      </c>
      <c r="G278" s="53" t="n">
        <f aca="false">IF($A278="",0,SUMIFS(GL_Input!$U:$U,GL_Input!$F:$F,$A278,GL_Input!$X:$X,"G",GL_Input!$Y:$Y,2))</f>
        <v>0</v>
      </c>
      <c r="H278" s="53" t="n">
        <f aca="false">IF($A278="",0,SUMIFS(GL_Input!$U:$U,GL_Input!$F:$F,$A278,GL_Input!$X:$X,"G",GL_Input!$Y:$Y,3))</f>
        <v>0</v>
      </c>
      <c r="I278" s="53" t="n">
        <f aca="false">IF($A278="",0,SUMIFS(GL_Input!$U:$U,GL_Input!$F:$F,$A278,GL_Input!$X:$X,"T",GL_Input!$Y:$Y,1))</f>
        <v>0</v>
      </c>
      <c r="J278" s="53" t="n">
        <f aca="false">IF($A278="",0,SUMIFS(GL_Input!$U:$U,GL_Input!$F:$F,$A278,GL_Input!$X:$X,"T",GL_Input!$Y:$Y,2))</f>
        <v>0</v>
      </c>
      <c r="K278" s="53" t="n">
        <f aca="false">IF($A278="",0,SUMIFS(GL_Input!$U:$U,GL_Input!$F:$F,$A278,GL_Input!$X:$X,"T",GL_Input!$Y:$Y,3))</f>
        <v>0</v>
      </c>
      <c r="L278" s="53" t="n">
        <f aca="false">IF($A278="",0,SUMIFS(GL_Input!$U:$U,GL_Input!$F:$F,$A278,GL_Input!$X:$X,"S",GL_Input!$Y:$Y,1))</f>
        <v>0</v>
      </c>
      <c r="M278" s="53" t="n">
        <f aca="false">IF($A278="",0,SUMIFS(GL_Input!$U:$U,GL_Input!$F:$F,$A278,GL_Input!$X:$X,"S",GL_Input!$Y:$Y,2))</f>
        <v>0</v>
      </c>
      <c r="N278" s="53" t="n">
        <f aca="false">IF($A278="",0,SUMIFS(GL_Input!$U:$U,GL_Input!$F:$F,$A278,GL_Input!$X:$X,"S",GL_Input!$Y:$Y,3))</f>
        <v>0</v>
      </c>
      <c r="O278" s="54" t="n">
        <f aca="false">SUM(F278:N278)</f>
        <v>0</v>
      </c>
      <c r="P278" s="15" t="str">
        <f aca="false">IF(O278=0,"",IF($D278="","MISSING VAT NO.",IF(OR($C278="",$C278="CY",Counterparties!G278&lt;&gt;"EU"),"NOT AN EU CUSTOMER","OK")))</f>
        <v/>
      </c>
    </row>
    <row r="279" customFormat="false" ht="15" hidden="false" customHeight="false" outlineLevel="0" collapsed="false">
      <c r="A279" s="30" t="str">
        <f aca="false">IF(Counterparties!A279="","",Counterparties!A279)</f>
        <v/>
      </c>
      <c r="B279" s="30" t="str">
        <f aca="false">IF(Counterparties!B279="","",Counterparties!B279)</f>
        <v/>
      </c>
      <c r="C279" s="30" t="str">
        <f aca="false">IF(Counterparties!C279="","",Counterparties!C279)</f>
        <v/>
      </c>
      <c r="D279" s="30" t="str">
        <f aca="false">IF(Counterparties!D279="","",Counterparties!D279)</f>
        <v/>
      </c>
      <c r="E279" s="30" t="str">
        <f aca="false">IF(Counterparties!E279="","",Counterparties!E279)</f>
        <v/>
      </c>
      <c r="F279" s="53" t="n">
        <f aca="false">IF($A279="",0,SUMIFS(GL_Input!$U:$U,GL_Input!$F:$F,$A279,GL_Input!$X:$X,"G",GL_Input!$Y:$Y,1))</f>
        <v>0</v>
      </c>
      <c r="G279" s="53" t="n">
        <f aca="false">IF($A279="",0,SUMIFS(GL_Input!$U:$U,GL_Input!$F:$F,$A279,GL_Input!$X:$X,"G",GL_Input!$Y:$Y,2))</f>
        <v>0</v>
      </c>
      <c r="H279" s="53" t="n">
        <f aca="false">IF($A279="",0,SUMIFS(GL_Input!$U:$U,GL_Input!$F:$F,$A279,GL_Input!$X:$X,"G",GL_Input!$Y:$Y,3))</f>
        <v>0</v>
      </c>
      <c r="I279" s="53" t="n">
        <f aca="false">IF($A279="",0,SUMIFS(GL_Input!$U:$U,GL_Input!$F:$F,$A279,GL_Input!$X:$X,"T",GL_Input!$Y:$Y,1))</f>
        <v>0</v>
      </c>
      <c r="J279" s="53" t="n">
        <f aca="false">IF($A279="",0,SUMIFS(GL_Input!$U:$U,GL_Input!$F:$F,$A279,GL_Input!$X:$X,"T",GL_Input!$Y:$Y,2))</f>
        <v>0</v>
      </c>
      <c r="K279" s="53" t="n">
        <f aca="false">IF($A279="",0,SUMIFS(GL_Input!$U:$U,GL_Input!$F:$F,$A279,GL_Input!$X:$X,"T",GL_Input!$Y:$Y,3))</f>
        <v>0</v>
      </c>
      <c r="L279" s="53" t="n">
        <f aca="false">IF($A279="",0,SUMIFS(GL_Input!$U:$U,GL_Input!$F:$F,$A279,GL_Input!$X:$X,"S",GL_Input!$Y:$Y,1))</f>
        <v>0</v>
      </c>
      <c r="M279" s="53" t="n">
        <f aca="false">IF($A279="",0,SUMIFS(GL_Input!$U:$U,GL_Input!$F:$F,$A279,GL_Input!$X:$X,"S",GL_Input!$Y:$Y,2))</f>
        <v>0</v>
      </c>
      <c r="N279" s="53" t="n">
        <f aca="false">IF($A279="",0,SUMIFS(GL_Input!$U:$U,GL_Input!$F:$F,$A279,GL_Input!$X:$X,"S",GL_Input!$Y:$Y,3))</f>
        <v>0</v>
      </c>
      <c r="O279" s="54" t="n">
        <f aca="false">SUM(F279:N279)</f>
        <v>0</v>
      </c>
      <c r="P279" s="15" t="str">
        <f aca="false">IF(O279=0,"",IF($D279="","MISSING VAT NO.",IF(OR($C279="",$C279="CY",Counterparties!G279&lt;&gt;"EU"),"NOT AN EU CUSTOMER","OK")))</f>
        <v/>
      </c>
    </row>
    <row r="280" customFormat="false" ht="15" hidden="false" customHeight="false" outlineLevel="0" collapsed="false">
      <c r="A280" s="30" t="str">
        <f aca="false">IF(Counterparties!A280="","",Counterparties!A280)</f>
        <v/>
      </c>
      <c r="B280" s="30" t="str">
        <f aca="false">IF(Counterparties!B280="","",Counterparties!B280)</f>
        <v/>
      </c>
      <c r="C280" s="30" t="str">
        <f aca="false">IF(Counterparties!C280="","",Counterparties!C280)</f>
        <v/>
      </c>
      <c r="D280" s="30" t="str">
        <f aca="false">IF(Counterparties!D280="","",Counterparties!D280)</f>
        <v/>
      </c>
      <c r="E280" s="30" t="str">
        <f aca="false">IF(Counterparties!E280="","",Counterparties!E280)</f>
        <v/>
      </c>
      <c r="F280" s="53" t="n">
        <f aca="false">IF($A280="",0,SUMIFS(GL_Input!$U:$U,GL_Input!$F:$F,$A280,GL_Input!$X:$X,"G",GL_Input!$Y:$Y,1))</f>
        <v>0</v>
      </c>
      <c r="G280" s="53" t="n">
        <f aca="false">IF($A280="",0,SUMIFS(GL_Input!$U:$U,GL_Input!$F:$F,$A280,GL_Input!$X:$X,"G",GL_Input!$Y:$Y,2))</f>
        <v>0</v>
      </c>
      <c r="H280" s="53" t="n">
        <f aca="false">IF($A280="",0,SUMIFS(GL_Input!$U:$U,GL_Input!$F:$F,$A280,GL_Input!$X:$X,"G",GL_Input!$Y:$Y,3))</f>
        <v>0</v>
      </c>
      <c r="I280" s="53" t="n">
        <f aca="false">IF($A280="",0,SUMIFS(GL_Input!$U:$U,GL_Input!$F:$F,$A280,GL_Input!$X:$X,"T",GL_Input!$Y:$Y,1))</f>
        <v>0</v>
      </c>
      <c r="J280" s="53" t="n">
        <f aca="false">IF($A280="",0,SUMIFS(GL_Input!$U:$U,GL_Input!$F:$F,$A280,GL_Input!$X:$X,"T",GL_Input!$Y:$Y,2))</f>
        <v>0</v>
      </c>
      <c r="K280" s="53" t="n">
        <f aca="false">IF($A280="",0,SUMIFS(GL_Input!$U:$U,GL_Input!$F:$F,$A280,GL_Input!$X:$X,"T",GL_Input!$Y:$Y,3))</f>
        <v>0</v>
      </c>
      <c r="L280" s="53" t="n">
        <f aca="false">IF($A280="",0,SUMIFS(GL_Input!$U:$U,GL_Input!$F:$F,$A280,GL_Input!$X:$X,"S",GL_Input!$Y:$Y,1))</f>
        <v>0</v>
      </c>
      <c r="M280" s="53" t="n">
        <f aca="false">IF($A280="",0,SUMIFS(GL_Input!$U:$U,GL_Input!$F:$F,$A280,GL_Input!$X:$X,"S",GL_Input!$Y:$Y,2))</f>
        <v>0</v>
      </c>
      <c r="N280" s="53" t="n">
        <f aca="false">IF($A280="",0,SUMIFS(GL_Input!$U:$U,GL_Input!$F:$F,$A280,GL_Input!$X:$X,"S",GL_Input!$Y:$Y,3))</f>
        <v>0</v>
      </c>
      <c r="O280" s="54" t="n">
        <f aca="false">SUM(F280:N280)</f>
        <v>0</v>
      </c>
      <c r="P280" s="15" t="str">
        <f aca="false">IF(O280=0,"",IF($D280="","MISSING VAT NO.",IF(OR($C280="",$C280="CY",Counterparties!G280&lt;&gt;"EU"),"NOT AN EU CUSTOMER","OK")))</f>
        <v/>
      </c>
    </row>
    <row r="281" customFormat="false" ht="15" hidden="false" customHeight="false" outlineLevel="0" collapsed="false">
      <c r="A281" s="30" t="str">
        <f aca="false">IF(Counterparties!A281="","",Counterparties!A281)</f>
        <v/>
      </c>
      <c r="B281" s="30" t="str">
        <f aca="false">IF(Counterparties!B281="","",Counterparties!B281)</f>
        <v/>
      </c>
      <c r="C281" s="30" t="str">
        <f aca="false">IF(Counterparties!C281="","",Counterparties!C281)</f>
        <v/>
      </c>
      <c r="D281" s="30" t="str">
        <f aca="false">IF(Counterparties!D281="","",Counterparties!D281)</f>
        <v/>
      </c>
      <c r="E281" s="30" t="str">
        <f aca="false">IF(Counterparties!E281="","",Counterparties!E281)</f>
        <v/>
      </c>
      <c r="F281" s="53" t="n">
        <f aca="false">IF($A281="",0,SUMIFS(GL_Input!$U:$U,GL_Input!$F:$F,$A281,GL_Input!$X:$X,"G",GL_Input!$Y:$Y,1))</f>
        <v>0</v>
      </c>
      <c r="G281" s="53" t="n">
        <f aca="false">IF($A281="",0,SUMIFS(GL_Input!$U:$U,GL_Input!$F:$F,$A281,GL_Input!$X:$X,"G",GL_Input!$Y:$Y,2))</f>
        <v>0</v>
      </c>
      <c r="H281" s="53" t="n">
        <f aca="false">IF($A281="",0,SUMIFS(GL_Input!$U:$U,GL_Input!$F:$F,$A281,GL_Input!$X:$X,"G",GL_Input!$Y:$Y,3))</f>
        <v>0</v>
      </c>
      <c r="I281" s="53" t="n">
        <f aca="false">IF($A281="",0,SUMIFS(GL_Input!$U:$U,GL_Input!$F:$F,$A281,GL_Input!$X:$X,"T",GL_Input!$Y:$Y,1))</f>
        <v>0</v>
      </c>
      <c r="J281" s="53" t="n">
        <f aca="false">IF($A281="",0,SUMIFS(GL_Input!$U:$U,GL_Input!$F:$F,$A281,GL_Input!$X:$X,"T",GL_Input!$Y:$Y,2))</f>
        <v>0</v>
      </c>
      <c r="K281" s="53" t="n">
        <f aca="false">IF($A281="",0,SUMIFS(GL_Input!$U:$U,GL_Input!$F:$F,$A281,GL_Input!$X:$X,"T",GL_Input!$Y:$Y,3))</f>
        <v>0</v>
      </c>
      <c r="L281" s="53" t="n">
        <f aca="false">IF($A281="",0,SUMIFS(GL_Input!$U:$U,GL_Input!$F:$F,$A281,GL_Input!$X:$X,"S",GL_Input!$Y:$Y,1))</f>
        <v>0</v>
      </c>
      <c r="M281" s="53" t="n">
        <f aca="false">IF($A281="",0,SUMIFS(GL_Input!$U:$U,GL_Input!$F:$F,$A281,GL_Input!$X:$X,"S",GL_Input!$Y:$Y,2))</f>
        <v>0</v>
      </c>
      <c r="N281" s="53" t="n">
        <f aca="false">IF($A281="",0,SUMIFS(GL_Input!$U:$U,GL_Input!$F:$F,$A281,GL_Input!$X:$X,"S",GL_Input!$Y:$Y,3))</f>
        <v>0</v>
      </c>
      <c r="O281" s="54" t="n">
        <f aca="false">SUM(F281:N281)</f>
        <v>0</v>
      </c>
      <c r="P281" s="15" t="str">
        <f aca="false">IF(O281=0,"",IF($D281="","MISSING VAT NO.",IF(OR($C281="",$C281="CY",Counterparties!G281&lt;&gt;"EU"),"NOT AN EU CUSTOMER","OK")))</f>
        <v/>
      </c>
    </row>
    <row r="282" customFormat="false" ht="15" hidden="false" customHeight="false" outlineLevel="0" collapsed="false">
      <c r="A282" s="30" t="str">
        <f aca="false">IF(Counterparties!A282="","",Counterparties!A282)</f>
        <v/>
      </c>
      <c r="B282" s="30" t="str">
        <f aca="false">IF(Counterparties!B282="","",Counterparties!B282)</f>
        <v/>
      </c>
      <c r="C282" s="30" t="str">
        <f aca="false">IF(Counterparties!C282="","",Counterparties!C282)</f>
        <v/>
      </c>
      <c r="D282" s="30" t="str">
        <f aca="false">IF(Counterparties!D282="","",Counterparties!D282)</f>
        <v/>
      </c>
      <c r="E282" s="30" t="str">
        <f aca="false">IF(Counterparties!E282="","",Counterparties!E282)</f>
        <v/>
      </c>
      <c r="F282" s="53" t="n">
        <f aca="false">IF($A282="",0,SUMIFS(GL_Input!$U:$U,GL_Input!$F:$F,$A282,GL_Input!$X:$X,"G",GL_Input!$Y:$Y,1))</f>
        <v>0</v>
      </c>
      <c r="G282" s="53" t="n">
        <f aca="false">IF($A282="",0,SUMIFS(GL_Input!$U:$U,GL_Input!$F:$F,$A282,GL_Input!$X:$X,"G",GL_Input!$Y:$Y,2))</f>
        <v>0</v>
      </c>
      <c r="H282" s="53" t="n">
        <f aca="false">IF($A282="",0,SUMIFS(GL_Input!$U:$U,GL_Input!$F:$F,$A282,GL_Input!$X:$X,"G",GL_Input!$Y:$Y,3))</f>
        <v>0</v>
      </c>
      <c r="I282" s="53" t="n">
        <f aca="false">IF($A282="",0,SUMIFS(GL_Input!$U:$U,GL_Input!$F:$F,$A282,GL_Input!$X:$X,"T",GL_Input!$Y:$Y,1))</f>
        <v>0</v>
      </c>
      <c r="J282" s="53" t="n">
        <f aca="false">IF($A282="",0,SUMIFS(GL_Input!$U:$U,GL_Input!$F:$F,$A282,GL_Input!$X:$X,"T",GL_Input!$Y:$Y,2))</f>
        <v>0</v>
      </c>
      <c r="K282" s="53" t="n">
        <f aca="false">IF($A282="",0,SUMIFS(GL_Input!$U:$U,GL_Input!$F:$F,$A282,GL_Input!$X:$X,"T",GL_Input!$Y:$Y,3))</f>
        <v>0</v>
      </c>
      <c r="L282" s="53" t="n">
        <f aca="false">IF($A282="",0,SUMIFS(GL_Input!$U:$U,GL_Input!$F:$F,$A282,GL_Input!$X:$X,"S",GL_Input!$Y:$Y,1))</f>
        <v>0</v>
      </c>
      <c r="M282" s="53" t="n">
        <f aca="false">IF($A282="",0,SUMIFS(GL_Input!$U:$U,GL_Input!$F:$F,$A282,GL_Input!$X:$X,"S",GL_Input!$Y:$Y,2))</f>
        <v>0</v>
      </c>
      <c r="N282" s="53" t="n">
        <f aca="false">IF($A282="",0,SUMIFS(GL_Input!$U:$U,GL_Input!$F:$F,$A282,GL_Input!$X:$X,"S",GL_Input!$Y:$Y,3))</f>
        <v>0</v>
      </c>
      <c r="O282" s="54" t="n">
        <f aca="false">SUM(F282:N282)</f>
        <v>0</v>
      </c>
      <c r="P282" s="15" t="str">
        <f aca="false">IF(O282=0,"",IF($D282="","MISSING VAT NO.",IF(OR($C282="",$C282="CY",Counterparties!G282&lt;&gt;"EU"),"NOT AN EU CUSTOMER","OK")))</f>
        <v/>
      </c>
    </row>
    <row r="283" customFormat="false" ht="15" hidden="false" customHeight="false" outlineLevel="0" collapsed="false">
      <c r="A283" s="30" t="str">
        <f aca="false">IF(Counterparties!A283="","",Counterparties!A283)</f>
        <v/>
      </c>
      <c r="B283" s="30" t="str">
        <f aca="false">IF(Counterparties!B283="","",Counterparties!B283)</f>
        <v/>
      </c>
      <c r="C283" s="30" t="str">
        <f aca="false">IF(Counterparties!C283="","",Counterparties!C283)</f>
        <v/>
      </c>
      <c r="D283" s="30" t="str">
        <f aca="false">IF(Counterparties!D283="","",Counterparties!D283)</f>
        <v/>
      </c>
      <c r="E283" s="30" t="str">
        <f aca="false">IF(Counterparties!E283="","",Counterparties!E283)</f>
        <v/>
      </c>
      <c r="F283" s="53" t="n">
        <f aca="false">IF($A283="",0,SUMIFS(GL_Input!$U:$U,GL_Input!$F:$F,$A283,GL_Input!$X:$X,"G",GL_Input!$Y:$Y,1))</f>
        <v>0</v>
      </c>
      <c r="G283" s="53" t="n">
        <f aca="false">IF($A283="",0,SUMIFS(GL_Input!$U:$U,GL_Input!$F:$F,$A283,GL_Input!$X:$X,"G",GL_Input!$Y:$Y,2))</f>
        <v>0</v>
      </c>
      <c r="H283" s="53" t="n">
        <f aca="false">IF($A283="",0,SUMIFS(GL_Input!$U:$U,GL_Input!$F:$F,$A283,GL_Input!$X:$X,"G",GL_Input!$Y:$Y,3))</f>
        <v>0</v>
      </c>
      <c r="I283" s="53" t="n">
        <f aca="false">IF($A283="",0,SUMIFS(GL_Input!$U:$U,GL_Input!$F:$F,$A283,GL_Input!$X:$X,"T",GL_Input!$Y:$Y,1))</f>
        <v>0</v>
      </c>
      <c r="J283" s="53" t="n">
        <f aca="false">IF($A283="",0,SUMIFS(GL_Input!$U:$U,GL_Input!$F:$F,$A283,GL_Input!$X:$X,"T",GL_Input!$Y:$Y,2))</f>
        <v>0</v>
      </c>
      <c r="K283" s="53" t="n">
        <f aca="false">IF($A283="",0,SUMIFS(GL_Input!$U:$U,GL_Input!$F:$F,$A283,GL_Input!$X:$X,"T",GL_Input!$Y:$Y,3))</f>
        <v>0</v>
      </c>
      <c r="L283" s="53" t="n">
        <f aca="false">IF($A283="",0,SUMIFS(GL_Input!$U:$U,GL_Input!$F:$F,$A283,GL_Input!$X:$X,"S",GL_Input!$Y:$Y,1))</f>
        <v>0</v>
      </c>
      <c r="M283" s="53" t="n">
        <f aca="false">IF($A283="",0,SUMIFS(GL_Input!$U:$U,GL_Input!$F:$F,$A283,GL_Input!$X:$X,"S",GL_Input!$Y:$Y,2))</f>
        <v>0</v>
      </c>
      <c r="N283" s="53" t="n">
        <f aca="false">IF($A283="",0,SUMIFS(GL_Input!$U:$U,GL_Input!$F:$F,$A283,GL_Input!$X:$X,"S",GL_Input!$Y:$Y,3))</f>
        <v>0</v>
      </c>
      <c r="O283" s="54" t="n">
        <f aca="false">SUM(F283:N283)</f>
        <v>0</v>
      </c>
      <c r="P283" s="15" t="str">
        <f aca="false">IF(O283=0,"",IF($D283="","MISSING VAT NO.",IF(OR($C283="",$C283="CY",Counterparties!G283&lt;&gt;"EU"),"NOT AN EU CUSTOMER","OK")))</f>
        <v/>
      </c>
    </row>
    <row r="284" customFormat="false" ht="15" hidden="false" customHeight="false" outlineLevel="0" collapsed="false">
      <c r="A284" s="30" t="str">
        <f aca="false">IF(Counterparties!A284="","",Counterparties!A284)</f>
        <v/>
      </c>
      <c r="B284" s="30" t="str">
        <f aca="false">IF(Counterparties!B284="","",Counterparties!B284)</f>
        <v/>
      </c>
      <c r="C284" s="30" t="str">
        <f aca="false">IF(Counterparties!C284="","",Counterparties!C284)</f>
        <v/>
      </c>
      <c r="D284" s="30" t="str">
        <f aca="false">IF(Counterparties!D284="","",Counterparties!D284)</f>
        <v/>
      </c>
      <c r="E284" s="30" t="str">
        <f aca="false">IF(Counterparties!E284="","",Counterparties!E284)</f>
        <v/>
      </c>
      <c r="F284" s="53" t="n">
        <f aca="false">IF($A284="",0,SUMIFS(GL_Input!$U:$U,GL_Input!$F:$F,$A284,GL_Input!$X:$X,"G",GL_Input!$Y:$Y,1))</f>
        <v>0</v>
      </c>
      <c r="G284" s="53" t="n">
        <f aca="false">IF($A284="",0,SUMIFS(GL_Input!$U:$U,GL_Input!$F:$F,$A284,GL_Input!$X:$X,"G",GL_Input!$Y:$Y,2))</f>
        <v>0</v>
      </c>
      <c r="H284" s="53" t="n">
        <f aca="false">IF($A284="",0,SUMIFS(GL_Input!$U:$U,GL_Input!$F:$F,$A284,GL_Input!$X:$X,"G",GL_Input!$Y:$Y,3))</f>
        <v>0</v>
      </c>
      <c r="I284" s="53" t="n">
        <f aca="false">IF($A284="",0,SUMIFS(GL_Input!$U:$U,GL_Input!$F:$F,$A284,GL_Input!$X:$X,"T",GL_Input!$Y:$Y,1))</f>
        <v>0</v>
      </c>
      <c r="J284" s="53" t="n">
        <f aca="false">IF($A284="",0,SUMIFS(GL_Input!$U:$U,GL_Input!$F:$F,$A284,GL_Input!$X:$X,"T",GL_Input!$Y:$Y,2))</f>
        <v>0</v>
      </c>
      <c r="K284" s="53" t="n">
        <f aca="false">IF($A284="",0,SUMIFS(GL_Input!$U:$U,GL_Input!$F:$F,$A284,GL_Input!$X:$X,"T",GL_Input!$Y:$Y,3))</f>
        <v>0</v>
      </c>
      <c r="L284" s="53" t="n">
        <f aca="false">IF($A284="",0,SUMIFS(GL_Input!$U:$U,GL_Input!$F:$F,$A284,GL_Input!$X:$X,"S",GL_Input!$Y:$Y,1))</f>
        <v>0</v>
      </c>
      <c r="M284" s="53" t="n">
        <f aca="false">IF($A284="",0,SUMIFS(GL_Input!$U:$U,GL_Input!$F:$F,$A284,GL_Input!$X:$X,"S",GL_Input!$Y:$Y,2))</f>
        <v>0</v>
      </c>
      <c r="N284" s="53" t="n">
        <f aca="false">IF($A284="",0,SUMIFS(GL_Input!$U:$U,GL_Input!$F:$F,$A284,GL_Input!$X:$X,"S",GL_Input!$Y:$Y,3))</f>
        <v>0</v>
      </c>
      <c r="O284" s="54" t="n">
        <f aca="false">SUM(F284:N284)</f>
        <v>0</v>
      </c>
      <c r="P284" s="15" t="str">
        <f aca="false">IF(O284=0,"",IF($D284="","MISSING VAT NO.",IF(OR($C284="",$C284="CY",Counterparties!G284&lt;&gt;"EU"),"NOT AN EU CUSTOMER","OK")))</f>
        <v/>
      </c>
    </row>
    <row r="285" customFormat="false" ht="15" hidden="false" customHeight="false" outlineLevel="0" collapsed="false">
      <c r="A285" s="30" t="str">
        <f aca="false">IF(Counterparties!A285="","",Counterparties!A285)</f>
        <v/>
      </c>
      <c r="B285" s="30" t="str">
        <f aca="false">IF(Counterparties!B285="","",Counterparties!B285)</f>
        <v/>
      </c>
      <c r="C285" s="30" t="str">
        <f aca="false">IF(Counterparties!C285="","",Counterparties!C285)</f>
        <v/>
      </c>
      <c r="D285" s="30" t="str">
        <f aca="false">IF(Counterparties!D285="","",Counterparties!D285)</f>
        <v/>
      </c>
      <c r="E285" s="30" t="str">
        <f aca="false">IF(Counterparties!E285="","",Counterparties!E285)</f>
        <v/>
      </c>
      <c r="F285" s="53" t="n">
        <f aca="false">IF($A285="",0,SUMIFS(GL_Input!$U:$U,GL_Input!$F:$F,$A285,GL_Input!$X:$X,"G",GL_Input!$Y:$Y,1))</f>
        <v>0</v>
      </c>
      <c r="G285" s="53" t="n">
        <f aca="false">IF($A285="",0,SUMIFS(GL_Input!$U:$U,GL_Input!$F:$F,$A285,GL_Input!$X:$X,"G",GL_Input!$Y:$Y,2))</f>
        <v>0</v>
      </c>
      <c r="H285" s="53" t="n">
        <f aca="false">IF($A285="",0,SUMIFS(GL_Input!$U:$U,GL_Input!$F:$F,$A285,GL_Input!$X:$X,"G",GL_Input!$Y:$Y,3))</f>
        <v>0</v>
      </c>
      <c r="I285" s="53" t="n">
        <f aca="false">IF($A285="",0,SUMIFS(GL_Input!$U:$U,GL_Input!$F:$F,$A285,GL_Input!$X:$X,"T",GL_Input!$Y:$Y,1))</f>
        <v>0</v>
      </c>
      <c r="J285" s="53" t="n">
        <f aca="false">IF($A285="",0,SUMIFS(GL_Input!$U:$U,GL_Input!$F:$F,$A285,GL_Input!$X:$X,"T",GL_Input!$Y:$Y,2))</f>
        <v>0</v>
      </c>
      <c r="K285" s="53" t="n">
        <f aca="false">IF($A285="",0,SUMIFS(GL_Input!$U:$U,GL_Input!$F:$F,$A285,GL_Input!$X:$X,"T",GL_Input!$Y:$Y,3))</f>
        <v>0</v>
      </c>
      <c r="L285" s="53" t="n">
        <f aca="false">IF($A285="",0,SUMIFS(GL_Input!$U:$U,GL_Input!$F:$F,$A285,GL_Input!$X:$X,"S",GL_Input!$Y:$Y,1))</f>
        <v>0</v>
      </c>
      <c r="M285" s="53" t="n">
        <f aca="false">IF($A285="",0,SUMIFS(GL_Input!$U:$U,GL_Input!$F:$F,$A285,GL_Input!$X:$X,"S",GL_Input!$Y:$Y,2))</f>
        <v>0</v>
      </c>
      <c r="N285" s="53" t="n">
        <f aca="false">IF($A285="",0,SUMIFS(GL_Input!$U:$U,GL_Input!$F:$F,$A285,GL_Input!$X:$X,"S",GL_Input!$Y:$Y,3))</f>
        <v>0</v>
      </c>
      <c r="O285" s="54" t="n">
        <f aca="false">SUM(F285:N285)</f>
        <v>0</v>
      </c>
      <c r="P285" s="15" t="str">
        <f aca="false">IF(O285=0,"",IF($D285="","MISSING VAT NO.",IF(OR($C285="",$C285="CY",Counterparties!G285&lt;&gt;"EU"),"NOT AN EU CUSTOMER","OK")))</f>
        <v/>
      </c>
    </row>
    <row r="286" customFormat="false" ht="15" hidden="false" customHeight="false" outlineLevel="0" collapsed="false">
      <c r="A286" s="30" t="str">
        <f aca="false">IF(Counterparties!A286="","",Counterparties!A286)</f>
        <v/>
      </c>
      <c r="B286" s="30" t="str">
        <f aca="false">IF(Counterparties!B286="","",Counterparties!B286)</f>
        <v/>
      </c>
      <c r="C286" s="30" t="str">
        <f aca="false">IF(Counterparties!C286="","",Counterparties!C286)</f>
        <v/>
      </c>
      <c r="D286" s="30" t="str">
        <f aca="false">IF(Counterparties!D286="","",Counterparties!D286)</f>
        <v/>
      </c>
      <c r="E286" s="30" t="str">
        <f aca="false">IF(Counterparties!E286="","",Counterparties!E286)</f>
        <v/>
      </c>
      <c r="F286" s="53" t="n">
        <f aca="false">IF($A286="",0,SUMIFS(GL_Input!$U:$U,GL_Input!$F:$F,$A286,GL_Input!$X:$X,"G",GL_Input!$Y:$Y,1))</f>
        <v>0</v>
      </c>
      <c r="G286" s="53" t="n">
        <f aca="false">IF($A286="",0,SUMIFS(GL_Input!$U:$U,GL_Input!$F:$F,$A286,GL_Input!$X:$X,"G",GL_Input!$Y:$Y,2))</f>
        <v>0</v>
      </c>
      <c r="H286" s="53" t="n">
        <f aca="false">IF($A286="",0,SUMIFS(GL_Input!$U:$U,GL_Input!$F:$F,$A286,GL_Input!$X:$X,"G",GL_Input!$Y:$Y,3))</f>
        <v>0</v>
      </c>
      <c r="I286" s="53" t="n">
        <f aca="false">IF($A286="",0,SUMIFS(GL_Input!$U:$U,GL_Input!$F:$F,$A286,GL_Input!$X:$X,"T",GL_Input!$Y:$Y,1))</f>
        <v>0</v>
      </c>
      <c r="J286" s="53" t="n">
        <f aca="false">IF($A286="",0,SUMIFS(GL_Input!$U:$U,GL_Input!$F:$F,$A286,GL_Input!$X:$X,"T",GL_Input!$Y:$Y,2))</f>
        <v>0</v>
      </c>
      <c r="K286" s="53" t="n">
        <f aca="false">IF($A286="",0,SUMIFS(GL_Input!$U:$U,GL_Input!$F:$F,$A286,GL_Input!$X:$X,"T",GL_Input!$Y:$Y,3))</f>
        <v>0</v>
      </c>
      <c r="L286" s="53" t="n">
        <f aca="false">IF($A286="",0,SUMIFS(GL_Input!$U:$U,GL_Input!$F:$F,$A286,GL_Input!$X:$X,"S",GL_Input!$Y:$Y,1))</f>
        <v>0</v>
      </c>
      <c r="M286" s="53" t="n">
        <f aca="false">IF($A286="",0,SUMIFS(GL_Input!$U:$U,GL_Input!$F:$F,$A286,GL_Input!$X:$X,"S",GL_Input!$Y:$Y,2))</f>
        <v>0</v>
      </c>
      <c r="N286" s="53" t="n">
        <f aca="false">IF($A286="",0,SUMIFS(GL_Input!$U:$U,GL_Input!$F:$F,$A286,GL_Input!$X:$X,"S",GL_Input!$Y:$Y,3))</f>
        <v>0</v>
      </c>
      <c r="O286" s="54" t="n">
        <f aca="false">SUM(F286:N286)</f>
        <v>0</v>
      </c>
      <c r="P286" s="15" t="str">
        <f aca="false">IF(O286=0,"",IF($D286="","MISSING VAT NO.",IF(OR($C286="",$C286="CY",Counterparties!G286&lt;&gt;"EU"),"NOT AN EU CUSTOMER","OK")))</f>
        <v/>
      </c>
    </row>
    <row r="287" customFormat="false" ht="15" hidden="false" customHeight="false" outlineLevel="0" collapsed="false">
      <c r="A287" s="30" t="str">
        <f aca="false">IF(Counterparties!A287="","",Counterparties!A287)</f>
        <v/>
      </c>
      <c r="B287" s="30" t="str">
        <f aca="false">IF(Counterparties!B287="","",Counterparties!B287)</f>
        <v/>
      </c>
      <c r="C287" s="30" t="str">
        <f aca="false">IF(Counterparties!C287="","",Counterparties!C287)</f>
        <v/>
      </c>
      <c r="D287" s="30" t="str">
        <f aca="false">IF(Counterparties!D287="","",Counterparties!D287)</f>
        <v/>
      </c>
      <c r="E287" s="30" t="str">
        <f aca="false">IF(Counterparties!E287="","",Counterparties!E287)</f>
        <v/>
      </c>
      <c r="F287" s="53" t="n">
        <f aca="false">IF($A287="",0,SUMIFS(GL_Input!$U:$U,GL_Input!$F:$F,$A287,GL_Input!$X:$X,"G",GL_Input!$Y:$Y,1))</f>
        <v>0</v>
      </c>
      <c r="G287" s="53" t="n">
        <f aca="false">IF($A287="",0,SUMIFS(GL_Input!$U:$U,GL_Input!$F:$F,$A287,GL_Input!$X:$X,"G",GL_Input!$Y:$Y,2))</f>
        <v>0</v>
      </c>
      <c r="H287" s="53" t="n">
        <f aca="false">IF($A287="",0,SUMIFS(GL_Input!$U:$U,GL_Input!$F:$F,$A287,GL_Input!$X:$X,"G",GL_Input!$Y:$Y,3))</f>
        <v>0</v>
      </c>
      <c r="I287" s="53" t="n">
        <f aca="false">IF($A287="",0,SUMIFS(GL_Input!$U:$U,GL_Input!$F:$F,$A287,GL_Input!$X:$X,"T",GL_Input!$Y:$Y,1))</f>
        <v>0</v>
      </c>
      <c r="J287" s="53" t="n">
        <f aca="false">IF($A287="",0,SUMIFS(GL_Input!$U:$U,GL_Input!$F:$F,$A287,GL_Input!$X:$X,"T",GL_Input!$Y:$Y,2))</f>
        <v>0</v>
      </c>
      <c r="K287" s="53" t="n">
        <f aca="false">IF($A287="",0,SUMIFS(GL_Input!$U:$U,GL_Input!$F:$F,$A287,GL_Input!$X:$X,"T",GL_Input!$Y:$Y,3))</f>
        <v>0</v>
      </c>
      <c r="L287" s="53" t="n">
        <f aca="false">IF($A287="",0,SUMIFS(GL_Input!$U:$U,GL_Input!$F:$F,$A287,GL_Input!$X:$X,"S",GL_Input!$Y:$Y,1))</f>
        <v>0</v>
      </c>
      <c r="M287" s="53" t="n">
        <f aca="false">IF($A287="",0,SUMIFS(GL_Input!$U:$U,GL_Input!$F:$F,$A287,GL_Input!$X:$X,"S",GL_Input!$Y:$Y,2))</f>
        <v>0</v>
      </c>
      <c r="N287" s="53" t="n">
        <f aca="false">IF($A287="",0,SUMIFS(GL_Input!$U:$U,GL_Input!$F:$F,$A287,GL_Input!$X:$X,"S",GL_Input!$Y:$Y,3))</f>
        <v>0</v>
      </c>
      <c r="O287" s="54" t="n">
        <f aca="false">SUM(F287:N287)</f>
        <v>0</v>
      </c>
      <c r="P287" s="15" t="str">
        <f aca="false">IF(O287=0,"",IF($D287="","MISSING VAT NO.",IF(OR($C287="",$C287="CY",Counterparties!G287&lt;&gt;"EU"),"NOT AN EU CUSTOMER","OK")))</f>
        <v/>
      </c>
    </row>
    <row r="288" customFormat="false" ht="15" hidden="false" customHeight="false" outlineLevel="0" collapsed="false">
      <c r="A288" s="30" t="str">
        <f aca="false">IF(Counterparties!A288="","",Counterparties!A288)</f>
        <v/>
      </c>
      <c r="B288" s="30" t="str">
        <f aca="false">IF(Counterparties!B288="","",Counterparties!B288)</f>
        <v/>
      </c>
      <c r="C288" s="30" t="str">
        <f aca="false">IF(Counterparties!C288="","",Counterparties!C288)</f>
        <v/>
      </c>
      <c r="D288" s="30" t="str">
        <f aca="false">IF(Counterparties!D288="","",Counterparties!D288)</f>
        <v/>
      </c>
      <c r="E288" s="30" t="str">
        <f aca="false">IF(Counterparties!E288="","",Counterparties!E288)</f>
        <v/>
      </c>
      <c r="F288" s="53" t="n">
        <f aca="false">IF($A288="",0,SUMIFS(GL_Input!$U:$U,GL_Input!$F:$F,$A288,GL_Input!$X:$X,"G",GL_Input!$Y:$Y,1))</f>
        <v>0</v>
      </c>
      <c r="G288" s="53" t="n">
        <f aca="false">IF($A288="",0,SUMIFS(GL_Input!$U:$U,GL_Input!$F:$F,$A288,GL_Input!$X:$X,"G",GL_Input!$Y:$Y,2))</f>
        <v>0</v>
      </c>
      <c r="H288" s="53" t="n">
        <f aca="false">IF($A288="",0,SUMIFS(GL_Input!$U:$U,GL_Input!$F:$F,$A288,GL_Input!$X:$X,"G",GL_Input!$Y:$Y,3))</f>
        <v>0</v>
      </c>
      <c r="I288" s="53" t="n">
        <f aca="false">IF($A288="",0,SUMIFS(GL_Input!$U:$U,GL_Input!$F:$F,$A288,GL_Input!$X:$X,"T",GL_Input!$Y:$Y,1))</f>
        <v>0</v>
      </c>
      <c r="J288" s="53" t="n">
        <f aca="false">IF($A288="",0,SUMIFS(GL_Input!$U:$U,GL_Input!$F:$F,$A288,GL_Input!$X:$X,"T",GL_Input!$Y:$Y,2))</f>
        <v>0</v>
      </c>
      <c r="K288" s="53" t="n">
        <f aca="false">IF($A288="",0,SUMIFS(GL_Input!$U:$U,GL_Input!$F:$F,$A288,GL_Input!$X:$X,"T",GL_Input!$Y:$Y,3))</f>
        <v>0</v>
      </c>
      <c r="L288" s="53" t="n">
        <f aca="false">IF($A288="",0,SUMIFS(GL_Input!$U:$U,GL_Input!$F:$F,$A288,GL_Input!$X:$X,"S",GL_Input!$Y:$Y,1))</f>
        <v>0</v>
      </c>
      <c r="M288" s="53" t="n">
        <f aca="false">IF($A288="",0,SUMIFS(GL_Input!$U:$U,GL_Input!$F:$F,$A288,GL_Input!$X:$X,"S",GL_Input!$Y:$Y,2))</f>
        <v>0</v>
      </c>
      <c r="N288" s="53" t="n">
        <f aca="false">IF($A288="",0,SUMIFS(GL_Input!$U:$U,GL_Input!$F:$F,$A288,GL_Input!$X:$X,"S",GL_Input!$Y:$Y,3))</f>
        <v>0</v>
      </c>
      <c r="O288" s="54" t="n">
        <f aca="false">SUM(F288:N288)</f>
        <v>0</v>
      </c>
      <c r="P288" s="15" t="str">
        <f aca="false">IF(O288=0,"",IF($D288="","MISSING VAT NO.",IF(OR($C288="",$C288="CY",Counterparties!G288&lt;&gt;"EU"),"NOT AN EU CUSTOMER","OK")))</f>
        <v/>
      </c>
    </row>
    <row r="289" customFormat="false" ht="15" hidden="false" customHeight="false" outlineLevel="0" collapsed="false">
      <c r="A289" s="30" t="str">
        <f aca="false">IF(Counterparties!A289="","",Counterparties!A289)</f>
        <v/>
      </c>
      <c r="B289" s="30" t="str">
        <f aca="false">IF(Counterparties!B289="","",Counterparties!B289)</f>
        <v/>
      </c>
      <c r="C289" s="30" t="str">
        <f aca="false">IF(Counterparties!C289="","",Counterparties!C289)</f>
        <v/>
      </c>
      <c r="D289" s="30" t="str">
        <f aca="false">IF(Counterparties!D289="","",Counterparties!D289)</f>
        <v/>
      </c>
      <c r="E289" s="30" t="str">
        <f aca="false">IF(Counterparties!E289="","",Counterparties!E289)</f>
        <v/>
      </c>
      <c r="F289" s="53" t="n">
        <f aca="false">IF($A289="",0,SUMIFS(GL_Input!$U:$U,GL_Input!$F:$F,$A289,GL_Input!$X:$X,"G",GL_Input!$Y:$Y,1))</f>
        <v>0</v>
      </c>
      <c r="G289" s="53" t="n">
        <f aca="false">IF($A289="",0,SUMIFS(GL_Input!$U:$U,GL_Input!$F:$F,$A289,GL_Input!$X:$X,"G",GL_Input!$Y:$Y,2))</f>
        <v>0</v>
      </c>
      <c r="H289" s="53" t="n">
        <f aca="false">IF($A289="",0,SUMIFS(GL_Input!$U:$U,GL_Input!$F:$F,$A289,GL_Input!$X:$X,"G",GL_Input!$Y:$Y,3))</f>
        <v>0</v>
      </c>
      <c r="I289" s="53" t="n">
        <f aca="false">IF($A289="",0,SUMIFS(GL_Input!$U:$U,GL_Input!$F:$F,$A289,GL_Input!$X:$X,"T",GL_Input!$Y:$Y,1))</f>
        <v>0</v>
      </c>
      <c r="J289" s="53" t="n">
        <f aca="false">IF($A289="",0,SUMIFS(GL_Input!$U:$U,GL_Input!$F:$F,$A289,GL_Input!$X:$X,"T",GL_Input!$Y:$Y,2))</f>
        <v>0</v>
      </c>
      <c r="K289" s="53" t="n">
        <f aca="false">IF($A289="",0,SUMIFS(GL_Input!$U:$U,GL_Input!$F:$F,$A289,GL_Input!$X:$X,"T",GL_Input!$Y:$Y,3))</f>
        <v>0</v>
      </c>
      <c r="L289" s="53" t="n">
        <f aca="false">IF($A289="",0,SUMIFS(GL_Input!$U:$U,GL_Input!$F:$F,$A289,GL_Input!$X:$X,"S",GL_Input!$Y:$Y,1))</f>
        <v>0</v>
      </c>
      <c r="M289" s="53" t="n">
        <f aca="false">IF($A289="",0,SUMIFS(GL_Input!$U:$U,GL_Input!$F:$F,$A289,GL_Input!$X:$X,"S",GL_Input!$Y:$Y,2))</f>
        <v>0</v>
      </c>
      <c r="N289" s="53" t="n">
        <f aca="false">IF($A289="",0,SUMIFS(GL_Input!$U:$U,GL_Input!$F:$F,$A289,GL_Input!$X:$X,"S",GL_Input!$Y:$Y,3))</f>
        <v>0</v>
      </c>
      <c r="O289" s="54" t="n">
        <f aca="false">SUM(F289:N289)</f>
        <v>0</v>
      </c>
      <c r="P289" s="15" t="str">
        <f aca="false">IF(O289=0,"",IF($D289="","MISSING VAT NO.",IF(OR($C289="",$C289="CY",Counterparties!G289&lt;&gt;"EU"),"NOT AN EU CUSTOMER","OK")))</f>
        <v/>
      </c>
    </row>
    <row r="290" customFormat="false" ht="15" hidden="false" customHeight="false" outlineLevel="0" collapsed="false">
      <c r="A290" s="30" t="str">
        <f aca="false">IF(Counterparties!A290="","",Counterparties!A290)</f>
        <v/>
      </c>
      <c r="B290" s="30" t="str">
        <f aca="false">IF(Counterparties!B290="","",Counterparties!B290)</f>
        <v/>
      </c>
      <c r="C290" s="30" t="str">
        <f aca="false">IF(Counterparties!C290="","",Counterparties!C290)</f>
        <v/>
      </c>
      <c r="D290" s="30" t="str">
        <f aca="false">IF(Counterparties!D290="","",Counterparties!D290)</f>
        <v/>
      </c>
      <c r="E290" s="30" t="str">
        <f aca="false">IF(Counterparties!E290="","",Counterparties!E290)</f>
        <v/>
      </c>
      <c r="F290" s="53" t="n">
        <f aca="false">IF($A290="",0,SUMIFS(GL_Input!$U:$U,GL_Input!$F:$F,$A290,GL_Input!$X:$X,"G",GL_Input!$Y:$Y,1))</f>
        <v>0</v>
      </c>
      <c r="G290" s="53" t="n">
        <f aca="false">IF($A290="",0,SUMIFS(GL_Input!$U:$U,GL_Input!$F:$F,$A290,GL_Input!$X:$X,"G",GL_Input!$Y:$Y,2))</f>
        <v>0</v>
      </c>
      <c r="H290" s="53" t="n">
        <f aca="false">IF($A290="",0,SUMIFS(GL_Input!$U:$U,GL_Input!$F:$F,$A290,GL_Input!$X:$X,"G",GL_Input!$Y:$Y,3))</f>
        <v>0</v>
      </c>
      <c r="I290" s="53" t="n">
        <f aca="false">IF($A290="",0,SUMIFS(GL_Input!$U:$U,GL_Input!$F:$F,$A290,GL_Input!$X:$X,"T",GL_Input!$Y:$Y,1))</f>
        <v>0</v>
      </c>
      <c r="J290" s="53" t="n">
        <f aca="false">IF($A290="",0,SUMIFS(GL_Input!$U:$U,GL_Input!$F:$F,$A290,GL_Input!$X:$X,"T",GL_Input!$Y:$Y,2))</f>
        <v>0</v>
      </c>
      <c r="K290" s="53" t="n">
        <f aca="false">IF($A290="",0,SUMIFS(GL_Input!$U:$U,GL_Input!$F:$F,$A290,GL_Input!$X:$X,"T",GL_Input!$Y:$Y,3))</f>
        <v>0</v>
      </c>
      <c r="L290" s="53" t="n">
        <f aca="false">IF($A290="",0,SUMIFS(GL_Input!$U:$U,GL_Input!$F:$F,$A290,GL_Input!$X:$X,"S",GL_Input!$Y:$Y,1))</f>
        <v>0</v>
      </c>
      <c r="M290" s="53" t="n">
        <f aca="false">IF($A290="",0,SUMIFS(GL_Input!$U:$U,GL_Input!$F:$F,$A290,GL_Input!$X:$X,"S",GL_Input!$Y:$Y,2))</f>
        <v>0</v>
      </c>
      <c r="N290" s="53" t="n">
        <f aca="false">IF($A290="",0,SUMIFS(GL_Input!$U:$U,GL_Input!$F:$F,$A290,GL_Input!$X:$X,"S",GL_Input!$Y:$Y,3))</f>
        <v>0</v>
      </c>
      <c r="O290" s="54" t="n">
        <f aca="false">SUM(F290:N290)</f>
        <v>0</v>
      </c>
      <c r="P290" s="15" t="str">
        <f aca="false">IF(O290=0,"",IF($D290="","MISSING VAT NO.",IF(OR($C290="",$C290="CY",Counterparties!G290&lt;&gt;"EU"),"NOT AN EU CUSTOMER","OK")))</f>
        <v/>
      </c>
    </row>
    <row r="291" customFormat="false" ht="15" hidden="false" customHeight="false" outlineLevel="0" collapsed="false">
      <c r="A291" s="30" t="str">
        <f aca="false">IF(Counterparties!A291="","",Counterparties!A291)</f>
        <v/>
      </c>
      <c r="B291" s="30" t="str">
        <f aca="false">IF(Counterparties!B291="","",Counterparties!B291)</f>
        <v/>
      </c>
      <c r="C291" s="30" t="str">
        <f aca="false">IF(Counterparties!C291="","",Counterparties!C291)</f>
        <v/>
      </c>
      <c r="D291" s="30" t="str">
        <f aca="false">IF(Counterparties!D291="","",Counterparties!D291)</f>
        <v/>
      </c>
      <c r="E291" s="30" t="str">
        <f aca="false">IF(Counterparties!E291="","",Counterparties!E291)</f>
        <v/>
      </c>
      <c r="F291" s="53" t="n">
        <f aca="false">IF($A291="",0,SUMIFS(GL_Input!$U:$U,GL_Input!$F:$F,$A291,GL_Input!$X:$X,"G",GL_Input!$Y:$Y,1))</f>
        <v>0</v>
      </c>
      <c r="G291" s="53" t="n">
        <f aca="false">IF($A291="",0,SUMIFS(GL_Input!$U:$U,GL_Input!$F:$F,$A291,GL_Input!$X:$X,"G",GL_Input!$Y:$Y,2))</f>
        <v>0</v>
      </c>
      <c r="H291" s="53" t="n">
        <f aca="false">IF($A291="",0,SUMIFS(GL_Input!$U:$U,GL_Input!$F:$F,$A291,GL_Input!$X:$X,"G",GL_Input!$Y:$Y,3))</f>
        <v>0</v>
      </c>
      <c r="I291" s="53" t="n">
        <f aca="false">IF($A291="",0,SUMIFS(GL_Input!$U:$U,GL_Input!$F:$F,$A291,GL_Input!$X:$X,"T",GL_Input!$Y:$Y,1))</f>
        <v>0</v>
      </c>
      <c r="J291" s="53" t="n">
        <f aca="false">IF($A291="",0,SUMIFS(GL_Input!$U:$U,GL_Input!$F:$F,$A291,GL_Input!$X:$X,"T",GL_Input!$Y:$Y,2))</f>
        <v>0</v>
      </c>
      <c r="K291" s="53" t="n">
        <f aca="false">IF($A291="",0,SUMIFS(GL_Input!$U:$U,GL_Input!$F:$F,$A291,GL_Input!$X:$X,"T",GL_Input!$Y:$Y,3))</f>
        <v>0</v>
      </c>
      <c r="L291" s="53" t="n">
        <f aca="false">IF($A291="",0,SUMIFS(GL_Input!$U:$U,GL_Input!$F:$F,$A291,GL_Input!$X:$X,"S",GL_Input!$Y:$Y,1))</f>
        <v>0</v>
      </c>
      <c r="M291" s="53" t="n">
        <f aca="false">IF($A291="",0,SUMIFS(GL_Input!$U:$U,GL_Input!$F:$F,$A291,GL_Input!$X:$X,"S",GL_Input!$Y:$Y,2))</f>
        <v>0</v>
      </c>
      <c r="N291" s="53" t="n">
        <f aca="false">IF($A291="",0,SUMIFS(GL_Input!$U:$U,GL_Input!$F:$F,$A291,GL_Input!$X:$X,"S",GL_Input!$Y:$Y,3))</f>
        <v>0</v>
      </c>
      <c r="O291" s="54" t="n">
        <f aca="false">SUM(F291:N291)</f>
        <v>0</v>
      </c>
      <c r="P291" s="15" t="str">
        <f aca="false">IF(O291=0,"",IF($D291="","MISSING VAT NO.",IF(OR($C291="",$C291="CY",Counterparties!G291&lt;&gt;"EU"),"NOT AN EU CUSTOMER","OK")))</f>
        <v/>
      </c>
    </row>
    <row r="292" customFormat="false" ht="15" hidden="false" customHeight="false" outlineLevel="0" collapsed="false">
      <c r="A292" s="30" t="str">
        <f aca="false">IF(Counterparties!A292="","",Counterparties!A292)</f>
        <v/>
      </c>
      <c r="B292" s="30" t="str">
        <f aca="false">IF(Counterparties!B292="","",Counterparties!B292)</f>
        <v/>
      </c>
      <c r="C292" s="30" t="str">
        <f aca="false">IF(Counterparties!C292="","",Counterparties!C292)</f>
        <v/>
      </c>
      <c r="D292" s="30" t="str">
        <f aca="false">IF(Counterparties!D292="","",Counterparties!D292)</f>
        <v/>
      </c>
      <c r="E292" s="30" t="str">
        <f aca="false">IF(Counterparties!E292="","",Counterparties!E292)</f>
        <v/>
      </c>
      <c r="F292" s="53" t="n">
        <f aca="false">IF($A292="",0,SUMIFS(GL_Input!$U:$U,GL_Input!$F:$F,$A292,GL_Input!$X:$X,"G",GL_Input!$Y:$Y,1))</f>
        <v>0</v>
      </c>
      <c r="G292" s="53" t="n">
        <f aca="false">IF($A292="",0,SUMIFS(GL_Input!$U:$U,GL_Input!$F:$F,$A292,GL_Input!$X:$X,"G",GL_Input!$Y:$Y,2))</f>
        <v>0</v>
      </c>
      <c r="H292" s="53" t="n">
        <f aca="false">IF($A292="",0,SUMIFS(GL_Input!$U:$U,GL_Input!$F:$F,$A292,GL_Input!$X:$X,"G",GL_Input!$Y:$Y,3))</f>
        <v>0</v>
      </c>
      <c r="I292" s="53" t="n">
        <f aca="false">IF($A292="",0,SUMIFS(GL_Input!$U:$U,GL_Input!$F:$F,$A292,GL_Input!$X:$X,"T",GL_Input!$Y:$Y,1))</f>
        <v>0</v>
      </c>
      <c r="J292" s="53" t="n">
        <f aca="false">IF($A292="",0,SUMIFS(GL_Input!$U:$U,GL_Input!$F:$F,$A292,GL_Input!$X:$X,"T",GL_Input!$Y:$Y,2))</f>
        <v>0</v>
      </c>
      <c r="K292" s="53" t="n">
        <f aca="false">IF($A292="",0,SUMIFS(GL_Input!$U:$U,GL_Input!$F:$F,$A292,GL_Input!$X:$X,"T",GL_Input!$Y:$Y,3))</f>
        <v>0</v>
      </c>
      <c r="L292" s="53" t="n">
        <f aca="false">IF($A292="",0,SUMIFS(GL_Input!$U:$U,GL_Input!$F:$F,$A292,GL_Input!$X:$X,"S",GL_Input!$Y:$Y,1))</f>
        <v>0</v>
      </c>
      <c r="M292" s="53" t="n">
        <f aca="false">IF($A292="",0,SUMIFS(GL_Input!$U:$U,GL_Input!$F:$F,$A292,GL_Input!$X:$X,"S",GL_Input!$Y:$Y,2))</f>
        <v>0</v>
      </c>
      <c r="N292" s="53" t="n">
        <f aca="false">IF($A292="",0,SUMIFS(GL_Input!$U:$U,GL_Input!$F:$F,$A292,GL_Input!$X:$X,"S",GL_Input!$Y:$Y,3))</f>
        <v>0</v>
      </c>
      <c r="O292" s="54" t="n">
        <f aca="false">SUM(F292:N292)</f>
        <v>0</v>
      </c>
      <c r="P292" s="15" t="str">
        <f aca="false">IF(O292=0,"",IF($D292="","MISSING VAT NO.",IF(OR($C292="",$C292="CY",Counterparties!G292&lt;&gt;"EU"),"NOT AN EU CUSTOMER","OK")))</f>
        <v/>
      </c>
    </row>
    <row r="293" customFormat="false" ht="15" hidden="false" customHeight="false" outlineLevel="0" collapsed="false">
      <c r="A293" s="30" t="str">
        <f aca="false">IF(Counterparties!A293="","",Counterparties!A293)</f>
        <v/>
      </c>
      <c r="B293" s="30" t="str">
        <f aca="false">IF(Counterparties!B293="","",Counterparties!B293)</f>
        <v/>
      </c>
      <c r="C293" s="30" t="str">
        <f aca="false">IF(Counterparties!C293="","",Counterparties!C293)</f>
        <v/>
      </c>
      <c r="D293" s="30" t="str">
        <f aca="false">IF(Counterparties!D293="","",Counterparties!D293)</f>
        <v/>
      </c>
      <c r="E293" s="30" t="str">
        <f aca="false">IF(Counterparties!E293="","",Counterparties!E293)</f>
        <v/>
      </c>
      <c r="F293" s="53" t="n">
        <f aca="false">IF($A293="",0,SUMIFS(GL_Input!$U:$U,GL_Input!$F:$F,$A293,GL_Input!$X:$X,"G",GL_Input!$Y:$Y,1))</f>
        <v>0</v>
      </c>
      <c r="G293" s="53" t="n">
        <f aca="false">IF($A293="",0,SUMIFS(GL_Input!$U:$U,GL_Input!$F:$F,$A293,GL_Input!$X:$X,"G",GL_Input!$Y:$Y,2))</f>
        <v>0</v>
      </c>
      <c r="H293" s="53" t="n">
        <f aca="false">IF($A293="",0,SUMIFS(GL_Input!$U:$U,GL_Input!$F:$F,$A293,GL_Input!$X:$X,"G",GL_Input!$Y:$Y,3))</f>
        <v>0</v>
      </c>
      <c r="I293" s="53" t="n">
        <f aca="false">IF($A293="",0,SUMIFS(GL_Input!$U:$U,GL_Input!$F:$F,$A293,GL_Input!$X:$X,"T",GL_Input!$Y:$Y,1))</f>
        <v>0</v>
      </c>
      <c r="J293" s="53" t="n">
        <f aca="false">IF($A293="",0,SUMIFS(GL_Input!$U:$U,GL_Input!$F:$F,$A293,GL_Input!$X:$X,"T",GL_Input!$Y:$Y,2))</f>
        <v>0</v>
      </c>
      <c r="K293" s="53" t="n">
        <f aca="false">IF($A293="",0,SUMIFS(GL_Input!$U:$U,GL_Input!$F:$F,$A293,GL_Input!$X:$X,"T",GL_Input!$Y:$Y,3))</f>
        <v>0</v>
      </c>
      <c r="L293" s="53" t="n">
        <f aca="false">IF($A293="",0,SUMIFS(GL_Input!$U:$U,GL_Input!$F:$F,$A293,GL_Input!$X:$X,"S",GL_Input!$Y:$Y,1))</f>
        <v>0</v>
      </c>
      <c r="M293" s="53" t="n">
        <f aca="false">IF($A293="",0,SUMIFS(GL_Input!$U:$U,GL_Input!$F:$F,$A293,GL_Input!$X:$X,"S",GL_Input!$Y:$Y,2))</f>
        <v>0</v>
      </c>
      <c r="N293" s="53" t="n">
        <f aca="false">IF($A293="",0,SUMIFS(GL_Input!$U:$U,GL_Input!$F:$F,$A293,GL_Input!$X:$X,"S",GL_Input!$Y:$Y,3))</f>
        <v>0</v>
      </c>
      <c r="O293" s="54" t="n">
        <f aca="false">SUM(F293:N293)</f>
        <v>0</v>
      </c>
      <c r="P293" s="15" t="str">
        <f aca="false">IF(O293=0,"",IF($D293="","MISSING VAT NO.",IF(OR($C293="",$C293="CY",Counterparties!G293&lt;&gt;"EU"),"NOT AN EU CUSTOMER","OK")))</f>
        <v/>
      </c>
    </row>
    <row r="294" customFormat="false" ht="15" hidden="false" customHeight="false" outlineLevel="0" collapsed="false">
      <c r="A294" s="30" t="str">
        <f aca="false">IF(Counterparties!A294="","",Counterparties!A294)</f>
        <v/>
      </c>
      <c r="B294" s="30" t="str">
        <f aca="false">IF(Counterparties!B294="","",Counterparties!B294)</f>
        <v/>
      </c>
      <c r="C294" s="30" t="str">
        <f aca="false">IF(Counterparties!C294="","",Counterparties!C294)</f>
        <v/>
      </c>
      <c r="D294" s="30" t="str">
        <f aca="false">IF(Counterparties!D294="","",Counterparties!D294)</f>
        <v/>
      </c>
      <c r="E294" s="30" t="str">
        <f aca="false">IF(Counterparties!E294="","",Counterparties!E294)</f>
        <v/>
      </c>
      <c r="F294" s="53" t="n">
        <f aca="false">IF($A294="",0,SUMIFS(GL_Input!$U:$U,GL_Input!$F:$F,$A294,GL_Input!$X:$X,"G",GL_Input!$Y:$Y,1))</f>
        <v>0</v>
      </c>
      <c r="G294" s="53" t="n">
        <f aca="false">IF($A294="",0,SUMIFS(GL_Input!$U:$U,GL_Input!$F:$F,$A294,GL_Input!$X:$X,"G",GL_Input!$Y:$Y,2))</f>
        <v>0</v>
      </c>
      <c r="H294" s="53" t="n">
        <f aca="false">IF($A294="",0,SUMIFS(GL_Input!$U:$U,GL_Input!$F:$F,$A294,GL_Input!$X:$X,"G",GL_Input!$Y:$Y,3))</f>
        <v>0</v>
      </c>
      <c r="I294" s="53" t="n">
        <f aca="false">IF($A294="",0,SUMIFS(GL_Input!$U:$U,GL_Input!$F:$F,$A294,GL_Input!$X:$X,"T",GL_Input!$Y:$Y,1))</f>
        <v>0</v>
      </c>
      <c r="J294" s="53" t="n">
        <f aca="false">IF($A294="",0,SUMIFS(GL_Input!$U:$U,GL_Input!$F:$F,$A294,GL_Input!$X:$X,"T",GL_Input!$Y:$Y,2))</f>
        <v>0</v>
      </c>
      <c r="K294" s="53" t="n">
        <f aca="false">IF($A294="",0,SUMIFS(GL_Input!$U:$U,GL_Input!$F:$F,$A294,GL_Input!$X:$X,"T",GL_Input!$Y:$Y,3))</f>
        <v>0</v>
      </c>
      <c r="L294" s="53" t="n">
        <f aca="false">IF($A294="",0,SUMIFS(GL_Input!$U:$U,GL_Input!$F:$F,$A294,GL_Input!$X:$X,"S",GL_Input!$Y:$Y,1))</f>
        <v>0</v>
      </c>
      <c r="M294" s="53" t="n">
        <f aca="false">IF($A294="",0,SUMIFS(GL_Input!$U:$U,GL_Input!$F:$F,$A294,GL_Input!$X:$X,"S",GL_Input!$Y:$Y,2))</f>
        <v>0</v>
      </c>
      <c r="N294" s="53" t="n">
        <f aca="false">IF($A294="",0,SUMIFS(GL_Input!$U:$U,GL_Input!$F:$F,$A294,GL_Input!$X:$X,"S",GL_Input!$Y:$Y,3))</f>
        <v>0</v>
      </c>
      <c r="O294" s="54" t="n">
        <f aca="false">SUM(F294:N294)</f>
        <v>0</v>
      </c>
      <c r="P294" s="15" t="str">
        <f aca="false">IF(O294=0,"",IF($D294="","MISSING VAT NO.",IF(OR($C294="",$C294="CY",Counterparties!G294&lt;&gt;"EU"),"NOT AN EU CUSTOMER","OK")))</f>
        <v/>
      </c>
    </row>
    <row r="295" customFormat="false" ht="15" hidden="false" customHeight="false" outlineLevel="0" collapsed="false">
      <c r="A295" s="30" t="str">
        <f aca="false">IF(Counterparties!A295="","",Counterparties!A295)</f>
        <v/>
      </c>
      <c r="B295" s="30" t="str">
        <f aca="false">IF(Counterparties!B295="","",Counterparties!B295)</f>
        <v/>
      </c>
      <c r="C295" s="30" t="str">
        <f aca="false">IF(Counterparties!C295="","",Counterparties!C295)</f>
        <v/>
      </c>
      <c r="D295" s="30" t="str">
        <f aca="false">IF(Counterparties!D295="","",Counterparties!D295)</f>
        <v/>
      </c>
      <c r="E295" s="30" t="str">
        <f aca="false">IF(Counterparties!E295="","",Counterparties!E295)</f>
        <v/>
      </c>
      <c r="F295" s="53" t="n">
        <f aca="false">IF($A295="",0,SUMIFS(GL_Input!$U:$U,GL_Input!$F:$F,$A295,GL_Input!$X:$X,"G",GL_Input!$Y:$Y,1))</f>
        <v>0</v>
      </c>
      <c r="G295" s="53" t="n">
        <f aca="false">IF($A295="",0,SUMIFS(GL_Input!$U:$U,GL_Input!$F:$F,$A295,GL_Input!$X:$X,"G",GL_Input!$Y:$Y,2))</f>
        <v>0</v>
      </c>
      <c r="H295" s="53" t="n">
        <f aca="false">IF($A295="",0,SUMIFS(GL_Input!$U:$U,GL_Input!$F:$F,$A295,GL_Input!$X:$X,"G",GL_Input!$Y:$Y,3))</f>
        <v>0</v>
      </c>
      <c r="I295" s="53" t="n">
        <f aca="false">IF($A295="",0,SUMIFS(GL_Input!$U:$U,GL_Input!$F:$F,$A295,GL_Input!$X:$X,"T",GL_Input!$Y:$Y,1))</f>
        <v>0</v>
      </c>
      <c r="J295" s="53" t="n">
        <f aca="false">IF($A295="",0,SUMIFS(GL_Input!$U:$U,GL_Input!$F:$F,$A295,GL_Input!$X:$X,"T",GL_Input!$Y:$Y,2))</f>
        <v>0</v>
      </c>
      <c r="K295" s="53" t="n">
        <f aca="false">IF($A295="",0,SUMIFS(GL_Input!$U:$U,GL_Input!$F:$F,$A295,GL_Input!$X:$X,"T",GL_Input!$Y:$Y,3))</f>
        <v>0</v>
      </c>
      <c r="L295" s="53" t="n">
        <f aca="false">IF($A295="",0,SUMIFS(GL_Input!$U:$U,GL_Input!$F:$F,$A295,GL_Input!$X:$X,"S",GL_Input!$Y:$Y,1))</f>
        <v>0</v>
      </c>
      <c r="M295" s="53" t="n">
        <f aca="false">IF($A295="",0,SUMIFS(GL_Input!$U:$U,GL_Input!$F:$F,$A295,GL_Input!$X:$X,"S",GL_Input!$Y:$Y,2))</f>
        <v>0</v>
      </c>
      <c r="N295" s="53" t="n">
        <f aca="false">IF($A295="",0,SUMIFS(GL_Input!$U:$U,GL_Input!$F:$F,$A295,GL_Input!$X:$X,"S",GL_Input!$Y:$Y,3))</f>
        <v>0</v>
      </c>
      <c r="O295" s="54" t="n">
        <f aca="false">SUM(F295:N295)</f>
        <v>0</v>
      </c>
      <c r="P295" s="15" t="str">
        <f aca="false">IF(O295=0,"",IF($D295="","MISSING VAT NO.",IF(OR($C295="",$C295="CY",Counterparties!G295&lt;&gt;"EU"),"NOT AN EU CUSTOMER","OK")))</f>
        <v/>
      </c>
    </row>
    <row r="296" customFormat="false" ht="15" hidden="false" customHeight="false" outlineLevel="0" collapsed="false">
      <c r="A296" s="30" t="str">
        <f aca="false">IF(Counterparties!A296="","",Counterparties!A296)</f>
        <v/>
      </c>
      <c r="B296" s="30" t="str">
        <f aca="false">IF(Counterparties!B296="","",Counterparties!B296)</f>
        <v/>
      </c>
      <c r="C296" s="30" t="str">
        <f aca="false">IF(Counterparties!C296="","",Counterparties!C296)</f>
        <v/>
      </c>
      <c r="D296" s="30" t="str">
        <f aca="false">IF(Counterparties!D296="","",Counterparties!D296)</f>
        <v/>
      </c>
      <c r="E296" s="30" t="str">
        <f aca="false">IF(Counterparties!E296="","",Counterparties!E296)</f>
        <v/>
      </c>
      <c r="F296" s="53" t="n">
        <f aca="false">IF($A296="",0,SUMIFS(GL_Input!$U:$U,GL_Input!$F:$F,$A296,GL_Input!$X:$X,"G",GL_Input!$Y:$Y,1))</f>
        <v>0</v>
      </c>
      <c r="G296" s="53" t="n">
        <f aca="false">IF($A296="",0,SUMIFS(GL_Input!$U:$U,GL_Input!$F:$F,$A296,GL_Input!$X:$X,"G",GL_Input!$Y:$Y,2))</f>
        <v>0</v>
      </c>
      <c r="H296" s="53" t="n">
        <f aca="false">IF($A296="",0,SUMIFS(GL_Input!$U:$U,GL_Input!$F:$F,$A296,GL_Input!$X:$X,"G",GL_Input!$Y:$Y,3))</f>
        <v>0</v>
      </c>
      <c r="I296" s="53" t="n">
        <f aca="false">IF($A296="",0,SUMIFS(GL_Input!$U:$U,GL_Input!$F:$F,$A296,GL_Input!$X:$X,"T",GL_Input!$Y:$Y,1))</f>
        <v>0</v>
      </c>
      <c r="J296" s="53" t="n">
        <f aca="false">IF($A296="",0,SUMIFS(GL_Input!$U:$U,GL_Input!$F:$F,$A296,GL_Input!$X:$X,"T",GL_Input!$Y:$Y,2))</f>
        <v>0</v>
      </c>
      <c r="K296" s="53" t="n">
        <f aca="false">IF($A296="",0,SUMIFS(GL_Input!$U:$U,GL_Input!$F:$F,$A296,GL_Input!$X:$X,"T",GL_Input!$Y:$Y,3))</f>
        <v>0</v>
      </c>
      <c r="L296" s="53" t="n">
        <f aca="false">IF($A296="",0,SUMIFS(GL_Input!$U:$U,GL_Input!$F:$F,$A296,GL_Input!$X:$X,"S",GL_Input!$Y:$Y,1))</f>
        <v>0</v>
      </c>
      <c r="M296" s="53" t="n">
        <f aca="false">IF($A296="",0,SUMIFS(GL_Input!$U:$U,GL_Input!$F:$F,$A296,GL_Input!$X:$X,"S",GL_Input!$Y:$Y,2))</f>
        <v>0</v>
      </c>
      <c r="N296" s="53" t="n">
        <f aca="false">IF($A296="",0,SUMIFS(GL_Input!$U:$U,GL_Input!$F:$F,$A296,GL_Input!$X:$X,"S",GL_Input!$Y:$Y,3))</f>
        <v>0</v>
      </c>
      <c r="O296" s="54" t="n">
        <f aca="false">SUM(F296:N296)</f>
        <v>0</v>
      </c>
      <c r="P296" s="15" t="str">
        <f aca="false">IF(O296=0,"",IF($D296="","MISSING VAT NO.",IF(OR($C296="",$C296="CY",Counterparties!G296&lt;&gt;"EU"),"NOT AN EU CUSTOMER","OK")))</f>
        <v/>
      </c>
    </row>
    <row r="297" customFormat="false" ht="15" hidden="false" customHeight="false" outlineLevel="0" collapsed="false">
      <c r="A297" s="30" t="str">
        <f aca="false">IF(Counterparties!A297="","",Counterparties!A297)</f>
        <v/>
      </c>
      <c r="B297" s="30" t="str">
        <f aca="false">IF(Counterparties!B297="","",Counterparties!B297)</f>
        <v/>
      </c>
      <c r="C297" s="30" t="str">
        <f aca="false">IF(Counterparties!C297="","",Counterparties!C297)</f>
        <v/>
      </c>
      <c r="D297" s="30" t="str">
        <f aca="false">IF(Counterparties!D297="","",Counterparties!D297)</f>
        <v/>
      </c>
      <c r="E297" s="30" t="str">
        <f aca="false">IF(Counterparties!E297="","",Counterparties!E297)</f>
        <v/>
      </c>
      <c r="F297" s="53" t="n">
        <f aca="false">IF($A297="",0,SUMIFS(GL_Input!$U:$U,GL_Input!$F:$F,$A297,GL_Input!$X:$X,"G",GL_Input!$Y:$Y,1))</f>
        <v>0</v>
      </c>
      <c r="G297" s="53" t="n">
        <f aca="false">IF($A297="",0,SUMIFS(GL_Input!$U:$U,GL_Input!$F:$F,$A297,GL_Input!$X:$X,"G",GL_Input!$Y:$Y,2))</f>
        <v>0</v>
      </c>
      <c r="H297" s="53" t="n">
        <f aca="false">IF($A297="",0,SUMIFS(GL_Input!$U:$U,GL_Input!$F:$F,$A297,GL_Input!$X:$X,"G",GL_Input!$Y:$Y,3))</f>
        <v>0</v>
      </c>
      <c r="I297" s="53" t="n">
        <f aca="false">IF($A297="",0,SUMIFS(GL_Input!$U:$U,GL_Input!$F:$F,$A297,GL_Input!$X:$X,"T",GL_Input!$Y:$Y,1))</f>
        <v>0</v>
      </c>
      <c r="J297" s="53" t="n">
        <f aca="false">IF($A297="",0,SUMIFS(GL_Input!$U:$U,GL_Input!$F:$F,$A297,GL_Input!$X:$X,"T",GL_Input!$Y:$Y,2))</f>
        <v>0</v>
      </c>
      <c r="K297" s="53" t="n">
        <f aca="false">IF($A297="",0,SUMIFS(GL_Input!$U:$U,GL_Input!$F:$F,$A297,GL_Input!$X:$X,"T",GL_Input!$Y:$Y,3))</f>
        <v>0</v>
      </c>
      <c r="L297" s="53" t="n">
        <f aca="false">IF($A297="",0,SUMIFS(GL_Input!$U:$U,GL_Input!$F:$F,$A297,GL_Input!$X:$X,"S",GL_Input!$Y:$Y,1))</f>
        <v>0</v>
      </c>
      <c r="M297" s="53" t="n">
        <f aca="false">IF($A297="",0,SUMIFS(GL_Input!$U:$U,GL_Input!$F:$F,$A297,GL_Input!$X:$X,"S",GL_Input!$Y:$Y,2))</f>
        <v>0</v>
      </c>
      <c r="N297" s="53" t="n">
        <f aca="false">IF($A297="",0,SUMIFS(GL_Input!$U:$U,GL_Input!$F:$F,$A297,GL_Input!$X:$X,"S",GL_Input!$Y:$Y,3))</f>
        <v>0</v>
      </c>
      <c r="O297" s="54" t="n">
        <f aca="false">SUM(F297:N297)</f>
        <v>0</v>
      </c>
      <c r="P297" s="15" t="str">
        <f aca="false">IF(O297=0,"",IF($D297="","MISSING VAT NO.",IF(OR($C297="",$C297="CY",Counterparties!G297&lt;&gt;"EU"),"NOT AN EU CUSTOMER","OK")))</f>
        <v/>
      </c>
    </row>
    <row r="298" customFormat="false" ht="15" hidden="false" customHeight="false" outlineLevel="0" collapsed="false">
      <c r="A298" s="30" t="str">
        <f aca="false">IF(Counterparties!A298="","",Counterparties!A298)</f>
        <v/>
      </c>
      <c r="B298" s="30" t="str">
        <f aca="false">IF(Counterparties!B298="","",Counterparties!B298)</f>
        <v/>
      </c>
      <c r="C298" s="30" t="str">
        <f aca="false">IF(Counterparties!C298="","",Counterparties!C298)</f>
        <v/>
      </c>
      <c r="D298" s="30" t="str">
        <f aca="false">IF(Counterparties!D298="","",Counterparties!D298)</f>
        <v/>
      </c>
      <c r="E298" s="30" t="str">
        <f aca="false">IF(Counterparties!E298="","",Counterparties!E298)</f>
        <v/>
      </c>
      <c r="F298" s="53" t="n">
        <f aca="false">IF($A298="",0,SUMIFS(GL_Input!$U:$U,GL_Input!$F:$F,$A298,GL_Input!$X:$X,"G",GL_Input!$Y:$Y,1))</f>
        <v>0</v>
      </c>
      <c r="G298" s="53" t="n">
        <f aca="false">IF($A298="",0,SUMIFS(GL_Input!$U:$U,GL_Input!$F:$F,$A298,GL_Input!$X:$X,"G",GL_Input!$Y:$Y,2))</f>
        <v>0</v>
      </c>
      <c r="H298" s="53" t="n">
        <f aca="false">IF($A298="",0,SUMIFS(GL_Input!$U:$U,GL_Input!$F:$F,$A298,GL_Input!$X:$X,"G",GL_Input!$Y:$Y,3))</f>
        <v>0</v>
      </c>
      <c r="I298" s="53" t="n">
        <f aca="false">IF($A298="",0,SUMIFS(GL_Input!$U:$U,GL_Input!$F:$F,$A298,GL_Input!$X:$X,"T",GL_Input!$Y:$Y,1))</f>
        <v>0</v>
      </c>
      <c r="J298" s="53" t="n">
        <f aca="false">IF($A298="",0,SUMIFS(GL_Input!$U:$U,GL_Input!$F:$F,$A298,GL_Input!$X:$X,"T",GL_Input!$Y:$Y,2))</f>
        <v>0</v>
      </c>
      <c r="K298" s="53" t="n">
        <f aca="false">IF($A298="",0,SUMIFS(GL_Input!$U:$U,GL_Input!$F:$F,$A298,GL_Input!$X:$X,"T",GL_Input!$Y:$Y,3))</f>
        <v>0</v>
      </c>
      <c r="L298" s="53" t="n">
        <f aca="false">IF($A298="",0,SUMIFS(GL_Input!$U:$U,GL_Input!$F:$F,$A298,GL_Input!$X:$X,"S",GL_Input!$Y:$Y,1))</f>
        <v>0</v>
      </c>
      <c r="M298" s="53" t="n">
        <f aca="false">IF($A298="",0,SUMIFS(GL_Input!$U:$U,GL_Input!$F:$F,$A298,GL_Input!$X:$X,"S",GL_Input!$Y:$Y,2))</f>
        <v>0</v>
      </c>
      <c r="N298" s="53" t="n">
        <f aca="false">IF($A298="",0,SUMIFS(GL_Input!$U:$U,GL_Input!$F:$F,$A298,GL_Input!$X:$X,"S",GL_Input!$Y:$Y,3))</f>
        <v>0</v>
      </c>
      <c r="O298" s="54" t="n">
        <f aca="false">SUM(F298:N298)</f>
        <v>0</v>
      </c>
      <c r="P298" s="15" t="str">
        <f aca="false">IF(O298=0,"",IF($D298="","MISSING VAT NO.",IF(OR($C298="",$C298="CY",Counterparties!G298&lt;&gt;"EU"),"NOT AN EU CUSTOMER","OK")))</f>
        <v/>
      </c>
    </row>
    <row r="299" customFormat="false" ht="15" hidden="false" customHeight="false" outlineLevel="0" collapsed="false">
      <c r="A299" s="30" t="str">
        <f aca="false">IF(Counterparties!A299="","",Counterparties!A299)</f>
        <v/>
      </c>
      <c r="B299" s="30" t="str">
        <f aca="false">IF(Counterparties!B299="","",Counterparties!B299)</f>
        <v/>
      </c>
      <c r="C299" s="30" t="str">
        <f aca="false">IF(Counterparties!C299="","",Counterparties!C299)</f>
        <v/>
      </c>
      <c r="D299" s="30" t="str">
        <f aca="false">IF(Counterparties!D299="","",Counterparties!D299)</f>
        <v/>
      </c>
      <c r="E299" s="30" t="str">
        <f aca="false">IF(Counterparties!E299="","",Counterparties!E299)</f>
        <v/>
      </c>
      <c r="F299" s="53" t="n">
        <f aca="false">IF($A299="",0,SUMIFS(GL_Input!$U:$U,GL_Input!$F:$F,$A299,GL_Input!$X:$X,"G",GL_Input!$Y:$Y,1))</f>
        <v>0</v>
      </c>
      <c r="G299" s="53" t="n">
        <f aca="false">IF($A299="",0,SUMIFS(GL_Input!$U:$U,GL_Input!$F:$F,$A299,GL_Input!$X:$X,"G",GL_Input!$Y:$Y,2))</f>
        <v>0</v>
      </c>
      <c r="H299" s="53" t="n">
        <f aca="false">IF($A299="",0,SUMIFS(GL_Input!$U:$U,GL_Input!$F:$F,$A299,GL_Input!$X:$X,"G",GL_Input!$Y:$Y,3))</f>
        <v>0</v>
      </c>
      <c r="I299" s="53" t="n">
        <f aca="false">IF($A299="",0,SUMIFS(GL_Input!$U:$U,GL_Input!$F:$F,$A299,GL_Input!$X:$X,"T",GL_Input!$Y:$Y,1))</f>
        <v>0</v>
      </c>
      <c r="J299" s="53" t="n">
        <f aca="false">IF($A299="",0,SUMIFS(GL_Input!$U:$U,GL_Input!$F:$F,$A299,GL_Input!$X:$X,"T",GL_Input!$Y:$Y,2))</f>
        <v>0</v>
      </c>
      <c r="K299" s="53" t="n">
        <f aca="false">IF($A299="",0,SUMIFS(GL_Input!$U:$U,GL_Input!$F:$F,$A299,GL_Input!$X:$X,"T",GL_Input!$Y:$Y,3))</f>
        <v>0</v>
      </c>
      <c r="L299" s="53" t="n">
        <f aca="false">IF($A299="",0,SUMIFS(GL_Input!$U:$U,GL_Input!$F:$F,$A299,GL_Input!$X:$X,"S",GL_Input!$Y:$Y,1))</f>
        <v>0</v>
      </c>
      <c r="M299" s="53" t="n">
        <f aca="false">IF($A299="",0,SUMIFS(GL_Input!$U:$U,GL_Input!$F:$F,$A299,GL_Input!$X:$X,"S",GL_Input!$Y:$Y,2))</f>
        <v>0</v>
      </c>
      <c r="N299" s="53" t="n">
        <f aca="false">IF($A299="",0,SUMIFS(GL_Input!$U:$U,GL_Input!$F:$F,$A299,GL_Input!$X:$X,"S",GL_Input!$Y:$Y,3))</f>
        <v>0</v>
      </c>
      <c r="O299" s="54" t="n">
        <f aca="false">SUM(F299:N299)</f>
        <v>0</v>
      </c>
      <c r="P299" s="15" t="str">
        <f aca="false">IF(O299=0,"",IF($D299="","MISSING VAT NO.",IF(OR($C299="",$C299="CY",Counterparties!G299&lt;&gt;"EU"),"NOT AN EU CUSTOMER","OK")))</f>
        <v/>
      </c>
    </row>
    <row r="300" customFormat="false" ht="15" hidden="false" customHeight="false" outlineLevel="0" collapsed="false">
      <c r="A300" s="30" t="str">
        <f aca="false">IF(Counterparties!A300="","",Counterparties!A300)</f>
        <v/>
      </c>
      <c r="B300" s="30" t="str">
        <f aca="false">IF(Counterparties!B300="","",Counterparties!B300)</f>
        <v/>
      </c>
      <c r="C300" s="30" t="str">
        <f aca="false">IF(Counterparties!C300="","",Counterparties!C300)</f>
        <v/>
      </c>
      <c r="D300" s="30" t="str">
        <f aca="false">IF(Counterparties!D300="","",Counterparties!D300)</f>
        <v/>
      </c>
      <c r="E300" s="30" t="str">
        <f aca="false">IF(Counterparties!E300="","",Counterparties!E300)</f>
        <v/>
      </c>
      <c r="F300" s="53" t="n">
        <f aca="false">IF($A300="",0,SUMIFS(GL_Input!$U:$U,GL_Input!$F:$F,$A300,GL_Input!$X:$X,"G",GL_Input!$Y:$Y,1))</f>
        <v>0</v>
      </c>
      <c r="G300" s="53" t="n">
        <f aca="false">IF($A300="",0,SUMIFS(GL_Input!$U:$U,GL_Input!$F:$F,$A300,GL_Input!$X:$X,"G",GL_Input!$Y:$Y,2))</f>
        <v>0</v>
      </c>
      <c r="H300" s="53" t="n">
        <f aca="false">IF($A300="",0,SUMIFS(GL_Input!$U:$U,GL_Input!$F:$F,$A300,GL_Input!$X:$X,"G",GL_Input!$Y:$Y,3))</f>
        <v>0</v>
      </c>
      <c r="I300" s="53" t="n">
        <f aca="false">IF($A300="",0,SUMIFS(GL_Input!$U:$U,GL_Input!$F:$F,$A300,GL_Input!$X:$X,"T",GL_Input!$Y:$Y,1))</f>
        <v>0</v>
      </c>
      <c r="J300" s="53" t="n">
        <f aca="false">IF($A300="",0,SUMIFS(GL_Input!$U:$U,GL_Input!$F:$F,$A300,GL_Input!$X:$X,"T",GL_Input!$Y:$Y,2))</f>
        <v>0</v>
      </c>
      <c r="K300" s="53" t="n">
        <f aca="false">IF($A300="",0,SUMIFS(GL_Input!$U:$U,GL_Input!$F:$F,$A300,GL_Input!$X:$X,"T",GL_Input!$Y:$Y,3))</f>
        <v>0</v>
      </c>
      <c r="L300" s="53" t="n">
        <f aca="false">IF($A300="",0,SUMIFS(GL_Input!$U:$U,GL_Input!$F:$F,$A300,GL_Input!$X:$X,"S",GL_Input!$Y:$Y,1))</f>
        <v>0</v>
      </c>
      <c r="M300" s="53" t="n">
        <f aca="false">IF($A300="",0,SUMIFS(GL_Input!$U:$U,GL_Input!$F:$F,$A300,GL_Input!$X:$X,"S",GL_Input!$Y:$Y,2))</f>
        <v>0</v>
      </c>
      <c r="N300" s="53" t="n">
        <f aca="false">IF($A300="",0,SUMIFS(GL_Input!$U:$U,GL_Input!$F:$F,$A300,GL_Input!$X:$X,"S",GL_Input!$Y:$Y,3))</f>
        <v>0</v>
      </c>
      <c r="O300" s="54" t="n">
        <f aca="false">SUM(F300:N300)</f>
        <v>0</v>
      </c>
      <c r="P300" s="15" t="str">
        <f aca="false">IF(O300=0,"",IF($D300="","MISSING VAT NO.",IF(OR($C300="",$C300="CY",Counterparties!G300&lt;&gt;"EU"),"NOT AN EU CUSTOMER","OK")))</f>
        <v/>
      </c>
    </row>
    <row r="301" customFormat="false" ht="15" hidden="false" customHeight="false" outlineLevel="0" collapsed="false">
      <c r="A301" s="30" t="str">
        <f aca="false">IF(Counterparties!A301="","",Counterparties!A301)</f>
        <v/>
      </c>
      <c r="B301" s="30" t="str">
        <f aca="false">IF(Counterparties!B301="","",Counterparties!B301)</f>
        <v/>
      </c>
      <c r="C301" s="30" t="str">
        <f aca="false">IF(Counterparties!C301="","",Counterparties!C301)</f>
        <v/>
      </c>
      <c r="D301" s="30" t="str">
        <f aca="false">IF(Counterparties!D301="","",Counterparties!D301)</f>
        <v/>
      </c>
      <c r="E301" s="30" t="str">
        <f aca="false">IF(Counterparties!E301="","",Counterparties!E301)</f>
        <v/>
      </c>
      <c r="F301" s="53" t="n">
        <f aca="false">IF($A301="",0,SUMIFS(GL_Input!$U:$U,GL_Input!$F:$F,$A301,GL_Input!$X:$X,"G",GL_Input!$Y:$Y,1))</f>
        <v>0</v>
      </c>
      <c r="G301" s="53" t="n">
        <f aca="false">IF($A301="",0,SUMIFS(GL_Input!$U:$U,GL_Input!$F:$F,$A301,GL_Input!$X:$X,"G",GL_Input!$Y:$Y,2))</f>
        <v>0</v>
      </c>
      <c r="H301" s="53" t="n">
        <f aca="false">IF($A301="",0,SUMIFS(GL_Input!$U:$U,GL_Input!$F:$F,$A301,GL_Input!$X:$X,"G",GL_Input!$Y:$Y,3))</f>
        <v>0</v>
      </c>
      <c r="I301" s="53" t="n">
        <f aca="false">IF($A301="",0,SUMIFS(GL_Input!$U:$U,GL_Input!$F:$F,$A301,GL_Input!$X:$X,"T",GL_Input!$Y:$Y,1))</f>
        <v>0</v>
      </c>
      <c r="J301" s="53" t="n">
        <f aca="false">IF($A301="",0,SUMIFS(GL_Input!$U:$U,GL_Input!$F:$F,$A301,GL_Input!$X:$X,"T",GL_Input!$Y:$Y,2))</f>
        <v>0</v>
      </c>
      <c r="K301" s="53" t="n">
        <f aca="false">IF($A301="",0,SUMIFS(GL_Input!$U:$U,GL_Input!$F:$F,$A301,GL_Input!$X:$X,"T",GL_Input!$Y:$Y,3))</f>
        <v>0</v>
      </c>
      <c r="L301" s="53" t="n">
        <f aca="false">IF($A301="",0,SUMIFS(GL_Input!$U:$U,GL_Input!$F:$F,$A301,GL_Input!$X:$X,"S",GL_Input!$Y:$Y,1))</f>
        <v>0</v>
      </c>
      <c r="M301" s="53" t="n">
        <f aca="false">IF($A301="",0,SUMIFS(GL_Input!$U:$U,GL_Input!$F:$F,$A301,GL_Input!$X:$X,"S",GL_Input!$Y:$Y,2))</f>
        <v>0</v>
      </c>
      <c r="N301" s="53" t="n">
        <f aca="false">IF($A301="",0,SUMIFS(GL_Input!$U:$U,GL_Input!$F:$F,$A301,GL_Input!$X:$X,"S",GL_Input!$Y:$Y,3))</f>
        <v>0</v>
      </c>
      <c r="O301" s="54" t="n">
        <f aca="false">SUM(F301:N301)</f>
        <v>0</v>
      </c>
      <c r="P301" s="15" t="str">
        <f aca="false">IF(O301=0,"",IF($D301="","MISSING VAT NO.",IF(OR($C301="",$C301="CY",Counterparties!G301&lt;&gt;"EU"),"NOT AN EU CUSTOMER","OK")))</f>
        <v/>
      </c>
    </row>
    <row r="302" customFormat="false" ht="15" hidden="false" customHeight="false" outlineLevel="0" collapsed="false">
      <c r="A302" s="30" t="str">
        <f aca="false">IF(Counterparties!A302="","",Counterparties!A302)</f>
        <v/>
      </c>
      <c r="B302" s="30" t="str">
        <f aca="false">IF(Counterparties!B302="","",Counterparties!B302)</f>
        <v/>
      </c>
      <c r="C302" s="30" t="str">
        <f aca="false">IF(Counterparties!C302="","",Counterparties!C302)</f>
        <v/>
      </c>
      <c r="D302" s="30" t="str">
        <f aca="false">IF(Counterparties!D302="","",Counterparties!D302)</f>
        <v/>
      </c>
      <c r="E302" s="30" t="str">
        <f aca="false">IF(Counterparties!E302="","",Counterparties!E302)</f>
        <v/>
      </c>
      <c r="F302" s="53" t="n">
        <f aca="false">IF($A302="",0,SUMIFS(GL_Input!$U:$U,GL_Input!$F:$F,$A302,GL_Input!$X:$X,"G",GL_Input!$Y:$Y,1))</f>
        <v>0</v>
      </c>
      <c r="G302" s="53" t="n">
        <f aca="false">IF($A302="",0,SUMIFS(GL_Input!$U:$U,GL_Input!$F:$F,$A302,GL_Input!$X:$X,"G",GL_Input!$Y:$Y,2))</f>
        <v>0</v>
      </c>
      <c r="H302" s="53" t="n">
        <f aca="false">IF($A302="",0,SUMIFS(GL_Input!$U:$U,GL_Input!$F:$F,$A302,GL_Input!$X:$X,"G",GL_Input!$Y:$Y,3))</f>
        <v>0</v>
      </c>
      <c r="I302" s="53" t="n">
        <f aca="false">IF($A302="",0,SUMIFS(GL_Input!$U:$U,GL_Input!$F:$F,$A302,GL_Input!$X:$X,"T",GL_Input!$Y:$Y,1))</f>
        <v>0</v>
      </c>
      <c r="J302" s="53" t="n">
        <f aca="false">IF($A302="",0,SUMIFS(GL_Input!$U:$U,GL_Input!$F:$F,$A302,GL_Input!$X:$X,"T",GL_Input!$Y:$Y,2))</f>
        <v>0</v>
      </c>
      <c r="K302" s="53" t="n">
        <f aca="false">IF($A302="",0,SUMIFS(GL_Input!$U:$U,GL_Input!$F:$F,$A302,GL_Input!$X:$X,"T",GL_Input!$Y:$Y,3))</f>
        <v>0</v>
      </c>
      <c r="L302" s="53" t="n">
        <f aca="false">IF($A302="",0,SUMIFS(GL_Input!$U:$U,GL_Input!$F:$F,$A302,GL_Input!$X:$X,"S",GL_Input!$Y:$Y,1))</f>
        <v>0</v>
      </c>
      <c r="M302" s="53" t="n">
        <f aca="false">IF($A302="",0,SUMIFS(GL_Input!$U:$U,GL_Input!$F:$F,$A302,GL_Input!$X:$X,"S",GL_Input!$Y:$Y,2))</f>
        <v>0</v>
      </c>
      <c r="N302" s="53" t="n">
        <f aca="false">IF($A302="",0,SUMIFS(GL_Input!$U:$U,GL_Input!$F:$F,$A302,GL_Input!$X:$X,"S",GL_Input!$Y:$Y,3))</f>
        <v>0</v>
      </c>
      <c r="O302" s="54" t="n">
        <f aca="false">SUM(F302:N302)</f>
        <v>0</v>
      </c>
      <c r="P302" s="15" t="str">
        <f aca="false">IF(O302=0,"",IF($D302="","MISSING VAT NO.",IF(OR($C302="",$C302="CY",Counterparties!G302&lt;&gt;"EU"),"NOT AN EU CUSTOMER","OK")))</f>
        <v/>
      </c>
    </row>
    <row r="303" customFormat="false" ht="15" hidden="false" customHeight="false" outlineLevel="0" collapsed="false">
      <c r="A303" s="30" t="str">
        <f aca="false">IF(Counterparties!A303="","",Counterparties!A303)</f>
        <v/>
      </c>
      <c r="B303" s="30" t="str">
        <f aca="false">IF(Counterparties!B303="","",Counterparties!B303)</f>
        <v/>
      </c>
      <c r="C303" s="30" t="str">
        <f aca="false">IF(Counterparties!C303="","",Counterparties!C303)</f>
        <v/>
      </c>
      <c r="D303" s="30" t="str">
        <f aca="false">IF(Counterparties!D303="","",Counterparties!D303)</f>
        <v/>
      </c>
      <c r="E303" s="30" t="str">
        <f aca="false">IF(Counterparties!E303="","",Counterparties!E303)</f>
        <v/>
      </c>
      <c r="F303" s="53" t="n">
        <f aca="false">IF($A303="",0,SUMIFS(GL_Input!$U:$U,GL_Input!$F:$F,$A303,GL_Input!$X:$X,"G",GL_Input!$Y:$Y,1))</f>
        <v>0</v>
      </c>
      <c r="G303" s="53" t="n">
        <f aca="false">IF($A303="",0,SUMIFS(GL_Input!$U:$U,GL_Input!$F:$F,$A303,GL_Input!$X:$X,"G",GL_Input!$Y:$Y,2))</f>
        <v>0</v>
      </c>
      <c r="H303" s="53" t="n">
        <f aca="false">IF($A303="",0,SUMIFS(GL_Input!$U:$U,GL_Input!$F:$F,$A303,GL_Input!$X:$X,"G",GL_Input!$Y:$Y,3))</f>
        <v>0</v>
      </c>
      <c r="I303" s="53" t="n">
        <f aca="false">IF($A303="",0,SUMIFS(GL_Input!$U:$U,GL_Input!$F:$F,$A303,GL_Input!$X:$X,"T",GL_Input!$Y:$Y,1))</f>
        <v>0</v>
      </c>
      <c r="J303" s="53" t="n">
        <f aca="false">IF($A303="",0,SUMIFS(GL_Input!$U:$U,GL_Input!$F:$F,$A303,GL_Input!$X:$X,"T",GL_Input!$Y:$Y,2))</f>
        <v>0</v>
      </c>
      <c r="K303" s="53" t="n">
        <f aca="false">IF($A303="",0,SUMIFS(GL_Input!$U:$U,GL_Input!$F:$F,$A303,GL_Input!$X:$X,"T",GL_Input!$Y:$Y,3))</f>
        <v>0</v>
      </c>
      <c r="L303" s="53" t="n">
        <f aca="false">IF($A303="",0,SUMIFS(GL_Input!$U:$U,GL_Input!$F:$F,$A303,GL_Input!$X:$X,"S",GL_Input!$Y:$Y,1))</f>
        <v>0</v>
      </c>
      <c r="M303" s="53" t="n">
        <f aca="false">IF($A303="",0,SUMIFS(GL_Input!$U:$U,GL_Input!$F:$F,$A303,GL_Input!$X:$X,"S",GL_Input!$Y:$Y,2))</f>
        <v>0</v>
      </c>
      <c r="N303" s="53" t="n">
        <f aca="false">IF($A303="",0,SUMIFS(GL_Input!$U:$U,GL_Input!$F:$F,$A303,GL_Input!$X:$X,"S",GL_Input!$Y:$Y,3))</f>
        <v>0</v>
      </c>
      <c r="O303" s="54" t="n">
        <f aca="false">SUM(F303:N303)</f>
        <v>0</v>
      </c>
      <c r="P303" s="15" t="str">
        <f aca="false">IF(O303=0,"",IF($D303="","MISSING VAT NO.",IF(OR($C303="",$C303="CY",Counterparties!G303&lt;&gt;"EU"),"NOT AN EU CUSTOMER","OK")))</f>
        <v/>
      </c>
    </row>
    <row r="304" customFormat="false" ht="15" hidden="false" customHeight="false" outlineLevel="0" collapsed="false">
      <c r="A304" s="30" t="str">
        <f aca="false">IF(Counterparties!A304="","",Counterparties!A304)</f>
        <v/>
      </c>
      <c r="B304" s="30" t="str">
        <f aca="false">IF(Counterparties!B304="","",Counterparties!B304)</f>
        <v/>
      </c>
      <c r="C304" s="30" t="str">
        <f aca="false">IF(Counterparties!C304="","",Counterparties!C304)</f>
        <v/>
      </c>
      <c r="D304" s="30" t="str">
        <f aca="false">IF(Counterparties!D304="","",Counterparties!D304)</f>
        <v/>
      </c>
      <c r="E304" s="30" t="str">
        <f aca="false">IF(Counterparties!E304="","",Counterparties!E304)</f>
        <v/>
      </c>
      <c r="F304" s="53" t="n">
        <f aca="false">IF($A304="",0,SUMIFS(GL_Input!$U:$U,GL_Input!$F:$F,$A304,GL_Input!$X:$X,"G",GL_Input!$Y:$Y,1))</f>
        <v>0</v>
      </c>
      <c r="G304" s="53" t="n">
        <f aca="false">IF($A304="",0,SUMIFS(GL_Input!$U:$U,GL_Input!$F:$F,$A304,GL_Input!$X:$X,"G",GL_Input!$Y:$Y,2))</f>
        <v>0</v>
      </c>
      <c r="H304" s="53" t="n">
        <f aca="false">IF($A304="",0,SUMIFS(GL_Input!$U:$U,GL_Input!$F:$F,$A304,GL_Input!$X:$X,"G",GL_Input!$Y:$Y,3))</f>
        <v>0</v>
      </c>
      <c r="I304" s="53" t="n">
        <f aca="false">IF($A304="",0,SUMIFS(GL_Input!$U:$U,GL_Input!$F:$F,$A304,GL_Input!$X:$X,"T",GL_Input!$Y:$Y,1))</f>
        <v>0</v>
      </c>
      <c r="J304" s="53" t="n">
        <f aca="false">IF($A304="",0,SUMIFS(GL_Input!$U:$U,GL_Input!$F:$F,$A304,GL_Input!$X:$X,"T",GL_Input!$Y:$Y,2))</f>
        <v>0</v>
      </c>
      <c r="K304" s="53" t="n">
        <f aca="false">IF($A304="",0,SUMIFS(GL_Input!$U:$U,GL_Input!$F:$F,$A304,GL_Input!$X:$X,"T",GL_Input!$Y:$Y,3))</f>
        <v>0</v>
      </c>
      <c r="L304" s="53" t="n">
        <f aca="false">IF($A304="",0,SUMIFS(GL_Input!$U:$U,GL_Input!$F:$F,$A304,GL_Input!$X:$X,"S",GL_Input!$Y:$Y,1))</f>
        <v>0</v>
      </c>
      <c r="M304" s="53" t="n">
        <f aca="false">IF($A304="",0,SUMIFS(GL_Input!$U:$U,GL_Input!$F:$F,$A304,GL_Input!$X:$X,"S",GL_Input!$Y:$Y,2))</f>
        <v>0</v>
      </c>
      <c r="N304" s="53" t="n">
        <f aca="false">IF($A304="",0,SUMIFS(GL_Input!$U:$U,GL_Input!$F:$F,$A304,GL_Input!$X:$X,"S",GL_Input!$Y:$Y,3))</f>
        <v>0</v>
      </c>
      <c r="O304" s="54" t="n">
        <f aca="false">SUM(F304:N304)</f>
        <v>0</v>
      </c>
      <c r="P304" s="15" t="str">
        <f aca="false">IF(O304=0,"",IF($D304="","MISSING VAT NO.",IF(OR($C304="",$C304="CY",Counterparties!G304&lt;&gt;"EU"),"NOT AN EU CUSTOMER","OK")))</f>
        <v/>
      </c>
    </row>
    <row r="305" customFormat="false" ht="15" hidden="false" customHeight="false" outlineLevel="0" collapsed="false">
      <c r="B305" s="6" t="s">
        <v>407</v>
      </c>
      <c r="F305" s="37" t="n">
        <f aca="false">SUM(F5:F304)</f>
        <v>0</v>
      </c>
      <c r="G305" s="37" t="n">
        <f aca="false">SUM(G5:G304)</f>
        <v>8000</v>
      </c>
      <c r="H305" s="37" t="n">
        <f aca="false">SUM(H5:H304)</f>
        <v>0</v>
      </c>
      <c r="I305" s="37" t="n">
        <f aca="false">SUM(I5:I304)</f>
        <v>0</v>
      </c>
      <c r="J305" s="37" t="n">
        <f aca="false">SUM(J5:J304)</f>
        <v>0</v>
      </c>
      <c r="K305" s="37" t="n">
        <f aca="false">SUM(K5:K304)</f>
        <v>0</v>
      </c>
      <c r="L305" s="37" t="n">
        <f aca="false">SUM(L5:L304)</f>
        <v>25000</v>
      </c>
      <c r="M305" s="37" t="n">
        <f aca="false">SUM(M5:M304)</f>
        <v>0</v>
      </c>
      <c r="N305" s="37" t="n">
        <f aca="false">SUM(N5:N304)</f>
        <v>0</v>
      </c>
      <c r="O305" s="37" t="n">
        <f aca="false">SUM(O5:O304)</f>
        <v>33000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64"/>
    <col collapsed="false" customWidth="true" hidden="false" outlineLevel="0" max="3" min="3" style="0" width="18"/>
    <col collapsed="false" customWidth="true" hidden="false" outlineLevel="0" max="4" min="4" style="0" width="70"/>
  </cols>
  <sheetData>
    <row r="1" customFormat="false" ht="17.35" hidden="false" customHeight="false" outlineLevel="0" collapsed="false">
      <c r="A1" s="1" t="s">
        <v>519</v>
      </c>
    </row>
    <row r="2" customFormat="false" ht="15" hidden="false" customHeight="false" outlineLevel="0" collapsed="false">
      <c r="A2" s="2" t="s">
        <v>520</v>
      </c>
    </row>
    <row r="4" customFormat="false" ht="15" hidden="false" customHeight="false" outlineLevel="0" collapsed="false">
      <c r="B4" s="14" t="s">
        <v>521</v>
      </c>
    </row>
    <row r="5" customFormat="false" ht="15" hidden="false" customHeight="false" outlineLevel="0" collapsed="false">
      <c r="B5" s="51" t="s">
        <v>522</v>
      </c>
      <c r="C5" s="29" t="n">
        <f aca="false">VAT_Return!C10</f>
        <v>4945.72</v>
      </c>
      <c r="D5" s="8"/>
    </row>
    <row r="6" customFormat="false" ht="23.85" hidden="false" customHeight="false" outlineLevel="0" collapsed="false">
      <c r="B6" s="51" t="s">
        <v>523</v>
      </c>
      <c r="C6" s="29" t="n">
        <f aca="false">-SUMIFS(VAT_Codes!$U$5:$U$80,VAT_Codes!$I$5:$I$80,"Y",VAT_Codes!$C$5:$C$80,"Input")</f>
        <v>-3045.72</v>
      </c>
      <c r="D6" s="8"/>
    </row>
    <row r="7" customFormat="false" ht="15" hidden="false" customHeight="false" outlineLevel="0" collapsed="false">
      <c r="B7" s="51" t="s">
        <v>524</v>
      </c>
      <c r="C7" s="29" t="n">
        <f aca="false">IF(Settings!$C$11="Y",VAT_Return!C11,0)</f>
        <v>0</v>
      </c>
      <c r="D7" s="8" t="s">
        <v>525</v>
      </c>
    </row>
    <row r="8" customFormat="false" ht="15" hidden="false" customHeight="false" outlineLevel="0" collapsed="false">
      <c r="B8" s="51" t="s">
        <v>526</v>
      </c>
      <c r="C8" s="29" t="n">
        <f aca="false">IF(Settings!$C$11="Y",SUMIFS(VAT_Codes!$U$5:$U$80,VAT_Codes!$I$5:$I$80,"Y",VAT_Codes!$C$5:$C$80,"Input"),0)</f>
        <v>0</v>
      </c>
      <c r="D8" s="8"/>
    </row>
    <row r="9" customFormat="false" ht="15" hidden="false" customHeight="false" outlineLevel="0" collapsed="false">
      <c r="B9" s="49" t="s">
        <v>527</v>
      </c>
      <c r="C9" s="37" t="n">
        <f aca="false">SUM(C5:C8)</f>
        <v>1900</v>
      </c>
      <c r="D9" s="8"/>
    </row>
    <row r="10" customFormat="false" ht="15" hidden="false" customHeight="false" outlineLevel="0" collapsed="false">
      <c r="B10" s="51" t="s">
        <v>528</v>
      </c>
      <c r="C10" s="29" t="n">
        <f aca="false">-(SUMIFS(GL_Input!$S:$S,GL_Input!$C:$C,Settings!$C$18&amp;"")*(Settings!$C$18&lt;&gt;"")+SUMIFS(GL_Input!$S:$S,GL_Input!$C:$C,Settings!$C$19&amp;"")*(Settings!$C$19&lt;&gt;"")+SUMIFS(GL_Input!$S:$S,GL_Input!$C:$C,Settings!$C$20&amp;"")*(Settings!$C$20&lt;&gt;"")+SUMIFS(GL_Input!$S:$S,GL_Input!$C:$C,Settings!$C$21&amp;"")*(Settings!$C$21&lt;&gt;"")+SUMIFS(GL_Input!$S:$S,GL_Input!$C:$C,Settings!$C$22&amp;"")*(Settings!$C$22&lt;&gt;""))</f>
        <v>1900</v>
      </c>
      <c r="D10" s="8" t="s">
        <v>529</v>
      </c>
    </row>
    <row r="11" customFormat="false" ht="15" hidden="false" customHeight="false" outlineLevel="0" collapsed="false">
      <c r="B11" s="49" t="s">
        <v>530</v>
      </c>
      <c r="C11" s="37" t="n">
        <f aca="false">ROUND(C9-C10,2)</f>
        <v>0</v>
      </c>
      <c r="D11" s="8"/>
    </row>
    <row r="12" customFormat="false" ht="15" hidden="false" customHeight="false" outlineLevel="0" collapsed="false">
      <c r="B12" s="51" t="s">
        <v>531</v>
      </c>
      <c r="C12" s="30" t="str">
        <f aca="false">IF(ABS(C11)&lt;=Settings!$C$12,"OK","INVESTIGATE")</f>
        <v>OK</v>
      </c>
      <c r="D12" s="8" t="s">
        <v>532</v>
      </c>
    </row>
    <row r="13" customFormat="false" ht="15" hidden="false" customHeight="false" outlineLevel="0" collapsed="false">
      <c r="B13" s="14" t="s">
        <v>533</v>
      </c>
    </row>
    <row r="14" customFormat="false" ht="15" hidden="false" customHeight="false" outlineLevel="0" collapsed="false">
      <c r="B14" s="51" t="s">
        <v>534</v>
      </c>
      <c r="C14" s="29" t="n">
        <f aca="false">VAT_Return!C13</f>
        <v>5075.72</v>
      </c>
      <c r="D14" s="8"/>
    </row>
    <row r="15" customFormat="false" ht="15" hidden="false" customHeight="false" outlineLevel="0" collapsed="false">
      <c r="B15" s="51" t="s">
        <v>535</v>
      </c>
      <c r="C15" s="29" t="n">
        <f aca="false">-SUMIFS(VAT_Codes!$V$5:$V$80,VAT_Codes!$K$5:$K$80,"Y",VAT_Codes!$I$5:$I$80,"Y")</f>
        <v>-3045.72</v>
      </c>
      <c r="D15" s="8"/>
    </row>
    <row r="16" customFormat="false" ht="15" hidden="false" customHeight="false" outlineLevel="0" collapsed="false">
      <c r="B16" s="51" t="s">
        <v>536</v>
      </c>
      <c r="C16" s="29" t="n">
        <f aca="false">-SUMIFS(VAT_Codes!$V$5:$V$80,VAT_Codes!$K$5:$K$80,"Y",VAT_Codes!$J$5:$J$80,"Y")</f>
        <v>-950</v>
      </c>
      <c r="D16" s="8"/>
    </row>
    <row r="17" customFormat="false" ht="15" hidden="false" customHeight="false" outlineLevel="0" collapsed="false">
      <c r="B17" s="51" t="s">
        <v>537</v>
      </c>
      <c r="C17" s="29" t="n">
        <f aca="false">-SUMIFS(VAT_Codes!$V$5:$V$80,VAT_Codes!$F$5:$F$80,"Y")</f>
        <v>-700</v>
      </c>
      <c r="D17" s="8"/>
    </row>
    <row r="18" customFormat="false" ht="15" hidden="false" customHeight="false" outlineLevel="0" collapsed="false">
      <c r="B18" s="51" t="s">
        <v>526</v>
      </c>
      <c r="C18" s="29" t="n">
        <f aca="false">IF(Settings!$C$11="Y",SUMIFS(VAT_Codes!$V$5:$V$80,VAT_Codes!$K$5:$K$80,"Y",VAT_Codes!$I$5:$I$80,"Y")+SUMIFS(VAT_Codes!$V$5:$V$80,VAT_Codes!$K$5:$K$80,"Y",VAT_Codes!$J$5:$J$80,"Y"),0)</f>
        <v>0</v>
      </c>
      <c r="D18" s="8"/>
    </row>
    <row r="19" customFormat="false" ht="15" hidden="false" customHeight="false" outlineLevel="0" collapsed="false">
      <c r="B19" s="49" t="s">
        <v>538</v>
      </c>
      <c r="C19" s="37" t="n">
        <f aca="false">SUM(C14:C18)</f>
        <v>380</v>
      </c>
      <c r="D19" s="8"/>
    </row>
    <row r="20" customFormat="false" ht="15" hidden="false" customHeight="false" outlineLevel="0" collapsed="false">
      <c r="B20" s="51" t="s">
        <v>539</v>
      </c>
      <c r="C20" s="29" t="n">
        <f aca="false">SUMIFS(GL_Input!$S:$S,GL_Input!$C:$C,Settings!$C$26&amp;"")*(Settings!$C$26&lt;&gt;"")+SUMIFS(GL_Input!$S:$S,GL_Input!$C:$C,Settings!$C$27&amp;"")*(Settings!$C$27&lt;&gt;"")+SUMIFS(GL_Input!$S:$S,GL_Input!$C:$C,Settings!$C$28&amp;"")*(Settings!$C$28&lt;&gt;"")+SUMIFS(GL_Input!$S:$S,GL_Input!$C:$C,Settings!$C$29&amp;"")*(Settings!$C$29&lt;&gt;"")+SUMIFS(GL_Input!$S:$S,GL_Input!$C:$C,Settings!$C$30&amp;"")*(Settings!$C$30&lt;&gt;"")</f>
        <v>380</v>
      </c>
      <c r="D20" s="8" t="s">
        <v>540</v>
      </c>
    </row>
    <row r="21" customFormat="false" ht="15" hidden="false" customHeight="false" outlineLevel="0" collapsed="false">
      <c r="B21" s="49" t="s">
        <v>530</v>
      </c>
      <c r="C21" s="37" t="n">
        <f aca="false">ROUND(C19-C20,2)</f>
        <v>0</v>
      </c>
      <c r="D21" s="8"/>
    </row>
    <row r="22" customFormat="false" ht="15" hidden="false" customHeight="false" outlineLevel="0" collapsed="false">
      <c r="B22" s="51" t="s">
        <v>531</v>
      </c>
      <c r="C22" s="30" t="str">
        <f aca="false">IF(ABS(C21)&lt;=Settings!$C$12,"OK","INVESTIGATE")</f>
        <v>OK</v>
      </c>
      <c r="D22" s="8"/>
    </row>
    <row r="23" customFormat="false" ht="15" hidden="false" customHeight="false" outlineLevel="0" collapsed="false">
      <c r="B23" s="14" t="s">
        <v>541</v>
      </c>
    </row>
    <row r="24" customFormat="false" ht="15" hidden="false" customHeight="false" outlineLevel="0" collapsed="false">
      <c r="B24" s="51" t="s">
        <v>542</v>
      </c>
      <c r="C24" s="30" t="str">
        <f aca="false">IF(VAT_Return!C15+0.005&gt;=VAT_Return!C17+VAT_Return!C18+VAT_Return!C19+VAT_Return!C20+VAT_Return!C22,"OK","CHECK")</f>
        <v>OK</v>
      </c>
      <c r="D24" s="8"/>
    </row>
    <row r="25" customFormat="false" ht="15" hidden="false" customHeight="false" outlineLevel="0" collapsed="false">
      <c r="B25" s="51" t="s">
        <v>543</v>
      </c>
      <c r="C25" s="30" t="str">
        <f aca="false">IF(VAT_Return!C16+0.005&gt;=VAT_Return!C21+VAT_Return!C22,"OK","CHECK")</f>
        <v>OK</v>
      </c>
      <c r="D25" s="8"/>
    </row>
    <row r="26" customFormat="false" ht="15" hidden="false" customHeight="false" outlineLevel="0" collapsed="false">
      <c r="B26" s="51" t="s">
        <v>544</v>
      </c>
      <c r="C26" s="29" t="n">
        <f aca="false">ROUND(SUMIFS(VAT_Codes!$T$5:$T$80,VAT_Codes!$C$5:$C$80,"Output")-(VAT_Return!C15-SUMIFS(VAT_Codes!$T$5:$T$80,VAT_Codes!$C$5:$C$80,"Input",VAT_Codes!$L$5:$L$80,"Y")),2)</f>
        <v>0</v>
      </c>
      <c r="D26" s="8" t="s">
        <v>545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70"/>
    <col collapsed="false" customWidth="true" hidden="false" outlineLevel="0" max="3" min="3" style="0" width="14"/>
    <col collapsed="false" customWidth="true" hidden="false" outlineLevel="0" max="4" min="4" style="0" width="70"/>
  </cols>
  <sheetData>
    <row r="1" customFormat="false" ht="17.35" hidden="false" customHeight="false" outlineLevel="0" collapsed="false">
      <c r="A1" s="1" t="s">
        <v>546</v>
      </c>
    </row>
    <row r="2" customFormat="false" ht="15" hidden="false" customHeight="false" outlineLevel="0" collapsed="false">
      <c r="A2" s="2" t="s">
        <v>547</v>
      </c>
    </row>
    <row r="4" customFormat="false" ht="15" hidden="false" customHeight="false" outlineLevel="0" collapsed="false">
      <c r="B4" s="17" t="s">
        <v>157</v>
      </c>
      <c r="C4" s="17" t="s">
        <v>483</v>
      </c>
      <c r="D4" s="17" t="s">
        <v>548</v>
      </c>
    </row>
    <row r="5" customFormat="false" ht="15" hidden="false" customHeight="false" outlineLevel="0" collapsed="false">
      <c r="B5" s="51" t="s">
        <v>549</v>
      </c>
      <c r="C5" s="55" t="n">
        <f aca="false">COUNTIFS(GL_Input!$Z:$Z,"NO VAT CODE")</f>
        <v>0</v>
      </c>
      <c r="D5" s="8" t="s">
        <v>550</v>
      </c>
    </row>
    <row r="6" customFormat="false" ht="15" hidden="false" customHeight="false" outlineLevel="0" collapsed="false">
      <c r="B6" s="51" t="s">
        <v>551</v>
      </c>
      <c r="C6" s="55" t="n">
        <f aca="false">COUNTIFS(GL_Input!$Z:$Z,"UNKNOWN VAT CODE")</f>
        <v>0</v>
      </c>
      <c r="D6" s="8"/>
    </row>
    <row r="7" customFormat="false" ht="15" hidden="false" customHeight="false" outlineLevel="0" collapsed="false">
      <c r="B7" s="51" t="s">
        <v>552</v>
      </c>
      <c r="C7" s="55" t="n">
        <f aca="false">COUNTIFS(GL_Input!$Z:$Z,"MISSING FX RATE")</f>
        <v>0</v>
      </c>
      <c r="D7" s="8" t="s">
        <v>553</v>
      </c>
    </row>
    <row r="8" customFormat="false" ht="15" hidden="false" customHeight="false" outlineLevel="0" collapsed="false">
      <c r="B8" s="51" t="s">
        <v>554</v>
      </c>
      <c r="C8" s="55" t="n">
        <f aca="false">COUNTIFS(GL_Input!$Z:$Z,"OUTSIDE PERIOD")</f>
        <v>0</v>
      </c>
      <c r="D8" s="8" t="s">
        <v>555</v>
      </c>
    </row>
    <row r="9" customFormat="false" ht="15" hidden="false" customHeight="false" outlineLevel="0" collapsed="false">
      <c r="B9" s="51" t="s">
        <v>556</v>
      </c>
      <c r="C9" s="55" t="n">
        <f aca="false">COUNTIFS(GL_Input!$Z:$Z,"MISSING COUNTERPARTY COUNTRY")</f>
        <v>0</v>
      </c>
      <c r="D9" s="8" t="s">
        <v>557</v>
      </c>
    </row>
    <row r="10" customFormat="false" ht="15" hidden="false" customHeight="false" outlineLevel="0" collapsed="false">
      <c r="B10" s="51" t="s">
        <v>558</v>
      </c>
      <c r="C10" s="55" t="n">
        <f aca="false">COUNTIFS(GL_Input!$Z:$Z,"REGION MISMATCH")</f>
        <v>0</v>
      </c>
      <c r="D10" s="8" t="s">
        <v>559</v>
      </c>
    </row>
    <row r="11" customFormat="false" ht="15" hidden="false" customHeight="false" outlineLevel="0" collapsed="false">
      <c r="B11" s="51" t="s">
        <v>560</v>
      </c>
      <c r="C11" s="55" t="n">
        <f aca="false">COUNTIFS(Account_Mapping!$A$5:$A$5000,"&lt;&gt;",Account_Mapping!$C$5:$C$5000,"")</f>
        <v>0</v>
      </c>
      <c r="D11" s="8"/>
    </row>
    <row r="12" customFormat="false" ht="15" hidden="false" customHeight="false" outlineLevel="0" collapsed="false">
      <c r="B12" s="51" t="s">
        <v>561</v>
      </c>
      <c r="C12" s="55" t="n">
        <f aca="false">SUMPRODUCT((GL_Input!$C$5:$C$60000&lt;&gt;"")*ISNA(MATCH(GL_Input!$C$5:$C$60000&amp;"",Account_Mapping!$A$5:$A$5000,0)))</f>
        <v>0</v>
      </c>
      <c r="D12" s="8" t="s">
        <v>562</v>
      </c>
    </row>
    <row r="13" customFormat="false" ht="15" hidden="false" customHeight="false" outlineLevel="0" collapsed="false">
      <c r="B13" s="51" t="s">
        <v>563</v>
      </c>
      <c r="C13" s="55" t="n">
        <f aca="false">COUNTIFS(Counterparties!$A$5:$A$5000,"&lt;&gt;",Counterparties!$C$5:$C$5000,"",Counterparties!$H$5:$H$5000,"&gt;0")</f>
        <v>0</v>
      </c>
      <c r="D13" s="8"/>
    </row>
    <row r="14" customFormat="false" ht="15" hidden="false" customHeight="false" outlineLevel="0" collapsed="false">
      <c r="B14" s="51" t="s">
        <v>564</v>
      </c>
      <c r="C14" s="55" t="n">
        <f aca="false">COUNTIFS(VIES!$P:$P,"MISSING VAT NO.")+COUNTIFS(VIES!$P:$P,"NOT AN EU CUSTOMER")</f>
        <v>0</v>
      </c>
      <c r="D14" s="8"/>
    </row>
    <row r="15" customFormat="false" ht="15" hidden="false" customHeight="false" outlineLevel="0" collapsed="false">
      <c r="B15" s="51" t="s">
        <v>565</v>
      </c>
      <c r="C15" s="55" t="n">
        <f aca="false">ROUND(SUMIFS(VIES!F:F,VIES!A:A,"&lt;&gt;")+SUMIFS(VIES!G:G,VIES!A:A,"&lt;&gt;")+SUMIFS(VIES!H:H,VIES!A:A,"&lt;&gt;")-VAT_Return!C17,2)</f>
        <v>0</v>
      </c>
      <c r="D15" s="8" t="s">
        <v>566</v>
      </c>
    </row>
    <row r="16" customFormat="false" ht="15" hidden="false" customHeight="false" outlineLevel="0" collapsed="false">
      <c r="B16" s="51" t="s">
        <v>567</v>
      </c>
      <c r="C16" s="55" t="n">
        <f aca="false">ROUND(SUMIFS(VIES!L:L,VIES!A:A,"&lt;&gt;")+SUMIFS(VIES!M:M,VIES!A:A,"&lt;&gt;")+SUMIFS(VIES!N:N,VIES!A:A,"&lt;&gt;")-VAT_Return!C18,2)</f>
        <v>0</v>
      </c>
      <c r="D16" s="8" t="s">
        <v>566</v>
      </c>
    </row>
    <row r="17" customFormat="false" ht="15" hidden="false" customHeight="false" outlineLevel="0" collapsed="false">
      <c r="B17" s="51" t="s">
        <v>568</v>
      </c>
      <c r="C17" s="55" t="str">
        <f aca="false">Reconciliation!C12</f>
        <v>OK</v>
      </c>
      <c r="D17" s="8"/>
    </row>
    <row r="18" customFormat="false" ht="15" hidden="false" customHeight="false" outlineLevel="0" collapsed="false">
      <c r="B18" s="51" t="s">
        <v>569</v>
      </c>
      <c r="C18" s="55" t="str">
        <f aca="false">Reconciliation!C22</f>
        <v>OK</v>
      </c>
      <c r="D18" s="8"/>
    </row>
    <row r="19" customFormat="false" ht="15" hidden="false" customHeight="false" outlineLevel="0" collapsed="false">
      <c r="B19" s="51" t="s">
        <v>570</v>
      </c>
      <c r="C19" s="55" t="str">
        <f aca="false">IF(AND(Reconciliation!C24="OK",Reconciliation!C25="OK"),"OK","CHECK")</f>
        <v>OK</v>
      </c>
      <c r="D19" s="8"/>
    </row>
    <row r="20" customFormat="false" ht="15" hidden="false" customHeight="false" outlineLevel="0" collapsed="false">
      <c r="B20" s="51" t="s">
        <v>571</v>
      </c>
      <c r="C20" s="55" t="n">
        <f aca="false">COUNTIF(FX_Rates!$H:$H,"EXAMPLE*")</f>
        <v>2</v>
      </c>
      <c r="D20" s="8" t="s">
        <v>572</v>
      </c>
    </row>
    <row r="21" customFormat="false" ht="15" hidden="false" customHeight="false" outlineLevel="0" collapsed="false">
      <c r="B21" s="51" t="s">
        <v>573</v>
      </c>
      <c r="C21" s="55" t="str">
        <f aca="false">IF(COUNTIF(IC_Analysis!$L$5:$L$80,"CHECK")=0,"OK","CHECK")</f>
        <v>OK</v>
      </c>
      <c r="D21" s="8"/>
    </row>
    <row r="23" customFormat="false" ht="15" hidden="false" customHeight="false" outlineLevel="0" collapsed="false">
      <c r="B23" s="6" t="s">
        <v>574</v>
      </c>
      <c r="C23" s="38" t="n">
        <f aca="false">COUNTIF(C5:C22,"&gt;0.004")+COUNTIF(C5:C22,"&lt;-0.004")+COUNTIF(C5:C22,"INVESTIGATE")+COUNTIF(C5:C22,"CHECK")</f>
        <v>1</v>
      </c>
    </row>
  </sheetData>
  <conditionalFormatting sqref="C5:C23">
    <cfRule type="expression" priority="2" aboveAverage="0" equalAverage="0" bottom="0" percent="0" rank="0" text="" dxfId="8">
      <formula>OR(AND(ISNUMBER(C5),ABS(C5)&gt;0.004),C5="CHECK",C5="INVESTIGATE")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50"/>
  </cols>
  <sheetData>
    <row r="1" customFormat="false" ht="17.35" hidden="false" customHeight="false" outlineLevel="0" collapsed="false">
      <c r="A1" s="1" t="s">
        <v>575</v>
      </c>
    </row>
    <row r="2" customFormat="false" ht="15" hidden="false" customHeight="false" outlineLevel="0" collapsed="false">
      <c r="A2" s="2" t="s">
        <v>576</v>
      </c>
    </row>
    <row r="4" customFormat="false" ht="15" hidden="false" customHeight="false" outlineLevel="0" collapsed="false">
      <c r="B4" s="3" t="s">
        <v>577</v>
      </c>
    </row>
    <row r="5" customFormat="false" ht="27.75" hidden="false" customHeight="true" outlineLevel="0" collapsed="false">
      <c r="B5" s="4" t="s">
        <v>578</v>
      </c>
    </row>
    <row r="7" customFormat="false" ht="15" hidden="false" customHeight="false" outlineLevel="0" collapsed="false">
      <c r="B7" s="3" t="s">
        <v>579</v>
      </c>
    </row>
    <row r="8" customFormat="false" ht="15" hidden="false" customHeight="false" outlineLevel="0" collapsed="false">
      <c r="B8" s="4" t="s">
        <v>580</v>
      </c>
    </row>
    <row r="9" customFormat="false" ht="27.75" hidden="false" customHeight="true" outlineLevel="0" collapsed="false">
      <c r="B9" s="4" t="s">
        <v>581</v>
      </c>
    </row>
    <row r="10" customFormat="false" ht="27.75" hidden="false" customHeight="true" outlineLevel="0" collapsed="false">
      <c r="B10" s="4" t="s">
        <v>582</v>
      </c>
    </row>
    <row r="11" customFormat="false" ht="15" hidden="false" customHeight="false" outlineLevel="0" collapsed="false">
      <c r="B11" s="4" t="s">
        <v>583</v>
      </c>
    </row>
    <row r="12" customFormat="false" ht="27.75" hidden="false" customHeight="true" outlineLevel="0" collapsed="false">
      <c r="B12" s="4" t="s">
        <v>584</v>
      </c>
    </row>
    <row r="14" customFormat="false" ht="15" hidden="false" customHeight="false" outlineLevel="0" collapsed="false">
      <c r="B14" s="3" t="s">
        <v>585</v>
      </c>
    </row>
    <row r="15" customFormat="false" ht="27.75" hidden="false" customHeight="true" outlineLevel="0" collapsed="false">
      <c r="B15" s="4" t="s">
        <v>586</v>
      </c>
    </row>
    <row r="16" customFormat="false" ht="27.75" hidden="false" customHeight="true" outlineLevel="0" collapsed="false">
      <c r="B16" s="4" t="s">
        <v>587</v>
      </c>
    </row>
    <row r="17" customFormat="false" ht="15" hidden="false" customHeight="false" outlineLevel="0" collapsed="false">
      <c r="B17" s="4" t="s">
        <v>588</v>
      </c>
    </row>
    <row r="19" customFormat="false" ht="15" hidden="false" customHeight="false" outlineLevel="0" collapsed="false">
      <c r="B19" s="3" t="s">
        <v>589</v>
      </c>
    </row>
    <row r="20" customFormat="false" ht="42" hidden="false" customHeight="true" outlineLevel="0" collapsed="false">
      <c r="B20" s="4" t="s">
        <v>590</v>
      </c>
    </row>
    <row r="22" customFormat="false" ht="15" hidden="false" customHeight="false" outlineLevel="0" collapsed="false">
      <c r="B22" s="3" t="s">
        <v>591</v>
      </c>
    </row>
    <row r="23" customFormat="false" ht="42" hidden="false" customHeight="true" outlineLevel="0" collapsed="false">
      <c r="B23" s="4" t="s">
        <v>592</v>
      </c>
    </row>
    <row r="24" customFormat="false" ht="42" hidden="false" customHeight="true" outlineLevel="0" collapsed="false">
      <c r="B24" s="4" t="s">
        <v>593</v>
      </c>
    </row>
    <row r="25" customFormat="false" ht="42" hidden="false" customHeight="true" outlineLevel="0" collapsed="false">
      <c r="B25" s="4" t="s">
        <v>594</v>
      </c>
    </row>
    <row r="26" customFormat="false" ht="27.75" hidden="false" customHeight="true" outlineLevel="0" collapsed="false">
      <c r="B26" s="4" t="s">
        <v>595</v>
      </c>
    </row>
    <row r="28" customFormat="false" ht="15" hidden="false" customHeight="false" outlineLevel="0" collapsed="false">
      <c r="B28" s="3" t="s">
        <v>596</v>
      </c>
    </row>
    <row r="29" customFormat="false" ht="27.75" hidden="false" customHeight="true" outlineLevel="0" collapsed="false">
      <c r="B29" s="4" t="s">
        <v>597</v>
      </c>
    </row>
    <row r="30" customFormat="false" ht="15" hidden="false" customHeight="false" outlineLevel="0" collapsed="false">
      <c r="B30" s="4" t="s">
        <v>598</v>
      </c>
    </row>
    <row r="31" customFormat="false" ht="27.75" hidden="false" customHeight="true" outlineLevel="0" collapsed="false">
      <c r="B31" s="4" t="s">
        <v>599</v>
      </c>
    </row>
    <row r="33" customFormat="false" ht="15" hidden="false" customHeight="false" outlineLevel="0" collapsed="false">
      <c r="B33" s="3" t="s">
        <v>600</v>
      </c>
    </row>
    <row r="34" customFormat="false" ht="42" hidden="false" customHeight="true" outlineLevel="0" collapsed="false">
      <c r="B34" s="4" t="s">
        <v>601</v>
      </c>
    </row>
    <row r="36" customFormat="false" ht="15" hidden="false" customHeight="false" outlineLevel="0" collapsed="false">
      <c r="B36" s="3" t="s">
        <v>602</v>
      </c>
    </row>
    <row r="37" customFormat="false" ht="55.5" hidden="false" customHeight="true" outlineLevel="0" collapsed="false">
      <c r="B37" s="4" t="s">
        <v>603</v>
      </c>
    </row>
    <row r="39" customFormat="false" ht="15" hidden="false" customHeight="false" outlineLevel="0" collapsed="false">
      <c r="B39" s="3" t="s">
        <v>604</v>
      </c>
    </row>
    <row r="40" customFormat="false" ht="55.5" hidden="false" customHeight="true" outlineLevel="0" collapsed="false">
      <c r="B40" s="4" t="s">
        <v>605</v>
      </c>
    </row>
    <row r="42" customFormat="false" ht="15" hidden="false" customHeight="false" outlineLevel="0" collapsed="false">
      <c r="B42" s="3" t="s">
        <v>606</v>
      </c>
    </row>
    <row r="43" customFormat="false" ht="15" hidden="false" customHeight="false" outlineLevel="0" collapsed="false">
      <c r="B43" s="4" t="s">
        <v>607</v>
      </c>
    </row>
    <row r="45" customFormat="false" ht="15" hidden="false" customHeight="false" outlineLevel="0" collapsed="false">
      <c r="B45" s="3" t="s">
        <v>608</v>
      </c>
    </row>
    <row r="46" customFormat="false" ht="15" hidden="false" customHeight="false" outlineLevel="0" collapsed="false">
      <c r="B46" s="4" t="s">
        <v>609</v>
      </c>
    </row>
    <row r="47" customFormat="false" ht="15" hidden="false" customHeight="false" outlineLevel="0" collapsed="false">
      <c r="B47" s="4" t="s">
        <v>610</v>
      </c>
    </row>
    <row r="48" customFormat="false" ht="15" hidden="false" customHeight="false" outlineLevel="0" collapsed="false">
      <c r="B48" s="4" t="s">
        <v>611</v>
      </c>
    </row>
    <row r="49" customFormat="false" ht="15" hidden="false" customHeight="false" outlineLevel="0" collapsed="false">
      <c r="B49" s="4" t="s">
        <v>612</v>
      </c>
    </row>
    <row r="50" customFormat="false" ht="15" hidden="false" customHeight="false" outlineLevel="0" collapsed="false">
      <c r="B50" s="4" t="s">
        <v>613</v>
      </c>
    </row>
    <row r="51" customFormat="false" ht="27.75" hidden="false" customHeight="true" outlineLevel="0" collapsed="false">
      <c r="B51" s="4" t="s">
        <v>614</v>
      </c>
    </row>
    <row r="52" customFormat="false" ht="15" hidden="false" customHeight="false" outlineLevel="0" collapsed="false">
      <c r="B52" s="4" t="s">
        <v>615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s>
  <sheetData>
    <row r="1" customFormat="false" ht="17.35" hidden="false" customHeight="false" outlineLevel="0" collapsed="false">
      <c r="A1" s="1" t="s">
        <v>616</v>
      </c>
    </row>
    <row r="2" customFormat="false" ht="15" hidden="false" customHeight="false" outlineLevel="0" collapsed="false">
      <c r="A2" s="2" t="s">
        <v>617</v>
      </c>
    </row>
    <row r="4" customFormat="false" ht="30" hidden="false" customHeight="true" outlineLevel="0" collapsed="false">
      <c r="A4" s="19" t="s">
        <v>618</v>
      </c>
      <c r="B4" s="19" t="s">
        <v>619</v>
      </c>
    </row>
    <row r="5" customFormat="false" ht="15" hidden="false" customHeight="false" outlineLevel="0" collapsed="false">
      <c r="A5" s="7" t="s">
        <v>620</v>
      </c>
      <c r="B5" s="15" t="s">
        <v>621</v>
      </c>
    </row>
    <row r="6" customFormat="false" ht="15" hidden="false" customHeight="false" outlineLevel="0" collapsed="false">
      <c r="A6" s="7" t="s">
        <v>622</v>
      </c>
      <c r="B6" s="15" t="s">
        <v>623</v>
      </c>
    </row>
    <row r="7" customFormat="false" ht="15" hidden="false" customHeight="false" outlineLevel="0" collapsed="false">
      <c r="A7" s="7" t="s">
        <v>624</v>
      </c>
      <c r="B7" s="15" t="s">
        <v>625</v>
      </c>
    </row>
    <row r="8" customFormat="false" ht="15" hidden="false" customHeight="false" outlineLevel="0" collapsed="false">
      <c r="A8" s="7" t="s">
        <v>626</v>
      </c>
      <c r="B8" s="15" t="s">
        <v>627</v>
      </c>
    </row>
    <row r="9" customFormat="false" ht="15" hidden="false" customHeight="false" outlineLevel="0" collapsed="false">
      <c r="A9" s="7" t="s">
        <v>628</v>
      </c>
      <c r="B9" s="15" t="s">
        <v>629</v>
      </c>
    </row>
    <row r="10" customFormat="false" ht="15" hidden="false" customHeight="false" outlineLevel="0" collapsed="false">
      <c r="A10" s="7" t="s">
        <v>630</v>
      </c>
      <c r="B10" s="15" t="s">
        <v>631</v>
      </c>
    </row>
    <row r="11" customFormat="false" ht="15" hidden="false" customHeight="false" outlineLevel="0" collapsed="false">
      <c r="A11" s="7" t="s">
        <v>632</v>
      </c>
      <c r="B11" s="15" t="s">
        <v>633</v>
      </c>
    </row>
    <row r="12" customFormat="false" ht="15" hidden="false" customHeight="false" outlineLevel="0" collapsed="false">
      <c r="A12" s="7" t="s">
        <v>634</v>
      </c>
      <c r="B12" s="15" t="s">
        <v>635</v>
      </c>
    </row>
    <row r="13" customFormat="false" ht="15" hidden="false" customHeight="false" outlineLevel="0" collapsed="false">
      <c r="A13" s="7" t="s">
        <v>636</v>
      </c>
      <c r="B13" s="15" t="s">
        <v>637</v>
      </c>
    </row>
    <row r="14" customFormat="false" ht="15" hidden="false" customHeight="false" outlineLevel="0" collapsed="false">
      <c r="A14" s="7" t="s">
        <v>270</v>
      </c>
      <c r="B14" s="15" t="s">
        <v>638</v>
      </c>
    </row>
    <row r="15" customFormat="false" ht="15" hidden="false" customHeight="false" outlineLevel="0" collapsed="false">
      <c r="A15" s="7" t="s">
        <v>639</v>
      </c>
      <c r="B15" s="15" t="s">
        <v>640</v>
      </c>
    </row>
    <row r="16" customFormat="false" ht="15" hidden="false" customHeight="false" outlineLevel="0" collapsed="false">
      <c r="A16" s="7" t="s">
        <v>641</v>
      </c>
      <c r="B16" s="15" t="s">
        <v>642</v>
      </c>
    </row>
    <row r="17" customFormat="false" ht="15" hidden="false" customHeight="false" outlineLevel="0" collapsed="false">
      <c r="A17" s="7" t="s">
        <v>643</v>
      </c>
      <c r="B17" s="15" t="s">
        <v>644</v>
      </c>
    </row>
    <row r="18" customFormat="false" ht="15" hidden="false" customHeight="false" outlineLevel="0" collapsed="false">
      <c r="A18" s="7" t="s">
        <v>645</v>
      </c>
      <c r="B18" s="15" t="s">
        <v>646</v>
      </c>
    </row>
    <row r="19" customFormat="false" ht="15" hidden="false" customHeight="false" outlineLevel="0" collapsed="false">
      <c r="A19" s="7" t="s">
        <v>275</v>
      </c>
      <c r="B19" s="15" t="s">
        <v>647</v>
      </c>
    </row>
    <row r="20" customFormat="false" ht="15" hidden="false" customHeight="false" outlineLevel="0" collapsed="false">
      <c r="A20" s="7" t="s">
        <v>648</v>
      </c>
      <c r="B20" s="15" t="s">
        <v>649</v>
      </c>
    </row>
    <row r="21" customFormat="false" ht="15" hidden="false" customHeight="false" outlineLevel="0" collapsed="false">
      <c r="A21" s="7" t="s">
        <v>650</v>
      </c>
      <c r="B21" s="15" t="s">
        <v>651</v>
      </c>
    </row>
    <row r="22" customFormat="false" ht="15" hidden="false" customHeight="false" outlineLevel="0" collapsed="false">
      <c r="A22" s="7" t="s">
        <v>652</v>
      </c>
      <c r="B22" s="15" t="s">
        <v>653</v>
      </c>
    </row>
    <row r="23" customFormat="false" ht="15" hidden="false" customHeight="false" outlineLevel="0" collapsed="false">
      <c r="A23" s="7" t="s">
        <v>654</v>
      </c>
      <c r="B23" s="15" t="s">
        <v>655</v>
      </c>
    </row>
    <row r="24" customFormat="false" ht="15" hidden="false" customHeight="false" outlineLevel="0" collapsed="false">
      <c r="A24" s="7" t="s">
        <v>279</v>
      </c>
      <c r="B24" s="15" t="s">
        <v>656</v>
      </c>
    </row>
    <row r="25" customFormat="false" ht="15" hidden="false" customHeight="false" outlineLevel="0" collapsed="false">
      <c r="A25" s="7" t="s">
        <v>657</v>
      </c>
      <c r="B25" s="15" t="s">
        <v>658</v>
      </c>
    </row>
    <row r="26" customFormat="false" ht="15" hidden="false" customHeight="false" outlineLevel="0" collapsed="false">
      <c r="A26" s="7" t="s">
        <v>659</v>
      </c>
      <c r="B26" s="15" t="s">
        <v>660</v>
      </c>
    </row>
    <row r="27" customFormat="false" ht="15" hidden="false" customHeight="false" outlineLevel="0" collapsed="false">
      <c r="A27" s="7" t="s">
        <v>661</v>
      </c>
      <c r="B27" s="15" t="s">
        <v>662</v>
      </c>
    </row>
    <row r="28" customFormat="false" ht="15" hidden="false" customHeight="false" outlineLevel="0" collapsed="false">
      <c r="A28" s="7" t="s">
        <v>663</v>
      </c>
      <c r="B28" s="15" t="s">
        <v>664</v>
      </c>
    </row>
    <row r="29" customFormat="false" ht="15" hidden="false" customHeight="false" outlineLevel="0" collapsed="false">
      <c r="A29" s="7" t="s">
        <v>665</v>
      </c>
      <c r="B29" s="15" t="s">
        <v>666</v>
      </c>
    </row>
    <row r="30" customFormat="false" ht="15" hidden="false" customHeight="false" outlineLevel="0" collapsed="false">
      <c r="A30" s="7" t="s">
        <v>667</v>
      </c>
      <c r="B30" s="15" t="s">
        <v>668</v>
      </c>
    </row>
    <row r="31" customFormat="false" ht="15" hidden="false" customHeight="false" outlineLevel="0" collapsed="false">
      <c r="A31" s="7" t="s">
        <v>669</v>
      </c>
      <c r="B31" s="15" t="s">
        <v>670</v>
      </c>
    </row>
    <row r="32" customFormat="false" ht="15" hidden="false" customHeight="false" outlineLevel="0" collapsed="false">
      <c r="A32" s="7" t="s">
        <v>671</v>
      </c>
      <c r="B32" s="15" t="s">
        <v>672</v>
      </c>
    </row>
    <row r="34" customFormat="false" ht="15" hidden="false" customHeight="false" outlineLevel="0" collapsed="false">
      <c r="A34" s="2" t="s">
        <v>673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2026-10-27T07:51:57Z</dcterms:created>
  <dc:creator>openpyxl</dc:creator>
  <dc:description/>
  <dc:language>en-US</dc:language>
  <cp:lastModifiedBy/>
  <dcterms:modified xsi:type="dcterms:W3CDTF">2026-10-27T07:51:57Z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